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개찰결과" state="visible" r:id="rId4"/>
  </sheets>
  <definedNames>
    <definedName name="_xlnm._FilterDatabase">'개찰결과'!$B$13:$P$13</definedName>
  </definedNames>
  <calcPr calcId="171027"/>
</workbook>
</file>

<file path=xl/sharedStrings.xml><?xml version="1.0" encoding="utf-8"?>
<sst xmlns="http://schemas.openxmlformats.org/spreadsheetml/2006/main" count="838" uniqueCount="570">
  <si>
    <t>개찰 결과 보고서</t>
  </si>
  <si>
    <t>□ 공사명 : 인천계양 A-10BL 아파트 전기공사 4공구</t>
  </si>
  <si>
    <t>예상낙찰사 : 균형근접 153순위 금양그린파워 주식회사</t>
  </si>
  <si>
    <t>발주기관</t>
  </si>
  <si>
    <t>한국토지주택공사</t>
  </si>
  <si>
    <t>심사기준</t>
  </si>
  <si>
    <t>간이종심제</t>
  </si>
  <si>
    <t>업종</t>
  </si>
  <si>
    <t>전기공사업</t>
  </si>
  <si>
    <t>참여업체</t>
  </si>
  <si>
    <t>기초금액</t>
  </si>
  <si>
    <t>균형가격</t>
  </si>
  <si>
    <t>기초대비</t>
  </si>
  <si>
    <t>예정가격</t>
  </si>
  <si>
    <t>균형단가율</t>
  </si>
  <si>
    <t>업평사정율</t>
  </si>
  <si>
    <t>사정율</t>
  </si>
  <si>
    <t>만점 최소</t>
  </si>
  <si>
    <t>배점</t>
  </si>
  <si>
    <t>A 계수</t>
  </si>
  <si>
    <t>만점 최대</t>
  </si>
  <si>
    <t>적정단가</t>
  </si>
  <si>
    <t>미감점입찰금액</t>
  </si>
  <si>
    <t>순번</t>
  </si>
  <si>
    <t>사업자번호</t>
  </si>
  <si>
    <t>업체명</t>
  </si>
  <si>
    <t>입찰금액</t>
  </si>
  <si>
    <t>투찰율</t>
  </si>
  <si>
    <t xml:space="preserve">기초금액
대비</t>
  </si>
  <si>
    <t xml:space="preserve">균형가격
대비</t>
  </si>
  <si>
    <t>가격점수</t>
  </si>
  <si>
    <t xml:space="preserve">단가감점
예상</t>
  </si>
  <si>
    <t xml:space="preserve">예상예가율%
(업평 0 기준)</t>
  </si>
  <si>
    <t xml:space="preserve">예상예가율%
(공고업평기준)</t>
  </si>
  <si>
    <t>미감점금액차이</t>
  </si>
  <si>
    <t>131-81-53299</t>
  </si>
  <si>
    <t>(주)건화티에스</t>
  </si>
  <si>
    <t xml:space="preserve"> </t>
  </si>
  <si>
    <t>213-81-98870</t>
  </si>
  <si>
    <t>주식회사 근우</t>
  </si>
  <si>
    <t>135-81-74490</t>
  </si>
  <si>
    <t>(주)신화전공</t>
  </si>
  <si>
    <t>130-81-28180</t>
  </si>
  <si>
    <t>동문건설(주)</t>
  </si>
  <si>
    <t>413-81-02348</t>
  </si>
  <si>
    <t>주식회사 금강전력</t>
  </si>
  <si>
    <t>121-81-33883</t>
  </si>
  <si>
    <t>(주)광문전력</t>
  </si>
  <si>
    <t>313-81-02806</t>
  </si>
  <si>
    <t>대보건설(주)</t>
  </si>
  <si>
    <t>544-81-02884</t>
  </si>
  <si>
    <t>주식회사 금강일렉트릭</t>
  </si>
  <si>
    <t>114-81-35087</t>
  </si>
  <si>
    <t>장한전산(주)</t>
  </si>
  <si>
    <t>315-81-31573</t>
  </si>
  <si>
    <t>서광전기통신공사(주)</t>
  </si>
  <si>
    <t>139-81-09249</t>
  </si>
  <si>
    <t>(주)상우전기</t>
  </si>
  <si>
    <t>121-81-99338</t>
  </si>
  <si>
    <t>주식회사 써모테크</t>
  </si>
  <si>
    <t>417-81-11835</t>
  </si>
  <si>
    <t>주식회사 하이테크엔지니어링</t>
  </si>
  <si>
    <t>126-81-80867</t>
  </si>
  <si>
    <t>하모니씨앤씨 주식회사</t>
  </si>
  <si>
    <t>314-81-85080</t>
  </si>
  <si>
    <t>기룡이엔씨 주식회사</t>
  </si>
  <si>
    <t>527-88-01268</t>
  </si>
  <si>
    <t>주식회사 팜솔라</t>
  </si>
  <si>
    <t>409-81-08436</t>
  </si>
  <si>
    <t>中興建設 주식회사</t>
  </si>
  <si>
    <t>323-88-01633</t>
  </si>
  <si>
    <t>동부엔텍 주식회사</t>
  </si>
  <si>
    <t>107-81-43707</t>
  </si>
  <si>
    <t>(주)신창전기</t>
  </si>
  <si>
    <t>106-81-36902</t>
  </si>
  <si>
    <t>대일전기산업(주)</t>
  </si>
  <si>
    <t>142-81-20712</t>
  </si>
  <si>
    <t>동인이엔씨 주식회사</t>
  </si>
  <si>
    <t>415-81-50768</t>
  </si>
  <si>
    <t>주식회사 엠케이이앤씨</t>
  </si>
  <si>
    <t>603-81-13579</t>
  </si>
  <si>
    <t>대명전력(주)</t>
  </si>
  <si>
    <t>112-81-26393</t>
  </si>
  <si>
    <t>주식회사 승도이엔씨</t>
  </si>
  <si>
    <t>515-81-43325</t>
  </si>
  <si>
    <t>주식회사 에타솔라</t>
  </si>
  <si>
    <t>138-81-00487</t>
  </si>
  <si>
    <t>합자회사동화</t>
  </si>
  <si>
    <t>201-81-13956</t>
  </si>
  <si>
    <t>주식회사 제이비씨</t>
  </si>
  <si>
    <t>214-81-95522</t>
  </si>
  <si>
    <t>(주)원프랜트</t>
  </si>
  <si>
    <t>314-86-20947</t>
  </si>
  <si>
    <t>주식회사 태영전기</t>
  </si>
  <si>
    <t>121-81-83971</t>
  </si>
  <si>
    <t>성우이앤엠(주)</t>
  </si>
  <si>
    <t>306-81-16281</t>
  </si>
  <si>
    <t>주식회사 서하</t>
  </si>
  <si>
    <t>603-81-80044</t>
  </si>
  <si>
    <t>유원이엔씨 주식회사</t>
  </si>
  <si>
    <t>122-86-23516</t>
  </si>
  <si>
    <t>주식회사 동진전력</t>
  </si>
  <si>
    <t>127-81-41891</t>
  </si>
  <si>
    <t>삼아산업 주식회사</t>
  </si>
  <si>
    <t>213-87-02304</t>
  </si>
  <si>
    <t>혜윰이엔씨 주식회사</t>
  </si>
  <si>
    <t>416-81-13368</t>
  </si>
  <si>
    <t>중흥토건 주식회사</t>
  </si>
  <si>
    <t>610-81-42387</t>
  </si>
  <si>
    <t>영진 주식회사</t>
  </si>
  <si>
    <t>120-81-06796</t>
  </si>
  <si>
    <t>(주)금화피에스시</t>
  </si>
  <si>
    <t>138-81-13508</t>
  </si>
  <si>
    <t>(주)이엔티파워</t>
  </si>
  <si>
    <t>303-81-12710</t>
  </si>
  <si>
    <t>주식회사 홍우</t>
  </si>
  <si>
    <t>314-86-60949</t>
  </si>
  <si>
    <t>아이비전기 주식회사</t>
  </si>
  <si>
    <t>414-81-03132</t>
  </si>
  <si>
    <t>효진 주식회사</t>
  </si>
  <si>
    <t>643-88-02249</t>
  </si>
  <si>
    <t>주식회사 신산전력</t>
  </si>
  <si>
    <t>502-81-14862</t>
  </si>
  <si>
    <t>부강전설(주)</t>
  </si>
  <si>
    <t>314-86-00825</t>
  </si>
  <si>
    <t>주식회사 탑선</t>
  </si>
  <si>
    <t>502-81-19116</t>
  </si>
  <si>
    <t>주식회사 대전사</t>
  </si>
  <si>
    <t>119-81-07631</t>
  </si>
  <si>
    <t>승아전기(주)</t>
  </si>
  <si>
    <t>314-81-03152</t>
  </si>
  <si>
    <t>(주)동승전기</t>
  </si>
  <si>
    <t>615-81-30775</t>
  </si>
  <si>
    <t>주식회사 동명전력</t>
  </si>
  <si>
    <t>137-81-69896</t>
  </si>
  <si>
    <t>대일전기 주식회사</t>
  </si>
  <si>
    <t>409-81-18123</t>
  </si>
  <si>
    <t>대호전기 주식회사</t>
  </si>
  <si>
    <t>605-81-87475</t>
  </si>
  <si>
    <t>주식회사 반도건설</t>
  </si>
  <si>
    <t>305-81-12642</t>
  </si>
  <si>
    <t>합자회사 보광전기</t>
  </si>
  <si>
    <t>413-81-00471</t>
  </si>
  <si>
    <t>성신이엔씨 주식회사</t>
  </si>
  <si>
    <t>218-81-02928</t>
  </si>
  <si>
    <t>한광전기공업 주식회사</t>
  </si>
  <si>
    <t>417-81-19462</t>
  </si>
  <si>
    <t>(주)아진전력</t>
  </si>
  <si>
    <t>209-81-34159</t>
  </si>
  <si>
    <t>주식회사 피스코이엔씨</t>
  </si>
  <si>
    <t>124-86-09636</t>
  </si>
  <si>
    <t>제일건설 주식회사</t>
  </si>
  <si>
    <t>415-81-52392</t>
  </si>
  <si>
    <t>주식회사 송천</t>
  </si>
  <si>
    <t>501-81-18069</t>
  </si>
  <si>
    <t>정원전설 주식회사</t>
  </si>
  <si>
    <t>610-81-26714</t>
  </si>
  <si>
    <t>금호전업(주)</t>
  </si>
  <si>
    <t>113-81-63993</t>
  </si>
  <si>
    <t>한성중공업(주)</t>
  </si>
  <si>
    <t>605-81-32247</t>
  </si>
  <si>
    <t>반도산전(주)</t>
  </si>
  <si>
    <t>410-81-44714</t>
  </si>
  <si>
    <t>(주)성원이앤지</t>
  </si>
  <si>
    <t>502-86-16623</t>
  </si>
  <si>
    <t>주식회사 한남전기통신공사</t>
  </si>
  <si>
    <t>129-81-29118</t>
  </si>
  <si>
    <t>한국플랜트서비스 주식회사</t>
  </si>
  <si>
    <t>610-81-43896</t>
  </si>
  <si>
    <t>주식회사 나우</t>
  </si>
  <si>
    <t>417-81-10011</t>
  </si>
  <si>
    <t>(주)현대계전</t>
  </si>
  <si>
    <t>563-81-00567</t>
  </si>
  <si>
    <t>주식회사 한국그린전력</t>
  </si>
  <si>
    <t>126-81-88777</t>
  </si>
  <si>
    <t>(주)경기기술공사</t>
  </si>
  <si>
    <t>617-81-03385</t>
  </si>
  <si>
    <t>종로전기 주식회사</t>
  </si>
  <si>
    <t>310-81-13681</t>
  </si>
  <si>
    <t>에이엠테크주식회사</t>
  </si>
  <si>
    <t>220-81-19330</t>
  </si>
  <si>
    <t>(주)서희건설</t>
  </si>
  <si>
    <t>508-81-10035</t>
  </si>
  <si>
    <t>(주) 한얼누리</t>
  </si>
  <si>
    <t>105-86-40413</t>
  </si>
  <si>
    <t>(주)지앤에스이엔지</t>
  </si>
  <si>
    <t>501-81-17997</t>
  </si>
  <si>
    <t>주식회사 유신전력</t>
  </si>
  <si>
    <t>506-81-92119</t>
  </si>
  <si>
    <t>한국북부발전(주)</t>
  </si>
  <si>
    <t>128-81-73455</t>
  </si>
  <si>
    <t>대방산업개발주식회사</t>
  </si>
  <si>
    <t>124-81-37985</t>
  </si>
  <si>
    <t>현우전기(주)</t>
  </si>
  <si>
    <t>514-81-36189</t>
  </si>
  <si>
    <t>(주)유명이앤씨</t>
  </si>
  <si>
    <t>125-81-28742</t>
  </si>
  <si>
    <t>주식회사 중앙엔지니어링</t>
  </si>
  <si>
    <t>209-81-10477</t>
  </si>
  <si>
    <t>대방건설(주)</t>
  </si>
  <si>
    <t>410-81-32391</t>
  </si>
  <si>
    <t>주식회사 한백</t>
  </si>
  <si>
    <t>610-81-89801</t>
  </si>
  <si>
    <t>주식회사민성</t>
  </si>
  <si>
    <t>504-81-18296</t>
  </si>
  <si>
    <t>映進綜合建設 株式會社</t>
  </si>
  <si>
    <t>410-81-05201</t>
  </si>
  <si>
    <t>주식회사 유림</t>
  </si>
  <si>
    <t>506-81-17920</t>
  </si>
  <si>
    <t>경일엔지니어링주식회사</t>
  </si>
  <si>
    <t>138-81-47634</t>
  </si>
  <si>
    <t>엘에스전선 주식회사</t>
  </si>
  <si>
    <t>608-81-04401</t>
  </si>
  <si>
    <t>주식회사 대아건설</t>
  </si>
  <si>
    <t>131-81-04615</t>
  </si>
  <si>
    <t>(주)대화</t>
  </si>
  <si>
    <t>122-81-79903</t>
  </si>
  <si>
    <t>주식회사신화전기</t>
  </si>
  <si>
    <t>120-81-59987</t>
  </si>
  <si>
    <t>주식회사 오르비스</t>
  </si>
  <si>
    <t>120-87-64366</t>
  </si>
  <si>
    <t>한국발전기술주식회사</t>
  </si>
  <si>
    <t>120-81-11644</t>
  </si>
  <si>
    <t>주식회사 광신전설</t>
  </si>
  <si>
    <t>417-81-31622</t>
  </si>
  <si>
    <t>(주)대아전력</t>
  </si>
  <si>
    <t>199-86-03499</t>
  </si>
  <si>
    <t>주식회사 신우전설</t>
  </si>
  <si>
    <t>312-86-00931</t>
  </si>
  <si>
    <t>주식회사 성화이엔씨</t>
  </si>
  <si>
    <t>101-86-04036</t>
  </si>
  <si>
    <t>(주)강남전기</t>
  </si>
  <si>
    <t>505-81-26071</t>
  </si>
  <si>
    <t>주식회사 대산이엔씨</t>
  </si>
  <si>
    <t>111-81-15516</t>
  </si>
  <si>
    <t>(주)청한이티엔</t>
  </si>
  <si>
    <t>139-81-03487</t>
  </si>
  <si>
    <t>주식회사 오성전기</t>
  </si>
  <si>
    <t>110-81-55460</t>
  </si>
  <si>
    <t>주식회사 자유전설</t>
  </si>
  <si>
    <t>117-81-20962</t>
  </si>
  <si>
    <t>에스엠파워텍 주식회사</t>
  </si>
  <si>
    <t>201-81-47460</t>
  </si>
  <si>
    <t>태성전기통신(주)</t>
  </si>
  <si>
    <t>209-81-25664</t>
  </si>
  <si>
    <t>(주)부신전력</t>
  </si>
  <si>
    <t>213-86-26653</t>
  </si>
  <si>
    <t>영일전설주식회사</t>
  </si>
  <si>
    <t>105-81-69109</t>
  </si>
  <si>
    <t>대조전설 주식회사</t>
  </si>
  <si>
    <t>615-81-22391</t>
  </si>
  <si>
    <t>주식회사 우진이앤씨</t>
  </si>
  <si>
    <t>344-87-00497</t>
  </si>
  <si>
    <t>주식회사 이앤엠테크</t>
  </si>
  <si>
    <t>409-86-10941</t>
  </si>
  <si>
    <t>주식회사 그랜드썬기술단</t>
  </si>
  <si>
    <t>107-81-93207</t>
  </si>
  <si>
    <t>주식회사 주광전기</t>
  </si>
  <si>
    <t>506-81-09060</t>
  </si>
  <si>
    <t>합자회사미광계전</t>
  </si>
  <si>
    <t>301-81-80847</t>
  </si>
  <si>
    <t>(주)디엔아이코퍼레이션</t>
  </si>
  <si>
    <t>215-81-38510</t>
  </si>
  <si>
    <t>신신이앤씨주식회사</t>
  </si>
  <si>
    <t>214-81-04884</t>
  </si>
  <si>
    <t>두원이에프씨 주식회사</t>
  </si>
  <si>
    <t>111-81-24994</t>
  </si>
  <si>
    <t>오리엔트주식회사</t>
  </si>
  <si>
    <t>214-87-98652</t>
  </si>
  <si>
    <t>주식회사 성암전력</t>
  </si>
  <si>
    <t>110-81-30979</t>
  </si>
  <si>
    <t>(주)대림</t>
  </si>
  <si>
    <t>128-86-12206</t>
  </si>
  <si>
    <t>청명전기주식회사</t>
  </si>
  <si>
    <t>129-81-63120</t>
  </si>
  <si>
    <t>옵티멀에너지서비스 주식회사</t>
  </si>
  <si>
    <t>120-81-05711</t>
  </si>
  <si>
    <t>주식회사 삼진일렉스</t>
  </si>
  <si>
    <t>311-81-40518</t>
  </si>
  <si>
    <t>두원이엔지 주식회사</t>
  </si>
  <si>
    <t>620-81-06559</t>
  </si>
  <si>
    <t>(주)성전사</t>
  </si>
  <si>
    <t>410-86-11144</t>
  </si>
  <si>
    <t>(주)태호이앤씨</t>
  </si>
  <si>
    <t>121-81-90074</t>
  </si>
  <si>
    <t>주식회사 썬파워텍</t>
  </si>
  <si>
    <t>613-81-43269</t>
  </si>
  <si>
    <t>주식회사 광명에너지</t>
  </si>
  <si>
    <t>109-86-23468</t>
  </si>
  <si>
    <t>주식회사 영신이앤씨</t>
  </si>
  <si>
    <t>130-81-42372</t>
  </si>
  <si>
    <t>주식회사 일진파워</t>
  </si>
  <si>
    <t>126-81-45759</t>
  </si>
  <si>
    <t>(주)창원기전</t>
  </si>
  <si>
    <t>417-81-05901</t>
  </si>
  <si>
    <t>(주)삼흥전력</t>
  </si>
  <si>
    <t>220-81-04841</t>
  </si>
  <si>
    <t>동성계전 (주)</t>
  </si>
  <si>
    <t>403-81-05839</t>
  </si>
  <si>
    <t>주식회사 세움테크윈</t>
  </si>
  <si>
    <t>121-81-79782</t>
  </si>
  <si>
    <t>서봉기업 주식회사</t>
  </si>
  <si>
    <t>214-81-22183</t>
  </si>
  <si>
    <t>(주)하나전기</t>
  </si>
  <si>
    <t>229-81-19166</t>
  </si>
  <si>
    <t>(주)삼영기업</t>
  </si>
  <si>
    <t>105-81-06123</t>
  </si>
  <si>
    <t>주식회사 나우스넷</t>
  </si>
  <si>
    <t>202-81-36758</t>
  </si>
  <si>
    <t>주식회사 남양계전</t>
  </si>
  <si>
    <t>608-81-31854</t>
  </si>
  <si>
    <t>135-81-40632</t>
  </si>
  <si>
    <t>(주)우진일렉트</t>
  </si>
  <si>
    <t>135-81-97775</t>
  </si>
  <si>
    <t>(주)청우디엔시</t>
  </si>
  <si>
    <t>110-81-75767</t>
  </si>
  <si>
    <t>(주)에스에이치전기</t>
  </si>
  <si>
    <t>409-81-32649</t>
  </si>
  <si>
    <t>주식회사 용산전력</t>
  </si>
  <si>
    <t>502-81-60518</t>
  </si>
  <si>
    <t>주식회사 씨에스텍</t>
  </si>
  <si>
    <t>132-81-79967</t>
  </si>
  <si>
    <t>지음이엔아이 주식회사</t>
  </si>
  <si>
    <t>104-81-42465</t>
  </si>
  <si>
    <t>엘에스빌드윈 주식회사</t>
  </si>
  <si>
    <t>303-81-12646</t>
  </si>
  <si>
    <t>금강전기산업(주)</t>
  </si>
  <si>
    <t>220-81-40342</t>
  </si>
  <si>
    <t>조영일렉컴 주식회사</t>
  </si>
  <si>
    <t>511-81-22992</t>
  </si>
  <si>
    <t>주식회사 에스비일렉트릭</t>
  </si>
  <si>
    <t>301-81-44050</t>
  </si>
  <si>
    <t>우신전설(주)</t>
  </si>
  <si>
    <t>477-81-00873</t>
  </si>
  <si>
    <t>주식회사 화신이엔지</t>
  </si>
  <si>
    <t>123-81-28751</t>
  </si>
  <si>
    <t>세종텔레콤 주식회사</t>
  </si>
  <si>
    <t>135-81-02055</t>
  </si>
  <si>
    <t>(주)단성</t>
  </si>
  <si>
    <t>610-81-17966</t>
  </si>
  <si>
    <t>금양그린파워 주식회사</t>
  </si>
  <si>
    <t>Y</t>
  </si>
  <si>
    <t>497-81-02216</t>
  </si>
  <si>
    <t>주식회사 명진</t>
  </si>
  <si>
    <t>508-81-01201</t>
  </si>
  <si>
    <t>(주)삼영전업사</t>
  </si>
  <si>
    <t>608-81-76415</t>
  </si>
  <si>
    <t>삼광전기 주식회사</t>
  </si>
  <si>
    <t>240-88-01852</t>
  </si>
  <si>
    <t>주식회사 수현</t>
  </si>
  <si>
    <t>811-86-00480</t>
  </si>
  <si>
    <t>주식회사 평호전력</t>
  </si>
  <si>
    <t>410-81-19063</t>
  </si>
  <si>
    <t>유한회사 우전</t>
  </si>
  <si>
    <t>215-86-23647</t>
  </si>
  <si>
    <t>주식회사 시공이엔씨</t>
  </si>
  <si>
    <t>125-81-14063</t>
  </si>
  <si>
    <t>주식회사 금강뉴이앤씨</t>
  </si>
  <si>
    <t>207-81-36393</t>
  </si>
  <si>
    <t>삼언전공 주식회사</t>
  </si>
  <si>
    <t>407-87-00819</t>
  </si>
  <si>
    <t>주식회사 지음쏠라테크</t>
  </si>
  <si>
    <t>616-81-00783</t>
  </si>
  <si>
    <t>청암기업 주식회사</t>
  </si>
  <si>
    <t>310-81-20843</t>
  </si>
  <si>
    <t>세이콘 주식회사</t>
  </si>
  <si>
    <t>116-81-37494</t>
  </si>
  <si>
    <t>대아티아이 주식회사</t>
  </si>
  <si>
    <t>214-87-05513</t>
  </si>
  <si>
    <t>주식회사 케이이에스 전기공사</t>
  </si>
  <si>
    <t>135-81-61582</t>
  </si>
  <si>
    <t>주식회사 메가이엔지</t>
  </si>
  <si>
    <t>408-81-54131</t>
  </si>
  <si>
    <t>탑솔라 주식회사</t>
  </si>
  <si>
    <t>120-81-37120</t>
  </si>
  <si>
    <t>(주)지티일렉콘</t>
  </si>
  <si>
    <t>138-81-23971</t>
  </si>
  <si>
    <t>해오름건설주식회사</t>
  </si>
  <si>
    <t>118-81-21173</t>
  </si>
  <si>
    <t>(주)부현전기</t>
  </si>
  <si>
    <t>317-81-21241</t>
  </si>
  <si>
    <t>(주)동일</t>
  </si>
  <si>
    <t>212-81-31876</t>
  </si>
  <si>
    <t>뉴성진파워 주식회사</t>
  </si>
  <si>
    <t>120-81-17027</t>
  </si>
  <si>
    <t>세안이엔씨 주식회사</t>
  </si>
  <si>
    <t>128-81-72024</t>
  </si>
  <si>
    <t>도원이엔아이(주)</t>
  </si>
  <si>
    <t>607-81-40082</t>
  </si>
  <si>
    <t>(주)하나전설</t>
  </si>
  <si>
    <t>106-86-03240</t>
  </si>
  <si>
    <t>태경이엘피 주식회사</t>
  </si>
  <si>
    <t>137-86-25985</t>
  </si>
  <si>
    <t>주식회사 가가전력</t>
  </si>
  <si>
    <t>616-81-79621</t>
  </si>
  <si>
    <t>한국에너지종합기술 주식회사</t>
  </si>
  <si>
    <t>137-81-49658</t>
  </si>
  <si>
    <t>지승건설(주)</t>
  </si>
  <si>
    <t>139-81-03527</t>
  </si>
  <si>
    <t>화성전기건설(주)</t>
  </si>
  <si>
    <t>412-81-23898</t>
  </si>
  <si>
    <t>(주)세진엔지니어링</t>
  </si>
  <si>
    <t>207-81-29117</t>
  </si>
  <si>
    <t>경우전기(주)</t>
  </si>
  <si>
    <t>503-81-22841</t>
  </si>
  <si>
    <t>풍국전기 주식회사</t>
  </si>
  <si>
    <t>215-81-40525</t>
  </si>
  <si>
    <t>(주)신세계전기</t>
  </si>
  <si>
    <t>409-81-07742</t>
  </si>
  <si>
    <t>주식회사 삼원전력</t>
  </si>
  <si>
    <t>204-81-24559</t>
  </si>
  <si>
    <t>(주)대용와트스</t>
  </si>
  <si>
    <t>215-87-53003</t>
  </si>
  <si>
    <t>주식회사 이예스피</t>
  </si>
  <si>
    <t>113-81-07384</t>
  </si>
  <si>
    <t>지에스네오텍 주식회사</t>
  </si>
  <si>
    <t>219-81-28106</t>
  </si>
  <si>
    <t>우선이엔씨(주)</t>
  </si>
  <si>
    <t>142-81-28387</t>
  </si>
  <si>
    <t>주식회사 온세이엔씨</t>
  </si>
  <si>
    <t>119-81-16692</t>
  </si>
  <si>
    <t>주식회사 서우건설산업</t>
  </si>
  <si>
    <t>430-86-02862</t>
  </si>
  <si>
    <t>주식회사 대은기전</t>
  </si>
  <si>
    <t>213-86-27477</t>
  </si>
  <si>
    <t>영인에너지솔루션(주)</t>
  </si>
  <si>
    <t>107-86-00246</t>
  </si>
  <si>
    <t>주식회사 솔라플레이</t>
  </si>
  <si>
    <t>522-86-01013</t>
  </si>
  <si>
    <t>동영기업 주식회사</t>
  </si>
  <si>
    <t>134-81-83055</t>
  </si>
  <si>
    <t>금오이엔씨 주식회사</t>
  </si>
  <si>
    <t>129-81-70451</t>
  </si>
  <si>
    <t>주식회사 정안디엔씨</t>
  </si>
  <si>
    <t>214-87-07544</t>
  </si>
  <si>
    <t>일메테크(주)</t>
  </si>
  <si>
    <t>214-88-43964</t>
  </si>
  <si>
    <t>동은엔지니어링 주식회사</t>
  </si>
  <si>
    <t>609-81-32647</t>
  </si>
  <si>
    <t>(주)세창전기</t>
  </si>
  <si>
    <t>124-81-52176</t>
  </si>
  <si>
    <t>주식회사 계명</t>
  </si>
  <si>
    <t>105-81-29640</t>
  </si>
  <si>
    <t>일성건설(주)</t>
  </si>
  <si>
    <t>123-81-40959</t>
  </si>
  <si>
    <t>경인엔지니어링(주)</t>
  </si>
  <si>
    <t>501-81-14821</t>
  </si>
  <si>
    <t>주식회사 광덕전력</t>
  </si>
  <si>
    <t>138-81-26833</t>
  </si>
  <si>
    <t>주식회사 컴피아</t>
  </si>
  <si>
    <t>205-81-26341</t>
  </si>
  <si>
    <t>종합전기 주식회사</t>
  </si>
  <si>
    <t>616-86-28210</t>
  </si>
  <si>
    <t>주식회사 한주</t>
  </si>
  <si>
    <t>137-86-18335</t>
  </si>
  <si>
    <t>동서이엔씨 주식회사</t>
  </si>
  <si>
    <t>144-81-08903</t>
  </si>
  <si>
    <t>주식회사 우광이엔씨</t>
  </si>
  <si>
    <t>214-81-08274</t>
  </si>
  <si>
    <t>강우기업(주)</t>
  </si>
  <si>
    <t>410-86-27175</t>
  </si>
  <si>
    <t>주식회사 라인이엔지</t>
  </si>
  <si>
    <t>113-86-34061</t>
  </si>
  <si>
    <t>엔케이전기 주식회사</t>
  </si>
  <si>
    <t>122-81-81660</t>
  </si>
  <si>
    <t>(주)동일전력</t>
  </si>
  <si>
    <t>110-81-14611</t>
  </si>
  <si>
    <t>주식회사 비에스한양</t>
  </si>
  <si>
    <t>619-81-00744</t>
  </si>
  <si>
    <t>삼원전기건설 주식회사</t>
  </si>
  <si>
    <t>633-88-00846</t>
  </si>
  <si>
    <t>원흥이엔씨 주식회사</t>
  </si>
  <si>
    <t>127-86-32612</t>
  </si>
  <si>
    <t>(주)왕산전기</t>
  </si>
  <si>
    <t>134-86-17846</t>
  </si>
  <si>
    <t>주식회사보일</t>
  </si>
  <si>
    <t>409-81-09207</t>
  </si>
  <si>
    <t>합자회사 자유이엔씨</t>
  </si>
  <si>
    <t>129-81-19624</t>
  </si>
  <si>
    <t>우일계전공업 주식회사</t>
  </si>
  <si>
    <t>132-81-48275</t>
  </si>
  <si>
    <t>재영전기 주식회사</t>
  </si>
  <si>
    <t>408-81-25446</t>
  </si>
  <si>
    <t>다스코 주식회사</t>
  </si>
  <si>
    <t>124-87-25569</t>
  </si>
  <si>
    <t>(주)지호</t>
  </si>
  <si>
    <t>417-81-13565</t>
  </si>
  <si>
    <t>(주)태화산업</t>
  </si>
  <si>
    <t>513-81-11512</t>
  </si>
  <si>
    <t>주식회사 서울전설</t>
  </si>
  <si>
    <t>114-81-37654</t>
  </si>
  <si>
    <t>(주)미동이엔씨</t>
  </si>
  <si>
    <t>107-86-93987</t>
  </si>
  <si>
    <t>(주)피앤케이파워시스</t>
  </si>
  <si>
    <t>508-81-26648</t>
  </si>
  <si>
    <t>주식회사 보명전설</t>
  </si>
  <si>
    <t>803-86-00460</t>
  </si>
  <si>
    <t>주식회사 파르이앤씨</t>
  </si>
  <si>
    <t>211-81-66538</t>
  </si>
  <si>
    <t>일진종합전설 주식회사</t>
  </si>
  <si>
    <t>210-81-56599</t>
  </si>
  <si>
    <t>미래이앤시 주식회사</t>
  </si>
  <si>
    <t>502-81-52473</t>
  </si>
  <si>
    <t>주식회사 대유기전공사</t>
  </si>
  <si>
    <t>603-81-13185</t>
  </si>
  <si>
    <t>남광전기(주)</t>
  </si>
  <si>
    <t>410-81-74561</t>
  </si>
  <si>
    <t>주식회사 대광건영</t>
  </si>
  <si>
    <t>417-81-12310</t>
  </si>
  <si>
    <t>한일기전(주)</t>
  </si>
  <si>
    <t>220-81-06252</t>
  </si>
  <si>
    <t>주식회사 중선아이티씨</t>
  </si>
  <si>
    <t>215-81-52619</t>
  </si>
  <si>
    <t>한국전기안전써비스(주)</t>
  </si>
  <si>
    <t>207-81-31175</t>
  </si>
  <si>
    <t>(주)경우이앤씨</t>
  </si>
  <si>
    <t>116-81-19273</t>
  </si>
  <si>
    <t>엘에스일렉트릭 주식회사</t>
  </si>
  <si>
    <t>107-81-63023</t>
  </si>
  <si>
    <t>영전엔지니어링 주식회사</t>
  </si>
  <si>
    <t>119-81-18405</t>
  </si>
  <si>
    <t>우광기전(주)</t>
  </si>
  <si>
    <t>114-81-04605</t>
  </si>
  <si>
    <t>한신공영(주)</t>
  </si>
  <si>
    <t>408-81-59927</t>
  </si>
  <si>
    <t>(주)신호엔지니어링</t>
  </si>
  <si>
    <t>127-81-22443</t>
  </si>
  <si>
    <t>주식회사 정우이엔씨</t>
  </si>
  <si>
    <t>131-86-09819</t>
  </si>
  <si>
    <t>주식회사 부영에너텍</t>
  </si>
  <si>
    <t>124-81-50692</t>
  </si>
  <si>
    <t>주식회사 탑엔지니어링</t>
  </si>
  <si>
    <t>113-86-11108</t>
  </si>
  <si>
    <t>(주)도원디에스</t>
  </si>
  <si>
    <t>483-88-00125</t>
  </si>
  <si>
    <t>윤일이앤씨(주)</t>
  </si>
  <si>
    <t>121-81-50335</t>
  </si>
  <si>
    <t>유진전설(주)</t>
  </si>
  <si>
    <t>793-87-00520</t>
  </si>
  <si>
    <t>주식회사 솔라테크</t>
  </si>
  <si>
    <t>132-81-42679</t>
  </si>
  <si>
    <t>케이에프이 주식회사</t>
  </si>
  <si>
    <t>201-81-45685</t>
  </si>
  <si>
    <t>동부건설 주식회사</t>
  </si>
  <si>
    <t>312-86-36443</t>
  </si>
  <si>
    <t>건우이앤지(주)</t>
  </si>
  <si>
    <t>102-81-34561</t>
  </si>
  <si>
    <t>디엘건설 주식회사</t>
  </si>
  <si>
    <t>503-81-30851</t>
  </si>
  <si>
    <t>오무전력 합자회사</t>
  </si>
  <si>
    <t>513-81-24583</t>
  </si>
  <si>
    <t>한보전설주식회사</t>
  </si>
  <si>
    <t>502-81-16195</t>
  </si>
  <si>
    <t>(주)서한</t>
  </si>
  <si>
    <t>306-81-14852</t>
  </si>
  <si>
    <t>株式會社 錦城白鳥住宅</t>
  </si>
  <si>
    <t>314-81-95477</t>
  </si>
  <si>
    <t>대원일렉트릭 주식회사</t>
  </si>
  <si>
    <t>305-88-00470</t>
  </si>
  <si>
    <t>주식회사 피엘엠</t>
  </si>
  <si>
    <t>104-81-58180</t>
  </si>
  <si>
    <t>주식회사 대우건설</t>
  </si>
  <si>
    <t>301-81-63590</t>
  </si>
  <si>
    <t>태웅이엔에스 주식회사</t>
  </si>
  <si>
    <t>409-86-11519</t>
  </si>
  <si>
    <t>(주)디원</t>
  </si>
  <si>
    <t>607-81-79758</t>
  </si>
  <si>
    <t>주식회사 대덕전력</t>
  </si>
  <si>
    <t>111-81-28082</t>
  </si>
  <si>
    <t>(주)디투엔지니어링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</si>
</sst>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##-##-#####"/>
    <numFmt numFmtId="165" formatCode="#,##0_ "/>
    <numFmt numFmtId="166" formatCode="#,##0_);[Red](#,##0)"/>
    <numFmt numFmtId="167" formatCode="0.0000%"/>
    <numFmt numFmtId="168" formatCode="#,##0.00000_);[Red](#,##0.00000)"/>
    <numFmt numFmtId="169" formatCode="#,##0.00000_ ;[Red]-#,##0.00000 "/>
    <numFmt numFmtId="170" formatCode="0.00000_ ;[Red]-0.00000 "/>
    <numFmt numFmtId="171" formatCode="#,##0_ ;[Red]-#,##0 "/>
  </numFmts>
  <fonts count="12" x14ac:knownFonts="1">
    <font>
      <color theme="1"/>
      <family val="2"/>
      <scheme val="minor"/>
      <sz val="11"/>
      <name val="Calibri"/>
    </font>
    <font>
      <charset val="129"/>
      <color theme="1"/>
      <family val="3"/>
      <sz val="11"/>
      <name val="맑은 고딕"/>
    </font>
    <font>
      <charset val="129"/>
      <color theme="1"/>
      <family val="3"/>
      <sz val="10"/>
      <name val="맑은 고딕"/>
    </font>
    <font>
      <b/>
      <charset val="129"/>
      <color theme="1"/>
      <family val="3"/>
      <scheme val="minor"/>
      <sz val="20"/>
      <name val="맑은 고딕"/>
    </font>
    <font>
      <b/>
      <charset val="129"/>
      <color theme="1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z val="11"/>
      <name val="맑은 고딕"/>
    </font>
    <font>
      <b/>
      <charset val="129"/>
      <color theme="1"/>
      <family val="3"/>
      <sz val="10"/>
      <name val="맑은 고딕"/>
    </font>
    <font>
      <color rgb="FF333333"/>
      <family val="2"/>
      <sz val="10"/>
      <name val="Verdana"/>
    </font>
    <font>
      <charset val="129"/>
      <color theme="0"/>
      <family val="3"/>
      <sz val="11"/>
      <name val="맑은 고딕"/>
    </font>
    <font>
      <charset val="129"/>
      <color theme="1"/>
      <family val="3"/>
      <sz val="12"/>
      <name val="맑은 고딕"/>
    </font>
    <font>
      <b/>
      <charset val="129"/>
      <color theme="1"/>
      <family val="3"/>
      <sz val="12"/>
      <name val="맑은 고딕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6" fontId="1" fillId="3" borderId="9" xfId="0" applyNumberFormat="1" applyFont="1" applyFill="1" applyBorder="1" applyAlignment="1">
      <alignment horizontal="right" vertical="center"/>
    </xf>
    <xf numFmtId="166" fontId="2" fillId="3" borderId="11" xfId="0" applyNumberFormat="1" applyFont="1" applyFill="1" applyBorder="1" applyAlignment="1">
      <alignment horizontal="right" vertical="center"/>
    </xf>
    <xf numFmtId="167" fontId="1" fillId="0" borderId="12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9" fontId="6" fillId="2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8" fontId="1" fillId="0" borderId="9" xfId="0" applyNumberFormat="1" applyFont="1" applyBorder="1" applyAlignment="1">
      <alignment horizontal="right" vertical="center"/>
    </xf>
    <xf numFmtId="168" fontId="2" fillId="0" borderId="10" xfId="0" applyNumberFormat="1" applyFont="1" applyBorder="1" applyAlignment="1">
      <alignment horizontal="right" vertical="center"/>
    </xf>
    <xf numFmtId="169" fontId="1" fillId="0" borderId="12" xfId="0" applyNumberFormat="1" applyFont="1" applyBorder="1" applyAlignment="1">
      <alignment horizontal="right" vertical="center"/>
    </xf>
    <xf numFmtId="167" fontId="1" fillId="0" borderId="8" xfId="0" applyNumberFormat="1" applyFont="1" applyBorder="1" applyAlignment="1">
      <alignment horizontal="right" vertical="center"/>
    </xf>
    <xf numFmtId="166" fontId="1" fillId="0" borderId="9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70" fontId="1" fillId="0" borderId="8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166" fontId="1" fillId="0" borderId="14" xfId="0" applyNumberFormat="1" applyFont="1" applyBorder="1" applyAlignment="1">
      <alignment horizontal="right" vertical="center"/>
    </xf>
    <xf numFmtId="166" fontId="2" fillId="0" borderId="16" xfId="0" applyNumberFormat="1" applyFont="1" applyBorder="1" applyAlignment="1">
      <alignment horizontal="right" vertical="center"/>
    </xf>
    <xf numFmtId="166" fontId="1" fillId="0" borderId="15" xfId="0" applyNumberFormat="1" applyFont="1" applyBorder="1" applyAlignment="1">
      <alignment vertical="center"/>
    </xf>
    <xf numFmtId="166" fontId="1" fillId="0" borderId="18" xfId="0" applyNumberFormat="1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165" fontId="10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71" fontId="2" fillId="0" borderId="12" xfId="0" applyNumberFormat="1" applyFont="1" applyBorder="1" applyAlignment="1">
      <alignment vertical="center"/>
    </xf>
    <xf numFmtId="3" fontId="11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0"/>
  <sheetViews>
    <sheetView workbookViewId="0" showGridLines="0" zoomScale="100" zoomScaleNormal="100">
      <pane ySplit="13" topLeftCell="A1997" activePane="bottomLeft" state="frozen"/>
      <selection pane="bottomLeft" activeCell="B1513" sqref="B1513"/>
    </sheetView>
  </sheetViews>
  <sheetFormatPr defaultRowHeight="16.5" outlineLevelRow="0" outlineLevelCol="0" x14ac:dyDescent="0.3" customHeight="1"/>
  <cols>
    <col min="1" max="1" width="2.5" style="1" customWidth="1"/>
    <col min="2" max="2" width="9.375" style="2" customWidth="1"/>
    <col min="3" max="3" width="13" style="3" customWidth="1"/>
    <col min="4" max="4" width="25.625" style="2" customWidth="1"/>
    <col min="5" max="5" width="15.25" style="2" customWidth="1"/>
    <col min="6" max="9" width="8.25" style="2" customWidth="1"/>
    <col min="10" max="10" width="7.25" style="2" customWidth="1"/>
    <col min="11" max="11" width="12.25" style="2" customWidth="1"/>
    <col min="12" max="12" width="11.75" style="2" customWidth="1"/>
    <col min="13" max="13" width="13.125" style="2" customWidth="1"/>
    <col min="14" max="14" width="2.125" style="1" hidden="1" customWidth="1"/>
    <col min="15" max="15" width="1.88" style="1" customWidth="1"/>
    <col min="16" max="16" width="13" style="1" customWidth="1"/>
    <col min="17" max="16384" width="9" style="1" customWidth="1"/>
  </cols>
  <sheetData>
    <row r="1" ht="25.5" customHeight="1" spans="2:14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3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4" x14ac:dyDescent="0.25">
      <c r="B3" s="5" t="s">
        <v>1</v>
      </c>
      <c r="C3" s="6"/>
      <c r="D3" s="7"/>
      <c r="I3" s="6"/>
      <c r="K3" s="8" t="s">
        <v>2</v>
      </c>
      <c r="L3" s="7"/>
      <c r="M3" s="7"/>
      <c r="N3" s="7"/>
    </row>
    <row r="4" ht="17.25" customHeight="1" spans="2:13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9"/>
    </row>
    <row r="5" ht="17.25" customHeight="1" spans="2:13" x14ac:dyDescent="0.25">
      <c r="B5" s="10" t="s">
        <v>3</v>
      </c>
      <c r="C5" s="11" t="s">
        <v>4</v>
      </c>
      <c r="D5" s="12" t="s">
        <v>5</v>
      </c>
      <c r="E5" s="13" t="s">
        <v>6</v>
      </c>
      <c r="F5" s="14" t="s">
        <v>7</v>
      </c>
      <c r="G5" s="15"/>
      <c r="H5" s="15"/>
      <c r="I5" s="16"/>
      <c r="J5" s="13" t="s">
        <v>8</v>
      </c>
      <c r="K5" s="13"/>
      <c r="L5" s="13"/>
      <c r="M5" s="17"/>
    </row>
    <row r="6" ht="17.25" customHeight="1" spans="2:16" x14ac:dyDescent="0.25">
      <c r="B6" s="18" t="s">
        <v>9</v>
      </c>
      <c r="C6" s="19">
        <f>COUNT(E14:E1000)</f>
        <v>267</v>
      </c>
      <c r="D6" s="20" t="s">
        <v>10</v>
      </c>
      <c r="E6" s="21">
        <v>11166203000</v>
      </c>
      <c r="F6" s="22" t="s">
        <v>11</v>
      </c>
      <c r="G6" s="23"/>
      <c r="H6" s="23"/>
      <c r="I6" s="24"/>
      <c r="J6" s="25">
        <v>9192256377</v>
      </c>
      <c r="K6" s="26"/>
      <c r="L6" s="22" t="s">
        <v>12</v>
      </c>
      <c r="M6" s="27">
        <f>J6/$E$6</f>
        <v>0.8232213203539287</v>
      </c>
      <c r="P6" s="28"/>
    </row>
    <row r="7" ht="17.25" customHeight="1" spans="2:13" x14ac:dyDescent="0.25">
      <c r="B7" s="29">
        <v>0.2</v>
      </c>
      <c r="C7" s="30">
        <f>TRUNC($C$6*B7)</f>
        <v>53</v>
      </c>
      <c r="D7" s="20" t="s">
        <v>13</v>
      </c>
      <c r="E7" s="21">
        <v>11142734000</v>
      </c>
      <c r="F7" s="22" t="s">
        <v>14</v>
      </c>
      <c r="G7" s="23"/>
      <c r="H7" s="23"/>
      <c r="I7" s="24"/>
      <c r="J7" s="31">
        <f>$D$10*(100+$M$7)%*$C$10/(1-E10*C10)*100</f>
        <v>87.91958131578946</v>
      </c>
      <c r="K7" s="32"/>
      <c r="L7" s="22" t="s">
        <v>15</v>
      </c>
      <c r="M7" s="33">
        <v>1.24073</v>
      </c>
    </row>
    <row r="8" ht="17.25" customHeight="1" spans="2:13" x14ac:dyDescent="0.25">
      <c r="B8" s="29">
        <v>0.2</v>
      </c>
      <c r="C8" s="30">
        <f>C6-TRUNC(C6*B8)+1</f>
        <v>215</v>
      </c>
      <c r="D8" s="20" t="s">
        <v>16</v>
      </c>
      <c r="E8" s="34">
        <f>E7/E6-1</f>
        <v>-0.0021017887638259403</v>
      </c>
      <c r="F8" s="22" t="s">
        <v>17</v>
      </c>
      <c r="G8" s="23"/>
      <c r="H8" s="23"/>
      <c r="I8" s="24"/>
      <c r="J8" s="35">
        <f>ROUNDUP(J6 - SQRT((1 - POWER((C9 - 0.0005)/C9, 2))/E9) * (E7 - J6), 0)</f>
        <v>9174451071</v>
      </c>
      <c r="K8" s="36"/>
      <c r="L8" s="22" t="s">
        <v>12</v>
      </c>
      <c r="M8" s="27">
        <f t="shared" ref="M8:M9" si="0">J8/$E$6</f>
        <v>0.8216267491285981</v>
      </c>
    </row>
    <row r="9" ht="17.25" customHeight="1" spans="2:14" x14ac:dyDescent="0.25">
      <c r="B9" s="18" t="s">
        <v>18</v>
      </c>
      <c r="C9" s="19">
        <v>60</v>
      </c>
      <c r="D9" s="20" t="s">
        <v>19</v>
      </c>
      <c r="E9" s="37">
        <v>0.2</v>
      </c>
      <c r="F9" s="22" t="s">
        <v>20</v>
      </c>
      <c r="G9" s="23"/>
      <c r="H9" s="23"/>
      <c r="I9" s="24"/>
      <c r="J9" s="35">
        <f>ROUNDDOWN(J6 + SQRT((1 - POWER((C9 - 0.0005)/C9, 2))/E9) * (E7 - J6), 0)</f>
        <v>9210061683</v>
      </c>
      <c r="K9" s="36"/>
      <c r="L9" s="22" t="s">
        <v>12</v>
      </c>
      <c r="M9" s="27">
        <f t="shared" si="0"/>
        <v>0.8248158915792593</v>
      </c>
      <c r="N9" s="38">
        <v>0.2</v>
      </c>
    </row>
    <row r="10" ht="17.25" customHeight="1" spans="2:13" x14ac:dyDescent="0.25">
      <c r="B10" s="39" t="s">
        <v>21</v>
      </c>
      <c r="C10" s="40">
        <v>0.88</v>
      </c>
      <c r="D10" s="41">
        <v>0.9</v>
      </c>
      <c r="E10" s="42">
        <f>1-D10</f>
        <v>0.09999999999999998</v>
      </c>
      <c r="F10" s="43" t="s">
        <v>22</v>
      </c>
      <c r="G10" s="44"/>
      <c r="H10" s="44"/>
      <c r="I10" s="45"/>
      <c r="J10" s="46">
        <v>9095163121</v>
      </c>
      <c r="K10" s="47"/>
      <c r="L10" s="48"/>
      <c r="M10" s="49"/>
    </row>
    <row r="11" ht="6.75" customHeight="1" spans="3:3" x14ac:dyDescent="0.25">
      <c r="C11" s="2"/>
    </row>
    <row r="12" ht="3.75" customHeight="1" spans="3:3" x14ac:dyDescent="0.25">
      <c r="C12" s="2"/>
    </row>
    <row r="13" ht="27" customHeight="1" spans="2:13" x14ac:dyDescent="0.25">
      <c r="B13" s="10" t="s">
        <v>23</v>
      </c>
      <c r="C13" s="12" t="s">
        <v>24</v>
      </c>
      <c r="D13" s="12" t="s">
        <v>25</v>
      </c>
      <c r="E13" s="12" t="s">
        <v>26</v>
      </c>
      <c r="F13" s="12" t="s">
        <v>27</v>
      </c>
      <c r="G13" s="50" t="s">
        <v>28</v>
      </c>
      <c r="H13" s="50" t="s">
        <v>29</v>
      </c>
      <c r="I13" s="12" t="s">
        <v>30</v>
      </c>
      <c r="J13" s="50" t="s">
        <v>31</v>
      </c>
      <c r="K13" s="50" t="s">
        <v>32</v>
      </c>
      <c r="L13" s="50" t="s">
        <v>33</v>
      </c>
      <c r="M13" s="51" t="s">
        <v>34</v>
      </c>
    </row>
    <row r="14" ht="25" customHeight="1" spans="1:15" x14ac:dyDescent="0.25">
      <c r="A14" s="1"/>
      <c r="B14" s="52">
        <v>1</v>
      </c>
      <c r="C14" s="53" t="s">
        <v>35</v>
      </c>
      <c r="D14" s="54" t="s">
        <v>36</v>
      </c>
      <c r="E14" s="55">
        <v>9014885561</v>
      </c>
      <c r="F14" s="56">
        <f>ROUND((E14/$E$7)*100,4)</f>
        <v>80.9037</v>
      </c>
      <c r="G14" s="56">
        <f>ROUND((E14/$E$6)*100,4)</f>
        <v>80.7337</v>
      </c>
      <c r="H14" s="56">
        <f>ROUND((E14/$J$6)*100,4)</f>
        <v>98.0704</v>
      </c>
      <c r="I14" s="56">
        <f>IFERROR(ROUND(SQRT(1 - IF(E14&lt;=$J$6, $E$9, $N$9) * POWER((E14-$J$6)/($E$7-$J$6),2)) *$C$9,3), 0)</f>
        <v>59.95</v>
      </c>
      <c r="J14" s="56" t="str">
        <f>IF(M14&lt;0,"감점","")</f>
        <v>감점</v>
      </c>
      <c r="K14" s="56">
        <v>98.70455</v>
      </c>
      <c r="L14" s="56">
        <v>98.58509</v>
      </c>
      <c r="M14" s="57">
        <f>E14-$J$10</f>
        <v>-80277560</v>
      </c>
      <c r="N14" s="1"/>
      <c r="O14" s="1" t="s">
        <v>37</v>
      </c>
    </row>
    <row r="15" ht="25" customHeight="1" spans="1:16" x14ac:dyDescent="0.25">
      <c r="A15" s="1"/>
      <c r="B15" s="52">
        <v>2</v>
      </c>
      <c r="C15" s="53" t="s">
        <v>38</v>
      </c>
      <c r="D15" s="54" t="s">
        <v>39</v>
      </c>
      <c r="E15" s="55">
        <v>9129254454</v>
      </c>
      <c r="F15" s="56">
        <f t="shared" ref="F15:F78" si="1">ROUND((E15/$E$7)*100,4)</f>
        <v>81.9301</v>
      </c>
      <c r="G15" s="56">
        <f t="shared" ref="G15:G78" si="2">ROUND((E15/$E$6)*100,4)</f>
        <v>81.7579</v>
      </c>
      <c r="H15" s="56">
        <f t="shared" ref="H15:H78" si="3">ROUND((E15/$J$6)*100,4)</f>
        <v>99.3146</v>
      </c>
      <c r="I15" s="56">
        <f t="shared" ref="I15:I78" si="4">IFERROR(ROUND(SQRT(1 - IF(E15&lt;=$J$6, $E$9, $N$9) * POWER((E15-$J$6)/($E$7-$J$6),2)) *$C$9,3), 0)</f>
        <v>59.994</v>
      </c>
      <c r="J15" s="56">
        <f t="shared" ref="J15:J78" si="5">IF(M15&lt;0,"감점","")</f>
      </c>
      <c r="K15" s="56">
        <v>100.41898</v>
      </c>
      <c r="L15" s="56">
        <v>100.29917</v>
      </c>
      <c r="M15" s="57">
        <f t="shared" ref="M15:M78" si="6">E15-$J$10</f>
        <v>34091333</v>
      </c>
      <c r="N15" s="1"/>
      <c r="O15" s="1" t="s">
        <v>37</v>
      </c>
      <c r="P15" s="58">
        <f>E15-E14</f>
      </c>
    </row>
    <row r="16" ht="25" customHeight="1" spans="1:16" x14ac:dyDescent="0.25">
      <c r="A16" s="1"/>
      <c r="B16" s="52">
        <v>3</v>
      </c>
      <c r="C16" s="53" t="s">
        <v>40</v>
      </c>
      <c r="D16" s="54" t="s">
        <v>41</v>
      </c>
      <c r="E16" s="55">
        <v>9129256258</v>
      </c>
      <c r="F16" s="56">
        <f t="shared" si="1"/>
        <v>81.9301</v>
      </c>
      <c r="G16" s="56">
        <f t="shared" si="2"/>
        <v>81.7579</v>
      </c>
      <c r="H16" s="56">
        <f t="shared" si="3"/>
        <v>99.3146</v>
      </c>
      <c r="I16" s="56">
        <f t="shared" si="4"/>
        <v>59.994</v>
      </c>
      <c r="J16" s="56">
        <f t="shared" si="5"/>
      </c>
      <c r="K16" s="56">
        <v>100.41901</v>
      </c>
      <c r="L16" s="56">
        <v>100.29923</v>
      </c>
      <c r="M16" s="57">
        <f t="shared" si="6"/>
        <v>34093137</v>
      </c>
      <c r="N16" s="1"/>
      <c r="O16" s="1" t="s">
        <v>37</v>
      </c>
      <c r="P16" s="58">
        <f>E16-E15</f>
      </c>
    </row>
    <row r="17" ht="25" customHeight="1" spans="1:16" x14ac:dyDescent="0.25">
      <c r="A17" s="1"/>
      <c r="B17" s="52">
        <v>4</v>
      </c>
      <c r="C17" s="53" t="s">
        <v>42</v>
      </c>
      <c r="D17" s="54" t="s">
        <v>43</v>
      </c>
      <c r="E17" s="55">
        <v>9192256109</v>
      </c>
      <c r="F17" s="56">
        <f t="shared" si="1"/>
        <v>82.4955</v>
      </c>
      <c r="G17" s="56">
        <f t="shared" si="2"/>
        <v>82.3221</v>
      </c>
      <c r="H17" s="56">
        <f t="shared" si="3"/>
        <v>100</v>
      </c>
      <c r="I17" s="56">
        <f t="shared" si="4"/>
        <v>60</v>
      </c>
      <c r="J17" s="56">
        <f t="shared" si="5"/>
      </c>
      <c r="K17" s="56">
        <v>101.3627</v>
      </c>
      <c r="L17" s="56">
        <v>101.24295</v>
      </c>
      <c r="M17" s="57">
        <f t="shared" si="6"/>
        <v>97092988</v>
      </c>
      <c r="N17" s="1"/>
      <c r="O17" s="1" t="s">
        <v>37</v>
      </c>
      <c r="P17" s="58">
        <f>E17-E16</f>
      </c>
    </row>
    <row r="18" ht="25" customHeight="1" spans="1:16" x14ac:dyDescent="0.25">
      <c r="A18" s="1"/>
      <c r="B18" s="52">
        <v>5</v>
      </c>
      <c r="C18" s="53" t="s">
        <v>44</v>
      </c>
      <c r="D18" s="54" t="s">
        <v>45</v>
      </c>
      <c r="E18" s="55">
        <v>9192256111</v>
      </c>
      <c r="F18" s="56">
        <f t="shared" si="1"/>
        <v>82.4955</v>
      </c>
      <c r="G18" s="56">
        <f t="shared" si="2"/>
        <v>82.3221</v>
      </c>
      <c r="H18" s="56">
        <f t="shared" si="3"/>
        <v>100</v>
      </c>
      <c r="I18" s="56">
        <f t="shared" si="4"/>
        <v>60</v>
      </c>
      <c r="J18" s="56">
        <f t="shared" si="5"/>
      </c>
      <c r="K18" s="56">
        <v>101.3627</v>
      </c>
      <c r="L18" s="56">
        <v>101.24295</v>
      </c>
      <c r="M18" s="57">
        <f t="shared" si="6"/>
        <v>97092990</v>
      </c>
      <c r="N18" s="1"/>
      <c r="O18" s="1" t="s">
        <v>37</v>
      </c>
      <c r="P18" s="58">
        <f>E18-E17</f>
      </c>
    </row>
    <row r="19" ht="25" customHeight="1" spans="1:16" x14ac:dyDescent="0.25">
      <c r="A19" s="1"/>
      <c r="B19" s="52">
        <v>6</v>
      </c>
      <c r="C19" s="53" t="s">
        <v>46</v>
      </c>
      <c r="D19" s="54" t="s">
        <v>47</v>
      </c>
      <c r="E19" s="55">
        <v>9192256113</v>
      </c>
      <c r="F19" s="56">
        <f t="shared" si="1"/>
        <v>82.4955</v>
      </c>
      <c r="G19" s="56">
        <f t="shared" si="2"/>
        <v>82.3221</v>
      </c>
      <c r="H19" s="56">
        <f t="shared" si="3"/>
        <v>100</v>
      </c>
      <c r="I19" s="56">
        <f t="shared" si="4"/>
        <v>60</v>
      </c>
      <c r="J19" s="56">
        <f t="shared" si="5"/>
      </c>
      <c r="K19" s="56">
        <v>101.3627</v>
      </c>
      <c r="L19" s="56">
        <v>101.24295</v>
      </c>
      <c r="M19" s="57">
        <f t="shared" si="6"/>
        <v>97092992</v>
      </c>
      <c r="N19" s="1"/>
      <c r="O19" s="1" t="s">
        <v>37</v>
      </c>
      <c r="P19" s="58">
        <f>E19-E18</f>
      </c>
    </row>
    <row r="20" ht="25" customHeight="1" spans="1:16" x14ac:dyDescent="0.25">
      <c r="A20" s="1"/>
      <c r="B20" s="52">
        <v>7</v>
      </c>
      <c r="C20" s="53" t="s">
        <v>48</v>
      </c>
      <c r="D20" s="54" t="s">
        <v>49</v>
      </c>
      <c r="E20" s="55">
        <v>9192256115</v>
      </c>
      <c r="F20" s="56">
        <f t="shared" si="1"/>
        <v>82.4955</v>
      </c>
      <c r="G20" s="56">
        <f t="shared" si="2"/>
        <v>82.3221</v>
      </c>
      <c r="H20" s="56">
        <f t="shared" si="3"/>
        <v>100</v>
      </c>
      <c r="I20" s="56">
        <f t="shared" si="4"/>
        <v>60</v>
      </c>
      <c r="J20" s="56">
        <f t="shared" si="5"/>
      </c>
      <c r="K20" s="56">
        <v>101.3627</v>
      </c>
      <c r="L20" s="56">
        <v>101.24295</v>
      </c>
      <c r="M20" s="57">
        <f t="shared" si="6"/>
        <v>97092994</v>
      </c>
      <c r="N20" s="1"/>
      <c r="O20" s="1" t="s">
        <v>37</v>
      </c>
      <c r="P20" s="58">
        <f>E20-E19</f>
      </c>
    </row>
    <row r="21" ht="25" customHeight="1" spans="1:16" x14ac:dyDescent="0.25">
      <c r="A21" s="1"/>
      <c r="B21" s="52">
        <v>8</v>
      </c>
      <c r="C21" s="53" t="s">
        <v>50</v>
      </c>
      <c r="D21" s="54" t="s">
        <v>51</v>
      </c>
      <c r="E21" s="55">
        <v>9192256115</v>
      </c>
      <c r="F21" s="56">
        <f t="shared" si="1"/>
        <v>82.4955</v>
      </c>
      <c r="G21" s="56">
        <f t="shared" si="2"/>
        <v>82.3221</v>
      </c>
      <c r="H21" s="56">
        <f t="shared" si="3"/>
        <v>100</v>
      </c>
      <c r="I21" s="56">
        <f t="shared" si="4"/>
        <v>60</v>
      </c>
      <c r="J21" s="56">
        <f t="shared" si="5"/>
      </c>
      <c r="K21" s="56">
        <v>101.3627</v>
      </c>
      <c r="L21" s="56">
        <v>101.24295</v>
      </c>
      <c r="M21" s="57">
        <f t="shared" si="6"/>
        <v>97092994</v>
      </c>
      <c r="N21" s="1"/>
      <c r="O21" s="1" t="s">
        <v>37</v>
      </c>
      <c r="P21" s="58">
        <f>E21-E20</f>
      </c>
    </row>
    <row r="22" ht="25" customHeight="1" spans="1:16" x14ac:dyDescent="0.25">
      <c r="A22" s="1"/>
      <c r="B22" s="52">
        <v>9</v>
      </c>
      <c r="C22" s="53" t="s">
        <v>52</v>
      </c>
      <c r="D22" s="54" t="s">
        <v>53</v>
      </c>
      <c r="E22" s="55">
        <v>9192256116</v>
      </c>
      <c r="F22" s="56">
        <f t="shared" si="1"/>
        <v>82.4955</v>
      </c>
      <c r="G22" s="56">
        <f t="shared" si="2"/>
        <v>82.3221</v>
      </c>
      <c r="H22" s="56">
        <f t="shared" si="3"/>
        <v>100</v>
      </c>
      <c r="I22" s="56">
        <f t="shared" si="4"/>
        <v>60</v>
      </c>
      <c r="J22" s="56">
        <f t="shared" si="5"/>
      </c>
      <c r="K22" s="56">
        <v>101.3627</v>
      </c>
      <c r="L22" s="56">
        <v>101.24295</v>
      </c>
      <c r="M22" s="57">
        <f t="shared" si="6"/>
        <v>97092995</v>
      </c>
      <c r="N22" s="1"/>
      <c r="O22" s="1" t="s">
        <v>37</v>
      </c>
      <c r="P22" s="58">
        <f>E22-E21</f>
      </c>
    </row>
    <row r="23" ht="25" customHeight="1" spans="1:16" x14ac:dyDescent="0.25">
      <c r="A23" s="1"/>
      <c r="B23" s="52">
        <v>10</v>
      </c>
      <c r="C23" s="53" t="s">
        <v>54</v>
      </c>
      <c r="D23" s="54" t="s">
        <v>55</v>
      </c>
      <c r="E23" s="55">
        <v>9192256116</v>
      </c>
      <c r="F23" s="56">
        <f t="shared" si="1"/>
        <v>82.4955</v>
      </c>
      <c r="G23" s="56">
        <f t="shared" si="2"/>
        <v>82.3221</v>
      </c>
      <c r="H23" s="56">
        <f t="shared" si="3"/>
        <v>100</v>
      </c>
      <c r="I23" s="56">
        <f t="shared" si="4"/>
        <v>60</v>
      </c>
      <c r="J23" s="56">
        <f t="shared" si="5"/>
      </c>
      <c r="K23" s="56">
        <v>101.3627</v>
      </c>
      <c r="L23" s="56">
        <v>101.24295</v>
      </c>
      <c r="M23" s="57">
        <f t="shared" si="6"/>
        <v>97092995</v>
      </c>
      <c r="N23" s="1"/>
      <c r="O23" s="1" t="s">
        <v>37</v>
      </c>
      <c r="P23" s="58">
        <f>E23-E22</f>
      </c>
    </row>
    <row r="24" ht="25" customHeight="1" spans="1:16" x14ac:dyDescent="0.25">
      <c r="A24" s="1"/>
      <c r="B24" s="52">
        <v>11</v>
      </c>
      <c r="C24" s="53" t="s">
        <v>56</v>
      </c>
      <c r="D24" s="54" t="s">
        <v>57</v>
      </c>
      <c r="E24" s="55">
        <v>9192256117</v>
      </c>
      <c r="F24" s="56">
        <f t="shared" si="1"/>
        <v>82.4955</v>
      </c>
      <c r="G24" s="56">
        <f t="shared" si="2"/>
        <v>82.3221</v>
      </c>
      <c r="H24" s="56">
        <f t="shared" si="3"/>
        <v>100</v>
      </c>
      <c r="I24" s="56">
        <f t="shared" si="4"/>
        <v>60</v>
      </c>
      <c r="J24" s="56">
        <f t="shared" si="5"/>
      </c>
      <c r="K24" s="56">
        <v>101.3627</v>
      </c>
      <c r="L24" s="56">
        <v>101.24295</v>
      </c>
      <c r="M24" s="57">
        <f t="shared" si="6"/>
        <v>97092996</v>
      </c>
      <c r="N24" s="1"/>
      <c r="O24" s="1" t="s">
        <v>37</v>
      </c>
      <c r="P24" s="58">
        <f>E24-E23</f>
      </c>
    </row>
    <row r="25" ht="25" customHeight="1" spans="1:16" x14ac:dyDescent="0.25">
      <c r="A25" s="1"/>
      <c r="B25" s="52">
        <v>12</v>
      </c>
      <c r="C25" s="53" t="s">
        <v>58</v>
      </c>
      <c r="D25" s="54" t="s">
        <v>59</v>
      </c>
      <c r="E25" s="55">
        <v>9192256119</v>
      </c>
      <c r="F25" s="56">
        <f t="shared" si="1"/>
        <v>82.4955</v>
      </c>
      <c r="G25" s="56">
        <f t="shared" si="2"/>
        <v>82.3221</v>
      </c>
      <c r="H25" s="56">
        <f t="shared" si="3"/>
        <v>100</v>
      </c>
      <c r="I25" s="56">
        <f t="shared" si="4"/>
        <v>60</v>
      </c>
      <c r="J25" s="56">
        <f t="shared" si="5"/>
      </c>
      <c r="K25" s="56">
        <v>101.3627</v>
      </c>
      <c r="L25" s="56">
        <v>101.24295</v>
      </c>
      <c r="M25" s="57">
        <f t="shared" si="6"/>
        <v>97092998</v>
      </c>
      <c r="N25" s="1"/>
      <c r="O25" s="1" t="s">
        <v>37</v>
      </c>
      <c r="P25" s="58">
        <f>E25-E24</f>
      </c>
    </row>
    <row r="26" ht="25" customHeight="1" spans="1:16" x14ac:dyDescent="0.25">
      <c r="A26" s="1"/>
      <c r="B26" s="52">
        <v>13</v>
      </c>
      <c r="C26" s="53" t="s">
        <v>60</v>
      </c>
      <c r="D26" s="54" t="s">
        <v>61</v>
      </c>
      <c r="E26" s="55">
        <v>9192256121</v>
      </c>
      <c r="F26" s="56">
        <f t="shared" si="1"/>
        <v>82.4955</v>
      </c>
      <c r="G26" s="56">
        <f t="shared" si="2"/>
        <v>82.3221</v>
      </c>
      <c r="H26" s="56">
        <f t="shared" si="3"/>
        <v>100</v>
      </c>
      <c r="I26" s="56">
        <f t="shared" si="4"/>
        <v>60</v>
      </c>
      <c r="J26" s="56">
        <f t="shared" si="5"/>
      </c>
      <c r="K26" s="56">
        <v>101.3627</v>
      </c>
      <c r="L26" s="56">
        <v>101.24295</v>
      </c>
      <c r="M26" s="57">
        <f t="shared" si="6"/>
        <v>97093000</v>
      </c>
      <c r="N26" s="1"/>
      <c r="O26" s="1" t="s">
        <v>37</v>
      </c>
      <c r="P26" s="58">
        <f>E26-E25</f>
      </c>
    </row>
    <row r="27" ht="25" customHeight="1" spans="1:16" x14ac:dyDescent="0.25">
      <c r="A27" s="1"/>
      <c r="B27" s="52">
        <v>14</v>
      </c>
      <c r="C27" s="53" t="s">
        <v>62</v>
      </c>
      <c r="D27" s="54" t="s">
        <v>63</v>
      </c>
      <c r="E27" s="55">
        <v>9192256122</v>
      </c>
      <c r="F27" s="56">
        <f t="shared" si="1"/>
        <v>82.4955</v>
      </c>
      <c r="G27" s="56">
        <f t="shared" si="2"/>
        <v>82.3221</v>
      </c>
      <c r="H27" s="56">
        <f t="shared" si="3"/>
        <v>100</v>
      </c>
      <c r="I27" s="56">
        <f t="shared" si="4"/>
        <v>60</v>
      </c>
      <c r="J27" s="56">
        <f t="shared" si="5"/>
      </c>
      <c r="K27" s="56">
        <v>101.3627</v>
      </c>
      <c r="L27" s="56">
        <v>101.24295</v>
      </c>
      <c r="M27" s="57">
        <f t="shared" si="6"/>
        <v>97093001</v>
      </c>
      <c r="N27" s="1"/>
      <c r="O27" s="1" t="s">
        <v>37</v>
      </c>
      <c r="P27" s="58">
        <f>E27-E26</f>
      </c>
    </row>
    <row r="28" ht="25" customHeight="1" spans="1:16" x14ac:dyDescent="0.25">
      <c r="A28" s="1"/>
      <c r="B28" s="52">
        <v>15</v>
      </c>
      <c r="C28" s="53" t="s">
        <v>64</v>
      </c>
      <c r="D28" s="54" t="s">
        <v>65</v>
      </c>
      <c r="E28" s="55">
        <v>9192256123</v>
      </c>
      <c r="F28" s="56">
        <f t="shared" si="1"/>
        <v>82.4955</v>
      </c>
      <c r="G28" s="56">
        <f t="shared" si="2"/>
        <v>82.3221</v>
      </c>
      <c r="H28" s="56">
        <f t="shared" si="3"/>
        <v>100</v>
      </c>
      <c r="I28" s="56">
        <f t="shared" si="4"/>
        <v>60</v>
      </c>
      <c r="J28" s="56">
        <f t="shared" si="5"/>
      </c>
      <c r="K28" s="56">
        <v>101.3627</v>
      </c>
      <c r="L28" s="56">
        <v>101.24295</v>
      </c>
      <c r="M28" s="57">
        <f t="shared" si="6"/>
        <v>97093002</v>
      </c>
      <c r="N28" s="1"/>
      <c r="O28" s="1" t="s">
        <v>37</v>
      </c>
      <c r="P28" s="58">
        <f>E28-E27</f>
      </c>
    </row>
    <row r="29" ht="25" customHeight="1" spans="1:16" x14ac:dyDescent="0.25">
      <c r="A29" s="1"/>
      <c r="B29" s="52">
        <v>16</v>
      </c>
      <c r="C29" s="53" t="s">
        <v>66</v>
      </c>
      <c r="D29" s="54" t="s">
        <v>67</v>
      </c>
      <c r="E29" s="55">
        <v>9192256123</v>
      </c>
      <c r="F29" s="56">
        <f t="shared" si="1"/>
        <v>82.4955</v>
      </c>
      <c r="G29" s="56">
        <f t="shared" si="2"/>
        <v>82.3221</v>
      </c>
      <c r="H29" s="56">
        <f t="shared" si="3"/>
        <v>100</v>
      </c>
      <c r="I29" s="56">
        <f t="shared" si="4"/>
        <v>60</v>
      </c>
      <c r="J29" s="56">
        <f t="shared" si="5"/>
      </c>
      <c r="K29" s="56">
        <v>101.3627</v>
      </c>
      <c r="L29" s="56">
        <v>101.24295</v>
      </c>
      <c r="M29" s="57">
        <f t="shared" si="6"/>
        <v>97093002</v>
      </c>
      <c r="N29" s="1"/>
      <c r="O29" s="1" t="s">
        <v>37</v>
      </c>
      <c r="P29" s="58">
        <f>E29-E28</f>
      </c>
    </row>
    <row r="30" ht="25" customHeight="1" spans="1:16" x14ac:dyDescent="0.25">
      <c r="A30" s="1"/>
      <c r="B30" s="52">
        <v>17</v>
      </c>
      <c r="C30" s="53" t="s">
        <v>68</v>
      </c>
      <c r="D30" s="54" t="s">
        <v>69</v>
      </c>
      <c r="E30" s="55">
        <v>9192256124</v>
      </c>
      <c r="F30" s="56">
        <f t="shared" si="1"/>
        <v>82.4955</v>
      </c>
      <c r="G30" s="56">
        <f t="shared" si="2"/>
        <v>82.3221</v>
      </c>
      <c r="H30" s="56">
        <f t="shared" si="3"/>
        <v>100</v>
      </c>
      <c r="I30" s="56">
        <f t="shared" si="4"/>
        <v>60</v>
      </c>
      <c r="J30" s="56">
        <f t="shared" si="5"/>
      </c>
      <c r="K30" s="56">
        <v>101.3627</v>
      </c>
      <c r="L30" s="56">
        <v>101.24295</v>
      </c>
      <c r="M30" s="57">
        <f t="shared" si="6"/>
        <v>97093003</v>
      </c>
      <c r="N30" s="1"/>
      <c r="O30" s="1" t="s">
        <v>37</v>
      </c>
      <c r="P30" s="58">
        <f>E30-E29</f>
      </c>
    </row>
    <row r="31" ht="25" customHeight="1" spans="1:16" x14ac:dyDescent="0.25">
      <c r="A31" s="1"/>
      <c r="B31" s="52">
        <v>18</v>
      </c>
      <c r="C31" s="53" t="s">
        <v>70</v>
      </c>
      <c r="D31" s="54" t="s">
        <v>71</v>
      </c>
      <c r="E31" s="55">
        <v>9192256125</v>
      </c>
      <c r="F31" s="56">
        <f t="shared" si="1"/>
        <v>82.4955</v>
      </c>
      <c r="G31" s="56">
        <f t="shared" si="2"/>
        <v>82.3221</v>
      </c>
      <c r="H31" s="56">
        <f t="shared" si="3"/>
        <v>100</v>
      </c>
      <c r="I31" s="56">
        <f t="shared" si="4"/>
        <v>60</v>
      </c>
      <c r="J31" s="56">
        <f t="shared" si="5"/>
      </c>
      <c r="K31" s="56">
        <v>101.3627</v>
      </c>
      <c r="L31" s="56">
        <v>101.24295</v>
      </c>
      <c r="M31" s="57">
        <f t="shared" si="6"/>
        <v>97093004</v>
      </c>
      <c r="N31" s="1"/>
      <c r="O31" s="1" t="s">
        <v>37</v>
      </c>
      <c r="P31" s="58">
        <f>E31-E30</f>
      </c>
    </row>
    <row r="32" ht="25" customHeight="1" spans="1:16" x14ac:dyDescent="0.25">
      <c r="A32" s="1"/>
      <c r="B32" s="52">
        <v>19</v>
      </c>
      <c r="C32" s="53" t="s">
        <v>72</v>
      </c>
      <c r="D32" s="54" t="s">
        <v>73</v>
      </c>
      <c r="E32" s="55">
        <v>9192256126</v>
      </c>
      <c r="F32" s="56">
        <f t="shared" si="1"/>
        <v>82.4955</v>
      </c>
      <c r="G32" s="56">
        <f t="shared" si="2"/>
        <v>82.3221</v>
      </c>
      <c r="H32" s="56">
        <f t="shared" si="3"/>
        <v>100</v>
      </c>
      <c r="I32" s="56">
        <f t="shared" si="4"/>
        <v>60</v>
      </c>
      <c r="J32" s="56">
        <f t="shared" si="5"/>
      </c>
      <c r="K32" s="56">
        <v>101.3627</v>
      </c>
      <c r="L32" s="56">
        <v>101.24295</v>
      </c>
      <c r="M32" s="57">
        <f t="shared" si="6"/>
        <v>97093005</v>
      </c>
      <c r="N32" s="1"/>
      <c r="O32" s="1" t="s">
        <v>37</v>
      </c>
      <c r="P32" s="58">
        <f>E32-E31</f>
      </c>
    </row>
    <row r="33" ht="25" customHeight="1" spans="1:16" x14ac:dyDescent="0.25">
      <c r="A33" s="1"/>
      <c r="B33" s="52">
        <v>20</v>
      </c>
      <c r="C33" s="53" t="s">
        <v>74</v>
      </c>
      <c r="D33" s="54" t="s">
        <v>75</v>
      </c>
      <c r="E33" s="55">
        <v>9192256127</v>
      </c>
      <c r="F33" s="56">
        <f t="shared" si="1"/>
        <v>82.4955</v>
      </c>
      <c r="G33" s="56">
        <f t="shared" si="2"/>
        <v>82.3221</v>
      </c>
      <c r="H33" s="56">
        <f t="shared" si="3"/>
        <v>100</v>
      </c>
      <c r="I33" s="56">
        <f t="shared" si="4"/>
        <v>60</v>
      </c>
      <c r="J33" s="56">
        <f t="shared" si="5"/>
      </c>
      <c r="K33" s="56">
        <v>101.3627</v>
      </c>
      <c r="L33" s="56">
        <v>101.24295</v>
      </c>
      <c r="M33" s="57">
        <f t="shared" si="6"/>
        <v>97093006</v>
      </c>
      <c r="N33" s="1"/>
      <c r="O33" s="1" t="s">
        <v>37</v>
      </c>
      <c r="P33" s="58">
        <f>E33-E32</f>
      </c>
    </row>
    <row r="34" ht="25" customHeight="1" spans="1:16" x14ac:dyDescent="0.25">
      <c r="A34" s="1"/>
      <c r="B34" s="52">
        <v>21</v>
      </c>
      <c r="C34" s="53" t="s">
        <v>76</v>
      </c>
      <c r="D34" s="54" t="s">
        <v>77</v>
      </c>
      <c r="E34" s="55">
        <v>9192256127</v>
      </c>
      <c r="F34" s="56">
        <f t="shared" si="1"/>
        <v>82.4955</v>
      </c>
      <c r="G34" s="56">
        <f t="shared" si="2"/>
        <v>82.3221</v>
      </c>
      <c r="H34" s="56">
        <f t="shared" si="3"/>
        <v>100</v>
      </c>
      <c r="I34" s="56">
        <f t="shared" si="4"/>
        <v>60</v>
      </c>
      <c r="J34" s="56">
        <f t="shared" si="5"/>
      </c>
      <c r="K34" s="56">
        <v>101.3627</v>
      </c>
      <c r="L34" s="56">
        <v>101.24295</v>
      </c>
      <c r="M34" s="57">
        <f t="shared" si="6"/>
        <v>97093006</v>
      </c>
      <c r="N34" s="1"/>
      <c r="O34" s="1" t="s">
        <v>37</v>
      </c>
      <c r="P34" s="58">
        <f>E34-E33</f>
      </c>
    </row>
    <row r="35" ht="25" customHeight="1" spans="1:16" x14ac:dyDescent="0.25">
      <c r="A35" s="1"/>
      <c r="B35" s="52">
        <v>22</v>
      </c>
      <c r="C35" s="53" t="s">
        <v>78</v>
      </c>
      <c r="D35" s="54" t="s">
        <v>79</v>
      </c>
      <c r="E35" s="55">
        <v>9192256127</v>
      </c>
      <c r="F35" s="56">
        <f t="shared" si="1"/>
        <v>82.4955</v>
      </c>
      <c r="G35" s="56">
        <f t="shared" si="2"/>
        <v>82.3221</v>
      </c>
      <c r="H35" s="56">
        <f t="shared" si="3"/>
        <v>100</v>
      </c>
      <c r="I35" s="56">
        <f t="shared" si="4"/>
        <v>60</v>
      </c>
      <c r="J35" s="56">
        <f t="shared" si="5"/>
      </c>
      <c r="K35" s="56">
        <v>101.3627</v>
      </c>
      <c r="L35" s="56">
        <v>101.24295</v>
      </c>
      <c r="M35" s="57">
        <f t="shared" si="6"/>
        <v>97093006</v>
      </c>
      <c r="N35" s="1"/>
      <c r="O35" s="1" t="s">
        <v>37</v>
      </c>
      <c r="P35" s="58">
        <f>E35-E34</f>
      </c>
    </row>
    <row r="36" ht="25" customHeight="1" spans="1:16" x14ac:dyDescent="0.25">
      <c r="A36" s="1"/>
      <c r="B36" s="52">
        <v>23</v>
      </c>
      <c r="C36" s="53" t="s">
        <v>80</v>
      </c>
      <c r="D36" s="54" t="s">
        <v>81</v>
      </c>
      <c r="E36" s="55">
        <v>9192256127</v>
      </c>
      <c r="F36" s="56">
        <f t="shared" si="1"/>
        <v>82.4955</v>
      </c>
      <c r="G36" s="56">
        <f t="shared" si="2"/>
        <v>82.3221</v>
      </c>
      <c r="H36" s="56">
        <f t="shared" si="3"/>
        <v>100</v>
      </c>
      <c r="I36" s="56">
        <f t="shared" si="4"/>
        <v>60</v>
      </c>
      <c r="J36" s="56">
        <f t="shared" si="5"/>
      </c>
      <c r="K36" s="56">
        <v>101.3627</v>
      </c>
      <c r="L36" s="56">
        <v>101.24295</v>
      </c>
      <c r="M36" s="57">
        <f t="shared" si="6"/>
        <v>97093006</v>
      </c>
      <c r="N36" s="1"/>
      <c r="O36" s="1" t="s">
        <v>37</v>
      </c>
      <c r="P36" s="58">
        <f>E36-E35</f>
      </c>
    </row>
    <row r="37" ht="25" customHeight="1" spans="1:16" x14ac:dyDescent="0.25">
      <c r="A37" s="1"/>
      <c r="B37" s="52">
        <v>24</v>
      </c>
      <c r="C37" s="53" t="s">
        <v>82</v>
      </c>
      <c r="D37" s="54" t="s">
        <v>83</v>
      </c>
      <c r="E37" s="55">
        <v>9192256128</v>
      </c>
      <c r="F37" s="56">
        <f t="shared" si="1"/>
        <v>82.4955</v>
      </c>
      <c r="G37" s="56">
        <f t="shared" si="2"/>
        <v>82.3221</v>
      </c>
      <c r="H37" s="56">
        <f t="shared" si="3"/>
        <v>100</v>
      </c>
      <c r="I37" s="56">
        <f t="shared" si="4"/>
        <v>60</v>
      </c>
      <c r="J37" s="56">
        <f t="shared" si="5"/>
      </c>
      <c r="K37" s="56">
        <v>101.3627</v>
      </c>
      <c r="L37" s="56">
        <v>101.24295</v>
      </c>
      <c r="M37" s="57">
        <f t="shared" si="6"/>
        <v>97093007</v>
      </c>
      <c r="N37" s="1"/>
      <c r="O37" s="1" t="s">
        <v>37</v>
      </c>
      <c r="P37" s="58">
        <f>E37-E36</f>
      </c>
    </row>
    <row r="38" ht="25" customHeight="1" spans="1:16" x14ac:dyDescent="0.25">
      <c r="A38" s="1"/>
      <c r="B38" s="52">
        <v>25</v>
      </c>
      <c r="C38" s="53" t="s">
        <v>84</v>
      </c>
      <c r="D38" s="54" t="s">
        <v>85</v>
      </c>
      <c r="E38" s="55">
        <v>9192256128</v>
      </c>
      <c r="F38" s="56">
        <f t="shared" si="1"/>
        <v>82.4955</v>
      </c>
      <c r="G38" s="56">
        <f t="shared" si="2"/>
        <v>82.3221</v>
      </c>
      <c r="H38" s="56">
        <f t="shared" si="3"/>
        <v>100</v>
      </c>
      <c r="I38" s="56">
        <f t="shared" si="4"/>
        <v>60</v>
      </c>
      <c r="J38" s="56">
        <f t="shared" si="5"/>
      </c>
      <c r="K38" s="56">
        <v>101.3627</v>
      </c>
      <c r="L38" s="56">
        <v>101.24295</v>
      </c>
      <c r="M38" s="57">
        <f t="shared" si="6"/>
        <v>97093007</v>
      </c>
      <c r="N38" s="1"/>
      <c r="O38" s="1" t="s">
        <v>37</v>
      </c>
      <c r="P38" s="58">
        <f>E38-E37</f>
      </c>
    </row>
    <row r="39" ht="25" customHeight="1" spans="1:16" x14ac:dyDescent="0.25">
      <c r="A39" s="1"/>
      <c r="B39" s="52">
        <v>26</v>
      </c>
      <c r="C39" s="53" t="s">
        <v>86</v>
      </c>
      <c r="D39" s="54" t="s">
        <v>87</v>
      </c>
      <c r="E39" s="55">
        <v>9192256129</v>
      </c>
      <c r="F39" s="56">
        <f t="shared" si="1"/>
        <v>82.4955</v>
      </c>
      <c r="G39" s="56">
        <f t="shared" si="2"/>
        <v>82.3221</v>
      </c>
      <c r="H39" s="56">
        <f t="shared" si="3"/>
        <v>100</v>
      </c>
      <c r="I39" s="56">
        <f t="shared" si="4"/>
        <v>60</v>
      </c>
      <c r="J39" s="56">
        <f t="shared" si="5"/>
      </c>
      <c r="K39" s="56">
        <v>101.3627</v>
      </c>
      <c r="L39" s="56">
        <v>101.24295</v>
      </c>
      <c r="M39" s="57">
        <f t="shared" si="6"/>
        <v>97093008</v>
      </c>
      <c r="N39" s="1"/>
      <c r="O39" s="1" t="s">
        <v>37</v>
      </c>
      <c r="P39" s="58">
        <f>E39-E38</f>
      </c>
    </row>
    <row r="40" ht="25" customHeight="1" spans="1:16" x14ac:dyDescent="0.25">
      <c r="A40" s="1"/>
      <c r="B40" s="52">
        <v>27</v>
      </c>
      <c r="C40" s="53" t="s">
        <v>88</v>
      </c>
      <c r="D40" s="54" t="s">
        <v>89</v>
      </c>
      <c r="E40" s="55">
        <v>9192256129</v>
      </c>
      <c r="F40" s="56">
        <f t="shared" si="1"/>
        <v>82.4955</v>
      </c>
      <c r="G40" s="56">
        <f t="shared" si="2"/>
        <v>82.3221</v>
      </c>
      <c r="H40" s="56">
        <f t="shared" si="3"/>
        <v>100</v>
      </c>
      <c r="I40" s="56">
        <f t="shared" si="4"/>
        <v>60</v>
      </c>
      <c r="J40" s="56">
        <f t="shared" si="5"/>
      </c>
      <c r="K40" s="56">
        <v>101.3627</v>
      </c>
      <c r="L40" s="56">
        <v>101.24295</v>
      </c>
      <c r="M40" s="57">
        <f t="shared" si="6"/>
        <v>97093008</v>
      </c>
      <c r="N40" s="1"/>
      <c r="O40" s="1" t="s">
        <v>37</v>
      </c>
      <c r="P40" s="58">
        <f>E40-E39</f>
      </c>
    </row>
    <row r="41" ht="25" customHeight="1" spans="1:16" x14ac:dyDescent="0.25">
      <c r="A41" s="1"/>
      <c r="B41" s="52">
        <v>28</v>
      </c>
      <c r="C41" s="53" t="s">
        <v>90</v>
      </c>
      <c r="D41" s="54" t="s">
        <v>91</v>
      </c>
      <c r="E41" s="55">
        <v>9192256129</v>
      </c>
      <c r="F41" s="56">
        <f t="shared" si="1"/>
        <v>82.4955</v>
      </c>
      <c r="G41" s="56">
        <f t="shared" si="2"/>
        <v>82.3221</v>
      </c>
      <c r="H41" s="56">
        <f t="shared" si="3"/>
        <v>100</v>
      </c>
      <c r="I41" s="56">
        <f t="shared" si="4"/>
        <v>60</v>
      </c>
      <c r="J41" s="56">
        <f t="shared" si="5"/>
      </c>
      <c r="K41" s="56">
        <v>101.3627</v>
      </c>
      <c r="L41" s="56">
        <v>101.24295</v>
      </c>
      <c r="M41" s="57">
        <f t="shared" si="6"/>
        <v>97093008</v>
      </c>
      <c r="N41" s="1"/>
      <c r="O41" s="1" t="s">
        <v>37</v>
      </c>
      <c r="P41" s="58">
        <f>E41-E40</f>
      </c>
    </row>
    <row r="42" ht="25" customHeight="1" spans="1:16" x14ac:dyDescent="0.25">
      <c r="A42" s="1"/>
      <c r="B42" s="52">
        <v>29</v>
      </c>
      <c r="C42" s="53" t="s">
        <v>92</v>
      </c>
      <c r="D42" s="54" t="s">
        <v>93</v>
      </c>
      <c r="E42" s="55">
        <v>9192256129</v>
      </c>
      <c r="F42" s="56">
        <f t="shared" si="1"/>
        <v>82.4955</v>
      </c>
      <c r="G42" s="56">
        <f t="shared" si="2"/>
        <v>82.3221</v>
      </c>
      <c r="H42" s="56">
        <f t="shared" si="3"/>
        <v>100</v>
      </c>
      <c r="I42" s="56">
        <f t="shared" si="4"/>
        <v>60</v>
      </c>
      <c r="J42" s="56">
        <f t="shared" si="5"/>
      </c>
      <c r="K42" s="56">
        <v>101.3627</v>
      </c>
      <c r="L42" s="56">
        <v>101.24295</v>
      </c>
      <c r="M42" s="57">
        <f t="shared" si="6"/>
        <v>97093008</v>
      </c>
      <c r="N42" s="1"/>
      <c r="O42" s="1" t="s">
        <v>37</v>
      </c>
      <c r="P42" s="58">
        <f>E42-E41</f>
      </c>
    </row>
    <row r="43" ht="25" customHeight="1" spans="1:16" x14ac:dyDescent="0.25">
      <c r="A43" s="1"/>
      <c r="B43" s="52">
        <v>30</v>
      </c>
      <c r="C43" s="53" t="s">
        <v>94</v>
      </c>
      <c r="D43" s="54" t="s">
        <v>95</v>
      </c>
      <c r="E43" s="55">
        <v>9192256130</v>
      </c>
      <c r="F43" s="56">
        <f t="shared" si="1"/>
        <v>82.4955</v>
      </c>
      <c r="G43" s="56">
        <f t="shared" si="2"/>
        <v>82.3221</v>
      </c>
      <c r="H43" s="56">
        <f t="shared" si="3"/>
        <v>100</v>
      </c>
      <c r="I43" s="56">
        <f t="shared" si="4"/>
        <v>60</v>
      </c>
      <c r="J43" s="56">
        <f t="shared" si="5"/>
      </c>
      <c r="K43" s="56">
        <v>101.3627</v>
      </c>
      <c r="L43" s="56">
        <v>101.24295</v>
      </c>
      <c r="M43" s="57">
        <f t="shared" si="6"/>
        <v>97093009</v>
      </c>
      <c r="N43" s="1"/>
      <c r="O43" s="1" t="s">
        <v>37</v>
      </c>
      <c r="P43" s="58">
        <f>E43-E42</f>
      </c>
    </row>
    <row r="44" ht="25" customHeight="1" spans="1:16" x14ac:dyDescent="0.25">
      <c r="A44" s="1"/>
      <c r="B44" s="52">
        <v>31</v>
      </c>
      <c r="C44" s="53" t="s">
        <v>96</v>
      </c>
      <c r="D44" s="54" t="s">
        <v>97</v>
      </c>
      <c r="E44" s="55">
        <v>9192256130</v>
      </c>
      <c r="F44" s="56">
        <f t="shared" si="1"/>
        <v>82.4955</v>
      </c>
      <c r="G44" s="56">
        <f t="shared" si="2"/>
        <v>82.3221</v>
      </c>
      <c r="H44" s="56">
        <f t="shared" si="3"/>
        <v>100</v>
      </c>
      <c r="I44" s="56">
        <f t="shared" si="4"/>
        <v>60</v>
      </c>
      <c r="J44" s="56">
        <f t="shared" si="5"/>
      </c>
      <c r="K44" s="56">
        <v>101.3627</v>
      </c>
      <c r="L44" s="56">
        <v>101.24295</v>
      </c>
      <c r="M44" s="57">
        <f t="shared" si="6"/>
        <v>97093009</v>
      </c>
      <c r="N44" s="1"/>
      <c r="O44" s="1" t="s">
        <v>37</v>
      </c>
      <c r="P44" s="58">
        <f>E44-E43</f>
      </c>
    </row>
    <row r="45" ht="25" customHeight="1" spans="1:16" x14ac:dyDescent="0.25">
      <c r="A45" s="1"/>
      <c r="B45" s="52">
        <v>32</v>
      </c>
      <c r="C45" s="53" t="s">
        <v>98</v>
      </c>
      <c r="D45" s="54" t="s">
        <v>99</v>
      </c>
      <c r="E45" s="55">
        <v>9192256130</v>
      </c>
      <c r="F45" s="56">
        <f t="shared" si="1"/>
        <v>82.4955</v>
      </c>
      <c r="G45" s="56">
        <f t="shared" si="2"/>
        <v>82.3221</v>
      </c>
      <c r="H45" s="56">
        <f t="shared" si="3"/>
        <v>100</v>
      </c>
      <c r="I45" s="56">
        <f t="shared" si="4"/>
        <v>60</v>
      </c>
      <c r="J45" s="56">
        <f t="shared" si="5"/>
      </c>
      <c r="K45" s="56">
        <v>101.3627</v>
      </c>
      <c r="L45" s="56">
        <v>101.24295</v>
      </c>
      <c r="M45" s="57">
        <f t="shared" si="6"/>
        <v>97093009</v>
      </c>
      <c r="N45" s="1"/>
      <c r="O45" s="1" t="s">
        <v>37</v>
      </c>
      <c r="P45" s="58">
        <f>E45-E44</f>
      </c>
    </row>
    <row r="46" ht="25" customHeight="1" spans="1:16" x14ac:dyDescent="0.25">
      <c r="A46" s="1"/>
      <c r="B46" s="52">
        <v>33</v>
      </c>
      <c r="C46" s="53" t="s">
        <v>100</v>
      </c>
      <c r="D46" s="54" t="s">
        <v>101</v>
      </c>
      <c r="E46" s="55">
        <v>9192256131</v>
      </c>
      <c r="F46" s="56">
        <f t="shared" si="1"/>
        <v>82.4955</v>
      </c>
      <c r="G46" s="56">
        <f t="shared" si="2"/>
        <v>82.3221</v>
      </c>
      <c r="H46" s="56">
        <f t="shared" si="3"/>
        <v>100</v>
      </c>
      <c r="I46" s="56">
        <f t="shared" si="4"/>
        <v>60</v>
      </c>
      <c r="J46" s="56">
        <f t="shared" si="5"/>
      </c>
      <c r="K46" s="56">
        <v>101.3627</v>
      </c>
      <c r="L46" s="56">
        <v>101.24295</v>
      </c>
      <c r="M46" s="57">
        <f t="shared" si="6"/>
        <v>97093010</v>
      </c>
      <c r="N46" s="1"/>
      <c r="O46" s="1" t="s">
        <v>37</v>
      </c>
      <c r="P46" s="58">
        <f>E46-E45</f>
      </c>
    </row>
    <row r="47" ht="25" customHeight="1" spans="1:16" x14ac:dyDescent="0.25">
      <c r="A47" s="1"/>
      <c r="B47" s="52">
        <v>34</v>
      </c>
      <c r="C47" s="53" t="s">
        <v>102</v>
      </c>
      <c r="D47" s="54" t="s">
        <v>103</v>
      </c>
      <c r="E47" s="55">
        <v>9192256133</v>
      </c>
      <c r="F47" s="56">
        <f t="shared" si="1"/>
        <v>82.4955</v>
      </c>
      <c r="G47" s="56">
        <f t="shared" si="2"/>
        <v>82.3221</v>
      </c>
      <c r="H47" s="56">
        <f t="shared" si="3"/>
        <v>100</v>
      </c>
      <c r="I47" s="56">
        <f t="shared" si="4"/>
        <v>60</v>
      </c>
      <c r="J47" s="56">
        <f t="shared" si="5"/>
      </c>
      <c r="K47" s="56">
        <v>101.3627</v>
      </c>
      <c r="L47" s="56">
        <v>101.24295</v>
      </c>
      <c r="M47" s="57">
        <f t="shared" si="6"/>
        <v>97093012</v>
      </c>
      <c r="N47" s="1"/>
      <c r="O47" s="1" t="s">
        <v>37</v>
      </c>
      <c r="P47" s="58">
        <f>E47-E46</f>
      </c>
    </row>
    <row r="48" ht="25" customHeight="1" spans="1:16" x14ac:dyDescent="0.25">
      <c r="A48" s="1"/>
      <c r="B48" s="52">
        <v>35</v>
      </c>
      <c r="C48" s="53" t="s">
        <v>104</v>
      </c>
      <c r="D48" s="54" t="s">
        <v>105</v>
      </c>
      <c r="E48" s="55">
        <v>9192256133</v>
      </c>
      <c r="F48" s="56">
        <f t="shared" si="1"/>
        <v>82.4955</v>
      </c>
      <c r="G48" s="56">
        <f t="shared" si="2"/>
        <v>82.3221</v>
      </c>
      <c r="H48" s="56">
        <f t="shared" si="3"/>
        <v>100</v>
      </c>
      <c r="I48" s="56">
        <f t="shared" si="4"/>
        <v>60</v>
      </c>
      <c r="J48" s="56">
        <f t="shared" si="5"/>
      </c>
      <c r="K48" s="56">
        <v>101.3627</v>
      </c>
      <c r="L48" s="56">
        <v>101.24295</v>
      </c>
      <c r="M48" s="57">
        <f t="shared" si="6"/>
        <v>97093012</v>
      </c>
      <c r="N48" s="1"/>
      <c r="O48" s="1" t="s">
        <v>37</v>
      </c>
      <c r="P48" s="58">
        <f>E48-E47</f>
      </c>
    </row>
    <row r="49" ht="25" customHeight="1" spans="1:16" x14ac:dyDescent="0.25">
      <c r="A49" s="1"/>
      <c r="B49" s="52">
        <v>36</v>
      </c>
      <c r="C49" s="53" t="s">
        <v>106</v>
      </c>
      <c r="D49" s="54" t="s">
        <v>107</v>
      </c>
      <c r="E49" s="55">
        <v>9192256133</v>
      </c>
      <c r="F49" s="56">
        <f t="shared" si="1"/>
        <v>82.4955</v>
      </c>
      <c r="G49" s="56">
        <f t="shared" si="2"/>
        <v>82.3221</v>
      </c>
      <c r="H49" s="56">
        <f t="shared" si="3"/>
        <v>100</v>
      </c>
      <c r="I49" s="56">
        <f t="shared" si="4"/>
        <v>60</v>
      </c>
      <c r="J49" s="56">
        <f t="shared" si="5"/>
      </c>
      <c r="K49" s="56">
        <v>101.3627</v>
      </c>
      <c r="L49" s="56">
        <v>101.24295</v>
      </c>
      <c r="M49" s="57">
        <f t="shared" si="6"/>
        <v>97093012</v>
      </c>
      <c r="N49" s="1"/>
      <c r="O49" s="1" t="s">
        <v>37</v>
      </c>
      <c r="P49" s="58">
        <f>E49-E48</f>
      </c>
    </row>
    <row r="50" ht="25" customHeight="1" spans="1:16" x14ac:dyDescent="0.25">
      <c r="A50" s="1"/>
      <c r="B50" s="52">
        <v>37</v>
      </c>
      <c r="C50" s="53" t="s">
        <v>108</v>
      </c>
      <c r="D50" s="54" t="s">
        <v>109</v>
      </c>
      <c r="E50" s="55">
        <v>9192256134</v>
      </c>
      <c r="F50" s="56">
        <f t="shared" si="1"/>
        <v>82.4955</v>
      </c>
      <c r="G50" s="56">
        <f t="shared" si="2"/>
        <v>82.3221</v>
      </c>
      <c r="H50" s="56">
        <f t="shared" si="3"/>
        <v>100</v>
      </c>
      <c r="I50" s="56">
        <f t="shared" si="4"/>
        <v>60</v>
      </c>
      <c r="J50" s="56">
        <f t="shared" si="5"/>
      </c>
      <c r="K50" s="56">
        <v>101.3627</v>
      </c>
      <c r="L50" s="56">
        <v>101.24295</v>
      </c>
      <c r="M50" s="57">
        <f t="shared" si="6"/>
        <v>97093013</v>
      </c>
      <c r="N50" s="1"/>
      <c r="O50" s="1" t="s">
        <v>37</v>
      </c>
      <c r="P50" s="58">
        <f>E50-E49</f>
      </c>
    </row>
    <row r="51" ht="25" customHeight="1" spans="1:16" x14ac:dyDescent="0.25">
      <c r="A51" s="1"/>
      <c r="B51" s="52">
        <v>38</v>
      </c>
      <c r="C51" s="53" t="s">
        <v>110</v>
      </c>
      <c r="D51" s="54" t="s">
        <v>111</v>
      </c>
      <c r="E51" s="55">
        <v>9192256135</v>
      </c>
      <c r="F51" s="56">
        <f t="shared" si="1"/>
        <v>82.4955</v>
      </c>
      <c r="G51" s="56">
        <f t="shared" si="2"/>
        <v>82.3221</v>
      </c>
      <c r="H51" s="56">
        <f t="shared" si="3"/>
        <v>100</v>
      </c>
      <c r="I51" s="56">
        <f t="shared" si="4"/>
        <v>60</v>
      </c>
      <c r="J51" s="56">
        <f t="shared" si="5"/>
      </c>
      <c r="K51" s="56">
        <v>101.3627</v>
      </c>
      <c r="L51" s="56">
        <v>101.24295</v>
      </c>
      <c r="M51" s="57">
        <f t="shared" si="6"/>
        <v>97093014</v>
      </c>
      <c r="N51" s="1"/>
      <c r="O51" s="1" t="s">
        <v>37</v>
      </c>
      <c r="P51" s="58">
        <f>E51-E50</f>
      </c>
    </row>
    <row r="52" ht="25" customHeight="1" spans="1:16" x14ac:dyDescent="0.25">
      <c r="A52" s="1"/>
      <c r="B52" s="52">
        <v>39</v>
      </c>
      <c r="C52" s="53" t="s">
        <v>112</v>
      </c>
      <c r="D52" s="54" t="s">
        <v>113</v>
      </c>
      <c r="E52" s="55">
        <v>9192256135</v>
      </c>
      <c r="F52" s="56">
        <f t="shared" si="1"/>
        <v>82.4955</v>
      </c>
      <c r="G52" s="56">
        <f t="shared" si="2"/>
        <v>82.3221</v>
      </c>
      <c r="H52" s="56">
        <f t="shared" si="3"/>
        <v>100</v>
      </c>
      <c r="I52" s="56">
        <f t="shared" si="4"/>
        <v>60</v>
      </c>
      <c r="J52" s="56">
        <f t="shared" si="5"/>
      </c>
      <c r="K52" s="56">
        <v>101.3627</v>
      </c>
      <c r="L52" s="56">
        <v>101.24295</v>
      </c>
      <c r="M52" s="57">
        <f t="shared" si="6"/>
        <v>97093014</v>
      </c>
      <c r="N52" s="1"/>
      <c r="O52" s="1" t="s">
        <v>37</v>
      </c>
      <c r="P52" s="58">
        <f>E52-E51</f>
      </c>
    </row>
    <row r="53" ht="25" customHeight="1" spans="1:16" x14ac:dyDescent="0.25">
      <c r="A53" s="1"/>
      <c r="B53" s="52">
        <v>40</v>
      </c>
      <c r="C53" s="53" t="s">
        <v>114</v>
      </c>
      <c r="D53" s="54" t="s">
        <v>115</v>
      </c>
      <c r="E53" s="55">
        <v>9192256135</v>
      </c>
      <c r="F53" s="56">
        <f t="shared" si="1"/>
        <v>82.4955</v>
      </c>
      <c r="G53" s="56">
        <f t="shared" si="2"/>
        <v>82.3221</v>
      </c>
      <c r="H53" s="56">
        <f t="shared" si="3"/>
        <v>100</v>
      </c>
      <c r="I53" s="56">
        <f t="shared" si="4"/>
        <v>60</v>
      </c>
      <c r="J53" s="56">
        <f t="shared" si="5"/>
      </c>
      <c r="K53" s="56">
        <v>101.3627</v>
      </c>
      <c r="L53" s="56">
        <v>101.24295</v>
      </c>
      <c r="M53" s="57">
        <f t="shared" si="6"/>
        <v>97093014</v>
      </c>
      <c r="N53" s="1"/>
      <c r="O53" s="1" t="s">
        <v>37</v>
      </c>
      <c r="P53" s="58">
        <f>E53-E52</f>
      </c>
    </row>
    <row r="54" ht="25" customHeight="1" spans="1:16" x14ac:dyDescent="0.25">
      <c r="A54" s="1"/>
      <c r="B54" s="52">
        <v>41</v>
      </c>
      <c r="C54" s="53" t="s">
        <v>116</v>
      </c>
      <c r="D54" s="54" t="s">
        <v>117</v>
      </c>
      <c r="E54" s="55">
        <v>9192256135</v>
      </c>
      <c r="F54" s="56">
        <f t="shared" si="1"/>
        <v>82.4955</v>
      </c>
      <c r="G54" s="56">
        <f t="shared" si="2"/>
        <v>82.3221</v>
      </c>
      <c r="H54" s="56">
        <f t="shared" si="3"/>
        <v>100</v>
      </c>
      <c r="I54" s="56">
        <f t="shared" si="4"/>
        <v>60</v>
      </c>
      <c r="J54" s="56">
        <f t="shared" si="5"/>
      </c>
      <c r="K54" s="56">
        <v>101.3627</v>
      </c>
      <c r="L54" s="56">
        <v>101.24295</v>
      </c>
      <c r="M54" s="57">
        <f t="shared" si="6"/>
        <v>97093014</v>
      </c>
      <c r="N54" s="1"/>
      <c r="O54" s="1" t="s">
        <v>37</v>
      </c>
      <c r="P54" s="58">
        <f>E54-E53</f>
      </c>
    </row>
    <row r="55" ht="25" customHeight="1" spans="1:16" x14ac:dyDescent="0.25">
      <c r="A55" s="1"/>
      <c r="B55" s="52">
        <v>42</v>
      </c>
      <c r="C55" s="53" t="s">
        <v>118</v>
      </c>
      <c r="D55" s="54" t="s">
        <v>119</v>
      </c>
      <c r="E55" s="55">
        <v>9192256135</v>
      </c>
      <c r="F55" s="56">
        <f t="shared" si="1"/>
        <v>82.4955</v>
      </c>
      <c r="G55" s="56">
        <f t="shared" si="2"/>
        <v>82.3221</v>
      </c>
      <c r="H55" s="56">
        <f t="shared" si="3"/>
        <v>100</v>
      </c>
      <c r="I55" s="56">
        <f t="shared" si="4"/>
        <v>60</v>
      </c>
      <c r="J55" s="56">
        <f t="shared" si="5"/>
      </c>
      <c r="K55" s="56">
        <v>101.3627</v>
      </c>
      <c r="L55" s="56">
        <v>101.24295</v>
      </c>
      <c r="M55" s="57">
        <f t="shared" si="6"/>
        <v>97093014</v>
      </c>
      <c r="N55" s="1"/>
      <c r="O55" s="1" t="s">
        <v>37</v>
      </c>
      <c r="P55" s="58">
        <f>E55-E54</f>
      </c>
    </row>
    <row r="56" ht="25" customHeight="1" spans="1:16" x14ac:dyDescent="0.25">
      <c r="A56" s="1"/>
      <c r="B56" s="52">
        <v>43</v>
      </c>
      <c r="C56" s="53" t="s">
        <v>120</v>
      </c>
      <c r="D56" s="54" t="s">
        <v>121</v>
      </c>
      <c r="E56" s="55">
        <v>9192256135</v>
      </c>
      <c r="F56" s="56">
        <f t="shared" si="1"/>
        <v>82.4955</v>
      </c>
      <c r="G56" s="56">
        <f t="shared" si="2"/>
        <v>82.3221</v>
      </c>
      <c r="H56" s="56">
        <f t="shared" si="3"/>
        <v>100</v>
      </c>
      <c r="I56" s="56">
        <f t="shared" si="4"/>
        <v>60</v>
      </c>
      <c r="J56" s="56">
        <f t="shared" si="5"/>
      </c>
      <c r="K56" s="56">
        <v>101.3627</v>
      </c>
      <c r="L56" s="56">
        <v>101.24295</v>
      </c>
      <c r="M56" s="57">
        <f t="shared" si="6"/>
        <v>97093014</v>
      </c>
      <c r="N56" s="1"/>
      <c r="O56" s="1" t="s">
        <v>37</v>
      </c>
      <c r="P56" s="58">
        <f>E56-E55</f>
      </c>
    </row>
    <row r="57" ht="25" customHeight="1" spans="1:16" x14ac:dyDescent="0.25">
      <c r="A57" s="1"/>
      <c r="B57" s="52">
        <v>44</v>
      </c>
      <c r="C57" s="53" t="s">
        <v>122</v>
      </c>
      <c r="D57" s="54" t="s">
        <v>123</v>
      </c>
      <c r="E57" s="55">
        <v>9192256136</v>
      </c>
      <c r="F57" s="56">
        <f t="shared" si="1"/>
        <v>82.4955</v>
      </c>
      <c r="G57" s="56">
        <f t="shared" si="2"/>
        <v>82.3221</v>
      </c>
      <c r="H57" s="56">
        <f t="shared" si="3"/>
        <v>100</v>
      </c>
      <c r="I57" s="56">
        <f t="shared" si="4"/>
        <v>60</v>
      </c>
      <c r="J57" s="56">
        <f t="shared" si="5"/>
      </c>
      <c r="K57" s="56">
        <v>101.3627</v>
      </c>
      <c r="L57" s="56">
        <v>101.24295</v>
      </c>
      <c r="M57" s="57">
        <f t="shared" si="6"/>
        <v>97093015</v>
      </c>
      <c r="N57" s="1"/>
      <c r="O57" s="1" t="s">
        <v>37</v>
      </c>
      <c r="P57" s="58">
        <f>E57-E56</f>
      </c>
    </row>
    <row r="58" ht="25" customHeight="1" spans="1:16" x14ac:dyDescent="0.25">
      <c r="A58" s="1"/>
      <c r="B58" s="52">
        <v>45</v>
      </c>
      <c r="C58" s="53" t="s">
        <v>124</v>
      </c>
      <c r="D58" s="54" t="s">
        <v>125</v>
      </c>
      <c r="E58" s="55">
        <v>9192256137</v>
      </c>
      <c r="F58" s="56">
        <f t="shared" si="1"/>
        <v>82.4955</v>
      </c>
      <c r="G58" s="56">
        <f t="shared" si="2"/>
        <v>82.3221</v>
      </c>
      <c r="H58" s="56">
        <f t="shared" si="3"/>
        <v>100</v>
      </c>
      <c r="I58" s="56">
        <f t="shared" si="4"/>
        <v>60</v>
      </c>
      <c r="J58" s="56">
        <f t="shared" si="5"/>
      </c>
      <c r="K58" s="56">
        <v>101.3627</v>
      </c>
      <c r="L58" s="56">
        <v>101.24295</v>
      </c>
      <c r="M58" s="57">
        <f t="shared" si="6"/>
        <v>97093016</v>
      </c>
      <c r="N58" s="1"/>
      <c r="O58" s="1" t="s">
        <v>37</v>
      </c>
      <c r="P58" s="58">
        <f>E58-E57</f>
      </c>
    </row>
    <row r="59" ht="25" customHeight="1" spans="1:16" x14ac:dyDescent="0.25">
      <c r="A59" s="1"/>
      <c r="B59" s="52">
        <v>46</v>
      </c>
      <c r="C59" s="53" t="s">
        <v>126</v>
      </c>
      <c r="D59" s="54" t="s">
        <v>127</v>
      </c>
      <c r="E59" s="55">
        <v>9192256137</v>
      </c>
      <c r="F59" s="56">
        <f t="shared" si="1"/>
        <v>82.4955</v>
      </c>
      <c r="G59" s="56">
        <f t="shared" si="2"/>
        <v>82.3221</v>
      </c>
      <c r="H59" s="56">
        <f t="shared" si="3"/>
        <v>100</v>
      </c>
      <c r="I59" s="56">
        <f t="shared" si="4"/>
        <v>60</v>
      </c>
      <c r="J59" s="56">
        <f t="shared" si="5"/>
      </c>
      <c r="K59" s="56">
        <v>101.3627</v>
      </c>
      <c r="L59" s="56">
        <v>101.24295</v>
      </c>
      <c r="M59" s="57">
        <f t="shared" si="6"/>
        <v>97093016</v>
      </c>
      <c r="N59" s="1"/>
      <c r="O59" s="1" t="s">
        <v>37</v>
      </c>
      <c r="P59" s="58">
        <f>E59-E58</f>
      </c>
    </row>
    <row r="60" ht="25" customHeight="1" spans="1:16" x14ac:dyDescent="0.25">
      <c r="A60" s="1"/>
      <c r="B60" s="52">
        <v>47</v>
      </c>
      <c r="C60" s="53" t="s">
        <v>128</v>
      </c>
      <c r="D60" s="54" t="s">
        <v>129</v>
      </c>
      <c r="E60" s="55">
        <v>9192256138</v>
      </c>
      <c r="F60" s="56">
        <f t="shared" si="1"/>
        <v>82.4955</v>
      </c>
      <c r="G60" s="56">
        <f t="shared" si="2"/>
        <v>82.3221</v>
      </c>
      <c r="H60" s="56">
        <f t="shared" si="3"/>
        <v>100</v>
      </c>
      <c r="I60" s="56">
        <f t="shared" si="4"/>
        <v>60</v>
      </c>
      <c r="J60" s="56">
        <f t="shared" si="5"/>
      </c>
      <c r="K60" s="56">
        <v>101.3627</v>
      </c>
      <c r="L60" s="56">
        <v>101.24295</v>
      </c>
      <c r="M60" s="57">
        <f t="shared" si="6"/>
        <v>97093017</v>
      </c>
      <c r="N60" s="1"/>
      <c r="O60" s="1" t="s">
        <v>37</v>
      </c>
      <c r="P60" s="58">
        <f>E60-E59</f>
      </c>
    </row>
    <row r="61" ht="25" customHeight="1" spans="1:16" x14ac:dyDescent="0.25">
      <c r="A61" s="1"/>
      <c r="B61" s="52">
        <v>48</v>
      </c>
      <c r="C61" s="53" t="s">
        <v>130</v>
      </c>
      <c r="D61" s="54" t="s">
        <v>131</v>
      </c>
      <c r="E61" s="55">
        <v>9192256138</v>
      </c>
      <c r="F61" s="56">
        <f t="shared" si="1"/>
        <v>82.4955</v>
      </c>
      <c r="G61" s="56">
        <f t="shared" si="2"/>
        <v>82.3221</v>
      </c>
      <c r="H61" s="56">
        <f t="shared" si="3"/>
        <v>100</v>
      </c>
      <c r="I61" s="56">
        <f t="shared" si="4"/>
        <v>60</v>
      </c>
      <c r="J61" s="56">
        <f t="shared" si="5"/>
      </c>
      <c r="K61" s="56">
        <v>101.3627</v>
      </c>
      <c r="L61" s="56">
        <v>101.24295</v>
      </c>
      <c r="M61" s="57">
        <f t="shared" si="6"/>
        <v>97093017</v>
      </c>
      <c r="N61" s="1"/>
      <c r="O61" s="1" t="s">
        <v>37</v>
      </c>
      <c r="P61" s="58">
        <f>E61-E60</f>
      </c>
    </row>
    <row r="62" ht="25" customHeight="1" spans="1:16" x14ac:dyDescent="0.25">
      <c r="A62" s="1"/>
      <c r="B62" s="52">
        <v>49</v>
      </c>
      <c r="C62" s="53" t="s">
        <v>132</v>
      </c>
      <c r="D62" s="54" t="s">
        <v>133</v>
      </c>
      <c r="E62" s="55">
        <v>9192256138</v>
      </c>
      <c r="F62" s="56">
        <f t="shared" si="1"/>
        <v>82.4955</v>
      </c>
      <c r="G62" s="56">
        <f t="shared" si="2"/>
        <v>82.3221</v>
      </c>
      <c r="H62" s="56">
        <f t="shared" si="3"/>
        <v>100</v>
      </c>
      <c r="I62" s="56">
        <f t="shared" si="4"/>
        <v>60</v>
      </c>
      <c r="J62" s="56">
        <f t="shared" si="5"/>
      </c>
      <c r="K62" s="56">
        <v>101.3627</v>
      </c>
      <c r="L62" s="56">
        <v>101.24295</v>
      </c>
      <c r="M62" s="57">
        <f t="shared" si="6"/>
        <v>97093017</v>
      </c>
      <c r="N62" s="1"/>
      <c r="O62" s="1" t="s">
        <v>37</v>
      </c>
      <c r="P62" s="58">
        <f>E62-E61</f>
      </c>
    </row>
    <row r="63" ht="25" customHeight="1" spans="1:16" x14ac:dyDescent="0.25">
      <c r="A63" s="1"/>
      <c r="B63" s="52">
        <v>50</v>
      </c>
      <c r="C63" s="53" t="s">
        <v>134</v>
      </c>
      <c r="D63" s="54" t="s">
        <v>135</v>
      </c>
      <c r="E63" s="55">
        <v>9192256139</v>
      </c>
      <c r="F63" s="56">
        <f t="shared" si="1"/>
        <v>82.4955</v>
      </c>
      <c r="G63" s="56">
        <f t="shared" si="2"/>
        <v>82.3221</v>
      </c>
      <c r="H63" s="56">
        <f t="shared" si="3"/>
        <v>100</v>
      </c>
      <c r="I63" s="56">
        <f t="shared" si="4"/>
        <v>60</v>
      </c>
      <c r="J63" s="56">
        <f t="shared" si="5"/>
      </c>
      <c r="K63" s="56">
        <v>101.3627</v>
      </c>
      <c r="L63" s="56">
        <v>101.24295</v>
      </c>
      <c r="M63" s="57">
        <f t="shared" si="6"/>
        <v>97093018</v>
      </c>
      <c r="N63" s="1"/>
      <c r="O63" s="1" t="s">
        <v>37</v>
      </c>
      <c r="P63" s="58">
        <f>E63-E62</f>
      </c>
    </row>
    <row r="64" ht="25" customHeight="1" spans="1:16" x14ac:dyDescent="0.25">
      <c r="A64" s="1"/>
      <c r="B64" s="52">
        <v>51</v>
      </c>
      <c r="C64" s="53" t="s">
        <v>136</v>
      </c>
      <c r="D64" s="54" t="s">
        <v>137</v>
      </c>
      <c r="E64" s="55">
        <v>9192256139</v>
      </c>
      <c r="F64" s="56">
        <f t="shared" si="1"/>
        <v>82.4955</v>
      </c>
      <c r="G64" s="56">
        <f t="shared" si="2"/>
        <v>82.3221</v>
      </c>
      <c r="H64" s="56">
        <f t="shared" si="3"/>
        <v>100</v>
      </c>
      <c r="I64" s="56">
        <f t="shared" si="4"/>
        <v>60</v>
      </c>
      <c r="J64" s="56">
        <f t="shared" si="5"/>
      </c>
      <c r="K64" s="56">
        <v>101.3627</v>
      </c>
      <c r="L64" s="56">
        <v>101.24295</v>
      </c>
      <c r="M64" s="57">
        <f t="shared" si="6"/>
        <v>97093018</v>
      </c>
      <c r="N64" s="1"/>
      <c r="O64" s="1" t="s">
        <v>37</v>
      </c>
      <c r="P64" s="58">
        <f>E64-E63</f>
      </c>
    </row>
    <row r="65" ht="25" customHeight="1" spans="1:16" x14ac:dyDescent="0.25">
      <c r="A65" s="1"/>
      <c r="B65" s="52">
        <v>52</v>
      </c>
      <c r="C65" s="53" t="s">
        <v>138</v>
      </c>
      <c r="D65" s="54" t="s">
        <v>139</v>
      </c>
      <c r="E65" s="55">
        <v>9192256139</v>
      </c>
      <c r="F65" s="56">
        <f t="shared" si="1"/>
        <v>82.4955</v>
      </c>
      <c r="G65" s="56">
        <f t="shared" si="2"/>
        <v>82.3221</v>
      </c>
      <c r="H65" s="56">
        <f t="shared" si="3"/>
        <v>100</v>
      </c>
      <c r="I65" s="56">
        <f t="shared" si="4"/>
        <v>60</v>
      </c>
      <c r="J65" s="56">
        <f t="shared" si="5"/>
      </c>
      <c r="K65" s="56">
        <v>101.3627</v>
      </c>
      <c r="L65" s="56">
        <v>101.24295</v>
      </c>
      <c r="M65" s="57">
        <f t="shared" si="6"/>
        <v>97093018</v>
      </c>
      <c r="N65" s="1"/>
      <c r="O65" s="1" t="s">
        <v>37</v>
      </c>
      <c r="P65" s="58">
        <f>E65-E64</f>
      </c>
    </row>
    <row r="66" ht="25" customHeight="1" spans="1:16" x14ac:dyDescent="0.25">
      <c r="A66" s="1"/>
      <c r="B66" s="52">
        <v>53</v>
      </c>
      <c r="C66" s="53" t="s">
        <v>140</v>
      </c>
      <c r="D66" s="54" t="s">
        <v>141</v>
      </c>
      <c r="E66" s="55">
        <v>9192256141</v>
      </c>
      <c r="F66" s="56">
        <f t="shared" si="1"/>
        <v>82.4955</v>
      </c>
      <c r="G66" s="56">
        <f t="shared" si="2"/>
        <v>82.3221</v>
      </c>
      <c r="H66" s="56">
        <f t="shared" si="3"/>
        <v>100</v>
      </c>
      <c r="I66" s="56">
        <f t="shared" si="4"/>
        <v>60</v>
      </c>
      <c r="J66" s="56">
        <f t="shared" si="5"/>
      </c>
      <c r="K66" s="56">
        <v>101.3627</v>
      </c>
      <c r="L66" s="56">
        <v>101.24295</v>
      </c>
      <c r="M66" s="57">
        <f t="shared" si="6"/>
        <v>97093020</v>
      </c>
      <c r="N66" s="1"/>
      <c r="O66" s="1" t="s">
        <v>37</v>
      </c>
      <c r="P66" s="58">
        <f>E66-E65</f>
      </c>
    </row>
    <row r="67" ht="25" customHeight="1" spans="1:16" x14ac:dyDescent="0.25">
      <c r="A67" s="1"/>
      <c r="B67" s="52">
        <v>54</v>
      </c>
      <c r="C67" s="53" t="s">
        <v>142</v>
      </c>
      <c r="D67" s="54" t="s">
        <v>143</v>
      </c>
      <c r="E67" s="55">
        <v>9192256146</v>
      </c>
      <c r="F67" s="56">
        <f t="shared" si="1"/>
        <v>82.4955</v>
      </c>
      <c r="G67" s="56">
        <f t="shared" si="2"/>
        <v>82.3221</v>
      </c>
      <c r="H67" s="56">
        <f t="shared" si="3"/>
        <v>100</v>
      </c>
      <c r="I67" s="56">
        <f t="shared" si="4"/>
        <v>60</v>
      </c>
      <c r="J67" s="56">
        <f t="shared" si="5"/>
      </c>
      <c r="K67" s="56">
        <v>101.3627</v>
      </c>
      <c r="L67" s="56">
        <v>101.24295</v>
      </c>
      <c r="M67" s="57">
        <f t="shared" si="6"/>
        <v>97093025</v>
      </c>
      <c r="N67" s="1"/>
      <c r="O67" s="1" t="s">
        <v>37</v>
      </c>
      <c r="P67" s="58">
        <f>E67-E66</f>
      </c>
    </row>
    <row r="68" ht="25" customHeight="1" spans="1:16" x14ac:dyDescent="0.25">
      <c r="A68" s="1"/>
      <c r="B68" s="52">
        <v>55</v>
      </c>
      <c r="C68" s="53" t="s">
        <v>144</v>
      </c>
      <c r="D68" s="54" t="s">
        <v>145</v>
      </c>
      <c r="E68" s="55">
        <v>9192256147</v>
      </c>
      <c r="F68" s="56">
        <f t="shared" si="1"/>
        <v>82.4955</v>
      </c>
      <c r="G68" s="56">
        <f t="shared" si="2"/>
        <v>82.3221</v>
      </c>
      <c r="H68" s="56">
        <f t="shared" si="3"/>
        <v>100</v>
      </c>
      <c r="I68" s="56">
        <f t="shared" si="4"/>
        <v>60</v>
      </c>
      <c r="J68" s="56">
        <f t="shared" si="5"/>
      </c>
      <c r="K68" s="56">
        <v>101.3627</v>
      </c>
      <c r="L68" s="56">
        <v>101.24295</v>
      </c>
      <c r="M68" s="57">
        <f t="shared" si="6"/>
        <v>97093026</v>
      </c>
      <c r="N68" s="1"/>
      <c r="O68" s="1" t="s">
        <v>37</v>
      </c>
      <c r="P68" s="58">
        <f>E68-E67</f>
      </c>
    </row>
    <row r="69" ht="25" customHeight="1" spans="1:16" x14ac:dyDescent="0.25">
      <c r="A69" s="1"/>
      <c r="B69" s="52">
        <v>56</v>
      </c>
      <c r="C69" s="53" t="s">
        <v>146</v>
      </c>
      <c r="D69" s="54" t="s">
        <v>147</v>
      </c>
      <c r="E69" s="55">
        <v>9192256150</v>
      </c>
      <c r="F69" s="56">
        <f t="shared" si="1"/>
        <v>82.4955</v>
      </c>
      <c r="G69" s="56">
        <f t="shared" si="2"/>
        <v>82.3221</v>
      </c>
      <c r="H69" s="56">
        <f t="shared" si="3"/>
        <v>100</v>
      </c>
      <c r="I69" s="56">
        <f t="shared" si="4"/>
        <v>60</v>
      </c>
      <c r="J69" s="56">
        <f t="shared" si="5"/>
      </c>
      <c r="K69" s="56">
        <v>101.3627</v>
      </c>
      <c r="L69" s="56">
        <v>101.24295</v>
      </c>
      <c r="M69" s="57">
        <f t="shared" si="6"/>
        <v>97093029</v>
      </c>
      <c r="N69" s="1"/>
      <c r="O69" s="1" t="s">
        <v>37</v>
      </c>
      <c r="P69" s="58">
        <f>E69-E68</f>
      </c>
    </row>
    <row r="70" ht="25" customHeight="1" spans="1:16" x14ac:dyDescent="0.25">
      <c r="A70" s="1"/>
      <c r="B70" s="52">
        <v>57</v>
      </c>
      <c r="C70" s="53" t="s">
        <v>148</v>
      </c>
      <c r="D70" s="54" t="s">
        <v>149</v>
      </c>
      <c r="E70" s="55">
        <v>9192256152</v>
      </c>
      <c r="F70" s="56">
        <f t="shared" si="1"/>
        <v>82.4955</v>
      </c>
      <c r="G70" s="56">
        <f t="shared" si="2"/>
        <v>82.3221</v>
      </c>
      <c r="H70" s="56">
        <f t="shared" si="3"/>
        <v>100</v>
      </c>
      <c r="I70" s="56">
        <f t="shared" si="4"/>
        <v>60</v>
      </c>
      <c r="J70" s="56">
        <f t="shared" si="5"/>
      </c>
      <c r="K70" s="56">
        <v>101.3627</v>
      </c>
      <c r="L70" s="56">
        <v>101.24295</v>
      </c>
      <c r="M70" s="57">
        <f t="shared" si="6"/>
        <v>97093031</v>
      </c>
      <c r="N70" s="1"/>
      <c r="O70" s="1" t="s">
        <v>37</v>
      </c>
      <c r="P70" s="58">
        <f>E70-E69</f>
      </c>
    </row>
    <row r="71" ht="25" customHeight="1" spans="1:16" x14ac:dyDescent="0.25">
      <c r="A71" s="1"/>
      <c r="B71" s="52">
        <v>58</v>
      </c>
      <c r="C71" s="53" t="s">
        <v>150</v>
      </c>
      <c r="D71" s="54" t="s">
        <v>151</v>
      </c>
      <c r="E71" s="55">
        <v>9192256158</v>
      </c>
      <c r="F71" s="56">
        <f t="shared" si="1"/>
        <v>82.4955</v>
      </c>
      <c r="G71" s="56">
        <f t="shared" si="2"/>
        <v>82.3221</v>
      </c>
      <c r="H71" s="56">
        <f t="shared" si="3"/>
        <v>100</v>
      </c>
      <c r="I71" s="56">
        <f t="shared" si="4"/>
        <v>60</v>
      </c>
      <c r="J71" s="56">
        <f t="shared" si="5"/>
      </c>
      <c r="K71" s="56">
        <v>101.3627</v>
      </c>
      <c r="L71" s="56">
        <v>101.24295</v>
      </c>
      <c r="M71" s="57">
        <f t="shared" si="6"/>
        <v>97093037</v>
      </c>
      <c r="N71" s="1"/>
      <c r="O71" s="1" t="s">
        <v>37</v>
      </c>
      <c r="P71" s="58">
        <f>E71-E70</f>
      </c>
    </row>
    <row r="72" ht="25" customHeight="1" spans="1:16" x14ac:dyDescent="0.25">
      <c r="A72" s="1"/>
      <c r="B72" s="52">
        <v>59</v>
      </c>
      <c r="C72" s="53" t="s">
        <v>152</v>
      </c>
      <c r="D72" s="54" t="s">
        <v>153</v>
      </c>
      <c r="E72" s="55">
        <v>9192256165</v>
      </c>
      <c r="F72" s="56">
        <f t="shared" si="1"/>
        <v>82.4955</v>
      </c>
      <c r="G72" s="56">
        <f t="shared" si="2"/>
        <v>82.3221</v>
      </c>
      <c r="H72" s="56">
        <f t="shared" si="3"/>
        <v>100</v>
      </c>
      <c r="I72" s="56">
        <f t="shared" si="4"/>
        <v>60</v>
      </c>
      <c r="J72" s="56">
        <f t="shared" si="5"/>
      </c>
      <c r="K72" s="56">
        <v>101.3627</v>
      </c>
      <c r="L72" s="56">
        <v>101.24295</v>
      </c>
      <c r="M72" s="57">
        <f t="shared" si="6"/>
        <v>97093044</v>
      </c>
      <c r="N72" s="1"/>
      <c r="O72" s="1" t="s">
        <v>37</v>
      </c>
      <c r="P72" s="58">
        <f>E72-E71</f>
      </c>
    </row>
    <row r="73" ht="25" customHeight="1" spans="1:16" x14ac:dyDescent="0.25">
      <c r="A73" s="1"/>
      <c r="B73" s="52">
        <v>60</v>
      </c>
      <c r="C73" s="53" t="s">
        <v>154</v>
      </c>
      <c r="D73" s="54" t="s">
        <v>155</v>
      </c>
      <c r="E73" s="55">
        <v>9192256167</v>
      </c>
      <c r="F73" s="56">
        <f t="shared" si="1"/>
        <v>82.4955</v>
      </c>
      <c r="G73" s="56">
        <f t="shared" si="2"/>
        <v>82.3221</v>
      </c>
      <c r="H73" s="56">
        <f t="shared" si="3"/>
        <v>100</v>
      </c>
      <c r="I73" s="56">
        <f t="shared" si="4"/>
        <v>60</v>
      </c>
      <c r="J73" s="56">
        <f t="shared" si="5"/>
      </c>
      <c r="K73" s="56">
        <v>101.3627</v>
      </c>
      <c r="L73" s="56">
        <v>101.24295</v>
      </c>
      <c r="M73" s="57">
        <f t="shared" si="6"/>
        <v>97093046</v>
      </c>
      <c r="N73" s="1"/>
      <c r="O73" s="1" t="s">
        <v>37</v>
      </c>
      <c r="P73" s="58">
        <f>E73-E72</f>
      </c>
    </row>
    <row r="74" ht="25" customHeight="1" spans="1:16" x14ac:dyDescent="0.25">
      <c r="A74" s="1"/>
      <c r="B74" s="52">
        <v>61</v>
      </c>
      <c r="C74" s="53" t="s">
        <v>156</v>
      </c>
      <c r="D74" s="54" t="s">
        <v>157</v>
      </c>
      <c r="E74" s="55">
        <v>9192256170</v>
      </c>
      <c r="F74" s="56">
        <f t="shared" si="1"/>
        <v>82.4955</v>
      </c>
      <c r="G74" s="56">
        <f t="shared" si="2"/>
        <v>82.3221</v>
      </c>
      <c r="H74" s="56">
        <f t="shared" si="3"/>
        <v>100</v>
      </c>
      <c r="I74" s="56">
        <f t="shared" si="4"/>
        <v>60</v>
      </c>
      <c r="J74" s="56">
        <f t="shared" si="5"/>
      </c>
      <c r="K74" s="56">
        <v>101.3627</v>
      </c>
      <c r="L74" s="56">
        <v>101.24295</v>
      </c>
      <c r="M74" s="57">
        <f t="shared" si="6"/>
        <v>97093049</v>
      </c>
      <c r="N74" s="1"/>
      <c r="O74" s="1" t="s">
        <v>37</v>
      </c>
      <c r="P74" s="58">
        <f>E74-E73</f>
      </c>
    </row>
    <row r="75" ht="25" customHeight="1" spans="1:16" x14ac:dyDescent="0.25">
      <c r="A75" s="1"/>
      <c r="B75" s="52">
        <v>62</v>
      </c>
      <c r="C75" s="53" t="s">
        <v>158</v>
      </c>
      <c r="D75" s="54" t="s">
        <v>159</v>
      </c>
      <c r="E75" s="55">
        <v>9192256174</v>
      </c>
      <c r="F75" s="56">
        <f t="shared" si="1"/>
        <v>82.4955</v>
      </c>
      <c r="G75" s="56">
        <f t="shared" si="2"/>
        <v>82.3221</v>
      </c>
      <c r="H75" s="56">
        <f t="shared" si="3"/>
        <v>100</v>
      </c>
      <c r="I75" s="56">
        <f t="shared" si="4"/>
        <v>60</v>
      </c>
      <c r="J75" s="56">
        <f t="shared" si="5"/>
      </c>
      <c r="K75" s="56">
        <v>101.3627</v>
      </c>
      <c r="L75" s="56">
        <v>101.24295</v>
      </c>
      <c r="M75" s="57">
        <f t="shared" si="6"/>
        <v>97093053</v>
      </c>
      <c r="N75" s="1"/>
      <c r="O75" s="1" t="s">
        <v>37</v>
      </c>
      <c r="P75" s="58">
        <f>E75-E74</f>
      </c>
    </row>
    <row r="76" ht="25" customHeight="1" spans="1:16" x14ac:dyDescent="0.25">
      <c r="A76" s="1"/>
      <c r="B76" s="52">
        <v>63</v>
      </c>
      <c r="C76" s="53" t="s">
        <v>160</v>
      </c>
      <c r="D76" s="54" t="s">
        <v>161</v>
      </c>
      <c r="E76" s="55">
        <v>9192256183</v>
      </c>
      <c r="F76" s="56">
        <f t="shared" si="1"/>
        <v>82.4955</v>
      </c>
      <c r="G76" s="56">
        <f t="shared" si="2"/>
        <v>82.3221</v>
      </c>
      <c r="H76" s="56">
        <f t="shared" si="3"/>
        <v>100</v>
      </c>
      <c r="I76" s="56">
        <f t="shared" si="4"/>
        <v>60</v>
      </c>
      <c r="J76" s="56">
        <f t="shared" si="5"/>
      </c>
      <c r="K76" s="56">
        <v>101.3627</v>
      </c>
      <c r="L76" s="56">
        <v>101.24295</v>
      </c>
      <c r="M76" s="57">
        <f t="shared" si="6"/>
        <v>97093062</v>
      </c>
      <c r="N76" s="1"/>
      <c r="O76" s="1" t="s">
        <v>37</v>
      </c>
      <c r="P76" s="58">
        <f>E76-E75</f>
      </c>
    </row>
    <row r="77" ht="25" customHeight="1" spans="1:16" x14ac:dyDescent="0.25">
      <c r="A77" s="1"/>
      <c r="B77" s="52">
        <v>64</v>
      </c>
      <c r="C77" s="53" t="s">
        <v>162</v>
      </c>
      <c r="D77" s="54" t="s">
        <v>163</v>
      </c>
      <c r="E77" s="55">
        <v>9192256190</v>
      </c>
      <c r="F77" s="56">
        <f t="shared" si="1"/>
        <v>82.4955</v>
      </c>
      <c r="G77" s="56">
        <f t="shared" si="2"/>
        <v>82.3221</v>
      </c>
      <c r="H77" s="56">
        <f t="shared" si="3"/>
        <v>100</v>
      </c>
      <c r="I77" s="56">
        <f t="shared" si="4"/>
        <v>60</v>
      </c>
      <c r="J77" s="56">
        <f t="shared" si="5"/>
      </c>
      <c r="K77" s="56">
        <v>101.3627</v>
      </c>
      <c r="L77" s="56">
        <v>101.24295</v>
      </c>
      <c r="M77" s="57">
        <f t="shared" si="6"/>
        <v>97093069</v>
      </c>
      <c r="N77" s="1"/>
      <c r="O77" s="1" t="s">
        <v>37</v>
      </c>
      <c r="P77" s="58">
        <f>E77-E76</f>
      </c>
    </row>
    <row r="78" ht="25" customHeight="1" spans="1:16" x14ac:dyDescent="0.25">
      <c r="A78" s="1"/>
      <c r="B78" s="52">
        <v>65</v>
      </c>
      <c r="C78" s="53" t="s">
        <v>164</v>
      </c>
      <c r="D78" s="54" t="s">
        <v>165</v>
      </c>
      <c r="E78" s="55">
        <v>9192256197</v>
      </c>
      <c r="F78" s="56">
        <f t="shared" si="1"/>
        <v>82.4955</v>
      </c>
      <c r="G78" s="56">
        <f t="shared" si="2"/>
        <v>82.3221</v>
      </c>
      <c r="H78" s="56">
        <f t="shared" si="3"/>
        <v>100</v>
      </c>
      <c r="I78" s="56">
        <f t="shared" si="4"/>
        <v>60</v>
      </c>
      <c r="J78" s="56">
        <f t="shared" si="5"/>
      </c>
      <c r="K78" s="56">
        <v>101.3627</v>
      </c>
      <c r="L78" s="56">
        <v>101.24295</v>
      </c>
      <c r="M78" s="57">
        <f t="shared" si="6"/>
        <v>97093076</v>
      </c>
      <c r="N78" s="1"/>
      <c r="O78" s="1" t="s">
        <v>37</v>
      </c>
      <c r="P78" s="58">
        <f>E78-E77</f>
      </c>
    </row>
    <row r="79" ht="25" customHeight="1" spans="1:16" x14ac:dyDescent="0.25">
      <c r="A79" s="1"/>
      <c r="B79" s="52">
        <v>66</v>
      </c>
      <c r="C79" s="53" t="s">
        <v>166</v>
      </c>
      <c r="D79" s="54" t="s">
        <v>167</v>
      </c>
      <c r="E79" s="55">
        <v>9192256200</v>
      </c>
      <c r="F79" s="56">
        <f t="shared" ref="F79:F142" si="7">ROUND((E79/$E$7)*100,4)</f>
        <v>82.4955</v>
      </c>
      <c r="G79" s="56">
        <f t="shared" ref="G79:G142" si="8">ROUND((E79/$E$6)*100,4)</f>
        <v>82.3221</v>
      </c>
      <c r="H79" s="56">
        <f t="shared" ref="H79:H142" si="9">ROUND((E79/$J$6)*100,4)</f>
        <v>100</v>
      </c>
      <c r="I79" s="56">
        <f t="shared" ref="I79:I142" si="10">IFERROR(ROUND(SQRT(1 - IF(E79&lt;=$J$6, $E$9, $N$9) * POWER((E79-$J$6)/($E$7-$J$6),2)) *$C$9,3), 0)</f>
        <v>60</v>
      </c>
      <c r="J79" s="56">
        <f t="shared" ref="J79:J142" si="11">IF(M79&lt;0,"감점","")</f>
      </c>
      <c r="K79" s="56">
        <v>101.3627</v>
      </c>
      <c r="L79" s="56">
        <v>101.24295</v>
      </c>
      <c r="M79" s="57">
        <f t="shared" ref="M79:M142" si="12">E79-$J$10</f>
        <v>97093079</v>
      </c>
      <c r="N79" s="1"/>
      <c r="O79" s="1" t="s">
        <v>37</v>
      </c>
      <c r="P79" s="58">
        <f>E79-E78</f>
      </c>
    </row>
    <row r="80" ht="25" customHeight="1" spans="1:16" x14ac:dyDescent="0.25">
      <c r="A80" s="1"/>
      <c r="B80" s="52">
        <v>67</v>
      </c>
      <c r="C80" s="53" t="s">
        <v>168</v>
      </c>
      <c r="D80" s="54" t="s">
        <v>169</v>
      </c>
      <c r="E80" s="55">
        <v>9192256207</v>
      </c>
      <c r="F80" s="56">
        <f t="shared" si="7"/>
        <v>82.4955</v>
      </c>
      <c r="G80" s="56">
        <f t="shared" si="8"/>
        <v>82.3221</v>
      </c>
      <c r="H80" s="56">
        <f t="shared" si="9"/>
        <v>100</v>
      </c>
      <c r="I80" s="56">
        <f t="shared" si="10"/>
        <v>60</v>
      </c>
      <c r="J80" s="56">
        <f t="shared" si="11"/>
      </c>
      <c r="K80" s="56">
        <v>101.3627</v>
      </c>
      <c r="L80" s="56">
        <v>101.24295</v>
      </c>
      <c r="M80" s="57">
        <f t="shared" si="12"/>
        <v>97093086</v>
      </c>
      <c r="N80" s="1"/>
      <c r="O80" s="1" t="s">
        <v>37</v>
      </c>
      <c r="P80" s="58">
        <f>E80-E79</f>
      </c>
    </row>
    <row r="81" ht="25" customHeight="1" spans="1:16" x14ac:dyDescent="0.25">
      <c r="A81" s="1"/>
      <c r="B81" s="52">
        <v>68</v>
      </c>
      <c r="C81" s="53" t="s">
        <v>170</v>
      </c>
      <c r="D81" s="54" t="s">
        <v>171</v>
      </c>
      <c r="E81" s="55">
        <v>9192256210</v>
      </c>
      <c r="F81" s="56">
        <f t="shared" si="7"/>
        <v>82.4955</v>
      </c>
      <c r="G81" s="56">
        <f t="shared" si="8"/>
        <v>82.3221</v>
      </c>
      <c r="H81" s="56">
        <f t="shared" si="9"/>
        <v>100</v>
      </c>
      <c r="I81" s="56">
        <f t="shared" si="10"/>
        <v>60</v>
      </c>
      <c r="J81" s="56">
        <f t="shared" si="11"/>
      </c>
      <c r="K81" s="56">
        <v>101.3627</v>
      </c>
      <c r="L81" s="56">
        <v>101.24295</v>
      </c>
      <c r="M81" s="57">
        <f t="shared" si="12"/>
        <v>97093089</v>
      </c>
      <c r="N81" s="1"/>
      <c r="O81" s="1" t="s">
        <v>37</v>
      </c>
      <c r="P81" s="58">
        <f>E81-E80</f>
      </c>
    </row>
    <row r="82" ht="25" customHeight="1" spans="1:16" x14ac:dyDescent="0.25">
      <c r="A82" s="1"/>
      <c r="B82" s="52">
        <v>69</v>
      </c>
      <c r="C82" s="53" t="s">
        <v>172</v>
      </c>
      <c r="D82" s="54" t="s">
        <v>173</v>
      </c>
      <c r="E82" s="55">
        <v>9192256210</v>
      </c>
      <c r="F82" s="56">
        <f t="shared" si="7"/>
        <v>82.4955</v>
      </c>
      <c r="G82" s="56">
        <f t="shared" si="8"/>
        <v>82.3221</v>
      </c>
      <c r="H82" s="56">
        <f t="shared" si="9"/>
        <v>100</v>
      </c>
      <c r="I82" s="56">
        <f t="shared" si="10"/>
        <v>60</v>
      </c>
      <c r="J82" s="56">
        <f t="shared" si="11"/>
      </c>
      <c r="K82" s="56">
        <v>101.3627</v>
      </c>
      <c r="L82" s="56">
        <v>101.24295</v>
      </c>
      <c r="M82" s="57">
        <f t="shared" si="12"/>
        <v>97093089</v>
      </c>
      <c r="N82" s="1"/>
      <c r="O82" s="1" t="s">
        <v>37</v>
      </c>
      <c r="P82" s="58">
        <f>E82-E81</f>
      </c>
    </row>
    <row r="83" ht="25" customHeight="1" spans="1:16" x14ac:dyDescent="0.25">
      <c r="A83" s="1"/>
      <c r="B83" s="52">
        <v>70</v>
      </c>
      <c r="C83" s="53" t="s">
        <v>174</v>
      </c>
      <c r="D83" s="54" t="s">
        <v>175</v>
      </c>
      <c r="E83" s="55">
        <v>9192256215</v>
      </c>
      <c r="F83" s="56">
        <f t="shared" si="7"/>
        <v>82.4955</v>
      </c>
      <c r="G83" s="56">
        <f t="shared" si="8"/>
        <v>82.3221</v>
      </c>
      <c r="H83" s="56">
        <f t="shared" si="9"/>
        <v>100</v>
      </c>
      <c r="I83" s="56">
        <f t="shared" si="10"/>
        <v>60</v>
      </c>
      <c r="J83" s="56">
        <f t="shared" si="11"/>
      </c>
      <c r="K83" s="56">
        <v>101.3627</v>
      </c>
      <c r="L83" s="56">
        <v>101.24295</v>
      </c>
      <c r="M83" s="57">
        <f t="shared" si="12"/>
        <v>97093094</v>
      </c>
      <c r="N83" s="1"/>
      <c r="O83" s="1" t="s">
        <v>37</v>
      </c>
      <c r="P83" s="58">
        <f>E83-E82</f>
      </c>
    </row>
    <row r="84" ht="25" customHeight="1" spans="1:16" x14ac:dyDescent="0.25">
      <c r="A84" s="1"/>
      <c r="B84" s="52">
        <v>71</v>
      </c>
      <c r="C84" s="53" t="s">
        <v>176</v>
      </c>
      <c r="D84" s="54" t="s">
        <v>177</v>
      </c>
      <c r="E84" s="55">
        <v>9192256216</v>
      </c>
      <c r="F84" s="56">
        <f t="shared" si="7"/>
        <v>82.4955</v>
      </c>
      <c r="G84" s="56">
        <f t="shared" si="8"/>
        <v>82.3221</v>
      </c>
      <c r="H84" s="56">
        <f t="shared" si="9"/>
        <v>100</v>
      </c>
      <c r="I84" s="56">
        <f t="shared" si="10"/>
        <v>60</v>
      </c>
      <c r="J84" s="56">
        <f t="shared" si="11"/>
      </c>
      <c r="K84" s="56">
        <v>101.3627</v>
      </c>
      <c r="L84" s="56">
        <v>101.24295</v>
      </c>
      <c r="M84" s="57">
        <f t="shared" si="12"/>
        <v>97093095</v>
      </c>
      <c r="N84" s="1"/>
      <c r="O84" s="1" t="s">
        <v>37</v>
      </c>
      <c r="P84" s="58">
        <f>E84-E83</f>
      </c>
    </row>
    <row r="85" ht="25" customHeight="1" spans="1:16" x14ac:dyDescent="0.25">
      <c r="A85" s="1"/>
      <c r="B85" s="52">
        <v>72</v>
      </c>
      <c r="C85" s="53" t="s">
        <v>178</v>
      </c>
      <c r="D85" s="54" t="s">
        <v>179</v>
      </c>
      <c r="E85" s="55">
        <v>9192256217</v>
      </c>
      <c r="F85" s="56">
        <f t="shared" si="7"/>
        <v>82.4955</v>
      </c>
      <c r="G85" s="56">
        <f t="shared" si="8"/>
        <v>82.3221</v>
      </c>
      <c r="H85" s="56">
        <f t="shared" si="9"/>
        <v>100</v>
      </c>
      <c r="I85" s="56">
        <f t="shared" si="10"/>
        <v>60</v>
      </c>
      <c r="J85" s="56">
        <f t="shared" si="11"/>
      </c>
      <c r="K85" s="56">
        <v>101.3627</v>
      </c>
      <c r="L85" s="56">
        <v>101.24295</v>
      </c>
      <c r="M85" s="57">
        <f t="shared" si="12"/>
        <v>97093096</v>
      </c>
      <c r="N85" s="1"/>
      <c r="O85" s="1" t="s">
        <v>37</v>
      </c>
      <c r="P85" s="58">
        <f>E85-E84</f>
      </c>
    </row>
    <row r="86" ht="25" customHeight="1" spans="1:16" x14ac:dyDescent="0.25">
      <c r="A86" s="1"/>
      <c r="B86" s="52">
        <v>73</v>
      </c>
      <c r="C86" s="53" t="s">
        <v>180</v>
      </c>
      <c r="D86" s="54" t="s">
        <v>181</v>
      </c>
      <c r="E86" s="55">
        <v>9192256220</v>
      </c>
      <c r="F86" s="56">
        <f t="shared" si="7"/>
        <v>82.4955</v>
      </c>
      <c r="G86" s="56">
        <f t="shared" si="8"/>
        <v>82.3221</v>
      </c>
      <c r="H86" s="56">
        <f t="shared" si="9"/>
        <v>100</v>
      </c>
      <c r="I86" s="56">
        <f t="shared" si="10"/>
        <v>60</v>
      </c>
      <c r="J86" s="56">
        <f t="shared" si="11"/>
      </c>
      <c r="K86" s="56">
        <v>101.3627</v>
      </c>
      <c r="L86" s="56">
        <v>101.24295</v>
      </c>
      <c r="M86" s="57">
        <f t="shared" si="12"/>
        <v>97093099</v>
      </c>
      <c r="N86" s="1"/>
      <c r="O86" s="1" t="s">
        <v>37</v>
      </c>
      <c r="P86" s="58">
        <f>E86-E85</f>
      </c>
    </row>
    <row r="87" ht="25" customHeight="1" spans="1:16" x14ac:dyDescent="0.25">
      <c r="A87" s="1"/>
      <c r="B87" s="52">
        <v>74</v>
      </c>
      <c r="C87" s="53" t="s">
        <v>182</v>
      </c>
      <c r="D87" s="54" t="s">
        <v>183</v>
      </c>
      <c r="E87" s="55">
        <v>9192256223</v>
      </c>
      <c r="F87" s="56">
        <f t="shared" si="7"/>
        <v>82.4955</v>
      </c>
      <c r="G87" s="56">
        <f t="shared" si="8"/>
        <v>82.3221</v>
      </c>
      <c r="H87" s="56">
        <f t="shared" si="9"/>
        <v>100</v>
      </c>
      <c r="I87" s="56">
        <f t="shared" si="10"/>
        <v>60</v>
      </c>
      <c r="J87" s="56">
        <f t="shared" si="11"/>
      </c>
      <c r="K87" s="56">
        <v>101.3627</v>
      </c>
      <c r="L87" s="56">
        <v>101.24295</v>
      </c>
      <c r="M87" s="57">
        <f t="shared" si="12"/>
        <v>97093102</v>
      </c>
      <c r="N87" s="1"/>
      <c r="O87" s="1" t="s">
        <v>37</v>
      </c>
      <c r="P87" s="58">
        <f>E87-E86</f>
      </c>
    </row>
    <row r="88" ht="25" customHeight="1" spans="1:16" x14ac:dyDescent="0.25">
      <c r="A88" s="1"/>
      <c r="B88" s="52">
        <v>75</v>
      </c>
      <c r="C88" s="53" t="s">
        <v>184</v>
      </c>
      <c r="D88" s="54" t="s">
        <v>185</v>
      </c>
      <c r="E88" s="55">
        <v>9192256224</v>
      </c>
      <c r="F88" s="56">
        <f t="shared" si="7"/>
        <v>82.4955</v>
      </c>
      <c r="G88" s="56">
        <f t="shared" si="8"/>
        <v>82.3221</v>
      </c>
      <c r="H88" s="56">
        <f t="shared" si="9"/>
        <v>100</v>
      </c>
      <c r="I88" s="56">
        <f t="shared" si="10"/>
        <v>60</v>
      </c>
      <c r="J88" s="56">
        <f t="shared" si="11"/>
      </c>
      <c r="K88" s="56">
        <v>101.3627</v>
      </c>
      <c r="L88" s="56">
        <v>101.24295</v>
      </c>
      <c r="M88" s="57">
        <f t="shared" si="12"/>
        <v>97093103</v>
      </c>
      <c r="N88" s="1"/>
      <c r="O88" s="1" t="s">
        <v>37</v>
      </c>
      <c r="P88" s="58">
        <f>E88-E87</f>
      </c>
    </row>
    <row r="89" ht="25" customHeight="1" spans="1:16" x14ac:dyDescent="0.25">
      <c r="A89" s="1"/>
      <c r="B89" s="52">
        <v>76</v>
      </c>
      <c r="C89" s="53" t="s">
        <v>186</v>
      </c>
      <c r="D89" s="54" t="s">
        <v>187</v>
      </c>
      <c r="E89" s="55">
        <v>9192256227</v>
      </c>
      <c r="F89" s="56">
        <f t="shared" si="7"/>
        <v>82.4955</v>
      </c>
      <c r="G89" s="56">
        <f t="shared" si="8"/>
        <v>82.3221</v>
      </c>
      <c r="H89" s="56">
        <f t="shared" si="9"/>
        <v>100</v>
      </c>
      <c r="I89" s="56">
        <f t="shared" si="10"/>
        <v>60</v>
      </c>
      <c r="J89" s="56">
        <f t="shared" si="11"/>
      </c>
      <c r="K89" s="56">
        <v>101.3627</v>
      </c>
      <c r="L89" s="56">
        <v>101.24295</v>
      </c>
      <c r="M89" s="57">
        <f t="shared" si="12"/>
        <v>97093106</v>
      </c>
      <c r="N89" s="1"/>
      <c r="O89" s="1" t="s">
        <v>37</v>
      </c>
      <c r="P89" s="58">
        <f>E89-E88</f>
      </c>
    </row>
    <row r="90" ht="25" customHeight="1" spans="1:16" x14ac:dyDescent="0.25">
      <c r="A90" s="1"/>
      <c r="B90" s="52">
        <v>77</v>
      </c>
      <c r="C90" s="53" t="s">
        <v>188</v>
      </c>
      <c r="D90" s="54" t="s">
        <v>189</v>
      </c>
      <c r="E90" s="55">
        <v>9192256230</v>
      </c>
      <c r="F90" s="56">
        <f t="shared" si="7"/>
        <v>82.4955</v>
      </c>
      <c r="G90" s="56">
        <f t="shared" si="8"/>
        <v>82.3221</v>
      </c>
      <c r="H90" s="56">
        <f t="shared" si="9"/>
        <v>100</v>
      </c>
      <c r="I90" s="56">
        <f t="shared" si="10"/>
        <v>60</v>
      </c>
      <c r="J90" s="56">
        <f t="shared" si="11"/>
      </c>
      <c r="K90" s="56">
        <v>101.3627</v>
      </c>
      <c r="L90" s="56">
        <v>101.24295</v>
      </c>
      <c r="M90" s="57">
        <f t="shared" si="12"/>
        <v>97093109</v>
      </c>
      <c r="N90" s="1"/>
      <c r="O90" s="1" t="s">
        <v>37</v>
      </c>
      <c r="P90" s="58">
        <f>E90-E89</f>
      </c>
    </row>
    <row r="91" ht="25" customHeight="1" spans="1:16" x14ac:dyDescent="0.25">
      <c r="A91" s="1"/>
      <c r="B91" s="52">
        <v>78</v>
      </c>
      <c r="C91" s="53" t="s">
        <v>190</v>
      </c>
      <c r="D91" s="54" t="s">
        <v>191</v>
      </c>
      <c r="E91" s="55">
        <v>9192256231</v>
      </c>
      <c r="F91" s="56">
        <f t="shared" si="7"/>
        <v>82.4955</v>
      </c>
      <c r="G91" s="56">
        <f t="shared" si="8"/>
        <v>82.3221</v>
      </c>
      <c r="H91" s="56">
        <f t="shared" si="9"/>
        <v>100</v>
      </c>
      <c r="I91" s="56">
        <f t="shared" si="10"/>
        <v>60</v>
      </c>
      <c r="J91" s="56">
        <f t="shared" si="11"/>
      </c>
      <c r="K91" s="56">
        <v>101.3627</v>
      </c>
      <c r="L91" s="56">
        <v>101.24295</v>
      </c>
      <c r="M91" s="57">
        <f t="shared" si="12"/>
        <v>97093110</v>
      </c>
      <c r="N91" s="1"/>
      <c r="O91" s="1" t="s">
        <v>37</v>
      </c>
      <c r="P91" s="58">
        <f>E91-E90</f>
      </c>
    </row>
    <row r="92" ht="25" customHeight="1" spans="1:16" x14ac:dyDescent="0.25">
      <c r="A92" s="1"/>
      <c r="B92" s="52">
        <v>79</v>
      </c>
      <c r="C92" s="53" t="s">
        <v>192</v>
      </c>
      <c r="D92" s="54" t="s">
        <v>193</v>
      </c>
      <c r="E92" s="55">
        <v>9192256234</v>
      </c>
      <c r="F92" s="56">
        <f t="shared" si="7"/>
        <v>82.4955</v>
      </c>
      <c r="G92" s="56">
        <f t="shared" si="8"/>
        <v>82.3221</v>
      </c>
      <c r="H92" s="56">
        <f t="shared" si="9"/>
        <v>100</v>
      </c>
      <c r="I92" s="56">
        <f t="shared" si="10"/>
        <v>60</v>
      </c>
      <c r="J92" s="56">
        <f t="shared" si="11"/>
      </c>
      <c r="K92" s="56">
        <v>101.3627</v>
      </c>
      <c r="L92" s="56">
        <v>101.24295</v>
      </c>
      <c r="M92" s="57">
        <f t="shared" si="12"/>
        <v>97093113</v>
      </c>
      <c r="N92" s="1"/>
      <c r="O92" s="1" t="s">
        <v>37</v>
      </c>
      <c r="P92" s="58">
        <f>E92-E91</f>
      </c>
    </row>
    <row r="93" ht="25" customHeight="1" spans="1:16" x14ac:dyDescent="0.25">
      <c r="A93" s="1"/>
      <c r="B93" s="52">
        <v>80</v>
      </c>
      <c r="C93" s="53" t="s">
        <v>194</v>
      </c>
      <c r="D93" s="54" t="s">
        <v>195</v>
      </c>
      <c r="E93" s="55">
        <v>9192256238</v>
      </c>
      <c r="F93" s="56">
        <f t="shared" si="7"/>
        <v>82.4955</v>
      </c>
      <c r="G93" s="56">
        <f t="shared" si="8"/>
        <v>82.3221</v>
      </c>
      <c r="H93" s="56">
        <f t="shared" si="9"/>
        <v>100</v>
      </c>
      <c r="I93" s="56">
        <f t="shared" si="10"/>
        <v>60</v>
      </c>
      <c r="J93" s="56">
        <f t="shared" si="11"/>
      </c>
      <c r="K93" s="56">
        <v>101.3627</v>
      </c>
      <c r="L93" s="56">
        <v>101.24295</v>
      </c>
      <c r="M93" s="57">
        <f t="shared" si="12"/>
        <v>97093117</v>
      </c>
      <c r="N93" s="1"/>
      <c r="O93" s="1" t="s">
        <v>37</v>
      </c>
      <c r="P93" s="58">
        <f>E93-E92</f>
      </c>
    </row>
    <row r="94" ht="25" customHeight="1" spans="1:16" x14ac:dyDescent="0.25">
      <c r="A94" s="1"/>
      <c r="B94" s="52">
        <v>81</v>
      </c>
      <c r="C94" s="53" t="s">
        <v>196</v>
      </c>
      <c r="D94" s="54" t="s">
        <v>197</v>
      </c>
      <c r="E94" s="55">
        <v>9192256240</v>
      </c>
      <c r="F94" s="56">
        <f t="shared" si="7"/>
        <v>82.4955</v>
      </c>
      <c r="G94" s="56">
        <f t="shared" si="8"/>
        <v>82.3221</v>
      </c>
      <c r="H94" s="56">
        <f t="shared" si="9"/>
        <v>100</v>
      </c>
      <c r="I94" s="56">
        <f t="shared" si="10"/>
        <v>60</v>
      </c>
      <c r="J94" s="56">
        <f t="shared" si="11"/>
      </c>
      <c r="K94" s="56">
        <v>101.3627</v>
      </c>
      <c r="L94" s="56">
        <v>101.24295</v>
      </c>
      <c r="M94" s="57">
        <f t="shared" si="12"/>
        <v>97093119</v>
      </c>
      <c r="N94" s="1"/>
      <c r="O94" s="1" t="s">
        <v>37</v>
      </c>
      <c r="P94" s="58">
        <f>E94-E93</f>
      </c>
    </row>
    <row r="95" ht="25" customHeight="1" spans="1:16" x14ac:dyDescent="0.25">
      <c r="A95" s="1"/>
      <c r="B95" s="52">
        <v>82</v>
      </c>
      <c r="C95" s="53" t="s">
        <v>198</v>
      </c>
      <c r="D95" s="54" t="s">
        <v>199</v>
      </c>
      <c r="E95" s="55">
        <v>9192256245</v>
      </c>
      <c r="F95" s="56">
        <f t="shared" si="7"/>
        <v>82.4955</v>
      </c>
      <c r="G95" s="56">
        <f t="shared" si="8"/>
        <v>82.3221</v>
      </c>
      <c r="H95" s="56">
        <f t="shared" si="9"/>
        <v>100</v>
      </c>
      <c r="I95" s="56">
        <f t="shared" si="10"/>
        <v>60</v>
      </c>
      <c r="J95" s="56">
        <f t="shared" si="11"/>
      </c>
      <c r="K95" s="56">
        <v>101.3627</v>
      </c>
      <c r="L95" s="56">
        <v>101.24295</v>
      </c>
      <c r="M95" s="57">
        <f t="shared" si="12"/>
        <v>97093124</v>
      </c>
      <c r="N95" s="1"/>
      <c r="O95" s="1" t="s">
        <v>37</v>
      </c>
      <c r="P95" s="58">
        <f>E95-E94</f>
      </c>
    </row>
    <row r="96" ht="25" customHeight="1" spans="1:16" x14ac:dyDescent="0.25">
      <c r="A96" s="1"/>
      <c r="B96" s="52">
        <v>83</v>
      </c>
      <c r="C96" s="53" t="s">
        <v>200</v>
      </c>
      <c r="D96" s="54" t="s">
        <v>201</v>
      </c>
      <c r="E96" s="55">
        <v>9192256250</v>
      </c>
      <c r="F96" s="56">
        <f t="shared" si="7"/>
        <v>82.4955</v>
      </c>
      <c r="G96" s="56">
        <f t="shared" si="8"/>
        <v>82.3221</v>
      </c>
      <c r="H96" s="56">
        <f t="shared" si="9"/>
        <v>100</v>
      </c>
      <c r="I96" s="56">
        <f t="shared" si="10"/>
        <v>60</v>
      </c>
      <c r="J96" s="56">
        <f t="shared" si="11"/>
      </c>
      <c r="K96" s="56">
        <v>101.3627</v>
      </c>
      <c r="L96" s="56">
        <v>101.24295</v>
      </c>
      <c r="M96" s="57">
        <f t="shared" si="12"/>
        <v>97093129</v>
      </c>
      <c r="N96" s="1"/>
      <c r="O96" s="1" t="s">
        <v>37</v>
      </c>
      <c r="P96" s="58">
        <f>E96-E95</f>
      </c>
    </row>
    <row r="97" ht="25" customHeight="1" spans="1:16" x14ac:dyDescent="0.25">
      <c r="A97" s="1"/>
      <c r="B97" s="52">
        <v>84</v>
      </c>
      <c r="C97" s="53" t="s">
        <v>202</v>
      </c>
      <c r="D97" s="54" t="s">
        <v>203</v>
      </c>
      <c r="E97" s="55">
        <v>9192256258</v>
      </c>
      <c r="F97" s="56">
        <f t="shared" si="7"/>
        <v>82.4955</v>
      </c>
      <c r="G97" s="56">
        <f t="shared" si="8"/>
        <v>82.3221</v>
      </c>
      <c r="H97" s="56">
        <f t="shared" si="9"/>
        <v>100</v>
      </c>
      <c r="I97" s="56">
        <f t="shared" si="10"/>
        <v>60</v>
      </c>
      <c r="J97" s="56">
        <f t="shared" si="11"/>
      </c>
      <c r="K97" s="56">
        <v>101.3627</v>
      </c>
      <c r="L97" s="56">
        <v>101.24295</v>
      </c>
      <c r="M97" s="57">
        <f t="shared" si="12"/>
        <v>97093137</v>
      </c>
      <c r="N97" s="1"/>
      <c r="O97" s="1" t="s">
        <v>37</v>
      </c>
      <c r="P97" s="58">
        <f>E97-E96</f>
      </c>
    </row>
    <row r="98" ht="25" customHeight="1" spans="1:16" x14ac:dyDescent="0.25">
      <c r="A98" s="1"/>
      <c r="B98" s="52">
        <v>85</v>
      </c>
      <c r="C98" s="53" t="s">
        <v>204</v>
      </c>
      <c r="D98" s="54" t="s">
        <v>205</v>
      </c>
      <c r="E98" s="55">
        <v>9192256259</v>
      </c>
      <c r="F98" s="56">
        <f t="shared" si="7"/>
        <v>82.4955</v>
      </c>
      <c r="G98" s="56">
        <f t="shared" si="8"/>
        <v>82.3221</v>
      </c>
      <c r="H98" s="56">
        <f t="shared" si="9"/>
        <v>100</v>
      </c>
      <c r="I98" s="56">
        <f t="shared" si="10"/>
        <v>60</v>
      </c>
      <c r="J98" s="56">
        <f t="shared" si="11"/>
      </c>
      <c r="K98" s="56">
        <v>101.3627</v>
      </c>
      <c r="L98" s="56">
        <v>101.24295</v>
      </c>
      <c r="M98" s="57">
        <f t="shared" si="12"/>
        <v>97093138</v>
      </c>
      <c r="N98" s="1"/>
      <c r="O98" s="1" t="s">
        <v>37</v>
      </c>
      <c r="P98" s="58">
        <f>E98-E97</f>
      </c>
    </row>
    <row r="99" ht="25" customHeight="1" spans="1:16" x14ac:dyDescent="0.25">
      <c r="A99" s="1"/>
      <c r="B99" s="52">
        <v>86</v>
      </c>
      <c r="C99" s="53" t="s">
        <v>206</v>
      </c>
      <c r="D99" s="54" t="s">
        <v>207</v>
      </c>
      <c r="E99" s="55">
        <v>9192256260</v>
      </c>
      <c r="F99" s="56">
        <f t="shared" si="7"/>
        <v>82.4955</v>
      </c>
      <c r="G99" s="56">
        <f t="shared" si="8"/>
        <v>82.3221</v>
      </c>
      <c r="H99" s="56">
        <f t="shared" si="9"/>
        <v>100</v>
      </c>
      <c r="I99" s="56">
        <f t="shared" si="10"/>
        <v>60</v>
      </c>
      <c r="J99" s="56">
        <f t="shared" si="11"/>
      </c>
      <c r="K99" s="56">
        <v>101.3627</v>
      </c>
      <c r="L99" s="56">
        <v>101.24295</v>
      </c>
      <c r="M99" s="57">
        <f t="shared" si="12"/>
        <v>97093139</v>
      </c>
      <c r="N99" s="1"/>
      <c r="O99" s="1" t="s">
        <v>37</v>
      </c>
      <c r="P99" s="58">
        <f>E99-E98</f>
      </c>
    </row>
    <row r="100" ht="25" customHeight="1" spans="1:16" x14ac:dyDescent="0.25">
      <c r="A100" s="1"/>
      <c r="B100" s="52">
        <v>87</v>
      </c>
      <c r="C100" s="53" t="s">
        <v>208</v>
      </c>
      <c r="D100" s="54" t="s">
        <v>209</v>
      </c>
      <c r="E100" s="55">
        <v>9192256261</v>
      </c>
      <c r="F100" s="56">
        <f t="shared" si="7"/>
        <v>82.4955</v>
      </c>
      <c r="G100" s="56">
        <f t="shared" si="8"/>
        <v>82.3221</v>
      </c>
      <c r="H100" s="56">
        <f t="shared" si="9"/>
        <v>100</v>
      </c>
      <c r="I100" s="56">
        <f t="shared" si="10"/>
        <v>60</v>
      </c>
      <c r="J100" s="56">
        <f t="shared" si="11"/>
      </c>
      <c r="K100" s="56">
        <v>101.3627</v>
      </c>
      <c r="L100" s="56">
        <v>101.24295</v>
      </c>
      <c r="M100" s="57">
        <f t="shared" si="12"/>
        <v>97093140</v>
      </c>
      <c r="N100" s="1"/>
      <c r="O100" s="1" t="s">
        <v>37</v>
      </c>
      <c r="P100" s="58">
        <f>E100-E99</f>
      </c>
    </row>
    <row r="101" ht="25" customHeight="1" spans="1:16" x14ac:dyDescent="0.25">
      <c r="A101" s="1"/>
      <c r="B101" s="52">
        <v>88</v>
      </c>
      <c r="C101" s="53" t="s">
        <v>210</v>
      </c>
      <c r="D101" s="54" t="s">
        <v>211</v>
      </c>
      <c r="E101" s="55">
        <v>9192256262</v>
      </c>
      <c r="F101" s="56">
        <f t="shared" si="7"/>
        <v>82.4955</v>
      </c>
      <c r="G101" s="56">
        <f t="shared" si="8"/>
        <v>82.3221</v>
      </c>
      <c r="H101" s="56">
        <f t="shared" si="9"/>
        <v>100</v>
      </c>
      <c r="I101" s="56">
        <f t="shared" si="10"/>
        <v>60</v>
      </c>
      <c r="J101" s="56">
        <f t="shared" si="11"/>
      </c>
      <c r="K101" s="56">
        <v>101.3627</v>
      </c>
      <c r="L101" s="56">
        <v>101.24295</v>
      </c>
      <c r="M101" s="57">
        <f t="shared" si="12"/>
        <v>97093141</v>
      </c>
      <c r="N101" s="1"/>
      <c r="O101" s="1" t="s">
        <v>37</v>
      </c>
      <c r="P101" s="58">
        <f>E101-E100</f>
      </c>
    </row>
    <row r="102" ht="25" customHeight="1" spans="1:16" x14ac:dyDescent="0.25">
      <c r="A102" s="1"/>
      <c r="B102" s="52">
        <v>89</v>
      </c>
      <c r="C102" s="53" t="s">
        <v>212</v>
      </c>
      <c r="D102" s="54" t="s">
        <v>213</v>
      </c>
      <c r="E102" s="55">
        <v>9192256270</v>
      </c>
      <c r="F102" s="56">
        <f t="shared" si="7"/>
        <v>82.4955</v>
      </c>
      <c r="G102" s="56">
        <f t="shared" si="8"/>
        <v>82.3221</v>
      </c>
      <c r="H102" s="56">
        <f t="shared" si="9"/>
        <v>100</v>
      </c>
      <c r="I102" s="56">
        <f t="shared" si="10"/>
        <v>60</v>
      </c>
      <c r="J102" s="56">
        <f t="shared" si="11"/>
      </c>
      <c r="K102" s="56">
        <v>101.3627</v>
      </c>
      <c r="L102" s="56">
        <v>101.24295</v>
      </c>
      <c r="M102" s="57">
        <f t="shared" si="12"/>
        <v>97093149</v>
      </c>
      <c r="N102" s="1"/>
      <c r="O102" s="1" t="s">
        <v>37</v>
      </c>
      <c r="P102" s="58">
        <f>E102-E101</f>
      </c>
    </row>
    <row r="103" ht="25" customHeight="1" spans="1:16" x14ac:dyDescent="0.25">
      <c r="A103" s="1"/>
      <c r="B103" s="52">
        <v>90</v>
      </c>
      <c r="C103" s="53" t="s">
        <v>214</v>
      </c>
      <c r="D103" s="54" t="s">
        <v>215</v>
      </c>
      <c r="E103" s="55">
        <v>9192256271</v>
      </c>
      <c r="F103" s="56">
        <f t="shared" si="7"/>
        <v>82.4955</v>
      </c>
      <c r="G103" s="56">
        <f t="shared" si="8"/>
        <v>82.3221</v>
      </c>
      <c r="H103" s="56">
        <f t="shared" si="9"/>
        <v>100</v>
      </c>
      <c r="I103" s="56">
        <f t="shared" si="10"/>
        <v>60</v>
      </c>
      <c r="J103" s="56">
        <f t="shared" si="11"/>
      </c>
      <c r="K103" s="56">
        <v>101.3627</v>
      </c>
      <c r="L103" s="56">
        <v>101.24295</v>
      </c>
      <c r="M103" s="57">
        <f t="shared" si="12"/>
        <v>97093150</v>
      </c>
      <c r="N103" s="1"/>
      <c r="O103" s="1" t="s">
        <v>37</v>
      </c>
      <c r="P103" s="58">
        <f>E103-E102</f>
      </c>
    </row>
    <row r="104" ht="25" customHeight="1" spans="1:16" x14ac:dyDescent="0.25">
      <c r="A104" s="1"/>
      <c r="B104" s="52">
        <v>91</v>
      </c>
      <c r="C104" s="53" t="s">
        <v>216</v>
      </c>
      <c r="D104" s="54" t="s">
        <v>217</v>
      </c>
      <c r="E104" s="55">
        <v>9192256272</v>
      </c>
      <c r="F104" s="56">
        <f t="shared" si="7"/>
        <v>82.4955</v>
      </c>
      <c r="G104" s="56">
        <f t="shared" si="8"/>
        <v>82.3221</v>
      </c>
      <c r="H104" s="56">
        <f t="shared" si="9"/>
        <v>100</v>
      </c>
      <c r="I104" s="56">
        <f t="shared" si="10"/>
        <v>60</v>
      </c>
      <c r="J104" s="56">
        <f t="shared" si="11"/>
      </c>
      <c r="K104" s="56">
        <v>101.3627</v>
      </c>
      <c r="L104" s="56">
        <v>101.24295</v>
      </c>
      <c r="M104" s="57">
        <f t="shared" si="12"/>
        <v>97093151</v>
      </c>
      <c r="N104" s="1"/>
      <c r="O104" s="1" t="s">
        <v>37</v>
      </c>
      <c r="P104" s="58">
        <f>E104-E103</f>
      </c>
    </row>
    <row r="105" ht="25" customHeight="1" spans="1:16" x14ac:dyDescent="0.25">
      <c r="A105" s="1"/>
      <c r="B105" s="52">
        <v>92</v>
      </c>
      <c r="C105" s="53" t="s">
        <v>218</v>
      </c>
      <c r="D105" s="54" t="s">
        <v>219</v>
      </c>
      <c r="E105" s="55">
        <v>9192256273</v>
      </c>
      <c r="F105" s="56">
        <f t="shared" si="7"/>
        <v>82.4955</v>
      </c>
      <c r="G105" s="56">
        <f t="shared" si="8"/>
        <v>82.3221</v>
      </c>
      <c r="H105" s="56">
        <f t="shared" si="9"/>
        <v>100</v>
      </c>
      <c r="I105" s="56">
        <f t="shared" si="10"/>
        <v>60</v>
      </c>
      <c r="J105" s="56">
        <f t="shared" si="11"/>
      </c>
      <c r="K105" s="56">
        <v>101.3627</v>
      </c>
      <c r="L105" s="56">
        <v>101.24295</v>
      </c>
      <c r="M105" s="57">
        <f t="shared" si="12"/>
        <v>97093152</v>
      </c>
      <c r="N105" s="1"/>
      <c r="O105" s="1" t="s">
        <v>37</v>
      </c>
      <c r="P105" s="58">
        <f>E105-E104</f>
      </c>
    </row>
    <row r="106" ht="25" customHeight="1" spans="1:16" x14ac:dyDescent="0.25">
      <c r="A106" s="1"/>
      <c r="B106" s="52">
        <v>93</v>
      </c>
      <c r="C106" s="53" t="s">
        <v>220</v>
      </c>
      <c r="D106" s="54" t="s">
        <v>221</v>
      </c>
      <c r="E106" s="55">
        <v>9192256274</v>
      </c>
      <c r="F106" s="56">
        <f t="shared" si="7"/>
        <v>82.4955</v>
      </c>
      <c r="G106" s="56">
        <f t="shared" si="8"/>
        <v>82.3221</v>
      </c>
      <c r="H106" s="56">
        <f t="shared" si="9"/>
        <v>100</v>
      </c>
      <c r="I106" s="56">
        <f t="shared" si="10"/>
        <v>60</v>
      </c>
      <c r="J106" s="56">
        <f t="shared" si="11"/>
      </c>
      <c r="K106" s="56">
        <v>101.3627</v>
      </c>
      <c r="L106" s="56">
        <v>101.24295</v>
      </c>
      <c r="M106" s="57">
        <f t="shared" si="12"/>
        <v>97093153</v>
      </c>
      <c r="N106" s="1"/>
      <c r="O106" s="1" t="s">
        <v>37</v>
      </c>
      <c r="P106" s="58">
        <f>E106-E105</f>
      </c>
    </row>
    <row r="107" ht="25" customHeight="1" spans="1:16" x14ac:dyDescent="0.25">
      <c r="A107" s="1"/>
      <c r="B107" s="52">
        <v>94</v>
      </c>
      <c r="C107" s="53" t="s">
        <v>222</v>
      </c>
      <c r="D107" s="54" t="s">
        <v>223</v>
      </c>
      <c r="E107" s="55">
        <v>9192256275</v>
      </c>
      <c r="F107" s="56">
        <f t="shared" si="7"/>
        <v>82.4955</v>
      </c>
      <c r="G107" s="56">
        <f t="shared" si="8"/>
        <v>82.3221</v>
      </c>
      <c r="H107" s="56">
        <f t="shared" si="9"/>
        <v>100</v>
      </c>
      <c r="I107" s="56">
        <f t="shared" si="10"/>
        <v>60</v>
      </c>
      <c r="J107" s="56">
        <f t="shared" si="11"/>
      </c>
      <c r="K107" s="56">
        <v>101.3627</v>
      </c>
      <c r="L107" s="56">
        <v>101.24295</v>
      </c>
      <c r="M107" s="57">
        <f t="shared" si="12"/>
        <v>97093154</v>
      </c>
      <c r="N107" s="1"/>
      <c r="O107" s="1" t="s">
        <v>37</v>
      </c>
      <c r="P107" s="58">
        <f>E107-E106</f>
      </c>
    </row>
    <row r="108" ht="25" customHeight="1" spans="1:16" x14ac:dyDescent="0.25">
      <c r="A108" s="1"/>
      <c r="B108" s="52">
        <v>95</v>
      </c>
      <c r="C108" s="53" t="s">
        <v>224</v>
      </c>
      <c r="D108" s="54" t="s">
        <v>225</v>
      </c>
      <c r="E108" s="55">
        <v>9192256276</v>
      </c>
      <c r="F108" s="56">
        <f t="shared" si="7"/>
        <v>82.4955</v>
      </c>
      <c r="G108" s="56">
        <f t="shared" si="8"/>
        <v>82.3221</v>
      </c>
      <c r="H108" s="56">
        <f t="shared" si="9"/>
        <v>100</v>
      </c>
      <c r="I108" s="56">
        <f t="shared" si="10"/>
        <v>60</v>
      </c>
      <c r="J108" s="56">
        <f t="shared" si="11"/>
      </c>
      <c r="K108" s="56">
        <v>101.3627</v>
      </c>
      <c r="L108" s="56">
        <v>101.24295</v>
      </c>
      <c r="M108" s="57">
        <f t="shared" si="12"/>
        <v>97093155</v>
      </c>
      <c r="N108" s="1"/>
      <c r="O108" s="1" t="s">
        <v>37</v>
      </c>
      <c r="P108" s="58">
        <f>E108-E107</f>
      </c>
    </row>
    <row r="109" ht="25" customHeight="1" spans="1:16" x14ac:dyDescent="0.25">
      <c r="A109" s="1"/>
      <c r="B109" s="52">
        <v>96</v>
      </c>
      <c r="C109" s="53" t="s">
        <v>226</v>
      </c>
      <c r="D109" s="54" t="s">
        <v>227</v>
      </c>
      <c r="E109" s="55">
        <v>9192256277</v>
      </c>
      <c r="F109" s="56">
        <f t="shared" si="7"/>
        <v>82.4955</v>
      </c>
      <c r="G109" s="56">
        <f t="shared" si="8"/>
        <v>82.3221</v>
      </c>
      <c r="H109" s="56">
        <f t="shared" si="9"/>
        <v>100</v>
      </c>
      <c r="I109" s="56">
        <f t="shared" si="10"/>
        <v>60</v>
      </c>
      <c r="J109" s="56">
        <f t="shared" si="11"/>
      </c>
      <c r="K109" s="56">
        <v>101.3627</v>
      </c>
      <c r="L109" s="56">
        <v>101.24295</v>
      </c>
      <c r="M109" s="57">
        <f t="shared" si="12"/>
        <v>97093156</v>
      </c>
      <c r="N109" s="1"/>
      <c r="O109" s="1" t="s">
        <v>37</v>
      </c>
      <c r="P109" s="58">
        <f>E109-E108</f>
      </c>
    </row>
    <row r="110" ht="25" customHeight="1" spans="1:16" x14ac:dyDescent="0.25">
      <c r="A110" s="1"/>
      <c r="B110" s="52">
        <v>97</v>
      </c>
      <c r="C110" s="53" t="s">
        <v>228</v>
      </c>
      <c r="D110" s="54" t="s">
        <v>229</v>
      </c>
      <c r="E110" s="55">
        <v>9192256278</v>
      </c>
      <c r="F110" s="56">
        <f t="shared" si="7"/>
        <v>82.4955</v>
      </c>
      <c r="G110" s="56">
        <f t="shared" si="8"/>
        <v>82.3221</v>
      </c>
      <c r="H110" s="56">
        <f t="shared" si="9"/>
        <v>100</v>
      </c>
      <c r="I110" s="56">
        <f t="shared" si="10"/>
        <v>60</v>
      </c>
      <c r="J110" s="56">
        <f t="shared" si="11"/>
      </c>
      <c r="K110" s="56">
        <v>101.3627</v>
      </c>
      <c r="L110" s="56">
        <v>101.24295</v>
      </c>
      <c r="M110" s="57">
        <f t="shared" si="12"/>
        <v>97093157</v>
      </c>
      <c r="N110" s="1"/>
      <c r="O110" s="1" t="s">
        <v>37</v>
      </c>
      <c r="P110" s="58">
        <f>E110-E109</f>
      </c>
    </row>
    <row r="111" ht="25" customHeight="1" spans="1:16" x14ac:dyDescent="0.25">
      <c r="A111" s="1"/>
      <c r="B111" s="52">
        <v>98</v>
      </c>
      <c r="C111" s="53" t="s">
        <v>230</v>
      </c>
      <c r="D111" s="54" t="s">
        <v>231</v>
      </c>
      <c r="E111" s="55">
        <v>9192256279</v>
      </c>
      <c r="F111" s="56">
        <f t="shared" si="7"/>
        <v>82.4955</v>
      </c>
      <c r="G111" s="56">
        <f t="shared" si="8"/>
        <v>82.3221</v>
      </c>
      <c r="H111" s="56">
        <f t="shared" si="9"/>
        <v>100</v>
      </c>
      <c r="I111" s="56">
        <f t="shared" si="10"/>
        <v>60</v>
      </c>
      <c r="J111" s="56">
        <f t="shared" si="11"/>
      </c>
      <c r="K111" s="56">
        <v>101.3627</v>
      </c>
      <c r="L111" s="56">
        <v>101.24295</v>
      </c>
      <c r="M111" s="57">
        <f t="shared" si="12"/>
        <v>97093158</v>
      </c>
      <c r="N111" s="1"/>
      <c r="O111" s="1" t="s">
        <v>37</v>
      </c>
      <c r="P111" s="58">
        <f>E111-E110</f>
      </c>
    </row>
    <row r="112" ht="25" customHeight="1" spans="1:16" x14ac:dyDescent="0.25">
      <c r="A112" s="1"/>
      <c r="B112" s="52">
        <v>99</v>
      </c>
      <c r="C112" s="53" t="s">
        <v>232</v>
      </c>
      <c r="D112" s="54" t="s">
        <v>233</v>
      </c>
      <c r="E112" s="55">
        <v>9192256280</v>
      </c>
      <c r="F112" s="56">
        <f t="shared" si="7"/>
        <v>82.4955</v>
      </c>
      <c r="G112" s="56">
        <f t="shared" si="8"/>
        <v>82.3221</v>
      </c>
      <c r="H112" s="56">
        <f t="shared" si="9"/>
        <v>100</v>
      </c>
      <c r="I112" s="56">
        <f t="shared" si="10"/>
        <v>60</v>
      </c>
      <c r="J112" s="56">
        <f t="shared" si="11"/>
      </c>
      <c r="K112" s="56">
        <v>101.3627</v>
      </c>
      <c r="L112" s="56">
        <v>101.24295</v>
      </c>
      <c r="M112" s="57">
        <f t="shared" si="12"/>
        <v>97093159</v>
      </c>
      <c r="N112" s="1"/>
      <c r="O112" s="1" t="s">
        <v>37</v>
      </c>
      <c r="P112" s="58">
        <f>E112-E111</f>
      </c>
    </row>
    <row r="113" ht="25" customHeight="1" spans="1:16" x14ac:dyDescent="0.25">
      <c r="A113" s="1"/>
      <c r="B113" s="52">
        <v>100</v>
      </c>
      <c r="C113" s="53" t="s">
        <v>234</v>
      </c>
      <c r="D113" s="54" t="s">
        <v>235</v>
      </c>
      <c r="E113" s="55">
        <v>9192256281</v>
      </c>
      <c r="F113" s="56">
        <f t="shared" si="7"/>
        <v>82.4955</v>
      </c>
      <c r="G113" s="56">
        <f t="shared" si="8"/>
        <v>82.3221</v>
      </c>
      <c r="H113" s="56">
        <f t="shared" si="9"/>
        <v>100</v>
      </c>
      <c r="I113" s="56">
        <f t="shared" si="10"/>
        <v>60</v>
      </c>
      <c r="J113" s="56">
        <f t="shared" si="11"/>
      </c>
      <c r="K113" s="56">
        <v>101.3627</v>
      </c>
      <c r="L113" s="56">
        <v>101.24295</v>
      </c>
      <c r="M113" s="57">
        <f t="shared" si="12"/>
        <v>97093160</v>
      </c>
      <c r="N113" s="1"/>
      <c r="O113" s="1" t="s">
        <v>37</v>
      </c>
      <c r="P113" s="58">
        <f>E113-E112</f>
      </c>
    </row>
    <row r="114" ht="25" customHeight="1" spans="1:16" x14ac:dyDescent="0.25">
      <c r="A114" s="1"/>
      <c r="B114" s="52">
        <v>101</v>
      </c>
      <c r="C114" s="53" t="s">
        <v>236</v>
      </c>
      <c r="D114" s="54" t="s">
        <v>237</v>
      </c>
      <c r="E114" s="55">
        <v>9192256282</v>
      </c>
      <c r="F114" s="56">
        <f t="shared" si="7"/>
        <v>82.4955</v>
      </c>
      <c r="G114" s="56">
        <f t="shared" si="8"/>
        <v>82.3221</v>
      </c>
      <c r="H114" s="56">
        <f t="shared" si="9"/>
        <v>100</v>
      </c>
      <c r="I114" s="56">
        <f t="shared" si="10"/>
        <v>60</v>
      </c>
      <c r="J114" s="56">
        <f t="shared" si="11"/>
      </c>
      <c r="K114" s="56">
        <v>101.3627</v>
      </c>
      <c r="L114" s="56">
        <v>101.24295</v>
      </c>
      <c r="M114" s="57">
        <f t="shared" si="12"/>
        <v>97093161</v>
      </c>
      <c r="N114" s="1"/>
      <c r="O114" s="1" t="s">
        <v>37</v>
      </c>
      <c r="P114" s="58">
        <f>E114-E113</f>
      </c>
    </row>
    <row r="115" ht="25" customHeight="1" spans="1:16" x14ac:dyDescent="0.25">
      <c r="A115" s="1"/>
      <c r="B115" s="52">
        <v>102</v>
      </c>
      <c r="C115" s="53" t="s">
        <v>238</v>
      </c>
      <c r="D115" s="54" t="s">
        <v>239</v>
      </c>
      <c r="E115" s="55">
        <v>9192256283</v>
      </c>
      <c r="F115" s="56">
        <f t="shared" si="7"/>
        <v>82.4955</v>
      </c>
      <c r="G115" s="56">
        <f t="shared" si="8"/>
        <v>82.3221</v>
      </c>
      <c r="H115" s="56">
        <f t="shared" si="9"/>
        <v>100</v>
      </c>
      <c r="I115" s="56">
        <f t="shared" si="10"/>
        <v>60</v>
      </c>
      <c r="J115" s="56">
        <f t="shared" si="11"/>
      </c>
      <c r="K115" s="56">
        <v>101.3627</v>
      </c>
      <c r="L115" s="56">
        <v>101.24295</v>
      </c>
      <c r="M115" s="57">
        <f t="shared" si="12"/>
        <v>97093162</v>
      </c>
      <c r="N115" s="1"/>
      <c r="O115" s="1" t="s">
        <v>37</v>
      </c>
      <c r="P115" s="58">
        <f>E115-E114</f>
      </c>
    </row>
    <row r="116" ht="25" customHeight="1" spans="1:16" x14ac:dyDescent="0.25">
      <c r="A116" s="1"/>
      <c r="B116" s="52">
        <v>103</v>
      </c>
      <c r="C116" s="53" t="s">
        <v>240</v>
      </c>
      <c r="D116" s="54" t="s">
        <v>241</v>
      </c>
      <c r="E116" s="55">
        <v>9192256283</v>
      </c>
      <c r="F116" s="56">
        <f t="shared" si="7"/>
        <v>82.4955</v>
      </c>
      <c r="G116" s="56">
        <f t="shared" si="8"/>
        <v>82.3221</v>
      </c>
      <c r="H116" s="56">
        <f t="shared" si="9"/>
        <v>100</v>
      </c>
      <c r="I116" s="56">
        <f t="shared" si="10"/>
        <v>60</v>
      </c>
      <c r="J116" s="56">
        <f t="shared" si="11"/>
      </c>
      <c r="K116" s="56">
        <v>101.3627</v>
      </c>
      <c r="L116" s="56">
        <v>101.24295</v>
      </c>
      <c r="M116" s="57">
        <f t="shared" si="12"/>
        <v>97093162</v>
      </c>
      <c r="N116" s="1"/>
      <c r="O116" s="1" t="s">
        <v>37</v>
      </c>
      <c r="P116" s="58">
        <f>E116-E115</f>
      </c>
    </row>
    <row r="117" ht="25" customHeight="1" spans="1:16" x14ac:dyDescent="0.25">
      <c r="A117" s="1"/>
      <c r="B117" s="52">
        <v>104</v>
      </c>
      <c r="C117" s="53" t="s">
        <v>242</v>
      </c>
      <c r="D117" s="54" t="s">
        <v>243</v>
      </c>
      <c r="E117" s="55">
        <v>9192256286</v>
      </c>
      <c r="F117" s="56">
        <f t="shared" si="7"/>
        <v>82.4955</v>
      </c>
      <c r="G117" s="56">
        <f t="shared" si="8"/>
        <v>82.3221</v>
      </c>
      <c r="H117" s="56">
        <f t="shared" si="9"/>
        <v>100</v>
      </c>
      <c r="I117" s="56">
        <f t="shared" si="10"/>
        <v>60</v>
      </c>
      <c r="J117" s="56">
        <f t="shared" si="11"/>
      </c>
      <c r="K117" s="56">
        <v>101.3627</v>
      </c>
      <c r="L117" s="56">
        <v>101.24295</v>
      </c>
      <c r="M117" s="57">
        <f t="shared" si="12"/>
        <v>97093165</v>
      </c>
      <c r="N117" s="1"/>
      <c r="O117" s="1" t="s">
        <v>37</v>
      </c>
      <c r="P117" s="58">
        <f>E117-E116</f>
      </c>
    </row>
    <row r="118" ht="25" customHeight="1" spans="1:16" x14ac:dyDescent="0.25">
      <c r="A118" s="1"/>
      <c r="B118" s="52">
        <v>105</v>
      </c>
      <c r="C118" s="53" t="s">
        <v>244</v>
      </c>
      <c r="D118" s="54" t="s">
        <v>245</v>
      </c>
      <c r="E118" s="55">
        <v>9192256290</v>
      </c>
      <c r="F118" s="56">
        <f t="shared" si="7"/>
        <v>82.4955</v>
      </c>
      <c r="G118" s="56">
        <f t="shared" si="8"/>
        <v>82.3221</v>
      </c>
      <c r="H118" s="56">
        <f t="shared" si="9"/>
        <v>100</v>
      </c>
      <c r="I118" s="56">
        <f t="shared" si="10"/>
        <v>60</v>
      </c>
      <c r="J118" s="56">
        <f t="shared" si="11"/>
      </c>
      <c r="K118" s="56">
        <v>101.3627</v>
      </c>
      <c r="L118" s="56">
        <v>101.24295</v>
      </c>
      <c r="M118" s="57">
        <f t="shared" si="12"/>
        <v>97093169</v>
      </c>
      <c r="N118" s="1"/>
      <c r="O118" s="1" t="s">
        <v>37</v>
      </c>
      <c r="P118" s="58">
        <f>E118-E117</f>
      </c>
    </row>
    <row r="119" ht="25" customHeight="1" spans="1:16" x14ac:dyDescent="0.25">
      <c r="A119" s="1"/>
      <c r="B119" s="52">
        <v>106</v>
      </c>
      <c r="C119" s="53" t="s">
        <v>246</v>
      </c>
      <c r="D119" s="54" t="s">
        <v>247</v>
      </c>
      <c r="E119" s="55">
        <v>9192256292</v>
      </c>
      <c r="F119" s="56">
        <f t="shared" si="7"/>
        <v>82.4955</v>
      </c>
      <c r="G119" s="56">
        <f t="shared" si="8"/>
        <v>82.3221</v>
      </c>
      <c r="H119" s="56">
        <f t="shared" si="9"/>
        <v>100</v>
      </c>
      <c r="I119" s="56">
        <f t="shared" si="10"/>
        <v>60</v>
      </c>
      <c r="J119" s="56">
        <f t="shared" si="11"/>
      </c>
      <c r="K119" s="56">
        <v>101.3627</v>
      </c>
      <c r="L119" s="56">
        <v>101.24295</v>
      </c>
      <c r="M119" s="57">
        <f t="shared" si="12"/>
        <v>97093171</v>
      </c>
      <c r="N119" s="1"/>
      <c r="O119" s="1" t="s">
        <v>37</v>
      </c>
      <c r="P119" s="58">
        <f>E119-E118</f>
      </c>
    </row>
    <row r="120" ht="25" customHeight="1" spans="1:16" x14ac:dyDescent="0.25">
      <c r="A120" s="1"/>
      <c r="B120" s="52">
        <v>107</v>
      </c>
      <c r="C120" s="53" t="s">
        <v>248</v>
      </c>
      <c r="D120" s="54" t="s">
        <v>249</v>
      </c>
      <c r="E120" s="55">
        <v>9192256297</v>
      </c>
      <c r="F120" s="56">
        <f t="shared" si="7"/>
        <v>82.4955</v>
      </c>
      <c r="G120" s="56">
        <f t="shared" si="8"/>
        <v>82.3221</v>
      </c>
      <c r="H120" s="56">
        <f t="shared" si="9"/>
        <v>100</v>
      </c>
      <c r="I120" s="56">
        <f t="shared" si="10"/>
        <v>60</v>
      </c>
      <c r="J120" s="56">
        <f t="shared" si="11"/>
      </c>
      <c r="K120" s="56">
        <v>101.3627</v>
      </c>
      <c r="L120" s="56">
        <v>101.24295</v>
      </c>
      <c r="M120" s="57">
        <f t="shared" si="12"/>
        <v>97093176</v>
      </c>
      <c r="N120" s="1"/>
      <c r="O120" s="1" t="s">
        <v>37</v>
      </c>
      <c r="P120" s="58">
        <f>E120-E119</f>
      </c>
    </row>
    <row r="121" ht="25" customHeight="1" spans="1:16" x14ac:dyDescent="0.25">
      <c r="A121" s="1"/>
      <c r="B121" s="52">
        <v>108</v>
      </c>
      <c r="C121" s="53" t="s">
        <v>250</v>
      </c>
      <c r="D121" s="54" t="s">
        <v>251</v>
      </c>
      <c r="E121" s="55">
        <v>9192256300</v>
      </c>
      <c r="F121" s="56">
        <f t="shared" si="7"/>
        <v>82.4955</v>
      </c>
      <c r="G121" s="56">
        <f t="shared" si="8"/>
        <v>82.3221</v>
      </c>
      <c r="H121" s="56">
        <f t="shared" si="9"/>
        <v>100</v>
      </c>
      <c r="I121" s="56">
        <f t="shared" si="10"/>
        <v>60</v>
      </c>
      <c r="J121" s="56">
        <f t="shared" si="11"/>
      </c>
      <c r="K121" s="56">
        <v>101.3627</v>
      </c>
      <c r="L121" s="56">
        <v>101.24295</v>
      </c>
      <c r="M121" s="57">
        <f t="shared" si="12"/>
        <v>97093179</v>
      </c>
      <c r="N121" s="1"/>
      <c r="O121" s="1" t="s">
        <v>37</v>
      </c>
      <c r="P121" s="58">
        <f>E121-E120</f>
      </c>
    </row>
    <row r="122" ht="25" customHeight="1" spans="1:16" x14ac:dyDescent="0.25">
      <c r="A122" s="1"/>
      <c r="B122" s="52">
        <v>109</v>
      </c>
      <c r="C122" s="53" t="s">
        <v>252</v>
      </c>
      <c r="D122" s="54" t="s">
        <v>253</v>
      </c>
      <c r="E122" s="55">
        <v>9192256308</v>
      </c>
      <c r="F122" s="56">
        <f t="shared" si="7"/>
        <v>82.4955</v>
      </c>
      <c r="G122" s="56">
        <f t="shared" si="8"/>
        <v>82.3221</v>
      </c>
      <c r="H122" s="56">
        <f t="shared" si="9"/>
        <v>100</v>
      </c>
      <c r="I122" s="56">
        <f t="shared" si="10"/>
        <v>60</v>
      </c>
      <c r="J122" s="56">
        <f t="shared" si="11"/>
      </c>
      <c r="K122" s="56">
        <v>101.3627</v>
      </c>
      <c r="L122" s="56">
        <v>101.24295</v>
      </c>
      <c r="M122" s="57">
        <f t="shared" si="12"/>
        <v>97093187</v>
      </c>
      <c r="N122" s="1"/>
      <c r="O122" s="1" t="s">
        <v>37</v>
      </c>
      <c r="P122" s="58">
        <f>E122-E121</f>
      </c>
    </row>
    <row r="123" ht="25" customHeight="1" spans="1:16" x14ac:dyDescent="0.25">
      <c r="A123" s="1"/>
      <c r="B123" s="52">
        <v>110</v>
      </c>
      <c r="C123" s="53" t="s">
        <v>254</v>
      </c>
      <c r="D123" s="54" t="s">
        <v>255</v>
      </c>
      <c r="E123" s="55">
        <v>9192256309</v>
      </c>
      <c r="F123" s="56">
        <f t="shared" si="7"/>
        <v>82.4955</v>
      </c>
      <c r="G123" s="56">
        <f t="shared" si="8"/>
        <v>82.3221</v>
      </c>
      <c r="H123" s="56">
        <f t="shared" si="9"/>
        <v>100</v>
      </c>
      <c r="I123" s="56">
        <f t="shared" si="10"/>
        <v>60</v>
      </c>
      <c r="J123" s="56">
        <f t="shared" si="11"/>
      </c>
      <c r="K123" s="56">
        <v>101.3627</v>
      </c>
      <c r="L123" s="56">
        <v>101.24295</v>
      </c>
      <c r="M123" s="57">
        <f t="shared" si="12"/>
        <v>97093188</v>
      </c>
      <c r="N123" s="1"/>
      <c r="O123" s="1" t="s">
        <v>37</v>
      </c>
      <c r="P123" s="58">
        <f>E123-E122</f>
      </c>
    </row>
    <row r="124" ht="25" customHeight="1" spans="1:16" x14ac:dyDescent="0.25">
      <c r="A124" s="1"/>
      <c r="B124" s="52">
        <v>111</v>
      </c>
      <c r="C124" s="53" t="s">
        <v>256</v>
      </c>
      <c r="D124" s="54" t="s">
        <v>257</v>
      </c>
      <c r="E124" s="55">
        <v>9192256310</v>
      </c>
      <c r="F124" s="56">
        <f t="shared" si="7"/>
        <v>82.4955</v>
      </c>
      <c r="G124" s="56">
        <f t="shared" si="8"/>
        <v>82.3221</v>
      </c>
      <c r="H124" s="56">
        <f t="shared" si="9"/>
        <v>100</v>
      </c>
      <c r="I124" s="56">
        <f t="shared" si="10"/>
        <v>60</v>
      </c>
      <c r="J124" s="56">
        <f t="shared" si="11"/>
      </c>
      <c r="K124" s="56">
        <v>101.3627</v>
      </c>
      <c r="L124" s="56">
        <v>101.24295</v>
      </c>
      <c r="M124" s="57">
        <f t="shared" si="12"/>
        <v>97093189</v>
      </c>
      <c r="N124" s="1"/>
      <c r="O124" s="1" t="s">
        <v>37</v>
      </c>
      <c r="P124" s="58">
        <f>E124-E123</f>
      </c>
    </row>
    <row r="125" ht="25" customHeight="1" spans="1:16" x14ac:dyDescent="0.25">
      <c r="A125" s="1"/>
      <c r="B125" s="52">
        <v>112</v>
      </c>
      <c r="C125" s="53" t="s">
        <v>258</v>
      </c>
      <c r="D125" s="54" t="s">
        <v>259</v>
      </c>
      <c r="E125" s="55">
        <v>9192256312</v>
      </c>
      <c r="F125" s="56">
        <f t="shared" si="7"/>
        <v>82.4955</v>
      </c>
      <c r="G125" s="56">
        <f t="shared" si="8"/>
        <v>82.3221</v>
      </c>
      <c r="H125" s="56">
        <f t="shared" si="9"/>
        <v>100</v>
      </c>
      <c r="I125" s="56">
        <f t="shared" si="10"/>
        <v>60</v>
      </c>
      <c r="J125" s="56">
        <f t="shared" si="11"/>
      </c>
      <c r="K125" s="56">
        <v>101.3627</v>
      </c>
      <c r="L125" s="56">
        <v>101.24295</v>
      </c>
      <c r="M125" s="57">
        <f t="shared" si="12"/>
        <v>97093191</v>
      </c>
      <c r="N125" s="1"/>
      <c r="O125" s="1" t="s">
        <v>37</v>
      </c>
      <c r="P125" s="58">
        <f>E125-E124</f>
      </c>
    </row>
    <row r="126" ht="25" customHeight="1" spans="1:16" x14ac:dyDescent="0.25">
      <c r="A126" s="1"/>
      <c r="B126" s="52">
        <v>113</v>
      </c>
      <c r="C126" s="53" t="s">
        <v>260</v>
      </c>
      <c r="D126" s="54" t="s">
        <v>261</v>
      </c>
      <c r="E126" s="55">
        <v>9192256320</v>
      </c>
      <c r="F126" s="56">
        <f t="shared" si="7"/>
        <v>82.4955</v>
      </c>
      <c r="G126" s="56">
        <f t="shared" si="8"/>
        <v>82.3221</v>
      </c>
      <c r="H126" s="56">
        <f t="shared" si="9"/>
        <v>100</v>
      </c>
      <c r="I126" s="56">
        <f t="shared" si="10"/>
        <v>60</v>
      </c>
      <c r="J126" s="56">
        <f t="shared" si="11"/>
      </c>
      <c r="K126" s="56">
        <v>101.3627</v>
      </c>
      <c r="L126" s="56">
        <v>101.24295</v>
      </c>
      <c r="M126" s="57">
        <f t="shared" si="12"/>
        <v>97093199</v>
      </c>
      <c r="N126" s="1"/>
      <c r="O126" s="1" t="s">
        <v>37</v>
      </c>
      <c r="P126" s="58">
        <f>E126-E125</f>
      </c>
    </row>
    <row r="127" ht="25" customHeight="1" spans="1:16" x14ac:dyDescent="0.25">
      <c r="A127" s="1"/>
      <c r="B127" s="52">
        <v>114</v>
      </c>
      <c r="C127" s="53" t="s">
        <v>262</v>
      </c>
      <c r="D127" s="54" t="s">
        <v>263</v>
      </c>
      <c r="E127" s="55">
        <v>9192256321</v>
      </c>
      <c r="F127" s="56">
        <f t="shared" si="7"/>
        <v>82.4955</v>
      </c>
      <c r="G127" s="56">
        <f t="shared" si="8"/>
        <v>82.3221</v>
      </c>
      <c r="H127" s="56">
        <f t="shared" si="9"/>
        <v>100</v>
      </c>
      <c r="I127" s="56">
        <f t="shared" si="10"/>
        <v>60</v>
      </c>
      <c r="J127" s="56">
        <f t="shared" si="11"/>
      </c>
      <c r="K127" s="56">
        <v>101.3627</v>
      </c>
      <c r="L127" s="56">
        <v>101.24295</v>
      </c>
      <c r="M127" s="57">
        <f t="shared" si="12"/>
        <v>97093200</v>
      </c>
      <c r="N127" s="1"/>
      <c r="O127" s="1" t="s">
        <v>37</v>
      </c>
      <c r="P127" s="58">
        <f>E127-E126</f>
      </c>
    </row>
    <row r="128" ht="25" customHeight="1" spans="1:16" x14ac:dyDescent="0.25">
      <c r="A128" s="1"/>
      <c r="B128" s="52">
        <v>115</v>
      </c>
      <c r="C128" s="53" t="s">
        <v>264</v>
      </c>
      <c r="D128" s="54" t="s">
        <v>265</v>
      </c>
      <c r="E128" s="55">
        <v>9192256322</v>
      </c>
      <c r="F128" s="56">
        <f t="shared" si="7"/>
        <v>82.4955</v>
      </c>
      <c r="G128" s="56">
        <f t="shared" si="8"/>
        <v>82.3221</v>
      </c>
      <c r="H128" s="56">
        <f t="shared" si="9"/>
        <v>100</v>
      </c>
      <c r="I128" s="56">
        <f t="shared" si="10"/>
        <v>60</v>
      </c>
      <c r="J128" s="56">
        <f t="shared" si="11"/>
      </c>
      <c r="K128" s="56">
        <v>101.3627</v>
      </c>
      <c r="L128" s="56">
        <v>101.24295</v>
      </c>
      <c r="M128" s="57">
        <f t="shared" si="12"/>
        <v>97093201</v>
      </c>
      <c r="N128" s="1"/>
      <c r="O128" s="1" t="s">
        <v>37</v>
      </c>
      <c r="P128" s="58">
        <f>E128-E127</f>
      </c>
    </row>
    <row r="129" ht="25" customHeight="1" spans="1:16" x14ac:dyDescent="0.25">
      <c r="A129" s="1"/>
      <c r="B129" s="52">
        <v>116</v>
      </c>
      <c r="C129" s="53" t="s">
        <v>266</v>
      </c>
      <c r="D129" s="54" t="s">
        <v>267</v>
      </c>
      <c r="E129" s="55">
        <v>9192256326</v>
      </c>
      <c r="F129" s="56">
        <f t="shared" si="7"/>
        <v>82.4955</v>
      </c>
      <c r="G129" s="56">
        <f t="shared" si="8"/>
        <v>82.3221</v>
      </c>
      <c r="H129" s="56">
        <f t="shared" si="9"/>
        <v>100</v>
      </c>
      <c r="I129" s="56">
        <f t="shared" si="10"/>
        <v>60</v>
      </c>
      <c r="J129" s="56">
        <f t="shared" si="11"/>
      </c>
      <c r="K129" s="56">
        <v>101.3627</v>
      </c>
      <c r="L129" s="56">
        <v>101.24295</v>
      </c>
      <c r="M129" s="57">
        <f t="shared" si="12"/>
        <v>97093205</v>
      </c>
      <c r="N129" s="1"/>
      <c r="O129" s="1" t="s">
        <v>37</v>
      </c>
      <c r="P129" s="58">
        <f>E129-E128</f>
      </c>
    </row>
    <row r="130" ht="25" customHeight="1" spans="1:16" x14ac:dyDescent="0.25">
      <c r="A130" s="1"/>
      <c r="B130" s="52">
        <v>117</v>
      </c>
      <c r="C130" s="53" t="s">
        <v>268</v>
      </c>
      <c r="D130" s="54" t="s">
        <v>269</v>
      </c>
      <c r="E130" s="55">
        <v>9192256326</v>
      </c>
      <c r="F130" s="56">
        <f t="shared" si="7"/>
        <v>82.4955</v>
      </c>
      <c r="G130" s="56">
        <f t="shared" si="8"/>
        <v>82.3221</v>
      </c>
      <c r="H130" s="56">
        <f t="shared" si="9"/>
        <v>100</v>
      </c>
      <c r="I130" s="56">
        <f t="shared" si="10"/>
        <v>60</v>
      </c>
      <c r="J130" s="56">
        <f t="shared" si="11"/>
      </c>
      <c r="K130" s="56">
        <v>101.3627</v>
      </c>
      <c r="L130" s="56">
        <v>101.24295</v>
      </c>
      <c r="M130" s="57">
        <f t="shared" si="12"/>
        <v>97093205</v>
      </c>
      <c r="N130" s="1"/>
      <c r="O130" s="1" t="s">
        <v>37</v>
      </c>
      <c r="P130" s="58">
        <f>E130-E129</f>
      </c>
    </row>
    <row r="131" ht="25" customHeight="1" spans="1:16" x14ac:dyDescent="0.25">
      <c r="A131" s="1"/>
      <c r="B131" s="52">
        <v>118</v>
      </c>
      <c r="C131" s="53" t="s">
        <v>270</v>
      </c>
      <c r="D131" s="54" t="s">
        <v>271</v>
      </c>
      <c r="E131" s="55">
        <v>9192256327</v>
      </c>
      <c r="F131" s="56">
        <f t="shared" si="7"/>
        <v>82.4955</v>
      </c>
      <c r="G131" s="56">
        <f t="shared" si="8"/>
        <v>82.3221</v>
      </c>
      <c r="H131" s="56">
        <f t="shared" si="9"/>
        <v>100</v>
      </c>
      <c r="I131" s="56">
        <f t="shared" si="10"/>
        <v>60</v>
      </c>
      <c r="J131" s="56">
        <f t="shared" si="11"/>
      </c>
      <c r="K131" s="56">
        <v>101.3627</v>
      </c>
      <c r="L131" s="56">
        <v>101.24295</v>
      </c>
      <c r="M131" s="57">
        <f t="shared" si="12"/>
        <v>97093206</v>
      </c>
      <c r="N131" s="1"/>
      <c r="O131" s="1" t="s">
        <v>37</v>
      </c>
      <c r="P131" s="58">
        <f>E131-E130</f>
      </c>
    </row>
    <row r="132" ht="25" customHeight="1" spans="1:16" x14ac:dyDescent="0.25">
      <c r="A132" s="1"/>
      <c r="B132" s="52">
        <v>119</v>
      </c>
      <c r="C132" s="53" t="s">
        <v>272</v>
      </c>
      <c r="D132" s="54" t="s">
        <v>273</v>
      </c>
      <c r="E132" s="55">
        <v>9192256327</v>
      </c>
      <c r="F132" s="56">
        <f t="shared" si="7"/>
        <v>82.4955</v>
      </c>
      <c r="G132" s="56">
        <f t="shared" si="8"/>
        <v>82.3221</v>
      </c>
      <c r="H132" s="56">
        <f t="shared" si="9"/>
        <v>100</v>
      </c>
      <c r="I132" s="56">
        <f t="shared" si="10"/>
        <v>60</v>
      </c>
      <c r="J132" s="56">
        <f t="shared" si="11"/>
      </c>
      <c r="K132" s="56">
        <v>101.3627</v>
      </c>
      <c r="L132" s="56">
        <v>101.24295</v>
      </c>
      <c r="M132" s="57">
        <f t="shared" si="12"/>
        <v>97093206</v>
      </c>
      <c r="N132" s="1"/>
      <c r="O132" s="1" t="s">
        <v>37</v>
      </c>
      <c r="P132" s="58">
        <f>E132-E131</f>
      </c>
    </row>
    <row r="133" ht="25" customHeight="1" spans="1:16" x14ac:dyDescent="0.25">
      <c r="A133" s="1"/>
      <c r="B133" s="52">
        <v>120</v>
      </c>
      <c r="C133" s="53" t="s">
        <v>274</v>
      </c>
      <c r="D133" s="54" t="s">
        <v>275</v>
      </c>
      <c r="E133" s="55">
        <v>9192256330</v>
      </c>
      <c r="F133" s="56">
        <f t="shared" si="7"/>
        <v>82.4955</v>
      </c>
      <c r="G133" s="56">
        <f t="shared" si="8"/>
        <v>82.3221</v>
      </c>
      <c r="H133" s="56">
        <f t="shared" si="9"/>
        <v>100</v>
      </c>
      <c r="I133" s="56">
        <f t="shared" si="10"/>
        <v>60</v>
      </c>
      <c r="J133" s="56">
        <f t="shared" si="11"/>
      </c>
      <c r="K133" s="56">
        <v>101.3627</v>
      </c>
      <c r="L133" s="56">
        <v>101.24295</v>
      </c>
      <c r="M133" s="57">
        <f t="shared" si="12"/>
        <v>97093209</v>
      </c>
      <c r="N133" s="1"/>
      <c r="O133" s="1" t="s">
        <v>37</v>
      </c>
      <c r="P133" s="58">
        <f>E133-E132</f>
      </c>
    </row>
    <row r="134" ht="25" customHeight="1" spans="1:16" x14ac:dyDescent="0.25">
      <c r="A134" s="1"/>
      <c r="B134" s="52">
        <v>121</v>
      </c>
      <c r="C134" s="53" t="s">
        <v>276</v>
      </c>
      <c r="D134" s="54" t="s">
        <v>277</v>
      </c>
      <c r="E134" s="55">
        <v>9192256333</v>
      </c>
      <c r="F134" s="56">
        <f t="shared" si="7"/>
        <v>82.4955</v>
      </c>
      <c r="G134" s="56">
        <f t="shared" si="8"/>
        <v>82.3221</v>
      </c>
      <c r="H134" s="56">
        <f t="shared" si="9"/>
        <v>100</v>
      </c>
      <c r="I134" s="56">
        <f t="shared" si="10"/>
        <v>60</v>
      </c>
      <c r="J134" s="56">
        <f t="shared" si="11"/>
      </c>
      <c r="K134" s="56">
        <v>101.3627</v>
      </c>
      <c r="L134" s="56">
        <v>101.24295</v>
      </c>
      <c r="M134" s="57">
        <f t="shared" si="12"/>
        <v>97093212</v>
      </c>
      <c r="N134" s="1"/>
      <c r="O134" s="1" t="s">
        <v>37</v>
      </c>
      <c r="P134" s="58">
        <f>E134-E133</f>
      </c>
    </row>
    <row r="135" ht="25" customHeight="1" spans="1:16" x14ac:dyDescent="0.25">
      <c r="A135" s="1"/>
      <c r="B135" s="52">
        <v>122</v>
      </c>
      <c r="C135" s="53" t="s">
        <v>278</v>
      </c>
      <c r="D135" s="54" t="s">
        <v>279</v>
      </c>
      <c r="E135" s="55">
        <v>9192256333</v>
      </c>
      <c r="F135" s="56">
        <f t="shared" si="7"/>
        <v>82.4955</v>
      </c>
      <c r="G135" s="56">
        <f t="shared" si="8"/>
        <v>82.3221</v>
      </c>
      <c r="H135" s="56">
        <f t="shared" si="9"/>
        <v>100</v>
      </c>
      <c r="I135" s="56">
        <f t="shared" si="10"/>
        <v>60</v>
      </c>
      <c r="J135" s="56">
        <f t="shared" si="11"/>
      </c>
      <c r="K135" s="56">
        <v>101.3627</v>
      </c>
      <c r="L135" s="56">
        <v>101.24295</v>
      </c>
      <c r="M135" s="57">
        <f t="shared" si="12"/>
        <v>97093212</v>
      </c>
      <c r="N135" s="1"/>
      <c r="O135" s="1" t="s">
        <v>37</v>
      </c>
      <c r="P135" s="58">
        <f>E135-E134</f>
      </c>
    </row>
    <row r="136" ht="25" customHeight="1" spans="1:16" x14ac:dyDescent="0.25">
      <c r="A136" s="1"/>
      <c r="B136" s="52">
        <v>123</v>
      </c>
      <c r="C136" s="53" t="s">
        <v>280</v>
      </c>
      <c r="D136" s="54" t="s">
        <v>281</v>
      </c>
      <c r="E136" s="55">
        <v>9192256333</v>
      </c>
      <c r="F136" s="56">
        <f t="shared" si="7"/>
        <v>82.4955</v>
      </c>
      <c r="G136" s="56">
        <f t="shared" si="8"/>
        <v>82.3221</v>
      </c>
      <c r="H136" s="56">
        <f t="shared" si="9"/>
        <v>100</v>
      </c>
      <c r="I136" s="56">
        <f t="shared" si="10"/>
        <v>60</v>
      </c>
      <c r="J136" s="56">
        <f t="shared" si="11"/>
      </c>
      <c r="K136" s="56">
        <v>101.3627</v>
      </c>
      <c r="L136" s="56">
        <v>101.24295</v>
      </c>
      <c r="M136" s="57">
        <f t="shared" si="12"/>
        <v>97093212</v>
      </c>
      <c r="N136" s="1"/>
      <c r="O136" s="1" t="s">
        <v>37</v>
      </c>
      <c r="P136" s="58">
        <f>E136-E135</f>
      </c>
    </row>
    <row r="137" ht="25" customHeight="1" spans="1:16" x14ac:dyDescent="0.25">
      <c r="A137" s="1"/>
      <c r="B137" s="52">
        <v>124</v>
      </c>
      <c r="C137" s="53" t="s">
        <v>282</v>
      </c>
      <c r="D137" s="54" t="s">
        <v>283</v>
      </c>
      <c r="E137" s="55">
        <v>9192256334</v>
      </c>
      <c r="F137" s="56">
        <f t="shared" si="7"/>
        <v>82.4955</v>
      </c>
      <c r="G137" s="56">
        <f t="shared" si="8"/>
        <v>82.3221</v>
      </c>
      <c r="H137" s="56">
        <f t="shared" si="9"/>
        <v>100</v>
      </c>
      <c r="I137" s="56">
        <f t="shared" si="10"/>
        <v>60</v>
      </c>
      <c r="J137" s="56">
        <f t="shared" si="11"/>
      </c>
      <c r="K137" s="56">
        <v>101.3627</v>
      </c>
      <c r="L137" s="56">
        <v>101.24295</v>
      </c>
      <c r="M137" s="57">
        <f t="shared" si="12"/>
        <v>97093213</v>
      </c>
      <c r="N137" s="1"/>
      <c r="O137" s="1" t="s">
        <v>37</v>
      </c>
      <c r="P137" s="58">
        <f>E137-E136</f>
      </c>
    </row>
    <row r="138" ht="25" customHeight="1" spans="1:16" x14ac:dyDescent="0.25">
      <c r="A138" s="1"/>
      <c r="B138" s="52">
        <v>125</v>
      </c>
      <c r="C138" s="53" t="s">
        <v>284</v>
      </c>
      <c r="D138" s="54" t="s">
        <v>285</v>
      </c>
      <c r="E138" s="55">
        <v>9192256335</v>
      </c>
      <c r="F138" s="56">
        <f t="shared" si="7"/>
        <v>82.4955</v>
      </c>
      <c r="G138" s="56">
        <f t="shared" si="8"/>
        <v>82.3221</v>
      </c>
      <c r="H138" s="56">
        <f t="shared" si="9"/>
        <v>100</v>
      </c>
      <c r="I138" s="56">
        <f t="shared" si="10"/>
        <v>60</v>
      </c>
      <c r="J138" s="56">
        <f t="shared" si="11"/>
      </c>
      <c r="K138" s="56">
        <v>101.3627</v>
      </c>
      <c r="L138" s="56">
        <v>101.24295</v>
      </c>
      <c r="M138" s="57">
        <f t="shared" si="12"/>
        <v>97093214</v>
      </c>
      <c r="N138" s="1"/>
      <c r="O138" s="1" t="s">
        <v>37</v>
      </c>
      <c r="P138" s="58">
        <f>E138-E137</f>
      </c>
    </row>
    <row r="139" ht="25" customHeight="1" spans="1:16" x14ac:dyDescent="0.25">
      <c r="A139" s="1"/>
      <c r="B139" s="52">
        <v>126</v>
      </c>
      <c r="C139" s="53" t="s">
        <v>286</v>
      </c>
      <c r="D139" s="54" t="s">
        <v>287</v>
      </c>
      <c r="E139" s="55">
        <v>9192256335</v>
      </c>
      <c r="F139" s="56">
        <f t="shared" si="7"/>
        <v>82.4955</v>
      </c>
      <c r="G139" s="56">
        <f t="shared" si="8"/>
        <v>82.3221</v>
      </c>
      <c r="H139" s="56">
        <f t="shared" si="9"/>
        <v>100</v>
      </c>
      <c r="I139" s="56">
        <f t="shared" si="10"/>
        <v>60</v>
      </c>
      <c r="J139" s="56">
        <f t="shared" si="11"/>
      </c>
      <c r="K139" s="56">
        <v>101.3627</v>
      </c>
      <c r="L139" s="56">
        <v>101.24295</v>
      </c>
      <c r="M139" s="57">
        <f t="shared" si="12"/>
        <v>97093214</v>
      </c>
      <c r="N139" s="1"/>
      <c r="O139" s="1" t="s">
        <v>37</v>
      </c>
      <c r="P139" s="58">
        <f>E139-E138</f>
      </c>
    </row>
    <row r="140" ht="25" customHeight="1" spans="1:16" x14ac:dyDescent="0.25">
      <c r="A140" s="1"/>
      <c r="B140" s="52">
        <v>127</v>
      </c>
      <c r="C140" s="53" t="s">
        <v>288</v>
      </c>
      <c r="D140" s="54" t="s">
        <v>289</v>
      </c>
      <c r="E140" s="55">
        <v>9192256336</v>
      </c>
      <c r="F140" s="56">
        <f t="shared" si="7"/>
        <v>82.4955</v>
      </c>
      <c r="G140" s="56">
        <f t="shared" si="8"/>
        <v>82.3221</v>
      </c>
      <c r="H140" s="56">
        <f t="shared" si="9"/>
        <v>100</v>
      </c>
      <c r="I140" s="56">
        <f t="shared" si="10"/>
        <v>60</v>
      </c>
      <c r="J140" s="56">
        <f t="shared" si="11"/>
      </c>
      <c r="K140" s="56">
        <v>101.3627</v>
      </c>
      <c r="L140" s="56">
        <v>101.24295</v>
      </c>
      <c r="M140" s="57">
        <f t="shared" si="12"/>
        <v>97093215</v>
      </c>
      <c r="N140" s="1"/>
      <c r="O140" s="1" t="s">
        <v>37</v>
      </c>
      <c r="P140" s="58">
        <f>E140-E139</f>
      </c>
    </row>
    <row r="141" ht="25" customHeight="1" spans="1:16" x14ac:dyDescent="0.25">
      <c r="A141" s="1"/>
      <c r="B141" s="52">
        <v>128</v>
      </c>
      <c r="C141" s="53" t="s">
        <v>290</v>
      </c>
      <c r="D141" s="54" t="s">
        <v>291</v>
      </c>
      <c r="E141" s="55">
        <v>9192256337</v>
      </c>
      <c r="F141" s="56">
        <f t="shared" si="7"/>
        <v>82.4955</v>
      </c>
      <c r="G141" s="56">
        <f t="shared" si="8"/>
        <v>82.3221</v>
      </c>
      <c r="H141" s="56">
        <f t="shared" si="9"/>
        <v>100</v>
      </c>
      <c r="I141" s="56">
        <f t="shared" si="10"/>
        <v>60</v>
      </c>
      <c r="J141" s="56">
        <f t="shared" si="11"/>
      </c>
      <c r="K141" s="56">
        <v>101.3627</v>
      </c>
      <c r="L141" s="56">
        <v>101.24295</v>
      </c>
      <c r="M141" s="57">
        <f t="shared" si="12"/>
        <v>97093216</v>
      </c>
      <c r="N141" s="1"/>
      <c r="O141" s="1" t="s">
        <v>37</v>
      </c>
      <c r="P141" s="58">
        <f>E141-E140</f>
      </c>
    </row>
    <row r="142" ht="25" customHeight="1" spans="1:16" x14ac:dyDescent="0.25">
      <c r="A142" s="1"/>
      <c r="B142" s="52">
        <v>129</v>
      </c>
      <c r="C142" s="53" t="s">
        <v>292</v>
      </c>
      <c r="D142" s="54" t="s">
        <v>293</v>
      </c>
      <c r="E142" s="55">
        <v>9192256338</v>
      </c>
      <c r="F142" s="56">
        <f t="shared" si="7"/>
        <v>82.4955</v>
      </c>
      <c r="G142" s="56">
        <f t="shared" si="8"/>
        <v>82.3221</v>
      </c>
      <c r="H142" s="56">
        <f t="shared" si="9"/>
        <v>100</v>
      </c>
      <c r="I142" s="56">
        <f t="shared" si="10"/>
        <v>60</v>
      </c>
      <c r="J142" s="56">
        <f t="shared" si="11"/>
      </c>
      <c r="K142" s="56">
        <v>101.3627</v>
      </c>
      <c r="L142" s="56">
        <v>101.24295</v>
      </c>
      <c r="M142" s="57">
        <f t="shared" si="12"/>
        <v>97093217</v>
      </c>
      <c r="N142" s="1"/>
      <c r="O142" s="1" t="s">
        <v>37</v>
      </c>
      <c r="P142" s="58">
        <f>E142-E141</f>
      </c>
    </row>
    <row r="143" ht="25" customHeight="1" spans="1:16" x14ac:dyDescent="0.25">
      <c r="A143" s="1"/>
      <c r="B143" s="52">
        <v>130</v>
      </c>
      <c r="C143" s="53" t="s">
        <v>294</v>
      </c>
      <c r="D143" s="54" t="s">
        <v>295</v>
      </c>
      <c r="E143" s="55">
        <v>9192256339</v>
      </c>
      <c r="F143" s="56">
        <f t="shared" ref="F143:F206" si="13">ROUND((E143/$E$7)*100,4)</f>
        <v>82.4955</v>
      </c>
      <c r="G143" s="56">
        <f t="shared" ref="G143:G206" si="14">ROUND((E143/$E$6)*100,4)</f>
        <v>82.3221</v>
      </c>
      <c r="H143" s="56">
        <f t="shared" ref="H143:H206" si="15">ROUND((E143/$J$6)*100,4)</f>
        <v>100</v>
      </c>
      <c r="I143" s="56">
        <f t="shared" ref="I143:I206" si="16">IFERROR(ROUND(SQRT(1 - IF(E143&lt;=$J$6, $E$9, $N$9) * POWER((E143-$J$6)/($E$7-$J$6),2)) *$C$9,3), 0)</f>
        <v>60</v>
      </c>
      <c r="J143" s="56">
        <f t="shared" ref="J143:J206" si="17">IF(M143&lt;0,"감점","")</f>
      </c>
      <c r="K143" s="56">
        <v>101.3627</v>
      </c>
      <c r="L143" s="56">
        <v>101.24295</v>
      </c>
      <c r="M143" s="57">
        <f t="shared" ref="M143:M206" si="18">E143-$J$10</f>
        <v>97093218</v>
      </c>
      <c r="N143" s="1"/>
      <c r="O143" s="1" t="s">
        <v>37</v>
      </c>
      <c r="P143" s="58">
        <f>E143-E142</f>
      </c>
    </row>
    <row r="144" ht="25" customHeight="1" spans="1:16" x14ac:dyDescent="0.25">
      <c r="A144" s="1"/>
      <c r="B144" s="52">
        <v>131</v>
      </c>
      <c r="C144" s="53" t="s">
        <v>296</v>
      </c>
      <c r="D144" s="54" t="s">
        <v>297</v>
      </c>
      <c r="E144" s="55">
        <v>9192256340</v>
      </c>
      <c r="F144" s="56">
        <f t="shared" si="13"/>
        <v>82.4955</v>
      </c>
      <c r="G144" s="56">
        <f t="shared" si="14"/>
        <v>82.3221</v>
      </c>
      <c r="H144" s="56">
        <f t="shared" si="15"/>
        <v>100</v>
      </c>
      <c r="I144" s="56">
        <f t="shared" si="16"/>
        <v>60</v>
      </c>
      <c r="J144" s="56">
        <f t="shared" si="17"/>
      </c>
      <c r="K144" s="56">
        <v>101.3627</v>
      </c>
      <c r="L144" s="56">
        <v>101.24295</v>
      </c>
      <c r="M144" s="57">
        <f t="shared" si="18"/>
        <v>97093219</v>
      </c>
      <c r="N144" s="1"/>
      <c r="O144" s="1" t="s">
        <v>37</v>
      </c>
      <c r="P144" s="58">
        <f>E144-E143</f>
      </c>
    </row>
    <row r="145" ht="25" customHeight="1" spans="1:16" x14ac:dyDescent="0.25">
      <c r="A145" s="1"/>
      <c r="B145" s="52">
        <v>132</v>
      </c>
      <c r="C145" s="53" t="s">
        <v>298</v>
      </c>
      <c r="D145" s="54" t="s">
        <v>299</v>
      </c>
      <c r="E145" s="55">
        <v>9192256341</v>
      </c>
      <c r="F145" s="56">
        <f t="shared" si="13"/>
        <v>82.4955</v>
      </c>
      <c r="G145" s="56">
        <f t="shared" si="14"/>
        <v>82.3221</v>
      </c>
      <c r="H145" s="56">
        <f t="shared" si="15"/>
        <v>100</v>
      </c>
      <c r="I145" s="56">
        <f t="shared" si="16"/>
        <v>60</v>
      </c>
      <c r="J145" s="56">
        <f t="shared" si="17"/>
      </c>
      <c r="K145" s="56">
        <v>101.3627</v>
      </c>
      <c r="L145" s="56">
        <v>101.24295</v>
      </c>
      <c r="M145" s="57">
        <f t="shared" si="18"/>
        <v>97093220</v>
      </c>
      <c r="N145" s="1"/>
      <c r="O145" s="1" t="s">
        <v>37</v>
      </c>
      <c r="P145" s="58">
        <f>E145-E144</f>
      </c>
    </row>
    <row r="146" ht="25" customHeight="1" spans="1:16" x14ac:dyDescent="0.25">
      <c r="A146" s="1"/>
      <c r="B146" s="52">
        <v>133</v>
      </c>
      <c r="C146" s="53" t="s">
        <v>300</v>
      </c>
      <c r="D146" s="54" t="s">
        <v>301</v>
      </c>
      <c r="E146" s="55">
        <v>9192256344</v>
      </c>
      <c r="F146" s="56">
        <f t="shared" si="13"/>
        <v>82.4955</v>
      </c>
      <c r="G146" s="56">
        <f t="shared" si="14"/>
        <v>82.3221</v>
      </c>
      <c r="H146" s="56">
        <f t="shared" si="15"/>
        <v>100</v>
      </c>
      <c r="I146" s="56">
        <f t="shared" si="16"/>
        <v>60</v>
      </c>
      <c r="J146" s="56">
        <f t="shared" si="17"/>
      </c>
      <c r="K146" s="56">
        <v>101.3627</v>
      </c>
      <c r="L146" s="56">
        <v>101.24295</v>
      </c>
      <c r="M146" s="57">
        <f t="shared" si="18"/>
        <v>97093223</v>
      </c>
      <c r="N146" s="1"/>
      <c r="O146" s="1" t="s">
        <v>37</v>
      </c>
      <c r="P146" s="58">
        <f>E146-E145</f>
      </c>
    </row>
    <row r="147" ht="25" customHeight="1" spans="1:16" x14ac:dyDescent="0.25">
      <c r="A147" s="1"/>
      <c r="B147" s="52">
        <v>134</v>
      </c>
      <c r="C147" s="53" t="s">
        <v>302</v>
      </c>
      <c r="D147" s="54" t="s">
        <v>303</v>
      </c>
      <c r="E147" s="55">
        <v>9192256344</v>
      </c>
      <c r="F147" s="56">
        <f t="shared" si="13"/>
        <v>82.4955</v>
      </c>
      <c r="G147" s="56">
        <f t="shared" si="14"/>
        <v>82.3221</v>
      </c>
      <c r="H147" s="56">
        <f t="shared" si="15"/>
        <v>100</v>
      </c>
      <c r="I147" s="56">
        <f t="shared" si="16"/>
        <v>60</v>
      </c>
      <c r="J147" s="56">
        <f t="shared" si="17"/>
      </c>
      <c r="K147" s="56">
        <v>101.3627</v>
      </c>
      <c r="L147" s="56">
        <v>101.24295</v>
      </c>
      <c r="M147" s="57">
        <f t="shared" si="18"/>
        <v>97093223</v>
      </c>
      <c r="N147" s="1"/>
      <c r="O147" s="1" t="s">
        <v>37</v>
      </c>
      <c r="P147" s="58">
        <f>E147-E146</f>
      </c>
    </row>
    <row r="148" ht="25" customHeight="1" spans="1:16" x14ac:dyDescent="0.25">
      <c r="A148" s="1"/>
      <c r="B148" s="52">
        <v>135</v>
      </c>
      <c r="C148" s="53" t="s">
        <v>304</v>
      </c>
      <c r="D148" s="54" t="s">
        <v>305</v>
      </c>
      <c r="E148" s="55">
        <v>9192256346</v>
      </c>
      <c r="F148" s="56">
        <f t="shared" si="13"/>
        <v>82.4955</v>
      </c>
      <c r="G148" s="56">
        <f t="shared" si="14"/>
        <v>82.3221</v>
      </c>
      <c r="H148" s="56">
        <f t="shared" si="15"/>
        <v>100</v>
      </c>
      <c r="I148" s="56">
        <f t="shared" si="16"/>
        <v>60</v>
      </c>
      <c r="J148" s="56">
        <f t="shared" si="17"/>
      </c>
      <c r="K148" s="56">
        <v>101.3627</v>
      </c>
      <c r="L148" s="56">
        <v>101.24295</v>
      </c>
      <c r="M148" s="57">
        <f t="shared" si="18"/>
        <v>97093225</v>
      </c>
      <c r="N148" s="1"/>
      <c r="O148" s="1" t="s">
        <v>37</v>
      </c>
      <c r="P148" s="58">
        <f>E148-E147</f>
      </c>
    </row>
    <row r="149" ht="25" customHeight="1" spans="1:16" x14ac:dyDescent="0.25">
      <c r="A149" s="1"/>
      <c r="B149" s="52">
        <v>136</v>
      </c>
      <c r="C149" s="53" t="s">
        <v>306</v>
      </c>
      <c r="D149" s="54" t="s">
        <v>307</v>
      </c>
      <c r="E149" s="55">
        <v>9192256347</v>
      </c>
      <c r="F149" s="56">
        <f t="shared" si="13"/>
        <v>82.4955</v>
      </c>
      <c r="G149" s="56">
        <f t="shared" si="14"/>
        <v>82.3221</v>
      </c>
      <c r="H149" s="56">
        <f t="shared" si="15"/>
        <v>100</v>
      </c>
      <c r="I149" s="56">
        <f t="shared" si="16"/>
        <v>60</v>
      </c>
      <c r="J149" s="56">
        <f t="shared" si="17"/>
      </c>
      <c r="K149" s="56">
        <v>101.3627</v>
      </c>
      <c r="L149" s="56">
        <v>101.24295</v>
      </c>
      <c r="M149" s="57">
        <f t="shared" si="18"/>
        <v>97093226</v>
      </c>
      <c r="N149" s="1"/>
      <c r="O149" s="1" t="s">
        <v>37</v>
      </c>
      <c r="P149" s="58">
        <f>E149-E148</f>
      </c>
    </row>
    <row r="150" ht="25" customHeight="1" spans="1:16" x14ac:dyDescent="0.25">
      <c r="A150" s="1"/>
      <c r="B150" s="52">
        <v>137</v>
      </c>
      <c r="C150" s="53" t="s">
        <v>308</v>
      </c>
      <c r="D150" s="54" t="s">
        <v>309</v>
      </c>
      <c r="E150" s="55">
        <v>9192256348</v>
      </c>
      <c r="F150" s="56">
        <f t="shared" si="13"/>
        <v>82.4955</v>
      </c>
      <c r="G150" s="56">
        <f t="shared" si="14"/>
        <v>82.3221</v>
      </c>
      <c r="H150" s="56">
        <f t="shared" si="15"/>
        <v>100</v>
      </c>
      <c r="I150" s="56">
        <f t="shared" si="16"/>
        <v>60</v>
      </c>
      <c r="J150" s="56">
        <f t="shared" si="17"/>
      </c>
      <c r="K150" s="56">
        <v>101.3627</v>
      </c>
      <c r="L150" s="56">
        <v>101.24295</v>
      </c>
      <c r="M150" s="57">
        <f t="shared" si="18"/>
        <v>97093227</v>
      </c>
      <c r="N150" s="1"/>
      <c r="O150" s="1" t="s">
        <v>37</v>
      </c>
      <c r="P150" s="58">
        <f>E150-E149</f>
      </c>
    </row>
    <row r="151" ht="25" customHeight="1" spans="1:16" x14ac:dyDescent="0.25">
      <c r="A151" s="1"/>
      <c r="B151" s="52">
        <v>138</v>
      </c>
      <c r="C151" s="53" t="s">
        <v>310</v>
      </c>
      <c r="D151" s="54" t="s">
        <v>135</v>
      </c>
      <c r="E151" s="55">
        <v>9192256350</v>
      </c>
      <c r="F151" s="56">
        <f t="shared" si="13"/>
        <v>82.4955</v>
      </c>
      <c r="G151" s="56">
        <f t="shared" si="14"/>
        <v>82.3221</v>
      </c>
      <c r="H151" s="56">
        <f t="shared" si="15"/>
        <v>100</v>
      </c>
      <c r="I151" s="56">
        <f t="shared" si="16"/>
        <v>60</v>
      </c>
      <c r="J151" s="56">
        <f t="shared" si="17"/>
      </c>
      <c r="K151" s="56">
        <v>101.3627</v>
      </c>
      <c r="L151" s="56">
        <v>101.24295</v>
      </c>
      <c r="M151" s="57">
        <f t="shared" si="18"/>
        <v>97093229</v>
      </c>
      <c r="N151" s="1"/>
      <c r="O151" s="1" t="s">
        <v>37</v>
      </c>
      <c r="P151" s="58">
        <f>E151-E150</f>
      </c>
    </row>
    <row r="152" ht="25" customHeight="1" spans="1:16" x14ac:dyDescent="0.25">
      <c r="A152" s="1"/>
      <c r="B152" s="52">
        <v>139</v>
      </c>
      <c r="C152" s="53" t="s">
        <v>311</v>
      </c>
      <c r="D152" s="54" t="s">
        <v>312</v>
      </c>
      <c r="E152" s="55">
        <v>9192256355</v>
      </c>
      <c r="F152" s="56">
        <f t="shared" si="13"/>
        <v>82.4955</v>
      </c>
      <c r="G152" s="56">
        <f t="shared" si="14"/>
        <v>82.3221</v>
      </c>
      <c r="H152" s="56">
        <f t="shared" si="15"/>
        <v>100</v>
      </c>
      <c r="I152" s="56">
        <f t="shared" si="16"/>
        <v>60</v>
      </c>
      <c r="J152" s="56">
        <f t="shared" si="17"/>
      </c>
      <c r="K152" s="56">
        <v>101.3627</v>
      </c>
      <c r="L152" s="56">
        <v>101.24295</v>
      </c>
      <c r="M152" s="57">
        <f t="shared" si="18"/>
        <v>97093234</v>
      </c>
      <c r="N152" s="1"/>
      <c r="O152" s="1" t="s">
        <v>37</v>
      </c>
      <c r="P152" s="58">
        <f>E152-E151</f>
      </c>
    </row>
    <row r="153" ht="25" customHeight="1" spans="1:16" x14ac:dyDescent="0.25">
      <c r="A153" s="1"/>
      <c r="B153" s="52">
        <v>140</v>
      </c>
      <c r="C153" s="53" t="s">
        <v>313</v>
      </c>
      <c r="D153" s="54" t="s">
        <v>314</v>
      </c>
      <c r="E153" s="55">
        <v>9192256358</v>
      </c>
      <c r="F153" s="56">
        <f t="shared" si="13"/>
        <v>82.4955</v>
      </c>
      <c r="G153" s="56">
        <f t="shared" si="14"/>
        <v>82.3221</v>
      </c>
      <c r="H153" s="56">
        <f t="shared" si="15"/>
        <v>100</v>
      </c>
      <c r="I153" s="56">
        <f t="shared" si="16"/>
        <v>60</v>
      </c>
      <c r="J153" s="56">
        <f t="shared" si="17"/>
      </c>
      <c r="K153" s="56">
        <v>101.3627</v>
      </c>
      <c r="L153" s="56">
        <v>101.24295</v>
      </c>
      <c r="M153" s="57">
        <f t="shared" si="18"/>
        <v>97093237</v>
      </c>
      <c r="N153" s="1"/>
      <c r="O153" s="1" t="s">
        <v>37</v>
      </c>
      <c r="P153" s="58">
        <f>E153-E152</f>
      </c>
    </row>
    <row r="154" ht="25" customHeight="1" spans="1:16" x14ac:dyDescent="0.25">
      <c r="A154" s="1"/>
      <c r="B154" s="52">
        <v>141</v>
      </c>
      <c r="C154" s="53" t="s">
        <v>315</v>
      </c>
      <c r="D154" s="54" t="s">
        <v>316</v>
      </c>
      <c r="E154" s="55">
        <v>9192256360</v>
      </c>
      <c r="F154" s="56">
        <f t="shared" si="13"/>
        <v>82.4955</v>
      </c>
      <c r="G154" s="56">
        <f t="shared" si="14"/>
        <v>82.3221</v>
      </c>
      <c r="H154" s="56">
        <f t="shared" si="15"/>
        <v>100</v>
      </c>
      <c r="I154" s="56">
        <f t="shared" si="16"/>
        <v>60</v>
      </c>
      <c r="J154" s="56">
        <f t="shared" si="17"/>
      </c>
      <c r="K154" s="56">
        <v>101.3627</v>
      </c>
      <c r="L154" s="56">
        <v>101.24295</v>
      </c>
      <c r="M154" s="57">
        <f t="shared" si="18"/>
        <v>97093239</v>
      </c>
      <c r="N154" s="1"/>
      <c r="O154" s="1" t="s">
        <v>37</v>
      </c>
      <c r="P154" s="58">
        <f>E154-E153</f>
      </c>
    </row>
    <row r="155" ht="25" customHeight="1" spans="1:16" x14ac:dyDescent="0.25">
      <c r="A155" s="1"/>
      <c r="B155" s="52">
        <v>142</v>
      </c>
      <c r="C155" s="53" t="s">
        <v>317</v>
      </c>
      <c r="D155" s="54" t="s">
        <v>318</v>
      </c>
      <c r="E155" s="55">
        <v>9192256364</v>
      </c>
      <c r="F155" s="56">
        <f t="shared" si="13"/>
        <v>82.4955</v>
      </c>
      <c r="G155" s="56">
        <f t="shared" si="14"/>
        <v>82.3221</v>
      </c>
      <c r="H155" s="56">
        <f t="shared" si="15"/>
        <v>100</v>
      </c>
      <c r="I155" s="56">
        <f t="shared" si="16"/>
        <v>60</v>
      </c>
      <c r="J155" s="56">
        <f t="shared" si="17"/>
      </c>
      <c r="K155" s="56">
        <v>101.3627</v>
      </c>
      <c r="L155" s="56">
        <v>101.24295</v>
      </c>
      <c r="M155" s="57">
        <f t="shared" si="18"/>
        <v>97093243</v>
      </c>
      <c r="N155" s="1"/>
      <c r="O155" s="1" t="s">
        <v>37</v>
      </c>
      <c r="P155" s="58">
        <f>E155-E154</f>
      </c>
    </row>
    <row r="156" ht="25" customHeight="1" spans="1:16" x14ac:dyDescent="0.25">
      <c r="A156" s="1"/>
      <c r="B156" s="52">
        <v>143</v>
      </c>
      <c r="C156" s="53" t="s">
        <v>319</v>
      </c>
      <c r="D156" s="54" t="s">
        <v>320</v>
      </c>
      <c r="E156" s="55">
        <v>9192256364</v>
      </c>
      <c r="F156" s="56">
        <f t="shared" si="13"/>
        <v>82.4955</v>
      </c>
      <c r="G156" s="56">
        <f t="shared" si="14"/>
        <v>82.3221</v>
      </c>
      <c r="H156" s="56">
        <f t="shared" si="15"/>
        <v>100</v>
      </c>
      <c r="I156" s="56">
        <f t="shared" si="16"/>
        <v>60</v>
      </c>
      <c r="J156" s="56">
        <f t="shared" si="17"/>
      </c>
      <c r="K156" s="56">
        <v>101.3627</v>
      </c>
      <c r="L156" s="56">
        <v>101.24295</v>
      </c>
      <c r="M156" s="57">
        <f t="shared" si="18"/>
        <v>97093243</v>
      </c>
      <c r="N156" s="1"/>
      <c r="O156" s="1" t="s">
        <v>37</v>
      </c>
      <c r="P156" s="58">
        <f>E156-E155</f>
      </c>
    </row>
    <row r="157" ht="25" customHeight="1" spans="1:16" x14ac:dyDescent="0.25">
      <c r="A157" s="1"/>
      <c r="B157" s="52">
        <v>144</v>
      </c>
      <c r="C157" s="53" t="s">
        <v>321</v>
      </c>
      <c r="D157" s="54" t="s">
        <v>322</v>
      </c>
      <c r="E157" s="55">
        <v>9192256366</v>
      </c>
      <c r="F157" s="56">
        <f t="shared" si="13"/>
        <v>82.4955</v>
      </c>
      <c r="G157" s="56">
        <f t="shared" si="14"/>
        <v>82.3221</v>
      </c>
      <c r="H157" s="56">
        <f t="shared" si="15"/>
        <v>100</v>
      </c>
      <c r="I157" s="56">
        <f t="shared" si="16"/>
        <v>60</v>
      </c>
      <c r="J157" s="56">
        <f t="shared" si="17"/>
      </c>
      <c r="K157" s="56">
        <v>101.3627</v>
      </c>
      <c r="L157" s="56">
        <v>101.24295</v>
      </c>
      <c r="M157" s="57">
        <f t="shared" si="18"/>
        <v>97093245</v>
      </c>
      <c r="N157" s="1"/>
      <c r="O157" s="1" t="s">
        <v>37</v>
      </c>
      <c r="P157" s="58">
        <f>E157-E156</f>
      </c>
    </row>
    <row r="158" ht="25" customHeight="1" spans="1:16" x14ac:dyDescent="0.25">
      <c r="A158" s="1"/>
      <c r="B158" s="52">
        <v>145</v>
      </c>
      <c r="C158" s="53" t="s">
        <v>323</v>
      </c>
      <c r="D158" s="54" t="s">
        <v>324</v>
      </c>
      <c r="E158" s="55">
        <v>9192256369</v>
      </c>
      <c r="F158" s="56">
        <f t="shared" si="13"/>
        <v>82.4955</v>
      </c>
      <c r="G158" s="56">
        <f t="shared" si="14"/>
        <v>82.3221</v>
      </c>
      <c r="H158" s="56">
        <f t="shared" si="15"/>
        <v>100</v>
      </c>
      <c r="I158" s="56">
        <f t="shared" si="16"/>
        <v>60</v>
      </c>
      <c r="J158" s="56">
        <f t="shared" si="17"/>
      </c>
      <c r="K158" s="56">
        <v>101.3627</v>
      </c>
      <c r="L158" s="56">
        <v>101.24295</v>
      </c>
      <c r="M158" s="57">
        <f t="shared" si="18"/>
        <v>97093248</v>
      </c>
      <c r="N158" s="1"/>
      <c r="O158" s="1" t="s">
        <v>37</v>
      </c>
      <c r="P158" s="58">
        <f>E158-E157</f>
      </c>
    </row>
    <row r="159" ht="25" customHeight="1" spans="1:16" x14ac:dyDescent="0.25">
      <c r="A159" s="1"/>
      <c r="B159" s="52">
        <v>146</v>
      </c>
      <c r="C159" s="53" t="s">
        <v>325</v>
      </c>
      <c r="D159" s="54" t="s">
        <v>326</v>
      </c>
      <c r="E159" s="55">
        <v>9192256369</v>
      </c>
      <c r="F159" s="56">
        <f t="shared" si="13"/>
        <v>82.4955</v>
      </c>
      <c r="G159" s="56">
        <f t="shared" si="14"/>
        <v>82.3221</v>
      </c>
      <c r="H159" s="56">
        <f t="shared" si="15"/>
        <v>100</v>
      </c>
      <c r="I159" s="56">
        <f t="shared" si="16"/>
        <v>60</v>
      </c>
      <c r="J159" s="56">
        <f t="shared" si="17"/>
      </c>
      <c r="K159" s="56">
        <v>101.3627</v>
      </c>
      <c r="L159" s="56">
        <v>101.24295</v>
      </c>
      <c r="M159" s="57">
        <f t="shared" si="18"/>
        <v>97093248</v>
      </c>
      <c r="N159" s="1"/>
      <c r="O159" s="1" t="s">
        <v>37</v>
      </c>
      <c r="P159" s="58">
        <f>E159-E158</f>
      </c>
    </row>
    <row r="160" ht="25" customHeight="1" spans="1:16" x14ac:dyDescent="0.25">
      <c r="A160" s="1"/>
      <c r="B160" s="52">
        <v>147</v>
      </c>
      <c r="C160" s="53" t="s">
        <v>327</v>
      </c>
      <c r="D160" s="54" t="s">
        <v>328</v>
      </c>
      <c r="E160" s="55">
        <v>9192256370</v>
      </c>
      <c r="F160" s="56">
        <f t="shared" si="13"/>
        <v>82.4955</v>
      </c>
      <c r="G160" s="56">
        <f t="shared" si="14"/>
        <v>82.3221</v>
      </c>
      <c r="H160" s="56">
        <f t="shared" si="15"/>
        <v>100</v>
      </c>
      <c r="I160" s="56">
        <f t="shared" si="16"/>
        <v>60</v>
      </c>
      <c r="J160" s="56">
        <f t="shared" si="17"/>
      </c>
      <c r="K160" s="56">
        <v>101.3627</v>
      </c>
      <c r="L160" s="56">
        <v>101.24295</v>
      </c>
      <c r="M160" s="57">
        <f t="shared" si="18"/>
        <v>97093249</v>
      </c>
      <c r="N160" s="1"/>
      <c r="O160" s="1" t="s">
        <v>37</v>
      </c>
      <c r="P160" s="58">
        <f>E160-E159</f>
      </c>
    </row>
    <row r="161" ht="25" customHeight="1" spans="1:16" x14ac:dyDescent="0.25">
      <c r="A161" s="1"/>
      <c r="B161" s="52">
        <v>148</v>
      </c>
      <c r="C161" s="53" t="s">
        <v>329</v>
      </c>
      <c r="D161" s="54" t="s">
        <v>330</v>
      </c>
      <c r="E161" s="55">
        <v>9192256370</v>
      </c>
      <c r="F161" s="56">
        <f t="shared" si="13"/>
        <v>82.4955</v>
      </c>
      <c r="G161" s="56">
        <f t="shared" si="14"/>
        <v>82.3221</v>
      </c>
      <c r="H161" s="56">
        <f t="shared" si="15"/>
        <v>100</v>
      </c>
      <c r="I161" s="56">
        <f t="shared" si="16"/>
        <v>60</v>
      </c>
      <c r="J161" s="56">
        <f t="shared" si="17"/>
      </c>
      <c r="K161" s="56">
        <v>101.3627</v>
      </c>
      <c r="L161" s="56">
        <v>101.24295</v>
      </c>
      <c r="M161" s="57">
        <f t="shared" si="18"/>
        <v>97093249</v>
      </c>
      <c r="N161" s="1"/>
      <c r="O161" s="1" t="s">
        <v>37</v>
      </c>
      <c r="P161" s="58">
        <f>E161-E160</f>
      </c>
    </row>
    <row r="162" ht="25" customHeight="1" spans="1:16" x14ac:dyDescent="0.25">
      <c r="A162" s="1"/>
      <c r="B162" s="52">
        <v>149</v>
      </c>
      <c r="C162" s="53" t="s">
        <v>331</v>
      </c>
      <c r="D162" s="54" t="s">
        <v>332</v>
      </c>
      <c r="E162" s="55">
        <v>9192256372</v>
      </c>
      <c r="F162" s="56">
        <f t="shared" si="13"/>
        <v>82.4955</v>
      </c>
      <c r="G162" s="56">
        <f t="shared" si="14"/>
        <v>82.3221</v>
      </c>
      <c r="H162" s="56">
        <f t="shared" si="15"/>
        <v>100</v>
      </c>
      <c r="I162" s="56">
        <f t="shared" si="16"/>
        <v>60</v>
      </c>
      <c r="J162" s="56">
        <f t="shared" si="17"/>
      </c>
      <c r="K162" s="56">
        <v>101.3627</v>
      </c>
      <c r="L162" s="56">
        <v>101.24295</v>
      </c>
      <c r="M162" s="57">
        <f t="shared" si="18"/>
        <v>97093251</v>
      </c>
      <c r="N162" s="1"/>
      <c r="O162" s="1" t="s">
        <v>37</v>
      </c>
      <c r="P162" s="58">
        <f>E162-E161</f>
      </c>
    </row>
    <row r="163" ht="25" customHeight="1" spans="1:16" x14ac:dyDescent="0.25">
      <c r="A163" s="1"/>
      <c r="B163" s="52">
        <v>150</v>
      </c>
      <c r="C163" s="53" t="s">
        <v>333</v>
      </c>
      <c r="D163" s="54" t="s">
        <v>334</v>
      </c>
      <c r="E163" s="55">
        <v>9192256373</v>
      </c>
      <c r="F163" s="56">
        <f t="shared" si="13"/>
        <v>82.4955</v>
      </c>
      <c r="G163" s="56">
        <f t="shared" si="14"/>
        <v>82.3221</v>
      </c>
      <c r="H163" s="56">
        <f t="shared" si="15"/>
        <v>100</v>
      </c>
      <c r="I163" s="56">
        <f t="shared" si="16"/>
        <v>60</v>
      </c>
      <c r="J163" s="56">
        <f t="shared" si="17"/>
      </c>
      <c r="K163" s="56">
        <v>101.3627</v>
      </c>
      <c r="L163" s="56">
        <v>101.24295</v>
      </c>
      <c r="M163" s="57">
        <f t="shared" si="18"/>
        <v>97093252</v>
      </c>
      <c r="N163" s="1"/>
      <c r="O163" s="1" t="s">
        <v>37</v>
      </c>
      <c r="P163" s="58">
        <f>E163-E162</f>
      </c>
    </row>
    <row r="164" ht="25" customHeight="1" spans="1:16" x14ac:dyDescent="0.25">
      <c r="A164" s="1"/>
      <c r="B164" s="52">
        <v>151</v>
      </c>
      <c r="C164" s="53" t="s">
        <v>335</v>
      </c>
      <c r="D164" s="54" t="s">
        <v>336</v>
      </c>
      <c r="E164" s="55">
        <v>9192256374</v>
      </c>
      <c r="F164" s="56">
        <f t="shared" si="13"/>
        <v>82.4955</v>
      </c>
      <c r="G164" s="56">
        <f t="shared" si="14"/>
        <v>82.3221</v>
      </c>
      <c r="H164" s="56">
        <f t="shared" si="15"/>
        <v>100</v>
      </c>
      <c r="I164" s="56">
        <f t="shared" si="16"/>
        <v>60</v>
      </c>
      <c r="J164" s="56">
        <f t="shared" si="17"/>
      </c>
      <c r="K164" s="56">
        <v>101.3627</v>
      </c>
      <c r="L164" s="56">
        <v>101.24295</v>
      </c>
      <c r="M164" s="57">
        <f t="shared" si="18"/>
        <v>97093253</v>
      </c>
      <c r="N164" s="1"/>
      <c r="O164" s="1" t="s">
        <v>37</v>
      </c>
      <c r="P164" s="58">
        <f>E164-E163</f>
      </c>
    </row>
    <row r="165" ht="25" customHeight="1" spans="1:16" x14ac:dyDescent="0.25">
      <c r="A165" s="1"/>
      <c r="B165" s="52">
        <v>152</v>
      </c>
      <c r="C165" s="53" t="s">
        <v>337</v>
      </c>
      <c r="D165" s="54" t="s">
        <v>338</v>
      </c>
      <c r="E165" s="55">
        <v>9192256375</v>
      </c>
      <c r="F165" s="56">
        <f t="shared" si="13"/>
        <v>82.4955</v>
      </c>
      <c r="G165" s="56">
        <f t="shared" si="14"/>
        <v>82.3221</v>
      </c>
      <c r="H165" s="56">
        <f t="shared" si="15"/>
        <v>100</v>
      </c>
      <c r="I165" s="56">
        <f t="shared" si="16"/>
        <v>60</v>
      </c>
      <c r="J165" s="56">
        <f t="shared" si="17"/>
      </c>
      <c r="K165" s="56">
        <v>101.3627</v>
      </c>
      <c r="L165" s="56">
        <v>101.24295</v>
      </c>
      <c r="M165" s="57">
        <f t="shared" si="18"/>
        <v>97093254</v>
      </c>
      <c r="N165" s="1"/>
      <c r="O165" s="1" t="s">
        <v>37</v>
      </c>
      <c r="P165" s="58">
        <f>E165-E164</f>
      </c>
    </row>
    <row r="166" ht="25" customHeight="1" spans="1:16" x14ac:dyDescent="0.25">
      <c r="A166" s="1"/>
      <c r="B166" s="52">
        <v>153</v>
      </c>
      <c r="C166" s="53" t="s">
        <v>339</v>
      </c>
      <c r="D166" s="54" t="s">
        <v>340</v>
      </c>
      <c r="E166" s="55">
        <v>9192256378</v>
      </c>
      <c r="F166" s="56">
        <f t="shared" si="13"/>
        <v>82.4955</v>
      </c>
      <c r="G166" s="56">
        <f t="shared" si="14"/>
        <v>82.3221</v>
      </c>
      <c r="H166" s="56">
        <f t="shared" si="15"/>
        <v>100</v>
      </c>
      <c r="I166" s="56">
        <f t="shared" si="16"/>
        <v>60</v>
      </c>
      <c r="J166" s="56">
        <f t="shared" si="17"/>
      </c>
      <c r="K166" s="56">
        <v>101.3627</v>
      </c>
      <c r="L166" s="56">
        <v>101.24295</v>
      </c>
      <c r="M166" s="57">
        <f t="shared" si="18"/>
        <v>97093257</v>
      </c>
      <c r="N166" s="1"/>
      <c r="O166" s="1" t="s">
        <v>341</v>
      </c>
      <c r="P166" s="58">
        <f>E166-E165</f>
      </c>
    </row>
    <row r="167" ht="25" customHeight="1" spans="1:16" x14ac:dyDescent="0.25">
      <c r="A167" s="1"/>
      <c r="B167" s="52">
        <v>154</v>
      </c>
      <c r="C167" s="53" t="s">
        <v>342</v>
      </c>
      <c r="D167" s="54" t="s">
        <v>343</v>
      </c>
      <c r="E167" s="55">
        <v>9192256380</v>
      </c>
      <c r="F167" s="56">
        <f t="shared" si="13"/>
        <v>82.4955</v>
      </c>
      <c r="G167" s="56">
        <f t="shared" si="14"/>
        <v>82.3221</v>
      </c>
      <c r="H167" s="56">
        <f t="shared" si="15"/>
        <v>100</v>
      </c>
      <c r="I167" s="56">
        <f t="shared" si="16"/>
        <v>60</v>
      </c>
      <c r="J167" s="56">
        <f t="shared" si="17"/>
      </c>
      <c r="K167" s="56">
        <v>101.3627</v>
      </c>
      <c r="L167" s="56">
        <v>101.24295</v>
      </c>
      <c r="M167" s="57">
        <f t="shared" si="18"/>
        <v>97093259</v>
      </c>
      <c r="N167" s="1"/>
      <c r="O167" s="1" t="s">
        <v>37</v>
      </c>
      <c r="P167" s="58">
        <f>E167-E166</f>
      </c>
    </row>
    <row r="168" ht="25" customHeight="1" spans="1:16" x14ac:dyDescent="0.25">
      <c r="A168" s="1"/>
      <c r="B168" s="52">
        <v>155</v>
      </c>
      <c r="C168" s="53" t="s">
        <v>344</v>
      </c>
      <c r="D168" s="54" t="s">
        <v>345</v>
      </c>
      <c r="E168" s="55">
        <v>9192256380</v>
      </c>
      <c r="F168" s="56">
        <f t="shared" si="13"/>
        <v>82.4955</v>
      </c>
      <c r="G168" s="56">
        <f t="shared" si="14"/>
        <v>82.3221</v>
      </c>
      <c r="H168" s="56">
        <f t="shared" si="15"/>
        <v>100</v>
      </c>
      <c r="I168" s="56">
        <f t="shared" si="16"/>
        <v>60</v>
      </c>
      <c r="J168" s="56">
        <f t="shared" si="17"/>
      </c>
      <c r="K168" s="56">
        <v>101.3627</v>
      </c>
      <c r="L168" s="56">
        <v>101.24295</v>
      </c>
      <c r="M168" s="57">
        <f t="shared" si="18"/>
        <v>97093259</v>
      </c>
      <c r="N168" s="1"/>
      <c r="O168" s="1" t="s">
        <v>37</v>
      </c>
      <c r="P168" s="58">
        <f>E168-E167</f>
      </c>
    </row>
    <row r="169" ht="25" customHeight="1" spans="1:16" x14ac:dyDescent="0.25">
      <c r="A169" s="1"/>
      <c r="B169" s="52">
        <v>156</v>
      </c>
      <c r="C169" s="53" t="s">
        <v>346</v>
      </c>
      <c r="D169" s="54" t="s">
        <v>347</v>
      </c>
      <c r="E169" s="55">
        <v>9192256384</v>
      </c>
      <c r="F169" s="56">
        <f t="shared" si="13"/>
        <v>82.4955</v>
      </c>
      <c r="G169" s="56">
        <f t="shared" si="14"/>
        <v>82.3221</v>
      </c>
      <c r="H169" s="56">
        <f t="shared" si="15"/>
        <v>100</v>
      </c>
      <c r="I169" s="56">
        <f t="shared" si="16"/>
        <v>60</v>
      </c>
      <c r="J169" s="56">
        <f t="shared" si="17"/>
      </c>
      <c r="K169" s="56">
        <v>101.3627</v>
      </c>
      <c r="L169" s="56">
        <v>101.24295</v>
      </c>
      <c r="M169" s="57">
        <f t="shared" si="18"/>
        <v>97093263</v>
      </c>
      <c r="N169" s="1"/>
      <c r="O169" s="1" t="s">
        <v>37</v>
      </c>
      <c r="P169" s="58">
        <f>E169-E168</f>
      </c>
    </row>
    <row r="170" ht="25" customHeight="1" spans="1:16" x14ac:dyDescent="0.25">
      <c r="A170" s="1"/>
      <c r="B170" s="52">
        <v>157</v>
      </c>
      <c r="C170" s="53" t="s">
        <v>348</v>
      </c>
      <c r="D170" s="54" t="s">
        <v>349</v>
      </c>
      <c r="E170" s="55">
        <v>9192256385</v>
      </c>
      <c r="F170" s="56">
        <f t="shared" si="13"/>
        <v>82.4955</v>
      </c>
      <c r="G170" s="56">
        <f t="shared" si="14"/>
        <v>82.3221</v>
      </c>
      <c r="H170" s="56">
        <f t="shared" si="15"/>
        <v>100</v>
      </c>
      <c r="I170" s="56">
        <f t="shared" si="16"/>
        <v>60</v>
      </c>
      <c r="J170" s="56">
        <f t="shared" si="17"/>
      </c>
      <c r="K170" s="56">
        <v>101.3627</v>
      </c>
      <c r="L170" s="56">
        <v>101.24295</v>
      </c>
      <c r="M170" s="57">
        <f t="shared" si="18"/>
        <v>97093264</v>
      </c>
      <c r="N170" s="1"/>
      <c r="O170" s="1" t="s">
        <v>37</v>
      </c>
      <c r="P170" s="58">
        <f>E170-E169</f>
      </c>
    </row>
    <row r="171" ht="25" customHeight="1" spans="1:16" x14ac:dyDescent="0.25">
      <c r="A171" s="1"/>
      <c r="B171" s="52">
        <v>158</v>
      </c>
      <c r="C171" s="53" t="s">
        <v>350</v>
      </c>
      <c r="D171" s="54" t="s">
        <v>351</v>
      </c>
      <c r="E171" s="55">
        <v>9192256388</v>
      </c>
      <c r="F171" s="56">
        <f t="shared" si="13"/>
        <v>82.4955</v>
      </c>
      <c r="G171" s="56">
        <f t="shared" si="14"/>
        <v>82.3221</v>
      </c>
      <c r="H171" s="56">
        <f t="shared" si="15"/>
        <v>100</v>
      </c>
      <c r="I171" s="56">
        <f t="shared" si="16"/>
        <v>60</v>
      </c>
      <c r="J171" s="56">
        <f t="shared" si="17"/>
      </c>
      <c r="K171" s="56">
        <v>101.3627</v>
      </c>
      <c r="L171" s="56">
        <v>101.24295</v>
      </c>
      <c r="M171" s="57">
        <f t="shared" si="18"/>
        <v>97093267</v>
      </c>
      <c r="N171" s="1"/>
      <c r="O171" s="1" t="s">
        <v>37</v>
      </c>
      <c r="P171" s="58">
        <f>E171-E170</f>
      </c>
    </row>
    <row r="172" ht="25" customHeight="1" spans="1:16" x14ac:dyDescent="0.25">
      <c r="A172" s="1"/>
      <c r="B172" s="52">
        <v>159</v>
      </c>
      <c r="C172" s="53" t="s">
        <v>352</v>
      </c>
      <c r="D172" s="54" t="s">
        <v>353</v>
      </c>
      <c r="E172" s="55">
        <v>9192256389</v>
      </c>
      <c r="F172" s="56">
        <f t="shared" si="13"/>
        <v>82.4955</v>
      </c>
      <c r="G172" s="56">
        <f t="shared" si="14"/>
        <v>82.3221</v>
      </c>
      <c r="H172" s="56">
        <f t="shared" si="15"/>
        <v>100</v>
      </c>
      <c r="I172" s="56">
        <f t="shared" si="16"/>
        <v>60</v>
      </c>
      <c r="J172" s="56">
        <f t="shared" si="17"/>
      </c>
      <c r="K172" s="56">
        <v>101.3627</v>
      </c>
      <c r="L172" s="56">
        <v>101.24295</v>
      </c>
      <c r="M172" s="57">
        <f t="shared" si="18"/>
        <v>97093268</v>
      </c>
      <c r="N172" s="1"/>
      <c r="O172" s="1" t="s">
        <v>37</v>
      </c>
      <c r="P172" s="58">
        <f>E172-E171</f>
      </c>
    </row>
    <row r="173" ht="25" customHeight="1" spans="1:16" x14ac:dyDescent="0.25">
      <c r="A173" s="1"/>
      <c r="B173" s="52">
        <v>160</v>
      </c>
      <c r="C173" s="53" t="s">
        <v>354</v>
      </c>
      <c r="D173" s="54" t="s">
        <v>355</v>
      </c>
      <c r="E173" s="55">
        <v>9192256390</v>
      </c>
      <c r="F173" s="56">
        <f t="shared" si="13"/>
        <v>82.4955</v>
      </c>
      <c r="G173" s="56">
        <f t="shared" si="14"/>
        <v>82.3221</v>
      </c>
      <c r="H173" s="56">
        <f t="shared" si="15"/>
        <v>100</v>
      </c>
      <c r="I173" s="56">
        <f t="shared" si="16"/>
        <v>60</v>
      </c>
      <c r="J173" s="56">
        <f t="shared" si="17"/>
      </c>
      <c r="K173" s="56">
        <v>101.3627</v>
      </c>
      <c r="L173" s="56">
        <v>101.24295</v>
      </c>
      <c r="M173" s="57">
        <f t="shared" si="18"/>
        <v>97093269</v>
      </c>
      <c r="N173" s="1"/>
      <c r="O173" s="1" t="s">
        <v>37</v>
      </c>
      <c r="P173" s="58">
        <f>E173-E172</f>
      </c>
    </row>
    <row r="174" ht="25" customHeight="1" spans="1:16" x14ac:dyDescent="0.25">
      <c r="A174" s="1"/>
      <c r="B174" s="52">
        <v>161</v>
      </c>
      <c r="C174" s="53" t="s">
        <v>356</v>
      </c>
      <c r="D174" s="54" t="s">
        <v>357</v>
      </c>
      <c r="E174" s="55">
        <v>9192256400</v>
      </c>
      <c r="F174" s="56">
        <f t="shared" si="13"/>
        <v>82.4955</v>
      </c>
      <c r="G174" s="56">
        <f t="shared" si="14"/>
        <v>82.3221</v>
      </c>
      <c r="H174" s="56">
        <f t="shared" si="15"/>
        <v>100</v>
      </c>
      <c r="I174" s="56">
        <f t="shared" si="16"/>
        <v>60</v>
      </c>
      <c r="J174" s="56">
        <f t="shared" si="17"/>
      </c>
      <c r="K174" s="56">
        <v>101.3627</v>
      </c>
      <c r="L174" s="56">
        <v>101.24295</v>
      </c>
      <c r="M174" s="57">
        <f t="shared" si="18"/>
        <v>97093279</v>
      </c>
      <c r="N174" s="1"/>
      <c r="O174" s="1" t="s">
        <v>37</v>
      </c>
      <c r="P174" s="58">
        <f>E174-E173</f>
      </c>
    </row>
    <row r="175" ht="25" customHeight="1" spans="1:16" x14ac:dyDescent="0.25">
      <c r="A175" s="1"/>
      <c r="B175" s="52">
        <v>162</v>
      </c>
      <c r="C175" s="53" t="s">
        <v>358</v>
      </c>
      <c r="D175" s="54" t="s">
        <v>359</v>
      </c>
      <c r="E175" s="55">
        <v>9192256400</v>
      </c>
      <c r="F175" s="56">
        <f t="shared" si="13"/>
        <v>82.4955</v>
      </c>
      <c r="G175" s="56">
        <f t="shared" si="14"/>
        <v>82.3221</v>
      </c>
      <c r="H175" s="56">
        <f t="shared" si="15"/>
        <v>100</v>
      </c>
      <c r="I175" s="56">
        <f t="shared" si="16"/>
        <v>60</v>
      </c>
      <c r="J175" s="56">
        <f t="shared" si="17"/>
      </c>
      <c r="K175" s="56">
        <v>101.3627</v>
      </c>
      <c r="L175" s="56">
        <v>101.24295</v>
      </c>
      <c r="M175" s="57">
        <f t="shared" si="18"/>
        <v>97093279</v>
      </c>
      <c r="N175" s="1"/>
      <c r="O175" s="1" t="s">
        <v>37</v>
      </c>
      <c r="P175" s="58">
        <f>E175-E174</f>
      </c>
    </row>
    <row r="176" ht="25" customHeight="1" spans="1:16" x14ac:dyDescent="0.25">
      <c r="A176" s="1"/>
      <c r="B176" s="52">
        <v>163</v>
      </c>
      <c r="C176" s="53" t="s">
        <v>360</v>
      </c>
      <c r="D176" s="54" t="s">
        <v>361</v>
      </c>
      <c r="E176" s="55">
        <v>9192256400</v>
      </c>
      <c r="F176" s="56">
        <f t="shared" si="13"/>
        <v>82.4955</v>
      </c>
      <c r="G176" s="56">
        <f t="shared" si="14"/>
        <v>82.3221</v>
      </c>
      <c r="H176" s="56">
        <f t="shared" si="15"/>
        <v>100</v>
      </c>
      <c r="I176" s="56">
        <f t="shared" si="16"/>
        <v>60</v>
      </c>
      <c r="J176" s="56">
        <f t="shared" si="17"/>
      </c>
      <c r="K176" s="56">
        <v>101.3627</v>
      </c>
      <c r="L176" s="56">
        <v>101.24295</v>
      </c>
      <c r="M176" s="57">
        <f t="shared" si="18"/>
        <v>97093279</v>
      </c>
      <c r="N176" s="1"/>
      <c r="O176" s="1" t="s">
        <v>37</v>
      </c>
      <c r="P176" s="58">
        <f>E176-E175</f>
      </c>
    </row>
    <row r="177" ht="25" customHeight="1" spans="1:16" x14ac:dyDescent="0.25">
      <c r="A177" s="1"/>
      <c r="B177" s="52">
        <v>164</v>
      </c>
      <c r="C177" s="53" t="s">
        <v>362</v>
      </c>
      <c r="D177" s="54" t="s">
        <v>363</v>
      </c>
      <c r="E177" s="55">
        <v>9192256402</v>
      </c>
      <c r="F177" s="56">
        <f t="shared" si="13"/>
        <v>82.4955</v>
      </c>
      <c r="G177" s="56">
        <f t="shared" si="14"/>
        <v>82.3221</v>
      </c>
      <c r="H177" s="56">
        <f t="shared" si="15"/>
        <v>100</v>
      </c>
      <c r="I177" s="56">
        <f t="shared" si="16"/>
        <v>60</v>
      </c>
      <c r="J177" s="56">
        <f t="shared" si="17"/>
      </c>
      <c r="K177" s="56">
        <v>101.3627</v>
      </c>
      <c r="L177" s="56">
        <v>101.24295</v>
      </c>
      <c r="M177" s="57">
        <f t="shared" si="18"/>
        <v>97093281</v>
      </c>
      <c r="N177" s="1"/>
      <c r="O177" s="1" t="s">
        <v>37</v>
      </c>
      <c r="P177" s="58">
        <f>E177-E176</f>
      </c>
    </row>
    <row r="178" ht="25" customHeight="1" spans="1:16" x14ac:dyDescent="0.25">
      <c r="A178" s="1"/>
      <c r="B178" s="52">
        <v>165</v>
      </c>
      <c r="C178" s="53" t="s">
        <v>364</v>
      </c>
      <c r="D178" s="54" t="s">
        <v>365</v>
      </c>
      <c r="E178" s="55">
        <v>9192256410</v>
      </c>
      <c r="F178" s="56">
        <f t="shared" si="13"/>
        <v>82.4955</v>
      </c>
      <c r="G178" s="56">
        <f t="shared" si="14"/>
        <v>82.3221</v>
      </c>
      <c r="H178" s="56">
        <f t="shared" si="15"/>
        <v>100</v>
      </c>
      <c r="I178" s="56">
        <f t="shared" si="16"/>
        <v>60</v>
      </c>
      <c r="J178" s="56">
        <f t="shared" si="17"/>
      </c>
      <c r="K178" s="56">
        <v>101.3627</v>
      </c>
      <c r="L178" s="56">
        <v>101.24295</v>
      </c>
      <c r="M178" s="57">
        <f t="shared" si="18"/>
        <v>97093289</v>
      </c>
      <c r="N178" s="1"/>
      <c r="O178" s="1" t="s">
        <v>37</v>
      </c>
      <c r="P178" s="58">
        <f>E178-E177</f>
      </c>
    </row>
    <row r="179" ht="25" customHeight="1" spans="1:16" x14ac:dyDescent="0.25">
      <c r="A179" s="1"/>
      <c r="B179" s="52">
        <v>166</v>
      </c>
      <c r="C179" s="53" t="s">
        <v>366</v>
      </c>
      <c r="D179" s="54" t="s">
        <v>367</v>
      </c>
      <c r="E179" s="55">
        <v>9192256411</v>
      </c>
      <c r="F179" s="56">
        <f t="shared" si="13"/>
        <v>82.4955</v>
      </c>
      <c r="G179" s="56">
        <f t="shared" si="14"/>
        <v>82.3221</v>
      </c>
      <c r="H179" s="56">
        <f t="shared" si="15"/>
        <v>100</v>
      </c>
      <c r="I179" s="56">
        <f t="shared" si="16"/>
        <v>60</v>
      </c>
      <c r="J179" s="56">
        <f t="shared" si="17"/>
      </c>
      <c r="K179" s="56">
        <v>101.3627</v>
      </c>
      <c r="L179" s="56">
        <v>101.24295</v>
      </c>
      <c r="M179" s="57">
        <f t="shared" si="18"/>
        <v>97093290</v>
      </c>
      <c r="N179" s="1"/>
      <c r="O179" s="1" t="s">
        <v>37</v>
      </c>
      <c r="P179" s="58">
        <f>E179-E178</f>
      </c>
    </row>
    <row r="180" ht="25" customHeight="1" spans="1:16" x14ac:dyDescent="0.25">
      <c r="A180" s="1"/>
      <c r="B180" s="52">
        <v>167</v>
      </c>
      <c r="C180" s="53" t="s">
        <v>368</v>
      </c>
      <c r="D180" s="54" t="s">
        <v>369</v>
      </c>
      <c r="E180" s="55">
        <v>9192256411</v>
      </c>
      <c r="F180" s="56">
        <f t="shared" si="13"/>
        <v>82.4955</v>
      </c>
      <c r="G180" s="56">
        <f t="shared" si="14"/>
        <v>82.3221</v>
      </c>
      <c r="H180" s="56">
        <f t="shared" si="15"/>
        <v>100</v>
      </c>
      <c r="I180" s="56">
        <f t="shared" si="16"/>
        <v>60</v>
      </c>
      <c r="J180" s="56">
        <f t="shared" si="17"/>
      </c>
      <c r="K180" s="56">
        <v>101.3627</v>
      </c>
      <c r="L180" s="56">
        <v>101.24295</v>
      </c>
      <c r="M180" s="57">
        <f t="shared" si="18"/>
        <v>97093290</v>
      </c>
      <c r="N180" s="1"/>
      <c r="O180" s="1" t="s">
        <v>37</v>
      </c>
      <c r="P180" s="58">
        <f>E180-E179</f>
      </c>
    </row>
    <row r="181" ht="25" customHeight="1" spans="1:16" x14ac:dyDescent="0.25">
      <c r="A181" s="1"/>
      <c r="B181" s="52">
        <v>168</v>
      </c>
      <c r="C181" s="53" t="s">
        <v>370</v>
      </c>
      <c r="D181" s="54" t="s">
        <v>371</v>
      </c>
      <c r="E181" s="55">
        <v>9192256414</v>
      </c>
      <c r="F181" s="56">
        <f t="shared" si="13"/>
        <v>82.4955</v>
      </c>
      <c r="G181" s="56">
        <f t="shared" si="14"/>
        <v>82.3221</v>
      </c>
      <c r="H181" s="56">
        <f t="shared" si="15"/>
        <v>100</v>
      </c>
      <c r="I181" s="56">
        <f t="shared" si="16"/>
        <v>60</v>
      </c>
      <c r="J181" s="56">
        <f t="shared" si="17"/>
      </c>
      <c r="K181" s="56">
        <v>101.3627</v>
      </c>
      <c r="L181" s="56">
        <v>101.24295</v>
      </c>
      <c r="M181" s="57">
        <f t="shared" si="18"/>
        <v>97093293</v>
      </c>
      <c r="N181" s="1"/>
      <c r="O181" s="1" t="s">
        <v>37</v>
      </c>
      <c r="P181" s="58">
        <f>E181-E180</f>
      </c>
    </row>
    <row r="182" ht="25" customHeight="1" spans="1:16" x14ac:dyDescent="0.25">
      <c r="A182" s="1"/>
      <c r="B182" s="52">
        <v>169</v>
      </c>
      <c r="C182" s="53" t="s">
        <v>372</v>
      </c>
      <c r="D182" s="54" t="s">
        <v>373</v>
      </c>
      <c r="E182" s="55">
        <v>9192256415</v>
      </c>
      <c r="F182" s="56">
        <f t="shared" si="13"/>
        <v>82.4955</v>
      </c>
      <c r="G182" s="56">
        <f t="shared" si="14"/>
        <v>82.3221</v>
      </c>
      <c r="H182" s="56">
        <f t="shared" si="15"/>
        <v>100</v>
      </c>
      <c r="I182" s="56">
        <f t="shared" si="16"/>
        <v>60</v>
      </c>
      <c r="J182" s="56">
        <f t="shared" si="17"/>
      </c>
      <c r="K182" s="56">
        <v>101.3627</v>
      </c>
      <c r="L182" s="56">
        <v>101.24295</v>
      </c>
      <c r="M182" s="57">
        <f t="shared" si="18"/>
        <v>97093294</v>
      </c>
      <c r="N182" s="1"/>
      <c r="O182" s="1" t="s">
        <v>37</v>
      </c>
      <c r="P182" s="58">
        <f>E182-E181</f>
      </c>
    </row>
    <row r="183" ht="25" customHeight="1" spans="1:16" x14ac:dyDescent="0.25">
      <c r="A183" s="1"/>
      <c r="B183" s="52">
        <v>170</v>
      </c>
      <c r="C183" s="53" t="s">
        <v>374</v>
      </c>
      <c r="D183" s="54" t="s">
        <v>375</v>
      </c>
      <c r="E183" s="55">
        <v>9192256419</v>
      </c>
      <c r="F183" s="56">
        <f t="shared" si="13"/>
        <v>82.4955</v>
      </c>
      <c r="G183" s="56">
        <f t="shared" si="14"/>
        <v>82.3221</v>
      </c>
      <c r="H183" s="56">
        <f t="shared" si="15"/>
        <v>100</v>
      </c>
      <c r="I183" s="56">
        <f t="shared" si="16"/>
        <v>60</v>
      </c>
      <c r="J183" s="56">
        <f t="shared" si="17"/>
      </c>
      <c r="K183" s="56">
        <v>101.3627</v>
      </c>
      <c r="L183" s="56">
        <v>101.24295</v>
      </c>
      <c r="M183" s="57">
        <f t="shared" si="18"/>
        <v>97093298</v>
      </c>
      <c r="N183" s="1"/>
      <c r="O183" s="1" t="s">
        <v>37</v>
      </c>
      <c r="P183" s="58">
        <f>E183-E182</f>
      </c>
    </row>
    <row r="184" ht="25" customHeight="1" spans="1:16" x14ac:dyDescent="0.25">
      <c r="A184" s="1"/>
      <c r="B184" s="52">
        <v>171</v>
      </c>
      <c r="C184" s="53" t="s">
        <v>376</v>
      </c>
      <c r="D184" s="54" t="s">
        <v>377</v>
      </c>
      <c r="E184" s="55">
        <v>9192256420</v>
      </c>
      <c r="F184" s="56">
        <f t="shared" si="13"/>
        <v>82.4955</v>
      </c>
      <c r="G184" s="56">
        <f t="shared" si="14"/>
        <v>82.3221</v>
      </c>
      <c r="H184" s="56">
        <f t="shared" si="15"/>
        <v>100</v>
      </c>
      <c r="I184" s="56">
        <f t="shared" si="16"/>
        <v>60</v>
      </c>
      <c r="J184" s="56">
        <f t="shared" si="17"/>
      </c>
      <c r="K184" s="56">
        <v>101.3627</v>
      </c>
      <c r="L184" s="56">
        <v>101.24295</v>
      </c>
      <c r="M184" s="57">
        <f t="shared" si="18"/>
        <v>97093299</v>
      </c>
      <c r="N184" s="1"/>
      <c r="O184" s="1" t="s">
        <v>37</v>
      </c>
      <c r="P184" s="58">
        <f>E184-E183</f>
      </c>
    </row>
    <row r="185" ht="25" customHeight="1" spans="1:16" x14ac:dyDescent="0.25">
      <c r="A185" s="1"/>
      <c r="B185" s="52">
        <v>172</v>
      </c>
      <c r="C185" s="53" t="s">
        <v>378</v>
      </c>
      <c r="D185" s="54" t="s">
        <v>379</v>
      </c>
      <c r="E185" s="55">
        <v>9192256422</v>
      </c>
      <c r="F185" s="56">
        <f t="shared" si="13"/>
        <v>82.4955</v>
      </c>
      <c r="G185" s="56">
        <f t="shared" si="14"/>
        <v>82.3221</v>
      </c>
      <c r="H185" s="56">
        <f t="shared" si="15"/>
        <v>100</v>
      </c>
      <c r="I185" s="56">
        <f t="shared" si="16"/>
        <v>60</v>
      </c>
      <c r="J185" s="56">
        <f t="shared" si="17"/>
      </c>
      <c r="K185" s="56">
        <v>101.3627</v>
      </c>
      <c r="L185" s="56">
        <v>101.24295</v>
      </c>
      <c r="M185" s="57">
        <f t="shared" si="18"/>
        <v>97093301</v>
      </c>
      <c r="N185" s="1"/>
      <c r="O185" s="1" t="s">
        <v>37</v>
      </c>
      <c r="P185" s="58">
        <f>E185-E184</f>
      </c>
    </row>
    <row r="186" ht="25" customHeight="1" spans="1:16" x14ac:dyDescent="0.25">
      <c r="A186" s="1"/>
      <c r="B186" s="52">
        <v>173</v>
      </c>
      <c r="C186" s="53" t="s">
        <v>380</v>
      </c>
      <c r="D186" s="54" t="s">
        <v>381</v>
      </c>
      <c r="E186" s="55">
        <v>9192256423</v>
      </c>
      <c r="F186" s="56">
        <f t="shared" si="13"/>
        <v>82.4955</v>
      </c>
      <c r="G186" s="56">
        <f t="shared" si="14"/>
        <v>82.3221</v>
      </c>
      <c r="H186" s="56">
        <f t="shared" si="15"/>
        <v>100</v>
      </c>
      <c r="I186" s="56">
        <f t="shared" si="16"/>
        <v>60</v>
      </c>
      <c r="J186" s="56">
        <f t="shared" si="17"/>
      </c>
      <c r="K186" s="56">
        <v>101.3627</v>
      </c>
      <c r="L186" s="56">
        <v>101.24295</v>
      </c>
      <c r="M186" s="57">
        <f t="shared" si="18"/>
        <v>97093302</v>
      </c>
      <c r="N186" s="1"/>
      <c r="O186" s="1" t="s">
        <v>37</v>
      </c>
      <c r="P186" s="58">
        <f>E186-E185</f>
      </c>
    </row>
    <row r="187" ht="25" customHeight="1" spans="1:16" x14ac:dyDescent="0.25">
      <c r="A187" s="1"/>
      <c r="B187" s="52">
        <v>174</v>
      </c>
      <c r="C187" s="53" t="s">
        <v>382</v>
      </c>
      <c r="D187" s="54" t="s">
        <v>383</v>
      </c>
      <c r="E187" s="55">
        <v>9192256428</v>
      </c>
      <c r="F187" s="56">
        <f t="shared" si="13"/>
        <v>82.4955</v>
      </c>
      <c r="G187" s="56">
        <f t="shared" si="14"/>
        <v>82.3221</v>
      </c>
      <c r="H187" s="56">
        <f t="shared" si="15"/>
        <v>100</v>
      </c>
      <c r="I187" s="56">
        <f t="shared" si="16"/>
        <v>60</v>
      </c>
      <c r="J187" s="56">
        <f t="shared" si="17"/>
      </c>
      <c r="K187" s="56">
        <v>101.3627</v>
      </c>
      <c r="L187" s="56">
        <v>101.24295</v>
      </c>
      <c r="M187" s="57">
        <f t="shared" si="18"/>
        <v>97093307</v>
      </c>
      <c r="N187" s="1"/>
      <c r="O187" s="1" t="s">
        <v>37</v>
      </c>
      <c r="P187" s="58">
        <f>E187-E186</f>
      </c>
    </row>
    <row r="188" ht="25" customHeight="1" spans="1:16" x14ac:dyDescent="0.25">
      <c r="A188" s="1"/>
      <c r="B188" s="52">
        <v>175</v>
      </c>
      <c r="C188" s="53" t="s">
        <v>384</v>
      </c>
      <c r="D188" s="54" t="s">
        <v>385</v>
      </c>
      <c r="E188" s="55">
        <v>9192256432</v>
      </c>
      <c r="F188" s="56">
        <f t="shared" si="13"/>
        <v>82.4955</v>
      </c>
      <c r="G188" s="56">
        <f t="shared" si="14"/>
        <v>82.3221</v>
      </c>
      <c r="H188" s="56">
        <f t="shared" si="15"/>
        <v>100</v>
      </c>
      <c r="I188" s="56">
        <f t="shared" si="16"/>
        <v>60</v>
      </c>
      <c r="J188" s="56">
        <f t="shared" si="17"/>
      </c>
      <c r="K188" s="56">
        <v>101.3627</v>
      </c>
      <c r="L188" s="56">
        <v>101.24295</v>
      </c>
      <c r="M188" s="57">
        <f t="shared" si="18"/>
        <v>97093311</v>
      </c>
      <c r="N188" s="1"/>
      <c r="O188" s="1" t="s">
        <v>37</v>
      </c>
      <c r="P188" s="58">
        <f>E188-E187</f>
      </c>
    </row>
    <row r="189" ht="25" customHeight="1" spans="1:16" x14ac:dyDescent="0.25">
      <c r="A189" s="1"/>
      <c r="B189" s="52">
        <v>176</v>
      </c>
      <c r="C189" s="53" t="s">
        <v>386</v>
      </c>
      <c r="D189" s="54" t="s">
        <v>387</v>
      </c>
      <c r="E189" s="55">
        <v>9192256433</v>
      </c>
      <c r="F189" s="56">
        <f t="shared" si="13"/>
        <v>82.4955</v>
      </c>
      <c r="G189" s="56">
        <f t="shared" si="14"/>
        <v>82.3221</v>
      </c>
      <c r="H189" s="56">
        <f t="shared" si="15"/>
        <v>100</v>
      </c>
      <c r="I189" s="56">
        <f t="shared" si="16"/>
        <v>60</v>
      </c>
      <c r="J189" s="56">
        <f t="shared" si="17"/>
      </c>
      <c r="K189" s="56">
        <v>101.3627</v>
      </c>
      <c r="L189" s="56">
        <v>101.24295</v>
      </c>
      <c r="M189" s="57">
        <f t="shared" si="18"/>
        <v>97093312</v>
      </c>
      <c r="N189" s="1"/>
      <c r="O189" s="1" t="s">
        <v>37</v>
      </c>
      <c r="P189" s="58">
        <f>E189-E188</f>
      </c>
    </row>
    <row r="190" ht="25" customHeight="1" spans="1:16" x14ac:dyDescent="0.25">
      <c r="A190" s="1"/>
      <c r="B190" s="52">
        <v>177</v>
      </c>
      <c r="C190" s="53" t="s">
        <v>388</v>
      </c>
      <c r="D190" s="54" t="s">
        <v>389</v>
      </c>
      <c r="E190" s="55">
        <v>9192256433</v>
      </c>
      <c r="F190" s="56">
        <f t="shared" si="13"/>
        <v>82.4955</v>
      </c>
      <c r="G190" s="56">
        <f t="shared" si="14"/>
        <v>82.3221</v>
      </c>
      <c r="H190" s="56">
        <f t="shared" si="15"/>
        <v>100</v>
      </c>
      <c r="I190" s="56">
        <f t="shared" si="16"/>
        <v>60</v>
      </c>
      <c r="J190" s="56">
        <f t="shared" si="17"/>
      </c>
      <c r="K190" s="56">
        <v>101.3627</v>
      </c>
      <c r="L190" s="56">
        <v>101.24295</v>
      </c>
      <c r="M190" s="57">
        <f t="shared" si="18"/>
        <v>97093312</v>
      </c>
      <c r="N190" s="1"/>
      <c r="O190" s="1" t="s">
        <v>37</v>
      </c>
      <c r="P190" s="58">
        <f>E190-E189</f>
      </c>
    </row>
    <row r="191" ht="25" customHeight="1" spans="1:16" x14ac:dyDescent="0.25">
      <c r="A191" s="1"/>
      <c r="B191" s="52">
        <v>178</v>
      </c>
      <c r="C191" s="53" t="s">
        <v>390</v>
      </c>
      <c r="D191" s="54" t="s">
        <v>391</v>
      </c>
      <c r="E191" s="55">
        <v>9192256438</v>
      </c>
      <c r="F191" s="56">
        <f t="shared" si="13"/>
        <v>82.4955</v>
      </c>
      <c r="G191" s="56">
        <f t="shared" si="14"/>
        <v>82.3221</v>
      </c>
      <c r="H191" s="56">
        <f t="shared" si="15"/>
        <v>100</v>
      </c>
      <c r="I191" s="56">
        <f t="shared" si="16"/>
        <v>60</v>
      </c>
      <c r="J191" s="56">
        <f t="shared" si="17"/>
      </c>
      <c r="K191" s="56">
        <v>101.3627</v>
      </c>
      <c r="L191" s="56">
        <v>101.24295</v>
      </c>
      <c r="M191" s="57">
        <f t="shared" si="18"/>
        <v>97093317</v>
      </c>
      <c r="N191" s="1"/>
      <c r="O191" s="1" t="s">
        <v>37</v>
      </c>
      <c r="P191" s="58">
        <f>E191-E190</f>
      </c>
    </row>
    <row r="192" ht="25" customHeight="1" spans="1:16" x14ac:dyDescent="0.25">
      <c r="A192" s="1"/>
      <c r="B192" s="52">
        <v>179</v>
      </c>
      <c r="C192" s="53" t="s">
        <v>392</v>
      </c>
      <c r="D192" s="54" t="s">
        <v>393</v>
      </c>
      <c r="E192" s="55">
        <v>9192256438</v>
      </c>
      <c r="F192" s="56">
        <f t="shared" si="13"/>
        <v>82.4955</v>
      </c>
      <c r="G192" s="56">
        <f t="shared" si="14"/>
        <v>82.3221</v>
      </c>
      <c r="H192" s="56">
        <f t="shared" si="15"/>
        <v>100</v>
      </c>
      <c r="I192" s="56">
        <f t="shared" si="16"/>
        <v>60</v>
      </c>
      <c r="J192" s="56">
        <f t="shared" si="17"/>
      </c>
      <c r="K192" s="56">
        <v>101.3627</v>
      </c>
      <c r="L192" s="56">
        <v>101.24295</v>
      </c>
      <c r="M192" s="57">
        <f t="shared" si="18"/>
        <v>97093317</v>
      </c>
      <c r="N192" s="1"/>
      <c r="O192" s="1" t="s">
        <v>37</v>
      </c>
      <c r="P192" s="58">
        <f>E192-E191</f>
      </c>
    </row>
    <row r="193" ht="25" customHeight="1" spans="1:16" x14ac:dyDescent="0.25">
      <c r="A193" s="1"/>
      <c r="B193" s="52">
        <v>180</v>
      </c>
      <c r="C193" s="53" t="s">
        <v>394</v>
      </c>
      <c r="D193" s="54" t="s">
        <v>395</v>
      </c>
      <c r="E193" s="55">
        <v>9192256440</v>
      </c>
      <c r="F193" s="56">
        <f t="shared" si="13"/>
        <v>82.4955</v>
      </c>
      <c r="G193" s="56">
        <f t="shared" si="14"/>
        <v>82.3221</v>
      </c>
      <c r="H193" s="56">
        <f t="shared" si="15"/>
        <v>100</v>
      </c>
      <c r="I193" s="56">
        <f t="shared" si="16"/>
        <v>60</v>
      </c>
      <c r="J193" s="56">
        <f t="shared" si="17"/>
      </c>
      <c r="K193" s="56">
        <v>101.3627</v>
      </c>
      <c r="L193" s="56">
        <v>101.24295</v>
      </c>
      <c r="M193" s="57">
        <f t="shared" si="18"/>
        <v>97093319</v>
      </c>
      <c r="N193" s="1"/>
      <c r="O193" s="1" t="s">
        <v>37</v>
      </c>
      <c r="P193" s="58">
        <f>E193-E192</f>
      </c>
    </row>
    <row r="194" ht="25" customHeight="1" spans="1:16" x14ac:dyDescent="0.25">
      <c r="A194" s="1"/>
      <c r="B194" s="52">
        <v>181</v>
      </c>
      <c r="C194" s="53" t="s">
        <v>396</v>
      </c>
      <c r="D194" s="54" t="s">
        <v>397</v>
      </c>
      <c r="E194" s="55">
        <v>9192256441</v>
      </c>
      <c r="F194" s="56">
        <f t="shared" si="13"/>
        <v>82.4955</v>
      </c>
      <c r="G194" s="56">
        <f t="shared" si="14"/>
        <v>82.3221</v>
      </c>
      <c r="H194" s="56">
        <f t="shared" si="15"/>
        <v>100</v>
      </c>
      <c r="I194" s="56">
        <f t="shared" si="16"/>
        <v>60</v>
      </c>
      <c r="J194" s="56">
        <f t="shared" si="17"/>
      </c>
      <c r="K194" s="56">
        <v>101.3627</v>
      </c>
      <c r="L194" s="56">
        <v>101.24295</v>
      </c>
      <c r="M194" s="57">
        <f t="shared" si="18"/>
        <v>97093320</v>
      </c>
      <c r="N194" s="1"/>
      <c r="O194" s="1" t="s">
        <v>37</v>
      </c>
      <c r="P194" s="58">
        <f>E194-E193</f>
      </c>
    </row>
    <row r="195" ht="25" customHeight="1" spans="1:16" x14ac:dyDescent="0.25">
      <c r="A195" s="1"/>
      <c r="B195" s="52">
        <v>182</v>
      </c>
      <c r="C195" s="53" t="s">
        <v>398</v>
      </c>
      <c r="D195" s="54" t="s">
        <v>399</v>
      </c>
      <c r="E195" s="55">
        <v>9192256442</v>
      </c>
      <c r="F195" s="56">
        <f t="shared" si="13"/>
        <v>82.4955</v>
      </c>
      <c r="G195" s="56">
        <f t="shared" si="14"/>
        <v>82.3221</v>
      </c>
      <c r="H195" s="56">
        <f t="shared" si="15"/>
        <v>100</v>
      </c>
      <c r="I195" s="56">
        <f t="shared" si="16"/>
        <v>60</v>
      </c>
      <c r="J195" s="56">
        <f t="shared" si="17"/>
      </c>
      <c r="K195" s="56">
        <v>101.3627</v>
      </c>
      <c r="L195" s="56">
        <v>101.24295</v>
      </c>
      <c r="M195" s="57">
        <f t="shared" si="18"/>
        <v>97093321</v>
      </c>
      <c r="N195" s="1"/>
      <c r="O195" s="1" t="s">
        <v>37</v>
      </c>
      <c r="P195" s="58">
        <f>E195-E194</f>
      </c>
    </row>
    <row r="196" ht="25" customHeight="1" spans="1:16" x14ac:dyDescent="0.25">
      <c r="A196" s="1"/>
      <c r="B196" s="52">
        <v>183</v>
      </c>
      <c r="C196" s="53" t="s">
        <v>400</v>
      </c>
      <c r="D196" s="54" t="s">
        <v>401</v>
      </c>
      <c r="E196" s="55">
        <v>9192256442</v>
      </c>
      <c r="F196" s="56">
        <f t="shared" si="13"/>
        <v>82.4955</v>
      </c>
      <c r="G196" s="56">
        <f t="shared" si="14"/>
        <v>82.3221</v>
      </c>
      <c r="H196" s="56">
        <f t="shared" si="15"/>
        <v>100</v>
      </c>
      <c r="I196" s="56">
        <f t="shared" si="16"/>
        <v>60</v>
      </c>
      <c r="J196" s="56">
        <f t="shared" si="17"/>
      </c>
      <c r="K196" s="56">
        <v>101.3627</v>
      </c>
      <c r="L196" s="56">
        <v>101.24295</v>
      </c>
      <c r="M196" s="57">
        <f t="shared" si="18"/>
        <v>97093321</v>
      </c>
      <c r="N196" s="1"/>
      <c r="O196" s="1" t="s">
        <v>37</v>
      </c>
      <c r="P196" s="58">
        <f>E196-E195</f>
      </c>
    </row>
    <row r="197" ht="25" customHeight="1" spans="1:16" x14ac:dyDescent="0.25">
      <c r="A197" s="1"/>
      <c r="B197" s="52">
        <v>184</v>
      </c>
      <c r="C197" s="53" t="s">
        <v>402</v>
      </c>
      <c r="D197" s="54" t="s">
        <v>403</v>
      </c>
      <c r="E197" s="55">
        <v>9192256444</v>
      </c>
      <c r="F197" s="56">
        <f t="shared" si="13"/>
        <v>82.4955</v>
      </c>
      <c r="G197" s="56">
        <f t="shared" si="14"/>
        <v>82.3221</v>
      </c>
      <c r="H197" s="56">
        <f t="shared" si="15"/>
        <v>100</v>
      </c>
      <c r="I197" s="56">
        <f t="shared" si="16"/>
        <v>60</v>
      </c>
      <c r="J197" s="56">
        <f t="shared" si="17"/>
      </c>
      <c r="K197" s="56">
        <v>101.3627</v>
      </c>
      <c r="L197" s="56">
        <v>101.24295</v>
      </c>
      <c r="M197" s="57">
        <f t="shared" si="18"/>
        <v>97093323</v>
      </c>
      <c r="N197" s="1"/>
      <c r="O197" s="1" t="s">
        <v>37</v>
      </c>
      <c r="P197" s="58">
        <f>E197-E196</f>
      </c>
    </row>
    <row r="198" ht="25" customHeight="1" spans="1:16" x14ac:dyDescent="0.25">
      <c r="A198" s="1"/>
      <c r="B198" s="52">
        <v>185</v>
      </c>
      <c r="C198" s="53" t="s">
        <v>404</v>
      </c>
      <c r="D198" s="54" t="s">
        <v>405</v>
      </c>
      <c r="E198" s="55">
        <v>9192256448</v>
      </c>
      <c r="F198" s="56">
        <f t="shared" si="13"/>
        <v>82.4955</v>
      </c>
      <c r="G198" s="56">
        <f t="shared" si="14"/>
        <v>82.3221</v>
      </c>
      <c r="H198" s="56">
        <f t="shared" si="15"/>
        <v>100</v>
      </c>
      <c r="I198" s="56">
        <f t="shared" si="16"/>
        <v>60</v>
      </c>
      <c r="J198" s="56">
        <f t="shared" si="17"/>
      </c>
      <c r="K198" s="56">
        <v>101.3627</v>
      </c>
      <c r="L198" s="56">
        <v>101.24295</v>
      </c>
      <c r="M198" s="57">
        <f t="shared" si="18"/>
        <v>97093327</v>
      </c>
      <c r="N198" s="1"/>
      <c r="O198" s="1" t="s">
        <v>37</v>
      </c>
      <c r="P198" s="58">
        <f>E198-E197</f>
      </c>
    </row>
    <row r="199" ht="25" customHeight="1" spans="1:16" x14ac:dyDescent="0.25">
      <c r="A199" s="1"/>
      <c r="B199" s="52">
        <v>186</v>
      </c>
      <c r="C199" s="53" t="s">
        <v>406</v>
      </c>
      <c r="D199" s="54" t="s">
        <v>407</v>
      </c>
      <c r="E199" s="55">
        <v>9192256449</v>
      </c>
      <c r="F199" s="56">
        <f t="shared" si="13"/>
        <v>82.4955</v>
      </c>
      <c r="G199" s="56">
        <f t="shared" si="14"/>
        <v>82.3221</v>
      </c>
      <c r="H199" s="56">
        <f t="shared" si="15"/>
        <v>100</v>
      </c>
      <c r="I199" s="56">
        <f t="shared" si="16"/>
        <v>60</v>
      </c>
      <c r="J199" s="56">
        <f t="shared" si="17"/>
      </c>
      <c r="K199" s="56">
        <v>101.3627</v>
      </c>
      <c r="L199" s="56">
        <v>101.24295</v>
      </c>
      <c r="M199" s="57">
        <f t="shared" si="18"/>
        <v>97093328</v>
      </c>
      <c r="N199" s="1"/>
      <c r="O199" s="1" t="s">
        <v>37</v>
      </c>
      <c r="P199" s="58">
        <f>E199-E198</f>
      </c>
    </row>
    <row r="200" ht="25" customHeight="1" spans="1:16" x14ac:dyDescent="0.25">
      <c r="A200" s="1"/>
      <c r="B200" s="52">
        <v>187</v>
      </c>
      <c r="C200" s="53" t="s">
        <v>408</v>
      </c>
      <c r="D200" s="54" t="s">
        <v>409</v>
      </c>
      <c r="E200" s="55">
        <v>9192256450</v>
      </c>
      <c r="F200" s="56">
        <f t="shared" si="13"/>
        <v>82.4955</v>
      </c>
      <c r="G200" s="56">
        <f t="shared" si="14"/>
        <v>82.3221</v>
      </c>
      <c r="H200" s="56">
        <f t="shared" si="15"/>
        <v>100</v>
      </c>
      <c r="I200" s="56">
        <f t="shared" si="16"/>
        <v>60</v>
      </c>
      <c r="J200" s="56">
        <f t="shared" si="17"/>
      </c>
      <c r="K200" s="56">
        <v>101.3627</v>
      </c>
      <c r="L200" s="56">
        <v>101.24295</v>
      </c>
      <c r="M200" s="57">
        <f t="shared" si="18"/>
        <v>97093329</v>
      </c>
      <c r="N200" s="1"/>
      <c r="O200" s="1" t="s">
        <v>37</v>
      </c>
      <c r="P200" s="58">
        <f>E200-E199</f>
      </c>
    </row>
    <row r="201" ht="25" customHeight="1" spans="1:16" x14ac:dyDescent="0.25">
      <c r="A201" s="1"/>
      <c r="B201" s="52">
        <v>188</v>
      </c>
      <c r="C201" s="53" t="s">
        <v>410</v>
      </c>
      <c r="D201" s="54" t="s">
        <v>411</v>
      </c>
      <c r="E201" s="55">
        <v>9192256453</v>
      </c>
      <c r="F201" s="56">
        <f t="shared" si="13"/>
        <v>82.4955</v>
      </c>
      <c r="G201" s="56">
        <f t="shared" si="14"/>
        <v>82.3221</v>
      </c>
      <c r="H201" s="56">
        <f t="shared" si="15"/>
        <v>100</v>
      </c>
      <c r="I201" s="56">
        <f t="shared" si="16"/>
        <v>60</v>
      </c>
      <c r="J201" s="56">
        <f t="shared" si="17"/>
      </c>
      <c r="K201" s="56">
        <v>101.3627</v>
      </c>
      <c r="L201" s="56">
        <v>101.24295</v>
      </c>
      <c r="M201" s="57">
        <f t="shared" si="18"/>
        <v>97093332</v>
      </c>
      <c r="N201" s="1"/>
      <c r="O201" s="1" t="s">
        <v>37</v>
      </c>
      <c r="P201" s="58">
        <f>E201-E200</f>
      </c>
    </row>
    <row r="202" ht="25" customHeight="1" spans="1:16" x14ac:dyDescent="0.25">
      <c r="A202" s="1"/>
      <c r="B202" s="52">
        <v>189</v>
      </c>
      <c r="C202" s="53" t="s">
        <v>412</v>
      </c>
      <c r="D202" s="54" t="s">
        <v>413</v>
      </c>
      <c r="E202" s="55">
        <v>9192256453</v>
      </c>
      <c r="F202" s="56">
        <f t="shared" si="13"/>
        <v>82.4955</v>
      </c>
      <c r="G202" s="56">
        <f t="shared" si="14"/>
        <v>82.3221</v>
      </c>
      <c r="H202" s="56">
        <f t="shared" si="15"/>
        <v>100</v>
      </c>
      <c r="I202" s="56">
        <f t="shared" si="16"/>
        <v>60</v>
      </c>
      <c r="J202" s="56">
        <f t="shared" si="17"/>
      </c>
      <c r="K202" s="56">
        <v>101.3627</v>
      </c>
      <c r="L202" s="56">
        <v>101.24295</v>
      </c>
      <c r="M202" s="57">
        <f t="shared" si="18"/>
        <v>97093332</v>
      </c>
      <c r="N202" s="1"/>
      <c r="O202" s="1" t="s">
        <v>37</v>
      </c>
      <c r="P202" s="58">
        <f>E202-E201</f>
      </c>
    </row>
    <row r="203" ht="25" customHeight="1" spans="1:16" x14ac:dyDescent="0.25">
      <c r="A203" s="1"/>
      <c r="B203" s="52">
        <v>190</v>
      </c>
      <c r="C203" s="53" t="s">
        <v>414</v>
      </c>
      <c r="D203" s="54" t="s">
        <v>415</v>
      </c>
      <c r="E203" s="55">
        <v>9192256456</v>
      </c>
      <c r="F203" s="56">
        <f t="shared" si="13"/>
        <v>82.4955</v>
      </c>
      <c r="G203" s="56">
        <f t="shared" si="14"/>
        <v>82.3221</v>
      </c>
      <c r="H203" s="56">
        <f t="shared" si="15"/>
        <v>100</v>
      </c>
      <c r="I203" s="56">
        <f t="shared" si="16"/>
        <v>60</v>
      </c>
      <c r="J203" s="56">
        <f t="shared" si="17"/>
      </c>
      <c r="K203" s="56">
        <v>101.3627</v>
      </c>
      <c r="L203" s="56">
        <v>101.24295</v>
      </c>
      <c r="M203" s="57">
        <f t="shared" si="18"/>
        <v>97093335</v>
      </c>
      <c r="N203" s="1"/>
      <c r="O203" s="1" t="s">
        <v>37</v>
      </c>
      <c r="P203" s="58">
        <f>E203-E202</f>
      </c>
    </row>
    <row r="204" ht="25" customHeight="1" spans="1:16" x14ac:dyDescent="0.25">
      <c r="A204" s="1"/>
      <c r="B204" s="52">
        <v>191</v>
      </c>
      <c r="C204" s="53" t="s">
        <v>416</v>
      </c>
      <c r="D204" s="54" t="s">
        <v>417</v>
      </c>
      <c r="E204" s="55">
        <v>9192256458</v>
      </c>
      <c r="F204" s="56">
        <f t="shared" si="13"/>
        <v>82.4955</v>
      </c>
      <c r="G204" s="56">
        <f t="shared" si="14"/>
        <v>82.3221</v>
      </c>
      <c r="H204" s="56">
        <f t="shared" si="15"/>
        <v>100</v>
      </c>
      <c r="I204" s="56">
        <f t="shared" si="16"/>
        <v>60</v>
      </c>
      <c r="J204" s="56">
        <f t="shared" si="17"/>
      </c>
      <c r="K204" s="56">
        <v>101.3627</v>
      </c>
      <c r="L204" s="56">
        <v>101.24295</v>
      </c>
      <c r="M204" s="57">
        <f t="shared" si="18"/>
        <v>97093337</v>
      </c>
      <c r="N204" s="1"/>
      <c r="O204" s="1" t="s">
        <v>37</v>
      </c>
      <c r="P204" s="58">
        <f>E204-E203</f>
      </c>
    </row>
    <row r="205" ht="25" customHeight="1" spans="1:16" x14ac:dyDescent="0.25">
      <c r="A205" s="1"/>
      <c r="B205" s="52">
        <v>192</v>
      </c>
      <c r="C205" s="53" t="s">
        <v>418</v>
      </c>
      <c r="D205" s="54" t="s">
        <v>419</v>
      </c>
      <c r="E205" s="55">
        <v>9192256462</v>
      </c>
      <c r="F205" s="56">
        <f t="shared" si="13"/>
        <v>82.4955</v>
      </c>
      <c r="G205" s="56">
        <f t="shared" si="14"/>
        <v>82.3221</v>
      </c>
      <c r="H205" s="56">
        <f t="shared" si="15"/>
        <v>100</v>
      </c>
      <c r="I205" s="56">
        <f t="shared" si="16"/>
        <v>60</v>
      </c>
      <c r="J205" s="56">
        <f t="shared" si="17"/>
      </c>
      <c r="K205" s="56">
        <v>101.3627</v>
      </c>
      <c r="L205" s="56">
        <v>101.24295</v>
      </c>
      <c r="M205" s="57">
        <f t="shared" si="18"/>
        <v>97093341</v>
      </c>
      <c r="N205" s="1"/>
      <c r="O205" s="1" t="s">
        <v>37</v>
      </c>
      <c r="P205" s="58">
        <f>E205-E204</f>
      </c>
    </row>
    <row r="206" ht="25" customHeight="1" spans="1:16" x14ac:dyDescent="0.25">
      <c r="A206" s="1"/>
      <c r="B206" s="52">
        <v>193</v>
      </c>
      <c r="C206" s="53" t="s">
        <v>420</v>
      </c>
      <c r="D206" s="54" t="s">
        <v>421</v>
      </c>
      <c r="E206" s="55">
        <v>9192256464</v>
      </c>
      <c r="F206" s="56">
        <f t="shared" si="13"/>
        <v>82.4955</v>
      </c>
      <c r="G206" s="56">
        <f t="shared" si="14"/>
        <v>82.3221</v>
      </c>
      <c r="H206" s="56">
        <f t="shared" si="15"/>
        <v>100</v>
      </c>
      <c r="I206" s="56">
        <f t="shared" si="16"/>
        <v>60</v>
      </c>
      <c r="J206" s="56">
        <f t="shared" si="17"/>
      </c>
      <c r="K206" s="56">
        <v>101.3627</v>
      </c>
      <c r="L206" s="56">
        <v>101.24295</v>
      </c>
      <c r="M206" s="57">
        <f t="shared" si="18"/>
        <v>97093343</v>
      </c>
      <c r="N206" s="1"/>
      <c r="O206" s="1" t="s">
        <v>37</v>
      </c>
      <c r="P206" s="58">
        <f>E206-E205</f>
      </c>
    </row>
    <row r="207" ht="25" customHeight="1" spans="1:16" x14ac:dyDescent="0.25">
      <c r="A207" s="1"/>
      <c r="B207" s="52">
        <v>194</v>
      </c>
      <c r="C207" s="53" t="s">
        <v>422</v>
      </c>
      <c r="D207" s="54" t="s">
        <v>423</v>
      </c>
      <c r="E207" s="55">
        <v>9192256473</v>
      </c>
      <c r="F207" s="56">
        <f t="shared" ref="F207:F270" si="19">ROUND((E207/$E$7)*100,4)</f>
        <v>82.4955</v>
      </c>
      <c r="G207" s="56">
        <f t="shared" ref="G207:G270" si="20">ROUND((E207/$E$6)*100,4)</f>
        <v>82.3221</v>
      </c>
      <c r="H207" s="56">
        <f t="shared" ref="H207:H270" si="21">ROUND((E207/$J$6)*100,4)</f>
        <v>100</v>
      </c>
      <c r="I207" s="56">
        <f t="shared" ref="I207:I270" si="22">IFERROR(ROUND(SQRT(1 - IF(E207&lt;=$J$6, $E$9, $N$9) * POWER((E207-$J$6)/($E$7-$J$6),2)) *$C$9,3), 0)</f>
        <v>60</v>
      </c>
      <c r="J207" s="56">
        <f t="shared" ref="J207:J270" si="23">IF(M207&lt;0,"감점","")</f>
      </c>
      <c r="K207" s="56">
        <v>101.3627</v>
      </c>
      <c r="L207" s="56">
        <v>101.24295</v>
      </c>
      <c r="M207" s="57">
        <f t="shared" ref="M207:M270" si="24">E207-$J$10</f>
        <v>97093352</v>
      </c>
      <c r="N207" s="1"/>
      <c r="O207" s="1" t="s">
        <v>37</v>
      </c>
      <c r="P207" s="58">
        <f>E207-E206</f>
      </c>
    </row>
    <row r="208" ht="25" customHeight="1" spans="1:16" x14ac:dyDescent="0.25">
      <c r="A208" s="1"/>
      <c r="B208" s="52">
        <v>195</v>
      </c>
      <c r="C208" s="53" t="s">
        <v>424</v>
      </c>
      <c r="D208" s="54" t="s">
        <v>425</v>
      </c>
      <c r="E208" s="55">
        <v>9192256477</v>
      </c>
      <c r="F208" s="56">
        <f t="shared" si="19"/>
        <v>82.4955</v>
      </c>
      <c r="G208" s="56">
        <f t="shared" si="20"/>
        <v>82.3221</v>
      </c>
      <c r="H208" s="56">
        <f t="shared" si="21"/>
        <v>100</v>
      </c>
      <c r="I208" s="56">
        <f t="shared" si="22"/>
        <v>60</v>
      </c>
      <c r="J208" s="56">
        <f t="shared" si="23"/>
      </c>
      <c r="K208" s="56">
        <v>101.3627</v>
      </c>
      <c r="L208" s="56">
        <v>101.24295</v>
      </c>
      <c r="M208" s="57">
        <f t="shared" si="24"/>
        <v>97093356</v>
      </c>
      <c r="N208" s="1"/>
      <c r="O208" s="1" t="s">
        <v>37</v>
      </c>
      <c r="P208" s="58">
        <f>E208-E207</f>
      </c>
    </row>
    <row r="209" ht="25" customHeight="1" spans="1:16" x14ac:dyDescent="0.25">
      <c r="A209" s="1"/>
      <c r="B209" s="52">
        <v>196</v>
      </c>
      <c r="C209" s="53" t="s">
        <v>426</v>
      </c>
      <c r="D209" s="54" t="s">
        <v>427</v>
      </c>
      <c r="E209" s="55">
        <v>9192256487</v>
      </c>
      <c r="F209" s="56">
        <f t="shared" si="19"/>
        <v>82.4955</v>
      </c>
      <c r="G209" s="56">
        <f t="shared" si="20"/>
        <v>82.3221</v>
      </c>
      <c r="H209" s="56">
        <f t="shared" si="21"/>
        <v>100</v>
      </c>
      <c r="I209" s="56">
        <f t="shared" si="22"/>
        <v>60</v>
      </c>
      <c r="J209" s="56">
        <f t="shared" si="23"/>
      </c>
      <c r="K209" s="56">
        <v>101.3627</v>
      </c>
      <c r="L209" s="56">
        <v>101.24295</v>
      </c>
      <c r="M209" s="57">
        <f t="shared" si="24"/>
        <v>97093366</v>
      </c>
      <c r="N209" s="1"/>
      <c r="O209" s="1" t="s">
        <v>37</v>
      </c>
      <c r="P209" s="58">
        <f>E209-E208</f>
      </c>
    </row>
    <row r="210" ht="25" customHeight="1" spans="1:16" x14ac:dyDescent="0.25">
      <c r="A210" s="1"/>
      <c r="B210" s="52">
        <v>197</v>
      </c>
      <c r="C210" s="53" t="s">
        <v>428</v>
      </c>
      <c r="D210" s="54" t="s">
        <v>429</v>
      </c>
      <c r="E210" s="55">
        <v>9192256513</v>
      </c>
      <c r="F210" s="56">
        <f t="shared" si="19"/>
        <v>82.4955</v>
      </c>
      <c r="G210" s="56">
        <f t="shared" si="20"/>
        <v>82.3221</v>
      </c>
      <c r="H210" s="56">
        <f t="shared" si="21"/>
        <v>100</v>
      </c>
      <c r="I210" s="56">
        <f t="shared" si="22"/>
        <v>60</v>
      </c>
      <c r="J210" s="56">
        <f t="shared" si="23"/>
      </c>
      <c r="K210" s="56">
        <v>101.3627</v>
      </c>
      <c r="L210" s="56">
        <v>101.24295</v>
      </c>
      <c r="M210" s="57">
        <f t="shared" si="24"/>
        <v>97093392</v>
      </c>
      <c r="N210" s="1"/>
      <c r="O210" s="1" t="s">
        <v>37</v>
      </c>
      <c r="P210" s="58">
        <f>E210-E209</f>
      </c>
    </row>
    <row r="211" ht="25" customHeight="1" spans="1:16" x14ac:dyDescent="0.25">
      <c r="A211" s="1"/>
      <c r="B211" s="52">
        <v>198</v>
      </c>
      <c r="C211" s="53" t="s">
        <v>430</v>
      </c>
      <c r="D211" s="54" t="s">
        <v>431</v>
      </c>
      <c r="E211" s="55">
        <v>9192256526</v>
      </c>
      <c r="F211" s="56">
        <f t="shared" si="19"/>
        <v>82.4955</v>
      </c>
      <c r="G211" s="56">
        <f t="shared" si="20"/>
        <v>82.3221</v>
      </c>
      <c r="H211" s="56">
        <f t="shared" si="21"/>
        <v>100</v>
      </c>
      <c r="I211" s="56">
        <f t="shared" si="22"/>
        <v>60</v>
      </c>
      <c r="J211" s="56">
        <f t="shared" si="23"/>
      </c>
      <c r="K211" s="56">
        <v>101.3627</v>
      </c>
      <c r="L211" s="56">
        <v>101.24295</v>
      </c>
      <c r="M211" s="57">
        <f t="shared" si="24"/>
        <v>97093405</v>
      </c>
      <c r="N211" s="1"/>
      <c r="O211" s="1" t="s">
        <v>37</v>
      </c>
      <c r="P211" s="58">
        <f>E211-E210</f>
      </c>
    </row>
    <row r="212" ht="25" customHeight="1" spans="1:16" x14ac:dyDescent="0.25">
      <c r="A212" s="1"/>
      <c r="B212" s="52">
        <v>199</v>
      </c>
      <c r="C212" s="53" t="s">
        <v>432</v>
      </c>
      <c r="D212" s="54" t="s">
        <v>433</v>
      </c>
      <c r="E212" s="55">
        <v>9192256537</v>
      </c>
      <c r="F212" s="56">
        <f t="shared" si="19"/>
        <v>82.4955</v>
      </c>
      <c r="G212" s="56">
        <f t="shared" si="20"/>
        <v>82.3221</v>
      </c>
      <c r="H212" s="56">
        <f t="shared" si="21"/>
        <v>100</v>
      </c>
      <c r="I212" s="56">
        <f t="shared" si="22"/>
        <v>60</v>
      </c>
      <c r="J212" s="56">
        <f t="shared" si="23"/>
      </c>
      <c r="K212" s="56">
        <v>101.3627</v>
      </c>
      <c r="L212" s="56">
        <v>101.24295</v>
      </c>
      <c r="M212" s="57">
        <f t="shared" si="24"/>
        <v>97093416</v>
      </c>
      <c r="N212" s="1"/>
      <c r="O212" s="1" t="s">
        <v>37</v>
      </c>
      <c r="P212" s="58">
        <f>E212-E211</f>
      </c>
    </row>
    <row r="213" ht="25" customHeight="1" spans="1:16" x14ac:dyDescent="0.25">
      <c r="A213" s="1"/>
      <c r="B213" s="52">
        <v>200</v>
      </c>
      <c r="C213" s="53" t="s">
        <v>434</v>
      </c>
      <c r="D213" s="54" t="s">
        <v>435</v>
      </c>
      <c r="E213" s="55">
        <v>9192256552</v>
      </c>
      <c r="F213" s="56">
        <f t="shared" si="19"/>
        <v>82.4955</v>
      </c>
      <c r="G213" s="56">
        <f t="shared" si="20"/>
        <v>82.3221</v>
      </c>
      <c r="H213" s="56">
        <f t="shared" si="21"/>
        <v>100</v>
      </c>
      <c r="I213" s="56">
        <f t="shared" si="22"/>
        <v>60</v>
      </c>
      <c r="J213" s="56">
        <f t="shared" si="23"/>
      </c>
      <c r="K213" s="56">
        <v>101.3627</v>
      </c>
      <c r="L213" s="56">
        <v>101.24295</v>
      </c>
      <c r="M213" s="57">
        <f t="shared" si="24"/>
        <v>97093431</v>
      </c>
      <c r="N213" s="1"/>
      <c r="O213" s="1" t="s">
        <v>37</v>
      </c>
      <c r="P213" s="58">
        <f>E213-E212</f>
      </c>
    </row>
    <row r="214" ht="25" customHeight="1" spans="1:16" x14ac:dyDescent="0.25">
      <c r="A214" s="1"/>
      <c r="B214" s="52">
        <v>201</v>
      </c>
      <c r="C214" s="53" t="s">
        <v>436</v>
      </c>
      <c r="D214" s="54" t="s">
        <v>437</v>
      </c>
      <c r="E214" s="55">
        <v>9192256555</v>
      </c>
      <c r="F214" s="56">
        <f t="shared" si="19"/>
        <v>82.4955</v>
      </c>
      <c r="G214" s="56">
        <f t="shared" si="20"/>
        <v>82.3221</v>
      </c>
      <c r="H214" s="56">
        <f t="shared" si="21"/>
        <v>100</v>
      </c>
      <c r="I214" s="56">
        <f t="shared" si="22"/>
        <v>60</v>
      </c>
      <c r="J214" s="56">
        <f t="shared" si="23"/>
      </c>
      <c r="K214" s="56">
        <v>101.3627</v>
      </c>
      <c r="L214" s="56">
        <v>101.24295</v>
      </c>
      <c r="M214" s="57">
        <f t="shared" si="24"/>
        <v>97093434</v>
      </c>
      <c r="N214" s="1"/>
      <c r="O214" s="1" t="s">
        <v>37</v>
      </c>
      <c r="P214" s="58">
        <f>E214-E213</f>
      </c>
    </row>
    <row r="215" ht="25" customHeight="1" spans="1:16" x14ac:dyDescent="0.25">
      <c r="A215" s="1"/>
      <c r="B215" s="52">
        <v>202</v>
      </c>
      <c r="C215" s="53" t="s">
        <v>438</v>
      </c>
      <c r="D215" s="54" t="s">
        <v>439</v>
      </c>
      <c r="E215" s="55">
        <v>9192256558</v>
      </c>
      <c r="F215" s="56">
        <f t="shared" si="19"/>
        <v>82.4955</v>
      </c>
      <c r="G215" s="56">
        <f t="shared" si="20"/>
        <v>82.3221</v>
      </c>
      <c r="H215" s="56">
        <f t="shared" si="21"/>
        <v>100</v>
      </c>
      <c r="I215" s="56">
        <f t="shared" si="22"/>
        <v>60</v>
      </c>
      <c r="J215" s="56">
        <f t="shared" si="23"/>
      </c>
      <c r="K215" s="56">
        <v>101.3627</v>
      </c>
      <c r="L215" s="56">
        <v>101.24295</v>
      </c>
      <c r="M215" s="57">
        <f t="shared" si="24"/>
        <v>97093437</v>
      </c>
      <c r="N215" s="1"/>
      <c r="O215" s="1" t="s">
        <v>37</v>
      </c>
      <c r="P215" s="58">
        <f>E215-E214</f>
      </c>
    </row>
    <row r="216" ht="25" customHeight="1" spans="1:16" x14ac:dyDescent="0.25">
      <c r="A216" s="1"/>
      <c r="B216" s="52">
        <v>203</v>
      </c>
      <c r="C216" s="53" t="s">
        <v>440</v>
      </c>
      <c r="D216" s="54" t="s">
        <v>441</v>
      </c>
      <c r="E216" s="55">
        <v>9192256561</v>
      </c>
      <c r="F216" s="56">
        <f t="shared" si="19"/>
        <v>82.4955</v>
      </c>
      <c r="G216" s="56">
        <f t="shared" si="20"/>
        <v>82.3221</v>
      </c>
      <c r="H216" s="56">
        <f t="shared" si="21"/>
        <v>100</v>
      </c>
      <c r="I216" s="56">
        <f t="shared" si="22"/>
        <v>60</v>
      </c>
      <c r="J216" s="56">
        <f t="shared" si="23"/>
      </c>
      <c r="K216" s="56">
        <v>101.3627</v>
      </c>
      <c r="L216" s="56">
        <v>101.24295</v>
      </c>
      <c r="M216" s="57">
        <f t="shared" si="24"/>
        <v>97093440</v>
      </c>
      <c r="N216" s="1"/>
      <c r="O216" s="1" t="s">
        <v>37</v>
      </c>
      <c r="P216" s="58">
        <f>E216-E215</f>
      </c>
    </row>
    <row r="217" ht="25" customHeight="1" spans="1:16" x14ac:dyDescent="0.25">
      <c r="A217" s="1"/>
      <c r="B217" s="52">
        <v>204</v>
      </c>
      <c r="C217" s="53" t="s">
        <v>442</v>
      </c>
      <c r="D217" s="54" t="s">
        <v>443</v>
      </c>
      <c r="E217" s="55">
        <v>9192256565</v>
      </c>
      <c r="F217" s="56">
        <f t="shared" si="19"/>
        <v>82.4955</v>
      </c>
      <c r="G217" s="56">
        <f t="shared" si="20"/>
        <v>82.3221</v>
      </c>
      <c r="H217" s="56">
        <f t="shared" si="21"/>
        <v>100</v>
      </c>
      <c r="I217" s="56">
        <f t="shared" si="22"/>
        <v>60</v>
      </c>
      <c r="J217" s="56">
        <f t="shared" si="23"/>
      </c>
      <c r="K217" s="56">
        <v>101.3627</v>
      </c>
      <c r="L217" s="56">
        <v>101.24295</v>
      </c>
      <c r="M217" s="57">
        <f t="shared" si="24"/>
        <v>97093444</v>
      </c>
      <c r="N217" s="1"/>
      <c r="O217" s="1" t="s">
        <v>37</v>
      </c>
      <c r="P217" s="58">
        <f>E217-E216</f>
      </c>
    </row>
    <row r="218" ht="25" customHeight="1" spans="1:16" x14ac:dyDescent="0.25">
      <c r="A218" s="1"/>
      <c r="B218" s="52">
        <v>205</v>
      </c>
      <c r="C218" s="53" t="s">
        <v>444</v>
      </c>
      <c r="D218" s="54" t="s">
        <v>445</v>
      </c>
      <c r="E218" s="55">
        <v>9192256581</v>
      </c>
      <c r="F218" s="56">
        <f t="shared" si="19"/>
        <v>82.4955</v>
      </c>
      <c r="G218" s="56">
        <f t="shared" si="20"/>
        <v>82.3221</v>
      </c>
      <c r="H218" s="56">
        <f t="shared" si="21"/>
        <v>100</v>
      </c>
      <c r="I218" s="56">
        <f t="shared" si="22"/>
        <v>60</v>
      </c>
      <c r="J218" s="56">
        <f t="shared" si="23"/>
      </c>
      <c r="K218" s="56">
        <v>101.3627</v>
      </c>
      <c r="L218" s="56">
        <v>101.24295</v>
      </c>
      <c r="M218" s="57">
        <f t="shared" si="24"/>
        <v>97093460</v>
      </c>
      <c r="N218" s="1"/>
      <c r="O218" s="1" t="s">
        <v>37</v>
      </c>
      <c r="P218" s="58">
        <f>E218-E217</f>
      </c>
    </row>
    <row r="219" ht="25" customHeight="1" spans="1:16" x14ac:dyDescent="0.25">
      <c r="A219" s="1"/>
      <c r="B219" s="52">
        <v>206</v>
      </c>
      <c r="C219" s="53" t="s">
        <v>446</v>
      </c>
      <c r="D219" s="54" t="s">
        <v>447</v>
      </c>
      <c r="E219" s="55">
        <v>9192256599</v>
      </c>
      <c r="F219" s="56">
        <f t="shared" si="19"/>
        <v>82.4955</v>
      </c>
      <c r="G219" s="56">
        <f t="shared" si="20"/>
        <v>82.3221</v>
      </c>
      <c r="H219" s="56">
        <f t="shared" si="21"/>
        <v>100</v>
      </c>
      <c r="I219" s="56">
        <f t="shared" si="22"/>
        <v>60</v>
      </c>
      <c r="J219" s="56">
        <f t="shared" si="23"/>
      </c>
      <c r="K219" s="56">
        <v>101.3627</v>
      </c>
      <c r="L219" s="56">
        <v>101.24295</v>
      </c>
      <c r="M219" s="57">
        <f t="shared" si="24"/>
        <v>97093478</v>
      </c>
      <c r="N219" s="1"/>
      <c r="O219" s="1" t="s">
        <v>37</v>
      </c>
      <c r="P219" s="58">
        <f>E219-E218</f>
      </c>
    </row>
    <row r="220" ht="25" customHeight="1" spans="1:16" x14ac:dyDescent="0.25">
      <c r="A220" s="1"/>
      <c r="B220" s="52">
        <v>207</v>
      </c>
      <c r="C220" s="53" t="s">
        <v>448</v>
      </c>
      <c r="D220" s="54" t="s">
        <v>449</v>
      </c>
      <c r="E220" s="55">
        <v>9192256695</v>
      </c>
      <c r="F220" s="56">
        <f t="shared" si="19"/>
        <v>82.4955</v>
      </c>
      <c r="G220" s="56">
        <f t="shared" si="20"/>
        <v>82.3221</v>
      </c>
      <c r="H220" s="56">
        <f t="shared" si="21"/>
        <v>100</v>
      </c>
      <c r="I220" s="56">
        <f t="shared" si="22"/>
        <v>60</v>
      </c>
      <c r="J220" s="56">
        <f t="shared" si="23"/>
      </c>
      <c r="K220" s="56">
        <v>101.3627</v>
      </c>
      <c r="L220" s="56">
        <v>101.24296</v>
      </c>
      <c r="M220" s="57">
        <f t="shared" si="24"/>
        <v>97093574</v>
      </c>
      <c r="N220" s="1"/>
      <c r="O220" s="1" t="s">
        <v>37</v>
      </c>
      <c r="P220" s="58">
        <f>E220-E219</f>
      </c>
    </row>
    <row r="221" ht="25" customHeight="1" spans="1:16" x14ac:dyDescent="0.25">
      <c r="A221" s="1"/>
      <c r="B221" s="52">
        <v>208</v>
      </c>
      <c r="C221" s="53" t="s">
        <v>450</v>
      </c>
      <c r="D221" s="54" t="s">
        <v>451</v>
      </c>
      <c r="E221" s="55">
        <v>9192256768</v>
      </c>
      <c r="F221" s="56">
        <f t="shared" si="19"/>
        <v>82.4955</v>
      </c>
      <c r="G221" s="56">
        <f t="shared" si="20"/>
        <v>82.3221</v>
      </c>
      <c r="H221" s="56">
        <f t="shared" si="21"/>
        <v>100</v>
      </c>
      <c r="I221" s="56">
        <f t="shared" si="22"/>
        <v>60</v>
      </c>
      <c r="J221" s="56">
        <f t="shared" si="23"/>
      </c>
      <c r="K221" s="56">
        <v>101.3627</v>
      </c>
      <c r="L221" s="56">
        <v>101.24296</v>
      </c>
      <c r="M221" s="57">
        <f t="shared" si="24"/>
        <v>97093647</v>
      </c>
      <c r="N221" s="1"/>
      <c r="O221" s="1" t="s">
        <v>37</v>
      </c>
      <c r="P221" s="58">
        <f>E221-E220</f>
      </c>
    </row>
    <row r="222" ht="25" customHeight="1" spans="1:16" x14ac:dyDescent="0.25">
      <c r="A222" s="1"/>
      <c r="B222" s="52">
        <v>209</v>
      </c>
      <c r="C222" s="53" t="s">
        <v>452</v>
      </c>
      <c r="D222" s="54" t="s">
        <v>453</v>
      </c>
      <c r="E222" s="55">
        <v>9192257048</v>
      </c>
      <c r="F222" s="56">
        <f t="shared" si="19"/>
        <v>82.4955</v>
      </c>
      <c r="G222" s="56">
        <f t="shared" si="20"/>
        <v>82.3221</v>
      </c>
      <c r="H222" s="56">
        <f t="shared" si="21"/>
        <v>100</v>
      </c>
      <c r="I222" s="56">
        <f t="shared" si="22"/>
        <v>60</v>
      </c>
      <c r="J222" s="56">
        <f t="shared" si="23"/>
      </c>
      <c r="K222" s="56">
        <v>101.36271</v>
      </c>
      <c r="L222" s="56">
        <v>101.24296</v>
      </c>
      <c r="M222" s="57">
        <f t="shared" si="24"/>
        <v>97093927</v>
      </c>
      <c r="N222" s="1"/>
      <c r="O222" s="1" t="s">
        <v>37</v>
      </c>
      <c r="P222" s="58">
        <f>E222-E221</f>
      </c>
    </row>
    <row r="223" ht="25" customHeight="1" spans="1:16" x14ac:dyDescent="0.25">
      <c r="A223" s="1"/>
      <c r="B223" s="52">
        <v>210</v>
      </c>
      <c r="C223" s="53" t="s">
        <v>454</v>
      </c>
      <c r="D223" s="54" t="s">
        <v>455</v>
      </c>
      <c r="E223" s="55">
        <v>9192257051</v>
      </c>
      <c r="F223" s="56">
        <f t="shared" si="19"/>
        <v>82.4955</v>
      </c>
      <c r="G223" s="56">
        <f t="shared" si="20"/>
        <v>82.3221</v>
      </c>
      <c r="H223" s="56">
        <f t="shared" si="21"/>
        <v>100</v>
      </c>
      <c r="I223" s="56">
        <f t="shared" si="22"/>
        <v>60</v>
      </c>
      <c r="J223" s="56">
        <f t="shared" si="23"/>
      </c>
      <c r="K223" s="56">
        <v>101.36271</v>
      </c>
      <c r="L223" s="56">
        <v>101.24296</v>
      </c>
      <c r="M223" s="57">
        <f t="shared" si="24"/>
        <v>97093930</v>
      </c>
      <c r="N223" s="1"/>
      <c r="O223" s="1" t="s">
        <v>37</v>
      </c>
      <c r="P223" s="58">
        <f>E223-E222</f>
      </c>
    </row>
    <row r="224" ht="25" customHeight="1" spans="1:16" x14ac:dyDescent="0.25">
      <c r="A224" s="1"/>
      <c r="B224" s="52">
        <v>211</v>
      </c>
      <c r="C224" s="53" t="s">
        <v>456</v>
      </c>
      <c r="D224" s="54" t="s">
        <v>457</v>
      </c>
      <c r="E224" s="55">
        <v>9192257136</v>
      </c>
      <c r="F224" s="56">
        <f t="shared" si="19"/>
        <v>82.4955</v>
      </c>
      <c r="G224" s="56">
        <f t="shared" si="20"/>
        <v>82.3221</v>
      </c>
      <c r="H224" s="56">
        <f t="shared" si="21"/>
        <v>100</v>
      </c>
      <c r="I224" s="56">
        <f t="shared" si="22"/>
        <v>60</v>
      </c>
      <c r="J224" s="56">
        <f t="shared" si="23"/>
      </c>
      <c r="K224" s="56">
        <v>101.36271</v>
      </c>
      <c r="L224" s="56">
        <v>101.24296</v>
      </c>
      <c r="M224" s="57">
        <f t="shared" si="24"/>
        <v>97094015</v>
      </c>
      <c r="N224" s="1"/>
      <c r="O224" s="1" t="s">
        <v>37</v>
      </c>
      <c r="P224" s="58">
        <f>E224-E223</f>
      </c>
    </row>
    <row r="225" ht="25" customHeight="1" spans="1:16" x14ac:dyDescent="0.25">
      <c r="A225" s="1"/>
      <c r="B225" s="52">
        <v>212</v>
      </c>
      <c r="C225" s="53" t="s">
        <v>458</v>
      </c>
      <c r="D225" s="54" t="s">
        <v>459</v>
      </c>
      <c r="E225" s="55">
        <v>9192257141</v>
      </c>
      <c r="F225" s="56">
        <f t="shared" si="19"/>
        <v>82.4955</v>
      </c>
      <c r="G225" s="56">
        <f t="shared" si="20"/>
        <v>82.3221</v>
      </c>
      <c r="H225" s="56">
        <f t="shared" si="21"/>
        <v>100</v>
      </c>
      <c r="I225" s="56">
        <f t="shared" si="22"/>
        <v>60</v>
      </c>
      <c r="J225" s="56">
        <f t="shared" si="23"/>
      </c>
      <c r="K225" s="56">
        <v>101.36271</v>
      </c>
      <c r="L225" s="56">
        <v>101.24296</v>
      </c>
      <c r="M225" s="57">
        <f t="shared" si="24"/>
        <v>97094020</v>
      </c>
      <c r="N225" s="1"/>
      <c r="O225" s="1" t="s">
        <v>37</v>
      </c>
      <c r="P225" s="58">
        <f>E225-E224</f>
      </c>
    </row>
    <row r="226" ht="25" customHeight="1" spans="1:16" x14ac:dyDescent="0.25">
      <c r="A226" s="1"/>
      <c r="B226" s="52">
        <v>213</v>
      </c>
      <c r="C226" s="53" t="s">
        <v>460</v>
      </c>
      <c r="D226" s="54" t="s">
        <v>461</v>
      </c>
      <c r="E226" s="55">
        <v>9192257257</v>
      </c>
      <c r="F226" s="56">
        <f t="shared" si="19"/>
        <v>82.4955</v>
      </c>
      <c r="G226" s="56">
        <f t="shared" si="20"/>
        <v>82.3221</v>
      </c>
      <c r="H226" s="56">
        <f t="shared" si="21"/>
        <v>100</v>
      </c>
      <c r="I226" s="56">
        <f t="shared" si="22"/>
        <v>60</v>
      </c>
      <c r="J226" s="56">
        <f t="shared" si="23"/>
      </c>
      <c r="K226" s="56">
        <v>101.36271</v>
      </c>
      <c r="L226" s="56">
        <v>101.24296</v>
      </c>
      <c r="M226" s="57">
        <f t="shared" si="24"/>
        <v>97094136</v>
      </c>
      <c r="N226" s="1"/>
      <c r="O226" s="1" t="s">
        <v>37</v>
      </c>
      <c r="P226" s="58">
        <f>E226-E225</f>
      </c>
    </row>
    <row r="227" ht="25" customHeight="1" spans="1:16" x14ac:dyDescent="0.25">
      <c r="A227" s="1"/>
      <c r="B227" s="52">
        <v>214</v>
      </c>
      <c r="C227" s="53" t="s">
        <v>462</v>
      </c>
      <c r="D227" s="54" t="s">
        <v>463</v>
      </c>
      <c r="E227" s="55">
        <v>9192257344</v>
      </c>
      <c r="F227" s="56">
        <f t="shared" si="19"/>
        <v>82.4955</v>
      </c>
      <c r="G227" s="56">
        <f t="shared" si="20"/>
        <v>82.3221</v>
      </c>
      <c r="H227" s="56">
        <f t="shared" si="21"/>
        <v>100</v>
      </c>
      <c r="I227" s="56">
        <f t="shared" si="22"/>
        <v>60</v>
      </c>
      <c r="J227" s="56">
        <f t="shared" si="23"/>
      </c>
      <c r="K227" s="56">
        <v>101.36271</v>
      </c>
      <c r="L227" s="56">
        <v>101.24296</v>
      </c>
      <c r="M227" s="57">
        <f t="shared" si="24"/>
        <v>97094223</v>
      </c>
      <c r="N227" s="1"/>
      <c r="O227" s="1" t="s">
        <v>37</v>
      </c>
      <c r="P227" s="58">
        <f>E227-E226</f>
      </c>
    </row>
    <row r="228" ht="25" customHeight="1" spans="1:16" x14ac:dyDescent="0.25">
      <c r="A228" s="1"/>
      <c r="B228" s="52">
        <v>215</v>
      </c>
      <c r="C228" s="53" t="s">
        <v>464</v>
      </c>
      <c r="D228" s="54" t="s">
        <v>465</v>
      </c>
      <c r="E228" s="55">
        <v>9192257364</v>
      </c>
      <c r="F228" s="56">
        <f t="shared" si="19"/>
        <v>82.4955</v>
      </c>
      <c r="G228" s="56">
        <f t="shared" si="20"/>
        <v>82.3221</v>
      </c>
      <c r="H228" s="56">
        <f t="shared" si="21"/>
        <v>100</v>
      </c>
      <c r="I228" s="56">
        <f t="shared" si="22"/>
        <v>60</v>
      </c>
      <c r="J228" s="56">
        <f t="shared" si="23"/>
      </c>
      <c r="K228" s="56">
        <v>101.36271</v>
      </c>
      <c r="L228" s="56">
        <v>101.24296</v>
      </c>
      <c r="M228" s="57">
        <f t="shared" si="24"/>
        <v>97094243</v>
      </c>
      <c r="N228" s="1"/>
      <c r="O228" s="1" t="s">
        <v>37</v>
      </c>
      <c r="P228" s="58">
        <f>E228-E227</f>
      </c>
    </row>
    <row r="229" ht="25" customHeight="1" spans="1:16" x14ac:dyDescent="0.25">
      <c r="A229" s="1"/>
      <c r="B229" s="52">
        <v>216</v>
      </c>
      <c r="C229" s="53" t="s">
        <v>466</v>
      </c>
      <c r="D229" s="54" t="s">
        <v>467</v>
      </c>
      <c r="E229" s="55">
        <v>9192257370</v>
      </c>
      <c r="F229" s="56">
        <f t="shared" si="19"/>
        <v>82.4955</v>
      </c>
      <c r="G229" s="56">
        <f t="shared" si="20"/>
        <v>82.3221</v>
      </c>
      <c r="H229" s="56">
        <f t="shared" si="21"/>
        <v>100</v>
      </c>
      <c r="I229" s="56">
        <f t="shared" si="22"/>
        <v>60</v>
      </c>
      <c r="J229" s="56">
        <f t="shared" si="23"/>
      </c>
      <c r="K229" s="56">
        <v>101.36271</v>
      </c>
      <c r="L229" s="56">
        <v>101.24296</v>
      </c>
      <c r="M229" s="57">
        <f t="shared" si="24"/>
        <v>97094249</v>
      </c>
      <c r="N229" s="1"/>
      <c r="O229" s="1" t="s">
        <v>37</v>
      </c>
      <c r="P229" s="58">
        <f>E229-E228</f>
      </c>
    </row>
    <row r="230" ht="25" customHeight="1" spans="1:16" x14ac:dyDescent="0.25">
      <c r="A230" s="1"/>
      <c r="B230" s="52">
        <v>217</v>
      </c>
      <c r="C230" s="53" t="s">
        <v>468</v>
      </c>
      <c r="D230" s="54" t="s">
        <v>469</v>
      </c>
      <c r="E230" s="55">
        <v>9192257370</v>
      </c>
      <c r="F230" s="56">
        <f t="shared" si="19"/>
        <v>82.4955</v>
      </c>
      <c r="G230" s="56">
        <f t="shared" si="20"/>
        <v>82.3221</v>
      </c>
      <c r="H230" s="56">
        <f t="shared" si="21"/>
        <v>100</v>
      </c>
      <c r="I230" s="56">
        <f t="shared" si="22"/>
        <v>60</v>
      </c>
      <c r="J230" s="56">
        <f t="shared" si="23"/>
      </c>
      <c r="K230" s="56">
        <v>101.36271</v>
      </c>
      <c r="L230" s="56">
        <v>101.24296</v>
      </c>
      <c r="M230" s="57">
        <f t="shared" si="24"/>
        <v>97094249</v>
      </c>
      <c r="N230" s="1"/>
      <c r="O230" s="1" t="s">
        <v>37</v>
      </c>
      <c r="P230" s="58">
        <f>E230-E229</f>
      </c>
    </row>
    <row r="231" ht="25" customHeight="1" spans="1:16" x14ac:dyDescent="0.25">
      <c r="A231" s="1"/>
      <c r="B231" s="52">
        <v>218</v>
      </c>
      <c r="C231" s="53" t="s">
        <v>470</v>
      </c>
      <c r="D231" s="54" t="s">
        <v>471</v>
      </c>
      <c r="E231" s="55">
        <v>9192257377</v>
      </c>
      <c r="F231" s="56">
        <f t="shared" si="19"/>
        <v>82.4955</v>
      </c>
      <c r="G231" s="56">
        <f t="shared" si="20"/>
        <v>82.3221</v>
      </c>
      <c r="H231" s="56">
        <f t="shared" si="21"/>
        <v>100</v>
      </c>
      <c r="I231" s="56">
        <f t="shared" si="22"/>
        <v>60</v>
      </c>
      <c r="J231" s="56">
        <f t="shared" si="23"/>
      </c>
      <c r="K231" s="56">
        <v>101.36271</v>
      </c>
      <c r="L231" s="56">
        <v>101.24296</v>
      </c>
      <c r="M231" s="57">
        <f t="shared" si="24"/>
        <v>97094256</v>
      </c>
      <c r="N231" s="1"/>
      <c r="O231" s="1" t="s">
        <v>37</v>
      </c>
      <c r="P231" s="58">
        <f>E231-E230</f>
      </c>
    </row>
    <row r="232" ht="25" customHeight="1" spans="1:16" x14ac:dyDescent="0.25">
      <c r="A232" s="1"/>
      <c r="B232" s="52">
        <v>219</v>
      </c>
      <c r="C232" s="53" t="s">
        <v>472</v>
      </c>
      <c r="D232" s="54" t="s">
        <v>473</v>
      </c>
      <c r="E232" s="55">
        <v>9192257384</v>
      </c>
      <c r="F232" s="56">
        <f t="shared" si="19"/>
        <v>82.4955</v>
      </c>
      <c r="G232" s="56">
        <f t="shared" si="20"/>
        <v>82.3221</v>
      </c>
      <c r="H232" s="56">
        <f t="shared" si="21"/>
        <v>100</v>
      </c>
      <c r="I232" s="56">
        <f t="shared" si="22"/>
        <v>60</v>
      </c>
      <c r="J232" s="56">
        <f t="shared" si="23"/>
      </c>
      <c r="K232" s="56">
        <v>101.36271</v>
      </c>
      <c r="L232" s="56">
        <v>101.24296</v>
      </c>
      <c r="M232" s="57">
        <f t="shared" si="24"/>
        <v>97094263</v>
      </c>
      <c r="N232" s="1"/>
      <c r="O232" s="1" t="s">
        <v>37</v>
      </c>
      <c r="P232" s="58">
        <f>E232-E231</f>
      </c>
    </row>
    <row r="233" ht="25" customHeight="1" spans="1:16" x14ac:dyDescent="0.25">
      <c r="A233" s="1"/>
      <c r="B233" s="52">
        <v>220</v>
      </c>
      <c r="C233" s="53" t="s">
        <v>474</v>
      </c>
      <c r="D233" s="54" t="s">
        <v>475</v>
      </c>
      <c r="E233" s="55">
        <v>9192257391</v>
      </c>
      <c r="F233" s="56">
        <f t="shared" si="19"/>
        <v>82.4955</v>
      </c>
      <c r="G233" s="56">
        <f t="shared" si="20"/>
        <v>82.3221</v>
      </c>
      <c r="H233" s="56">
        <f t="shared" si="21"/>
        <v>100</v>
      </c>
      <c r="I233" s="56">
        <f t="shared" si="22"/>
        <v>60</v>
      </c>
      <c r="J233" s="56">
        <f t="shared" si="23"/>
      </c>
      <c r="K233" s="56">
        <v>101.36271</v>
      </c>
      <c r="L233" s="56">
        <v>101.24296</v>
      </c>
      <c r="M233" s="57">
        <f t="shared" si="24"/>
        <v>97094270</v>
      </c>
      <c r="N233" s="1"/>
      <c r="O233" s="1" t="s">
        <v>37</v>
      </c>
      <c r="P233" s="58">
        <f>E233-E232</f>
      </c>
    </row>
    <row r="234" ht="25" customHeight="1" spans="1:16" x14ac:dyDescent="0.25">
      <c r="A234" s="1"/>
      <c r="B234" s="52">
        <v>221</v>
      </c>
      <c r="C234" s="53" t="s">
        <v>476</v>
      </c>
      <c r="D234" s="54" t="s">
        <v>477</v>
      </c>
      <c r="E234" s="55">
        <v>9192257398</v>
      </c>
      <c r="F234" s="56">
        <f t="shared" si="19"/>
        <v>82.4955</v>
      </c>
      <c r="G234" s="56">
        <f t="shared" si="20"/>
        <v>82.3221</v>
      </c>
      <c r="H234" s="56">
        <f t="shared" si="21"/>
        <v>100</v>
      </c>
      <c r="I234" s="56">
        <f t="shared" si="22"/>
        <v>60</v>
      </c>
      <c r="J234" s="56">
        <f t="shared" si="23"/>
      </c>
      <c r="K234" s="56">
        <v>101.36271</v>
      </c>
      <c r="L234" s="56">
        <v>101.24296</v>
      </c>
      <c r="M234" s="57">
        <f t="shared" si="24"/>
        <v>97094277</v>
      </c>
      <c r="N234" s="1"/>
      <c r="O234" s="1" t="s">
        <v>37</v>
      </c>
      <c r="P234" s="58">
        <f>E234-E233</f>
      </c>
    </row>
    <row r="235" ht="25" customHeight="1" spans="1:16" x14ac:dyDescent="0.25">
      <c r="A235" s="1"/>
      <c r="B235" s="52">
        <v>222</v>
      </c>
      <c r="C235" s="53" t="s">
        <v>478</v>
      </c>
      <c r="D235" s="54" t="s">
        <v>479</v>
      </c>
      <c r="E235" s="55">
        <v>9192257405</v>
      </c>
      <c r="F235" s="56">
        <f t="shared" si="19"/>
        <v>82.4955</v>
      </c>
      <c r="G235" s="56">
        <f t="shared" si="20"/>
        <v>82.3221</v>
      </c>
      <c r="H235" s="56">
        <f t="shared" si="21"/>
        <v>100</v>
      </c>
      <c r="I235" s="56">
        <f t="shared" si="22"/>
        <v>60</v>
      </c>
      <c r="J235" s="56">
        <f t="shared" si="23"/>
      </c>
      <c r="K235" s="56">
        <v>101.36271</v>
      </c>
      <c r="L235" s="56">
        <v>101.24296</v>
      </c>
      <c r="M235" s="57">
        <f t="shared" si="24"/>
        <v>97094284</v>
      </c>
      <c r="N235" s="1"/>
      <c r="O235" s="1" t="s">
        <v>37</v>
      </c>
      <c r="P235" s="58">
        <f>E235-E234</f>
      </c>
    </row>
    <row r="236" ht="25" customHeight="1" spans="1:16" x14ac:dyDescent="0.25">
      <c r="A236" s="1"/>
      <c r="B236" s="52">
        <v>223</v>
      </c>
      <c r="C236" s="53" t="s">
        <v>480</v>
      </c>
      <c r="D236" s="54" t="s">
        <v>481</v>
      </c>
      <c r="E236" s="55">
        <v>9192257412</v>
      </c>
      <c r="F236" s="56">
        <f t="shared" si="19"/>
        <v>82.4955</v>
      </c>
      <c r="G236" s="56">
        <f t="shared" si="20"/>
        <v>82.3221</v>
      </c>
      <c r="H236" s="56">
        <f t="shared" si="21"/>
        <v>100</v>
      </c>
      <c r="I236" s="56">
        <f t="shared" si="22"/>
        <v>60</v>
      </c>
      <c r="J236" s="56">
        <f t="shared" si="23"/>
      </c>
      <c r="K236" s="56">
        <v>101.36271</v>
      </c>
      <c r="L236" s="56">
        <v>101.24296</v>
      </c>
      <c r="M236" s="57">
        <f t="shared" si="24"/>
        <v>97094291</v>
      </c>
      <c r="N236" s="1"/>
      <c r="O236" s="1" t="s">
        <v>37</v>
      </c>
      <c r="P236" s="58">
        <f>E236-E235</f>
      </c>
    </row>
    <row r="237" ht="25" customHeight="1" spans="1:16" x14ac:dyDescent="0.25">
      <c r="A237" s="1"/>
      <c r="B237" s="52">
        <v>224</v>
      </c>
      <c r="C237" s="53" t="s">
        <v>482</v>
      </c>
      <c r="D237" s="54" t="s">
        <v>483</v>
      </c>
      <c r="E237" s="55">
        <v>9192257419</v>
      </c>
      <c r="F237" s="56">
        <f t="shared" si="19"/>
        <v>82.4955</v>
      </c>
      <c r="G237" s="56">
        <f t="shared" si="20"/>
        <v>82.3221</v>
      </c>
      <c r="H237" s="56">
        <f t="shared" si="21"/>
        <v>100</v>
      </c>
      <c r="I237" s="56">
        <f t="shared" si="22"/>
        <v>60</v>
      </c>
      <c r="J237" s="56">
        <f t="shared" si="23"/>
      </c>
      <c r="K237" s="56">
        <v>101.36271</v>
      </c>
      <c r="L237" s="56">
        <v>101.24296</v>
      </c>
      <c r="M237" s="57">
        <f t="shared" si="24"/>
        <v>97094298</v>
      </c>
      <c r="N237" s="1"/>
      <c r="O237" s="1" t="s">
        <v>37</v>
      </c>
      <c r="P237" s="58">
        <f>E237-E236</f>
      </c>
    </row>
    <row r="238" ht="25" customHeight="1" spans="1:16" x14ac:dyDescent="0.25">
      <c r="A238" s="1"/>
      <c r="B238" s="52">
        <v>225</v>
      </c>
      <c r="C238" s="53" t="s">
        <v>484</v>
      </c>
      <c r="D238" s="54" t="s">
        <v>485</v>
      </c>
      <c r="E238" s="55">
        <v>9192257440</v>
      </c>
      <c r="F238" s="56">
        <f t="shared" si="19"/>
        <v>82.4955</v>
      </c>
      <c r="G238" s="56">
        <f t="shared" si="20"/>
        <v>82.3221</v>
      </c>
      <c r="H238" s="56">
        <f t="shared" si="21"/>
        <v>100</v>
      </c>
      <c r="I238" s="56">
        <f t="shared" si="22"/>
        <v>60</v>
      </c>
      <c r="J238" s="56">
        <f t="shared" si="23"/>
      </c>
      <c r="K238" s="56">
        <v>101.36271</v>
      </c>
      <c r="L238" s="56">
        <v>101.24296</v>
      </c>
      <c r="M238" s="57">
        <f t="shared" si="24"/>
        <v>97094319</v>
      </c>
      <c r="N238" s="1"/>
      <c r="O238" s="1" t="s">
        <v>37</v>
      </c>
      <c r="P238" s="58">
        <f>E238-E237</f>
      </c>
    </row>
    <row r="239" ht="25" customHeight="1" spans="1:16" x14ac:dyDescent="0.25">
      <c r="A239" s="1"/>
      <c r="B239" s="52">
        <v>226</v>
      </c>
      <c r="C239" s="53" t="s">
        <v>486</v>
      </c>
      <c r="D239" s="54" t="s">
        <v>487</v>
      </c>
      <c r="E239" s="55">
        <v>9192257448</v>
      </c>
      <c r="F239" s="56">
        <f t="shared" si="19"/>
        <v>82.4955</v>
      </c>
      <c r="G239" s="56">
        <f t="shared" si="20"/>
        <v>82.3221</v>
      </c>
      <c r="H239" s="56">
        <f t="shared" si="21"/>
        <v>100</v>
      </c>
      <c r="I239" s="56">
        <f t="shared" si="22"/>
        <v>60</v>
      </c>
      <c r="J239" s="56">
        <f t="shared" si="23"/>
      </c>
      <c r="K239" s="56">
        <v>101.36271</v>
      </c>
      <c r="L239" s="56">
        <v>101.24296</v>
      </c>
      <c r="M239" s="57">
        <f t="shared" si="24"/>
        <v>97094327</v>
      </c>
      <c r="N239" s="1"/>
      <c r="O239" s="1" t="s">
        <v>37</v>
      </c>
      <c r="P239" s="58">
        <f>E239-E238</f>
      </c>
    </row>
    <row r="240" ht="25" customHeight="1" spans="1:16" x14ac:dyDescent="0.25">
      <c r="A240" s="1"/>
      <c r="B240" s="52">
        <v>227</v>
      </c>
      <c r="C240" s="53" t="s">
        <v>488</v>
      </c>
      <c r="D240" s="54" t="s">
        <v>489</v>
      </c>
      <c r="E240" s="55">
        <v>9192257451</v>
      </c>
      <c r="F240" s="56">
        <f t="shared" si="19"/>
        <v>82.4955</v>
      </c>
      <c r="G240" s="56">
        <f t="shared" si="20"/>
        <v>82.3221</v>
      </c>
      <c r="H240" s="56">
        <f t="shared" si="21"/>
        <v>100</v>
      </c>
      <c r="I240" s="56">
        <f t="shared" si="22"/>
        <v>60</v>
      </c>
      <c r="J240" s="56">
        <f t="shared" si="23"/>
      </c>
      <c r="K240" s="56">
        <v>101.36271</v>
      </c>
      <c r="L240" s="56">
        <v>101.24296</v>
      </c>
      <c r="M240" s="57">
        <f t="shared" si="24"/>
        <v>97094330</v>
      </c>
      <c r="N240" s="1"/>
      <c r="O240" s="1" t="s">
        <v>37</v>
      </c>
      <c r="P240" s="58">
        <f>E240-E239</f>
      </c>
    </row>
    <row r="241" ht="25" customHeight="1" spans="1:16" x14ac:dyDescent="0.25">
      <c r="A241" s="1"/>
      <c r="B241" s="52">
        <v>228</v>
      </c>
      <c r="C241" s="53" t="s">
        <v>490</v>
      </c>
      <c r="D241" s="54" t="s">
        <v>491</v>
      </c>
      <c r="E241" s="55">
        <v>9192257587</v>
      </c>
      <c r="F241" s="56">
        <f t="shared" si="19"/>
        <v>82.4955</v>
      </c>
      <c r="G241" s="56">
        <f t="shared" si="20"/>
        <v>82.3221</v>
      </c>
      <c r="H241" s="56">
        <f t="shared" si="21"/>
        <v>100</v>
      </c>
      <c r="I241" s="56">
        <f t="shared" si="22"/>
        <v>60</v>
      </c>
      <c r="J241" s="56">
        <f t="shared" si="23"/>
      </c>
      <c r="K241" s="56">
        <v>101.36271</v>
      </c>
      <c r="L241" s="56">
        <v>101.24296</v>
      </c>
      <c r="M241" s="57">
        <f t="shared" si="24"/>
        <v>97094466</v>
      </c>
      <c r="N241" s="1"/>
      <c r="O241" s="1" t="s">
        <v>37</v>
      </c>
      <c r="P241" s="58">
        <f>E241-E240</f>
      </c>
    </row>
    <row r="242" ht="25" customHeight="1" spans="1:16" x14ac:dyDescent="0.25">
      <c r="A242" s="1"/>
      <c r="B242" s="52">
        <v>229</v>
      </c>
      <c r="C242" s="53" t="s">
        <v>492</v>
      </c>
      <c r="D242" s="54" t="s">
        <v>493</v>
      </c>
      <c r="E242" s="55">
        <v>9192257591</v>
      </c>
      <c r="F242" s="56">
        <f t="shared" si="19"/>
        <v>82.4955</v>
      </c>
      <c r="G242" s="56">
        <f t="shared" si="20"/>
        <v>82.3221</v>
      </c>
      <c r="H242" s="56">
        <f t="shared" si="21"/>
        <v>100</v>
      </c>
      <c r="I242" s="56">
        <f t="shared" si="22"/>
        <v>60</v>
      </c>
      <c r="J242" s="56">
        <f t="shared" si="23"/>
      </c>
      <c r="K242" s="56">
        <v>101.36271</v>
      </c>
      <c r="L242" s="56">
        <v>101.24296</v>
      </c>
      <c r="M242" s="57">
        <f t="shared" si="24"/>
        <v>97094470</v>
      </c>
      <c r="N242" s="1"/>
      <c r="O242" s="1" t="s">
        <v>37</v>
      </c>
      <c r="P242" s="58">
        <f>E242-E241</f>
      </c>
    </row>
    <row r="243" ht="25" customHeight="1" spans="1:16" x14ac:dyDescent="0.25">
      <c r="A243" s="1"/>
      <c r="B243" s="52">
        <v>230</v>
      </c>
      <c r="C243" s="53" t="s">
        <v>494</v>
      </c>
      <c r="D243" s="54" t="s">
        <v>495</v>
      </c>
      <c r="E243" s="55">
        <v>9192257594</v>
      </c>
      <c r="F243" s="56">
        <f t="shared" si="19"/>
        <v>82.4955</v>
      </c>
      <c r="G243" s="56">
        <f t="shared" si="20"/>
        <v>82.3221</v>
      </c>
      <c r="H243" s="56">
        <f t="shared" si="21"/>
        <v>100</v>
      </c>
      <c r="I243" s="56">
        <f t="shared" si="22"/>
        <v>60</v>
      </c>
      <c r="J243" s="56">
        <f t="shared" si="23"/>
      </c>
      <c r="K243" s="56">
        <v>101.36271</v>
      </c>
      <c r="L243" s="56">
        <v>101.24296</v>
      </c>
      <c r="M243" s="57">
        <f t="shared" si="24"/>
        <v>97094473</v>
      </c>
      <c r="N243" s="1"/>
      <c r="O243" s="1" t="s">
        <v>37</v>
      </c>
      <c r="P243" s="58">
        <f>E243-E242</f>
      </c>
    </row>
    <row r="244" ht="25" customHeight="1" spans="1:16" x14ac:dyDescent="0.25">
      <c r="A244" s="1"/>
      <c r="B244" s="52">
        <v>231</v>
      </c>
      <c r="C244" s="53" t="s">
        <v>496</v>
      </c>
      <c r="D244" s="54" t="s">
        <v>497</v>
      </c>
      <c r="E244" s="55">
        <v>9192257596</v>
      </c>
      <c r="F244" s="56">
        <f t="shared" si="19"/>
        <v>82.4955</v>
      </c>
      <c r="G244" s="56">
        <f t="shared" si="20"/>
        <v>82.3221</v>
      </c>
      <c r="H244" s="56">
        <f t="shared" si="21"/>
        <v>100</v>
      </c>
      <c r="I244" s="56">
        <f t="shared" si="22"/>
        <v>60</v>
      </c>
      <c r="J244" s="56">
        <f t="shared" si="23"/>
      </c>
      <c r="K244" s="56">
        <v>101.36271</v>
      </c>
      <c r="L244" s="56">
        <v>101.24296</v>
      </c>
      <c r="M244" s="57">
        <f t="shared" si="24"/>
        <v>97094475</v>
      </c>
      <c r="N244" s="1"/>
      <c r="O244" s="1" t="s">
        <v>37</v>
      </c>
      <c r="P244" s="58">
        <f>E244-E243</f>
      </c>
    </row>
    <row r="245" ht="25" customHeight="1" spans="1:16" x14ac:dyDescent="0.25">
      <c r="A245" s="1"/>
      <c r="B245" s="52">
        <v>232</v>
      </c>
      <c r="C245" s="53" t="s">
        <v>498</v>
      </c>
      <c r="D245" s="54" t="s">
        <v>499</v>
      </c>
      <c r="E245" s="55">
        <v>9192257600</v>
      </c>
      <c r="F245" s="56">
        <f t="shared" si="19"/>
        <v>82.4955</v>
      </c>
      <c r="G245" s="56">
        <f t="shared" si="20"/>
        <v>82.3221</v>
      </c>
      <c r="H245" s="56">
        <f t="shared" si="21"/>
        <v>100</v>
      </c>
      <c r="I245" s="56">
        <f t="shared" si="22"/>
        <v>60</v>
      </c>
      <c r="J245" s="56">
        <f t="shared" si="23"/>
      </c>
      <c r="K245" s="56">
        <v>101.36271</v>
      </c>
      <c r="L245" s="56">
        <v>101.24296</v>
      </c>
      <c r="M245" s="57">
        <f t="shared" si="24"/>
        <v>97094479</v>
      </c>
      <c r="N245" s="1"/>
      <c r="O245" s="1" t="s">
        <v>37</v>
      </c>
      <c r="P245" s="58">
        <f>E245-E244</f>
      </c>
    </row>
    <row r="246" ht="25" customHeight="1" spans="1:16" x14ac:dyDescent="0.25">
      <c r="A246" s="1"/>
      <c r="B246" s="52">
        <v>233</v>
      </c>
      <c r="C246" s="53" t="s">
        <v>500</v>
      </c>
      <c r="D246" s="54" t="s">
        <v>501</v>
      </c>
      <c r="E246" s="55">
        <v>9192257628</v>
      </c>
      <c r="F246" s="56">
        <f t="shared" si="19"/>
        <v>82.4955</v>
      </c>
      <c r="G246" s="56">
        <f t="shared" si="20"/>
        <v>82.3221</v>
      </c>
      <c r="H246" s="56">
        <f t="shared" si="21"/>
        <v>100</v>
      </c>
      <c r="I246" s="56">
        <f t="shared" si="22"/>
        <v>60</v>
      </c>
      <c r="J246" s="56">
        <f t="shared" si="23"/>
      </c>
      <c r="K246" s="56">
        <v>101.36271</v>
      </c>
      <c r="L246" s="56">
        <v>101.24296</v>
      </c>
      <c r="M246" s="57">
        <f t="shared" si="24"/>
        <v>97094507</v>
      </c>
      <c r="N246" s="1"/>
      <c r="O246" s="1" t="s">
        <v>37</v>
      </c>
      <c r="P246" s="58">
        <f>E246-E245</f>
      </c>
    </row>
    <row r="247" ht="25" customHeight="1" spans="1:16" x14ac:dyDescent="0.25">
      <c r="A247" s="1"/>
      <c r="B247" s="52">
        <v>234</v>
      </c>
      <c r="C247" s="53" t="s">
        <v>502</v>
      </c>
      <c r="D247" s="54" t="s">
        <v>503</v>
      </c>
      <c r="E247" s="55">
        <v>9192257652</v>
      </c>
      <c r="F247" s="56">
        <f t="shared" si="19"/>
        <v>82.4955</v>
      </c>
      <c r="G247" s="56">
        <f t="shared" si="20"/>
        <v>82.3221</v>
      </c>
      <c r="H247" s="56">
        <f t="shared" si="21"/>
        <v>100</v>
      </c>
      <c r="I247" s="56">
        <f t="shared" si="22"/>
        <v>60</v>
      </c>
      <c r="J247" s="56">
        <f t="shared" si="23"/>
      </c>
      <c r="K247" s="56">
        <v>101.36271</v>
      </c>
      <c r="L247" s="56">
        <v>101.24296</v>
      </c>
      <c r="M247" s="57">
        <f t="shared" si="24"/>
        <v>97094531</v>
      </c>
      <c r="N247" s="1"/>
      <c r="O247" s="1" t="s">
        <v>37</v>
      </c>
      <c r="P247" s="58">
        <f>E247-E246</f>
      </c>
    </row>
    <row r="248" ht="25" customHeight="1" spans="1:16" x14ac:dyDescent="0.25">
      <c r="A248" s="1"/>
      <c r="B248" s="52">
        <v>235</v>
      </c>
      <c r="C248" s="53" t="s">
        <v>504</v>
      </c>
      <c r="D248" s="54" t="s">
        <v>505</v>
      </c>
      <c r="E248" s="55">
        <v>9192257667</v>
      </c>
      <c r="F248" s="56">
        <f t="shared" si="19"/>
        <v>82.4955</v>
      </c>
      <c r="G248" s="56">
        <f t="shared" si="20"/>
        <v>82.3221</v>
      </c>
      <c r="H248" s="56">
        <f t="shared" si="21"/>
        <v>100</v>
      </c>
      <c r="I248" s="56">
        <f t="shared" si="22"/>
        <v>60</v>
      </c>
      <c r="J248" s="56">
        <f t="shared" si="23"/>
      </c>
      <c r="K248" s="56">
        <v>101.36271</v>
      </c>
      <c r="L248" s="56">
        <v>101.24296</v>
      </c>
      <c r="M248" s="57">
        <f t="shared" si="24"/>
        <v>97094546</v>
      </c>
      <c r="N248" s="1"/>
      <c r="O248" s="1" t="s">
        <v>37</v>
      </c>
      <c r="P248" s="58">
        <f>E248-E247</f>
      </c>
    </row>
    <row r="249" ht="25" customHeight="1" spans="1:16" x14ac:dyDescent="0.25">
      <c r="A249" s="1"/>
      <c r="B249" s="52">
        <v>236</v>
      </c>
      <c r="C249" s="53" t="s">
        <v>506</v>
      </c>
      <c r="D249" s="54" t="s">
        <v>507</v>
      </c>
      <c r="E249" s="55">
        <v>9192257668</v>
      </c>
      <c r="F249" s="56">
        <f t="shared" si="19"/>
        <v>82.4955</v>
      </c>
      <c r="G249" s="56">
        <f t="shared" si="20"/>
        <v>82.3221</v>
      </c>
      <c r="H249" s="56">
        <f t="shared" si="21"/>
        <v>100</v>
      </c>
      <c r="I249" s="56">
        <f t="shared" si="22"/>
        <v>60</v>
      </c>
      <c r="J249" s="56">
        <f t="shared" si="23"/>
      </c>
      <c r="K249" s="56">
        <v>101.36271</v>
      </c>
      <c r="L249" s="56">
        <v>101.24296</v>
      </c>
      <c r="M249" s="57">
        <f t="shared" si="24"/>
        <v>97094547</v>
      </c>
      <c r="N249" s="1"/>
      <c r="O249" s="1" t="s">
        <v>37</v>
      </c>
      <c r="P249" s="58">
        <f>E249-E248</f>
      </c>
    </row>
    <row r="250" ht="25" customHeight="1" spans="1:16" x14ac:dyDescent="0.25">
      <c r="A250" s="1"/>
      <c r="B250" s="52">
        <v>237</v>
      </c>
      <c r="C250" s="53" t="s">
        <v>508</v>
      </c>
      <c r="D250" s="54" t="s">
        <v>509</v>
      </c>
      <c r="E250" s="55">
        <v>9192257679</v>
      </c>
      <c r="F250" s="56">
        <f t="shared" si="19"/>
        <v>82.4955</v>
      </c>
      <c r="G250" s="56">
        <f t="shared" si="20"/>
        <v>82.3221</v>
      </c>
      <c r="H250" s="56">
        <f t="shared" si="21"/>
        <v>100</v>
      </c>
      <c r="I250" s="56">
        <f t="shared" si="22"/>
        <v>60</v>
      </c>
      <c r="J250" s="56">
        <f t="shared" si="23"/>
      </c>
      <c r="K250" s="56">
        <v>101.36271</v>
      </c>
      <c r="L250" s="56">
        <v>101.24296</v>
      </c>
      <c r="M250" s="57">
        <f t="shared" si="24"/>
        <v>97094558</v>
      </c>
      <c r="N250" s="1"/>
      <c r="O250" s="1" t="s">
        <v>37</v>
      </c>
      <c r="P250" s="58">
        <f>E250-E249</f>
      </c>
    </row>
    <row r="251" ht="25" customHeight="1" spans="1:16" x14ac:dyDescent="0.25">
      <c r="A251" s="1"/>
      <c r="B251" s="52">
        <v>238</v>
      </c>
      <c r="C251" s="53" t="s">
        <v>510</v>
      </c>
      <c r="D251" s="54" t="s">
        <v>511</v>
      </c>
      <c r="E251" s="55">
        <v>9192257698</v>
      </c>
      <c r="F251" s="56">
        <f t="shared" si="19"/>
        <v>82.4955</v>
      </c>
      <c r="G251" s="56">
        <f t="shared" si="20"/>
        <v>82.3221</v>
      </c>
      <c r="H251" s="56">
        <f t="shared" si="21"/>
        <v>100</v>
      </c>
      <c r="I251" s="56">
        <f t="shared" si="22"/>
        <v>60</v>
      </c>
      <c r="J251" s="56">
        <f t="shared" si="23"/>
      </c>
      <c r="K251" s="56">
        <v>101.36271</v>
      </c>
      <c r="L251" s="56">
        <v>101.24296</v>
      </c>
      <c r="M251" s="57">
        <f t="shared" si="24"/>
        <v>97094577</v>
      </c>
      <c r="N251" s="1"/>
      <c r="O251" s="1" t="s">
        <v>37</v>
      </c>
      <c r="P251" s="58">
        <f>E251-E250</f>
      </c>
    </row>
    <row r="252" ht="25" customHeight="1" spans="1:16" x14ac:dyDescent="0.25">
      <c r="A252" s="1"/>
      <c r="B252" s="52">
        <v>239</v>
      </c>
      <c r="C252" s="53" t="s">
        <v>512</v>
      </c>
      <c r="D252" s="54" t="s">
        <v>513</v>
      </c>
      <c r="E252" s="55">
        <v>9192257761</v>
      </c>
      <c r="F252" s="56">
        <f t="shared" si="19"/>
        <v>82.4955</v>
      </c>
      <c r="G252" s="56">
        <f t="shared" si="20"/>
        <v>82.3221</v>
      </c>
      <c r="H252" s="56">
        <f t="shared" si="21"/>
        <v>100</v>
      </c>
      <c r="I252" s="56">
        <f t="shared" si="22"/>
        <v>60</v>
      </c>
      <c r="J252" s="56">
        <f t="shared" si="23"/>
      </c>
      <c r="K252" s="56">
        <v>101.36271</v>
      </c>
      <c r="L252" s="56">
        <v>101.24296</v>
      </c>
      <c r="M252" s="57">
        <f t="shared" si="24"/>
        <v>97094640</v>
      </c>
      <c r="N252" s="1"/>
      <c r="O252" s="1" t="s">
        <v>37</v>
      </c>
      <c r="P252" s="58">
        <f>E252-E251</f>
      </c>
    </row>
    <row r="253" ht="25" customHeight="1" spans="1:16" x14ac:dyDescent="0.25">
      <c r="A253" s="1"/>
      <c r="B253" s="52">
        <v>240</v>
      </c>
      <c r="C253" s="53" t="s">
        <v>514</v>
      </c>
      <c r="D253" s="54" t="s">
        <v>515</v>
      </c>
      <c r="E253" s="55">
        <v>9192257999</v>
      </c>
      <c r="F253" s="56">
        <f t="shared" si="19"/>
        <v>82.4955</v>
      </c>
      <c r="G253" s="56">
        <f t="shared" si="20"/>
        <v>82.3221</v>
      </c>
      <c r="H253" s="56">
        <f t="shared" si="21"/>
        <v>100</v>
      </c>
      <c r="I253" s="56">
        <f t="shared" si="22"/>
        <v>60</v>
      </c>
      <c r="J253" s="56">
        <f t="shared" si="23"/>
      </c>
      <c r="K253" s="56">
        <v>101.36271</v>
      </c>
      <c r="L253" s="56">
        <v>101.24296</v>
      </c>
      <c r="M253" s="57">
        <f t="shared" si="24"/>
        <v>97094878</v>
      </c>
      <c r="N253" s="1"/>
      <c r="O253" s="1" t="s">
        <v>37</v>
      </c>
      <c r="P253" s="58">
        <f>E253-E252</f>
      </c>
    </row>
    <row r="254" ht="25" customHeight="1" spans="1:16" x14ac:dyDescent="0.25">
      <c r="A254" s="1"/>
      <c r="B254" s="52">
        <v>241</v>
      </c>
      <c r="C254" s="53" t="s">
        <v>516</v>
      </c>
      <c r="D254" s="54" t="s">
        <v>517</v>
      </c>
      <c r="E254" s="55">
        <v>9192258138</v>
      </c>
      <c r="F254" s="56">
        <f t="shared" si="19"/>
        <v>82.4955</v>
      </c>
      <c r="G254" s="56">
        <f t="shared" si="20"/>
        <v>82.3221</v>
      </c>
      <c r="H254" s="56">
        <f t="shared" si="21"/>
        <v>100</v>
      </c>
      <c r="I254" s="56">
        <f t="shared" si="22"/>
        <v>60</v>
      </c>
      <c r="J254" s="56">
        <f t="shared" si="23"/>
      </c>
      <c r="K254" s="56">
        <v>101.36271</v>
      </c>
      <c r="L254" s="56">
        <v>101.24296</v>
      </c>
      <c r="M254" s="57">
        <f t="shared" si="24"/>
        <v>97095017</v>
      </c>
      <c r="N254" s="1"/>
      <c r="O254" s="1" t="s">
        <v>37</v>
      </c>
      <c r="P254" s="58">
        <f>E254-E253</f>
      </c>
    </row>
    <row r="255" ht="25" customHeight="1" spans="1:16" x14ac:dyDescent="0.25">
      <c r="A255" s="1"/>
      <c r="B255" s="52">
        <v>242</v>
      </c>
      <c r="C255" s="53" t="s">
        <v>518</v>
      </c>
      <c r="D255" s="54" t="s">
        <v>519</v>
      </c>
      <c r="E255" s="55">
        <v>9192258311</v>
      </c>
      <c r="F255" s="56">
        <f t="shared" si="19"/>
        <v>82.4955</v>
      </c>
      <c r="G255" s="56">
        <f t="shared" si="20"/>
        <v>82.3221</v>
      </c>
      <c r="H255" s="56">
        <f t="shared" si="21"/>
        <v>100</v>
      </c>
      <c r="I255" s="56">
        <f t="shared" si="22"/>
        <v>60</v>
      </c>
      <c r="J255" s="56">
        <f t="shared" si="23"/>
      </c>
      <c r="K255" s="56">
        <v>101.36272</v>
      </c>
      <c r="L255" s="56">
        <v>101.24296</v>
      </c>
      <c r="M255" s="57">
        <f t="shared" si="24"/>
        <v>97095190</v>
      </c>
      <c r="N255" s="1"/>
      <c r="O255" s="1" t="s">
        <v>37</v>
      </c>
      <c r="P255" s="58">
        <f>E255-E254</f>
      </c>
    </row>
    <row r="256" ht="25" customHeight="1" spans="1:16" x14ac:dyDescent="0.25">
      <c r="A256" s="1"/>
      <c r="B256" s="52">
        <v>243</v>
      </c>
      <c r="C256" s="53" t="s">
        <v>520</v>
      </c>
      <c r="D256" s="54" t="s">
        <v>521</v>
      </c>
      <c r="E256" s="55">
        <v>9192258318</v>
      </c>
      <c r="F256" s="56">
        <f t="shared" si="19"/>
        <v>82.4955</v>
      </c>
      <c r="G256" s="56">
        <f t="shared" si="20"/>
        <v>82.3221</v>
      </c>
      <c r="H256" s="56">
        <f t="shared" si="21"/>
        <v>100</v>
      </c>
      <c r="I256" s="56">
        <f t="shared" si="22"/>
        <v>60</v>
      </c>
      <c r="J256" s="56">
        <f t="shared" si="23"/>
      </c>
      <c r="K256" s="56">
        <v>101.36272</v>
      </c>
      <c r="L256" s="56">
        <v>101.24296</v>
      </c>
      <c r="M256" s="57">
        <f t="shared" si="24"/>
        <v>97095197</v>
      </c>
      <c r="N256" s="1"/>
      <c r="O256" s="1" t="s">
        <v>37</v>
      </c>
      <c r="P256" s="58">
        <f>E256-E255</f>
      </c>
    </row>
    <row r="257" ht="25" customHeight="1" spans="1:16" x14ac:dyDescent="0.25">
      <c r="A257" s="1"/>
      <c r="B257" s="52">
        <v>244</v>
      </c>
      <c r="C257" s="53" t="s">
        <v>522</v>
      </c>
      <c r="D257" s="54" t="s">
        <v>523</v>
      </c>
      <c r="E257" s="55">
        <v>9192258323</v>
      </c>
      <c r="F257" s="56">
        <f t="shared" si="19"/>
        <v>82.4955</v>
      </c>
      <c r="G257" s="56">
        <f t="shared" si="20"/>
        <v>82.3221</v>
      </c>
      <c r="H257" s="56">
        <f t="shared" si="21"/>
        <v>100</v>
      </c>
      <c r="I257" s="56">
        <f t="shared" si="22"/>
        <v>60</v>
      </c>
      <c r="J257" s="56">
        <f t="shared" si="23"/>
      </c>
      <c r="K257" s="56">
        <v>101.36272</v>
      </c>
      <c r="L257" s="56">
        <v>101.24296</v>
      </c>
      <c r="M257" s="57">
        <f t="shared" si="24"/>
        <v>97095202</v>
      </c>
      <c r="N257" s="1"/>
      <c r="O257" s="1" t="s">
        <v>37</v>
      </c>
      <c r="P257" s="58">
        <f>E257-E256</f>
      </c>
    </row>
    <row r="258" ht="25" customHeight="1" spans="1:16" x14ac:dyDescent="0.25">
      <c r="A258" s="1"/>
      <c r="B258" s="52">
        <v>245</v>
      </c>
      <c r="C258" s="53" t="s">
        <v>524</v>
      </c>
      <c r="D258" s="54" t="s">
        <v>525</v>
      </c>
      <c r="E258" s="55">
        <v>9192258325</v>
      </c>
      <c r="F258" s="56">
        <f t="shared" si="19"/>
        <v>82.4955</v>
      </c>
      <c r="G258" s="56">
        <f t="shared" si="20"/>
        <v>82.3221</v>
      </c>
      <c r="H258" s="56">
        <f t="shared" si="21"/>
        <v>100</v>
      </c>
      <c r="I258" s="56">
        <f t="shared" si="22"/>
        <v>60</v>
      </c>
      <c r="J258" s="56">
        <f t="shared" si="23"/>
      </c>
      <c r="K258" s="56">
        <v>101.36272</v>
      </c>
      <c r="L258" s="56">
        <v>101.24296</v>
      </c>
      <c r="M258" s="57">
        <f t="shared" si="24"/>
        <v>97095204</v>
      </c>
      <c r="N258" s="1"/>
      <c r="O258" s="1" t="s">
        <v>37</v>
      </c>
      <c r="P258" s="58">
        <f>E258-E257</f>
      </c>
    </row>
    <row r="259" ht="25" customHeight="1" spans="1:16" x14ac:dyDescent="0.25">
      <c r="A259" s="1"/>
      <c r="B259" s="52">
        <v>246</v>
      </c>
      <c r="C259" s="53" t="s">
        <v>526</v>
      </c>
      <c r="D259" s="54" t="s">
        <v>527</v>
      </c>
      <c r="E259" s="55">
        <v>9192258328</v>
      </c>
      <c r="F259" s="56">
        <f t="shared" si="19"/>
        <v>82.4955</v>
      </c>
      <c r="G259" s="56">
        <f t="shared" si="20"/>
        <v>82.3221</v>
      </c>
      <c r="H259" s="56">
        <f t="shared" si="21"/>
        <v>100</v>
      </c>
      <c r="I259" s="56">
        <f t="shared" si="22"/>
        <v>60</v>
      </c>
      <c r="J259" s="56">
        <f t="shared" si="23"/>
      </c>
      <c r="K259" s="56">
        <v>101.36272</v>
      </c>
      <c r="L259" s="56">
        <v>101.24296</v>
      </c>
      <c r="M259" s="57">
        <f t="shared" si="24"/>
        <v>97095207</v>
      </c>
      <c r="N259" s="1"/>
      <c r="O259" s="1" t="s">
        <v>37</v>
      </c>
      <c r="P259" s="58">
        <f>E259-E258</f>
      </c>
    </row>
    <row r="260" ht="25" customHeight="1" spans="1:16" x14ac:dyDescent="0.25">
      <c r="A260" s="1"/>
      <c r="B260" s="52">
        <v>247</v>
      </c>
      <c r="C260" s="53" t="s">
        <v>528</v>
      </c>
      <c r="D260" s="54" t="s">
        <v>529</v>
      </c>
      <c r="E260" s="55">
        <v>9192258328</v>
      </c>
      <c r="F260" s="56">
        <f t="shared" si="19"/>
        <v>82.4955</v>
      </c>
      <c r="G260" s="56">
        <f t="shared" si="20"/>
        <v>82.3221</v>
      </c>
      <c r="H260" s="56">
        <f t="shared" si="21"/>
        <v>100</v>
      </c>
      <c r="I260" s="56">
        <f t="shared" si="22"/>
        <v>60</v>
      </c>
      <c r="J260" s="56">
        <f t="shared" si="23"/>
      </c>
      <c r="K260" s="56">
        <v>101.36272</v>
      </c>
      <c r="L260" s="56">
        <v>101.24296</v>
      </c>
      <c r="M260" s="57">
        <f t="shared" si="24"/>
        <v>97095207</v>
      </c>
      <c r="N260" s="1"/>
      <c r="O260" s="1" t="s">
        <v>37</v>
      </c>
      <c r="P260" s="58">
        <f>E260-E259</f>
      </c>
    </row>
    <row r="261" ht="25" customHeight="1" spans="1:16" x14ac:dyDescent="0.25">
      <c r="A261" s="1"/>
      <c r="B261" s="52">
        <v>248</v>
      </c>
      <c r="C261" s="53" t="s">
        <v>530</v>
      </c>
      <c r="D261" s="54" t="s">
        <v>531</v>
      </c>
      <c r="E261" s="55">
        <v>9192258333</v>
      </c>
      <c r="F261" s="56">
        <f t="shared" si="19"/>
        <v>82.4955</v>
      </c>
      <c r="G261" s="56">
        <f t="shared" si="20"/>
        <v>82.3221</v>
      </c>
      <c r="H261" s="56">
        <f t="shared" si="21"/>
        <v>100</v>
      </c>
      <c r="I261" s="56">
        <f t="shared" si="22"/>
        <v>60</v>
      </c>
      <c r="J261" s="56">
        <f t="shared" si="23"/>
      </c>
      <c r="K261" s="56">
        <v>101.36272</v>
      </c>
      <c r="L261" s="56">
        <v>101.24296</v>
      </c>
      <c r="M261" s="57">
        <f t="shared" si="24"/>
        <v>97095212</v>
      </c>
      <c r="N261" s="1"/>
      <c r="O261" s="1" t="s">
        <v>37</v>
      </c>
      <c r="P261" s="58">
        <f>E261-E260</f>
      </c>
    </row>
    <row r="262" ht="25" customHeight="1" spans="1:16" x14ac:dyDescent="0.25">
      <c r="A262" s="1"/>
      <c r="B262" s="52">
        <v>249</v>
      </c>
      <c r="C262" s="53" t="s">
        <v>532</v>
      </c>
      <c r="D262" s="54" t="s">
        <v>533</v>
      </c>
      <c r="E262" s="55">
        <v>9192258345</v>
      </c>
      <c r="F262" s="56">
        <f t="shared" si="19"/>
        <v>82.4955</v>
      </c>
      <c r="G262" s="56">
        <f t="shared" si="20"/>
        <v>82.3221</v>
      </c>
      <c r="H262" s="56">
        <f t="shared" si="21"/>
        <v>100</v>
      </c>
      <c r="I262" s="56">
        <f t="shared" si="22"/>
        <v>60</v>
      </c>
      <c r="J262" s="56">
        <f t="shared" si="23"/>
      </c>
      <c r="K262" s="56">
        <v>101.36272</v>
      </c>
      <c r="L262" s="56">
        <v>101.24296</v>
      </c>
      <c r="M262" s="57">
        <f t="shared" si="24"/>
        <v>97095224</v>
      </c>
      <c r="N262" s="1"/>
      <c r="O262" s="1" t="s">
        <v>37</v>
      </c>
      <c r="P262" s="58">
        <f>E262-E261</f>
      </c>
    </row>
    <row r="263" ht="25" customHeight="1" spans="1:16" x14ac:dyDescent="0.25">
      <c r="A263" s="1"/>
      <c r="B263" s="52">
        <v>250</v>
      </c>
      <c r="C263" s="53" t="s">
        <v>534</v>
      </c>
      <c r="D263" s="54" t="s">
        <v>535</v>
      </c>
      <c r="E263" s="55">
        <v>9192258345</v>
      </c>
      <c r="F263" s="56">
        <f t="shared" si="19"/>
        <v>82.4955</v>
      </c>
      <c r="G263" s="56">
        <f t="shared" si="20"/>
        <v>82.3221</v>
      </c>
      <c r="H263" s="56">
        <f t="shared" si="21"/>
        <v>100</v>
      </c>
      <c r="I263" s="56">
        <f t="shared" si="22"/>
        <v>60</v>
      </c>
      <c r="J263" s="56">
        <f t="shared" si="23"/>
      </c>
      <c r="K263" s="56">
        <v>101.36272</v>
      </c>
      <c r="L263" s="56">
        <v>101.24296</v>
      </c>
      <c r="M263" s="57">
        <f t="shared" si="24"/>
        <v>97095224</v>
      </c>
      <c r="N263" s="1"/>
      <c r="O263" s="1" t="s">
        <v>37</v>
      </c>
      <c r="P263" s="58">
        <f>E263-E262</f>
      </c>
    </row>
    <row r="264" ht="25" customHeight="1" spans="1:16" x14ac:dyDescent="0.25">
      <c r="A264" s="1"/>
      <c r="B264" s="52">
        <v>251</v>
      </c>
      <c r="C264" s="53" t="s">
        <v>536</v>
      </c>
      <c r="D264" s="54" t="s">
        <v>537</v>
      </c>
      <c r="E264" s="55">
        <v>9192258351</v>
      </c>
      <c r="F264" s="56">
        <f t="shared" si="19"/>
        <v>82.4955</v>
      </c>
      <c r="G264" s="56">
        <f t="shared" si="20"/>
        <v>82.3221</v>
      </c>
      <c r="H264" s="56">
        <f t="shared" si="21"/>
        <v>100</v>
      </c>
      <c r="I264" s="56">
        <f t="shared" si="22"/>
        <v>60</v>
      </c>
      <c r="J264" s="56">
        <f t="shared" si="23"/>
      </c>
      <c r="K264" s="56">
        <v>101.36272</v>
      </c>
      <c r="L264" s="56">
        <v>101.24296</v>
      </c>
      <c r="M264" s="57">
        <f t="shared" si="24"/>
        <v>97095230</v>
      </c>
      <c r="N264" s="1"/>
      <c r="O264" s="1" t="s">
        <v>37</v>
      </c>
      <c r="P264" s="58">
        <f>E264-E263</f>
      </c>
    </row>
    <row r="265" ht="25" customHeight="1" spans="1:16" x14ac:dyDescent="0.25">
      <c r="A265" s="1"/>
      <c r="B265" s="52">
        <v>252</v>
      </c>
      <c r="C265" s="53" t="s">
        <v>538</v>
      </c>
      <c r="D265" s="54" t="s">
        <v>539</v>
      </c>
      <c r="E265" s="55">
        <v>9192258357</v>
      </c>
      <c r="F265" s="56">
        <f t="shared" si="19"/>
        <v>82.4955</v>
      </c>
      <c r="G265" s="56">
        <f t="shared" si="20"/>
        <v>82.3221</v>
      </c>
      <c r="H265" s="56">
        <f t="shared" si="21"/>
        <v>100</v>
      </c>
      <c r="I265" s="56">
        <f t="shared" si="22"/>
        <v>60</v>
      </c>
      <c r="J265" s="56">
        <f t="shared" si="23"/>
      </c>
      <c r="K265" s="56">
        <v>101.36272</v>
      </c>
      <c r="L265" s="56">
        <v>101.24296</v>
      </c>
      <c r="M265" s="57">
        <f t="shared" si="24"/>
        <v>97095236</v>
      </c>
      <c r="N265" s="1"/>
      <c r="O265" s="1" t="s">
        <v>37</v>
      </c>
      <c r="P265" s="58">
        <f>E265-E264</f>
      </c>
    </row>
    <row r="266" ht="25" customHeight="1" spans="1:16" x14ac:dyDescent="0.25">
      <c r="A266" s="1"/>
      <c r="B266" s="52">
        <v>253</v>
      </c>
      <c r="C266" s="53" t="s">
        <v>540</v>
      </c>
      <c r="D266" s="54" t="s">
        <v>541</v>
      </c>
      <c r="E266" s="55">
        <v>9192258372</v>
      </c>
      <c r="F266" s="56">
        <f t="shared" si="19"/>
        <v>82.4955</v>
      </c>
      <c r="G266" s="56">
        <f t="shared" si="20"/>
        <v>82.3221</v>
      </c>
      <c r="H266" s="56">
        <f t="shared" si="21"/>
        <v>100</v>
      </c>
      <c r="I266" s="56">
        <f t="shared" si="22"/>
        <v>60</v>
      </c>
      <c r="J266" s="56">
        <f t="shared" si="23"/>
      </c>
      <c r="K266" s="56">
        <v>101.36272</v>
      </c>
      <c r="L266" s="56">
        <v>101.24296</v>
      </c>
      <c r="M266" s="57">
        <f t="shared" si="24"/>
        <v>97095251</v>
      </c>
      <c r="N266" s="1"/>
      <c r="O266" s="1" t="s">
        <v>37</v>
      </c>
      <c r="P266" s="58">
        <f>E266-E265</f>
      </c>
    </row>
    <row r="267" ht="25" customHeight="1" spans="1:16" x14ac:dyDescent="0.25">
      <c r="A267" s="1"/>
      <c r="B267" s="52">
        <v>254</v>
      </c>
      <c r="C267" s="53" t="s">
        <v>542</v>
      </c>
      <c r="D267" s="54" t="s">
        <v>543</v>
      </c>
      <c r="E267" s="55">
        <v>9192258381</v>
      </c>
      <c r="F267" s="56">
        <f t="shared" si="19"/>
        <v>82.4955</v>
      </c>
      <c r="G267" s="56">
        <f t="shared" si="20"/>
        <v>82.3221</v>
      </c>
      <c r="H267" s="56">
        <f t="shared" si="21"/>
        <v>100</v>
      </c>
      <c r="I267" s="56">
        <f t="shared" si="22"/>
        <v>60</v>
      </c>
      <c r="J267" s="56">
        <f t="shared" si="23"/>
      </c>
      <c r="K267" s="56">
        <v>101.36272</v>
      </c>
      <c r="L267" s="56">
        <v>101.24296</v>
      </c>
      <c r="M267" s="57">
        <f t="shared" si="24"/>
        <v>97095260</v>
      </c>
      <c r="N267" s="1"/>
      <c r="O267" s="1" t="s">
        <v>37</v>
      </c>
      <c r="P267" s="58">
        <f>E267-E266</f>
      </c>
    </row>
    <row r="268" ht="25" customHeight="1" spans="1:16" x14ac:dyDescent="0.25">
      <c r="A268" s="1"/>
      <c r="B268" s="52">
        <v>255</v>
      </c>
      <c r="C268" s="53" t="s">
        <v>544</v>
      </c>
      <c r="D268" s="54" t="s">
        <v>545</v>
      </c>
      <c r="E268" s="55">
        <v>9192258387</v>
      </c>
      <c r="F268" s="56">
        <f t="shared" si="19"/>
        <v>82.4955</v>
      </c>
      <c r="G268" s="56">
        <f t="shared" si="20"/>
        <v>82.3222</v>
      </c>
      <c r="H268" s="56">
        <f t="shared" si="21"/>
        <v>100</v>
      </c>
      <c r="I268" s="56">
        <f t="shared" si="22"/>
        <v>60</v>
      </c>
      <c r="J268" s="56">
        <f t="shared" si="23"/>
      </c>
      <c r="K268" s="56">
        <v>101.36272</v>
      </c>
      <c r="L268" s="56">
        <v>101.24296</v>
      </c>
      <c r="M268" s="57">
        <f t="shared" si="24"/>
        <v>97095266</v>
      </c>
      <c r="N268" s="1"/>
      <c r="O268" s="1" t="s">
        <v>37</v>
      </c>
      <c r="P268" s="58">
        <f>E268-E267</f>
      </c>
    </row>
    <row r="269" ht="25" customHeight="1" spans="1:16" x14ac:dyDescent="0.25">
      <c r="A269" s="1"/>
      <c r="B269" s="52">
        <v>256</v>
      </c>
      <c r="C269" s="53" t="s">
        <v>546</v>
      </c>
      <c r="D269" s="54" t="s">
        <v>547</v>
      </c>
      <c r="E269" s="55">
        <v>9192258391</v>
      </c>
      <c r="F269" s="56">
        <f t="shared" si="19"/>
        <v>82.4955</v>
      </c>
      <c r="G269" s="56">
        <f t="shared" si="20"/>
        <v>82.3222</v>
      </c>
      <c r="H269" s="56">
        <f t="shared" si="21"/>
        <v>100</v>
      </c>
      <c r="I269" s="56">
        <f t="shared" si="22"/>
        <v>60</v>
      </c>
      <c r="J269" s="56">
        <f t="shared" si="23"/>
      </c>
      <c r="K269" s="56">
        <v>101.36272</v>
      </c>
      <c r="L269" s="56">
        <v>101.24296</v>
      </c>
      <c r="M269" s="57">
        <f t="shared" si="24"/>
        <v>97095270</v>
      </c>
      <c r="N269" s="1"/>
      <c r="O269" s="1" t="s">
        <v>37</v>
      </c>
      <c r="P269" s="58">
        <f>E269-E268</f>
      </c>
    </row>
    <row r="270" ht="25" customHeight="1" spans="1:16" x14ac:dyDescent="0.25">
      <c r="A270" s="1"/>
      <c r="B270" s="52">
        <v>257</v>
      </c>
      <c r="C270" s="53" t="s">
        <v>548</v>
      </c>
      <c r="D270" s="54" t="s">
        <v>549</v>
      </c>
      <c r="E270" s="55">
        <v>9192258412</v>
      </c>
      <c r="F270" s="56">
        <f t="shared" si="19"/>
        <v>82.4955</v>
      </c>
      <c r="G270" s="56">
        <f t="shared" si="20"/>
        <v>82.3222</v>
      </c>
      <c r="H270" s="56">
        <f t="shared" si="21"/>
        <v>100</v>
      </c>
      <c r="I270" s="56">
        <f t="shared" si="22"/>
        <v>60</v>
      </c>
      <c r="J270" s="56">
        <f t="shared" si="23"/>
      </c>
      <c r="K270" s="56">
        <v>101.36272</v>
      </c>
      <c r="L270" s="56">
        <v>101.24296</v>
      </c>
      <c r="M270" s="57">
        <f t="shared" si="24"/>
        <v>97095291</v>
      </c>
      <c r="N270" s="1"/>
      <c r="O270" s="1" t="s">
        <v>37</v>
      </c>
      <c r="P270" s="58">
        <f>E270-E269</f>
      </c>
    </row>
    <row r="271" ht="25" customHeight="1" spans="1:16" x14ac:dyDescent="0.25">
      <c r="A271" s="1"/>
      <c r="B271" s="52">
        <v>258</v>
      </c>
      <c r="C271" s="53" t="s">
        <v>550</v>
      </c>
      <c r="D271" s="54" t="s">
        <v>551</v>
      </c>
      <c r="E271" s="55">
        <v>9192258436</v>
      </c>
      <c r="F271" s="56">
        <f t="shared" ref="F271:F334" si="25">ROUND((E271/$E$7)*100,4)</f>
        <v>82.4955</v>
      </c>
      <c r="G271" s="56">
        <f t="shared" ref="G271:G334" si="26">ROUND((E271/$E$6)*100,4)</f>
        <v>82.3222</v>
      </c>
      <c r="H271" s="56">
        <f t="shared" ref="H271:H334" si="27">ROUND((E271/$J$6)*100,4)</f>
        <v>100</v>
      </c>
      <c r="I271" s="56">
        <f t="shared" ref="I271:I334" si="28">IFERROR(ROUND(SQRT(1 - IF(E271&lt;=$J$6, $E$9, $N$9) * POWER((E271-$J$6)/($E$7-$J$6),2)) *$C$9,3), 0)</f>
        <v>60</v>
      </c>
      <c r="J271" s="56">
        <f t="shared" ref="J271:J334" si="29">IF(M271&lt;0,"감점","")</f>
      </c>
      <c r="K271" s="56">
        <v>101.36272</v>
      </c>
      <c r="L271" s="56">
        <v>101.24296</v>
      </c>
      <c r="M271" s="57">
        <f t="shared" ref="M271:M334" si="30">E271-$J$10</f>
        <v>97095315</v>
      </c>
      <c r="N271" s="1"/>
      <c r="O271" s="1" t="s">
        <v>37</v>
      </c>
      <c r="P271" s="58">
        <f>E271-E270</f>
      </c>
    </row>
    <row r="272" ht="25" customHeight="1" spans="1:16" x14ac:dyDescent="0.25">
      <c r="A272" s="1"/>
      <c r="B272" s="52">
        <v>259</v>
      </c>
      <c r="C272" s="53" t="s">
        <v>552</v>
      </c>
      <c r="D272" s="54" t="s">
        <v>553</v>
      </c>
      <c r="E272" s="55">
        <v>9192258458</v>
      </c>
      <c r="F272" s="56">
        <f t="shared" si="25"/>
        <v>82.4955</v>
      </c>
      <c r="G272" s="56">
        <f t="shared" si="26"/>
        <v>82.3222</v>
      </c>
      <c r="H272" s="56">
        <f t="shared" si="27"/>
        <v>100</v>
      </c>
      <c r="I272" s="56">
        <f t="shared" si="28"/>
        <v>60</v>
      </c>
      <c r="J272" s="56">
        <f t="shared" si="29"/>
      </c>
      <c r="K272" s="56">
        <v>101.36272</v>
      </c>
      <c r="L272" s="56">
        <v>101.24296</v>
      </c>
      <c r="M272" s="57">
        <f t="shared" si="30"/>
        <v>97095337</v>
      </c>
      <c r="N272" s="1"/>
      <c r="O272" s="1" t="s">
        <v>37</v>
      </c>
      <c r="P272" s="58">
        <f>E272-E271</f>
      </c>
    </row>
    <row r="273" ht="25" customHeight="1" spans="1:16" x14ac:dyDescent="0.25">
      <c r="A273" s="1"/>
      <c r="B273" s="52">
        <v>260</v>
      </c>
      <c r="C273" s="53" t="s">
        <v>554</v>
      </c>
      <c r="D273" s="54" t="s">
        <v>555</v>
      </c>
      <c r="E273" s="55">
        <v>9192258573</v>
      </c>
      <c r="F273" s="56">
        <f t="shared" si="25"/>
        <v>82.4955</v>
      </c>
      <c r="G273" s="56">
        <f t="shared" si="26"/>
        <v>82.3222</v>
      </c>
      <c r="H273" s="56">
        <f t="shared" si="27"/>
        <v>100</v>
      </c>
      <c r="I273" s="56">
        <f t="shared" si="28"/>
        <v>60</v>
      </c>
      <c r="J273" s="56">
        <f t="shared" si="29"/>
      </c>
      <c r="K273" s="56">
        <v>101.36272</v>
      </c>
      <c r="L273" s="56">
        <v>101.24296</v>
      </c>
      <c r="M273" s="57">
        <f t="shared" si="30"/>
        <v>97095452</v>
      </c>
      <c r="N273" s="1"/>
      <c r="O273" s="1" t="s">
        <v>37</v>
      </c>
      <c r="P273" s="58">
        <f>E273-E272</f>
      </c>
    </row>
    <row r="274" ht="25" customHeight="1" spans="1:16" x14ac:dyDescent="0.25">
      <c r="A274" s="1"/>
      <c r="B274" s="52">
        <v>261</v>
      </c>
      <c r="C274" s="53" t="s">
        <v>556</v>
      </c>
      <c r="D274" s="54" t="s">
        <v>557</v>
      </c>
      <c r="E274" s="55">
        <v>9192258640</v>
      </c>
      <c r="F274" s="56">
        <f t="shared" si="25"/>
        <v>82.4955</v>
      </c>
      <c r="G274" s="56">
        <f t="shared" si="26"/>
        <v>82.3222</v>
      </c>
      <c r="H274" s="56">
        <f t="shared" si="27"/>
        <v>100</v>
      </c>
      <c r="I274" s="56">
        <f t="shared" si="28"/>
        <v>60</v>
      </c>
      <c r="J274" s="56">
        <f t="shared" si="29"/>
      </c>
      <c r="K274" s="56">
        <v>101.36272</v>
      </c>
      <c r="L274" s="56">
        <v>101.24296</v>
      </c>
      <c r="M274" s="57">
        <f t="shared" si="30"/>
        <v>97095519</v>
      </c>
      <c r="N274" s="1"/>
      <c r="O274" s="1" t="s">
        <v>37</v>
      </c>
      <c r="P274" s="58">
        <f>E274-E273</f>
      </c>
    </row>
    <row r="275" ht="25" customHeight="1" spans="1:16" x14ac:dyDescent="0.25">
      <c r="A275" s="1"/>
      <c r="B275" s="52">
        <v>262</v>
      </c>
      <c r="C275" s="53" t="s">
        <v>558</v>
      </c>
      <c r="D275" s="54" t="s">
        <v>559</v>
      </c>
      <c r="E275" s="55">
        <v>9194573200</v>
      </c>
      <c r="F275" s="56">
        <f t="shared" si="25"/>
        <v>82.5163</v>
      </c>
      <c r="G275" s="56">
        <f t="shared" si="26"/>
        <v>82.3429</v>
      </c>
      <c r="H275" s="56">
        <f t="shared" si="27"/>
        <v>100.0252</v>
      </c>
      <c r="I275" s="56">
        <f t="shared" si="28"/>
        <v>60</v>
      </c>
      <c r="J275" s="56">
        <f t="shared" si="29"/>
      </c>
      <c r="K275" s="56">
        <v>101.3988</v>
      </c>
      <c r="L275" s="56">
        <v>101.28049</v>
      </c>
      <c r="M275" s="57">
        <f t="shared" si="30"/>
        <v>99410079</v>
      </c>
      <c r="N275" s="1"/>
      <c r="O275" s="1" t="s">
        <v>37</v>
      </c>
      <c r="P275" s="58">
        <f>E275-E274</f>
      </c>
    </row>
    <row r="276" ht="25" customHeight="1" spans="1:16" x14ac:dyDescent="0.25">
      <c r="A276" s="1"/>
      <c r="B276" s="52">
        <v>263</v>
      </c>
      <c r="C276" s="53" t="s">
        <v>560</v>
      </c>
      <c r="D276" s="54" t="s">
        <v>561</v>
      </c>
      <c r="E276" s="55">
        <v>9194811143</v>
      </c>
      <c r="F276" s="56">
        <f t="shared" si="25"/>
        <v>82.5184</v>
      </c>
      <c r="G276" s="56">
        <f t="shared" si="26"/>
        <v>82.345</v>
      </c>
      <c r="H276" s="56">
        <f t="shared" si="27"/>
        <v>100.0278</v>
      </c>
      <c r="I276" s="56">
        <f t="shared" si="28"/>
        <v>60</v>
      </c>
      <c r="J276" s="56">
        <f t="shared" si="29"/>
      </c>
      <c r="K276" s="56">
        <v>101.4044</v>
      </c>
      <c r="L276" s="56">
        <v>101.28465</v>
      </c>
      <c r="M276" s="57">
        <f t="shared" si="30"/>
        <v>99648022</v>
      </c>
      <c r="N276" s="1"/>
      <c r="O276" s="1" t="s">
        <v>37</v>
      </c>
      <c r="P276" s="58">
        <f>E276-E275</f>
      </c>
    </row>
    <row r="277" ht="25" customHeight="1" spans="1:16" x14ac:dyDescent="0.25">
      <c r="A277" s="1"/>
      <c r="B277" s="52">
        <v>264</v>
      </c>
      <c r="C277" s="53" t="s">
        <v>562</v>
      </c>
      <c r="D277" s="54" t="s">
        <v>563</v>
      </c>
      <c r="E277" s="55">
        <v>9197609204</v>
      </c>
      <c r="F277" s="56">
        <f t="shared" si="25"/>
        <v>82.5436</v>
      </c>
      <c r="G277" s="56">
        <f t="shared" si="26"/>
        <v>82.3701</v>
      </c>
      <c r="H277" s="56">
        <f t="shared" si="27"/>
        <v>100.0582</v>
      </c>
      <c r="I277" s="56">
        <f t="shared" si="28"/>
        <v>60</v>
      </c>
      <c r="J277" s="56">
        <f t="shared" si="29"/>
      </c>
      <c r="K277" s="56">
        <v>101.451</v>
      </c>
      <c r="L277" s="56">
        <v>101.33149</v>
      </c>
      <c r="M277" s="57">
        <f t="shared" si="30"/>
        <v>102446083</v>
      </c>
      <c r="N277" s="1"/>
      <c r="O277" s="1" t="s">
        <v>37</v>
      </c>
      <c r="P277" s="58">
        <f>E277-E276</f>
      </c>
    </row>
    <row r="278" ht="25" customHeight="1" spans="1:16" x14ac:dyDescent="0.25">
      <c r="A278" s="1"/>
      <c r="B278" s="52">
        <v>265</v>
      </c>
      <c r="C278" s="53" t="s">
        <v>564</v>
      </c>
      <c r="D278" s="54" t="s">
        <v>565</v>
      </c>
      <c r="E278" s="55">
        <v>9199127094</v>
      </c>
      <c r="F278" s="56">
        <f t="shared" si="25"/>
        <v>82.5572</v>
      </c>
      <c r="G278" s="56">
        <f t="shared" si="26"/>
        <v>82.3837</v>
      </c>
      <c r="H278" s="56">
        <f t="shared" si="27"/>
        <v>100.0747</v>
      </c>
      <c r="I278" s="56">
        <f t="shared" si="28"/>
        <v>60</v>
      </c>
      <c r="J278" s="56">
        <f t="shared" si="29"/>
      </c>
      <c r="K278" s="56">
        <v>101.4712</v>
      </c>
      <c r="L278" s="56">
        <v>101.35149</v>
      </c>
      <c r="M278" s="57">
        <f t="shared" si="30"/>
        <v>103963973</v>
      </c>
      <c r="N278" s="1"/>
      <c r="O278" s="1" t="s">
        <v>37</v>
      </c>
      <c r="P278" s="58">
        <f>E278-E277</f>
      </c>
    </row>
    <row r="279" ht="25" customHeight="1" spans="1:16" x14ac:dyDescent="0.25">
      <c r="A279" s="1"/>
      <c r="B279" s="52">
        <v>266</v>
      </c>
      <c r="C279" s="53" t="s">
        <v>566</v>
      </c>
      <c r="D279" s="54" t="s">
        <v>567</v>
      </c>
      <c r="E279" s="55">
        <v>9204198994</v>
      </c>
      <c r="F279" s="56">
        <f t="shared" si="25"/>
        <v>82.6027</v>
      </c>
      <c r="G279" s="56">
        <f t="shared" si="26"/>
        <v>82.4291</v>
      </c>
      <c r="H279" s="56">
        <f t="shared" si="27"/>
        <v>100.1299</v>
      </c>
      <c r="I279" s="56">
        <f t="shared" si="28"/>
        <v>60</v>
      </c>
      <c r="J279" s="56">
        <f t="shared" si="29"/>
      </c>
      <c r="K279" s="56">
        <v>101.55153</v>
      </c>
      <c r="L279" s="56">
        <v>101.43176</v>
      </c>
      <c r="M279" s="57">
        <f t="shared" si="30"/>
        <v>109035873</v>
      </c>
      <c r="N279" s="1"/>
      <c r="O279" s="1" t="s">
        <v>37</v>
      </c>
      <c r="P279" s="58">
        <f>E279-E278</f>
      </c>
    </row>
    <row r="280" ht="25" customHeight="1" spans="1:16" x14ac:dyDescent="0.25">
      <c r="A280" s="1"/>
      <c r="B280" s="52">
        <v>267</v>
      </c>
      <c r="C280" s="53" t="s">
        <v>568</v>
      </c>
      <c r="D280" s="54" t="s">
        <v>569</v>
      </c>
      <c r="E280" s="55">
        <v>9209698230</v>
      </c>
      <c r="F280" s="56">
        <f t="shared" si="25"/>
        <v>82.6521</v>
      </c>
      <c r="G280" s="56">
        <f t="shared" si="26"/>
        <v>82.4783</v>
      </c>
      <c r="H280" s="56">
        <f t="shared" si="27"/>
        <v>100.1897</v>
      </c>
      <c r="I280" s="56">
        <f t="shared" si="28"/>
        <v>60</v>
      </c>
      <c r="J280" s="56">
        <f t="shared" si="29"/>
      </c>
      <c r="K280" s="56">
        <v>101.63443</v>
      </c>
      <c r="L280" s="56">
        <v>101.51477</v>
      </c>
      <c r="M280" s="57">
        <f t="shared" si="30"/>
        <v>114535109</v>
      </c>
      <c r="N280" s="1"/>
      <c r="O280" s="1" t="s">
        <v>37</v>
      </c>
      <c r="P280" s="58">
        <f>E280-E279</f>
      </c>
    </row>
  </sheetData>
  <autoFilter ref="B13:P13"/>
  <mergeCells count="13">
    <mergeCell ref="B1:N1"/>
    <mergeCell ref="F5:I5"/>
    <mergeCell ref="J5:M5"/>
    <mergeCell ref="F6:I6"/>
    <mergeCell ref="J6:K6"/>
    <mergeCell ref="F7:I7"/>
    <mergeCell ref="J7:K7"/>
    <mergeCell ref="F8:I8"/>
    <mergeCell ref="J8:K8"/>
    <mergeCell ref="F9:I9"/>
    <mergeCell ref="J9:K9"/>
    <mergeCell ref="F10:I10"/>
    <mergeCell ref="J10:K10"/>
  </mergeCells>
  <conditionalFormatting sqref="C14:E2013">
    <cfRule type="expression" dxfId="0" priority="2">
      <formula>AND($B14&gt;$C$7,$B14&lt;$C$8)</formula>
    </cfRule>
  </conditionalFormatting>
  <conditionalFormatting sqref="C14:M2013">
    <cfRule type="expression" dxfId="1" priority="1">
      <formula>AND($O14 = "Y")</formula>
    </cfRule>
  </conditionalFormatting>
  <pageMargins left="0.7" right="0.7" top="0.75" bottom="0.75" header="0.3" footer="0.3"/>
  <pageSetup paperSize="9" orientation="portrait" horizontalDpi="4294967295" verticalDpi="4294967295" scale="5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개찰결과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영규 박</cp:lastModifiedBy>
  <cp:lastPrinted>2020-09-02T00:45:24Z</cp:lastPrinted>
  <dcterms:created xsi:type="dcterms:W3CDTF">2020-08-18T01:54:09Z</dcterms:created>
  <dcterms:modified xsi:type="dcterms:W3CDTF">2025-09-02T01:55:09Z</dcterms:modified>
</cp:coreProperties>
</file>