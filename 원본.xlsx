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>
    <mc:Choice Requires="x15">
      <x15ac:absPath xmlns:x15ac="http://schemas.microsoft.com/office/spreadsheetml/2010/11/ac" url="D:\workspace1\bidsim\web-app\tmpl\"/>
    </mc:Choice>
  </mc:AlternateContent>
  <xr:revisionPtr revIDLastSave="0" documentId="13_ncr:1_{5B45E28B-E926-402F-9C34-731FAAFF51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개찰결과" sheetId="2" r:id="rId1"/>
  </sheets>
  <definedNames>
    <definedName name="_xlnm._FilterDatabase" localSheetId="0" hidden="1">개찰결과!$B$13:$P$13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14" i="2"/>
  <c r="H280" i="2"/>
  <c r="G280" i="2"/>
  <c r="F280" i="2"/>
  <c r="H279" i="2"/>
  <c r="G279" i="2"/>
  <c r="F279" i="2"/>
  <c r="H278" i="2"/>
  <c r="G278" i="2"/>
  <c r="F278" i="2"/>
  <c r="H277" i="2"/>
  <c r="G277" i="2"/>
  <c r="F277" i="2"/>
  <c r="H276" i="2"/>
  <c r="G276" i="2"/>
  <c r="F276" i="2"/>
  <c r="H275" i="2"/>
  <c r="G275" i="2"/>
  <c r="F275" i="2"/>
  <c r="H274" i="2"/>
  <c r="G274" i="2"/>
  <c r="F274" i="2"/>
  <c r="H273" i="2"/>
  <c r="G273" i="2"/>
  <c r="F273" i="2"/>
  <c r="H272" i="2"/>
  <c r="G272" i="2"/>
  <c r="F272" i="2"/>
  <c r="H271" i="2"/>
  <c r="G271" i="2"/>
  <c r="F271" i="2"/>
  <c r="H270" i="2"/>
  <c r="G270" i="2"/>
  <c r="F270" i="2"/>
  <c r="H269" i="2"/>
  <c r="G269" i="2"/>
  <c r="F269" i="2"/>
  <c r="H268" i="2"/>
  <c r="G268" i="2"/>
  <c r="F268" i="2"/>
  <c r="H267" i="2"/>
  <c r="G267" i="2"/>
  <c r="F267" i="2"/>
  <c r="H266" i="2"/>
  <c r="G266" i="2"/>
  <c r="F266" i="2"/>
  <c r="H265" i="2"/>
  <c r="G265" i="2"/>
  <c r="F265" i="2"/>
  <c r="H264" i="2"/>
  <c r="G264" i="2"/>
  <c r="F264" i="2"/>
  <c r="H263" i="2"/>
  <c r="G263" i="2"/>
  <c r="F263" i="2"/>
  <c r="H262" i="2"/>
  <c r="G262" i="2"/>
  <c r="F262" i="2"/>
  <c r="H261" i="2"/>
  <c r="G261" i="2"/>
  <c r="F261" i="2"/>
  <c r="H260" i="2"/>
  <c r="G260" i="2"/>
  <c r="F260" i="2"/>
  <c r="H259" i="2"/>
  <c r="G259" i="2"/>
  <c r="F259" i="2"/>
  <c r="H258" i="2"/>
  <c r="G258" i="2"/>
  <c r="F258" i="2"/>
  <c r="H257" i="2"/>
  <c r="G257" i="2"/>
  <c r="F257" i="2"/>
  <c r="H256" i="2"/>
  <c r="G256" i="2"/>
  <c r="F256" i="2"/>
  <c r="H255" i="2"/>
  <c r="G255" i="2"/>
  <c r="F255" i="2"/>
  <c r="H254" i="2"/>
  <c r="G254" i="2"/>
  <c r="F254" i="2"/>
  <c r="H253" i="2"/>
  <c r="G253" i="2"/>
  <c r="F253" i="2"/>
  <c r="H252" i="2"/>
  <c r="G252" i="2"/>
  <c r="F252" i="2"/>
  <c r="H251" i="2"/>
  <c r="G251" i="2"/>
  <c r="F251" i="2"/>
  <c r="H250" i="2"/>
  <c r="G250" i="2"/>
  <c r="F250" i="2"/>
  <c r="H249" i="2"/>
  <c r="G249" i="2"/>
  <c r="F249" i="2"/>
  <c r="H248" i="2"/>
  <c r="G248" i="2"/>
  <c r="F248" i="2"/>
  <c r="H247" i="2"/>
  <c r="G247" i="2"/>
  <c r="F247" i="2"/>
  <c r="H246" i="2"/>
  <c r="G246" i="2"/>
  <c r="F246" i="2"/>
  <c r="H245" i="2"/>
  <c r="G245" i="2"/>
  <c r="F245" i="2"/>
  <c r="H244" i="2"/>
  <c r="G244" i="2"/>
  <c r="F244" i="2"/>
  <c r="H243" i="2"/>
  <c r="G243" i="2"/>
  <c r="F243" i="2"/>
  <c r="H242" i="2"/>
  <c r="G242" i="2"/>
  <c r="F242" i="2"/>
  <c r="H241" i="2"/>
  <c r="G241" i="2"/>
  <c r="F241" i="2"/>
  <c r="H240" i="2"/>
  <c r="G240" i="2"/>
  <c r="F240" i="2"/>
  <c r="H239" i="2"/>
  <c r="G239" i="2"/>
  <c r="F239" i="2"/>
  <c r="H238" i="2"/>
  <c r="G238" i="2"/>
  <c r="F238" i="2"/>
  <c r="H237" i="2"/>
  <c r="G237" i="2"/>
  <c r="F237" i="2"/>
  <c r="H236" i="2"/>
  <c r="G236" i="2"/>
  <c r="F236" i="2"/>
  <c r="H235" i="2"/>
  <c r="G235" i="2"/>
  <c r="F235" i="2"/>
  <c r="H234" i="2"/>
  <c r="G234" i="2"/>
  <c r="F234" i="2"/>
  <c r="H233" i="2"/>
  <c r="G233" i="2"/>
  <c r="F233" i="2"/>
  <c r="H232" i="2"/>
  <c r="G232" i="2"/>
  <c r="F232" i="2"/>
  <c r="H231" i="2"/>
  <c r="G231" i="2"/>
  <c r="F231" i="2"/>
  <c r="H230" i="2"/>
  <c r="G230" i="2"/>
  <c r="F230" i="2"/>
  <c r="H229" i="2"/>
  <c r="G229" i="2"/>
  <c r="F229" i="2"/>
  <c r="H228" i="2"/>
  <c r="G228" i="2"/>
  <c r="F228" i="2"/>
  <c r="H227" i="2"/>
  <c r="G227" i="2"/>
  <c r="F227" i="2"/>
  <c r="H226" i="2"/>
  <c r="G226" i="2"/>
  <c r="F226" i="2"/>
  <c r="H225" i="2"/>
  <c r="G225" i="2"/>
  <c r="F225" i="2"/>
  <c r="H224" i="2"/>
  <c r="G224" i="2"/>
  <c r="F224" i="2"/>
  <c r="H223" i="2"/>
  <c r="G223" i="2"/>
  <c r="F223" i="2"/>
  <c r="H222" i="2"/>
  <c r="G222" i="2"/>
  <c r="F222" i="2"/>
  <c r="H221" i="2"/>
  <c r="G221" i="2"/>
  <c r="F221" i="2"/>
  <c r="H220" i="2"/>
  <c r="G220" i="2"/>
  <c r="F220" i="2"/>
  <c r="H219" i="2"/>
  <c r="G219" i="2"/>
  <c r="F219" i="2"/>
  <c r="H218" i="2"/>
  <c r="G218" i="2"/>
  <c r="F218" i="2"/>
  <c r="H217" i="2"/>
  <c r="G217" i="2"/>
  <c r="F217" i="2"/>
  <c r="H216" i="2"/>
  <c r="G216" i="2"/>
  <c r="F216" i="2"/>
  <c r="H215" i="2"/>
  <c r="G215" i="2"/>
  <c r="F215" i="2"/>
  <c r="H214" i="2"/>
  <c r="G214" i="2"/>
  <c r="F214" i="2"/>
  <c r="H213" i="2"/>
  <c r="G213" i="2"/>
  <c r="F213" i="2"/>
  <c r="H212" i="2"/>
  <c r="G212" i="2"/>
  <c r="F212" i="2"/>
  <c r="H211" i="2"/>
  <c r="G211" i="2"/>
  <c r="F211" i="2"/>
  <c r="H210" i="2"/>
  <c r="G210" i="2"/>
  <c r="F210" i="2"/>
  <c r="H209" i="2"/>
  <c r="G209" i="2"/>
  <c r="F209" i="2"/>
  <c r="H208" i="2"/>
  <c r="G208" i="2"/>
  <c r="F208" i="2"/>
  <c r="H207" i="2"/>
  <c r="G207" i="2"/>
  <c r="F207" i="2"/>
  <c r="H206" i="2"/>
  <c r="G206" i="2"/>
  <c r="F206" i="2"/>
  <c r="H205" i="2"/>
  <c r="G205" i="2"/>
  <c r="F205" i="2"/>
  <c r="H204" i="2"/>
  <c r="G204" i="2"/>
  <c r="F204" i="2"/>
  <c r="H203" i="2"/>
  <c r="G203" i="2"/>
  <c r="F203" i="2"/>
  <c r="H202" i="2"/>
  <c r="G202" i="2"/>
  <c r="F202" i="2"/>
  <c r="H201" i="2"/>
  <c r="G201" i="2"/>
  <c r="F201" i="2"/>
  <c r="H200" i="2"/>
  <c r="G200" i="2"/>
  <c r="F200" i="2"/>
  <c r="H199" i="2"/>
  <c r="G199" i="2"/>
  <c r="F199" i="2"/>
  <c r="H198" i="2"/>
  <c r="G198" i="2"/>
  <c r="F198" i="2"/>
  <c r="H197" i="2"/>
  <c r="G197" i="2"/>
  <c r="F197" i="2"/>
  <c r="H196" i="2"/>
  <c r="G196" i="2"/>
  <c r="F196" i="2"/>
  <c r="H195" i="2"/>
  <c r="G195" i="2"/>
  <c r="F195" i="2"/>
  <c r="H194" i="2"/>
  <c r="G194" i="2"/>
  <c r="F194" i="2"/>
  <c r="H193" i="2"/>
  <c r="G193" i="2"/>
  <c r="F193" i="2"/>
  <c r="H192" i="2"/>
  <c r="G192" i="2"/>
  <c r="F192" i="2"/>
  <c r="H191" i="2"/>
  <c r="G191" i="2"/>
  <c r="F191" i="2"/>
  <c r="H190" i="2"/>
  <c r="G190" i="2"/>
  <c r="F190" i="2"/>
  <c r="H189" i="2"/>
  <c r="G189" i="2"/>
  <c r="F189" i="2"/>
  <c r="H188" i="2"/>
  <c r="G188" i="2"/>
  <c r="F188" i="2"/>
  <c r="H187" i="2"/>
  <c r="G187" i="2"/>
  <c r="F187" i="2"/>
  <c r="H186" i="2"/>
  <c r="G186" i="2"/>
  <c r="F186" i="2"/>
  <c r="H185" i="2"/>
  <c r="G185" i="2"/>
  <c r="F185" i="2"/>
  <c r="H184" i="2"/>
  <c r="G184" i="2"/>
  <c r="F184" i="2"/>
  <c r="H183" i="2"/>
  <c r="G183" i="2"/>
  <c r="F183" i="2"/>
  <c r="H182" i="2"/>
  <c r="G182" i="2"/>
  <c r="F182" i="2"/>
  <c r="H181" i="2"/>
  <c r="G181" i="2"/>
  <c r="F181" i="2"/>
  <c r="H180" i="2"/>
  <c r="G180" i="2"/>
  <c r="F180" i="2"/>
  <c r="H179" i="2"/>
  <c r="G179" i="2"/>
  <c r="F179" i="2"/>
  <c r="H178" i="2"/>
  <c r="G178" i="2"/>
  <c r="F178" i="2"/>
  <c r="H177" i="2"/>
  <c r="G177" i="2"/>
  <c r="F177" i="2"/>
  <c r="H176" i="2"/>
  <c r="G176" i="2"/>
  <c r="F176" i="2"/>
  <c r="H175" i="2"/>
  <c r="G175" i="2"/>
  <c r="F175" i="2"/>
  <c r="H174" i="2"/>
  <c r="G174" i="2"/>
  <c r="F174" i="2"/>
  <c r="H173" i="2"/>
  <c r="G173" i="2"/>
  <c r="F173" i="2"/>
  <c r="H172" i="2"/>
  <c r="G172" i="2"/>
  <c r="F172" i="2"/>
  <c r="H171" i="2"/>
  <c r="G171" i="2"/>
  <c r="F171" i="2"/>
  <c r="H170" i="2"/>
  <c r="G170" i="2"/>
  <c r="F170" i="2"/>
  <c r="H169" i="2"/>
  <c r="G169" i="2"/>
  <c r="F169" i="2"/>
  <c r="H168" i="2"/>
  <c r="G168" i="2"/>
  <c r="F168" i="2"/>
  <c r="H167" i="2"/>
  <c r="G167" i="2"/>
  <c r="F167" i="2"/>
  <c r="H166" i="2"/>
  <c r="G166" i="2"/>
  <c r="F166" i="2"/>
  <c r="H165" i="2"/>
  <c r="G165" i="2"/>
  <c r="F165" i="2"/>
  <c r="H164" i="2"/>
  <c r="G164" i="2"/>
  <c r="F164" i="2"/>
  <c r="H163" i="2"/>
  <c r="G163" i="2"/>
  <c r="F163" i="2"/>
  <c r="H162" i="2"/>
  <c r="G162" i="2"/>
  <c r="F162" i="2"/>
  <c r="H161" i="2"/>
  <c r="G161" i="2"/>
  <c r="F161" i="2"/>
  <c r="H160" i="2"/>
  <c r="G160" i="2"/>
  <c r="F160" i="2"/>
  <c r="H159" i="2"/>
  <c r="G159" i="2"/>
  <c r="F159" i="2"/>
  <c r="H158" i="2"/>
  <c r="G158" i="2"/>
  <c r="F158" i="2"/>
  <c r="H157" i="2"/>
  <c r="G157" i="2"/>
  <c r="F157" i="2"/>
  <c r="H156" i="2"/>
  <c r="G156" i="2"/>
  <c r="F156" i="2"/>
  <c r="H155" i="2"/>
  <c r="G155" i="2"/>
  <c r="F155" i="2"/>
  <c r="H154" i="2"/>
  <c r="G154" i="2"/>
  <c r="F154" i="2"/>
  <c r="H153" i="2"/>
  <c r="G153" i="2"/>
  <c r="F153" i="2"/>
  <c r="H152" i="2"/>
  <c r="G152" i="2"/>
  <c r="F152" i="2"/>
  <c r="H151" i="2"/>
  <c r="G151" i="2"/>
  <c r="F151" i="2"/>
  <c r="H150" i="2"/>
  <c r="G150" i="2"/>
  <c r="F150" i="2"/>
  <c r="H149" i="2"/>
  <c r="G149" i="2"/>
  <c r="F149" i="2"/>
  <c r="H148" i="2"/>
  <c r="G148" i="2"/>
  <c r="F148" i="2"/>
  <c r="H147" i="2"/>
  <c r="G147" i="2"/>
  <c r="F147" i="2"/>
  <c r="H146" i="2"/>
  <c r="G146" i="2"/>
  <c r="F146" i="2"/>
  <c r="H145" i="2"/>
  <c r="G145" i="2"/>
  <c r="F145" i="2"/>
  <c r="H144" i="2"/>
  <c r="G144" i="2"/>
  <c r="F144" i="2"/>
  <c r="H143" i="2"/>
  <c r="G143" i="2"/>
  <c r="F143" i="2"/>
  <c r="H142" i="2"/>
  <c r="G142" i="2"/>
  <c r="F142" i="2"/>
  <c r="H141" i="2"/>
  <c r="G141" i="2"/>
  <c r="F141" i="2"/>
  <c r="H140" i="2"/>
  <c r="G140" i="2"/>
  <c r="F140" i="2"/>
  <c r="H139" i="2"/>
  <c r="G139" i="2"/>
  <c r="F139" i="2"/>
  <c r="H138" i="2"/>
  <c r="G138" i="2"/>
  <c r="F138" i="2"/>
  <c r="H137" i="2"/>
  <c r="G137" i="2"/>
  <c r="F137" i="2"/>
  <c r="H136" i="2"/>
  <c r="G136" i="2"/>
  <c r="F136" i="2"/>
  <c r="H135" i="2"/>
  <c r="G135" i="2"/>
  <c r="F135" i="2"/>
  <c r="H134" i="2"/>
  <c r="G134" i="2"/>
  <c r="F134" i="2"/>
  <c r="H133" i="2"/>
  <c r="G133" i="2"/>
  <c r="F133" i="2"/>
  <c r="H132" i="2"/>
  <c r="G132" i="2"/>
  <c r="F132" i="2"/>
  <c r="H131" i="2"/>
  <c r="G131" i="2"/>
  <c r="F131" i="2"/>
  <c r="H130" i="2"/>
  <c r="G130" i="2"/>
  <c r="F130" i="2"/>
  <c r="H129" i="2"/>
  <c r="G129" i="2"/>
  <c r="F129" i="2"/>
  <c r="H128" i="2"/>
  <c r="G128" i="2"/>
  <c r="F128" i="2"/>
  <c r="H127" i="2"/>
  <c r="G127" i="2"/>
  <c r="F127" i="2"/>
  <c r="H126" i="2"/>
  <c r="G126" i="2"/>
  <c r="F126" i="2"/>
  <c r="H125" i="2"/>
  <c r="G125" i="2"/>
  <c r="F125" i="2"/>
  <c r="H124" i="2"/>
  <c r="G124" i="2"/>
  <c r="F124" i="2"/>
  <c r="H123" i="2"/>
  <c r="G123" i="2"/>
  <c r="F123" i="2"/>
  <c r="H122" i="2"/>
  <c r="G122" i="2"/>
  <c r="F122" i="2"/>
  <c r="H121" i="2"/>
  <c r="G121" i="2"/>
  <c r="F121" i="2"/>
  <c r="H120" i="2"/>
  <c r="G120" i="2"/>
  <c r="F120" i="2"/>
  <c r="H119" i="2"/>
  <c r="G119" i="2"/>
  <c r="F119" i="2"/>
  <c r="H118" i="2"/>
  <c r="G118" i="2"/>
  <c r="F118" i="2"/>
  <c r="H117" i="2"/>
  <c r="G117" i="2"/>
  <c r="F117" i="2"/>
  <c r="H116" i="2"/>
  <c r="G116" i="2"/>
  <c r="F116" i="2"/>
  <c r="H115" i="2"/>
  <c r="G115" i="2"/>
  <c r="F115" i="2"/>
  <c r="H114" i="2"/>
  <c r="G114" i="2"/>
  <c r="F114" i="2"/>
  <c r="H113" i="2"/>
  <c r="G113" i="2"/>
  <c r="F113" i="2"/>
  <c r="H112" i="2"/>
  <c r="G112" i="2"/>
  <c r="F112" i="2"/>
  <c r="H111" i="2"/>
  <c r="G111" i="2"/>
  <c r="F111" i="2"/>
  <c r="H110" i="2"/>
  <c r="G110" i="2"/>
  <c r="F110" i="2"/>
  <c r="H109" i="2"/>
  <c r="G109" i="2"/>
  <c r="F109" i="2"/>
  <c r="H108" i="2"/>
  <c r="G108" i="2"/>
  <c r="F108" i="2"/>
  <c r="H107" i="2"/>
  <c r="G107" i="2"/>
  <c r="F107" i="2"/>
  <c r="H106" i="2"/>
  <c r="G106" i="2"/>
  <c r="F106" i="2"/>
  <c r="H105" i="2"/>
  <c r="G105" i="2"/>
  <c r="F105" i="2"/>
  <c r="H104" i="2"/>
  <c r="G104" i="2"/>
  <c r="F104" i="2"/>
  <c r="H103" i="2"/>
  <c r="G103" i="2"/>
  <c r="F103" i="2"/>
  <c r="H102" i="2"/>
  <c r="G102" i="2"/>
  <c r="F102" i="2"/>
  <c r="H101" i="2"/>
  <c r="G101" i="2"/>
  <c r="F101" i="2"/>
  <c r="H100" i="2"/>
  <c r="G100" i="2"/>
  <c r="F100" i="2"/>
  <c r="H99" i="2"/>
  <c r="G99" i="2"/>
  <c r="F99" i="2"/>
  <c r="H98" i="2"/>
  <c r="G98" i="2"/>
  <c r="F98" i="2"/>
  <c r="H97" i="2"/>
  <c r="G97" i="2"/>
  <c r="F97" i="2"/>
  <c r="H96" i="2"/>
  <c r="G96" i="2"/>
  <c r="F96" i="2"/>
  <c r="H95" i="2"/>
  <c r="G95" i="2"/>
  <c r="F95" i="2"/>
  <c r="H94" i="2"/>
  <c r="G94" i="2"/>
  <c r="F94" i="2"/>
  <c r="H93" i="2"/>
  <c r="G93" i="2"/>
  <c r="F93" i="2"/>
  <c r="H92" i="2"/>
  <c r="G92" i="2"/>
  <c r="F92" i="2"/>
  <c r="H91" i="2"/>
  <c r="G91" i="2"/>
  <c r="F91" i="2"/>
  <c r="H90" i="2"/>
  <c r="G90" i="2"/>
  <c r="F90" i="2"/>
  <c r="H89" i="2"/>
  <c r="G89" i="2"/>
  <c r="F89" i="2"/>
  <c r="H88" i="2"/>
  <c r="G88" i="2"/>
  <c r="F88" i="2"/>
  <c r="H87" i="2"/>
  <c r="G87" i="2"/>
  <c r="F87" i="2"/>
  <c r="H86" i="2"/>
  <c r="G86" i="2"/>
  <c r="F86" i="2"/>
  <c r="H85" i="2"/>
  <c r="G85" i="2"/>
  <c r="F85" i="2"/>
  <c r="H84" i="2"/>
  <c r="G84" i="2"/>
  <c r="F84" i="2"/>
  <c r="H83" i="2"/>
  <c r="G83" i="2"/>
  <c r="F83" i="2"/>
  <c r="H82" i="2"/>
  <c r="G82" i="2"/>
  <c r="F82" i="2"/>
  <c r="H81" i="2"/>
  <c r="G81" i="2"/>
  <c r="F81" i="2"/>
  <c r="H80" i="2"/>
  <c r="G80" i="2"/>
  <c r="F80" i="2"/>
  <c r="H79" i="2"/>
  <c r="G79" i="2"/>
  <c r="F79" i="2"/>
  <c r="H78" i="2"/>
  <c r="G78" i="2"/>
  <c r="F78" i="2"/>
  <c r="H77" i="2"/>
  <c r="G77" i="2"/>
  <c r="F77" i="2"/>
  <c r="H76" i="2"/>
  <c r="G76" i="2"/>
  <c r="F76" i="2"/>
  <c r="H75" i="2"/>
  <c r="G75" i="2"/>
  <c r="F75" i="2"/>
  <c r="H74" i="2"/>
  <c r="G74" i="2"/>
  <c r="F74" i="2"/>
  <c r="H73" i="2"/>
  <c r="G73" i="2"/>
  <c r="F73" i="2"/>
  <c r="H72" i="2"/>
  <c r="G72" i="2"/>
  <c r="F72" i="2"/>
  <c r="H71" i="2"/>
  <c r="G71" i="2"/>
  <c r="F71" i="2"/>
  <c r="H70" i="2"/>
  <c r="G70" i="2"/>
  <c r="F70" i="2"/>
  <c r="H69" i="2"/>
  <c r="G69" i="2"/>
  <c r="F69" i="2"/>
  <c r="H68" i="2"/>
  <c r="G68" i="2"/>
  <c r="F68" i="2"/>
  <c r="H67" i="2"/>
  <c r="G67" i="2"/>
  <c r="F67" i="2"/>
  <c r="H66" i="2"/>
  <c r="G66" i="2"/>
  <c r="F66" i="2"/>
  <c r="H65" i="2"/>
  <c r="G65" i="2"/>
  <c r="F65" i="2"/>
  <c r="H64" i="2"/>
  <c r="G64" i="2"/>
  <c r="F64" i="2"/>
  <c r="H63" i="2"/>
  <c r="G63" i="2"/>
  <c r="F63" i="2"/>
  <c r="H62" i="2"/>
  <c r="G62" i="2"/>
  <c r="F62" i="2"/>
  <c r="H61" i="2"/>
  <c r="G61" i="2"/>
  <c r="F61" i="2"/>
  <c r="H60" i="2"/>
  <c r="G60" i="2"/>
  <c r="F60" i="2"/>
  <c r="H59" i="2"/>
  <c r="G59" i="2"/>
  <c r="F59" i="2"/>
  <c r="H58" i="2"/>
  <c r="G58" i="2"/>
  <c r="F58" i="2"/>
  <c r="H57" i="2"/>
  <c r="G57" i="2"/>
  <c r="F57" i="2"/>
  <c r="H56" i="2"/>
  <c r="G56" i="2"/>
  <c r="F56" i="2"/>
  <c r="H55" i="2"/>
  <c r="G55" i="2"/>
  <c r="F55" i="2"/>
  <c r="H54" i="2"/>
  <c r="G54" i="2"/>
  <c r="F54" i="2"/>
  <c r="H53" i="2"/>
  <c r="G53" i="2"/>
  <c r="F53" i="2"/>
  <c r="H52" i="2"/>
  <c r="G52" i="2"/>
  <c r="F52" i="2"/>
  <c r="H51" i="2"/>
  <c r="G51" i="2"/>
  <c r="F51" i="2"/>
  <c r="H50" i="2"/>
  <c r="G50" i="2"/>
  <c r="F50" i="2"/>
  <c r="H49" i="2"/>
  <c r="G49" i="2"/>
  <c r="F49" i="2"/>
  <c r="H48" i="2"/>
  <c r="G48" i="2"/>
  <c r="F48" i="2"/>
  <c r="H47" i="2"/>
  <c r="G47" i="2"/>
  <c r="F47" i="2"/>
  <c r="H46" i="2"/>
  <c r="G46" i="2"/>
  <c r="F46" i="2"/>
  <c r="H45" i="2"/>
  <c r="G45" i="2"/>
  <c r="F45" i="2"/>
  <c r="H44" i="2"/>
  <c r="G44" i="2"/>
  <c r="F44" i="2"/>
  <c r="H43" i="2"/>
  <c r="G43" i="2"/>
  <c r="F43" i="2"/>
  <c r="H42" i="2"/>
  <c r="G42" i="2"/>
  <c r="F42" i="2"/>
  <c r="H41" i="2"/>
  <c r="G41" i="2"/>
  <c r="F41" i="2"/>
  <c r="H40" i="2"/>
  <c r="G40" i="2"/>
  <c r="F40" i="2"/>
  <c r="H39" i="2"/>
  <c r="G39" i="2"/>
  <c r="F39" i="2"/>
  <c r="H38" i="2"/>
  <c r="G38" i="2"/>
  <c r="F38" i="2"/>
  <c r="H37" i="2"/>
  <c r="G37" i="2"/>
  <c r="F37" i="2"/>
  <c r="H36" i="2"/>
  <c r="G36" i="2"/>
  <c r="F36" i="2"/>
  <c r="H35" i="2"/>
  <c r="G35" i="2"/>
  <c r="F35" i="2"/>
  <c r="H34" i="2"/>
  <c r="G34" i="2"/>
  <c r="F34" i="2"/>
  <c r="H33" i="2"/>
  <c r="G33" i="2"/>
  <c r="F33" i="2"/>
  <c r="H32" i="2"/>
  <c r="G32" i="2"/>
  <c r="F32" i="2"/>
  <c r="H31" i="2"/>
  <c r="G31" i="2"/>
  <c r="F31" i="2"/>
  <c r="H30" i="2"/>
  <c r="G30" i="2"/>
  <c r="F30" i="2"/>
  <c r="H29" i="2"/>
  <c r="G29" i="2"/>
  <c r="F29" i="2"/>
  <c r="H28" i="2"/>
  <c r="G28" i="2"/>
  <c r="F28" i="2"/>
  <c r="H27" i="2"/>
  <c r="G27" i="2"/>
  <c r="F27" i="2"/>
  <c r="H26" i="2"/>
  <c r="G26" i="2"/>
  <c r="F26" i="2"/>
  <c r="H25" i="2"/>
  <c r="G25" i="2"/>
  <c r="F25" i="2"/>
  <c r="H24" i="2"/>
  <c r="G24" i="2"/>
  <c r="F24" i="2"/>
  <c r="H23" i="2"/>
  <c r="G23" i="2"/>
  <c r="F23" i="2"/>
  <c r="H22" i="2"/>
  <c r="G22" i="2"/>
  <c r="F22" i="2"/>
  <c r="H21" i="2"/>
  <c r="G21" i="2"/>
  <c r="F21" i="2"/>
  <c r="H20" i="2"/>
  <c r="G20" i="2"/>
  <c r="F20" i="2"/>
  <c r="H19" i="2"/>
  <c r="G19" i="2"/>
  <c r="F19" i="2"/>
  <c r="H18" i="2"/>
  <c r="G18" i="2"/>
  <c r="F18" i="2"/>
  <c r="H17" i="2"/>
  <c r="G17" i="2"/>
  <c r="F17" i="2"/>
  <c r="H16" i="2"/>
  <c r="G16" i="2"/>
  <c r="F16" i="2"/>
  <c r="H15" i="2"/>
  <c r="G15" i="2"/>
  <c r="F15" i="2"/>
  <c r="E8" i="2" l="1"/>
  <c r="J9" i="2" l="1"/>
  <c r="J8" i="2"/>
  <c r="E10" i="2"/>
  <c r="J7" i="2" s="1"/>
  <c r="C6" i="2" l="1"/>
  <c r="G14" i="2" l="1"/>
  <c r="M9" i="2" l="1"/>
  <c r="M8" i="2"/>
  <c r="M15" i="2" l="1"/>
  <c r="J15" i="2" s="1"/>
  <c r="M16" i="2"/>
  <c r="J16" i="2" s="1"/>
  <c r="M17" i="2"/>
  <c r="J17" i="2" s="1"/>
  <c r="M18" i="2"/>
  <c r="J18" i="2" s="1"/>
  <c r="M19" i="2"/>
  <c r="J19" i="2" s="1"/>
  <c r="M20" i="2"/>
  <c r="J20" i="2" s="1"/>
  <c r="M21" i="2"/>
  <c r="J21" i="2" s="1"/>
  <c r="M22" i="2"/>
  <c r="J22" i="2" s="1"/>
  <c r="M23" i="2"/>
  <c r="J23" i="2" s="1"/>
  <c r="M24" i="2"/>
  <c r="J24" i="2" s="1"/>
  <c r="M25" i="2"/>
  <c r="J25" i="2" s="1"/>
  <c r="M26" i="2"/>
  <c r="J26" i="2" s="1"/>
  <c r="M27" i="2"/>
  <c r="J27" i="2" s="1"/>
  <c r="M28" i="2"/>
  <c r="J28" i="2" s="1"/>
  <c r="M29" i="2"/>
  <c r="J29" i="2" s="1"/>
  <c r="M30" i="2"/>
  <c r="J30" i="2" s="1"/>
  <c r="M31" i="2"/>
  <c r="J31" i="2" s="1"/>
  <c r="M32" i="2"/>
  <c r="J32" i="2" s="1"/>
  <c r="M33" i="2"/>
  <c r="J33" i="2" s="1"/>
  <c r="M34" i="2"/>
  <c r="J34" i="2" s="1"/>
  <c r="M35" i="2"/>
  <c r="J35" i="2" s="1"/>
  <c r="M36" i="2"/>
  <c r="J36" i="2" s="1"/>
  <c r="M37" i="2"/>
  <c r="J37" i="2" s="1"/>
  <c r="M38" i="2"/>
  <c r="J38" i="2" s="1"/>
  <c r="M39" i="2"/>
  <c r="J39" i="2" s="1"/>
  <c r="M40" i="2"/>
  <c r="J40" i="2" s="1"/>
  <c r="M41" i="2"/>
  <c r="J41" i="2" s="1"/>
  <c r="M42" i="2"/>
  <c r="J42" i="2" s="1"/>
  <c r="M43" i="2"/>
  <c r="J43" i="2" s="1"/>
  <c r="M44" i="2"/>
  <c r="J44" i="2" s="1"/>
  <c r="M45" i="2"/>
  <c r="J45" i="2" s="1"/>
  <c r="M46" i="2"/>
  <c r="J46" i="2" s="1"/>
  <c r="M47" i="2"/>
  <c r="J47" i="2" s="1"/>
  <c r="M48" i="2"/>
  <c r="J48" i="2" s="1"/>
  <c r="M49" i="2"/>
  <c r="J49" i="2" s="1"/>
  <c r="M50" i="2"/>
  <c r="J50" i="2" s="1"/>
  <c r="M51" i="2"/>
  <c r="J51" i="2" s="1"/>
  <c r="M52" i="2"/>
  <c r="J52" i="2" s="1"/>
  <c r="M53" i="2"/>
  <c r="J53" i="2" s="1"/>
  <c r="M54" i="2"/>
  <c r="J54" i="2" s="1"/>
  <c r="M55" i="2"/>
  <c r="J55" i="2" s="1"/>
  <c r="M56" i="2"/>
  <c r="J56" i="2" s="1"/>
  <c r="M57" i="2"/>
  <c r="J57" i="2" s="1"/>
  <c r="M58" i="2"/>
  <c r="J58" i="2" s="1"/>
  <c r="M59" i="2"/>
  <c r="J59" i="2" s="1"/>
  <c r="M60" i="2"/>
  <c r="J60" i="2" s="1"/>
  <c r="M61" i="2"/>
  <c r="J61" i="2" s="1"/>
  <c r="M62" i="2"/>
  <c r="J62" i="2" s="1"/>
  <c r="M63" i="2"/>
  <c r="J63" i="2" s="1"/>
  <c r="M64" i="2"/>
  <c r="J64" i="2" s="1"/>
  <c r="M65" i="2"/>
  <c r="J65" i="2" s="1"/>
  <c r="M66" i="2"/>
  <c r="J66" i="2" s="1"/>
  <c r="M67" i="2"/>
  <c r="J67" i="2" s="1"/>
  <c r="M68" i="2"/>
  <c r="J68" i="2" s="1"/>
  <c r="M69" i="2"/>
  <c r="J69" i="2" s="1"/>
  <c r="M70" i="2"/>
  <c r="J70" i="2" s="1"/>
  <c r="M71" i="2"/>
  <c r="J71" i="2" s="1"/>
  <c r="M72" i="2"/>
  <c r="J72" i="2" s="1"/>
  <c r="M73" i="2"/>
  <c r="J73" i="2" s="1"/>
  <c r="M74" i="2"/>
  <c r="J74" i="2" s="1"/>
  <c r="M75" i="2"/>
  <c r="J75" i="2" s="1"/>
  <c r="M76" i="2"/>
  <c r="J76" i="2" s="1"/>
  <c r="M77" i="2"/>
  <c r="J77" i="2" s="1"/>
  <c r="M78" i="2"/>
  <c r="J78" i="2" s="1"/>
  <c r="M79" i="2"/>
  <c r="J79" i="2" s="1"/>
  <c r="M80" i="2"/>
  <c r="J80" i="2" s="1"/>
  <c r="M81" i="2"/>
  <c r="J81" i="2" s="1"/>
  <c r="M82" i="2"/>
  <c r="J82" i="2" s="1"/>
  <c r="M83" i="2"/>
  <c r="J83" i="2" s="1"/>
  <c r="M84" i="2"/>
  <c r="J84" i="2" s="1"/>
  <c r="M85" i="2"/>
  <c r="J85" i="2" s="1"/>
  <c r="M86" i="2"/>
  <c r="J86" i="2" s="1"/>
  <c r="M87" i="2"/>
  <c r="J87" i="2" s="1"/>
  <c r="M88" i="2"/>
  <c r="J88" i="2" s="1"/>
  <c r="M89" i="2"/>
  <c r="J89" i="2" s="1"/>
  <c r="M90" i="2"/>
  <c r="J90" i="2" s="1"/>
  <c r="M91" i="2"/>
  <c r="J91" i="2" s="1"/>
  <c r="M92" i="2"/>
  <c r="J92" i="2" s="1"/>
  <c r="M93" i="2"/>
  <c r="J93" i="2" s="1"/>
  <c r="M94" i="2"/>
  <c r="J94" i="2" s="1"/>
  <c r="M95" i="2"/>
  <c r="J95" i="2" s="1"/>
  <c r="M96" i="2"/>
  <c r="J96" i="2" s="1"/>
  <c r="M97" i="2"/>
  <c r="J97" i="2" s="1"/>
  <c r="M98" i="2"/>
  <c r="J98" i="2" s="1"/>
  <c r="M99" i="2"/>
  <c r="J99" i="2" s="1"/>
  <c r="M100" i="2"/>
  <c r="J100" i="2" s="1"/>
  <c r="M101" i="2"/>
  <c r="J101" i="2" s="1"/>
  <c r="M102" i="2"/>
  <c r="J102" i="2" s="1"/>
  <c r="M103" i="2"/>
  <c r="J103" i="2" s="1"/>
  <c r="M104" i="2"/>
  <c r="J104" i="2" s="1"/>
  <c r="M105" i="2"/>
  <c r="J105" i="2" s="1"/>
  <c r="M106" i="2"/>
  <c r="J106" i="2" s="1"/>
  <c r="M107" i="2"/>
  <c r="J107" i="2" s="1"/>
  <c r="M108" i="2"/>
  <c r="J108" i="2" s="1"/>
  <c r="M109" i="2"/>
  <c r="J109" i="2" s="1"/>
  <c r="M110" i="2"/>
  <c r="J110" i="2" s="1"/>
  <c r="M111" i="2"/>
  <c r="J111" i="2" s="1"/>
  <c r="M112" i="2"/>
  <c r="J112" i="2" s="1"/>
  <c r="M113" i="2"/>
  <c r="J113" i="2" s="1"/>
  <c r="M114" i="2"/>
  <c r="J114" i="2" s="1"/>
  <c r="M115" i="2"/>
  <c r="J115" i="2" s="1"/>
  <c r="M116" i="2"/>
  <c r="J116" i="2" s="1"/>
  <c r="M117" i="2"/>
  <c r="J117" i="2" s="1"/>
  <c r="M118" i="2"/>
  <c r="J118" i="2" s="1"/>
  <c r="M119" i="2"/>
  <c r="J119" i="2" s="1"/>
  <c r="M120" i="2"/>
  <c r="J120" i="2" s="1"/>
  <c r="M121" i="2"/>
  <c r="J121" i="2" s="1"/>
  <c r="M122" i="2"/>
  <c r="J122" i="2" s="1"/>
  <c r="M123" i="2"/>
  <c r="J123" i="2" s="1"/>
  <c r="M124" i="2"/>
  <c r="J124" i="2" s="1"/>
  <c r="M125" i="2"/>
  <c r="J125" i="2" s="1"/>
  <c r="M126" i="2"/>
  <c r="J126" i="2" s="1"/>
  <c r="M127" i="2"/>
  <c r="J127" i="2" s="1"/>
  <c r="M128" i="2"/>
  <c r="J128" i="2" s="1"/>
  <c r="M129" i="2"/>
  <c r="J129" i="2" s="1"/>
  <c r="M130" i="2"/>
  <c r="J130" i="2" s="1"/>
  <c r="M131" i="2"/>
  <c r="J131" i="2" s="1"/>
  <c r="M132" i="2"/>
  <c r="J132" i="2" s="1"/>
  <c r="M133" i="2"/>
  <c r="J133" i="2" s="1"/>
  <c r="M134" i="2"/>
  <c r="J134" i="2" s="1"/>
  <c r="M135" i="2"/>
  <c r="J135" i="2" s="1"/>
  <c r="M136" i="2"/>
  <c r="J136" i="2" s="1"/>
  <c r="M137" i="2"/>
  <c r="J137" i="2" s="1"/>
  <c r="M138" i="2"/>
  <c r="J138" i="2" s="1"/>
  <c r="M139" i="2"/>
  <c r="J139" i="2" s="1"/>
  <c r="M140" i="2"/>
  <c r="J140" i="2" s="1"/>
  <c r="M141" i="2"/>
  <c r="J141" i="2" s="1"/>
  <c r="M142" i="2"/>
  <c r="J142" i="2" s="1"/>
  <c r="M143" i="2"/>
  <c r="J143" i="2" s="1"/>
  <c r="M144" i="2"/>
  <c r="J144" i="2" s="1"/>
  <c r="M145" i="2"/>
  <c r="J145" i="2" s="1"/>
  <c r="M146" i="2"/>
  <c r="J146" i="2" s="1"/>
  <c r="M147" i="2"/>
  <c r="J147" i="2" s="1"/>
  <c r="M148" i="2"/>
  <c r="J148" i="2" s="1"/>
  <c r="M149" i="2"/>
  <c r="J149" i="2" s="1"/>
  <c r="M150" i="2"/>
  <c r="J150" i="2" s="1"/>
  <c r="M151" i="2"/>
  <c r="J151" i="2" s="1"/>
  <c r="M152" i="2"/>
  <c r="J152" i="2" s="1"/>
  <c r="M153" i="2"/>
  <c r="J153" i="2" s="1"/>
  <c r="M154" i="2"/>
  <c r="J154" i="2" s="1"/>
  <c r="M155" i="2"/>
  <c r="J155" i="2" s="1"/>
  <c r="M156" i="2"/>
  <c r="J156" i="2" s="1"/>
  <c r="M157" i="2"/>
  <c r="J157" i="2" s="1"/>
  <c r="M158" i="2"/>
  <c r="J158" i="2" s="1"/>
  <c r="M159" i="2"/>
  <c r="J159" i="2" s="1"/>
  <c r="M160" i="2"/>
  <c r="J160" i="2" s="1"/>
  <c r="M161" i="2"/>
  <c r="J161" i="2" s="1"/>
  <c r="M162" i="2"/>
  <c r="J162" i="2" s="1"/>
  <c r="M163" i="2"/>
  <c r="J163" i="2" s="1"/>
  <c r="M164" i="2"/>
  <c r="J164" i="2" s="1"/>
  <c r="M165" i="2"/>
  <c r="J165" i="2" s="1"/>
  <c r="M166" i="2"/>
  <c r="J166" i="2" s="1"/>
  <c r="M167" i="2"/>
  <c r="J167" i="2" s="1"/>
  <c r="M168" i="2"/>
  <c r="J168" i="2" s="1"/>
  <c r="M169" i="2"/>
  <c r="J169" i="2" s="1"/>
  <c r="M170" i="2"/>
  <c r="J170" i="2" s="1"/>
  <c r="M171" i="2"/>
  <c r="J171" i="2" s="1"/>
  <c r="M172" i="2"/>
  <c r="J172" i="2" s="1"/>
  <c r="M173" i="2"/>
  <c r="J173" i="2" s="1"/>
  <c r="M174" i="2"/>
  <c r="J174" i="2" s="1"/>
  <c r="M175" i="2"/>
  <c r="J175" i="2" s="1"/>
  <c r="M176" i="2"/>
  <c r="J176" i="2" s="1"/>
  <c r="M177" i="2"/>
  <c r="J177" i="2" s="1"/>
  <c r="M178" i="2"/>
  <c r="J178" i="2" s="1"/>
  <c r="M179" i="2"/>
  <c r="J179" i="2" s="1"/>
  <c r="M180" i="2"/>
  <c r="J180" i="2" s="1"/>
  <c r="M181" i="2"/>
  <c r="J181" i="2" s="1"/>
  <c r="M182" i="2"/>
  <c r="J182" i="2" s="1"/>
  <c r="M183" i="2"/>
  <c r="J183" i="2" s="1"/>
  <c r="M184" i="2"/>
  <c r="J184" i="2" s="1"/>
  <c r="M185" i="2"/>
  <c r="J185" i="2" s="1"/>
  <c r="M186" i="2"/>
  <c r="J186" i="2" s="1"/>
  <c r="M187" i="2"/>
  <c r="J187" i="2" s="1"/>
  <c r="M188" i="2"/>
  <c r="J188" i="2" s="1"/>
  <c r="M189" i="2"/>
  <c r="J189" i="2" s="1"/>
  <c r="M190" i="2"/>
  <c r="J190" i="2" s="1"/>
  <c r="M191" i="2"/>
  <c r="J191" i="2" s="1"/>
  <c r="M192" i="2"/>
  <c r="J192" i="2" s="1"/>
  <c r="M193" i="2"/>
  <c r="J193" i="2" s="1"/>
  <c r="M194" i="2"/>
  <c r="J194" i="2" s="1"/>
  <c r="M195" i="2"/>
  <c r="J195" i="2" s="1"/>
  <c r="M196" i="2"/>
  <c r="J196" i="2" s="1"/>
  <c r="M197" i="2"/>
  <c r="J197" i="2" s="1"/>
  <c r="M198" i="2"/>
  <c r="J198" i="2" s="1"/>
  <c r="M199" i="2"/>
  <c r="J199" i="2" s="1"/>
  <c r="M200" i="2"/>
  <c r="J200" i="2" s="1"/>
  <c r="M201" i="2"/>
  <c r="J201" i="2" s="1"/>
  <c r="M202" i="2"/>
  <c r="J202" i="2" s="1"/>
  <c r="M203" i="2"/>
  <c r="J203" i="2" s="1"/>
  <c r="M204" i="2"/>
  <c r="J204" i="2" s="1"/>
  <c r="M205" i="2"/>
  <c r="J205" i="2" s="1"/>
  <c r="M206" i="2"/>
  <c r="J206" i="2" s="1"/>
  <c r="M207" i="2"/>
  <c r="J207" i="2" s="1"/>
  <c r="M208" i="2"/>
  <c r="J208" i="2" s="1"/>
  <c r="M209" i="2"/>
  <c r="J209" i="2" s="1"/>
  <c r="M210" i="2"/>
  <c r="J210" i="2" s="1"/>
  <c r="M211" i="2"/>
  <c r="J211" i="2" s="1"/>
  <c r="M212" i="2"/>
  <c r="J212" i="2" s="1"/>
  <c r="M213" i="2"/>
  <c r="J213" i="2" s="1"/>
  <c r="M214" i="2"/>
  <c r="J214" i="2" s="1"/>
  <c r="M215" i="2"/>
  <c r="J215" i="2" s="1"/>
  <c r="M216" i="2"/>
  <c r="J216" i="2" s="1"/>
  <c r="M217" i="2"/>
  <c r="J217" i="2" s="1"/>
  <c r="M218" i="2"/>
  <c r="J218" i="2" s="1"/>
  <c r="M219" i="2"/>
  <c r="J219" i="2" s="1"/>
  <c r="M220" i="2"/>
  <c r="J220" i="2" s="1"/>
  <c r="M221" i="2"/>
  <c r="J221" i="2" s="1"/>
  <c r="M222" i="2"/>
  <c r="J222" i="2" s="1"/>
  <c r="M223" i="2"/>
  <c r="J223" i="2" s="1"/>
  <c r="M224" i="2"/>
  <c r="J224" i="2" s="1"/>
  <c r="M225" i="2"/>
  <c r="J225" i="2" s="1"/>
  <c r="M226" i="2"/>
  <c r="J226" i="2" s="1"/>
  <c r="M227" i="2"/>
  <c r="J227" i="2" s="1"/>
  <c r="M228" i="2"/>
  <c r="J228" i="2" s="1"/>
  <c r="M229" i="2"/>
  <c r="J229" i="2" s="1"/>
  <c r="M230" i="2"/>
  <c r="J230" i="2" s="1"/>
  <c r="M231" i="2"/>
  <c r="J231" i="2" s="1"/>
  <c r="M232" i="2"/>
  <c r="J232" i="2" s="1"/>
  <c r="M233" i="2"/>
  <c r="J233" i="2" s="1"/>
  <c r="M234" i="2"/>
  <c r="J234" i="2" s="1"/>
  <c r="M235" i="2"/>
  <c r="J235" i="2" s="1"/>
  <c r="M236" i="2"/>
  <c r="J236" i="2" s="1"/>
  <c r="M237" i="2"/>
  <c r="J237" i="2" s="1"/>
  <c r="M238" i="2"/>
  <c r="J238" i="2" s="1"/>
  <c r="M239" i="2"/>
  <c r="J239" i="2" s="1"/>
  <c r="M240" i="2"/>
  <c r="J240" i="2" s="1"/>
  <c r="M241" i="2"/>
  <c r="J241" i="2" s="1"/>
  <c r="M242" i="2"/>
  <c r="J242" i="2" s="1"/>
  <c r="M243" i="2"/>
  <c r="J243" i="2" s="1"/>
  <c r="M244" i="2"/>
  <c r="J244" i="2" s="1"/>
  <c r="M245" i="2"/>
  <c r="J245" i="2" s="1"/>
  <c r="M246" i="2"/>
  <c r="J246" i="2" s="1"/>
  <c r="M247" i="2"/>
  <c r="J247" i="2" s="1"/>
  <c r="M248" i="2"/>
  <c r="J248" i="2" s="1"/>
  <c r="M249" i="2"/>
  <c r="J249" i="2" s="1"/>
  <c r="M250" i="2"/>
  <c r="J250" i="2" s="1"/>
  <c r="M251" i="2"/>
  <c r="J251" i="2" s="1"/>
  <c r="M252" i="2"/>
  <c r="J252" i="2" s="1"/>
  <c r="M253" i="2"/>
  <c r="J253" i="2" s="1"/>
  <c r="M254" i="2"/>
  <c r="J254" i="2" s="1"/>
  <c r="M255" i="2"/>
  <c r="J255" i="2" s="1"/>
  <c r="M256" i="2"/>
  <c r="J256" i="2" s="1"/>
  <c r="M257" i="2"/>
  <c r="J257" i="2" s="1"/>
  <c r="M258" i="2"/>
  <c r="J258" i="2" s="1"/>
  <c r="M259" i="2"/>
  <c r="J259" i="2" s="1"/>
  <c r="M260" i="2"/>
  <c r="J260" i="2" s="1"/>
  <c r="M261" i="2"/>
  <c r="J261" i="2" s="1"/>
  <c r="M262" i="2"/>
  <c r="J262" i="2" s="1"/>
  <c r="M263" i="2"/>
  <c r="J263" i="2" s="1"/>
  <c r="M264" i="2"/>
  <c r="J264" i="2" s="1"/>
  <c r="M265" i="2"/>
  <c r="J265" i="2" s="1"/>
  <c r="M266" i="2"/>
  <c r="J266" i="2" s="1"/>
  <c r="M267" i="2"/>
  <c r="J267" i="2" s="1"/>
  <c r="M268" i="2"/>
  <c r="J268" i="2" s="1"/>
  <c r="M269" i="2"/>
  <c r="J269" i="2" s="1"/>
  <c r="M270" i="2"/>
  <c r="J270" i="2" s="1"/>
  <c r="M271" i="2"/>
  <c r="J271" i="2" s="1"/>
  <c r="M272" i="2"/>
  <c r="J272" i="2" s="1"/>
  <c r="M273" i="2"/>
  <c r="J273" i="2" s="1"/>
  <c r="M274" i="2"/>
  <c r="J274" i="2" s="1"/>
  <c r="M275" i="2"/>
  <c r="J275" i="2" s="1"/>
  <c r="M276" i="2"/>
  <c r="J276" i="2" s="1"/>
  <c r="M277" i="2"/>
  <c r="J277" i="2" s="1"/>
  <c r="M278" i="2"/>
  <c r="J278" i="2" s="1"/>
  <c r="M279" i="2"/>
  <c r="J279" i="2" s="1"/>
  <c r="M280" i="2"/>
  <c r="J280" i="2" s="1"/>
  <c r="M14" i="2"/>
  <c r="J14" i="2" s="1"/>
  <c r="F14" i="2" l="1"/>
  <c r="C7" i="2"/>
  <c r="C8" i="2" l="1"/>
  <c r="H14" i="2" l="1"/>
  <c r="M6" i="2"/>
</calcChain>
</file>

<file path=xl/sharedStrings.xml><?xml version="1.0" encoding="utf-8"?>
<sst xmlns="http://schemas.openxmlformats.org/spreadsheetml/2006/main" count="12855" uniqueCount="589">
  <si>
    <t>발주기관</t>
    <phoneticPr fontId="2" type="noConversion"/>
  </si>
  <si>
    <t>심사기준</t>
    <phoneticPr fontId="2" type="noConversion"/>
  </si>
  <si>
    <t>업종</t>
    <phoneticPr fontId="2" type="noConversion"/>
  </si>
  <si>
    <t>기초금액</t>
    <phoneticPr fontId="2" type="noConversion"/>
  </si>
  <si>
    <t>예정가격</t>
    <phoneticPr fontId="2" type="noConversion"/>
  </si>
  <si>
    <t>균형가격</t>
    <phoneticPr fontId="2" type="noConversion"/>
  </si>
  <si>
    <t>순번</t>
    <phoneticPr fontId="2" type="noConversion"/>
  </si>
  <si>
    <t>사업자번호</t>
    <phoneticPr fontId="2" type="noConversion"/>
  </si>
  <si>
    <t>업체명</t>
    <phoneticPr fontId="2" type="noConversion"/>
  </si>
  <si>
    <t>입찰금액</t>
    <phoneticPr fontId="2" type="noConversion"/>
  </si>
  <si>
    <t>투찰율</t>
    <phoneticPr fontId="2" type="noConversion"/>
  </si>
  <si>
    <t>가격점수</t>
    <phoneticPr fontId="2" type="noConversion"/>
  </si>
  <si>
    <t>기초대비</t>
    <phoneticPr fontId="2" type="noConversion"/>
  </si>
  <si>
    <t>미감점입찰금액</t>
    <phoneticPr fontId="2" type="noConversion"/>
  </si>
  <si>
    <t>배점</t>
    <phoneticPr fontId="2" type="noConversion"/>
  </si>
  <si>
    <t>A 계수</t>
    <phoneticPr fontId="2" type="noConversion"/>
  </si>
  <si>
    <t>미감점금액차이</t>
    <phoneticPr fontId="2" type="noConversion"/>
  </si>
  <si>
    <t>개찰 결과 보고서</t>
    <phoneticPr fontId="2" type="noConversion"/>
  </si>
  <si>
    <t>사정율</t>
    <phoneticPr fontId="2" type="noConversion"/>
  </si>
  <si>
    <t>만점 최소</t>
    <phoneticPr fontId="2" type="noConversion"/>
  </si>
  <si>
    <t>만점 최대</t>
    <phoneticPr fontId="2" type="noConversion"/>
  </si>
  <si>
    <t>균형단가율</t>
    <phoneticPr fontId="2" type="noConversion"/>
  </si>
  <si>
    <t>업평사정율</t>
    <phoneticPr fontId="2" type="noConversion"/>
  </si>
  <si>
    <t>기초금액
대비</t>
    <phoneticPr fontId="2" type="noConversion"/>
  </si>
  <si>
    <t>균형가격
대비</t>
    <phoneticPr fontId="2" type="noConversion"/>
  </si>
  <si>
    <t>참여업체</t>
    <phoneticPr fontId="2" type="noConversion"/>
  </si>
  <si>
    <t>적정단가</t>
    <phoneticPr fontId="2" type="noConversion"/>
  </si>
  <si>
    <t>ORDER_INSTT_CD_NM</t>
    <phoneticPr fontId="2" type="noConversion"/>
  </si>
  <si>
    <t>SUCSFBID_MTHD_CD_NM</t>
    <phoneticPr fontId="2" type="noConversion"/>
  </si>
  <si>
    <t>BSS_AMT</t>
    <phoneticPr fontId="2" type="noConversion"/>
  </si>
  <si>
    <t>SCDL_AMT</t>
    <phoneticPr fontId="2" type="noConversion"/>
  </si>
  <si>
    <t>BID_PRCE_DSMRK</t>
    <phoneticPr fontId="2" type="noConversion"/>
  </si>
  <si>
    <t>INVST_UPRC_RT</t>
    <phoneticPr fontId="2" type="noConversion"/>
  </si>
  <si>
    <t>□ 공사명 : ㅇㅇㅇ</t>
    <phoneticPr fontId="2" type="noConversion"/>
  </si>
  <si>
    <t>예상낙찰사 :  ㅇㅇㅇ</t>
    <phoneticPr fontId="2" type="noConversion"/>
  </si>
  <si>
    <t>BID_AMT_JUDGE_A_CFCNT</t>
    <phoneticPr fontId="2" type="noConversion"/>
  </si>
  <si>
    <t>UPRC_FIT_MINM_RT</t>
    <phoneticPr fontId="2" type="noConversion"/>
  </si>
  <si>
    <t>MAINCNSTTY_INDTP_CD_NM</t>
    <phoneticPr fontId="2" type="noConversion"/>
  </si>
  <si>
    <t>BALAN_YEGA_PCT_100</t>
    <phoneticPr fontId="2" type="noConversion"/>
  </si>
  <si>
    <t>UNSBPNT_BIDPRC_AMT</t>
    <phoneticPr fontId="2" type="noConversion"/>
  </si>
  <si>
    <t xml:space="preserve"> </t>
    <phoneticPr fontId="2" type="noConversion"/>
  </si>
  <si>
    <t>BALAN_PRCE</t>
    <phoneticPr fontId="2" type="noConversion"/>
  </si>
  <si>
    <t>BID_AMT_JUDGE_B_CFCNT</t>
    <phoneticPr fontId="2" type="noConversion"/>
  </si>
  <si>
    <t>단가감점
예상</t>
    <phoneticPr fontId="2" type="noConversion"/>
  </si>
  <si>
    <t xml:space="preserve"> </t>
    <phoneticPr fontId="2" type="noConversion"/>
  </si>
  <si>
    <t>LO_EX_RT</t>
    <phoneticPr fontId="2" type="noConversion"/>
  </si>
  <si>
    <t>HI_EX_RT</t>
    <phoneticPr fontId="2" type="noConversion"/>
  </si>
  <si>
    <t>예상예가율%
(업평 0 기준)</t>
    <phoneticPr fontId="2" type="noConversion"/>
  </si>
  <si>
    <t>예상예가율%
(공고업평기준)</t>
    <phoneticPr fontId="2" type="noConversion"/>
  </si>
  <si>
    <t>□ 공사명 : 인천계양 A-10BL 아파트 전기공사 4공구</t>
  </si>
  <si>
    <t>예상낙찰사 : 균형근접 153순위 금양그린파워 주식회사</t>
  </si>
  <si>
    <t>한국토지주택공사</t>
  </si>
  <si>
    <t>간이종심제</t>
  </si>
  <si>
    <t>전기공사업</t>
  </si>
  <si>
    <t>131-81-53299</t>
  </si>
  <si>
    <t>(주)건화티에스</t>
  </si>
  <si>
    <t xml:space="preserve"> </t>
  </si>
  <si>
    <t>213-81-98870</t>
  </si>
  <si>
    <t>주식회사 근우</t>
  </si>
  <si>
    <t>135-81-74490</t>
  </si>
  <si>
    <t>(주)신화전공</t>
  </si>
  <si>
    <t>130-81-28180</t>
  </si>
  <si>
    <t>동문건설(주)</t>
  </si>
  <si>
    <t>413-81-02348</t>
  </si>
  <si>
    <t>주식회사 금강전력</t>
  </si>
  <si>
    <t>121-81-33883</t>
  </si>
  <si>
    <t>(주)광문전력</t>
  </si>
  <si>
    <t>313-81-02806</t>
  </si>
  <si>
    <t>대보건설(주)</t>
  </si>
  <si>
    <t>544-81-02884</t>
  </si>
  <si>
    <t>주식회사 금강일렉트릭</t>
  </si>
  <si>
    <t>114-81-35087</t>
  </si>
  <si>
    <t>장한전산(주)</t>
  </si>
  <si>
    <t>315-81-31573</t>
  </si>
  <si>
    <t>서광전기통신공사(주)</t>
  </si>
  <si>
    <t>139-81-09249</t>
  </si>
  <si>
    <t>(주)상우전기</t>
  </si>
  <si>
    <t>121-81-99338</t>
  </si>
  <si>
    <t>주식회사 써모테크</t>
  </si>
  <si>
    <t>417-81-11835</t>
  </si>
  <si>
    <t>주식회사 하이테크엔지니어링</t>
  </si>
  <si>
    <t>126-81-80867</t>
  </si>
  <si>
    <t>하모니씨앤씨 주식회사</t>
  </si>
  <si>
    <t>314-81-85080</t>
  </si>
  <si>
    <t>기룡이엔씨 주식회사</t>
  </si>
  <si>
    <t>527-88-01268</t>
  </si>
  <si>
    <t>주식회사 팜솔라</t>
  </si>
  <si>
    <t>409-81-08436</t>
  </si>
  <si>
    <t>中興建設 주식회사</t>
  </si>
  <si>
    <t>323-88-01633</t>
  </si>
  <si>
    <t>동부엔텍 주식회사</t>
  </si>
  <si>
    <t>107-81-43707</t>
  </si>
  <si>
    <t>(주)신창전기</t>
  </si>
  <si>
    <t>106-81-36902</t>
  </si>
  <si>
    <t>대일전기산업(주)</t>
  </si>
  <si>
    <t>142-81-20712</t>
  </si>
  <si>
    <t>동인이엔씨 주식회사</t>
  </si>
  <si>
    <t>415-81-50768</t>
  </si>
  <si>
    <t>주식회사 엠케이이앤씨</t>
  </si>
  <si>
    <t>603-81-13579</t>
  </si>
  <si>
    <t>대명전력(주)</t>
  </si>
  <si>
    <t>112-81-26393</t>
  </si>
  <si>
    <t>주식회사 승도이엔씨</t>
  </si>
  <si>
    <t>515-81-43325</t>
  </si>
  <si>
    <t>주식회사 에타솔라</t>
  </si>
  <si>
    <t>138-81-00487</t>
  </si>
  <si>
    <t>합자회사동화</t>
  </si>
  <si>
    <t>201-81-13956</t>
  </si>
  <si>
    <t>주식회사 제이비씨</t>
  </si>
  <si>
    <t>214-81-95522</t>
  </si>
  <si>
    <t>(주)원프랜트</t>
  </si>
  <si>
    <t>314-86-20947</t>
  </si>
  <si>
    <t>주식회사 태영전기</t>
  </si>
  <si>
    <t>121-81-83971</t>
  </si>
  <si>
    <t>성우이앤엠(주)</t>
  </si>
  <si>
    <t>306-81-16281</t>
  </si>
  <si>
    <t>주식회사 서하</t>
  </si>
  <si>
    <t>603-81-80044</t>
  </si>
  <si>
    <t>유원이엔씨 주식회사</t>
  </si>
  <si>
    <t>122-86-23516</t>
  </si>
  <si>
    <t>주식회사 동진전력</t>
  </si>
  <si>
    <t>127-81-41891</t>
  </si>
  <si>
    <t>삼아산업 주식회사</t>
  </si>
  <si>
    <t>213-87-02304</t>
  </si>
  <si>
    <t>혜윰이엔씨 주식회사</t>
  </si>
  <si>
    <t>416-81-13368</t>
  </si>
  <si>
    <t>중흥토건 주식회사</t>
  </si>
  <si>
    <t>610-81-42387</t>
  </si>
  <si>
    <t>영진 주식회사</t>
  </si>
  <si>
    <t>120-81-06796</t>
  </si>
  <si>
    <t>(주)금화피에스시</t>
  </si>
  <si>
    <t>138-81-13508</t>
  </si>
  <si>
    <t>(주)이엔티파워</t>
  </si>
  <si>
    <t>303-81-12710</t>
  </si>
  <si>
    <t>주식회사 홍우</t>
  </si>
  <si>
    <t>314-86-60949</t>
  </si>
  <si>
    <t>아이비전기 주식회사</t>
  </si>
  <si>
    <t>414-81-03132</t>
  </si>
  <si>
    <t>효진 주식회사</t>
  </si>
  <si>
    <t>643-88-02249</t>
  </si>
  <si>
    <t>주식회사 신산전력</t>
  </si>
  <si>
    <t>502-81-14862</t>
  </si>
  <si>
    <t>부강전설(주)</t>
  </si>
  <si>
    <t>314-86-00825</t>
  </si>
  <si>
    <t>주식회사 탑선</t>
  </si>
  <si>
    <t>502-81-19116</t>
  </si>
  <si>
    <t>주식회사 대전사</t>
  </si>
  <si>
    <t>119-81-07631</t>
  </si>
  <si>
    <t>승아전기(주)</t>
  </si>
  <si>
    <t>314-81-03152</t>
  </si>
  <si>
    <t>(주)동승전기</t>
  </si>
  <si>
    <t>615-81-30775</t>
  </si>
  <si>
    <t>주식회사 동명전력</t>
  </si>
  <si>
    <t>137-81-69896</t>
  </si>
  <si>
    <t>대일전기 주식회사</t>
  </si>
  <si>
    <t>409-81-18123</t>
  </si>
  <si>
    <t>대호전기 주식회사</t>
  </si>
  <si>
    <t>605-81-87475</t>
  </si>
  <si>
    <t>주식회사 반도건설</t>
  </si>
  <si>
    <t>305-81-12642</t>
  </si>
  <si>
    <t>합자회사 보광전기</t>
  </si>
  <si>
    <t>413-81-00471</t>
  </si>
  <si>
    <t>성신이엔씨 주식회사</t>
  </si>
  <si>
    <t>218-81-02928</t>
  </si>
  <si>
    <t>한광전기공업 주식회사</t>
  </si>
  <si>
    <t>417-81-19462</t>
  </si>
  <si>
    <t>(주)아진전력</t>
  </si>
  <si>
    <t>209-81-34159</t>
  </si>
  <si>
    <t>주식회사 피스코이엔씨</t>
  </si>
  <si>
    <t>124-86-09636</t>
  </si>
  <si>
    <t>제일건설 주식회사</t>
  </si>
  <si>
    <t>415-81-52392</t>
  </si>
  <si>
    <t>주식회사 송천</t>
  </si>
  <si>
    <t>501-81-18069</t>
  </si>
  <si>
    <t>정원전설 주식회사</t>
  </si>
  <si>
    <t>610-81-26714</t>
  </si>
  <si>
    <t>금호전업(주)</t>
  </si>
  <si>
    <t>113-81-63993</t>
  </si>
  <si>
    <t>한성중공업(주)</t>
  </si>
  <si>
    <t>605-81-32247</t>
  </si>
  <si>
    <t>반도산전(주)</t>
  </si>
  <si>
    <t>410-81-44714</t>
  </si>
  <si>
    <t>(주)성원이앤지</t>
  </si>
  <si>
    <t>502-86-16623</t>
  </si>
  <si>
    <t>주식회사 한남전기통신공사</t>
  </si>
  <si>
    <t>129-81-29118</t>
  </si>
  <si>
    <t>한국플랜트서비스 주식회사</t>
  </si>
  <si>
    <t>610-81-43896</t>
  </si>
  <si>
    <t>주식회사 나우</t>
  </si>
  <si>
    <t>417-81-10011</t>
  </si>
  <si>
    <t>(주)현대계전</t>
  </si>
  <si>
    <t>563-81-00567</t>
  </si>
  <si>
    <t>주식회사 한국그린전력</t>
  </si>
  <si>
    <t>126-81-88777</t>
  </si>
  <si>
    <t>(주)경기기술공사</t>
  </si>
  <si>
    <t>617-81-03385</t>
  </si>
  <si>
    <t>종로전기 주식회사</t>
  </si>
  <si>
    <t>310-81-13681</t>
  </si>
  <si>
    <t>에이엠테크주식회사</t>
  </si>
  <si>
    <t>220-81-19330</t>
  </si>
  <si>
    <t>(주)서희건설</t>
  </si>
  <si>
    <t>508-81-10035</t>
  </si>
  <si>
    <t>(주) 한얼누리</t>
  </si>
  <si>
    <t>105-86-40413</t>
  </si>
  <si>
    <t>(주)지앤에스이엔지</t>
  </si>
  <si>
    <t>501-81-17997</t>
  </si>
  <si>
    <t>주식회사 유신전력</t>
  </si>
  <si>
    <t>506-81-92119</t>
  </si>
  <si>
    <t>한국북부발전(주)</t>
  </si>
  <si>
    <t>128-81-73455</t>
  </si>
  <si>
    <t>대방산업개발주식회사</t>
  </si>
  <si>
    <t>124-81-37985</t>
  </si>
  <si>
    <t>현우전기(주)</t>
  </si>
  <si>
    <t>514-81-36189</t>
  </si>
  <si>
    <t>(주)유명이앤씨</t>
  </si>
  <si>
    <t>125-81-28742</t>
  </si>
  <si>
    <t>주식회사 중앙엔지니어링</t>
  </si>
  <si>
    <t>209-81-10477</t>
  </si>
  <si>
    <t>대방건설(주)</t>
  </si>
  <si>
    <t>410-81-32391</t>
  </si>
  <si>
    <t>주식회사 한백</t>
  </si>
  <si>
    <t>610-81-89801</t>
  </si>
  <si>
    <t>주식회사민성</t>
  </si>
  <si>
    <t>504-81-18296</t>
  </si>
  <si>
    <t>映進綜合建設 株式會社</t>
  </si>
  <si>
    <t>410-81-05201</t>
  </si>
  <si>
    <t>주식회사 유림</t>
  </si>
  <si>
    <t>506-81-17920</t>
  </si>
  <si>
    <t>경일엔지니어링주식회사</t>
  </si>
  <si>
    <t>138-81-47634</t>
  </si>
  <si>
    <t>엘에스전선 주식회사</t>
  </si>
  <si>
    <t>608-81-04401</t>
  </si>
  <si>
    <t>주식회사 대아건설</t>
  </si>
  <si>
    <t>131-81-04615</t>
  </si>
  <si>
    <t>(주)대화</t>
  </si>
  <si>
    <t>122-81-79903</t>
  </si>
  <si>
    <t>주식회사신화전기</t>
  </si>
  <si>
    <t>120-81-59987</t>
  </si>
  <si>
    <t>주식회사 오르비스</t>
  </si>
  <si>
    <t>120-87-64366</t>
  </si>
  <si>
    <t>한국발전기술주식회사</t>
  </si>
  <si>
    <t>120-81-11644</t>
  </si>
  <si>
    <t>주식회사 광신전설</t>
  </si>
  <si>
    <t>417-81-31622</t>
  </si>
  <si>
    <t>(주)대아전력</t>
  </si>
  <si>
    <t>199-86-03499</t>
  </si>
  <si>
    <t>주식회사 신우전설</t>
  </si>
  <si>
    <t>312-86-00931</t>
  </si>
  <si>
    <t>주식회사 성화이엔씨</t>
  </si>
  <si>
    <t>101-86-04036</t>
  </si>
  <si>
    <t>(주)강남전기</t>
  </si>
  <si>
    <t>505-81-26071</t>
  </si>
  <si>
    <t>주식회사 대산이엔씨</t>
  </si>
  <si>
    <t>111-81-15516</t>
  </si>
  <si>
    <t>(주)청한이티엔</t>
  </si>
  <si>
    <t>139-81-03487</t>
  </si>
  <si>
    <t>주식회사 오성전기</t>
  </si>
  <si>
    <t>110-81-55460</t>
  </si>
  <si>
    <t>주식회사 자유전설</t>
  </si>
  <si>
    <t>117-81-20962</t>
  </si>
  <si>
    <t>에스엠파워텍 주식회사</t>
  </si>
  <si>
    <t>201-81-47460</t>
  </si>
  <si>
    <t>태성전기통신(주)</t>
  </si>
  <si>
    <t>209-81-25664</t>
  </si>
  <si>
    <t>(주)부신전력</t>
  </si>
  <si>
    <t>213-86-26653</t>
  </si>
  <si>
    <t>영일전설주식회사</t>
  </si>
  <si>
    <t>105-81-69109</t>
  </si>
  <si>
    <t>대조전설 주식회사</t>
  </si>
  <si>
    <t>615-81-22391</t>
  </si>
  <si>
    <t>주식회사 우진이앤씨</t>
  </si>
  <si>
    <t>344-87-00497</t>
  </si>
  <si>
    <t>주식회사 이앤엠테크</t>
  </si>
  <si>
    <t>409-86-10941</t>
  </si>
  <si>
    <t>주식회사 그랜드썬기술단</t>
  </si>
  <si>
    <t>107-81-93207</t>
  </si>
  <si>
    <t>주식회사 주광전기</t>
  </si>
  <si>
    <t>506-81-09060</t>
  </si>
  <si>
    <t>합자회사미광계전</t>
  </si>
  <si>
    <t>301-81-80847</t>
  </si>
  <si>
    <t>(주)디엔아이코퍼레이션</t>
  </si>
  <si>
    <t>215-81-38510</t>
  </si>
  <si>
    <t>신신이앤씨주식회사</t>
  </si>
  <si>
    <t>214-81-04884</t>
  </si>
  <si>
    <t>두원이에프씨 주식회사</t>
  </si>
  <si>
    <t>111-81-24994</t>
  </si>
  <si>
    <t>오리엔트주식회사</t>
  </si>
  <si>
    <t>214-87-98652</t>
  </si>
  <si>
    <t>주식회사 성암전력</t>
  </si>
  <si>
    <t>110-81-30979</t>
  </si>
  <si>
    <t>(주)대림</t>
  </si>
  <si>
    <t>128-86-12206</t>
  </si>
  <si>
    <t>청명전기주식회사</t>
  </si>
  <si>
    <t>129-81-63120</t>
  </si>
  <si>
    <t>옵티멀에너지서비스 주식회사</t>
  </si>
  <si>
    <t>120-81-05711</t>
  </si>
  <si>
    <t>주식회사 삼진일렉스</t>
  </si>
  <si>
    <t>311-81-40518</t>
  </si>
  <si>
    <t>두원이엔지 주식회사</t>
  </si>
  <si>
    <t>620-81-06559</t>
  </si>
  <si>
    <t>(주)성전사</t>
  </si>
  <si>
    <t>410-86-11144</t>
  </si>
  <si>
    <t>(주)태호이앤씨</t>
  </si>
  <si>
    <t>121-81-90074</t>
  </si>
  <si>
    <t>주식회사 썬파워텍</t>
  </si>
  <si>
    <t>613-81-43269</t>
  </si>
  <si>
    <t>주식회사 광명에너지</t>
  </si>
  <si>
    <t>109-86-23468</t>
  </si>
  <si>
    <t>주식회사 영신이앤씨</t>
  </si>
  <si>
    <t>130-81-42372</t>
  </si>
  <si>
    <t>주식회사 일진파워</t>
  </si>
  <si>
    <t>126-81-45759</t>
  </si>
  <si>
    <t>(주)창원기전</t>
  </si>
  <si>
    <t>417-81-05901</t>
  </si>
  <si>
    <t>(주)삼흥전력</t>
  </si>
  <si>
    <t>220-81-04841</t>
  </si>
  <si>
    <t>동성계전 (주)</t>
  </si>
  <si>
    <t>403-81-05839</t>
  </si>
  <si>
    <t>주식회사 세움테크윈</t>
  </si>
  <si>
    <t>121-81-79782</t>
  </si>
  <si>
    <t>서봉기업 주식회사</t>
  </si>
  <si>
    <t>214-81-22183</t>
  </si>
  <si>
    <t>(주)하나전기</t>
  </si>
  <si>
    <t>229-81-19166</t>
  </si>
  <si>
    <t>(주)삼영기업</t>
  </si>
  <si>
    <t>105-81-06123</t>
  </si>
  <si>
    <t>주식회사 나우스넷</t>
  </si>
  <si>
    <t>202-81-36758</t>
  </si>
  <si>
    <t>주식회사 남양계전</t>
  </si>
  <si>
    <t>608-81-31854</t>
  </si>
  <si>
    <t>135-81-40632</t>
  </si>
  <si>
    <t>(주)우진일렉트</t>
  </si>
  <si>
    <t>135-81-97775</t>
  </si>
  <si>
    <t>(주)청우디엔시</t>
  </si>
  <si>
    <t>110-81-75767</t>
  </si>
  <si>
    <t>(주)에스에이치전기</t>
  </si>
  <si>
    <t>409-81-32649</t>
  </si>
  <si>
    <t>주식회사 용산전력</t>
  </si>
  <si>
    <t>502-81-60518</t>
  </si>
  <si>
    <t>주식회사 씨에스텍</t>
  </si>
  <si>
    <t>132-81-79967</t>
  </si>
  <si>
    <t>지음이엔아이 주식회사</t>
  </si>
  <si>
    <t>104-81-42465</t>
  </si>
  <si>
    <t>엘에스빌드윈 주식회사</t>
  </si>
  <si>
    <t>303-81-12646</t>
  </si>
  <si>
    <t>금강전기산업(주)</t>
  </si>
  <si>
    <t>220-81-40342</t>
  </si>
  <si>
    <t>조영일렉컴 주식회사</t>
  </si>
  <si>
    <t>511-81-22992</t>
  </si>
  <si>
    <t>주식회사 에스비일렉트릭</t>
  </si>
  <si>
    <t>301-81-44050</t>
  </si>
  <si>
    <t>우신전설(주)</t>
  </si>
  <si>
    <t>477-81-00873</t>
  </si>
  <si>
    <t>주식회사 화신이엔지</t>
  </si>
  <si>
    <t>123-81-28751</t>
  </si>
  <si>
    <t>세종텔레콤 주식회사</t>
  </si>
  <si>
    <t>135-81-02055</t>
  </si>
  <si>
    <t>(주)단성</t>
  </si>
  <si>
    <t>610-81-17966</t>
  </si>
  <si>
    <t>금양그린파워 주식회사</t>
  </si>
  <si>
    <t>Y</t>
  </si>
  <si>
    <t>497-81-02216</t>
  </si>
  <si>
    <t>주식회사 명진</t>
  </si>
  <si>
    <t>508-81-01201</t>
  </si>
  <si>
    <t>(주)삼영전업사</t>
  </si>
  <si>
    <t>608-81-76415</t>
  </si>
  <si>
    <t>삼광전기 주식회사</t>
  </si>
  <si>
    <t>240-88-01852</t>
  </si>
  <si>
    <t>주식회사 수현</t>
  </si>
  <si>
    <t>811-86-00480</t>
  </si>
  <si>
    <t>주식회사 평호전력</t>
  </si>
  <si>
    <t>410-81-19063</t>
  </si>
  <si>
    <t>유한회사 우전</t>
  </si>
  <si>
    <t>215-86-23647</t>
  </si>
  <si>
    <t>주식회사 시공이엔씨</t>
  </si>
  <si>
    <t>125-81-14063</t>
  </si>
  <si>
    <t>주식회사 금강뉴이앤씨</t>
  </si>
  <si>
    <t>207-81-36393</t>
  </si>
  <si>
    <t>삼언전공 주식회사</t>
  </si>
  <si>
    <t>407-87-00819</t>
  </si>
  <si>
    <t>주식회사 지음쏠라테크</t>
  </si>
  <si>
    <t>616-81-00783</t>
  </si>
  <si>
    <t>청암기업 주식회사</t>
  </si>
  <si>
    <t>310-81-20843</t>
  </si>
  <si>
    <t>세이콘 주식회사</t>
  </si>
  <si>
    <t>116-81-37494</t>
  </si>
  <si>
    <t>대아티아이 주식회사</t>
  </si>
  <si>
    <t>214-87-05513</t>
  </si>
  <si>
    <t>주식회사 케이이에스 전기공사</t>
  </si>
  <si>
    <t>135-81-61582</t>
  </si>
  <si>
    <t>주식회사 메가이엔지</t>
  </si>
  <si>
    <t>408-81-54131</t>
  </si>
  <si>
    <t>탑솔라 주식회사</t>
  </si>
  <si>
    <t>120-81-37120</t>
  </si>
  <si>
    <t>(주)지티일렉콘</t>
  </si>
  <si>
    <t>138-81-23971</t>
  </si>
  <si>
    <t>해오름건설주식회사</t>
  </si>
  <si>
    <t>118-81-21173</t>
  </si>
  <si>
    <t>(주)부현전기</t>
  </si>
  <si>
    <t>317-81-21241</t>
  </si>
  <si>
    <t>(주)동일</t>
  </si>
  <si>
    <t>212-81-31876</t>
  </si>
  <si>
    <t>뉴성진파워 주식회사</t>
  </si>
  <si>
    <t>120-81-17027</t>
  </si>
  <si>
    <t>세안이엔씨 주식회사</t>
  </si>
  <si>
    <t>128-81-72024</t>
  </si>
  <si>
    <t>도원이엔아이(주)</t>
  </si>
  <si>
    <t>607-81-40082</t>
  </si>
  <si>
    <t>(주)하나전설</t>
  </si>
  <si>
    <t>106-86-03240</t>
  </si>
  <si>
    <t>태경이엘피 주식회사</t>
  </si>
  <si>
    <t>137-86-25985</t>
  </si>
  <si>
    <t>주식회사 가가전력</t>
  </si>
  <si>
    <t>616-81-79621</t>
  </si>
  <si>
    <t>한국에너지종합기술 주식회사</t>
  </si>
  <si>
    <t>137-81-49658</t>
  </si>
  <si>
    <t>지승건설(주)</t>
  </si>
  <si>
    <t>139-81-03527</t>
  </si>
  <si>
    <t>화성전기건설(주)</t>
  </si>
  <si>
    <t>412-81-23898</t>
  </si>
  <si>
    <t>(주)세진엔지니어링</t>
  </si>
  <si>
    <t>207-81-29117</t>
  </si>
  <si>
    <t>경우전기(주)</t>
  </si>
  <si>
    <t>503-81-22841</t>
  </si>
  <si>
    <t>풍국전기 주식회사</t>
  </si>
  <si>
    <t>215-81-40525</t>
  </si>
  <si>
    <t>(주)신세계전기</t>
  </si>
  <si>
    <t>409-81-07742</t>
  </si>
  <si>
    <t>주식회사 삼원전력</t>
  </si>
  <si>
    <t>204-81-24559</t>
  </si>
  <si>
    <t>(주)대용와트스</t>
  </si>
  <si>
    <t>215-87-53003</t>
  </si>
  <si>
    <t>주식회사 이예스피</t>
  </si>
  <si>
    <t>113-81-07384</t>
  </si>
  <si>
    <t>지에스네오텍 주식회사</t>
  </si>
  <si>
    <t>219-81-28106</t>
  </si>
  <si>
    <t>우선이엔씨(주)</t>
  </si>
  <si>
    <t>142-81-28387</t>
  </si>
  <si>
    <t>주식회사 온세이엔씨</t>
  </si>
  <si>
    <t>119-81-16692</t>
  </si>
  <si>
    <t>주식회사 서우건설산업</t>
  </si>
  <si>
    <t>430-86-02862</t>
  </si>
  <si>
    <t>주식회사 대은기전</t>
  </si>
  <si>
    <t>213-86-27477</t>
  </si>
  <si>
    <t>영인에너지솔루션(주)</t>
  </si>
  <si>
    <t>107-86-00246</t>
  </si>
  <si>
    <t>주식회사 솔라플레이</t>
  </si>
  <si>
    <t>522-86-01013</t>
  </si>
  <si>
    <t>동영기업 주식회사</t>
  </si>
  <si>
    <t>134-81-83055</t>
  </si>
  <si>
    <t>금오이엔씨 주식회사</t>
  </si>
  <si>
    <t>129-81-70451</t>
  </si>
  <si>
    <t>주식회사 정안디엔씨</t>
  </si>
  <si>
    <t>214-87-07544</t>
  </si>
  <si>
    <t>일메테크(주)</t>
  </si>
  <si>
    <t>214-88-43964</t>
  </si>
  <si>
    <t>동은엔지니어링 주식회사</t>
  </si>
  <si>
    <t>609-81-32647</t>
  </si>
  <si>
    <t>(주)세창전기</t>
  </si>
  <si>
    <t>124-81-52176</t>
  </si>
  <si>
    <t>주식회사 계명</t>
  </si>
  <si>
    <t>105-81-29640</t>
  </si>
  <si>
    <t>일성건설(주)</t>
  </si>
  <si>
    <t>123-81-40959</t>
  </si>
  <si>
    <t>경인엔지니어링(주)</t>
  </si>
  <si>
    <t>501-81-14821</t>
  </si>
  <si>
    <t>주식회사 광덕전력</t>
  </si>
  <si>
    <t>138-81-26833</t>
  </si>
  <si>
    <t>주식회사 컴피아</t>
  </si>
  <si>
    <t>205-81-26341</t>
  </si>
  <si>
    <t>종합전기 주식회사</t>
  </si>
  <si>
    <t>616-86-28210</t>
  </si>
  <si>
    <t>주식회사 한주</t>
  </si>
  <si>
    <t>137-86-18335</t>
  </si>
  <si>
    <t>동서이엔씨 주식회사</t>
  </si>
  <si>
    <t>144-81-08903</t>
  </si>
  <si>
    <t>주식회사 우광이엔씨</t>
  </si>
  <si>
    <t>214-81-08274</t>
  </si>
  <si>
    <t>강우기업(주)</t>
  </si>
  <si>
    <t>410-86-27175</t>
  </si>
  <si>
    <t>주식회사 라인이엔지</t>
  </si>
  <si>
    <t>113-86-34061</t>
  </si>
  <si>
    <t>엔케이전기 주식회사</t>
  </si>
  <si>
    <t>122-81-81660</t>
  </si>
  <si>
    <t>(주)동일전력</t>
  </si>
  <si>
    <t>110-81-14611</t>
  </si>
  <si>
    <t>주식회사 비에스한양</t>
  </si>
  <si>
    <t>619-81-00744</t>
  </si>
  <si>
    <t>삼원전기건설 주식회사</t>
  </si>
  <si>
    <t>633-88-00846</t>
  </si>
  <si>
    <t>원흥이엔씨 주식회사</t>
  </si>
  <si>
    <t>127-86-32612</t>
  </si>
  <si>
    <t>(주)왕산전기</t>
  </si>
  <si>
    <t>134-86-17846</t>
  </si>
  <si>
    <t>주식회사보일</t>
  </si>
  <si>
    <t>409-81-09207</t>
  </si>
  <si>
    <t>합자회사 자유이엔씨</t>
  </si>
  <si>
    <t>129-81-19624</t>
  </si>
  <si>
    <t>우일계전공업 주식회사</t>
  </si>
  <si>
    <t>132-81-48275</t>
  </si>
  <si>
    <t>재영전기 주식회사</t>
  </si>
  <si>
    <t>408-81-25446</t>
  </si>
  <si>
    <t>다스코 주식회사</t>
  </si>
  <si>
    <t>124-87-25569</t>
  </si>
  <si>
    <t>(주)지호</t>
  </si>
  <si>
    <t>417-81-13565</t>
  </si>
  <si>
    <t>(주)태화산업</t>
  </si>
  <si>
    <t>513-81-11512</t>
  </si>
  <si>
    <t>주식회사 서울전설</t>
  </si>
  <si>
    <t>114-81-37654</t>
  </si>
  <si>
    <t>(주)미동이엔씨</t>
  </si>
  <si>
    <t>107-86-93987</t>
  </si>
  <si>
    <t>(주)피앤케이파워시스</t>
  </si>
  <si>
    <t>508-81-26648</t>
  </si>
  <si>
    <t>주식회사 보명전설</t>
  </si>
  <si>
    <t>803-86-00460</t>
  </si>
  <si>
    <t>주식회사 파르이앤씨</t>
  </si>
  <si>
    <t>211-81-66538</t>
  </si>
  <si>
    <t>일진종합전설 주식회사</t>
  </si>
  <si>
    <t>210-81-56599</t>
  </si>
  <si>
    <t>미래이앤시 주식회사</t>
  </si>
  <si>
    <t>502-81-52473</t>
  </si>
  <si>
    <t>주식회사 대유기전공사</t>
  </si>
  <si>
    <t>603-81-13185</t>
  </si>
  <si>
    <t>남광전기(주)</t>
  </si>
  <si>
    <t>410-81-74561</t>
  </si>
  <si>
    <t>주식회사 대광건영</t>
  </si>
  <si>
    <t>417-81-12310</t>
  </si>
  <si>
    <t>한일기전(주)</t>
  </si>
  <si>
    <t>220-81-06252</t>
  </si>
  <si>
    <t>주식회사 중선아이티씨</t>
  </si>
  <si>
    <t>215-81-52619</t>
  </si>
  <si>
    <t>한국전기안전써비스(주)</t>
  </si>
  <si>
    <t>207-81-31175</t>
  </si>
  <si>
    <t>(주)경우이앤씨</t>
  </si>
  <si>
    <t>116-81-19273</t>
  </si>
  <si>
    <t>엘에스일렉트릭 주식회사</t>
  </si>
  <si>
    <t>107-81-63023</t>
  </si>
  <si>
    <t>영전엔지니어링 주식회사</t>
  </si>
  <si>
    <t>119-81-18405</t>
  </si>
  <si>
    <t>우광기전(주)</t>
  </si>
  <si>
    <t>114-81-04605</t>
  </si>
  <si>
    <t>한신공영(주)</t>
  </si>
  <si>
    <t>408-81-59927</t>
  </si>
  <si>
    <t>(주)신호엔지니어링</t>
  </si>
  <si>
    <t>127-81-22443</t>
  </si>
  <si>
    <t>주식회사 정우이엔씨</t>
  </si>
  <si>
    <t>131-86-09819</t>
  </si>
  <si>
    <t>주식회사 부영에너텍</t>
  </si>
  <si>
    <t>124-81-50692</t>
  </si>
  <si>
    <t>주식회사 탑엔지니어링</t>
  </si>
  <si>
    <t>113-86-11108</t>
  </si>
  <si>
    <t>(주)도원디에스</t>
  </si>
  <si>
    <t>483-88-00125</t>
  </si>
  <si>
    <t>윤일이앤씨(주)</t>
  </si>
  <si>
    <t>121-81-50335</t>
  </si>
  <si>
    <t>유진전설(주)</t>
  </si>
  <si>
    <t>793-87-00520</t>
  </si>
  <si>
    <t>주식회사 솔라테크</t>
  </si>
  <si>
    <t>132-81-42679</t>
  </si>
  <si>
    <t>케이에프이 주식회사</t>
  </si>
  <si>
    <t>201-81-45685</t>
  </si>
  <si>
    <t>동부건설 주식회사</t>
  </si>
  <si>
    <t>312-86-36443</t>
  </si>
  <si>
    <t>건우이앤지(주)</t>
  </si>
  <si>
    <t>102-81-34561</t>
  </si>
  <si>
    <t>디엘건설 주식회사</t>
  </si>
  <si>
    <t>503-81-30851</t>
  </si>
  <si>
    <t>오무전력 합자회사</t>
  </si>
  <si>
    <t>513-81-24583</t>
  </si>
  <si>
    <t>한보전설주식회사</t>
  </si>
  <si>
    <t>502-81-16195</t>
  </si>
  <si>
    <t>(주)서한</t>
  </si>
  <si>
    <t>306-81-14852</t>
  </si>
  <si>
    <t>株式會社 錦城白鳥住宅</t>
  </si>
  <si>
    <t>314-81-95477</t>
  </si>
  <si>
    <t>대원일렉트릭 주식회사</t>
  </si>
  <si>
    <t>305-88-00470</t>
  </si>
  <si>
    <t>주식회사 피엘엠</t>
  </si>
  <si>
    <t>104-81-58180</t>
  </si>
  <si>
    <t>주식회사 대우건설</t>
  </si>
  <si>
    <t>301-81-63590</t>
  </si>
  <si>
    <t>태웅이엔에스 주식회사</t>
  </si>
  <si>
    <t>409-86-11519</t>
  </si>
  <si>
    <t>(주)디원</t>
  </si>
  <si>
    <t>607-81-79758</t>
  </si>
  <si>
    <t>주식회사 대덕전력</t>
  </si>
  <si>
    <t>111-81-28082</t>
  </si>
  <si>
    <t>(주)디투엔지니어링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</si>
</sst>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76" formatCode="#,##0_);[Red]\(#,##0\)"/>
    <numFmt numFmtId="177" formatCode="#,##0_ "/>
    <numFmt numFmtId="178" formatCode="#,##0_ ;[Red]\-#,##0\ "/>
    <numFmt numFmtId="179" formatCode="###\-##\-#####"/>
    <numFmt numFmtId="180" formatCode="#,##0.00000_);[Red]\(#,##0.00000\)"/>
    <numFmt numFmtId="181" formatCode="0.00000_ ;[Red]\-0.00000\ "/>
    <numFmt numFmtId="182" formatCode="0.0000%"/>
    <numFmt numFmtId="183" formatCode="#,##0.00000_ ;[Red]\-#,##0.00000\ 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color indexed="8"/>
      <name val="Arial"/>
      <family val="2"/>
    </font>
    <font>
      <sz val="9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0"/>
      <color rgb="FF333333"/>
      <name val="Verdana"/>
      <family val="2"/>
    </font>
    <font>
      <sz val="11"/>
      <color theme="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52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</cellStyleXfs>
  <cellXfs count="59">
    <xf numFmtId="0" fontId="0" fillId="0" borderId="0" xfId="0">
      <alignment vertical="center"/>
    </xf>
    <xf numFmtId="0" fontId="10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10" fillId="0" borderId="1" xfId="0" applyFont="1" applyBorder="1">
      <alignment vertical="center"/>
    </xf>
    <xf numFmtId="177" fontId="10" fillId="0" borderId="1" xfId="1" applyNumberFormat="1" applyFont="1" applyBorder="1">
      <alignment vertical="center"/>
    </xf>
    <xf numFmtId="0" fontId="11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9" fontId="10" fillId="0" borderId="0" xfId="0" applyNumberFormat="1" applyFont="1">
      <alignment vertical="center"/>
    </xf>
    <xf numFmtId="0" fontId="13" fillId="0" borderId="0" xfId="0" applyFont="1">
      <alignment vertical="center"/>
    </xf>
    <xf numFmtId="9" fontId="13" fillId="0" borderId="0" xfId="0" applyNumberFormat="1" applyFont="1">
      <alignment vertical="center"/>
    </xf>
    <xf numFmtId="0" fontId="14" fillId="0" borderId="0" xfId="0" applyFont="1">
      <alignment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9" fontId="11" fillId="2" borderId="6" xfId="0" applyNumberFormat="1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1" fillId="2" borderId="8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178" fontId="10" fillId="0" borderId="7" xfId="0" applyNumberFormat="1" applyFont="1" applyBorder="1">
      <alignment vertical="center"/>
    </xf>
    <xf numFmtId="0" fontId="10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181" fontId="10" fillId="0" borderId="1" xfId="0" applyNumberFormat="1" applyFont="1" applyBorder="1" applyAlignment="1">
      <alignment horizontal="right" vertical="center"/>
    </xf>
    <xf numFmtId="182" fontId="10" fillId="0" borderId="1" xfId="0" applyNumberFormat="1" applyFont="1" applyBorder="1" applyAlignment="1">
      <alignment horizontal="right" vertical="center"/>
    </xf>
    <xf numFmtId="178" fontId="10" fillId="0" borderId="1" xfId="0" applyNumberFormat="1" applyFont="1" applyBorder="1">
      <alignment vertical="center"/>
    </xf>
    <xf numFmtId="0" fontId="10" fillId="0" borderId="1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76" fontId="10" fillId="0" borderId="12" xfId="0" applyNumberFormat="1" applyFont="1" applyBorder="1">
      <alignment vertical="center"/>
    </xf>
    <xf numFmtId="176" fontId="10" fillId="0" borderId="13" xfId="0" applyNumberFormat="1" applyFont="1" applyBorder="1">
      <alignment vertical="center"/>
    </xf>
    <xf numFmtId="177" fontId="10" fillId="0" borderId="1" xfId="0" applyNumberFormat="1" applyFont="1" applyBorder="1">
      <alignment vertical="center"/>
    </xf>
    <xf numFmtId="0" fontId="10" fillId="0" borderId="8" xfId="0" applyFont="1" applyBorder="1" applyAlignment="1">
      <alignment horizontal="center" vertical="center" shrinkToFit="1"/>
    </xf>
    <xf numFmtId="0" fontId="15" fillId="0" borderId="0" xfId="0" applyFont="1">
      <alignment vertical="center"/>
    </xf>
    <xf numFmtId="182" fontId="10" fillId="0" borderId="7" xfId="0" applyNumberFormat="1" applyFont="1" applyBorder="1" applyAlignment="1">
      <alignment horizontal="right" vertical="center"/>
    </xf>
    <xf numFmtId="183" fontId="10" fillId="0" borderId="7" xfId="0" applyNumberFormat="1" applyFont="1" applyBorder="1" applyAlignment="1">
      <alignment horizontal="right" vertical="center"/>
    </xf>
    <xf numFmtId="176" fontId="10" fillId="0" borderId="2" xfId="0" applyNumberFormat="1" applyFont="1" applyBorder="1" applyAlignment="1">
      <alignment horizontal="right" vertical="center"/>
    </xf>
    <xf numFmtId="176" fontId="10" fillId="0" borderId="3" xfId="0" applyNumberFormat="1" applyFont="1" applyBorder="1" applyAlignment="1">
      <alignment horizontal="right" vertical="center"/>
    </xf>
    <xf numFmtId="176" fontId="10" fillId="0" borderId="14" xfId="0" applyNumberFormat="1" applyFont="1" applyBorder="1" applyAlignment="1">
      <alignment horizontal="right" vertical="center"/>
    </xf>
    <xf numFmtId="176" fontId="10" fillId="0" borderId="16" xfId="0" applyNumberFormat="1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18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17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76" fontId="10" fillId="4" borderId="2" xfId="0" applyNumberFormat="1" applyFont="1" applyFill="1" applyBorder="1" applyAlignment="1">
      <alignment horizontal="right" vertical="center"/>
    </xf>
    <xf numFmtId="176" fontId="10" fillId="4" borderId="3" xfId="0" applyNumberFormat="1" applyFont="1" applyFill="1" applyBorder="1" applyAlignment="1">
      <alignment horizontal="right" vertical="center"/>
    </xf>
    <xf numFmtId="180" fontId="10" fillId="0" borderId="2" xfId="0" applyNumberFormat="1" applyFont="1" applyBorder="1" applyAlignment="1">
      <alignment horizontal="right" vertical="center"/>
    </xf>
    <xf numFmtId="180" fontId="10" fillId="0" borderId="17" xfId="0" applyNumberFormat="1" applyFont="1" applyBorder="1" applyAlignment="1">
      <alignment horizontal="right" vertical="center"/>
    </xf>
  </cellXfs>
  <cellStyles count="13">
    <cellStyle name="?" xfId="3" xr:uid="{00000000-0005-0000-0000-000000000000}"/>
    <cellStyle name="㼿" xfId="4" xr:uid="{00000000-0005-0000-0000-000001000000}"/>
    <cellStyle name="㼿?" xfId="5" xr:uid="{00000000-0005-0000-0000-000002000000}"/>
    <cellStyle name="㼿㼿" xfId="6" xr:uid="{00000000-0005-0000-0000-000003000000}"/>
    <cellStyle name="㼿㼿?" xfId="7" xr:uid="{00000000-0005-0000-0000-000004000000}"/>
    <cellStyle name="㼿㼿㼿" xfId="8" xr:uid="{00000000-0005-0000-0000-000005000000}"/>
    <cellStyle name="㼿㼿㼿㼿㼿" xfId="9" xr:uid="{00000000-0005-0000-0000-000006000000}"/>
    <cellStyle name="쉼표 [0]" xfId="1" builtinId="6"/>
    <cellStyle name="쉼표 [0] 2" xfId="2" xr:uid="{00000000-0005-0000-0000-000008000000}"/>
    <cellStyle name="표준" xfId="0" builtinId="0"/>
    <cellStyle name="표준 2" xfId="10" xr:uid="{00000000-0005-0000-0000-00000A000000}"/>
    <cellStyle name="표준 2 2" xfId="11" xr:uid="{00000000-0005-0000-0000-00000B000000}"/>
    <cellStyle name="표준 3" xfId="12" xr:uid="{00000000-0005-0000-0000-00000C000000}"/>
  </cellStyles>
  <dxfs count="2"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Relationship Id="rId5" Target="calcChain.xml" Type="http://schemas.openxmlformats.org/officeDocument/2006/relationships/calcChain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2013"/>
  <sheetViews>
    <sheetView showGridLines="0" tabSelected="1" zoomScaleNormal="100" zoomScaleSheetLayoutView="100" workbookViewId="0">
      <pane ySplit="13" topLeftCell="A1997" activePane="bottomLeft" state="frozen"/>
      <selection pane="bottomLeft" activeCell="B1513" sqref="B1513:P2013"/>
    </sheetView>
  </sheetViews>
  <sheetFormatPr defaultRowHeight="16.5" x14ac:dyDescent="0.3"/>
  <cols>
    <col min="1" max="1" customWidth="true" style="9" width="2.5" collapsed="true"/>
    <col min="2" max="2" customWidth="true" style="1" width="9.375" collapsed="true"/>
    <col min="3" max="3" customWidth="true" style="8" width="13.0" collapsed="true"/>
    <col min="4" max="4" customWidth="true" style="1" width="25.625" collapsed="true"/>
    <col min="5" max="5" customWidth="true" style="1" width="15.25" collapsed="true"/>
    <col min="6" max="9" customWidth="true" style="1" width="8.25" collapsed="true"/>
    <col min="10" max="10" customWidth="true" style="1" width="7.25" collapsed="true"/>
    <col min="11" max="11" customWidth="true" style="1" width="12.25" collapsed="true"/>
    <col min="12" max="12" customWidth="true" style="1" width="11.75" collapsed="true"/>
    <col min="13" max="13" bestFit="true" customWidth="true" style="1" width="13.125" collapsed="true"/>
    <col min="14" max="14" customWidth="true" style="9" width="2.125" collapsed="true"/>
    <col min="15" max="16384" style="9" width="9.0" collapsed="true"/>
  </cols>
  <sheetData>
    <row r="1" spans="2:16" ht="25.5" customHeight="1" x14ac:dyDescent="0.3">
      <c r="B1" s="43" t="s">
        <v>17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</row>
    <row r="2" spans="2:16" x14ac:dyDescent="0.3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2:16" x14ac:dyDescent="0.3">
      <c r="B3" s="17" t="s">
        <v>49</v>
      </c>
      <c r="C3" s="3"/>
      <c r="D3" s="2"/>
      <c r="I3" s="3"/>
      <c r="K3" s="30" t="s">
        <v>50</v>
      </c>
      <c r="L3" s="2"/>
      <c r="M3" s="2"/>
      <c r="N3" s="2"/>
    </row>
    <row r="4" spans="2:16" ht="17.25" thickBot="1" x14ac:dyDescent="0.35"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10"/>
    </row>
    <row r="5" spans="2:16" ht="17.25" customHeight="1" x14ac:dyDescent="0.3">
      <c r="B5" s="12" t="s">
        <v>0</v>
      </c>
      <c r="C5" s="35" t="s">
        <v>51</v>
      </c>
      <c r="D5" s="13" t="s">
        <v>1</v>
      </c>
      <c r="E5" s="25" t="s">
        <v>52</v>
      </c>
      <c r="F5" s="44" t="s">
        <v>2</v>
      </c>
      <c r="G5" s="45"/>
      <c r="H5" s="45"/>
      <c r="I5" s="46"/>
      <c r="J5" s="53" t="s">
        <v>53</v>
      </c>
      <c r="K5" s="53"/>
      <c r="L5" s="53"/>
      <c r="M5" s="54"/>
    </row>
    <row r="6" spans="2:16" ht="17.25" customHeight="1" x14ac:dyDescent="0.3">
      <c r="B6" s="14" t="s">
        <v>25</v>
      </c>
      <c r="C6" s="7" t="n">
        <f>COUNT(E14:E1000)</f>
        <v>267.0</v>
      </c>
      <c r="D6" s="6" t="s">
        <v>3</v>
      </c>
      <c r="E6" s="5" t="n">
        <v>1.1166203E10</v>
      </c>
      <c r="F6" s="47" t="s">
        <v>5</v>
      </c>
      <c r="G6" s="48"/>
      <c r="H6" s="48"/>
      <c r="I6" s="49"/>
      <c r="J6" s="55" t="n">
        <v>9.192256377E9</v>
      </c>
      <c r="K6" s="56"/>
      <c r="L6" s="24" t="s">
        <v>12</v>
      </c>
      <c r="M6" s="37" t="n">
        <f>J6/$E$6</f>
        <v>0.8232213203539287</v>
      </c>
      <c r="P6" s="11"/>
    </row>
    <row r="7" spans="2:16" ht="17.25" customHeight="1" x14ac:dyDescent="0.3">
      <c r="B7" s="15" t="n">
        <v>0.2</v>
      </c>
      <c r="C7" s="31" t="n">
        <f>TRUNC($C$6*B7)</f>
        <v>53.0</v>
      </c>
      <c r="D7" s="6" t="s">
        <v>4</v>
      </c>
      <c r="E7" s="5" t="n">
        <v>1.1142734E10</v>
      </c>
      <c r="F7" s="47" t="s">
        <v>21</v>
      </c>
      <c r="G7" s="48"/>
      <c r="H7" s="48"/>
      <c r="I7" s="49"/>
      <c r="J7" s="57" t="n">
        <f>$D$10*(100+$M$7)%*$C$10/(1-E10*C10)*100</f>
        <v>87.91958131578946</v>
      </c>
      <c r="K7" s="58"/>
      <c r="L7" s="24" t="s">
        <v>22</v>
      </c>
      <c r="M7" s="38" t="n">
        <v>1.24073</v>
      </c>
    </row>
    <row r="8" spans="2:16" ht="17.25" customHeight="1" x14ac:dyDescent="0.3">
      <c r="B8" s="15" t="n">
        <v>0.2</v>
      </c>
      <c r="C8" s="31" t="n">
        <f>C6-TRUNC(C6*B8)+1</f>
        <v>215.0</v>
      </c>
      <c r="D8" s="6" t="s">
        <v>18</v>
      </c>
      <c r="E8" s="27" t="n">
        <f>E7/E6-1</f>
        <v>-0.0021017887638259403</v>
      </c>
      <c r="F8" s="47" t="s">
        <v>19</v>
      </c>
      <c r="G8" s="48"/>
      <c r="H8" s="48"/>
      <c r="I8" s="49"/>
      <c r="J8" s="39" t="n">
        <f>ROUNDUP(J6 - SQRT((1 - POWER((C9 - 0.0005)/C9, 2))/E9) * (E7 - J6), 0)</f>
        <v>9.174451071E9</v>
      </c>
      <c r="K8" s="40"/>
      <c r="L8" s="24" t="s">
        <v>12</v>
      </c>
      <c r="M8" s="37" t="n">
        <f t="shared" ref="M8:M9" si="0">J8/$E$6</f>
        <v>0.8216267491285981</v>
      </c>
    </row>
    <row r="9" spans="2:16" ht="17.25" customHeight="1" x14ac:dyDescent="0.3">
      <c r="B9" s="14" t="s">
        <v>14</v>
      </c>
      <c r="C9" s="7" t="n">
        <v>60.0</v>
      </c>
      <c r="D9" s="6" t="s">
        <v>15</v>
      </c>
      <c r="E9" s="26" t="n">
        <v>0.2</v>
      </c>
      <c r="F9" s="47" t="s">
        <v>20</v>
      </c>
      <c r="G9" s="48"/>
      <c r="H9" s="48"/>
      <c r="I9" s="49"/>
      <c r="J9" s="39" t="n">
        <f>ROUNDDOWN(J6 + SQRT((1 - POWER((C9 - 0.0005)/C9, 2))/E9) * (E7 - J6), 0)</f>
        <v>9.210061683E9</v>
      </c>
      <c r="K9" s="40"/>
      <c r="L9" s="24" t="s">
        <v>12</v>
      </c>
      <c r="M9" s="37" t="n">
        <f t="shared" si="0"/>
        <v>0.8248158915792593</v>
      </c>
      <c r="N9" s="36" t="n">
        <v>0.2</v>
      </c>
    </row>
    <row r="10" spans="2:16" ht="17.25" customHeight="1" thickBot="1" x14ac:dyDescent="0.35">
      <c r="B10" s="16" t="s">
        <v>26</v>
      </c>
      <c r="C10" s="22" t="n">
        <v>0.88</v>
      </c>
      <c r="D10" s="29" t="n">
        <v>0.9</v>
      </c>
      <c r="E10" s="23" t="n">
        <f>1-D10</f>
        <v>0.09999999999999998</v>
      </c>
      <c r="F10" s="50" t="s">
        <v>13</v>
      </c>
      <c r="G10" s="51"/>
      <c r="H10" s="51"/>
      <c r="I10" s="52"/>
      <c r="J10" s="41" t="n">
        <v>9.095163121E9</v>
      </c>
      <c r="K10" s="42"/>
      <c r="L10" s="32"/>
      <c r="M10" s="33"/>
    </row>
    <row r="11" spans="2:16" ht="6.75" customHeight="1" x14ac:dyDescent="0.3">
      <c r="C11" s="1"/>
    </row>
    <row r="12" spans="2:16" ht="3.75" customHeight="1" thickBot="1" x14ac:dyDescent="0.35">
      <c r="C12" s="1"/>
    </row>
    <row r="13" spans="2:16" ht="27" customHeight="1" x14ac:dyDescent="0.3">
      <c r="B13" s="12" t="s">
        <v>6</v>
      </c>
      <c r="C13" s="13" t="s">
        <v>7</v>
      </c>
      <c r="D13" s="13" t="s">
        <v>8</v>
      </c>
      <c r="E13" s="13" t="s">
        <v>9</v>
      </c>
      <c r="F13" s="13" t="s">
        <v>10</v>
      </c>
      <c r="G13" s="18" t="s">
        <v>23</v>
      </c>
      <c r="H13" s="18" t="s">
        <v>24</v>
      </c>
      <c r="I13" s="13" t="s">
        <v>11</v>
      </c>
      <c r="J13" s="18" t="s">
        <v>43</v>
      </c>
      <c r="K13" s="18" t="s">
        <v>47</v>
      </c>
      <c r="L13" s="18" t="s">
        <v>48</v>
      </c>
      <c r="M13" s="19" t="s">
        <v>16</v>
      </c>
    </row>
    <row r="14" spans="2:16" ht="17.25" customHeight="1" x14ac:dyDescent="0.3">
      <c r="B14" s="20" t="n">
        <v>1.0</v>
      </c>
      <c r="C14" s="7" t="s">
        <v>54</v>
      </c>
      <c r="D14" s="4" t="s">
        <v>55</v>
      </c>
      <c r="E14" s="34" t="n">
        <v>9.014885561E9</v>
      </c>
      <c r="F14" s="4" t="n">
        <f>ROUND((E14/$E$7)*100,4)</f>
        <v>80.9037</v>
      </c>
      <c r="G14" s="4" t="n">
        <f>ROUND((E14/$E$6)*100,4)</f>
        <v>80.7337</v>
      </c>
      <c r="H14" s="4" t="n">
        <f>ROUND((E14/$J$6)*100,4)</f>
        <v>98.0704</v>
      </c>
      <c r="I14" s="4" t="n">
        <f>IFERROR(ROUND(SQRT(1 - IF(E14&lt;=$J$6, $E$9, $N$9) * POWER((E14-$J$6)/($E$7-$J$6),2)) *$C$9,3), 0)</f>
        <v>59.95</v>
      </c>
      <c r="J14" s="4" t="str">
        <f>IF(M14&lt;0,"감점","")</f>
        <v>감점</v>
      </c>
      <c r="K14" s="4" t="n">
        <v>98.70455</v>
      </c>
      <c r="L14" s="4" t="n">
        <v>98.58509</v>
      </c>
      <c r="M14" s="21" t="n">
        <f>E14-$J$10</f>
        <v>-8.027756E7</v>
      </c>
      <c r="O14" s="9" t="s">
        <v>56</v>
      </c>
    </row>
    <row r="15" spans="2:16" ht="17.25" customHeight="1" x14ac:dyDescent="0.3">
      <c r="B15" s="20" t="n">
        <v>2.0</v>
      </c>
      <c r="C15" s="7" t="s">
        <v>57</v>
      </c>
      <c r="D15" s="4" t="s">
        <v>58</v>
      </c>
      <c r="E15" s="34" t="n">
        <v>9.129254454E9</v>
      </c>
      <c r="F15" s="4" t="n">
        <f t="shared" ref="F15:F78" si="1">ROUND((E15/$E$7)*100,4)</f>
        <v>81.9301</v>
      </c>
      <c r="G15" s="4" t="n">
        <f t="shared" ref="G15:G78" si="2">ROUND((E15/$E$6)*100,4)</f>
        <v>81.7579</v>
      </c>
      <c r="H15" s="4" t="n">
        <f t="shared" ref="H15:H78" si="3">ROUND((E15/$J$6)*100,4)</f>
        <v>99.3146</v>
      </c>
      <c r="I15" s="4" t="n">
        <f t="shared" ref="I15:I78" si="4">IFERROR(ROUND(SQRT(1 - IF(E15&lt;=$J$6, $E$9, $N$9) * POWER((E15-$J$6)/($E$7-$J$6),2)) *$C$9,3), 0)</f>
        <v>59.994</v>
      </c>
      <c r="J15" s="4" t="str">
        <f t="shared" ref="J15:J78" si="5">IF(M15&lt;0,"감점","")</f>
        <v/>
      </c>
      <c r="K15" s="4" t="n">
        <v>100.41898</v>
      </c>
      <c r="L15" s="4" t="n">
        <v>100.29917</v>
      </c>
      <c r="M15" s="21" t="n">
        <f t="shared" ref="M15:M78" si="6">E15-$J$10</f>
        <v>3.4091333E7</v>
      </c>
      <c r="O15" s="9" t="s">
        <v>56</v>
      </c>
    </row>
    <row r="16" spans="2:16" ht="17.25" customHeight="1" x14ac:dyDescent="0.3">
      <c r="B16" s="20" t="n">
        <v>3.0</v>
      </c>
      <c r="C16" s="7" t="s">
        <v>59</v>
      </c>
      <c r="D16" s="4" t="s">
        <v>60</v>
      </c>
      <c r="E16" s="34" t="n">
        <v>9.129256258E9</v>
      </c>
      <c r="F16" s="4" t="n">
        <f t="shared" si="1"/>
        <v>81.9301</v>
      </c>
      <c r="G16" s="4" t="n">
        <f t="shared" si="2"/>
        <v>81.7579</v>
      </c>
      <c r="H16" s="4" t="n">
        <f t="shared" si="3"/>
        <v>99.3146</v>
      </c>
      <c r="I16" s="4" t="n">
        <f t="shared" si="4"/>
        <v>59.994</v>
      </c>
      <c r="J16" s="4" t="str">
        <f t="shared" si="5"/>
        <v/>
      </c>
      <c r="K16" s="4" t="n">
        <v>100.41901</v>
      </c>
      <c r="L16" s="4" t="n">
        <v>100.29923</v>
      </c>
      <c r="M16" s="21" t="n">
        <f t="shared" si="6"/>
        <v>3.4093137E7</v>
      </c>
      <c r="O16" s="9" t="s">
        <v>56</v>
      </c>
    </row>
    <row r="17" spans="2:15" ht="17.25" customHeight="1" x14ac:dyDescent="0.3">
      <c r="B17" s="20" t="n">
        <v>4.0</v>
      </c>
      <c r="C17" s="7" t="s">
        <v>61</v>
      </c>
      <c r="D17" s="4" t="s">
        <v>62</v>
      </c>
      <c r="E17" s="34" t="n">
        <v>9.192256109E9</v>
      </c>
      <c r="F17" s="4" t="n">
        <f t="shared" si="1"/>
        <v>82.4955</v>
      </c>
      <c r="G17" s="4" t="n">
        <f t="shared" si="2"/>
        <v>82.3221</v>
      </c>
      <c r="H17" s="4" t="n">
        <f t="shared" si="3"/>
        <v>100.0</v>
      </c>
      <c r="I17" s="4" t="n">
        <f t="shared" si="4"/>
        <v>60.0</v>
      </c>
      <c r="J17" s="4" t="str">
        <f t="shared" si="5"/>
        <v/>
      </c>
      <c r="K17" s="4" t="n">
        <v>101.3627</v>
      </c>
      <c r="L17" s="4" t="n">
        <v>101.24295</v>
      </c>
      <c r="M17" s="21" t="n">
        <f t="shared" si="6"/>
        <v>9.7092988E7</v>
      </c>
      <c r="O17" s="9" t="s">
        <v>56</v>
      </c>
    </row>
    <row r="18" spans="2:15" ht="17.25" customHeight="1" x14ac:dyDescent="0.3">
      <c r="B18" s="20" t="n">
        <v>5.0</v>
      </c>
      <c r="C18" s="7" t="s">
        <v>63</v>
      </c>
      <c r="D18" s="4" t="s">
        <v>64</v>
      </c>
      <c r="E18" s="34" t="n">
        <v>9.192256111E9</v>
      </c>
      <c r="F18" s="4" t="n">
        <f t="shared" si="1"/>
        <v>82.4955</v>
      </c>
      <c r="G18" s="4" t="n">
        <f t="shared" si="2"/>
        <v>82.3221</v>
      </c>
      <c r="H18" s="4" t="n">
        <f t="shared" si="3"/>
        <v>100.0</v>
      </c>
      <c r="I18" s="4" t="n">
        <f t="shared" si="4"/>
        <v>60.0</v>
      </c>
      <c r="J18" s="4" t="str">
        <f t="shared" si="5"/>
        <v/>
      </c>
      <c r="K18" s="4" t="n">
        <v>101.3627</v>
      </c>
      <c r="L18" s="4" t="n">
        <v>101.24295</v>
      </c>
      <c r="M18" s="21" t="n">
        <f t="shared" si="6"/>
        <v>9.709299E7</v>
      </c>
      <c r="O18" s="9" t="s">
        <v>56</v>
      </c>
    </row>
    <row r="19" spans="2:15" ht="17.25" customHeight="1" x14ac:dyDescent="0.3">
      <c r="B19" s="20" t="n">
        <v>6.0</v>
      </c>
      <c r="C19" s="7" t="s">
        <v>65</v>
      </c>
      <c r="D19" s="4" t="s">
        <v>66</v>
      </c>
      <c r="E19" s="34" t="n">
        <v>9.192256113E9</v>
      </c>
      <c r="F19" s="4" t="n">
        <f t="shared" si="1"/>
        <v>82.4955</v>
      </c>
      <c r="G19" s="4" t="n">
        <f t="shared" si="2"/>
        <v>82.3221</v>
      </c>
      <c r="H19" s="4" t="n">
        <f t="shared" si="3"/>
        <v>100.0</v>
      </c>
      <c r="I19" s="4" t="n">
        <f t="shared" si="4"/>
        <v>60.0</v>
      </c>
      <c r="J19" s="4" t="str">
        <f t="shared" si="5"/>
        <v/>
      </c>
      <c r="K19" s="4" t="n">
        <v>101.3627</v>
      </c>
      <c r="L19" s="4" t="n">
        <v>101.24295</v>
      </c>
      <c r="M19" s="21" t="n">
        <f t="shared" si="6"/>
        <v>9.7092992E7</v>
      </c>
      <c r="O19" s="9" t="s">
        <v>56</v>
      </c>
    </row>
    <row r="20" spans="2:15" ht="17.25" customHeight="1" x14ac:dyDescent="0.3">
      <c r="B20" s="20" t="n">
        <v>7.0</v>
      </c>
      <c r="C20" s="7" t="s">
        <v>67</v>
      </c>
      <c r="D20" s="4" t="s">
        <v>68</v>
      </c>
      <c r="E20" s="34" t="n">
        <v>9.192256115E9</v>
      </c>
      <c r="F20" s="4" t="n">
        <f t="shared" si="1"/>
        <v>82.4955</v>
      </c>
      <c r="G20" s="4" t="n">
        <f t="shared" si="2"/>
        <v>82.3221</v>
      </c>
      <c r="H20" s="4" t="n">
        <f t="shared" si="3"/>
        <v>100.0</v>
      </c>
      <c r="I20" s="4" t="n">
        <f t="shared" si="4"/>
        <v>60.0</v>
      </c>
      <c r="J20" s="4" t="str">
        <f t="shared" si="5"/>
        <v/>
      </c>
      <c r="K20" s="4" t="n">
        <v>101.3627</v>
      </c>
      <c r="L20" s="4" t="n">
        <v>101.24295</v>
      </c>
      <c r="M20" s="21" t="n">
        <f t="shared" si="6"/>
        <v>9.7092994E7</v>
      </c>
      <c r="O20" s="9" t="s">
        <v>56</v>
      </c>
    </row>
    <row r="21" spans="2:15" ht="17.25" customHeight="1" x14ac:dyDescent="0.3">
      <c r="B21" s="20" t="n">
        <v>8.0</v>
      </c>
      <c r="C21" s="7" t="s">
        <v>69</v>
      </c>
      <c r="D21" s="4" t="s">
        <v>70</v>
      </c>
      <c r="E21" s="34" t="n">
        <v>9.192256115E9</v>
      </c>
      <c r="F21" s="4" t="n">
        <f t="shared" si="1"/>
        <v>82.4955</v>
      </c>
      <c r="G21" s="4" t="n">
        <f t="shared" si="2"/>
        <v>82.3221</v>
      </c>
      <c r="H21" s="4" t="n">
        <f t="shared" si="3"/>
        <v>100.0</v>
      </c>
      <c r="I21" s="4" t="n">
        <f t="shared" si="4"/>
        <v>60.0</v>
      </c>
      <c r="J21" s="4" t="str">
        <f t="shared" si="5"/>
        <v/>
      </c>
      <c r="K21" s="4" t="n">
        <v>101.3627</v>
      </c>
      <c r="L21" s="4" t="n">
        <v>101.24295</v>
      </c>
      <c r="M21" s="21" t="n">
        <f t="shared" si="6"/>
        <v>9.7092994E7</v>
      </c>
      <c r="O21" s="9" t="s">
        <v>56</v>
      </c>
    </row>
    <row r="22" spans="2:15" ht="17.25" customHeight="1" x14ac:dyDescent="0.3">
      <c r="B22" s="20" t="n">
        <v>9.0</v>
      </c>
      <c r="C22" s="7" t="s">
        <v>71</v>
      </c>
      <c r="D22" s="4" t="s">
        <v>72</v>
      </c>
      <c r="E22" s="34" t="n">
        <v>9.192256116E9</v>
      </c>
      <c r="F22" s="4" t="n">
        <f t="shared" si="1"/>
        <v>82.4955</v>
      </c>
      <c r="G22" s="4" t="n">
        <f t="shared" si="2"/>
        <v>82.3221</v>
      </c>
      <c r="H22" s="4" t="n">
        <f t="shared" si="3"/>
        <v>100.0</v>
      </c>
      <c r="I22" s="4" t="n">
        <f t="shared" si="4"/>
        <v>60.0</v>
      </c>
      <c r="J22" s="4" t="str">
        <f t="shared" si="5"/>
        <v/>
      </c>
      <c r="K22" s="4" t="n">
        <v>101.3627</v>
      </c>
      <c r="L22" s="4" t="n">
        <v>101.24295</v>
      </c>
      <c r="M22" s="21" t="n">
        <f t="shared" si="6"/>
        <v>9.7092995E7</v>
      </c>
      <c r="O22" s="9" t="s">
        <v>56</v>
      </c>
    </row>
    <row r="23" spans="2:15" ht="17.25" customHeight="1" x14ac:dyDescent="0.3">
      <c r="B23" s="20" t="n">
        <v>10.0</v>
      </c>
      <c r="C23" s="7" t="s">
        <v>73</v>
      </c>
      <c r="D23" s="4" t="s">
        <v>74</v>
      </c>
      <c r="E23" s="34" t="n">
        <v>9.192256116E9</v>
      </c>
      <c r="F23" s="4" t="n">
        <f t="shared" si="1"/>
        <v>82.4955</v>
      </c>
      <c r="G23" s="4" t="n">
        <f t="shared" si="2"/>
        <v>82.3221</v>
      </c>
      <c r="H23" s="4" t="n">
        <f t="shared" si="3"/>
        <v>100.0</v>
      </c>
      <c r="I23" s="4" t="n">
        <f t="shared" si="4"/>
        <v>60.0</v>
      </c>
      <c r="J23" s="4" t="str">
        <f t="shared" si="5"/>
        <v/>
      </c>
      <c r="K23" s="4" t="n">
        <v>101.3627</v>
      </c>
      <c r="L23" s="4" t="n">
        <v>101.24295</v>
      </c>
      <c r="M23" s="21" t="n">
        <f t="shared" si="6"/>
        <v>9.7092995E7</v>
      </c>
      <c r="O23" s="9" t="s">
        <v>56</v>
      </c>
    </row>
    <row r="24" spans="2:15" ht="17.25" customHeight="1" x14ac:dyDescent="0.3">
      <c r="B24" s="20" t="n">
        <v>11.0</v>
      </c>
      <c r="C24" s="7" t="s">
        <v>75</v>
      </c>
      <c r="D24" s="4" t="s">
        <v>76</v>
      </c>
      <c r="E24" s="34" t="n">
        <v>9.192256117E9</v>
      </c>
      <c r="F24" s="4" t="n">
        <f t="shared" si="1"/>
        <v>82.4955</v>
      </c>
      <c r="G24" s="4" t="n">
        <f t="shared" si="2"/>
        <v>82.3221</v>
      </c>
      <c r="H24" s="4" t="n">
        <f t="shared" si="3"/>
        <v>100.0</v>
      </c>
      <c r="I24" s="4" t="n">
        <f t="shared" si="4"/>
        <v>60.0</v>
      </c>
      <c r="J24" s="4" t="str">
        <f t="shared" si="5"/>
        <v/>
      </c>
      <c r="K24" s="4" t="n">
        <v>101.3627</v>
      </c>
      <c r="L24" s="4" t="n">
        <v>101.24295</v>
      </c>
      <c r="M24" s="21" t="n">
        <f t="shared" si="6"/>
        <v>9.7092996E7</v>
      </c>
      <c r="O24" s="9" t="s">
        <v>56</v>
      </c>
    </row>
    <row r="25" spans="2:15" ht="17.25" customHeight="1" x14ac:dyDescent="0.3">
      <c r="B25" s="20" t="n">
        <v>12.0</v>
      </c>
      <c r="C25" s="7" t="s">
        <v>77</v>
      </c>
      <c r="D25" s="4" t="s">
        <v>78</v>
      </c>
      <c r="E25" s="34" t="n">
        <v>9.192256119E9</v>
      </c>
      <c r="F25" s="4" t="n">
        <f t="shared" si="1"/>
        <v>82.4955</v>
      </c>
      <c r="G25" s="4" t="n">
        <f t="shared" si="2"/>
        <v>82.3221</v>
      </c>
      <c r="H25" s="4" t="n">
        <f t="shared" si="3"/>
        <v>100.0</v>
      </c>
      <c r="I25" s="4" t="n">
        <f t="shared" si="4"/>
        <v>60.0</v>
      </c>
      <c r="J25" s="4" t="str">
        <f t="shared" si="5"/>
        <v/>
      </c>
      <c r="K25" s="4" t="n">
        <v>101.3627</v>
      </c>
      <c r="L25" s="4" t="n">
        <v>101.24295</v>
      </c>
      <c r="M25" s="21" t="n">
        <f t="shared" si="6"/>
        <v>9.7092998E7</v>
      </c>
      <c r="O25" s="9" t="s">
        <v>56</v>
      </c>
    </row>
    <row r="26" spans="2:15" ht="17.25" customHeight="1" x14ac:dyDescent="0.3">
      <c r="B26" s="20" t="n">
        <v>13.0</v>
      </c>
      <c r="C26" s="7" t="s">
        <v>79</v>
      </c>
      <c r="D26" s="4" t="s">
        <v>80</v>
      </c>
      <c r="E26" s="34" t="n">
        <v>9.192256121E9</v>
      </c>
      <c r="F26" s="4" t="n">
        <f t="shared" si="1"/>
        <v>82.4955</v>
      </c>
      <c r="G26" s="4" t="n">
        <f t="shared" si="2"/>
        <v>82.3221</v>
      </c>
      <c r="H26" s="4" t="n">
        <f t="shared" si="3"/>
        <v>100.0</v>
      </c>
      <c r="I26" s="4" t="n">
        <f t="shared" si="4"/>
        <v>60.0</v>
      </c>
      <c r="J26" s="4" t="str">
        <f t="shared" si="5"/>
        <v/>
      </c>
      <c r="K26" s="4" t="n">
        <v>101.3627</v>
      </c>
      <c r="L26" s="4" t="n">
        <v>101.24295</v>
      </c>
      <c r="M26" s="21" t="n">
        <f t="shared" si="6"/>
        <v>9.7093E7</v>
      </c>
      <c r="O26" s="9" t="s">
        <v>56</v>
      </c>
    </row>
    <row r="27" spans="2:15" ht="17.25" customHeight="1" x14ac:dyDescent="0.3">
      <c r="B27" s="20" t="n">
        <v>14.0</v>
      </c>
      <c r="C27" s="7" t="s">
        <v>81</v>
      </c>
      <c r="D27" s="4" t="s">
        <v>82</v>
      </c>
      <c r="E27" s="34" t="n">
        <v>9.192256122E9</v>
      </c>
      <c r="F27" s="4" t="n">
        <f t="shared" si="1"/>
        <v>82.4955</v>
      </c>
      <c r="G27" s="4" t="n">
        <f t="shared" si="2"/>
        <v>82.3221</v>
      </c>
      <c r="H27" s="4" t="n">
        <f t="shared" si="3"/>
        <v>100.0</v>
      </c>
      <c r="I27" s="4" t="n">
        <f t="shared" si="4"/>
        <v>60.0</v>
      </c>
      <c r="J27" s="4" t="str">
        <f t="shared" si="5"/>
        <v/>
      </c>
      <c r="K27" s="4" t="n">
        <v>101.3627</v>
      </c>
      <c r="L27" s="4" t="n">
        <v>101.24295</v>
      </c>
      <c r="M27" s="21" t="n">
        <f t="shared" si="6"/>
        <v>9.7093001E7</v>
      </c>
      <c r="O27" s="9" t="s">
        <v>56</v>
      </c>
    </row>
    <row r="28" spans="2:15" ht="17.25" customHeight="1" x14ac:dyDescent="0.3">
      <c r="B28" s="20" t="n">
        <v>15.0</v>
      </c>
      <c r="C28" s="7" t="s">
        <v>83</v>
      </c>
      <c r="D28" s="4" t="s">
        <v>84</v>
      </c>
      <c r="E28" s="34" t="n">
        <v>9.192256123E9</v>
      </c>
      <c r="F28" s="4" t="n">
        <f t="shared" si="1"/>
        <v>82.4955</v>
      </c>
      <c r="G28" s="4" t="n">
        <f t="shared" si="2"/>
        <v>82.3221</v>
      </c>
      <c r="H28" s="4" t="n">
        <f t="shared" si="3"/>
        <v>100.0</v>
      </c>
      <c r="I28" s="4" t="n">
        <f t="shared" si="4"/>
        <v>60.0</v>
      </c>
      <c r="J28" s="4" t="str">
        <f t="shared" si="5"/>
        <v/>
      </c>
      <c r="K28" s="4" t="n">
        <v>101.3627</v>
      </c>
      <c r="L28" s="4" t="n">
        <v>101.24295</v>
      </c>
      <c r="M28" s="21" t="n">
        <f t="shared" si="6"/>
        <v>9.7093002E7</v>
      </c>
      <c r="O28" s="9" t="s">
        <v>56</v>
      </c>
    </row>
    <row r="29" spans="2:15" ht="17.25" customHeight="1" x14ac:dyDescent="0.3">
      <c r="B29" s="20" t="n">
        <v>16.0</v>
      </c>
      <c r="C29" s="7" t="s">
        <v>85</v>
      </c>
      <c r="D29" s="4" t="s">
        <v>86</v>
      </c>
      <c r="E29" s="34" t="n">
        <v>9.192256123E9</v>
      </c>
      <c r="F29" s="4" t="n">
        <f t="shared" si="1"/>
        <v>82.4955</v>
      </c>
      <c r="G29" s="4" t="n">
        <f t="shared" si="2"/>
        <v>82.3221</v>
      </c>
      <c r="H29" s="4" t="n">
        <f t="shared" si="3"/>
        <v>100.0</v>
      </c>
      <c r="I29" s="4" t="n">
        <f t="shared" si="4"/>
        <v>60.0</v>
      </c>
      <c r="J29" s="4" t="str">
        <f t="shared" si="5"/>
        <v/>
      </c>
      <c r="K29" s="4" t="n">
        <v>101.3627</v>
      </c>
      <c r="L29" s="4" t="n">
        <v>101.24295</v>
      </c>
      <c r="M29" s="21" t="n">
        <f t="shared" si="6"/>
        <v>9.7093002E7</v>
      </c>
      <c r="O29" s="9" t="s">
        <v>56</v>
      </c>
    </row>
    <row r="30" spans="2:15" ht="17.25" customHeight="1" x14ac:dyDescent="0.3">
      <c r="B30" s="20" t="n">
        <v>17.0</v>
      </c>
      <c r="C30" s="7" t="s">
        <v>87</v>
      </c>
      <c r="D30" s="4" t="s">
        <v>88</v>
      </c>
      <c r="E30" s="34" t="n">
        <v>9.192256124E9</v>
      </c>
      <c r="F30" s="4" t="n">
        <f t="shared" si="1"/>
        <v>82.4955</v>
      </c>
      <c r="G30" s="4" t="n">
        <f t="shared" si="2"/>
        <v>82.3221</v>
      </c>
      <c r="H30" s="4" t="n">
        <f t="shared" si="3"/>
        <v>100.0</v>
      </c>
      <c r="I30" s="4" t="n">
        <f t="shared" si="4"/>
        <v>60.0</v>
      </c>
      <c r="J30" s="4" t="str">
        <f t="shared" si="5"/>
        <v/>
      </c>
      <c r="K30" s="4" t="n">
        <v>101.3627</v>
      </c>
      <c r="L30" s="4" t="n">
        <v>101.24295</v>
      </c>
      <c r="M30" s="21" t="n">
        <f t="shared" si="6"/>
        <v>9.7093003E7</v>
      </c>
      <c r="O30" s="9" t="s">
        <v>56</v>
      </c>
    </row>
    <row r="31" spans="2:15" ht="17.25" customHeight="1" x14ac:dyDescent="0.3">
      <c r="B31" s="20" t="n">
        <v>18.0</v>
      </c>
      <c r="C31" s="7" t="s">
        <v>89</v>
      </c>
      <c r="D31" s="4" t="s">
        <v>90</v>
      </c>
      <c r="E31" s="34" t="n">
        <v>9.192256125E9</v>
      </c>
      <c r="F31" s="4" t="n">
        <f t="shared" si="1"/>
        <v>82.4955</v>
      </c>
      <c r="G31" s="4" t="n">
        <f t="shared" si="2"/>
        <v>82.3221</v>
      </c>
      <c r="H31" s="4" t="n">
        <f t="shared" si="3"/>
        <v>100.0</v>
      </c>
      <c r="I31" s="4" t="n">
        <f t="shared" si="4"/>
        <v>60.0</v>
      </c>
      <c r="J31" s="4" t="str">
        <f t="shared" si="5"/>
        <v/>
      </c>
      <c r="K31" s="4" t="n">
        <v>101.3627</v>
      </c>
      <c r="L31" s="4" t="n">
        <v>101.24295</v>
      </c>
      <c r="M31" s="21" t="n">
        <f t="shared" si="6"/>
        <v>9.7093004E7</v>
      </c>
      <c r="O31" s="9" t="s">
        <v>56</v>
      </c>
    </row>
    <row r="32" spans="2:15" ht="17.25" customHeight="1" x14ac:dyDescent="0.3">
      <c r="B32" s="20" t="n">
        <v>19.0</v>
      </c>
      <c r="C32" s="7" t="s">
        <v>91</v>
      </c>
      <c r="D32" s="4" t="s">
        <v>92</v>
      </c>
      <c r="E32" s="34" t="n">
        <v>9.192256126E9</v>
      </c>
      <c r="F32" s="4" t="n">
        <f t="shared" si="1"/>
        <v>82.4955</v>
      </c>
      <c r="G32" s="4" t="n">
        <f t="shared" si="2"/>
        <v>82.3221</v>
      </c>
      <c r="H32" s="4" t="n">
        <f t="shared" si="3"/>
        <v>100.0</v>
      </c>
      <c r="I32" s="4" t="n">
        <f t="shared" si="4"/>
        <v>60.0</v>
      </c>
      <c r="J32" s="4" t="str">
        <f t="shared" si="5"/>
        <v/>
      </c>
      <c r="K32" s="4" t="n">
        <v>101.3627</v>
      </c>
      <c r="L32" s="4" t="n">
        <v>101.24295</v>
      </c>
      <c r="M32" s="21" t="n">
        <f t="shared" si="6"/>
        <v>9.7093005E7</v>
      </c>
      <c r="O32" s="9" t="s">
        <v>56</v>
      </c>
    </row>
    <row r="33" spans="2:15" ht="17.25" customHeight="1" x14ac:dyDescent="0.3">
      <c r="B33" s="20" t="n">
        <v>20.0</v>
      </c>
      <c r="C33" s="7" t="s">
        <v>93</v>
      </c>
      <c r="D33" s="4" t="s">
        <v>94</v>
      </c>
      <c r="E33" s="34" t="n">
        <v>9.192256127E9</v>
      </c>
      <c r="F33" s="4" t="n">
        <f t="shared" si="1"/>
        <v>82.4955</v>
      </c>
      <c r="G33" s="4" t="n">
        <f t="shared" si="2"/>
        <v>82.3221</v>
      </c>
      <c r="H33" s="4" t="n">
        <f t="shared" si="3"/>
        <v>100.0</v>
      </c>
      <c r="I33" s="4" t="n">
        <f t="shared" si="4"/>
        <v>60.0</v>
      </c>
      <c r="J33" s="4" t="str">
        <f t="shared" si="5"/>
        <v/>
      </c>
      <c r="K33" s="4" t="n">
        <v>101.3627</v>
      </c>
      <c r="L33" s="4" t="n">
        <v>101.24295</v>
      </c>
      <c r="M33" s="21" t="n">
        <f t="shared" si="6"/>
        <v>9.7093006E7</v>
      </c>
      <c r="O33" s="9" t="s">
        <v>56</v>
      </c>
    </row>
    <row r="34" spans="2:15" ht="17.25" customHeight="1" x14ac:dyDescent="0.3">
      <c r="B34" s="20" t="n">
        <v>21.0</v>
      </c>
      <c r="C34" s="7" t="s">
        <v>95</v>
      </c>
      <c r="D34" s="4" t="s">
        <v>96</v>
      </c>
      <c r="E34" s="34" t="n">
        <v>9.192256127E9</v>
      </c>
      <c r="F34" s="4" t="n">
        <f t="shared" si="1"/>
        <v>82.4955</v>
      </c>
      <c r="G34" s="4" t="n">
        <f t="shared" si="2"/>
        <v>82.3221</v>
      </c>
      <c r="H34" s="4" t="n">
        <f t="shared" si="3"/>
        <v>100.0</v>
      </c>
      <c r="I34" s="4" t="n">
        <f t="shared" si="4"/>
        <v>60.0</v>
      </c>
      <c r="J34" s="4" t="str">
        <f t="shared" si="5"/>
        <v/>
      </c>
      <c r="K34" s="4" t="n">
        <v>101.3627</v>
      </c>
      <c r="L34" s="4" t="n">
        <v>101.24295</v>
      </c>
      <c r="M34" s="21" t="n">
        <f t="shared" si="6"/>
        <v>9.7093006E7</v>
      </c>
      <c r="O34" s="9" t="s">
        <v>56</v>
      </c>
    </row>
    <row r="35" spans="2:15" ht="17.25" customHeight="1" x14ac:dyDescent="0.3">
      <c r="B35" s="20" t="n">
        <v>22.0</v>
      </c>
      <c r="C35" s="7" t="s">
        <v>97</v>
      </c>
      <c r="D35" s="4" t="s">
        <v>98</v>
      </c>
      <c r="E35" s="34" t="n">
        <v>9.192256127E9</v>
      </c>
      <c r="F35" s="4" t="n">
        <f t="shared" si="1"/>
        <v>82.4955</v>
      </c>
      <c r="G35" s="4" t="n">
        <f t="shared" si="2"/>
        <v>82.3221</v>
      </c>
      <c r="H35" s="4" t="n">
        <f t="shared" si="3"/>
        <v>100.0</v>
      </c>
      <c r="I35" s="4" t="n">
        <f t="shared" si="4"/>
        <v>60.0</v>
      </c>
      <c r="J35" s="4" t="str">
        <f t="shared" si="5"/>
        <v/>
      </c>
      <c r="K35" s="4" t="n">
        <v>101.3627</v>
      </c>
      <c r="L35" s="4" t="n">
        <v>101.24295</v>
      </c>
      <c r="M35" s="21" t="n">
        <f t="shared" si="6"/>
        <v>9.7093006E7</v>
      </c>
      <c r="O35" s="9" t="s">
        <v>56</v>
      </c>
    </row>
    <row r="36" spans="2:15" ht="17.25" customHeight="1" x14ac:dyDescent="0.3">
      <c r="B36" s="20" t="n">
        <v>23.0</v>
      </c>
      <c r="C36" s="7" t="s">
        <v>99</v>
      </c>
      <c r="D36" s="4" t="s">
        <v>100</v>
      </c>
      <c r="E36" s="34" t="n">
        <v>9.192256127E9</v>
      </c>
      <c r="F36" s="4" t="n">
        <f t="shared" si="1"/>
        <v>82.4955</v>
      </c>
      <c r="G36" s="4" t="n">
        <f t="shared" si="2"/>
        <v>82.3221</v>
      </c>
      <c r="H36" s="4" t="n">
        <f t="shared" si="3"/>
        <v>100.0</v>
      </c>
      <c r="I36" s="4" t="n">
        <f t="shared" si="4"/>
        <v>60.0</v>
      </c>
      <c r="J36" s="4" t="str">
        <f t="shared" si="5"/>
        <v/>
      </c>
      <c r="K36" s="4" t="n">
        <v>101.3627</v>
      </c>
      <c r="L36" s="4" t="n">
        <v>101.24295</v>
      </c>
      <c r="M36" s="21" t="n">
        <f t="shared" si="6"/>
        <v>9.7093006E7</v>
      </c>
      <c r="O36" s="9" t="s">
        <v>56</v>
      </c>
    </row>
    <row r="37" spans="2:15" ht="17.25" customHeight="1" x14ac:dyDescent="0.3">
      <c r="B37" s="20" t="n">
        <v>24.0</v>
      </c>
      <c r="C37" s="7" t="s">
        <v>101</v>
      </c>
      <c r="D37" s="4" t="s">
        <v>102</v>
      </c>
      <c r="E37" s="34" t="n">
        <v>9.192256128E9</v>
      </c>
      <c r="F37" s="4" t="n">
        <f t="shared" si="1"/>
        <v>82.4955</v>
      </c>
      <c r="G37" s="4" t="n">
        <f t="shared" si="2"/>
        <v>82.3221</v>
      </c>
      <c r="H37" s="4" t="n">
        <f t="shared" si="3"/>
        <v>100.0</v>
      </c>
      <c r="I37" s="4" t="n">
        <f t="shared" si="4"/>
        <v>60.0</v>
      </c>
      <c r="J37" s="4" t="str">
        <f t="shared" si="5"/>
        <v/>
      </c>
      <c r="K37" s="4" t="n">
        <v>101.3627</v>
      </c>
      <c r="L37" s="4" t="n">
        <v>101.24295</v>
      </c>
      <c r="M37" s="21" t="n">
        <f t="shared" si="6"/>
        <v>9.7093007E7</v>
      </c>
      <c r="O37" s="9" t="s">
        <v>56</v>
      </c>
    </row>
    <row r="38" spans="2:15" ht="17.25" customHeight="1" x14ac:dyDescent="0.3">
      <c r="B38" s="20" t="n">
        <v>25.0</v>
      </c>
      <c r="C38" s="7" t="s">
        <v>103</v>
      </c>
      <c r="D38" s="4" t="s">
        <v>104</v>
      </c>
      <c r="E38" s="34" t="n">
        <v>9.192256128E9</v>
      </c>
      <c r="F38" s="4" t="n">
        <f t="shared" si="1"/>
        <v>82.4955</v>
      </c>
      <c r="G38" s="4" t="n">
        <f t="shared" si="2"/>
        <v>82.3221</v>
      </c>
      <c r="H38" s="4" t="n">
        <f t="shared" si="3"/>
        <v>100.0</v>
      </c>
      <c r="I38" s="4" t="n">
        <f t="shared" si="4"/>
        <v>60.0</v>
      </c>
      <c r="J38" s="4" t="str">
        <f t="shared" si="5"/>
        <v/>
      </c>
      <c r="K38" s="4" t="n">
        <v>101.3627</v>
      </c>
      <c r="L38" s="4" t="n">
        <v>101.24295</v>
      </c>
      <c r="M38" s="21" t="n">
        <f t="shared" si="6"/>
        <v>9.7093007E7</v>
      </c>
      <c r="O38" s="9" t="s">
        <v>56</v>
      </c>
    </row>
    <row r="39" spans="2:15" ht="17.25" customHeight="1" x14ac:dyDescent="0.3">
      <c r="B39" s="20" t="n">
        <v>26.0</v>
      </c>
      <c r="C39" s="7" t="s">
        <v>105</v>
      </c>
      <c r="D39" s="4" t="s">
        <v>106</v>
      </c>
      <c r="E39" s="34" t="n">
        <v>9.192256129E9</v>
      </c>
      <c r="F39" s="4" t="n">
        <f t="shared" si="1"/>
        <v>82.4955</v>
      </c>
      <c r="G39" s="4" t="n">
        <f t="shared" si="2"/>
        <v>82.3221</v>
      </c>
      <c r="H39" s="4" t="n">
        <f t="shared" si="3"/>
        <v>100.0</v>
      </c>
      <c r="I39" s="4" t="n">
        <f t="shared" si="4"/>
        <v>60.0</v>
      </c>
      <c r="J39" s="4" t="str">
        <f t="shared" si="5"/>
        <v/>
      </c>
      <c r="K39" s="4" t="n">
        <v>101.3627</v>
      </c>
      <c r="L39" s="4" t="n">
        <v>101.24295</v>
      </c>
      <c r="M39" s="21" t="n">
        <f t="shared" si="6"/>
        <v>9.7093008E7</v>
      </c>
      <c r="O39" s="9" t="s">
        <v>56</v>
      </c>
    </row>
    <row r="40" spans="2:15" ht="17.25" customHeight="1" x14ac:dyDescent="0.3">
      <c r="B40" s="20" t="n">
        <v>27.0</v>
      </c>
      <c r="C40" s="7" t="s">
        <v>107</v>
      </c>
      <c r="D40" s="4" t="s">
        <v>108</v>
      </c>
      <c r="E40" s="34" t="n">
        <v>9.192256129E9</v>
      </c>
      <c r="F40" s="4" t="n">
        <f t="shared" si="1"/>
        <v>82.4955</v>
      </c>
      <c r="G40" s="4" t="n">
        <f t="shared" si="2"/>
        <v>82.3221</v>
      </c>
      <c r="H40" s="4" t="n">
        <f t="shared" si="3"/>
        <v>100.0</v>
      </c>
      <c r="I40" s="4" t="n">
        <f t="shared" si="4"/>
        <v>60.0</v>
      </c>
      <c r="J40" s="4" t="str">
        <f t="shared" si="5"/>
        <v/>
      </c>
      <c r="K40" s="4" t="n">
        <v>101.3627</v>
      </c>
      <c r="L40" s="4" t="n">
        <v>101.24295</v>
      </c>
      <c r="M40" s="21" t="n">
        <f t="shared" si="6"/>
        <v>9.7093008E7</v>
      </c>
      <c r="O40" s="9" t="s">
        <v>56</v>
      </c>
    </row>
    <row r="41" spans="2:15" ht="17.25" customHeight="1" x14ac:dyDescent="0.3">
      <c r="B41" s="20" t="n">
        <v>28.0</v>
      </c>
      <c r="C41" s="7" t="s">
        <v>109</v>
      </c>
      <c r="D41" s="4" t="s">
        <v>110</v>
      </c>
      <c r="E41" s="34" t="n">
        <v>9.192256129E9</v>
      </c>
      <c r="F41" s="4" t="n">
        <f t="shared" si="1"/>
        <v>82.4955</v>
      </c>
      <c r="G41" s="4" t="n">
        <f t="shared" si="2"/>
        <v>82.3221</v>
      </c>
      <c r="H41" s="4" t="n">
        <f t="shared" si="3"/>
        <v>100.0</v>
      </c>
      <c r="I41" s="4" t="n">
        <f t="shared" si="4"/>
        <v>60.0</v>
      </c>
      <c r="J41" s="4" t="str">
        <f t="shared" si="5"/>
        <v/>
      </c>
      <c r="K41" s="4" t="n">
        <v>101.3627</v>
      </c>
      <c r="L41" s="4" t="n">
        <v>101.24295</v>
      </c>
      <c r="M41" s="21" t="n">
        <f t="shared" si="6"/>
        <v>9.7093008E7</v>
      </c>
      <c r="O41" s="9" t="s">
        <v>56</v>
      </c>
    </row>
    <row r="42" spans="2:15" ht="17.25" customHeight="1" x14ac:dyDescent="0.3">
      <c r="B42" s="20" t="n">
        <v>29.0</v>
      </c>
      <c r="C42" s="7" t="s">
        <v>111</v>
      </c>
      <c r="D42" s="4" t="s">
        <v>112</v>
      </c>
      <c r="E42" s="34" t="n">
        <v>9.192256129E9</v>
      </c>
      <c r="F42" s="4" t="n">
        <f t="shared" si="1"/>
        <v>82.4955</v>
      </c>
      <c r="G42" s="4" t="n">
        <f t="shared" si="2"/>
        <v>82.3221</v>
      </c>
      <c r="H42" s="4" t="n">
        <f t="shared" si="3"/>
        <v>100.0</v>
      </c>
      <c r="I42" s="4" t="n">
        <f t="shared" si="4"/>
        <v>60.0</v>
      </c>
      <c r="J42" s="4" t="str">
        <f t="shared" si="5"/>
        <v/>
      </c>
      <c r="K42" s="4" t="n">
        <v>101.3627</v>
      </c>
      <c r="L42" s="4" t="n">
        <v>101.24295</v>
      </c>
      <c r="M42" s="21" t="n">
        <f t="shared" si="6"/>
        <v>9.7093008E7</v>
      </c>
      <c r="O42" s="9" t="s">
        <v>56</v>
      </c>
    </row>
    <row r="43" spans="2:15" ht="17.25" customHeight="1" x14ac:dyDescent="0.3">
      <c r="B43" s="20" t="n">
        <v>30.0</v>
      </c>
      <c r="C43" s="7" t="s">
        <v>113</v>
      </c>
      <c r="D43" s="4" t="s">
        <v>114</v>
      </c>
      <c r="E43" s="34" t="n">
        <v>9.19225613E9</v>
      </c>
      <c r="F43" s="4" t="n">
        <f t="shared" si="1"/>
        <v>82.4955</v>
      </c>
      <c r="G43" s="4" t="n">
        <f t="shared" si="2"/>
        <v>82.3221</v>
      </c>
      <c r="H43" s="4" t="n">
        <f t="shared" si="3"/>
        <v>100.0</v>
      </c>
      <c r="I43" s="4" t="n">
        <f t="shared" si="4"/>
        <v>60.0</v>
      </c>
      <c r="J43" s="4" t="str">
        <f t="shared" si="5"/>
        <v/>
      </c>
      <c r="K43" s="4" t="n">
        <v>101.3627</v>
      </c>
      <c r="L43" s="4" t="n">
        <v>101.24295</v>
      </c>
      <c r="M43" s="21" t="n">
        <f t="shared" si="6"/>
        <v>9.7093009E7</v>
      </c>
      <c r="O43" s="9" t="s">
        <v>56</v>
      </c>
    </row>
    <row r="44" spans="2:15" ht="17.25" customHeight="1" x14ac:dyDescent="0.3">
      <c r="B44" s="20" t="n">
        <v>31.0</v>
      </c>
      <c r="C44" s="7" t="s">
        <v>115</v>
      </c>
      <c r="D44" s="4" t="s">
        <v>116</v>
      </c>
      <c r="E44" s="34" t="n">
        <v>9.19225613E9</v>
      </c>
      <c r="F44" s="4" t="n">
        <f t="shared" si="1"/>
        <v>82.4955</v>
      </c>
      <c r="G44" s="4" t="n">
        <f t="shared" si="2"/>
        <v>82.3221</v>
      </c>
      <c r="H44" s="4" t="n">
        <f t="shared" si="3"/>
        <v>100.0</v>
      </c>
      <c r="I44" s="4" t="n">
        <f t="shared" si="4"/>
        <v>60.0</v>
      </c>
      <c r="J44" s="4" t="str">
        <f t="shared" si="5"/>
        <v/>
      </c>
      <c r="K44" s="4" t="n">
        <v>101.3627</v>
      </c>
      <c r="L44" s="4" t="n">
        <v>101.24295</v>
      </c>
      <c r="M44" s="21" t="n">
        <f t="shared" si="6"/>
        <v>9.7093009E7</v>
      </c>
      <c r="O44" s="9" t="s">
        <v>56</v>
      </c>
    </row>
    <row r="45" spans="2:15" ht="17.25" customHeight="1" x14ac:dyDescent="0.3">
      <c r="B45" s="20" t="n">
        <v>32.0</v>
      </c>
      <c r="C45" s="7" t="s">
        <v>117</v>
      </c>
      <c r="D45" s="4" t="s">
        <v>118</v>
      </c>
      <c r="E45" s="34" t="n">
        <v>9.19225613E9</v>
      </c>
      <c r="F45" s="4" t="n">
        <f t="shared" si="1"/>
        <v>82.4955</v>
      </c>
      <c r="G45" s="4" t="n">
        <f t="shared" si="2"/>
        <v>82.3221</v>
      </c>
      <c r="H45" s="4" t="n">
        <f t="shared" si="3"/>
        <v>100.0</v>
      </c>
      <c r="I45" s="4" t="n">
        <f t="shared" si="4"/>
        <v>60.0</v>
      </c>
      <c r="J45" s="4" t="str">
        <f t="shared" si="5"/>
        <v/>
      </c>
      <c r="K45" s="4" t="n">
        <v>101.3627</v>
      </c>
      <c r="L45" s="4" t="n">
        <v>101.24295</v>
      </c>
      <c r="M45" s="21" t="n">
        <f t="shared" si="6"/>
        <v>9.7093009E7</v>
      </c>
      <c r="O45" s="9" t="s">
        <v>56</v>
      </c>
    </row>
    <row r="46" spans="2:15" ht="17.25" customHeight="1" x14ac:dyDescent="0.3">
      <c r="B46" s="20" t="n">
        <v>33.0</v>
      </c>
      <c r="C46" s="7" t="s">
        <v>119</v>
      </c>
      <c r="D46" s="4" t="s">
        <v>120</v>
      </c>
      <c r="E46" s="34" t="n">
        <v>9.192256131E9</v>
      </c>
      <c r="F46" s="4" t="n">
        <f t="shared" si="1"/>
        <v>82.4955</v>
      </c>
      <c r="G46" s="4" t="n">
        <f t="shared" si="2"/>
        <v>82.3221</v>
      </c>
      <c r="H46" s="4" t="n">
        <f t="shared" si="3"/>
        <v>100.0</v>
      </c>
      <c r="I46" s="4" t="n">
        <f t="shared" si="4"/>
        <v>60.0</v>
      </c>
      <c r="J46" s="4" t="str">
        <f t="shared" si="5"/>
        <v/>
      </c>
      <c r="K46" s="4" t="n">
        <v>101.3627</v>
      </c>
      <c r="L46" s="4" t="n">
        <v>101.24295</v>
      </c>
      <c r="M46" s="21" t="n">
        <f t="shared" si="6"/>
        <v>9.709301E7</v>
      </c>
      <c r="O46" s="9" t="s">
        <v>56</v>
      </c>
    </row>
    <row r="47" spans="2:15" ht="17.25" customHeight="1" x14ac:dyDescent="0.3">
      <c r="B47" s="20" t="n">
        <v>34.0</v>
      </c>
      <c r="C47" s="7" t="s">
        <v>121</v>
      </c>
      <c r="D47" s="4" t="s">
        <v>122</v>
      </c>
      <c r="E47" s="34" t="n">
        <v>9.192256133E9</v>
      </c>
      <c r="F47" s="4" t="n">
        <f t="shared" si="1"/>
        <v>82.4955</v>
      </c>
      <c r="G47" s="4" t="n">
        <f t="shared" si="2"/>
        <v>82.3221</v>
      </c>
      <c r="H47" s="4" t="n">
        <f t="shared" si="3"/>
        <v>100.0</v>
      </c>
      <c r="I47" s="4" t="n">
        <f t="shared" si="4"/>
        <v>60.0</v>
      </c>
      <c r="J47" s="4" t="str">
        <f t="shared" si="5"/>
        <v/>
      </c>
      <c r="K47" s="4" t="n">
        <v>101.3627</v>
      </c>
      <c r="L47" s="4" t="n">
        <v>101.24295</v>
      </c>
      <c r="M47" s="21" t="n">
        <f t="shared" si="6"/>
        <v>9.7093012E7</v>
      </c>
      <c r="O47" s="9" t="s">
        <v>56</v>
      </c>
    </row>
    <row r="48" spans="2:15" ht="17.25" customHeight="1" x14ac:dyDescent="0.3">
      <c r="B48" s="20" t="n">
        <v>35.0</v>
      </c>
      <c r="C48" s="7" t="s">
        <v>123</v>
      </c>
      <c r="D48" s="4" t="s">
        <v>124</v>
      </c>
      <c r="E48" s="34" t="n">
        <v>9.192256133E9</v>
      </c>
      <c r="F48" s="4" t="n">
        <f t="shared" si="1"/>
        <v>82.4955</v>
      </c>
      <c r="G48" s="4" t="n">
        <f t="shared" si="2"/>
        <v>82.3221</v>
      </c>
      <c r="H48" s="4" t="n">
        <f t="shared" si="3"/>
        <v>100.0</v>
      </c>
      <c r="I48" s="4" t="n">
        <f t="shared" si="4"/>
        <v>60.0</v>
      </c>
      <c r="J48" s="4" t="str">
        <f t="shared" si="5"/>
        <v/>
      </c>
      <c r="K48" s="4" t="n">
        <v>101.3627</v>
      </c>
      <c r="L48" s="4" t="n">
        <v>101.24295</v>
      </c>
      <c r="M48" s="21" t="n">
        <f t="shared" si="6"/>
        <v>9.7093012E7</v>
      </c>
      <c r="O48" s="9" t="s">
        <v>56</v>
      </c>
    </row>
    <row r="49" spans="2:15" ht="17.25" customHeight="1" x14ac:dyDescent="0.3">
      <c r="B49" s="20" t="n">
        <v>36.0</v>
      </c>
      <c r="C49" s="7" t="s">
        <v>125</v>
      </c>
      <c r="D49" s="4" t="s">
        <v>126</v>
      </c>
      <c r="E49" s="34" t="n">
        <v>9.192256133E9</v>
      </c>
      <c r="F49" s="4" t="n">
        <f t="shared" si="1"/>
        <v>82.4955</v>
      </c>
      <c r="G49" s="4" t="n">
        <f t="shared" si="2"/>
        <v>82.3221</v>
      </c>
      <c r="H49" s="4" t="n">
        <f t="shared" si="3"/>
        <v>100.0</v>
      </c>
      <c r="I49" s="4" t="n">
        <f t="shared" si="4"/>
        <v>60.0</v>
      </c>
      <c r="J49" s="4" t="str">
        <f t="shared" si="5"/>
        <v/>
      </c>
      <c r="K49" s="4" t="n">
        <v>101.3627</v>
      </c>
      <c r="L49" s="4" t="n">
        <v>101.24295</v>
      </c>
      <c r="M49" s="21" t="n">
        <f t="shared" si="6"/>
        <v>9.7093012E7</v>
      </c>
      <c r="O49" s="9" t="s">
        <v>56</v>
      </c>
    </row>
    <row r="50" spans="2:15" ht="17.25" customHeight="1" x14ac:dyDescent="0.3">
      <c r="B50" s="20" t="n">
        <v>37.0</v>
      </c>
      <c r="C50" s="7" t="s">
        <v>127</v>
      </c>
      <c r="D50" s="4" t="s">
        <v>128</v>
      </c>
      <c r="E50" s="34" t="n">
        <v>9.192256134E9</v>
      </c>
      <c r="F50" s="4" t="n">
        <f t="shared" si="1"/>
        <v>82.4955</v>
      </c>
      <c r="G50" s="4" t="n">
        <f t="shared" si="2"/>
        <v>82.3221</v>
      </c>
      <c r="H50" s="4" t="n">
        <f t="shared" si="3"/>
        <v>100.0</v>
      </c>
      <c r="I50" s="4" t="n">
        <f t="shared" si="4"/>
        <v>60.0</v>
      </c>
      <c r="J50" s="4" t="str">
        <f t="shared" si="5"/>
        <v/>
      </c>
      <c r="K50" s="4" t="n">
        <v>101.3627</v>
      </c>
      <c r="L50" s="4" t="n">
        <v>101.24295</v>
      </c>
      <c r="M50" s="21" t="n">
        <f t="shared" si="6"/>
        <v>9.7093013E7</v>
      </c>
      <c r="O50" s="9" t="s">
        <v>56</v>
      </c>
    </row>
    <row r="51" spans="2:15" ht="17.25" customHeight="1" x14ac:dyDescent="0.3">
      <c r="B51" s="20" t="n">
        <v>38.0</v>
      </c>
      <c r="C51" s="7" t="s">
        <v>129</v>
      </c>
      <c r="D51" s="4" t="s">
        <v>130</v>
      </c>
      <c r="E51" s="34" t="n">
        <v>9.192256135E9</v>
      </c>
      <c r="F51" s="4" t="n">
        <f t="shared" si="1"/>
        <v>82.4955</v>
      </c>
      <c r="G51" s="4" t="n">
        <f t="shared" si="2"/>
        <v>82.3221</v>
      </c>
      <c r="H51" s="4" t="n">
        <f t="shared" si="3"/>
        <v>100.0</v>
      </c>
      <c r="I51" s="4" t="n">
        <f t="shared" si="4"/>
        <v>60.0</v>
      </c>
      <c r="J51" s="4" t="str">
        <f t="shared" si="5"/>
        <v/>
      </c>
      <c r="K51" s="4" t="n">
        <v>101.3627</v>
      </c>
      <c r="L51" s="4" t="n">
        <v>101.24295</v>
      </c>
      <c r="M51" s="21" t="n">
        <f t="shared" si="6"/>
        <v>9.7093014E7</v>
      </c>
      <c r="O51" s="9" t="s">
        <v>56</v>
      </c>
    </row>
    <row r="52" spans="2:15" ht="17.25" customHeight="1" x14ac:dyDescent="0.3">
      <c r="B52" s="20" t="n">
        <v>39.0</v>
      </c>
      <c r="C52" s="7" t="s">
        <v>131</v>
      </c>
      <c r="D52" s="4" t="s">
        <v>132</v>
      </c>
      <c r="E52" s="34" t="n">
        <v>9.192256135E9</v>
      </c>
      <c r="F52" s="4" t="n">
        <f t="shared" si="1"/>
        <v>82.4955</v>
      </c>
      <c r="G52" s="4" t="n">
        <f t="shared" si="2"/>
        <v>82.3221</v>
      </c>
      <c r="H52" s="4" t="n">
        <f t="shared" si="3"/>
        <v>100.0</v>
      </c>
      <c r="I52" s="4" t="n">
        <f t="shared" si="4"/>
        <v>60.0</v>
      </c>
      <c r="J52" s="4" t="str">
        <f t="shared" si="5"/>
        <v/>
      </c>
      <c r="K52" s="4" t="n">
        <v>101.3627</v>
      </c>
      <c r="L52" s="4" t="n">
        <v>101.24295</v>
      </c>
      <c r="M52" s="21" t="n">
        <f t="shared" si="6"/>
        <v>9.7093014E7</v>
      </c>
      <c r="O52" s="9" t="s">
        <v>56</v>
      </c>
    </row>
    <row r="53" spans="2:15" ht="17.25" customHeight="1" x14ac:dyDescent="0.3">
      <c r="B53" s="20" t="n">
        <v>40.0</v>
      </c>
      <c r="C53" s="7" t="s">
        <v>133</v>
      </c>
      <c r="D53" s="4" t="s">
        <v>134</v>
      </c>
      <c r="E53" s="34" t="n">
        <v>9.192256135E9</v>
      </c>
      <c r="F53" s="4" t="n">
        <f t="shared" si="1"/>
        <v>82.4955</v>
      </c>
      <c r="G53" s="4" t="n">
        <f t="shared" si="2"/>
        <v>82.3221</v>
      </c>
      <c r="H53" s="4" t="n">
        <f t="shared" si="3"/>
        <v>100.0</v>
      </c>
      <c r="I53" s="4" t="n">
        <f t="shared" si="4"/>
        <v>60.0</v>
      </c>
      <c r="J53" s="4" t="str">
        <f t="shared" si="5"/>
        <v/>
      </c>
      <c r="K53" s="4" t="n">
        <v>101.3627</v>
      </c>
      <c r="L53" s="4" t="n">
        <v>101.24295</v>
      </c>
      <c r="M53" s="21" t="n">
        <f t="shared" si="6"/>
        <v>9.7093014E7</v>
      </c>
      <c r="O53" s="9" t="s">
        <v>56</v>
      </c>
    </row>
    <row r="54" spans="2:15" ht="17.25" customHeight="1" x14ac:dyDescent="0.3">
      <c r="B54" s="20" t="n">
        <v>41.0</v>
      </c>
      <c r="C54" s="7" t="s">
        <v>135</v>
      </c>
      <c r="D54" s="4" t="s">
        <v>136</v>
      </c>
      <c r="E54" s="34" t="n">
        <v>9.192256135E9</v>
      </c>
      <c r="F54" s="4" t="n">
        <f t="shared" si="1"/>
        <v>82.4955</v>
      </c>
      <c r="G54" s="4" t="n">
        <f t="shared" si="2"/>
        <v>82.3221</v>
      </c>
      <c r="H54" s="4" t="n">
        <f t="shared" si="3"/>
        <v>100.0</v>
      </c>
      <c r="I54" s="4" t="n">
        <f t="shared" si="4"/>
        <v>60.0</v>
      </c>
      <c r="J54" s="4" t="str">
        <f t="shared" si="5"/>
        <v/>
      </c>
      <c r="K54" s="4" t="n">
        <v>101.3627</v>
      </c>
      <c r="L54" s="4" t="n">
        <v>101.24295</v>
      </c>
      <c r="M54" s="21" t="n">
        <f t="shared" si="6"/>
        <v>9.7093014E7</v>
      </c>
      <c r="O54" s="9" t="s">
        <v>56</v>
      </c>
    </row>
    <row r="55" spans="2:15" ht="17.25" customHeight="1" x14ac:dyDescent="0.3">
      <c r="B55" s="20" t="n">
        <v>42.0</v>
      </c>
      <c r="C55" s="7" t="s">
        <v>137</v>
      </c>
      <c r="D55" s="4" t="s">
        <v>138</v>
      </c>
      <c r="E55" s="34" t="n">
        <v>9.192256135E9</v>
      </c>
      <c r="F55" s="4" t="n">
        <f t="shared" si="1"/>
        <v>82.4955</v>
      </c>
      <c r="G55" s="4" t="n">
        <f t="shared" si="2"/>
        <v>82.3221</v>
      </c>
      <c r="H55" s="4" t="n">
        <f t="shared" si="3"/>
        <v>100.0</v>
      </c>
      <c r="I55" s="4" t="n">
        <f t="shared" si="4"/>
        <v>60.0</v>
      </c>
      <c r="J55" s="4" t="str">
        <f t="shared" si="5"/>
        <v/>
      </c>
      <c r="K55" s="4" t="n">
        <v>101.3627</v>
      </c>
      <c r="L55" s="4" t="n">
        <v>101.24295</v>
      </c>
      <c r="M55" s="21" t="n">
        <f t="shared" si="6"/>
        <v>9.7093014E7</v>
      </c>
      <c r="O55" s="9" t="s">
        <v>56</v>
      </c>
    </row>
    <row r="56" spans="2:15" ht="17.25" customHeight="1" x14ac:dyDescent="0.3">
      <c r="B56" s="20" t="n">
        <v>43.0</v>
      </c>
      <c r="C56" s="7" t="s">
        <v>139</v>
      </c>
      <c r="D56" s="4" t="s">
        <v>140</v>
      </c>
      <c r="E56" s="34" t="n">
        <v>9.192256135E9</v>
      </c>
      <c r="F56" s="4" t="n">
        <f t="shared" si="1"/>
        <v>82.4955</v>
      </c>
      <c r="G56" s="4" t="n">
        <f t="shared" si="2"/>
        <v>82.3221</v>
      </c>
      <c r="H56" s="4" t="n">
        <f t="shared" si="3"/>
        <v>100.0</v>
      </c>
      <c r="I56" s="4" t="n">
        <f t="shared" si="4"/>
        <v>60.0</v>
      </c>
      <c r="J56" s="4" t="str">
        <f t="shared" si="5"/>
        <v/>
      </c>
      <c r="K56" s="4" t="n">
        <v>101.3627</v>
      </c>
      <c r="L56" s="4" t="n">
        <v>101.24295</v>
      </c>
      <c r="M56" s="21" t="n">
        <f t="shared" si="6"/>
        <v>9.7093014E7</v>
      </c>
      <c r="O56" s="9" t="s">
        <v>56</v>
      </c>
    </row>
    <row r="57" spans="2:15" ht="17.25" customHeight="1" x14ac:dyDescent="0.3">
      <c r="B57" s="20" t="n">
        <v>44.0</v>
      </c>
      <c r="C57" s="7" t="s">
        <v>141</v>
      </c>
      <c r="D57" s="4" t="s">
        <v>142</v>
      </c>
      <c r="E57" s="34" t="n">
        <v>9.192256136E9</v>
      </c>
      <c r="F57" s="4" t="n">
        <f t="shared" si="1"/>
        <v>82.4955</v>
      </c>
      <c r="G57" s="4" t="n">
        <f t="shared" si="2"/>
        <v>82.3221</v>
      </c>
      <c r="H57" s="4" t="n">
        <f t="shared" si="3"/>
        <v>100.0</v>
      </c>
      <c r="I57" s="4" t="n">
        <f t="shared" si="4"/>
        <v>60.0</v>
      </c>
      <c r="J57" s="4" t="str">
        <f t="shared" si="5"/>
        <v/>
      </c>
      <c r="K57" s="4" t="n">
        <v>101.3627</v>
      </c>
      <c r="L57" s="4" t="n">
        <v>101.24295</v>
      </c>
      <c r="M57" s="21" t="n">
        <f t="shared" si="6"/>
        <v>9.7093015E7</v>
      </c>
      <c r="O57" s="9" t="s">
        <v>56</v>
      </c>
    </row>
    <row r="58" spans="2:15" ht="17.25" customHeight="1" x14ac:dyDescent="0.3">
      <c r="B58" s="20" t="n">
        <v>45.0</v>
      </c>
      <c r="C58" s="7" t="s">
        <v>143</v>
      </c>
      <c r="D58" s="4" t="s">
        <v>144</v>
      </c>
      <c r="E58" s="34" t="n">
        <v>9.192256137E9</v>
      </c>
      <c r="F58" s="4" t="n">
        <f t="shared" si="1"/>
        <v>82.4955</v>
      </c>
      <c r="G58" s="4" t="n">
        <f t="shared" si="2"/>
        <v>82.3221</v>
      </c>
      <c r="H58" s="4" t="n">
        <f t="shared" si="3"/>
        <v>100.0</v>
      </c>
      <c r="I58" s="4" t="n">
        <f t="shared" si="4"/>
        <v>60.0</v>
      </c>
      <c r="J58" s="4" t="str">
        <f t="shared" si="5"/>
        <v/>
      </c>
      <c r="K58" s="4" t="n">
        <v>101.3627</v>
      </c>
      <c r="L58" s="4" t="n">
        <v>101.24295</v>
      </c>
      <c r="M58" s="21" t="n">
        <f t="shared" si="6"/>
        <v>9.7093016E7</v>
      </c>
      <c r="O58" s="9" t="s">
        <v>56</v>
      </c>
    </row>
    <row r="59" spans="2:15" ht="17.25" customHeight="1" x14ac:dyDescent="0.3">
      <c r="B59" s="20" t="n">
        <v>46.0</v>
      </c>
      <c r="C59" s="7" t="s">
        <v>145</v>
      </c>
      <c r="D59" s="4" t="s">
        <v>146</v>
      </c>
      <c r="E59" s="34" t="n">
        <v>9.192256137E9</v>
      </c>
      <c r="F59" s="4" t="n">
        <f t="shared" si="1"/>
        <v>82.4955</v>
      </c>
      <c r="G59" s="4" t="n">
        <f t="shared" si="2"/>
        <v>82.3221</v>
      </c>
      <c r="H59" s="4" t="n">
        <f t="shared" si="3"/>
        <v>100.0</v>
      </c>
      <c r="I59" s="4" t="n">
        <f t="shared" si="4"/>
        <v>60.0</v>
      </c>
      <c r="J59" s="4" t="str">
        <f t="shared" si="5"/>
        <v/>
      </c>
      <c r="K59" s="4" t="n">
        <v>101.3627</v>
      </c>
      <c r="L59" s="4" t="n">
        <v>101.24295</v>
      </c>
      <c r="M59" s="21" t="n">
        <f t="shared" si="6"/>
        <v>9.7093016E7</v>
      </c>
      <c r="O59" s="9" t="s">
        <v>56</v>
      </c>
    </row>
    <row r="60" spans="2:15" ht="17.25" customHeight="1" x14ac:dyDescent="0.3">
      <c r="B60" s="20" t="n">
        <v>47.0</v>
      </c>
      <c r="C60" s="7" t="s">
        <v>147</v>
      </c>
      <c r="D60" s="4" t="s">
        <v>148</v>
      </c>
      <c r="E60" s="34" t="n">
        <v>9.192256138E9</v>
      </c>
      <c r="F60" s="4" t="n">
        <f t="shared" si="1"/>
        <v>82.4955</v>
      </c>
      <c r="G60" s="4" t="n">
        <f t="shared" si="2"/>
        <v>82.3221</v>
      </c>
      <c r="H60" s="4" t="n">
        <f t="shared" si="3"/>
        <v>100.0</v>
      </c>
      <c r="I60" s="4" t="n">
        <f t="shared" si="4"/>
        <v>60.0</v>
      </c>
      <c r="J60" s="4" t="str">
        <f t="shared" si="5"/>
        <v/>
      </c>
      <c r="K60" s="4" t="n">
        <v>101.3627</v>
      </c>
      <c r="L60" s="4" t="n">
        <v>101.24295</v>
      </c>
      <c r="M60" s="21" t="n">
        <f t="shared" si="6"/>
        <v>9.7093017E7</v>
      </c>
      <c r="O60" s="9" t="s">
        <v>56</v>
      </c>
    </row>
    <row r="61" spans="2:15" ht="17.25" customHeight="1" x14ac:dyDescent="0.3">
      <c r="B61" s="20" t="n">
        <v>48.0</v>
      </c>
      <c r="C61" s="7" t="s">
        <v>149</v>
      </c>
      <c r="D61" s="4" t="s">
        <v>150</v>
      </c>
      <c r="E61" s="34" t="n">
        <v>9.192256138E9</v>
      </c>
      <c r="F61" s="4" t="n">
        <f t="shared" si="1"/>
        <v>82.4955</v>
      </c>
      <c r="G61" s="4" t="n">
        <f t="shared" si="2"/>
        <v>82.3221</v>
      </c>
      <c r="H61" s="4" t="n">
        <f t="shared" si="3"/>
        <v>100.0</v>
      </c>
      <c r="I61" s="4" t="n">
        <f t="shared" si="4"/>
        <v>60.0</v>
      </c>
      <c r="J61" s="4" t="str">
        <f t="shared" si="5"/>
        <v/>
      </c>
      <c r="K61" s="4" t="n">
        <v>101.3627</v>
      </c>
      <c r="L61" s="4" t="n">
        <v>101.24295</v>
      </c>
      <c r="M61" s="21" t="n">
        <f t="shared" si="6"/>
        <v>9.7093017E7</v>
      </c>
      <c r="O61" s="9" t="s">
        <v>56</v>
      </c>
    </row>
    <row r="62" spans="2:15" ht="17.25" customHeight="1" x14ac:dyDescent="0.3">
      <c r="B62" s="20" t="n">
        <v>49.0</v>
      </c>
      <c r="C62" s="7" t="s">
        <v>151</v>
      </c>
      <c r="D62" s="4" t="s">
        <v>152</v>
      </c>
      <c r="E62" s="34" t="n">
        <v>9.192256138E9</v>
      </c>
      <c r="F62" s="4" t="n">
        <f t="shared" si="1"/>
        <v>82.4955</v>
      </c>
      <c r="G62" s="4" t="n">
        <f t="shared" si="2"/>
        <v>82.3221</v>
      </c>
      <c r="H62" s="4" t="n">
        <f t="shared" si="3"/>
        <v>100.0</v>
      </c>
      <c r="I62" s="4" t="n">
        <f t="shared" si="4"/>
        <v>60.0</v>
      </c>
      <c r="J62" s="4" t="str">
        <f t="shared" si="5"/>
        <v/>
      </c>
      <c r="K62" s="4" t="n">
        <v>101.3627</v>
      </c>
      <c r="L62" s="4" t="n">
        <v>101.24295</v>
      </c>
      <c r="M62" s="21" t="n">
        <f t="shared" si="6"/>
        <v>9.7093017E7</v>
      </c>
      <c r="O62" s="9" t="s">
        <v>56</v>
      </c>
    </row>
    <row r="63" spans="2:15" ht="17.25" customHeight="1" x14ac:dyDescent="0.3">
      <c r="B63" s="20" t="n">
        <v>50.0</v>
      </c>
      <c r="C63" s="7" t="s">
        <v>153</v>
      </c>
      <c r="D63" s="4" t="s">
        <v>154</v>
      </c>
      <c r="E63" s="34" t="n">
        <v>9.192256139E9</v>
      </c>
      <c r="F63" s="4" t="n">
        <f t="shared" si="1"/>
        <v>82.4955</v>
      </c>
      <c r="G63" s="4" t="n">
        <f t="shared" si="2"/>
        <v>82.3221</v>
      </c>
      <c r="H63" s="4" t="n">
        <f t="shared" si="3"/>
        <v>100.0</v>
      </c>
      <c r="I63" s="4" t="n">
        <f t="shared" si="4"/>
        <v>60.0</v>
      </c>
      <c r="J63" s="4" t="str">
        <f t="shared" si="5"/>
        <v/>
      </c>
      <c r="K63" s="4" t="n">
        <v>101.3627</v>
      </c>
      <c r="L63" s="4" t="n">
        <v>101.24295</v>
      </c>
      <c r="M63" s="21" t="n">
        <f t="shared" si="6"/>
        <v>9.7093018E7</v>
      </c>
      <c r="O63" s="9" t="s">
        <v>56</v>
      </c>
    </row>
    <row r="64" spans="2:15" ht="17.25" customHeight="1" x14ac:dyDescent="0.3">
      <c r="B64" s="20" t="n">
        <v>51.0</v>
      </c>
      <c r="C64" s="7" t="s">
        <v>155</v>
      </c>
      <c r="D64" s="4" t="s">
        <v>156</v>
      </c>
      <c r="E64" s="34" t="n">
        <v>9.192256139E9</v>
      </c>
      <c r="F64" s="4" t="n">
        <f t="shared" si="1"/>
        <v>82.4955</v>
      </c>
      <c r="G64" s="4" t="n">
        <f t="shared" si="2"/>
        <v>82.3221</v>
      </c>
      <c r="H64" s="4" t="n">
        <f t="shared" si="3"/>
        <v>100.0</v>
      </c>
      <c r="I64" s="4" t="n">
        <f t="shared" si="4"/>
        <v>60.0</v>
      </c>
      <c r="J64" s="4" t="str">
        <f t="shared" si="5"/>
        <v/>
      </c>
      <c r="K64" s="4" t="n">
        <v>101.3627</v>
      </c>
      <c r="L64" s="4" t="n">
        <v>101.24295</v>
      </c>
      <c r="M64" s="21" t="n">
        <f t="shared" si="6"/>
        <v>9.7093018E7</v>
      </c>
      <c r="O64" s="9" t="s">
        <v>56</v>
      </c>
    </row>
    <row r="65" spans="2:15" ht="17.25" customHeight="1" x14ac:dyDescent="0.3">
      <c r="B65" s="20" t="n">
        <v>52.0</v>
      </c>
      <c r="C65" s="7" t="s">
        <v>157</v>
      </c>
      <c r="D65" s="4" t="s">
        <v>158</v>
      </c>
      <c r="E65" s="34" t="n">
        <v>9.192256139E9</v>
      </c>
      <c r="F65" s="4" t="n">
        <f t="shared" si="1"/>
        <v>82.4955</v>
      </c>
      <c r="G65" s="4" t="n">
        <f t="shared" si="2"/>
        <v>82.3221</v>
      </c>
      <c r="H65" s="4" t="n">
        <f t="shared" si="3"/>
        <v>100.0</v>
      </c>
      <c r="I65" s="4" t="n">
        <f t="shared" si="4"/>
        <v>60.0</v>
      </c>
      <c r="J65" s="4" t="str">
        <f t="shared" si="5"/>
        <v/>
      </c>
      <c r="K65" s="4" t="n">
        <v>101.3627</v>
      </c>
      <c r="L65" s="4" t="n">
        <v>101.24295</v>
      </c>
      <c r="M65" s="21" t="n">
        <f t="shared" si="6"/>
        <v>9.7093018E7</v>
      </c>
      <c r="O65" s="9" t="s">
        <v>56</v>
      </c>
    </row>
    <row r="66" spans="2:15" ht="17.25" customHeight="1" x14ac:dyDescent="0.3">
      <c r="B66" s="20" t="n">
        <v>53.0</v>
      </c>
      <c r="C66" s="7" t="s">
        <v>159</v>
      </c>
      <c r="D66" s="4" t="s">
        <v>160</v>
      </c>
      <c r="E66" s="34" t="n">
        <v>9.192256141E9</v>
      </c>
      <c r="F66" s="4" t="n">
        <f t="shared" si="1"/>
        <v>82.4955</v>
      </c>
      <c r="G66" s="4" t="n">
        <f t="shared" si="2"/>
        <v>82.3221</v>
      </c>
      <c r="H66" s="4" t="n">
        <f t="shared" si="3"/>
        <v>100.0</v>
      </c>
      <c r="I66" s="4" t="n">
        <f t="shared" si="4"/>
        <v>60.0</v>
      </c>
      <c r="J66" s="4" t="str">
        <f t="shared" si="5"/>
        <v/>
      </c>
      <c r="K66" s="4" t="n">
        <v>101.3627</v>
      </c>
      <c r="L66" s="4" t="n">
        <v>101.24295</v>
      </c>
      <c r="M66" s="21" t="n">
        <f t="shared" si="6"/>
        <v>9.709302E7</v>
      </c>
      <c r="O66" s="9" t="s">
        <v>56</v>
      </c>
    </row>
    <row r="67" spans="2:15" ht="17.25" customHeight="1" x14ac:dyDescent="0.3">
      <c r="B67" s="20" t="n">
        <v>54.0</v>
      </c>
      <c r="C67" s="7" t="s">
        <v>161</v>
      </c>
      <c r="D67" s="4" t="s">
        <v>162</v>
      </c>
      <c r="E67" s="34" t="n">
        <v>9.192256146E9</v>
      </c>
      <c r="F67" s="4" t="n">
        <f t="shared" si="1"/>
        <v>82.4955</v>
      </c>
      <c r="G67" s="4" t="n">
        <f t="shared" si="2"/>
        <v>82.3221</v>
      </c>
      <c r="H67" s="4" t="n">
        <f t="shared" si="3"/>
        <v>100.0</v>
      </c>
      <c r="I67" s="4" t="n">
        <f t="shared" si="4"/>
        <v>60.0</v>
      </c>
      <c r="J67" s="4" t="str">
        <f t="shared" si="5"/>
        <v/>
      </c>
      <c r="K67" s="4" t="n">
        <v>101.3627</v>
      </c>
      <c r="L67" s="4" t="n">
        <v>101.24295</v>
      </c>
      <c r="M67" s="21" t="n">
        <f t="shared" si="6"/>
        <v>9.7093025E7</v>
      </c>
      <c r="O67" s="9" t="s">
        <v>56</v>
      </c>
    </row>
    <row r="68" spans="2:15" ht="17.25" customHeight="1" x14ac:dyDescent="0.3">
      <c r="B68" s="20" t="n">
        <v>55.0</v>
      </c>
      <c r="C68" s="7" t="s">
        <v>163</v>
      </c>
      <c r="D68" s="4" t="s">
        <v>164</v>
      </c>
      <c r="E68" s="34" t="n">
        <v>9.192256147E9</v>
      </c>
      <c r="F68" s="4" t="n">
        <f t="shared" si="1"/>
        <v>82.4955</v>
      </c>
      <c r="G68" s="4" t="n">
        <f t="shared" si="2"/>
        <v>82.3221</v>
      </c>
      <c r="H68" s="4" t="n">
        <f t="shared" si="3"/>
        <v>100.0</v>
      </c>
      <c r="I68" s="4" t="n">
        <f t="shared" si="4"/>
        <v>60.0</v>
      </c>
      <c r="J68" s="4" t="str">
        <f t="shared" si="5"/>
        <v/>
      </c>
      <c r="K68" s="4" t="n">
        <v>101.3627</v>
      </c>
      <c r="L68" s="4" t="n">
        <v>101.24295</v>
      </c>
      <c r="M68" s="21" t="n">
        <f t="shared" si="6"/>
        <v>9.7093026E7</v>
      </c>
      <c r="O68" s="9" t="s">
        <v>56</v>
      </c>
    </row>
    <row r="69" spans="2:15" ht="17.25" customHeight="1" x14ac:dyDescent="0.3">
      <c r="B69" s="20" t="n">
        <v>56.0</v>
      </c>
      <c r="C69" s="7" t="s">
        <v>165</v>
      </c>
      <c r="D69" s="4" t="s">
        <v>166</v>
      </c>
      <c r="E69" s="34" t="n">
        <v>9.19225615E9</v>
      </c>
      <c r="F69" s="4" t="n">
        <f t="shared" si="1"/>
        <v>82.4955</v>
      </c>
      <c r="G69" s="4" t="n">
        <f t="shared" si="2"/>
        <v>82.3221</v>
      </c>
      <c r="H69" s="4" t="n">
        <f t="shared" si="3"/>
        <v>100.0</v>
      </c>
      <c r="I69" s="4" t="n">
        <f t="shared" si="4"/>
        <v>60.0</v>
      </c>
      <c r="J69" s="4" t="str">
        <f t="shared" si="5"/>
        <v/>
      </c>
      <c r="K69" s="4" t="n">
        <v>101.3627</v>
      </c>
      <c r="L69" s="4" t="n">
        <v>101.24295</v>
      </c>
      <c r="M69" s="21" t="n">
        <f t="shared" si="6"/>
        <v>9.7093029E7</v>
      </c>
      <c r="O69" s="9" t="s">
        <v>56</v>
      </c>
    </row>
    <row r="70" spans="2:15" ht="17.25" customHeight="1" x14ac:dyDescent="0.3">
      <c r="B70" s="20" t="n">
        <v>57.0</v>
      </c>
      <c r="C70" s="7" t="s">
        <v>167</v>
      </c>
      <c r="D70" s="4" t="s">
        <v>168</v>
      </c>
      <c r="E70" s="34" t="n">
        <v>9.192256152E9</v>
      </c>
      <c r="F70" s="4" t="n">
        <f t="shared" si="1"/>
        <v>82.4955</v>
      </c>
      <c r="G70" s="4" t="n">
        <f t="shared" si="2"/>
        <v>82.3221</v>
      </c>
      <c r="H70" s="4" t="n">
        <f t="shared" si="3"/>
        <v>100.0</v>
      </c>
      <c r="I70" s="4" t="n">
        <f t="shared" si="4"/>
        <v>60.0</v>
      </c>
      <c r="J70" s="4" t="str">
        <f t="shared" si="5"/>
        <v/>
      </c>
      <c r="K70" s="4" t="n">
        <v>101.3627</v>
      </c>
      <c r="L70" s="4" t="n">
        <v>101.24295</v>
      </c>
      <c r="M70" s="21" t="n">
        <f t="shared" si="6"/>
        <v>9.7093031E7</v>
      </c>
      <c r="O70" s="9" t="s">
        <v>56</v>
      </c>
    </row>
    <row r="71" spans="2:15" ht="17.25" customHeight="1" x14ac:dyDescent="0.3">
      <c r="B71" s="20" t="n">
        <v>58.0</v>
      </c>
      <c r="C71" s="7" t="s">
        <v>169</v>
      </c>
      <c r="D71" s="4" t="s">
        <v>170</v>
      </c>
      <c r="E71" s="34" t="n">
        <v>9.192256158E9</v>
      </c>
      <c r="F71" s="4" t="n">
        <f t="shared" si="1"/>
        <v>82.4955</v>
      </c>
      <c r="G71" s="4" t="n">
        <f t="shared" si="2"/>
        <v>82.3221</v>
      </c>
      <c r="H71" s="4" t="n">
        <f t="shared" si="3"/>
        <v>100.0</v>
      </c>
      <c r="I71" s="4" t="n">
        <f t="shared" si="4"/>
        <v>60.0</v>
      </c>
      <c r="J71" s="4" t="str">
        <f t="shared" si="5"/>
        <v/>
      </c>
      <c r="K71" s="4" t="n">
        <v>101.3627</v>
      </c>
      <c r="L71" s="4" t="n">
        <v>101.24295</v>
      </c>
      <c r="M71" s="21" t="n">
        <f t="shared" si="6"/>
        <v>9.7093037E7</v>
      </c>
      <c r="O71" s="9" t="s">
        <v>56</v>
      </c>
    </row>
    <row r="72" spans="2:15" ht="17.25" customHeight="1" x14ac:dyDescent="0.3">
      <c r="B72" s="20" t="n">
        <v>59.0</v>
      </c>
      <c r="C72" s="7" t="s">
        <v>171</v>
      </c>
      <c r="D72" s="4" t="s">
        <v>172</v>
      </c>
      <c r="E72" s="34" t="n">
        <v>9.192256165E9</v>
      </c>
      <c r="F72" s="4" t="n">
        <f t="shared" si="1"/>
        <v>82.4955</v>
      </c>
      <c r="G72" s="4" t="n">
        <f t="shared" si="2"/>
        <v>82.3221</v>
      </c>
      <c r="H72" s="4" t="n">
        <f t="shared" si="3"/>
        <v>100.0</v>
      </c>
      <c r="I72" s="4" t="n">
        <f t="shared" si="4"/>
        <v>60.0</v>
      </c>
      <c r="J72" s="4" t="str">
        <f t="shared" si="5"/>
        <v/>
      </c>
      <c r="K72" s="4" t="n">
        <v>101.3627</v>
      </c>
      <c r="L72" s="4" t="n">
        <v>101.24295</v>
      </c>
      <c r="M72" s="21" t="n">
        <f t="shared" si="6"/>
        <v>9.7093044E7</v>
      </c>
      <c r="O72" s="9" t="s">
        <v>56</v>
      </c>
    </row>
    <row r="73" spans="2:15" ht="17.25" customHeight="1" x14ac:dyDescent="0.3">
      <c r="B73" s="20" t="n">
        <v>60.0</v>
      </c>
      <c r="C73" s="7" t="s">
        <v>173</v>
      </c>
      <c r="D73" s="4" t="s">
        <v>174</v>
      </c>
      <c r="E73" s="34" t="n">
        <v>9.192256167E9</v>
      </c>
      <c r="F73" s="4" t="n">
        <f t="shared" si="1"/>
        <v>82.4955</v>
      </c>
      <c r="G73" s="4" t="n">
        <f t="shared" si="2"/>
        <v>82.3221</v>
      </c>
      <c r="H73" s="4" t="n">
        <f t="shared" si="3"/>
        <v>100.0</v>
      </c>
      <c r="I73" s="4" t="n">
        <f t="shared" si="4"/>
        <v>60.0</v>
      </c>
      <c r="J73" s="4" t="str">
        <f t="shared" si="5"/>
        <v/>
      </c>
      <c r="K73" s="4" t="n">
        <v>101.3627</v>
      </c>
      <c r="L73" s="4" t="n">
        <v>101.24295</v>
      </c>
      <c r="M73" s="21" t="n">
        <f t="shared" si="6"/>
        <v>9.7093046E7</v>
      </c>
      <c r="O73" s="9" t="s">
        <v>56</v>
      </c>
    </row>
    <row r="74" spans="2:15" ht="17.25" customHeight="1" x14ac:dyDescent="0.3">
      <c r="B74" s="20" t="n">
        <v>61.0</v>
      </c>
      <c r="C74" s="7" t="s">
        <v>175</v>
      </c>
      <c r="D74" s="4" t="s">
        <v>176</v>
      </c>
      <c r="E74" s="34" t="n">
        <v>9.19225617E9</v>
      </c>
      <c r="F74" s="4" t="n">
        <f t="shared" si="1"/>
        <v>82.4955</v>
      </c>
      <c r="G74" s="4" t="n">
        <f t="shared" si="2"/>
        <v>82.3221</v>
      </c>
      <c r="H74" s="4" t="n">
        <f t="shared" si="3"/>
        <v>100.0</v>
      </c>
      <c r="I74" s="4" t="n">
        <f t="shared" si="4"/>
        <v>60.0</v>
      </c>
      <c r="J74" s="4" t="str">
        <f t="shared" si="5"/>
        <v/>
      </c>
      <c r="K74" s="4" t="n">
        <v>101.3627</v>
      </c>
      <c r="L74" s="4" t="n">
        <v>101.24295</v>
      </c>
      <c r="M74" s="21" t="n">
        <f t="shared" si="6"/>
        <v>9.7093049E7</v>
      </c>
      <c r="O74" s="9" t="s">
        <v>56</v>
      </c>
    </row>
    <row r="75" spans="2:15" ht="17.25" customHeight="1" x14ac:dyDescent="0.3">
      <c r="B75" s="20" t="n">
        <v>62.0</v>
      </c>
      <c r="C75" s="7" t="s">
        <v>177</v>
      </c>
      <c r="D75" s="4" t="s">
        <v>178</v>
      </c>
      <c r="E75" s="34" t="n">
        <v>9.192256174E9</v>
      </c>
      <c r="F75" s="4" t="n">
        <f t="shared" si="1"/>
        <v>82.4955</v>
      </c>
      <c r="G75" s="4" t="n">
        <f t="shared" si="2"/>
        <v>82.3221</v>
      </c>
      <c r="H75" s="4" t="n">
        <f t="shared" si="3"/>
        <v>100.0</v>
      </c>
      <c r="I75" s="4" t="n">
        <f t="shared" si="4"/>
        <v>60.0</v>
      </c>
      <c r="J75" s="4" t="str">
        <f t="shared" si="5"/>
        <v/>
      </c>
      <c r="K75" s="4" t="n">
        <v>101.3627</v>
      </c>
      <c r="L75" s="4" t="n">
        <v>101.24295</v>
      </c>
      <c r="M75" s="21" t="n">
        <f t="shared" si="6"/>
        <v>9.7093053E7</v>
      </c>
      <c r="O75" s="9" t="s">
        <v>56</v>
      </c>
    </row>
    <row r="76" spans="2:15" ht="17.25" customHeight="1" x14ac:dyDescent="0.3">
      <c r="B76" s="20" t="n">
        <v>63.0</v>
      </c>
      <c r="C76" s="7" t="s">
        <v>179</v>
      </c>
      <c r="D76" s="4" t="s">
        <v>180</v>
      </c>
      <c r="E76" s="34" t="n">
        <v>9.192256183E9</v>
      </c>
      <c r="F76" s="4" t="n">
        <f t="shared" si="1"/>
        <v>82.4955</v>
      </c>
      <c r="G76" s="4" t="n">
        <f t="shared" si="2"/>
        <v>82.3221</v>
      </c>
      <c r="H76" s="4" t="n">
        <f t="shared" si="3"/>
        <v>100.0</v>
      </c>
      <c r="I76" s="4" t="n">
        <f t="shared" si="4"/>
        <v>60.0</v>
      </c>
      <c r="J76" s="4" t="str">
        <f t="shared" si="5"/>
        <v/>
      </c>
      <c r="K76" s="4" t="n">
        <v>101.3627</v>
      </c>
      <c r="L76" s="4" t="n">
        <v>101.24295</v>
      </c>
      <c r="M76" s="21" t="n">
        <f t="shared" si="6"/>
        <v>9.7093062E7</v>
      </c>
      <c r="O76" s="9" t="s">
        <v>56</v>
      </c>
    </row>
    <row r="77" spans="2:15" ht="17.25" customHeight="1" x14ac:dyDescent="0.3">
      <c r="B77" s="20" t="n">
        <v>64.0</v>
      </c>
      <c r="C77" s="7" t="s">
        <v>181</v>
      </c>
      <c r="D77" s="4" t="s">
        <v>182</v>
      </c>
      <c r="E77" s="34" t="n">
        <v>9.19225619E9</v>
      </c>
      <c r="F77" s="4" t="n">
        <f t="shared" si="1"/>
        <v>82.4955</v>
      </c>
      <c r="G77" s="4" t="n">
        <f t="shared" si="2"/>
        <v>82.3221</v>
      </c>
      <c r="H77" s="4" t="n">
        <f t="shared" si="3"/>
        <v>100.0</v>
      </c>
      <c r="I77" s="4" t="n">
        <f t="shared" si="4"/>
        <v>60.0</v>
      </c>
      <c r="J77" s="4" t="str">
        <f t="shared" si="5"/>
        <v/>
      </c>
      <c r="K77" s="4" t="n">
        <v>101.3627</v>
      </c>
      <c r="L77" s="4" t="n">
        <v>101.24295</v>
      </c>
      <c r="M77" s="21" t="n">
        <f t="shared" si="6"/>
        <v>9.7093069E7</v>
      </c>
      <c r="O77" s="9" t="s">
        <v>56</v>
      </c>
    </row>
    <row r="78" spans="2:15" ht="17.25" customHeight="1" x14ac:dyDescent="0.3">
      <c r="B78" s="20" t="n">
        <v>65.0</v>
      </c>
      <c r="C78" s="7" t="s">
        <v>183</v>
      </c>
      <c r="D78" s="4" t="s">
        <v>184</v>
      </c>
      <c r="E78" s="34" t="n">
        <v>9.192256197E9</v>
      </c>
      <c r="F78" s="4" t="n">
        <f t="shared" si="1"/>
        <v>82.4955</v>
      </c>
      <c r="G78" s="4" t="n">
        <f t="shared" si="2"/>
        <v>82.3221</v>
      </c>
      <c r="H78" s="4" t="n">
        <f t="shared" si="3"/>
        <v>100.0</v>
      </c>
      <c r="I78" s="4" t="n">
        <f t="shared" si="4"/>
        <v>60.0</v>
      </c>
      <c r="J78" s="4" t="str">
        <f t="shared" si="5"/>
        <v/>
      </c>
      <c r="K78" s="4" t="n">
        <v>101.3627</v>
      </c>
      <c r="L78" s="4" t="n">
        <v>101.24295</v>
      </c>
      <c r="M78" s="21" t="n">
        <f t="shared" si="6"/>
        <v>9.7093076E7</v>
      </c>
      <c r="O78" s="9" t="s">
        <v>56</v>
      </c>
    </row>
    <row r="79" spans="2:15" ht="17.25" customHeight="1" x14ac:dyDescent="0.3">
      <c r="B79" s="20" t="n">
        <v>66.0</v>
      </c>
      <c r="C79" s="7" t="s">
        <v>185</v>
      </c>
      <c r="D79" s="4" t="s">
        <v>186</v>
      </c>
      <c r="E79" s="34" t="n">
        <v>9.1922562E9</v>
      </c>
      <c r="F79" s="4" t="n">
        <f t="shared" ref="F79:F142" si="7">ROUND((E79/$E$7)*100,4)</f>
        <v>82.4955</v>
      </c>
      <c r="G79" s="4" t="n">
        <f t="shared" ref="G79:G142" si="8">ROUND((E79/$E$6)*100,4)</f>
        <v>82.3221</v>
      </c>
      <c r="H79" s="4" t="n">
        <f t="shared" ref="H79:H142" si="9">ROUND((E79/$J$6)*100,4)</f>
        <v>100.0</v>
      </c>
      <c r="I79" s="4" t="n">
        <f t="shared" ref="I79:I142" si="10">IFERROR(ROUND(SQRT(1 - IF(E79&lt;=$J$6, $E$9, $N$9) * POWER((E79-$J$6)/($E$7-$J$6),2)) *$C$9,3), 0)</f>
        <v>60.0</v>
      </c>
      <c r="J79" s="4" t="str">
        <f t="shared" ref="J79:J142" si="11">IF(M79&lt;0,"감점","")</f>
        <v/>
      </c>
      <c r="K79" s="4" t="n">
        <v>101.3627</v>
      </c>
      <c r="L79" s="4" t="n">
        <v>101.24295</v>
      </c>
      <c r="M79" s="21" t="n">
        <f t="shared" ref="M79:M142" si="12">E79-$J$10</f>
        <v>9.7093079E7</v>
      </c>
      <c r="O79" s="9" t="s">
        <v>56</v>
      </c>
    </row>
    <row r="80" spans="2:15" ht="17.25" customHeight="1" x14ac:dyDescent="0.3">
      <c r="B80" s="20" t="n">
        <v>67.0</v>
      </c>
      <c r="C80" s="7" t="s">
        <v>187</v>
      </c>
      <c r="D80" s="4" t="s">
        <v>188</v>
      </c>
      <c r="E80" s="34" t="n">
        <v>9.192256207E9</v>
      </c>
      <c r="F80" s="4" t="n">
        <f t="shared" si="7"/>
        <v>82.4955</v>
      </c>
      <c r="G80" s="4" t="n">
        <f t="shared" si="8"/>
        <v>82.3221</v>
      </c>
      <c r="H80" s="4" t="n">
        <f t="shared" si="9"/>
        <v>100.0</v>
      </c>
      <c r="I80" s="4" t="n">
        <f t="shared" si="10"/>
        <v>60.0</v>
      </c>
      <c r="J80" s="4" t="str">
        <f t="shared" si="11"/>
        <v/>
      </c>
      <c r="K80" s="4" t="n">
        <v>101.3627</v>
      </c>
      <c r="L80" s="4" t="n">
        <v>101.24295</v>
      </c>
      <c r="M80" s="21" t="n">
        <f t="shared" si="12"/>
        <v>9.7093086E7</v>
      </c>
      <c r="O80" s="9" t="s">
        <v>56</v>
      </c>
    </row>
    <row r="81" spans="2:15" ht="17.25" customHeight="1" x14ac:dyDescent="0.3">
      <c r="B81" s="20" t="n">
        <v>68.0</v>
      </c>
      <c r="C81" s="7" t="s">
        <v>189</v>
      </c>
      <c r="D81" s="4" t="s">
        <v>190</v>
      </c>
      <c r="E81" s="34" t="n">
        <v>9.19225621E9</v>
      </c>
      <c r="F81" s="4" t="n">
        <f t="shared" si="7"/>
        <v>82.4955</v>
      </c>
      <c r="G81" s="4" t="n">
        <f t="shared" si="8"/>
        <v>82.3221</v>
      </c>
      <c r="H81" s="4" t="n">
        <f t="shared" si="9"/>
        <v>100.0</v>
      </c>
      <c r="I81" s="4" t="n">
        <f t="shared" si="10"/>
        <v>60.0</v>
      </c>
      <c r="J81" s="4" t="str">
        <f t="shared" si="11"/>
        <v/>
      </c>
      <c r="K81" s="4" t="n">
        <v>101.3627</v>
      </c>
      <c r="L81" s="4" t="n">
        <v>101.24295</v>
      </c>
      <c r="M81" s="21" t="n">
        <f t="shared" si="12"/>
        <v>9.7093089E7</v>
      </c>
      <c r="O81" s="9" t="s">
        <v>56</v>
      </c>
    </row>
    <row r="82" spans="2:15" ht="17.25" customHeight="1" x14ac:dyDescent="0.3">
      <c r="B82" s="20" t="n">
        <v>69.0</v>
      </c>
      <c r="C82" s="7" t="s">
        <v>191</v>
      </c>
      <c r="D82" s="4" t="s">
        <v>192</v>
      </c>
      <c r="E82" s="34" t="n">
        <v>9.19225621E9</v>
      </c>
      <c r="F82" s="4" t="n">
        <f t="shared" si="7"/>
        <v>82.4955</v>
      </c>
      <c r="G82" s="4" t="n">
        <f t="shared" si="8"/>
        <v>82.3221</v>
      </c>
      <c r="H82" s="4" t="n">
        <f t="shared" si="9"/>
        <v>100.0</v>
      </c>
      <c r="I82" s="4" t="n">
        <f t="shared" si="10"/>
        <v>60.0</v>
      </c>
      <c r="J82" s="4" t="str">
        <f t="shared" si="11"/>
        <v/>
      </c>
      <c r="K82" s="4" t="n">
        <v>101.3627</v>
      </c>
      <c r="L82" s="4" t="n">
        <v>101.24295</v>
      </c>
      <c r="M82" s="21" t="n">
        <f t="shared" si="12"/>
        <v>9.7093089E7</v>
      </c>
      <c r="O82" s="9" t="s">
        <v>56</v>
      </c>
    </row>
    <row r="83" spans="2:15" ht="17.25" customHeight="1" x14ac:dyDescent="0.3">
      <c r="B83" s="20" t="n">
        <v>70.0</v>
      </c>
      <c r="C83" s="7" t="s">
        <v>193</v>
      </c>
      <c r="D83" s="4" t="s">
        <v>194</v>
      </c>
      <c r="E83" s="34" t="n">
        <v>9.192256215E9</v>
      </c>
      <c r="F83" s="4" t="n">
        <f t="shared" si="7"/>
        <v>82.4955</v>
      </c>
      <c r="G83" s="4" t="n">
        <f t="shared" si="8"/>
        <v>82.3221</v>
      </c>
      <c r="H83" s="4" t="n">
        <f t="shared" si="9"/>
        <v>100.0</v>
      </c>
      <c r="I83" s="4" t="n">
        <f t="shared" si="10"/>
        <v>60.0</v>
      </c>
      <c r="J83" s="4" t="str">
        <f t="shared" si="11"/>
        <v/>
      </c>
      <c r="K83" s="4" t="n">
        <v>101.3627</v>
      </c>
      <c r="L83" s="4" t="n">
        <v>101.24295</v>
      </c>
      <c r="M83" s="21" t="n">
        <f t="shared" si="12"/>
        <v>9.7093094E7</v>
      </c>
      <c r="O83" s="9" t="s">
        <v>56</v>
      </c>
    </row>
    <row r="84" spans="2:15" ht="17.25" customHeight="1" x14ac:dyDescent="0.3">
      <c r="B84" s="20" t="n">
        <v>71.0</v>
      </c>
      <c r="C84" s="7" t="s">
        <v>195</v>
      </c>
      <c r="D84" s="4" t="s">
        <v>196</v>
      </c>
      <c r="E84" s="34" t="n">
        <v>9.192256216E9</v>
      </c>
      <c r="F84" s="4" t="n">
        <f t="shared" si="7"/>
        <v>82.4955</v>
      </c>
      <c r="G84" s="4" t="n">
        <f t="shared" si="8"/>
        <v>82.3221</v>
      </c>
      <c r="H84" s="4" t="n">
        <f t="shared" si="9"/>
        <v>100.0</v>
      </c>
      <c r="I84" s="4" t="n">
        <f t="shared" si="10"/>
        <v>60.0</v>
      </c>
      <c r="J84" s="4" t="str">
        <f t="shared" si="11"/>
        <v/>
      </c>
      <c r="K84" s="4" t="n">
        <v>101.3627</v>
      </c>
      <c r="L84" s="4" t="n">
        <v>101.24295</v>
      </c>
      <c r="M84" s="21" t="n">
        <f t="shared" si="12"/>
        <v>9.7093095E7</v>
      </c>
      <c r="O84" s="9" t="s">
        <v>56</v>
      </c>
    </row>
    <row r="85" spans="2:15" ht="17.25" customHeight="1" x14ac:dyDescent="0.3">
      <c r="B85" s="20" t="n">
        <v>72.0</v>
      </c>
      <c r="C85" s="7" t="s">
        <v>197</v>
      </c>
      <c r="D85" s="4" t="s">
        <v>198</v>
      </c>
      <c r="E85" s="34" t="n">
        <v>9.192256217E9</v>
      </c>
      <c r="F85" s="4" t="n">
        <f t="shared" si="7"/>
        <v>82.4955</v>
      </c>
      <c r="G85" s="4" t="n">
        <f t="shared" si="8"/>
        <v>82.3221</v>
      </c>
      <c r="H85" s="4" t="n">
        <f t="shared" si="9"/>
        <v>100.0</v>
      </c>
      <c r="I85" s="4" t="n">
        <f t="shared" si="10"/>
        <v>60.0</v>
      </c>
      <c r="J85" s="4" t="str">
        <f t="shared" si="11"/>
        <v/>
      </c>
      <c r="K85" s="4" t="n">
        <v>101.3627</v>
      </c>
      <c r="L85" s="4" t="n">
        <v>101.24295</v>
      </c>
      <c r="M85" s="21" t="n">
        <f t="shared" si="12"/>
        <v>9.7093096E7</v>
      </c>
      <c r="O85" s="9" t="s">
        <v>56</v>
      </c>
    </row>
    <row r="86" spans="2:15" ht="17.25" customHeight="1" x14ac:dyDescent="0.3">
      <c r="B86" s="20" t="n">
        <v>73.0</v>
      </c>
      <c r="C86" s="7" t="s">
        <v>199</v>
      </c>
      <c r="D86" s="4" t="s">
        <v>200</v>
      </c>
      <c r="E86" s="34" t="n">
        <v>9.19225622E9</v>
      </c>
      <c r="F86" s="4" t="n">
        <f t="shared" si="7"/>
        <v>82.4955</v>
      </c>
      <c r="G86" s="4" t="n">
        <f t="shared" si="8"/>
        <v>82.3221</v>
      </c>
      <c r="H86" s="4" t="n">
        <f t="shared" si="9"/>
        <v>100.0</v>
      </c>
      <c r="I86" s="4" t="n">
        <f t="shared" si="10"/>
        <v>60.0</v>
      </c>
      <c r="J86" s="4" t="str">
        <f t="shared" si="11"/>
        <v/>
      </c>
      <c r="K86" s="4" t="n">
        <v>101.3627</v>
      </c>
      <c r="L86" s="4" t="n">
        <v>101.24295</v>
      </c>
      <c r="M86" s="21" t="n">
        <f t="shared" si="12"/>
        <v>9.7093099E7</v>
      </c>
      <c r="O86" s="9" t="s">
        <v>56</v>
      </c>
    </row>
    <row r="87" spans="2:15" ht="17.25" customHeight="1" x14ac:dyDescent="0.3">
      <c r="B87" s="20" t="n">
        <v>74.0</v>
      </c>
      <c r="C87" s="7" t="s">
        <v>201</v>
      </c>
      <c r="D87" s="4" t="s">
        <v>202</v>
      </c>
      <c r="E87" s="34" t="n">
        <v>9.192256223E9</v>
      </c>
      <c r="F87" s="4" t="n">
        <f t="shared" si="7"/>
        <v>82.4955</v>
      </c>
      <c r="G87" s="4" t="n">
        <f t="shared" si="8"/>
        <v>82.3221</v>
      </c>
      <c r="H87" s="4" t="n">
        <f t="shared" si="9"/>
        <v>100.0</v>
      </c>
      <c r="I87" s="4" t="n">
        <f t="shared" si="10"/>
        <v>60.0</v>
      </c>
      <c r="J87" s="4" t="str">
        <f t="shared" si="11"/>
        <v/>
      </c>
      <c r="K87" s="4" t="n">
        <v>101.3627</v>
      </c>
      <c r="L87" s="4" t="n">
        <v>101.24295</v>
      </c>
      <c r="M87" s="21" t="n">
        <f t="shared" si="12"/>
        <v>9.7093102E7</v>
      </c>
      <c r="O87" s="9" t="s">
        <v>56</v>
      </c>
    </row>
    <row r="88" spans="2:15" ht="17.25" customHeight="1" x14ac:dyDescent="0.3">
      <c r="B88" s="20" t="n">
        <v>75.0</v>
      </c>
      <c r="C88" s="7" t="s">
        <v>203</v>
      </c>
      <c r="D88" s="4" t="s">
        <v>204</v>
      </c>
      <c r="E88" s="34" t="n">
        <v>9.192256224E9</v>
      </c>
      <c r="F88" s="4" t="n">
        <f t="shared" si="7"/>
        <v>82.4955</v>
      </c>
      <c r="G88" s="4" t="n">
        <f t="shared" si="8"/>
        <v>82.3221</v>
      </c>
      <c r="H88" s="4" t="n">
        <f t="shared" si="9"/>
        <v>100.0</v>
      </c>
      <c r="I88" s="4" t="n">
        <f t="shared" si="10"/>
        <v>60.0</v>
      </c>
      <c r="J88" s="4" t="str">
        <f t="shared" si="11"/>
        <v/>
      </c>
      <c r="K88" s="4" t="n">
        <v>101.3627</v>
      </c>
      <c r="L88" s="4" t="n">
        <v>101.24295</v>
      </c>
      <c r="M88" s="21" t="n">
        <f t="shared" si="12"/>
        <v>9.7093103E7</v>
      </c>
      <c r="O88" s="9" t="s">
        <v>56</v>
      </c>
    </row>
    <row r="89" spans="2:15" ht="17.25" customHeight="1" x14ac:dyDescent="0.3">
      <c r="B89" s="20" t="n">
        <v>76.0</v>
      </c>
      <c r="C89" s="7" t="s">
        <v>205</v>
      </c>
      <c r="D89" s="4" t="s">
        <v>206</v>
      </c>
      <c r="E89" s="34" t="n">
        <v>9.192256227E9</v>
      </c>
      <c r="F89" s="4" t="n">
        <f t="shared" si="7"/>
        <v>82.4955</v>
      </c>
      <c r="G89" s="4" t="n">
        <f t="shared" si="8"/>
        <v>82.3221</v>
      </c>
      <c r="H89" s="4" t="n">
        <f t="shared" si="9"/>
        <v>100.0</v>
      </c>
      <c r="I89" s="4" t="n">
        <f t="shared" si="10"/>
        <v>60.0</v>
      </c>
      <c r="J89" s="4" t="str">
        <f t="shared" si="11"/>
        <v/>
      </c>
      <c r="K89" s="4" t="n">
        <v>101.3627</v>
      </c>
      <c r="L89" s="4" t="n">
        <v>101.24295</v>
      </c>
      <c r="M89" s="21" t="n">
        <f t="shared" si="12"/>
        <v>9.7093106E7</v>
      </c>
      <c r="O89" s="9" t="s">
        <v>56</v>
      </c>
    </row>
    <row r="90" spans="2:15" ht="17.25" customHeight="1" x14ac:dyDescent="0.3">
      <c r="B90" s="20" t="n">
        <v>77.0</v>
      </c>
      <c r="C90" s="7" t="s">
        <v>207</v>
      </c>
      <c r="D90" s="4" t="s">
        <v>208</v>
      </c>
      <c r="E90" s="34" t="n">
        <v>9.19225623E9</v>
      </c>
      <c r="F90" s="4" t="n">
        <f t="shared" si="7"/>
        <v>82.4955</v>
      </c>
      <c r="G90" s="4" t="n">
        <f t="shared" si="8"/>
        <v>82.3221</v>
      </c>
      <c r="H90" s="4" t="n">
        <f t="shared" si="9"/>
        <v>100.0</v>
      </c>
      <c r="I90" s="4" t="n">
        <f t="shared" si="10"/>
        <v>60.0</v>
      </c>
      <c r="J90" s="4" t="str">
        <f t="shared" si="11"/>
        <v/>
      </c>
      <c r="K90" s="4" t="n">
        <v>101.3627</v>
      </c>
      <c r="L90" s="4" t="n">
        <v>101.24295</v>
      </c>
      <c r="M90" s="21" t="n">
        <f t="shared" si="12"/>
        <v>9.7093109E7</v>
      </c>
      <c r="O90" s="9" t="s">
        <v>56</v>
      </c>
    </row>
    <row r="91" spans="2:15" ht="17.25" customHeight="1" x14ac:dyDescent="0.3">
      <c r="B91" s="20" t="n">
        <v>78.0</v>
      </c>
      <c r="C91" s="7" t="s">
        <v>209</v>
      </c>
      <c r="D91" s="4" t="s">
        <v>210</v>
      </c>
      <c r="E91" s="34" t="n">
        <v>9.192256231E9</v>
      </c>
      <c r="F91" s="4" t="n">
        <f t="shared" si="7"/>
        <v>82.4955</v>
      </c>
      <c r="G91" s="4" t="n">
        <f t="shared" si="8"/>
        <v>82.3221</v>
      </c>
      <c r="H91" s="4" t="n">
        <f t="shared" si="9"/>
        <v>100.0</v>
      </c>
      <c r="I91" s="4" t="n">
        <f t="shared" si="10"/>
        <v>60.0</v>
      </c>
      <c r="J91" s="4" t="str">
        <f t="shared" si="11"/>
        <v/>
      </c>
      <c r="K91" s="4" t="n">
        <v>101.3627</v>
      </c>
      <c r="L91" s="4" t="n">
        <v>101.24295</v>
      </c>
      <c r="M91" s="21" t="n">
        <f t="shared" si="12"/>
        <v>9.709311E7</v>
      </c>
      <c r="O91" s="9" t="s">
        <v>56</v>
      </c>
    </row>
    <row r="92" spans="2:15" ht="17.25" customHeight="1" x14ac:dyDescent="0.3">
      <c r="B92" s="20" t="n">
        <v>79.0</v>
      </c>
      <c r="C92" s="7" t="s">
        <v>211</v>
      </c>
      <c r="D92" s="4" t="s">
        <v>212</v>
      </c>
      <c r="E92" s="34" t="n">
        <v>9.192256234E9</v>
      </c>
      <c r="F92" s="4" t="n">
        <f t="shared" si="7"/>
        <v>82.4955</v>
      </c>
      <c r="G92" s="4" t="n">
        <f t="shared" si="8"/>
        <v>82.3221</v>
      </c>
      <c r="H92" s="4" t="n">
        <f t="shared" si="9"/>
        <v>100.0</v>
      </c>
      <c r="I92" s="4" t="n">
        <f t="shared" si="10"/>
        <v>60.0</v>
      </c>
      <c r="J92" s="4" t="str">
        <f t="shared" si="11"/>
        <v/>
      </c>
      <c r="K92" s="4" t="n">
        <v>101.3627</v>
      </c>
      <c r="L92" s="4" t="n">
        <v>101.24295</v>
      </c>
      <c r="M92" s="21" t="n">
        <f t="shared" si="12"/>
        <v>9.7093113E7</v>
      </c>
      <c r="O92" s="9" t="s">
        <v>56</v>
      </c>
    </row>
    <row r="93" spans="2:15" ht="17.25" customHeight="1" x14ac:dyDescent="0.3">
      <c r="B93" s="20" t="n">
        <v>80.0</v>
      </c>
      <c r="C93" s="7" t="s">
        <v>213</v>
      </c>
      <c r="D93" s="4" t="s">
        <v>214</v>
      </c>
      <c r="E93" s="34" t="n">
        <v>9.192256238E9</v>
      </c>
      <c r="F93" s="4" t="n">
        <f t="shared" si="7"/>
        <v>82.4955</v>
      </c>
      <c r="G93" s="4" t="n">
        <f t="shared" si="8"/>
        <v>82.3221</v>
      </c>
      <c r="H93" s="4" t="n">
        <f t="shared" si="9"/>
        <v>100.0</v>
      </c>
      <c r="I93" s="4" t="n">
        <f t="shared" si="10"/>
        <v>60.0</v>
      </c>
      <c r="J93" s="4" t="str">
        <f t="shared" si="11"/>
        <v/>
      </c>
      <c r="K93" s="4" t="n">
        <v>101.3627</v>
      </c>
      <c r="L93" s="4" t="n">
        <v>101.24295</v>
      </c>
      <c r="M93" s="21" t="n">
        <f t="shared" si="12"/>
        <v>9.7093117E7</v>
      </c>
      <c r="O93" s="9" t="s">
        <v>56</v>
      </c>
    </row>
    <row r="94" spans="2:15" ht="17.25" customHeight="1" x14ac:dyDescent="0.3">
      <c r="B94" s="20" t="n">
        <v>81.0</v>
      </c>
      <c r="C94" s="7" t="s">
        <v>215</v>
      </c>
      <c r="D94" s="4" t="s">
        <v>216</v>
      </c>
      <c r="E94" s="34" t="n">
        <v>9.19225624E9</v>
      </c>
      <c r="F94" s="4" t="n">
        <f t="shared" si="7"/>
        <v>82.4955</v>
      </c>
      <c r="G94" s="4" t="n">
        <f t="shared" si="8"/>
        <v>82.3221</v>
      </c>
      <c r="H94" s="4" t="n">
        <f t="shared" si="9"/>
        <v>100.0</v>
      </c>
      <c r="I94" s="4" t="n">
        <f t="shared" si="10"/>
        <v>60.0</v>
      </c>
      <c r="J94" s="4" t="str">
        <f t="shared" si="11"/>
        <v/>
      </c>
      <c r="K94" s="4" t="n">
        <v>101.3627</v>
      </c>
      <c r="L94" s="4" t="n">
        <v>101.24295</v>
      </c>
      <c r="M94" s="21" t="n">
        <f t="shared" si="12"/>
        <v>9.7093119E7</v>
      </c>
      <c r="O94" s="9" t="s">
        <v>56</v>
      </c>
    </row>
    <row r="95" spans="2:15" ht="17.25" customHeight="1" x14ac:dyDescent="0.3">
      <c r="B95" s="20" t="n">
        <v>82.0</v>
      </c>
      <c r="C95" s="7" t="s">
        <v>217</v>
      </c>
      <c r="D95" s="4" t="s">
        <v>218</v>
      </c>
      <c r="E95" s="34" t="n">
        <v>9.192256245E9</v>
      </c>
      <c r="F95" s="4" t="n">
        <f t="shared" si="7"/>
        <v>82.4955</v>
      </c>
      <c r="G95" s="4" t="n">
        <f t="shared" si="8"/>
        <v>82.3221</v>
      </c>
      <c r="H95" s="4" t="n">
        <f t="shared" si="9"/>
        <v>100.0</v>
      </c>
      <c r="I95" s="4" t="n">
        <f t="shared" si="10"/>
        <v>60.0</v>
      </c>
      <c r="J95" s="4" t="str">
        <f t="shared" si="11"/>
        <v/>
      </c>
      <c r="K95" s="4" t="n">
        <v>101.3627</v>
      </c>
      <c r="L95" s="4" t="n">
        <v>101.24295</v>
      </c>
      <c r="M95" s="21" t="n">
        <f t="shared" si="12"/>
        <v>9.7093124E7</v>
      </c>
      <c r="O95" s="9" t="s">
        <v>56</v>
      </c>
    </row>
    <row r="96" spans="2:15" ht="17.25" customHeight="1" x14ac:dyDescent="0.3">
      <c r="B96" s="20" t="n">
        <v>83.0</v>
      </c>
      <c r="C96" s="7" t="s">
        <v>219</v>
      </c>
      <c r="D96" s="4" t="s">
        <v>220</v>
      </c>
      <c r="E96" s="34" t="n">
        <v>9.19225625E9</v>
      </c>
      <c r="F96" s="4" t="n">
        <f t="shared" si="7"/>
        <v>82.4955</v>
      </c>
      <c r="G96" s="4" t="n">
        <f t="shared" si="8"/>
        <v>82.3221</v>
      </c>
      <c r="H96" s="4" t="n">
        <f t="shared" si="9"/>
        <v>100.0</v>
      </c>
      <c r="I96" s="4" t="n">
        <f t="shared" si="10"/>
        <v>60.0</v>
      </c>
      <c r="J96" s="4" t="str">
        <f t="shared" si="11"/>
        <v/>
      </c>
      <c r="K96" s="4" t="n">
        <v>101.3627</v>
      </c>
      <c r="L96" s="4" t="n">
        <v>101.24295</v>
      </c>
      <c r="M96" s="21" t="n">
        <f t="shared" si="12"/>
        <v>9.7093129E7</v>
      </c>
      <c r="O96" s="9" t="s">
        <v>56</v>
      </c>
    </row>
    <row r="97" spans="2:15" ht="17.25" customHeight="1" x14ac:dyDescent="0.3">
      <c r="B97" s="20" t="n">
        <v>84.0</v>
      </c>
      <c r="C97" s="7" t="s">
        <v>221</v>
      </c>
      <c r="D97" s="4" t="s">
        <v>222</v>
      </c>
      <c r="E97" s="34" t="n">
        <v>9.192256258E9</v>
      </c>
      <c r="F97" s="4" t="n">
        <f t="shared" si="7"/>
        <v>82.4955</v>
      </c>
      <c r="G97" s="4" t="n">
        <f t="shared" si="8"/>
        <v>82.3221</v>
      </c>
      <c r="H97" s="4" t="n">
        <f t="shared" si="9"/>
        <v>100.0</v>
      </c>
      <c r="I97" s="4" t="n">
        <f t="shared" si="10"/>
        <v>60.0</v>
      </c>
      <c r="J97" s="4" t="str">
        <f t="shared" si="11"/>
        <v/>
      </c>
      <c r="K97" s="4" t="n">
        <v>101.3627</v>
      </c>
      <c r="L97" s="4" t="n">
        <v>101.24295</v>
      </c>
      <c r="M97" s="21" t="n">
        <f t="shared" si="12"/>
        <v>9.7093137E7</v>
      </c>
      <c r="O97" s="9" t="s">
        <v>56</v>
      </c>
    </row>
    <row r="98" spans="2:15" ht="17.25" customHeight="1" x14ac:dyDescent="0.3">
      <c r="B98" s="20" t="n">
        <v>85.0</v>
      </c>
      <c r="C98" s="7" t="s">
        <v>223</v>
      </c>
      <c r="D98" s="4" t="s">
        <v>224</v>
      </c>
      <c r="E98" s="34" t="n">
        <v>9.192256259E9</v>
      </c>
      <c r="F98" s="4" t="n">
        <f t="shared" si="7"/>
        <v>82.4955</v>
      </c>
      <c r="G98" s="4" t="n">
        <f t="shared" si="8"/>
        <v>82.3221</v>
      </c>
      <c r="H98" s="4" t="n">
        <f t="shared" si="9"/>
        <v>100.0</v>
      </c>
      <c r="I98" s="4" t="n">
        <f t="shared" si="10"/>
        <v>60.0</v>
      </c>
      <c r="J98" s="4" t="str">
        <f t="shared" si="11"/>
        <v/>
      </c>
      <c r="K98" s="4" t="n">
        <v>101.3627</v>
      </c>
      <c r="L98" s="4" t="n">
        <v>101.24295</v>
      </c>
      <c r="M98" s="21" t="n">
        <f t="shared" si="12"/>
        <v>9.7093138E7</v>
      </c>
      <c r="O98" s="9" t="s">
        <v>56</v>
      </c>
    </row>
    <row r="99" spans="2:15" ht="17.25" customHeight="1" x14ac:dyDescent="0.3">
      <c r="B99" s="20" t="n">
        <v>86.0</v>
      </c>
      <c r="C99" s="7" t="s">
        <v>225</v>
      </c>
      <c r="D99" s="4" t="s">
        <v>226</v>
      </c>
      <c r="E99" s="34" t="n">
        <v>9.19225626E9</v>
      </c>
      <c r="F99" s="4" t="n">
        <f t="shared" si="7"/>
        <v>82.4955</v>
      </c>
      <c r="G99" s="4" t="n">
        <f t="shared" si="8"/>
        <v>82.3221</v>
      </c>
      <c r="H99" s="4" t="n">
        <f t="shared" si="9"/>
        <v>100.0</v>
      </c>
      <c r="I99" s="4" t="n">
        <f t="shared" si="10"/>
        <v>60.0</v>
      </c>
      <c r="J99" s="4" t="str">
        <f t="shared" si="11"/>
        <v/>
      </c>
      <c r="K99" s="4" t="n">
        <v>101.3627</v>
      </c>
      <c r="L99" s="4" t="n">
        <v>101.24295</v>
      </c>
      <c r="M99" s="21" t="n">
        <f t="shared" si="12"/>
        <v>9.7093139E7</v>
      </c>
      <c r="O99" s="9" t="s">
        <v>56</v>
      </c>
    </row>
    <row r="100" spans="2:15" ht="17.25" customHeight="1" x14ac:dyDescent="0.3">
      <c r="B100" s="20" t="n">
        <v>87.0</v>
      </c>
      <c r="C100" s="7" t="s">
        <v>227</v>
      </c>
      <c r="D100" s="4" t="s">
        <v>228</v>
      </c>
      <c r="E100" s="34" t="n">
        <v>9.192256261E9</v>
      </c>
      <c r="F100" s="4" t="n">
        <f t="shared" si="7"/>
        <v>82.4955</v>
      </c>
      <c r="G100" s="4" t="n">
        <f t="shared" si="8"/>
        <v>82.3221</v>
      </c>
      <c r="H100" s="4" t="n">
        <f t="shared" si="9"/>
        <v>100.0</v>
      </c>
      <c r="I100" s="4" t="n">
        <f t="shared" si="10"/>
        <v>60.0</v>
      </c>
      <c r="J100" s="4" t="str">
        <f t="shared" si="11"/>
        <v/>
      </c>
      <c r="K100" s="4" t="n">
        <v>101.3627</v>
      </c>
      <c r="L100" s="4" t="n">
        <v>101.24295</v>
      </c>
      <c r="M100" s="21" t="n">
        <f t="shared" si="12"/>
        <v>9.709314E7</v>
      </c>
      <c r="O100" s="9" t="s">
        <v>56</v>
      </c>
    </row>
    <row r="101" spans="2:15" ht="17.25" customHeight="1" x14ac:dyDescent="0.3">
      <c r="B101" s="20" t="n">
        <v>88.0</v>
      </c>
      <c r="C101" s="7" t="s">
        <v>229</v>
      </c>
      <c r="D101" s="4" t="s">
        <v>230</v>
      </c>
      <c r="E101" s="34" t="n">
        <v>9.192256262E9</v>
      </c>
      <c r="F101" s="4" t="n">
        <f t="shared" si="7"/>
        <v>82.4955</v>
      </c>
      <c r="G101" s="4" t="n">
        <f t="shared" si="8"/>
        <v>82.3221</v>
      </c>
      <c r="H101" s="4" t="n">
        <f t="shared" si="9"/>
        <v>100.0</v>
      </c>
      <c r="I101" s="4" t="n">
        <f t="shared" si="10"/>
        <v>60.0</v>
      </c>
      <c r="J101" s="4" t="str">
        <f t="shared" si="11"/>
        <v/>
      </c>
      <c r="K101" s="4" t="n">
        <v>101.3627</v>
      </c>
      <c r="L101" s="4" t="n">
        <v>101.24295</v>
      </c>
      <c r="M101" s="21" t="n">
        <f t="shared" si="12"/>
        <v>9.7093141E7</v>
      </c>
      <c r="O101" s="9" t="s">
        <v>56</v>
      </c>
    </row>
    <row r="102" spans="2:15" ht="17.25" customHeight="1" x14ac:dyDescent="0.3">
      <c r="B102" s="20" t="n">
        <v>89.0</v>
      </c>
      <c r="C102" s="7" t="s">
        <v>231</v>
      </c>
      <c r="D102" s="4" t="s">
        <v>232</v>
      </c>
      <c r="E102" s="34" t="n">
        <v>9.19225627E9</v>
      </c>
      <c r="F102" s="4" t="n">
        <f t="shared" si="7"/>
        <v>82.4955</v>
      </c>
      <c r="G102" s="4" t="n">
        <f t="shared" si="8"/>
        <v>82.3221</v>
      </c>
      <c r="H102" s="4" t="n">
        <f t="shared" si="9"/>
        <v>100.0</v>
      </c>
      <c r="I102" s="4" t="n">
        <f t="shared" si="10"/>
        <v>60.0</v>
      </c>
      <c r="J102" s="4" t="str">
        <f t="shared" si="11"/>
        <v/>
      </c>
      <c r="K102" s="4" t="n">
        <v>101.3627</v>
      </c>
      <c r="L102" s="4" t="n">
        <v>101.24295</v>
      </c>
      <c r="M102" s="21" t="n">
        <f t="shared" si="12"/>
        <v>9.7093149E7</v>
      </c>
      <c r="O102" s="9" t="s">
        <v>56</v>
      </c>
    </row>
    <row r="103" spans="2:15" ht="17.25" customHeight="1" x14ac:dyDescent="0.3">
      <c r="B103" s="20" t="n">
        <v>90.0</v>
      </c>
      <c r="C103" s="7" t="s">
        <v>233</v>
      </c>
      <c r="D103" s="4" t="s">
        <v>234</v>
      </c>
      <c r="E103" s="34" t="n">
        <v>9.192256271E9</v>
      </c>
      <c r="F103" s="4" t="n">
        <f t="shared" si="7"/>
        <v>82.4955</v>
      </c>
      <c r="G103" s="4" t="n">
        <f t="shared" si="8"/>
        <v>82.3221</v>
      </c>
      <c r="H103" s="4" t="n">
        <f t="shared" si="9"/>
        <v>100.0</v>
      </c>
      <c r="I103" s="4" t="n">
        <f t="shared" si="10"/>
        <v>60.0</v>
      </c>
      <c r="J103" s="4" t="str">
        <f t="shared" si="11"/>
        <v/>
      </c>
      <c r="K103" s="4" t="n">
        <v>101.3627</v>
      </c>
      <c r="L103" s="4" t="n">
        <v>101.24295</v>
      </c>
      <c r="M103" s="21" t="n">
        <f t="shared" si="12"/>
        <v>9.709315E7</v>
      </c>
      <c r="O103" s="9" t="s">
        <v>56</v>
      </c>
    </row>
    <row r="104" spans="2:15" ht="17.25" customHeight="1" x14ac:dyDescent="0.3">
      <c r="B104" s="20" t="n">
        <v>91.0</v>
      </c>
      <c r="C104" s="7" t="s">
        <v>235</v>
      </c>
      <c r="D104" s="4" t="s">
        <v>236</v>
      </c>
      <c r="E104" s="34" t="n">
        <v>9.192256272E9</v>
      </c>
      <c r="F104" s="4" t="n">
        <f t="shared" si="7"/>
        <v>82.4955</v>
      </c>
      <c r="G104" s="4" t="n">
        <f t="shared" si="8"/>
        <v>82.3221</v>
      </c>
      <c r="H104" s="4" t="n">
        <f t="shared" si="9"/>
        <v>100.0</v>
      </c>
      <c r="I104" s="4" t="n">
        <f t="shared" si="10"/>
        <v>60.0</v>
      </c>
      <c r="J104" s="4" t="str">
        <f t="shared" si="11"/>
        <v/>
      </c>
      <c r="K104" s="4" t="n">
        <v>101.3627</v>
      </c>
      <c r="L104" s="4" t="n">
        <v>101.24295</v>
      </c>
      <c r="M104" s="21" t="n">
        <f t="shared" si="12"/>
        <v>9.7093151E7</v>
      </c>
      <c r="O104" s="9" t="s">
        <v>56</v>
      </c>
    </row>
    <row r="105" spans="2:15" ht="17.25" customHeight="1" x14ac:dyDescent="0.3">
      <c r="B105" s="20" t="n">
        <v>92.0</v>
      </c>
      <c r="C105" s="7" t="s">
        <v>237</v>
      </c>
      <c r="D105" s="4" t="s">
        <v>238</v>
      </c>
      <c r="E105" s="34" t="n">
        <v>9.192256273E9</v>
      </c>
      <c r="F105" s="4" t="n">
        <f t="shared" si="7"/>
        <v>82.4955</v>
      </c>
      <c r="G105" s="4" t="n">
        <f t="shared" si="8"/>
        <v>82.3221</v>
      </c>
      <c r="H105" s="4" t="n">
        <f t="shared" si="9"/>
        <v>100.0</v>
      </c>
      <c r="I105" s="4" t="n">
        <f t="shared" si="10"/>
        <v>60.0</v>
      </c>
      <c r="J105" s="4" t="str">
        <f t="shared" si="11"/>
        <v/>
      </c>
      <c r="K105" s="4" t="n">
        <v>101.3627</v>
      </c>
      <c r="L105" s="4" t="n">
        <v>101.24295</v>
      </c>
      <c r="M105" s="21" t="n">
        <f t="shared" si="12"/>
        <v>9.7093152E7</v>
      </c>
      <c r="O105" s="9" t="s">
        <v>56</v>
      </c>
    </row>
    <row r="106" spans="2:15" ht="17.25" customHeight="1" x14ac:dyDescent="0.3">
      <c r="B106" s="20" t="n">
        <v>93.0</v>
      </c>
      <c r="C106" s="7" t="s">
        <v>239</v>
      </c>
      <c r="D106" s="4" t="s">
        <v>240</v>
      </c>
      <c r="E106" s="34" t="n">
        <v>9.192256274E9</v>
      </c>
      <c r="F106" s="4" t="n">
        <f t="shared" si="7"/>
        <v>82.4955</v>
      </c>
      <c r="G106" s="4" t="n">
        <f t="shared" si="8"/>
        <v>82.3221</v>
      </c>
      <c r="H106" s="4" t="n">
        <f t="shared" si="9"/>
        <v>100.0</v>
      </c>
      <c r="I106" s="4" t="n">
        <f t="shared" si="10"/>
        <v>60.0</v>
      </c>
      <c r="J106" s="4" t="str">
        <f t="shared" si="11"/>
        <v/>
      </c>
      <c r="K106" s="4" t="n">
        <v>101.3627</v>
      </c>
      <c r="L106" s="4" t="n">
        <v>101.24295</v>
      </c>
      <c r="M106" s="21" t="n">
        <f t="shared" si="12"/>
        <v>9.7093153E7</v>
      </c>
      <c r="O106" s="9" t="s">
        <v>56</v>
      </c>
    </row>
    <row r="107" spans="2:15" ht="17.25" customHeight="1" x14ac:dyDescent="0.3">
      <c r="B107" s="20" t="n">
        <v>94.0</v>
      </c>
      <c r="C107" s="7" t="s">
        <v>241</v>
      </c>
      <c r="D107" s="4" t="s">
        <v>242</v>
      </c>
      <c r="E107" s="34" t="n">
        <v>9.192256275E9</v>
      </c>
      <c r="F107" s="4" t="n">
        <f t="shared" si="7"/>
        <v>82.4955</v>
      </c>
      <c r="G107" s="4" t="n">
        <f t="shared" si="8"/>
        <v>82.3221</v>
      </c>
      <c r="H107" s="4" t="n">
        <f t="shared" si="9"/>
        <v>100.0</v>
      </c>
      <c r="I107" s="4" t="n">
        <f t="shared" si="10"/>
        <v>60.0</v>
      </c>
      <c r="J107" s="4" t="str">
        <f t="shared" si="11"/>
        <v/>
      </c>
      <c r="K107" s="4" t="n">
        <v>101.3627</v>
      </c>
      <c r="L107" s="4" t="n">
        <v>101.24295</v>
      </c>
      <c r="M107" s="21" t="n">
        <f t="shared" si="12"/>
        <v>9.7093154E7</v>
      </c>
      <c r="O107" s="9" t="s">
        <v>56</v>
      </c>
    </row>
    <row r="108" spans="2:15" ht="17.25" customHeight="1" x14ac:dyDescent="0.3">
      <c r="B108" s="20" t="n">
        <v>95.0</v>
      </c>
      <c r="C108" s="7" t="s">
        <v>243</v>
      </c>
      <c r="D108" s="4" t="s">
        <v>244</v>
      </c>
      <c r="E108" s="34" t="n">
        <v>9.192256276E9</v>
      </c>
      <c r="F108" s="4" t="n">
        <f t="shared" si="7"/>
        <v>82.4955</v>
      </c>
      <c r="G108" s="4" t="n">
        <f t="shared" si="8"/>
        <v>82.3221</v>
      </c>
      <c r="H108" s="4" t="n">
        <f t="shared" si="9"/>
        <v>100.0</v>
      </c>
      <c r="I108" s="4" t="n">
        <f t="shared" si="10"/>
        <v>60.0</v>
      </c>
      <c r="J108" s="4" t="str">
        <f t="shared" si="11"/>
        <v/>
      </c>
      <c r="K108" s="4" t="n">
        <v>101.3627</v>
      </c>
      <c r="L108" s="4" t="n">
        <v>101.24295</v>
      </c>
      <c r="M108" s="21" t="n">
        <f t="shared" si="12"/>
        <v>9.7093155E7</v>
      </c>
      <c r="O108" s="9" t="s">
        <v>56</v>
      </c>
    </row>
    <row r="109" spans="2:15" ht="17.25" customHeight="1" x14ac:dyDescent="0.3">
      <c r="B109" s="20" t="n">
        <v>96.0</v>
      </c>
      <c r="C109" s="7" t="s">
        <v>245</v>
      </c>
      <c r="D109" s="4" t="s">
        <v>246</v>
      </c>
      <c r="E109" s="34" t="n">
        <v>9.192256277E9</v>
      </c>
      <c r="F109" s="4" t="n">
        <f t="shared" si="7"/>
        <v>82.4955</v>
      </c>
      <c r="G109" s="4" t="n">
        <f t="shared" si="8"/>
        <v>82.3221</v>
      </c>
      <c r="H109" s="4" t="n">
        <f t="shared" si="9"/>
        <v>100.0</v>
      </c>
      <c r="I109" s="4" t="n">
        <f t="shared" si="10"/>
        <v>60.0</v>
      </c>
      <c r="J109" s="4" t="str">
        <f t="shared" si="11"/>
        <v/>
      </c>
      <c r="K109" s="4" t="n">
        <v>101.3627</v>
      </c>
      <c r="L109" s="4" t="n">
        <v>101.24295</v>
      </c>
      <c r="M109" s="21" t="n">
        <f t="shared" si="12"/>
        <v>9.7093156E7</v>
      </c>
      <c r="O109" s="9" t="s">
        <v>56</v>
      </c>
    </row>
    <row r="110" spans="2:15" ht="17.25" customHeight="1" x14ac:dyDescent="0.3">
      <c r="B110" s="20" t="n">
        <v>97.0</v>
      </c>
      <c r="C110" s="7" t="s">
        <v>247</v>
      </c>
      <c r="D110" s="4" t="s">
        <v>248</v>
      </c>
      <c r="E110" s="34" t="n">
        <v>9.192256278E9</v>
      </c>
      <c r="F110" s="4" t="n">
        <f t="shared" si="7"/>
        <v>82.4955</v>
      </c>
      <c r="G110" s="4" t="n">
        <f t="shared" si="8"/>
        <v>82.3221</v>
      </c>
      <c r="H110" s="4" t="n">
        <f t="shared" si="9"/>
        <v>100.0</v>
      </c>
      <c r="I110" s="4" t="n">
        <f t="shared" si="10"/>
        <v>60.0</v>
      </c>
      <c r="J110" s="4" t="str">
        <f t="shared" si="11"/>
        <v/>
      </c>
      <c r="K110" s="4" t="n">
        <v>101.3627</v>
      </c>
      <c r="L110" s="4" t="n">
        <v>101.24295</v>
      </c>
      <c r="M110" s="21" t="n">
        <f t="shared" si="12"/>
        <v>9.7093157E7</v>
      </c>
      <c r="O110" s="9" t="s">
        <v>56</v>
      </c>
    </row>
    <row r="111" spans="2:15" ht="17.25" customHeight="1" x14ac:dyDescent="0.3">
      <c r="B111" s="20" t="n">
        <v>98.0</v>
      </c>
      <c r="C111" s="7" t="s">
        <v>249</v>
      </c>
      <c r="D111" s="4" t="s">
        <v>250</v>
      </c>
      <c r="E111" s="34" t="n">
        <v>9.192256279E9</v>
      </c>
      <c r="F111" s="4" t="n">
        <f t="shared" si="7"/>
        <v>82.4955</v>
      </c>
      <c r="G111" s="4" t="n">
        <f t="shared" si="8"/>
        <v>82.3221</v>
      </c>
      <c r="H111" s="4" t="n">
        <f t="shared" si="9"/>
        <v>100.0</v>
      </c>
      <c r="I111" s="4" t="n">
        <f t="shared" si="10"/>
        <v>60.0</v>
      </c>
      <c r="J111" s="4" t="str">
        <f t="shared" si="11"/>
        <v/>
      </c>
      <c r="K111" s="4" t="n">
        <v>101.3627</v>
      </c>
      <c r="L111" s="4" t="n">
        <v>101.24295</v>
      </c>
      <c r="M111" s="21" t="n">
        <f t="shared" si="12"/>
        <v>9.7093158E7</v>
      </c>
      <c r="O111" s="9" t="s">
        <v>56</v>
      </c>
    </row>
    <row r="112" spans="2:15" ht="17.25" customHeight="1" x14ac:dyDescent="0.3">
      <c r="B112" s="20" t="n">
        <v>99.0</v>
      </c>
      <c r="C112" s="7" t="s">
        <v>251</v>
      </c>
      <c r="D112" s="4" t="s">
        <v>252</v>
      </c>
      <c r="E112" s="34" t="n">
        <v>9.19225628E9</v>
      </c>
      <c r="F112" s="4" t="n">
        <f t="shared" si="7"/>
        <v>82.4955</v>
      </c>
      <c r="G112" s="4" t="n">
        <f t="shared" si="8"/>
        <v>82.3221</v>
      </c>
      <c r="H112" s="4" t="n">
        <f t="shared" si="9"/>
        <v>100.0</v>
      </c>
      <c r="I112" s="4" t="n">
        <f t="shared" si="10"/>
        <v>60.0</v>
      </c>
      <c r="J112" s="4" t="str">
        <f t="shared" si="11"/>
        <v/>
      </c>
      <c r="K112" s="4" t="n">
        <v>101.3627</v>
      </c>
      <c r="L112" s="4" t="n">
        <v>101.24295</v>
      </c>
      <c r="M112" s="21" t="n">
        <f t="shared" si="12"/>
        <v>9.7093159E7</v>
      </c>
      <c r="O112" s="9" t="s">
        <v>56</v>
      </c>
    </row>
    <row r="113" spans="2:15" ht="17.25" customHeight="1" x14ac:dyDescent="0.3">
      <c r="B113" s="20" t="n">
        <v>100.0</v>
      </c>
      <c r="C113" s="7" t="s">
        <v>253</v>
      </c>
      <c r="D113" s="4" t="s">
        <v>254</v>
      </c>
      <c r="E113" s="34" t="n">
        <v>9.192256281E9</v>
      </c>
      <c r="F113" s="4" t="n">
        <f t="shared" si="7"/>
        <v>82.4955</v>
      </c>
      <c r="G113" s="4" t="n">
        <f t="shared" si="8"/>
        <v>82.3221</v>
      </c>
      <c r="H113" s="4" t="n">
        <f t="shared" si="9"/>
        <v>100.0</v>
      </c>
      <c r="I113" s="4" t="n">
        <f t="shared" si="10"/>
        <v>60.0</v>
      </c>
      <c r="J113" s="4" t="str">
        <f t="shared" si="11"/>
        <v/>
      </c>
      <c r="K113" s="4" t="n">
        <v>101.3627</v>
      </c>
      <c r="L113" s="4" t="n">
        <v>101.24295</v>
      </c>
      <c r="M113" s="21" t="n">
        <f t="shared" si="12"/>
        <v>9.709316E7</v>
      </c>
      <c r="O113" s="9" t="s">
        <v>56</v>
      </c>
    </row>
    <row r="114" spans="2:15" ht="17.25" customHeight="1" x14ac:dyDescent="0.3">
      <c r="B114" s="20" t="n">
        <v>101.0</v>
      </c>
      <c r="C114" s="7" t="s">
        <v>255</v>
      </c>
      <c r="D114" s="4" t="s">
        <v>256</v>
      </c>
      <c r="E114" s="34" t="n">
        <v>9.192256282E9</v>
      </c>
      <c r="F114" s="4" t="n">
        <f t="shared" si="7"/>
        <v>82.4955</v>
      </c>
      <c r="G114" s="4" t="n">
        <f t="shared" si="8"/>
        <v>82.3221</v>
      </c>
      <c r="H114" s="4" t="n">
        <f t="shared" si="9"/>
        <v>100.0</v>
      </c>
      <c r="I114" s="4" t="n">
        <f t="shared" si="10"/>
        <v>60.0</v>
      </c>
      <c r="J114" s="4" t="str">
        <f t="shared" si="11"/>
        <v/>
      </c>
      <c r="K114" s="4" t="n">
        <v>101.3627</v>
      </c>
      <c r="L114" s="4" t="n">
        <v>101.24295</v>
      </c>
      <c r="M114" s="21" t="n">
        <f t="shared" si="12"/>
        <v>9.7093161E7</v>
      </c>
      <c r="O114" s="9" t="s">
        <v>56</v>
      </c>
    </row>
    <row r="115" spans="2:15" ht="17.25" customHeight="1" x14ac:dyDescent="0.3">
      <c r="B115" s="20" t="n">
        <v>102.0</v>
      </c>
      <c r="C115" s="7" t="s">
        <v>257</v>
      </c>
      <c r="D115" s="4" t="s">
        <v>258</v>
      </c>
      <c r="E115" s="34" t="n">
        <v>9.192256283E9</v>
      </c>
      <c r="F115" s="4" t="n">
        <f t="shared" si="7"/>
        <v>82.4955</v>
      </c>
      <c r="G115" s="4" t="n">
        <f t="shared" si="8"/>
        <v>82.3221</v>
      </c>
      <c r="H115" s="4" t="n">
        <f t="shared" si="9"/>
        <v>100.0</v>
      </c>
      <c r="I115" s="4" t="n">
        <f t="shared" si="10"/>
        <v>60.0</v>
      </c>
      <c r="J115" s="4" t="str">
        <f t="shared" si="11"/>
        <v/>
      </c>
      <c r="K115" s="4" t="n">
        <v>101.3627</v>
      </c>
      <c r="L115" s="4" t="n">
        <v>101.24295</v>
      </c>
      <c r="M115" s="21" t="n">
        <f t="shared" si="12"/>
        <v>9.7093162E7</v>
      </c>
      <c r="O115" s="9" t="s">
        <v>56</v>
      </c>
    </row>
    <row r="116" spans="2:15" ht="17.25" customHeight="1" x14ac:dyDescent="0.3">
      <c r="B116" s="20" t="n">
        <v>103.0</v>
      </c>
      <c r="C116" s="7" t="s">
        <v>259</v>
      </c>
      <c r="D116" s="4" t="s">
        <v>260</v>
      </c>
      <c r="E116" s="34" t="n">
        <v>9.192256283E9</v>
      </c>
      <c r="F116" s="4" t="n">
        <f t="shared" si="7"/>
        <v>82.4955</v>
      </c>
      <c r="G116" s="4" t="n">
        <f t="shared" si="8"/>
        <v>82.3221</v>
      </c>
      <c r="H116" s="4" t="n">
        <f t="shared" si="9"/>
        <v>100.0</v>
      </c>
      <c r="I116" s="4" t="n">
        <f t="shared" si="10"/>
        <v>60.0</v>
      </c>
      <c r="J116" s="4" t="str">
        <f t="shared" si="11"/>
        <v/>
      </c>
      <c r="K116" s="4" t="n">
        <v>101.3627</v>
      </c>
      <c r="L116" s="4" t="n">
        <v>101.24295</v>
      </c>
      <c r="M116" s="21" t="n">
        <f t="shared" si="12"/>
        <v>9.7093162E7</v>
      </c>
      <c r="O116" s="9" t="s">
        <v>56</v>
      </c>
    </row>
    <row r="117" spans="2:15" ht="17.25" customHeight="1" x14ac:dyDescent="0.3">
      <c r="B117" s="20" t="n">
        <v>104.0</v>
      </c>
      <c r="C117" s="7" t="s">
        <v>261</v>
      </c>
      <c r="D117" s="4" t="s">
        <v>262</v>
      </c>
      <c r="E117" s="34" t="n">
        <v>9.192256286E9</v>
      </c>
      <c r="F117" s="4" t="n">
        <f t="shared" si="7"/>
        <v>82.4955</v>
      </c>
      <c r="G117" s="4" t="n">
        <f t="shared" si="8"/>
        <v>82.3221</v>
      </c>
      <c r="H117" s="4" t="n">
        <f t="shared" si="9"/>
        <v>100.0</v>
      </c>
      <c r="I117" s="4" t="n">
        <f t="shared" si="10"/>
        <v>60.0</v>
      </c>
      <c r="J117" s="4" t="str">
        <f t="shared" si="11"/>
        <v/>
      </c>
      <c r="K117" s="4" t="n">
        <v>101.3627</v>
      </c>
      <c r="L117" s="4" t="n">
        <v>101.24295</v>
      </c>
      <c r="M117" s="21" t="n">
        <f t="shared" si="12"/>
        <v>9.7093165E7</v>
      </c>
      <c r="O117" s="9" t="s">
        <v>56</v>
      </c>
    </row>
    <row r="118" spans="2:15" ht="17.25" customHeight="1" x14ac:dyDescent="0.3">
      <c r="B118" s="20" t="n">
        <v>105.0</v>
      </c>
      <c r="C118" s="7" t="s">
        <v>263</v>
      </c>
      <c r="D118" s="4" t="s">
        <v>264</v>
      </c>
      <c r="E118" s="34" t="n">
        <v>9.19225629E9</v>
      </c>
      <c r="F118" s="4" t="n">
        <f t="shared" si="7"/>
        <v>82.4955</v>
      </c>
      <c r="G118" s="4" t="n">
        <f t="shared" si="8"/>
        <v>82.3221</v>
      </c>
      <c r="H118" s="4" t="n">
        <f t="shared" si="9"/>
        <v>100.0</v>
      </c>
      <c r="I118" s="4" t="n">
        <f t="shared" si="10"/>
        <v>60.0</v>
      </c>
      <c r="J118" s="4" t="str">
        <f t="shared" si="11"/>
        <v/>
      </c>
      <c r="K118" s="4" t="n">
        <v>101.3627</v>
      </c>
      <c r="L118" s="4" t="n">
        <v>101.24295</v>
      </c>
      <c r="M118" s="21" t="n">
        <f t="shared" si="12"/>
        <v>9.7093169E7</v>
      </c>
      <c r="O118" s="9" t="s">
        <v>56</v>
      </c>
    </row>
    <row r="119" spans="2:15" ht="17.25" customHeight="1" x14ac:dyDescent="0.3">
      <c r="B119" s="20" t="n">
        <v>106.0</v>
      </c>
      <c r="C119" s="7" t="s">
        <v>265</v>
      </c>
      <c r="D119" s="4" t="s">
        <v>266</v>
      </c>
      <c r="E119" s="34" t="n">
        <v>9.192256292E9</v>
      </c>
      <c r="F119" s="4" t="n">
        <f t="shared" si="7"/>
        <v>82.4955</v>
      </c>
      <c r="G119" s="4" t="n">
        <f t="shared" si="8"/>
        <v>82.3221</v>
      </c>
      <c r="H119" s="4" t="n">
        <f t="shared" si="9"/>
        <v>100.0</v>
      </c>
      <c r="I119" s="4" t="n">
        <f t="shared" si="10"/>
        <v>60.0</v>
      </c>
      <c r="J119" s="4" t="str">
        <f t="shared" si="11"/>
        <v/>
      </c>
      <c r="K119" s="4" t="n">
        <v>101.3627</v>
      </c>
      <c r="L119" s="4" t="n">
        <v>101.24295</v>
      </c>
      <c r="M119" s="21" t="n">
        <f t="shared" si="12"/>
        <v>9.7093171E7</v>
      </c>
      <c r="O119" s="9" t="s">
        <v>56</v>
      </c>
    </row>
    <row r="120" spans="2:15" ht="17.25" customHeight="1" x14ac:dyDescent="0.3">
      <c r="B120" s="20" t="n">
        <v>107.0</v>
      </c>
      <c r="C120" s="7" t="s">
        <v>267</v>
      </c>
      <c r="D120" s="4" t="s">
        <v>268</v>
      </c>
      <c r="E120" s="34" t="n">
        <v>9.192256297E9</v>
      </c>
      <c r="F120" s="4" t="n">
        <f t="shared" si="7"/>
        <v>82.4955</v>
      </c>
      <c r="G120" s="4" t="n">
        <f t="shared" si="8"/>
        <v>82.3221</v>
      </c>
      <c r="H120" s="4" t="n">
        <f t="shared" si="9"/>
        <v>100.0</v>
      </c>
      <c r="I120" s="4" t="n">
        <f t="shared" si="10"/>
        <v>60.0</v>
      </c>
      <c r="J120" s="4" t="str">
        <f t="shared" si="11"/>
        <v/>
      </c>
      <c r="K120" s="4" t="n">
        <v>101.3627</v>
      </c>
      <c r="L120" s="4" t="n">
        <v>101.24295</v>
      </c>
      <c r="M120" s="21" t="n">
        <f t="shared" si="12"/>
        <v>9.7093176E7</v>
      </c>
      <c r="O120" s="9" t="s">
        <v>56</v>
      </c>
    </row>
    <row r="121" spans="2:15" ht="17.25" customHeight="1" x14ac:dyDescent="0.3">
      <c r="B121" s="20" t="n">
        <v>108.0</v>
      </c>
      <c r="C121" s="7" t="s">
        <v>269</v>
      </c>
      <c r="D121" s="4" t="s">
        <v>270</v>
      </c>
      <c r="E121" s="34" t="n">
        <v>9.1922563E9</v>
      </c>
      <c r="F121" s="4" t="n">
        <f t="shared" si="7"/>
        <v>82.4955</v>
      </c>
      <c r="G121" s="4" t="n">
        <f t="shared" si="8"/>
        <v>82.3221</v>
      </c>
      <c r="H121" s="4" t="n">
        <f t="shared" si="9"/>
        <v>100.0</v>
      </c>
      <c r="I121" s="4" t="n">
        <f t="shared" si="10"/>
        <v>60.0</v>
      </c>
      <c r="J121" s="4" t="str">
        <f t="shared" si="11"/>
        <v/>
      </c>
      <c r="K121" s="4" t="n">
        <v>101.3627</v>
      </c>
      <c r="L121" s="4" t="n">
        <v>101.24295</v>
      </c>
      <c r="M121" s="21" t="n">
        <f t="shared" si="12"/>
        <v>9.7093179E7</v>
      </c>
      <c r="O121" s="9" t="s">
        <v>56</v>
      </c>
    </row>
    <row r="122" spans="2:15" ht="17.25" customHeight="1" x14ac:dyDescent="0.3">
      <c r="B122" s="20" t="n">
        <v>109.0</v>
      </c>
      <c r="C122" s="7" t="s">
        <v>271</v>
      </c>
      <c r="D122" s="4" t="s">
        <v>272</v>
      </c>
      <c r="E122" s="34" t="n">
        <v>9.192256308E9</v>
      </c>
      <c r="F122" s="4" t="n">
        <f t="shared" si="7"/>
        <v>82.4955</v>
      </c>
      <c r="G122" s="4" t="n">
        <f t="shared" si="8"/>
        <v>82.3221</v>
      </c>
      <c r="H122" s="4" t="n">
        <f t="shared" si="9"/>
        <v>100.0</v>
      </c>
      <c r="I122" s="4" t="n">
        <f t="shared" si="10"/>
        <v>60.0</v>
      </c>
      <c r="J122" s="4" t="str">
        <f t="shared" si="11"/>
        <v/>
      </c>
      <c r="K122" s="4" t="n">
        <v>101.3627</v>
      </c>
      <c r="L122" s="4" t="n">
        <v>101.24295</v>
      </c>
      <c r="M122" s="21" t="n">
        <f t="shared" si="12"/>
        <v>9.7093187E7</v>
      </c>
      <c r="O122" s="9" t="s">
        <v>56</v>
      </c>
    </row>
    <row r="123" spans="2:15" ht="17.25" customHeight="1" x14ac:dyDescent="0.3">
      <c r="B123" s="20" t="n">
        <v>110.0</v>
      </c>
      <c r="C123" s="7" t="s">
        <v>273</v>
      </c>
      <c r="D123" s="4" t="s">
        <v>274</v>
      </c>
      <c r="E123" s="34" t="n">
        <v>9.192256309E9</v>
      </c>
      <c r="F123" s="4" t="n">
        <f t="shared" si="7"/>
        <v>82.4955</v>
      </c>
      <c r="G123" s="4" t="n">
        <f t="shared" si="8"/>
        <v>82.3221</v>
      </c>
      <c r="H123" s="4" t="n">
        <f t="shared" si="9"/>
        <v>100.0</v>
      </c>
      <c r="I123" s="4" t="n">
        <f t="shared" si="10"/>
        <v>60.0</v>
      </c>
      <c r="J123" s="4" t="str">
        <f t="shared" si="11"/>
        <v/>
      </c>
      <c r="K123" s="4" t="n">
        <v>101.3627</v>
      </c>
      <c r="L123" s="4" t="n">
        <v>101.24295</v>
      </c>
      <c r="M123" s="21" t="n">
        <f t="shared" si="12"/>
        <v>9.7093188E7</v>
      </c>
      <c r="O123" s="9" t="s">
        <v>56</v>
      </c>
    </row>
    <row r="124" spans="2:15" ht="17.25" customHeight="1" x14ac:dyDescent="0.3">
      <c r="B124" s="20" t="n">
        <v>111.0</v>
      </c>
      <c r="C124" s="7" t="s">
        <v>275</v>
      </c>
      <c r="D124" s="4" t="s">
        <v>276</v>
      </c>
      <c r="E124" s="34" t="n">
        <v>9.19225631E9</v>
      </c>
      <c r="F124" s="4" t="n">
        <f t="shared" si="7"/>
        <v>82.4955</v>
      </c>
      <c r="G124" s="4" t="n">
        <f t="shared" si="8"/>
        <v>82.3221</v>
      </c>
      <c r="H124" s="4" t="n">
        <f t="shared" si="9"/>
        <v>100.0</v>
      </c>
      <c r="I124" s="4" t="n">
        <f t="shared" si="10"/>
        <v>60.0</v>
      </c>
      <c r="J124" s="4" t="str">
        <f t="shared" si="11"/>
        <v/>
      </c>
      <c r="K124" s="4" t="n">
        <v>101.3627</v>
      </c>
      <c r="L124" s="4" t="n">
        <v>101.24295</v>
      </c>
      <c r="M124" s="21" t="n">
        <f t="shared" si="12"/>
        <v>9.7093189E7</v>
      </c>
      <c r="O124" s="9" t="s">
        <v>56</v>
      </c>
    </row>
    <row r="125" spans="2:15" ht="17.25" customHeight="1" x14ac:dyDescent="0.3">
      <c r="B125" s="20" t="n">
        <v>112.0</v>
      </c>
      <c r="C125" s="7" t="s">
        <v>277</v>
      </c>
      <c r="D125" s="4" t="s">
        <v>278</v>
      </c>
      <c r="E125" s="34" t="n">
        <v>9.192256312E9</v>
      </c>
      <c r="F125" s="4" t="n">
        <f t="shared" si="7"/>
        <v>82.4955</v>
      </c>
      <c r="G125" s="4" t="n">
        <f t="shared" si="8"/>
        <v>82.3221</v>
      </c>
      <c r="H125" s="4" t="n">
        <f t="shared" si="9"/>
        <v>100.0</v>
      </c>
      <c r="I125" s="4" t="n">
        <f t="shared" si="10"/>
        <v>60.0</v>
      </c>
      <c r="J125" s="4" t="str">
        <f t="shared" si="11"/>
        <v/>
      </c>
      <c r="K125" s="4" t="n">
        <v>101.3627</v>
      </c>
      <c r="L125" s="4" t="n">
        <v>101.24295</v>
      </c>
      <c r="M125" s="21" t="n">
        <f t="shared" si="12"/>
        <v>9.7093191E7</v>
      </c>
      <c r="O125" s="9" t="s">
        <v>56</v>
      </c>
    </row>
    <row r="126" spans="2:15" ht="17.25" customHeight="1" x14ac:dyDescent="0.3">
      <c r="B126" s="20" t="n">
        <v>113.0</v>
      </c>
      <c r="C126" s="7" t="s">
        <v>279</v>
      </c>
      <c r="D126" s="4" t="s">
        <v>280</v>
      </c>
      <c r="E126" s="34" t="n">
        <v>9.19225632E9</v>
      </c>
      <c r="F126" s="4" t="n">
        <f t="shared" si="7"/>
        <v>82.4955</v>
      </c>
      <c r="G126" s="4" t="n">
        <f t="shared" si="8"/>
        <v>82.3221</v>
      </c>
      <c r="H126" s="4" t="n">
        <f t="shared" si="9"/>
        <v>100.0</v>
      </c>
      <c r="I126" s="4" t="n">
        <f t="shared" si="10"/>
        <v>60.0</v>
      </c>
      <c r="J126" s="4" t="str">
        <f t="shared" si="11"/>
        <v/>
      </c>
      <c r="K126" s="4" t="n">
        <v>101.3627</v>
      </c>
      <c r="L126" s="4" t="n">
        <v>101.24295</v>
      </c>
      <c r="M126" s="21" t="n">
        <f t="shared" si="12"/>
        <v>9.7093199E7</v>
      </c>
      <c r="O126" s="9" t="s">
        <v>56</v>
      </c>
    </row>
    <row r="127" spans="2:15" ht="17.25" customHeight="1" x14ac:dyDescent="0.3">
      <c r="B127" s="20" t="n">
        <v>114.0</v>
      </c>
      <c r="C127" s="7" t="s">
        <v>281</v>
      </c>
      <c r="D127" s="4" t="s">
        <v>282</v>
      </c>
      <c r="E127" s="34" t="n">
        <v>9.192256321E9</v>
      </c>
      <c r="F127" s="4" t="n">
        <f t="shared" si="7"/>
        <v>82.4955</v>
      </c>
      <c r="G127" s="4" t="n">
        <f t="shared" si="8"/>
        <v>82.3221</v>
      </c>
      <c r="H127" s="4" t="n">
        <f t="shared" si="9"/>
        <v>100.0</v>
      </c>
      <c r="I127" s="4" t="n">
        <f t="shared" si="10"/>
        <v>60.0</v>
      </c>
      <c r="J127" s="4" t="str">
        <f t="shared" si="11"/>
        <v/>
      </c>
      <c r="K127" s="4" t="n">
        <v>101.3627</v>
      </c>
      <c r="L127" s="4" t="n">
        <v>101.24295</v>
      </c>
      <c r="M127" s="21" t="n">
        <f t="shared" si="12"/>
        <v>9.70932E7</v>
      </c>
      <c r="O127" s="9" t="s">
        <v>56</v>
      </c>
    </row>
    <row r="128" spans="2:15" ht="17.25" customHeight="1" x14ac:dyDescent="0.3">
      <c r="B128" s="20" t="n">
        <v>115.0</v>
      </c>
      <c r="C128" s="7" t="s">
        <v>283</v>
      </c>
      <c r="D128" s="4" t="s">
        <v>284</v>
      </c>
      <c r="E128" s="34" t="n">
        <v>9.192256322E9</v>
      </c>
      <c r="F128" s="4" t="n">
        <f t="shared" si="7"/>
        <v>82.4955</v>
      </c>
      <c r="G128" s="4" t="n">
        <f t="shared" si="8"/>
        <v>82.3221</v>
      </c>
      <c r="H128" s="4" t="n">
        <f t="shared" si="9"/>
        <v>100.0</v>
      </c>
      <c r="I128" s="4" t="n">
        <f t="shared" si="10"/>
        <v>60.0</v>
      </c>
      <c r="J128" s="4" t="str">
        <f t="shared" si="11"/>
        <v/>
      </c>
      <c r="K128" s="4" t="n">
        <v>101.3627</v>
      </c>
      <c r="L128" s="4" t="n">
        <v>101.24295</v>
      </c>
      <c r="M128" s="21" t="n">
        <f t="shared" si="12"/>
        <v>9.7093201E7</v>
      </c>
      <c r="O128" s="9" t="s">
        <v>56</v>
      </c>
    </row>
    <row r="129" spans="2:15" ht="17.25" customHeight="1" x14ac:dyDescent="0.3">
      <c r="B129" s="20" t="n">
        <v>116.0</v>
      </c>
      <c r="C129" s="7" t="s">
        <v>285</v>
      </c>
      <c r="D129" s="4" t="s">
        <v>286</v>
      </c>
      <c r="E129" s="34" t="n">
        <v>9.192256326E9</v>
      </c>
      <c r="F129" s="4" t="n">
        <f t="shared" si="7"/>
        <v>82.4955</v>
      </c>
      <c r="G129" s="4" t="n">
        <f t="shared" si="8"/>
        <v>82.3221</v>
      </c>
      <c r="H129" s="4" t="n">
        <f t="shared" si="9"/>
        <v>100.0</v>
      </c>
      <c r="I129" s="4" t="n">
        <f t="shared" si="10"/>
        <v>60.0</v>
      </c>
      <c r="J129" s="4" t="str">
        <f t="shared" si="11"/>
        <v/>
      </c>
      <c r="K129" s="4" t="n">
        <v>101.3627</v>
      </c>
      <c r="L129" s="4" t="n">
        <v>101.24295</v>
      </c>
      <c r="M129" s="21" t="n">
        <f t="shared" si="12"/>
        <v>9.7093205E7</v>
      </c>
      <c r="O129" s="9" t="s">
        <v>56</v>
      </c>
    </row>
    <row r="130" spans="2:15" ht="17.25" customHeight="1" x14ac:dyDescent="0.3">
      <c r="B130" s="20" t="n">
        <v>117.0</v>
      </c>
      <c r="C130" s="7" t="s">
        <v>287</v>
      </c>
      <c r="D130" s="4" t="s">
        <v>288</v>
      </c>
      <c r="E130" s="34" t="n">
        <v>9.192256326E9</v>
      </c>
      <c r="F130" s="4" t="n">
        <f t="shared" si="7"/>
        <v>82.4955</v>
      </c>
      <c r="G130" s="4" t="n">
        <f t="shared" si="8"/>
        <v>82.3221</v>
      </c>
      <c r="H130" s="4" t="n">
        <f t="shared" si="9"/>
        <v>100.0</v>
      </c>
      <c r="I130" s="4" t="n">
        <f t="shared" si="10"/>
        <v>60.0</v>
      </c>
      <c r="J130" s="4" t="str">
        <f t="shared" si="11"/>
        <v/>
      </c>
      <c r="K130" s="4" t="n">
        <v>101.3627</v>
      </c>
      <c r="L130" s="4" t="n">
        <v>101.24295</v>
      </c>
      <c r="M130" s="21" t="n">
        <f t="shared" si="12"/>
        <v>9.7093205E7</v>
      </c>
      <c r="O130" s="9" t="s">
        <v>56</v>
      </c>
    </row>
    <row r="131" spans="2:15" ht="17.25" customHeight="1" x14ac:dyDescent="0.3">
      <c r="B131" s="20" t="n">
        <v>118.0</v>
      </c>
      <c r="C131" s="7" t="s">
        <v>289</v>
      </c>
      <c r="D131" s="4" t="s">
        <v>290</v>
      </c>
      <c r="E131" s="34" t="n">
        <v>9.192256327E9</v>
      </c>
      <c r="F131" s="4" t="n">
        <f t="shared" si="7"/>
        <v>82.4955</v>
      </c>
      <c r="G131" s="4" t="n">
        <f t="shared" si="8"/>
        <v>82.3221</v>
      </c>
      <c r="H131" s="4" t="n">
        <f t="shared" si="9"/>
        <v>100.0</v>
      </c>
      <c r="I131" s="4" t="n">
        <f t="shared" si="10"/>
        <v>60.0</v>
      </c>
      <c r="J131" s="4" t="str">
        <f t="shared" si="11"/>
        <v/>
      </c>
      <c r="K131" s="4" t="n">
        <v>101.3627</v>
      </c>
      <c r="L131" s="4" t="n">
        <v>101.24295</v>
      </c>
      <c r="M131" s="21" t="n">
        <f t="shared" si="12"/>
        <v>9.7093206E7</v>
      </c>
      <c r="O131" s="9" t="s">
        <v>56</v>
      </c>
    </row>
    <row r="132" spans="2:15" ht="17.25" customHeight="1" x14ac:dyDescent="0.3">
      <c r="B132" s="20" t="n">
        <v>119.0</v>
      </c>
      <c r="C132" s="7" t="s">
        <v>291</v>
      </c>
      <c r="D132" s="4" t="s">
        <v>292</v>
      </c>
      <c r="E132" s="34" t="n">
        <v>9.192256327E9</v>
      </c>
      <c r="F132" s="4" t="n">
        <f t="shared" si="7"/>
        <v>82.4955</v>
      </c>
      <c r="G132" s="4" t="n">
        <f t="shared" si="8"/>
        <v>82.3221</v>
      </c>
      <c r="H132" s="4" t="n">
        <f t="shared" si="9"/>
        <v>100.0</v>
      </c>
      <c r="I132" s="4" t="n">
        <f t="shared" si="10"/>
        <v>60.0</v>
      </c>
      <c r="J132" s="4" t="str">
        <f t="shared" si="11"/>
        <v/>
      </c>
      <c r="K132" s="4" t="n">
        <v>101.3627</v>
      </c>
      <c r="L132" s="4" t="n">
        <v>101.24295</v>
      </c>
      <c r="M132" s="21" t="n">
        <f t="shared" si="12"/>
        <v>9.7093206E7</v>
      </c>
      <c r="O132" s="9" t="s">
        <v>56</v>
      </c>
    </row>
    <row r="133" spans="2:15" ht="17.25" customHeight="1" x14ac:dyDescent="0.3">
      <c r="B133" s="20" t="n">
        <v>120.0</v>
      </c>
      <c r="C133" s="7" t="s">
        <v>293</v>
      </c>
      <c r="D133" s="4" t="s">
        <v>294</v>
      </c>
      <c r="E133" s="34" t="n">
        <v>9.19225633E9</v>
      </c>
      <c r="F133" s="4" t="n">
        <f t="shared" si="7"/>
        <v>82.4955</v>
      </c>
      <c r="G133" s="4" t="n">
        <f t="shared" si="8"/>
        <v>82.3221</v>
      </c>
      <c r="H133" s="4" t="n">
        <f t="shared" si="9"/>
        <v>100.0</v>
      </c>
      <c r="I133" s="4" t="n">
        <f t="shared" si="10"/>
        <v>60.0</v>
      </c>
      <c r="J133" s="4" t="str">
        <f t="shared" si="11"/>
        <v/>
      </c>
      <c r="K133" s="4" t="n">
        <v>101.3627</v>
      </c>
      <c r="L133" s="4" t="n">
        <v>101.24295</v>
      </c>
      <c r="M133" s="21" t="n">
        <f t="shared" si="12"/>
        <v>9.7093209E7</v>
      </c>
      <c r="O133" s="9" t="s">
        <v>56</v>
      </c>
    </row>
    <row r="134" spans="2:15" ht="17.25" customHeight="1" x14ac:dyDescent="0.3">
      <c r="B134" s="20" t="n">
        <v>121.0</v>
      </c>
      <c r="C134" s="7" t="s">
        <v>295</v>
      </c>
      <c r="D134" s="4" t="s">
        <v>296</v>
      </c>
      <c r="E134" s="34" t="n">
        <v>9.192256333E9</v>
      </c>
      <c r="F134" s="4" t="n">
        <f t="shared" si="7"/>
        <v>82.4955</v>
      </c>
      <c r="G134" s="4" t="n">
        <f t="shared" si="8"/>
        <v>82.3221</v>
      </c>
      <c r="H134" s="4" t="n">
        <f t="shared" si="9"/>
        <v>100.0</v>
      </c>
      <c r="I134" s="4" t="n">
        <f t="shared" si="10"/>
        <v>60.0</v>
      </c>
      <c r="J134" s="4" t="str">
        <f t="shared" si="11"/>
        <v/>
      </c>
      <c r="K134" s="4" t="n">
        <v>101.3627</v>
      </c>
      <c r="L134" s="4" t="n">
        <v>101.24295</v>
      </c>
      <c r="M134" s="21" t="n">
        <f t="shared" si="12"/>
        <v>9.7093212E7</v>
      </c>
      <c r="O134" s="9" t="s">
        <v>56</v>
      </c>
    </row>
    <row r="135" spans="2:15" ht="17.25" customHeight="1" x14ac:dyDescent="0.3">
      <c r="B135" s="20" t="n">
        <v>122.0</v>
      </c>
      <c r="C135" s="7" t="s">
        <v>297</v>
      </c>
      <c r="D135" s="4" t="s">
        <v>298</v>
      </c>
      <c r="E135" s="34" t="n">
        <v>9.192256333E9</v>
      </c>
      <c r="F135" s="4" t="n">
        <f t="shared" si="7"/>
        <v>82.4955</v>
      </c>
      <c r="G135" s="4" t="n">
        <f t="shared" si="8"/>
        <v>82.3221</v>
      </c>
      <c r="H135" s="4" t="n">
        <f t="shared" si="9"/>
        <v>100.0</v>
      </c>
      <c r="I135" s="4" t="n">
        <f t="shared" si="10"/>
        <v>60.0</v>
      </c>
      <c r="J135" s="4" t="str">
        <f t="shared" si="11"/>
        <v/>
      </c>
      <c r="K135" s="4" t="n">
        <v>101.3627</v>
      </c>
      <c r="L135" s="4" t="n">
        <v>101.24295</v>
      </c>
      <c r="M135" s="21" t="n">
        <f t="shared" si="12"/>
        <v>9.7093212E7</v>
      </c>
      <c r="O135" s="9" t="s">
        <v>56</v>
      </c>
    </row>
    <row r="136" spans="2:15" ht="17.25" customHeight="1" x14ac:dyDescent="0.3">
      <c r="B136" s="20" t="n">
        <v>123.0</v>
      </c>
      <c r="C136" s="7" t="s">
        <v>299</v>
      </c>
      <c r="D136" s="4" t="s">
        <v>300</v>
      </c>
      <c r="E136" s="34" t="n">
        <v>9.192256333E9</v>
      </c>
      <c r="F136" s="4" t="n">
        <f t="shared" si="7"/>
        <v>82.4955</v>
      </c>
      <c r="G136" s="4" t="n">
        <f t="shared" si="8"/>
        <v>82.3221</v>
      </c>
      <c r="H136" s="4" t="n">
        <f t="shared" si="9"/>
        <v>100.0</v>
      </c>
      <c r="I136" s="4" t="n">
        <f t="shared" si="10"/>
        <v>60.0</v>
      </c>
      <c r="J136" s="4" t="str">
        <f t="shared" si="11"/>
        <v/>
      </c>
      <c r="K136" s="4" t="n">
        <v>101.3627</v>
      </c>
      <c r="L136" s="4" t="n">
        <v>101.24295</v>
      </c>
      <c r="M136" s="21" t="n">
        <f t="shared" si="12"/>
        <v>9.7093212E7</v>
      </c>
      <c r="O136" s="9" t="s">
        <v>56</v>
      </c>
    </row>
    <row r="137" spans="2:15" ht="17.25" customHeight="1" x14ac:dyDescent="0.3">
      <c r="B137" s="20" t="n">
        <v>124.0</v>
      </c>
      <c r="C137" s="7" t="s">
        <v>301</v>
      </c>
      <c r="D137" s="4" t="s">
        <v>302</v>
      </c>
      <c r="E137" s="34" t="n">
        <v>9.192256334E9</v>
      </c>
      <c r="F137" s="4" t="n">
        <f t="shared" si="7"/>
        <v>82.4955</v>
      </c>
      <c r="G137" s="4" t="n">
        <f t="shared" si="8"/>
        <v>82.3221</v>
      </c>
      <c r="H137" s="4" t="n">
        <f t="shared" si="9"/>
        <v>100.0</v>
      </c>
      <c r="I137" s="4" t="n">
        <f t="shared" si="10"/>
        <v>60.0</v>
      </c>
      <c r="J137" s="4" t="str">
        <f t="shared" si="11"/>
        <v/>
      </c>
      <c r="K137" s="4" t="n">
        <v>101.3627</v>
      </c>
      <c r="L137" s="4" t="n">
        <v>101.24295</v>
      </c>
      <c r="M137" s="21" t="n">
        <f t="shared" si="12"/>
        <v>9.7093213E7</v>
      </c>
      <c r="O137" s="9" t="s">
        <v>56</v>
      </c>
    </row>
    <row r="138" spans="2:15" ht="17.25" customHeight="1" x14ac:dyDescent="0.3">
      <c r="B138" s="20" t="n">
        <v>125.0</v>
      </c>
      <c r="C138" s="7" t="s">
        <v>303</v>
      </c>
      <c r="D138" s="4" t="s">
        <v>304</v>
      </c>
      <c r="E138" s="34" t="n">
        <v>9.192256335E9</v>
      </c>
      <c r="F138" s="4" t="n">
        <f t="shared" si="7"/>
        <v>82.4955</v>
      </c>
      <c r="G138" s="4" t="n">
        <f t="shared" si="8"/>
        <v>82.3221</v>
      </c>
      <c r="H138" s="4" t="n">
        <f t="shared" si="9"/>
        <v>100.0</v>
      </c>
      <c r="I138" s="4" t="n">
        <f t="shared" si="10"/>
        <v>60.0</v>
      </c>
      <c r="J138" s="4" t="str">
        <f t="shared" si="11"/>
        <v/>
      </c>
      <c r="K138" s="4" t="n">
        <v>101.3627</v>
      </c>
      <c r="L138" s="4" t="n">
        <v>101.24295</v>
      </c>
      <c r="M138" s="21" t="n">
        <f t="shared" si="12"/>
        <v>9.7093214E7</v>
      </c>
      <c r="O138" s="9" t="s">
        <v>56</v>
      </c>
    </row>
    <row r="139" spans="2:15" ht="17.25" customHeight="1" x14ac:dyDescent="0.3">
      <c r="B139" s="20" t="n">
        <v>126.0</v>
      </c>
      <c r="C139" s="7" t="s">
        <v>305</v>
      </c>
      <c r="D139" s="4" t="s">
        <v>306</v>
      </c>
      <c r="E139" s="34" t="n">
        <v>9.192256335E9</v>
      </c>
      <c r="F139" s="4" t="n">
        <f t="shared" si="7"/>
        <v>82.4955</v>
      </c>
      <c r="G139" s="4" t="n">
        <f t="shared" si="8"/>
        <v>82.3221</v>
      </c>
      <c r="H139" s="4" t="n">
        <f t="shared" si="9"/>
        <v>100.0</v>
      </c>
      <c r="I139" s="4" t="n">
        <f t="shared" si="10"/>
        <v>60.0</v>
      </c>
      <c r="J139" s="4" t="str">
        <f t="shared" si="11"/>
        <v/>
      </c>
      <c r="K139" s="4" t="n">
        <v>101.3627</v>
      </c>
      <c r="L139" s="4" t="n">
        <v>101.24295</v>
      </c>
      <c r="M139" s="21" t="n">
        <f t="shared" si="12"/>
        <v>9.7093214E7</v>
      </c>
      <c r="O139" s="9" t="s">
        <v>56</v>
      </c>
    </row>
    <row r="140" spans="2:15" ht="17.25" customHeight="1" x14ac:dyDescent="0.3">
      <c r="B140" s="20" t="n">
        <v>127.0</v>
      </c>
      <c r="C140" s="7" t="s">
        <v>307</v>
      </c>
      <c r="D140" s="4" t="s">
        <v>308</v>
      </c>
      <c r="E140" s="34" t="n">
        <v>9.192256336E9</v>
      </c>
      <c r="F140" s="4" t="n">
        <f t="shared" si="7"/>
        <v>82.4955</v>
      </c>
      <c r="G140" s="4" t="n">
        <f t="shared" si="8"/>
        <v>82.3221</v>
      </c>
      <c r="H140" s="4" t="n">
        <f t="shared" si="9"/>
        <v>100.0</v>
      </c>
      <c r="I140" s="4" t="n">
        <f t="shared" si="10"/>
        <v>60.0</v>
      </c>
      <c r="J140" s="4" t="str">
        <f t="shared" si="11"/>
        <v/>
      </c>
      <c r="K140" s="4" t="n">
        <v>101.3627</v>
      </c>
      <c r="L140" s="4" t="n">
        <v>101.24295</v>
      </c>
      <c r="M140" s="21" t="n">
        <f t="shared" si="12"/>
        <v>9.7093215E7</v>
      </c>
      <c r="O140" s="9" t="s">
        <v>56</v>
      </c>
    </row>
    <row r="141" spans="2:15" ht="17.25" customHeight="1" x14ac:dyDescent="0.3">
      <c r="B141" s="20" t="n">
        <v>128.0</v>
      </c>
      <c r="C141" s="7" t="s">
        <v>309</v>
      </c>
      <c r="D141" s="4" t="s">
        <v>310</v>
      </c>
      <c r="E141" s="34" t="n">
        <v>9.192256337E9</v>
      </c>
      <c r="F141" s="4" t="n">
        <f t="shared" si="7"/>
        <v>82.4955</v>
      </c>
      <c r="G141" s="4" t="n">
        <f t="shared" si="8"/>
        <v>82.3221</v>
      </c>
      <c r="H141" s="4" t="n">
        <f t="shared" si="9"/>
        <v>100.0</v>
      </c>
      <c r="I141" s="4" t="n">
        <f t="shared" si="10"/>
        <v>60.0</v>
      </c>
      <c r="J141" s="4" t="str">
        <f t="shared" si="11"/>
        <v/>
      </c>
      <c r="K141" s="4" t="n">
        <v>101.3627</v>
      </c>
      <c r="L141" s="4" t="n">
        <v>101.24295</v>
      </c>
      <c r="M141" s="21" t="n">
        <f t="shared" si="12"/>
        <v>9.7093216E7</v>
      </c>
      <c r="O141" s="9" t="s">
        <v>56</v>
      </c>
    </row>
    <row r="142" spans="2:15" ht="17.25" customHeight="1" x14ac:dyDescent="0.3">
      <c r="B142" s="20" t="n">
        <v>129.0</v>
      </c>
      <c r="C142" s="7" t="s">
        <v>311</v>
      </c>
      <c r="D142" s="4" t="s">
        <v>312</v>
      </c>
      <c r="E142" s="34" t="n">
        <v>9.192256338E9</v>
      </c>
      <c r="F142" s="4" t="n">
        <f t="shared" si="7"/>
        <v>82.4955</v>
      </c>
      <c r="G142" s="4" t="n">
        <f t="shared" si="8"/>
        <v>82.3221</v>
      </c>
      <c r="H142" s="4" t="n">
        <f t="shared" si="9"/>
        <v>100.0</v>
      </c>
      <c r="I142" s="4" t="n">
        <f t="shared" si="10"/>
        <v>60.0</v>
      </c>
      <c r="J142" s="4" t="str">
        <f t="shared" si="11"/>
        <v/>
      </c>
      <c r="K142" s="4" t="n">
        <v>101.3627</v>
      </c>
      <c r="L142" s="4" t="n">
        <v>101.24295</v>
      </c>
      <c r="M142" s="21" t="n">
        <f t="shared" si="12"/>
        <v>9.7093217E7</v>
      </c>
      <c r="O142" s="9" t="s">
        <v>56</v>
      </c>
    </row>
    <row r="143" spans="2:15" ht="17.25" customHeight="1" x14ac:dyDescent="0.3">
      <c r="B143" s="20" t="n">
        <v>130.0</v>
      </c>
      <c r="C143" s="7" t="s">
        <v>313</v>
      </c>
      <c r="D143" s="4" t="s">
        <v>314</v>
      </c>
      <c r="E143" s="34" t="n">
        <v>9.192256339E9</v>
      </c>
      <c r="F143" s="4" t="n">
        <f t="shared" ref="F143:F206" si="13">ROUND((E143/$E$7)*100,4)</f>
        <v>82.4955</v>
      </c>
      <c r="G143" s="4" t="n">
        <f t="shared" ref="G143:G206" si="14">ROUND((E143/$E$6)*100,4)</f>
        <v>82.3221</v>
      </c>
      <c r="H143" s="4" t="n">
        <f t="shared" ref="H143:H206" si="15">ROUND((E143/$J$6)*100,4)</f>
        <v>100.0</v>
      </c>
      <c r="I143" s="4" t="n">
        <f t="shared" ref="I143:I206" si="16">IFERROR(ROUND(SQRT(1 - IF(E143&lt;=$J$6, $E$9, $N$9) * POWER((E143-$J$6)/($E$7-$J$6),2)) *$C$9,3), 0)</f>
        <v>60.0</v>
      </c>
      <c r="J143" s="4" t="str">
        <f t="shared" ref="J143:J206" si="17">IF(M143&lt;0,"감점","")</f>
        <v/>
      </c>
      <c r="K143" s="4" t="n">
        <v>101.3627</v>
      </c>
      <c r="L143" s="4" t="n">
        <v>101.24295</v>
      </c>
      <c r="M143" s="21" t="n">
        <f t="shared" ref="M143:M206" si="18">E143-$J$10</f>
        <v>9.7093218E7</v>
      </c>
      <c r="O143" s="9" t="s">
        <v>56</v>
      </c>
    </row>
    <row r="144" spans="2:15" ht="17.25" customHeight="1" x14ac:dyDescent="0.3">
      <c r="B144" s="20" t="n">
        <v>131.0</v>
      </c>
      <c r="C144" s="7" t="s">
        <v>315</v>
      </c>
      <c r="D144" s="4" t="s">
        <v>316</v>
      </c>
      <c r="E144" s="34" t="n">
        <v>9.19225634E9</v>
      </c>
      <c r="F144" s="4" t="n">
        <f t="shared" si="13"/>
        <v>82.4955</v>
      </c>
      <c r="G144" s="4" t="n">
        <f t="shared" si="14"/>
        <v>82.3221</v>
      </c>
      <c r="H144" s="4" t="n">
        <f t="shared" si="15"/>
        <v>100.0</v>
      </c>
      <c r="I144" s="4" t="n">
        <f t="shared" si="16"/>
        <v>60.0</v>
      </c>
      <c r="J144" s="4" t="str">
        <f t="shared" si="17"/>
        <v/>
      </c>
      <c r="K144" s="4" t="n">
        <v>101.3627</v>
      </c>
      <c r="L144" s="4" t="n">
        <v>101.24295</v>
      </c>
      <c r="M144" s="21" t="n">
        <f t="shared" si="18"/>
        <v>9.7093219E7</v>
      </c>
      <c r="O144" s="9" t="s">
        <v>56</v>
      </c>
    </row>
    <row r="145" spans="2:15" ht="17.25" customHeight="1" x14ac:dyDescent="0.3">
      <c r="B145" s="20" t="n">
        <v>132.0</v>
      </c>
      <c r="C145" s="7" t="s">
        <v>317</v>
      </c>
      <c r="D145" s="4" t="s">
        <v>318</v>
      </c>
      <c r="E145" s="34" t="n">
        <v>9.192256341E9</v>
      </c>
      <c r="F145" s="4" t="n">
        <f t="shared" si="13"/>
        <v>82.4955</v>
      </c>
      <c r="G145" s="4" t="n">
        <f t="shared" si="14"/>
        <v>82.3221</v>
      </c>
      <c r="H145" s="4" t="n">
        <f t="shared" si="15"/>
        <v>100.0</v>
      </c>
      <c r="I145" s="4" t="n">
        <f t="shared" si="16"/>
        <v>60.0</v>
      </c>
      <c r="J145" s="4" t="str">
        <f t="shared" si="17"/>
        <v/>
      </c>
      <c r="K145" s="4" t="n">
        <v>101.3627</v>
      </c>
      <c r="L145" s="4" t="n">
        <v>101.24295</v>
      </c>
      <c r="M145" s="21" t="n">
        <f t="shared" si="18"/>
        <v>9.709322E7</v>
      </c>
      <c r="O145" s="9" t="s">
        <v>56</v>
      </c>
    </row>
    <row r="146" spans="2:15" ht="17.25" customHeight="1" x14ac:dyDescent="0.3">
      <c r="B146" s="20" t="n">
        <v>133.0</v>
      </c>
      <c r="C146" s="7" t="s">
        <v>319</v>
      </c>
      <c r="D146" s="4" t="s">
        <v>320</v>
      </c>
      <c r="E146" s="34" t="n">
        <v>9.192256344E9</v>
      </c>
      <c r="F146" s="4" t="n">
        <f t="shared" si="13"/>
        <v>82.4955</v>
      </c>
      <c r="G146" s="4" t="n">
        <f t="shared" si="14"/>
        <v>82.3221</v>
      </c>
      <c r="H146" s="4" t="n">
        <f t="shared" si="15"/>
        <v>100.0</v>
      </c>
      <c r="I146" s="4" t="n">
        <f t="shared" si="16"/>
        <v>60.0</v>
      </c>
      <c r="J146" s="4" t="str">
        <f t="shared" si="17"/>
        <v/>
      </c>
      <c r="K146" s="4" t="n">
        <v>101.3627</v>
      </c>
      <c r="L146" s="4" t="n">
        <v>101.24295</v>
      </c>
      <c r="M146" s="21" t="n">
        <f t="shared" si="18"/>
        <v>9.7093223E7</v>
      </c>
      <c r="O146" s="9" t="s">
        <v>56</v>
      </c>
    </row>
    <row r="147" spans="2:15" ht="17.25" customHeight="1" x14ac:dyDescent="0.3">
      <c r="B147" s="20" t="n">
        <v>134.0</v>
      </c>
      <c r="C147" s="7" t="s">
        <v>321</v>
      </c>
      <c r="D147" s="4" t="s">
        <v>322</v>
      </c>
      <c r="E147" s="34" t="n">
        <v>9.192256344E9</v>
      </c>
      <c r="F147" s="4" t="n">
        <f t="shared" si="13"/>
        <v>82.4955</v>
      </c>
      <c r="G147" s="4" t="n">
        <f t="shared" si="14"/>
        <v>82.3221</v>
      </c>
      <c r="H147" s="4" t="n">
        <f t="shared" si="15"/>
        <v>100.0</v>
      </c>
      <c r="I147" s="4" t="n">
        <f t="shared" si="16"/>
        <v>60.0</v>
      </c>
      <c r="J147" s="4" t="str">
        <f t="shared" si="17"/>
        <v/>
      </c>
      <c r="K147" s="4" t="n">
        <v>101.3627</v>
      </c>
      <c r="L147" s="4" t="n">
        <v>101.24295</v>
      </c>
      <c r="M147" s="21" t="n">
        <f t="shared" si="18"/>
        <v>9.7093223E7</v>
      </c>
      <c r="O147" s="9" t="s">
        <v>56</v>
      </c>
    </row>
    <row r="148" spans="2:15" ht="17.25" customHeight="1" x14ac:dyDescent="0.3">
      <c r="B148" s="20" t="n">
        <v>135.0</v>
      </c>
      <c r="C148" s="7" t="s">
        <v>323</v>
      </c>
      <c r="D148" s="4" t="s">
        <v>324</v>
      </c>
      <c r="E148" s="34" t="n">
        <v>9.192256346E9</v>
      </c>
      <c r="F148" s="4" t="n">
        <f t="shared" si="13"/>
        <v>82.4955</v>
      </c>
      <c r="G148" s="4" t="n">
        <f t="shared" si="14"/>
        <v>82.3221</v>
      </c>
      <c r="H148" s="4" t="n">
        <f t="shared" si="15"/>
        <v>100.0</v>
      </c>
      <c r="I148" s="4" t="n">
        <f t="shared" si="16"/>
        <v>60.0</v>
      </c>
      <c r="J148" s="4" t="str">
        <f t="shared" si="17"/>
        <v/>
      </c>
      <c r="K148" s="4" t="n">
        <v>101.3627</v>
      </c>
      <c r="L148" s="4" t="n">
        <v>101.24295</v>
      </c>
      <c r="M148" s="21" t="n">
        <f t="shared" si="18"/>
        <v>9.7093225E7</v>
      </c>
      <c r="O148" s="9" t="s">
        <v>56</v>
      </c>
    </row>
    <row r="149" spans="2:15" ht="17.25" customHeight="1" x14ac:dyDescent="0.3">
      <c r="B149" s="20" t="n">
        <v>136.0</v>
      </c>
      <c r="C149" s="7" t="s">
        <v>325</v>
      </c>
      <c r="D149" s="4" t="s">
        <v>326</v>
      </c>
      <c r="E149" s="34" t="n">
        <v>9.192256347E9</v>
      </c>
      <c r="F149" s="4" t="n">
        <f t="shared" si="13"/>
        <v>82.4955</v>
      </c>
      <c r="G149" s="4" t="n">
        <f t="shared" si="14"/>
        <v>82.3221</v>
      </c>
      <c r="H149" s="4" t="n">
        <f t="shared" si="15"/>
        <v>100.0</v>
      </c>
      <c r="I149" s="4" t="n">
        <f t="shared" si="16"/>
        <v>60.0</v>
      </c>
      <c r="J149" s="4" t="str">
        <f t="shared" si="17"/>
        <v/>
      </c>
      <c r="K149" s="4" t="n">
        <v>101.3627</v>
      </c>
      <c r="L149" s="4" t="n">
        <v>101.24295</v>
      </c>
      <c r="M149" s="21" t="n">
        <f t="shared" si="18"/>
        <v>9.7093226E7</v>
      </c>
      <c r="O149" s="9" t="s">
        <v>56</v>
      </c>
    </row>
    <row r="150" spans="2:15" ht="17.25" customHeight="1" x14ac:dyDescent="0.3">
      <c r="B150" s="20" t="n">
        <v>137.0</v>
      </c>
      <c r="C150" s="7" t="s">
        <v>327</v>
      </c>
      <c r="D150" s="4" t="s">
        <v>328</v>
      </c>
      <c r="E150" s="34" t="n">
        <v>9.192256348E9</v>
      </c>
      <c r="F150" s="4" t="n">
        <f t="shared" si="13"/>
        <v>82.4955</v>
      </c>
      <c r="G150" s="4" t="n">
        <f t="shared" si="14"/>
        <v>82.3221</v>
      </c>
      <c r="H150" s="4" t="n">
        <f t="shared" si="15"/>
        <v>100.0</v>
      </c>
      <c r="I150" s="4" t="n">
        <f t="shared" si="16"/>
        <v>60.0</v>
      </c>
      <c r="J150" s="4" t="str">
        <f t="shared" si="17"/>
        <v/>
      </c>
      <c r="K150" s="4" t="n">
        <v>101.3627</v>
      </c>
      <c r="L150" s="4" t="n">
        <v>101.24295</v>
      </c>
      <c r="M150" s="21" t="n">
        <f t="shared" si="18"/>
        <v>9.7093227E7</v>
      </c>
      <c r="O150" s="9" t="s">
        <v>56</v>
      </c>
    </row>
    <row r="151" spans="2:15" ht="17.25" customHeight="1" x14ac:dyDescent="0.3">
      <c r="B151" s="20" t="n">
        <v>138.0</v>
      </c>
      <c r="C151" s="7" t="s">
        <v>329</v>
      </c>
      <c r="D151" s="4" t="s">
        <v>154</v>
      </c>
      <c r="E151" s="34" t="n">
        <v>9.19225635E9</v>
      </c>
      <c r="F151" s="4" t="n">
        <f t="shared" si="13"/>
        <v>82.4955</v>
      </c>
      <c r="G151" s="4" t="n">
        <f t="shared" si="14"/>
        <v>82.3221</v>
      </c>
      <c r="H151" s="4" t="n">
        <f t="shared" si="15"/>
        <v>100.0</v>
      </c>
      <c r="I151" s="4" t="n">
        <f t="shared" si="16"/>
        <v>60.0</v>
      </c>
      <c r="J151" s="4" t="str">
        <f t="shared" si="17"/>
        <v/>
      </c>
      <c r="K151" s="4" t="n">
        <v>101.3627</v>
      </c>
      <c r="L151" s="4" t="n">
        <v>101.24295</v>
      </c>
      <c r="M151" s="21" t="n">
        <f t="shared" si="18"/>
        <v>9.7093229E7</v>
      </c>
      <c r="O151" s="9" t="s">
        <v>56</v>
      </c>
    </row>
    <row r="152" spans="2:15" ht="17.25" customHeight="1" x14ac:dyDescent="0.3">
      <c r="B152" s="20" t="n">
        <v>139.0</v>
      </c>
      <c r="C152" s="7" t="s">
        <v>330</v>
      </c>
      <c r="D152" s="4" t="s">
        <v>331</v>
      </c>
      <c r="E152" s="34" t="n">
        <v>9.192256355E9</v>
      </c>
      <c r="F152" s="4" t="n">
        <f t="shared" si="13"/>
        <v>82.4955</v>
      </c>
      <c r="G152" s="4" t="n">
        <f t="shared" si="14"/>
        <v>82.3221</v>
      </c>
      <c r="H152" s="4" t="n">
        <f t="shared" si="15"/>
        <v>100.0</v>
      </c>
      <c r="I152" s="4" t="n">
        <f t="shared" si="16"/>
        <v>60.0</v>
      </c>
      <c r="J152" s="4" t="str">
        <f t="shared" si="17"/>
        <v/>
      </c>
      <c r="K152" s="4" t="n">
        <v>101.3627</v>
      </c>
      <c r="L152" s="4" t="n">
        <v>101.24295</v>
      </c>
      <c r="M152" s="21" t="n">
        <f t="shared" si="18"/>
        <v>9.7093234E7</v>
      </c>
      <c r="O152" s="9" t="s">
        <v>56</v>
      </c>
    </row>
    <row r="153" spans="2:15" ht="17.25" customHeight="1" x14ac:dyDescent="0.3">
      <c r="B153" s="20" t="n">
        <v>140.0</v>
      </c>
      <c r="C153" s="7" t="s">
        <v>332</v>
      </c>
      <c r="D153" s="4" t="s">
        <v>333</v>
      </c>
      <c r="E153" s="34" t="n">
        <v>9.192256358E9</v>
      </c>
      <c r="F153" s="4" t="n">
        <f t="shared" si="13"/>
        <v>82.4955</v>
      </c>
      <c r="G153" s="4" t="n">
        <f t="shared" si="14"/>
        <v>82.3221</v>
      </c>
      <c r="H153" s="4" t="n">
        <f t="shared" si="15"/>
        <v>100.0</v>
      </c>
      <c r="I153" s="4" t="n">
        <f t="shared" si="16"/>
        <v>60.0</v>
      </c>
      <c r="J153" s="4" t="str">
        <f t="shared" si="17"/>
        <v/>
      </c>
      <c r="K153" s="4" t="n">
        <v>101.3627</v>
      </c>
      <c r="L153" s="4" t="n">
        <v>101.24295</v>
      </c>
      <c r="M153" s="21" t="n">
        <f t="shared" si="18"/>
        <v>9.7093237E7</v>
      </c>
      <c r="O153" s="9" t="s">
        <v>56</v>
      </c>
    </row>
    <row r="154" spans="2:15" ht="17.25" customHeight="1" x14ac:dyDescent="0.3">
      <c r="B154" s="20" t="n">
        <v>141.0</v>
      </c>
      <c r="C154" s="7" t="s">
        <v>334</v>
      </c>
      <c r="D154" s="4" t="s">
        <v>335</v>
      </c>
      <c r="E154" s="34" t="n">
        <v>9.19225636E9</v>
      </c>
      <c r="F154" s="4" t="n">
        <f t="shared" si="13"/>
        <v>82.4955</v>
      </c>
      <c r="G154" s="4" t="n">
        <f t="shared" si="14"/>
        <v>82.3221</v>
      </c>
      <c r="H154" s="4" t="n">
        <f t="shared" si="15"/>
        <v>100.0</v>
      </c>
      <c r="I154" s="4" t="n">
        <f t="shared" si="16"/>
        <v>60.0</v>
      </c>
      <c r="J154" s="4" t="str">
        <f t="shared" si="17"/>
        <v/>
      </c>
      <c r="K154" s="4" t="n">
        <v>101.3627</v>
      </c>
      <c r="L154" s="4" t="n">
        <v>101.24295</v>
      </c>
      <c r="M154" s="21" t="n">
        <f t="shared" si="18"/>
        <v>9.7093239E7</v>
      </c>
      <c r="O154" s="9" t="s">
        <v>56</v>
      </c>
    </row>
    <row r="155" spans="2:15" ht="17.25" customHeight="1" x14ac:dyDescent="0.3">
      <c r="B155" s="20" t="n">
        <v>142.0</v>
      </c>
      <c r="C155" s="7" t="s">
        <v>336</v>
      </c>
      <c r="D155" s="4" t="s">
        <v>337</v>
      </c>
      <c r="E155" s="34" t="n">
        <v>9.192256364E9</v>
      </c>
      <c r="F155" s="4" t="n">
        <f t="shared" si="13"/>
        <v>82.4955</v>
      </c>
      <c r="G155" s="4" t="n">
        <f t="shared" si="14"/>
        <v>82.3221</v>
      </c>
      <c r="H155" s="4" t="n">
        <f t="shared" si="15"/>
        <v>100.0</v>
      </c>
      <c r="I155" s="4" t="n">
        <f t="shared" si="16"/>
        <v>60.0</v>
      </c>
      <c r="J155" s="4" t="str">
        <f t="shared" si="17"/>
        <v/>
      </c>
      <c r="K155" s="4" t="n">
        <v>101.3627</v>
      </c>
      <c r="L155" s="4" t="n">
        <v>101.24295</v>
      </c>
      <c r="M155" s="21" t="n">
        <f t="shared" si="18"/>
        <v>9.7093243E7</v>
      </c>
      <c r="O155" s="9" t="s">
        <v>56</v>
      </c>
    </row>
    <row r="156" spans="2:15" ht="17.25" customHeight="1" x14ac:dyDescent="0.3">
      <c r="B156" s="20" t="n">
        <v>143.0</v>
      </c>
      <c r="C156" s="7" t="s">
        <v>338</v>
      </c>
      <c r="D156" s="4" t="s">
        <v>339</v>
      </c>
      <c r="E156" s="34" t="n">
        <v>9.192256364E9</v>
      </c>
      <c r="F156" s="4" t="n">
        <f t="shared" si="13"/>
        <v>82.4955</v>
      </c>
      <c r="G156" s="4" t="n">
        <f t="shared" si="14"/>
        <v>82.3221</v>
      </c>
      <c r="H156" s="4" t="n">
        <f t="shared" si="15"/>
        <v>100.0</v>
      </c>
      <c r="I156" s="4" t="n">
        <f t="shared" si="16"/>
        <v>60.0</v>
      </c>
      <c r="J156" s="4" t="str">
        <f t="shared" si="17"/>
        <v/>
      </c>
      <c r="K156" s="4" t="n">
        <v>101.3627</v>
      </c>
      <c r="L156" s="4" t="n">
        <v>101.24295</v>
      </c>
      <c r="M156" s="21" t="n">
        <f t="shared" si="18"/>
        <v>9.7093243E7</v>
      </c>
      <c r="O156" s="9" t="s">
        <v>56</v>
      </c>
    </row>
    <row r="157" spans="2:15" ht="17.25" customHeight="1" x14ac:dyDescent="0.3">
      <c r="B157" s="20" t="n">
        <v>144.0</v>
      </c>
      <c r="C157" s="7" t="s">
        <v>340</v>
      </c>
      <c r="D157" s="4" t="s">
        <v>341</v>
      </c>
      <c r="E157" s="34" t="n">
        <v>9.192256366E9</v>
      </c>
      <c r="F157" s="4" t="n">
        <f t="shared" si="13"/>
        <v>82.4955</v>
      </c>
      <c r="G157" s="4" t="n">
        <f t="shared" si="14"/>
        <v>82.3221</v>
      </c>
      <c r="H157" s="4" t="n">
        <f t="shared" si="15"/>
        <v>100.0</v>
      </c>
      <c r="I157" s="4" t="n">
        <f t="shared" si="16"/>
        <v>60.0</v>
      </c>
      <c r="J157" s="4" t="str">
        <f t="shared" si="17"/>
        <v/>
      </c>
      <c r="K157" s="4" t="n">
        <v>101.3627</v>
      </c>
      <c r="L157" s="4" t="n">
        <v>101.24295</v>
      </c>
      <c r="M157" s="21" t="n">
        <f t="shared" si="18"/>
        <v>9.7093245E7</v>
      </c>
      <c r="O157" s="9" t="s">
        <v>56</v>
      </c>
    </row>
    <row r="158" spans="2:15" ht="17.25" customHeight="1" x14ac:dyDescent="0.3">
      <c r="B158" s="20" t="n">
        <v>145.0</v>
      </c>
      <c r="C158" s="7" t="s">
        <v>342</v>
      </c>
      <c r="D158" s="4" t="s">
        <v>343</v>
      </c>
      <c r="E158" s="34" t="n">
        <v>9.192256369E9</v>
      </c>
      <c r="F158" s="4" t="n">
        <f t="shared" si="13"/>
        <v>82.4955</v>
      </c>
      <c r="G158" s="4" t="n">
        <f t="shared" si="14"/>
        <v>82.3221</v>
      </c>
      <c r="H158" s="4" t="n">
        <f t="shared" si="15"/>
        <v>100.0</v>
      </c>
      <c r="I158" s="4" t="n">
        <f t="shared" si="16"/>
        <v>60.0</v>
      </c>
      <c r="J158" s="4" t="str">
        <f t="shared" si="17"/>
        <v/>
      </c>
      <c r="K158" s="4" t="n">
        <v>101.3627</v>
      </c>
      <c r="L158" s="4" t="n">
        <v>101.24295</v>
      </c>
      <c r="M158" s="21" t="n">
        <f t="shared" si="18"/>
        <v>9.7093248E7</v>
      </c>
      <c r="O158" s="9" t="s">
        <v>56</v>
      </c>
    </row>
    <row r="159" spans="2:15" ht="17.25" customHeight="1" x14ac:dyDescent="0.3">
      <c r="B159" s="20" t="n">
        <v>146.0</v>
      </c>
      <c r="C159" s="7" t="s">
        <v>344</v>
      </c>
      <c r="D159" s="4" t="s">
        <v>345</v>
      </c>
      <c r="E159" s="34" t="n">
        <v>9.192256369E9</v>
      </c>
      <c r="F159" s="4" t="n">
        <f t="shared" si="13"/>
        <v>82.4955</v>
      </c>
      <c r="G159" s="4" t="n">
        <f t="shared" si="14"/>
        <v>82.3221</v>
      </c>
      <c r="H159" s="4" t="n">
        <f t="shared" si="15"/>
        <v>100.0</v>
      </c>
      <c r="I159" s="4" t="n">
        <f t="shared" si="16"/>
        <v>60.0</v>
      </c>
      <c r="J159" s="4" t="str">
        <f t="shared" si="17"/>
        <v/>
      </c>
      <c r="K159" s="4" t="n">
        <v>101.3627</v>
      </c>
      <c r="L159" s="4" t="n">
        <v>101.24295</v>
      </c>
      <c r="M159" s="21" t="n">
        <f t="shared" si="18"/>
        <v>9.7093248E7</v>
      </c>
      <c r="O159" s="9" t="s">
        <v>56</v>
      </c>
    </row>
    <row r="160" spans="2:15" ht="17.25" customHeight="1" x14ac:dyDescent="0.3">
      <c r="B160" s="20" t="n">
        <v>147.0</v>
      </c>
      <c r="C160" s="7" t="s">
        <v>346</v>
      </c>
      <c r="D160" s="4" t="s">
        <v>347</v>
      </c>
      <c r="E160" s="34" t="n">
        <v>9.19225637E9</v>
      </c>
      <c r="F160" s="4" t="n">
        <f t="shared" si="13"/>
        <v>82.4955</v>
      </c>
      <c r="G160" s="4" t="n">
        <f t="shared" si="14"/>
        <v>82.3221</v>
      </c>
      <c r="H160" s="4" t="n">
        <f t="shared" si="15"/>
        <v>100.0</v>
      </c>
      <c r="I160" s="4" t="n">
        <f t="shared" si="16"/>
        <v>60.0</v>
      </c>
      <c r="J160" s="4" t="str">
        <f t="shared" si="17"/>
        <v/>
      </c>
      <c r="K160" s="4" t="n">
        <v>101.3627</v>
      </c>
      <c r="L160" s="4" t="n">
        <v>101.24295</v>
      </c>
      <c r="M160" s="21" t="n">
        <f t="shared" si="18"/>
        <v>9.7093249E7</v>
      </c>
      <c r="O160" s="9" t="s">
        <v>56</v>
      </c>
    </row>
    <row r="161" spans="2:15" ht="17.25" customHeight="1" x14ac:dyDescent="0.3">
      <c r="B161" s="20" t="n">
        <v>148.0</v>
      </c>
      <c r="C161" s="7" t="s">
        <v>348</v>
      </c>
      <c r="D161" s="4" t="s">
        <v>349</v>
      </c>
      <c r="E161" s="34" t="n">
        <v>9.19225637E9</v>
      </c>
      <c r="F161" s="4" t="n">
        <f t="shared" si="13"/>
        <v>82.4955</v>
      </c>
      <c r="G161" s="4" t="n">
        <f t="shared" si="14"/>
        <v>82.3221</v>
      </c>
      <c r="H161" s="4" t="n">
        <f t="shared" si="15"/>
        <v>100.0</v>
      </c>
      <c r="I161" s="4" t="n">
        <f t="shared" si="16"/>
        <v>60.0</v>
      </c>
      <c r="J161" s="4" t="str">
        <f t="shared" si="17"/>
        <v/>
      </c>
      <c r="K161" s="4" t="n">
        <v>101.3627</v>
      </c>
      <c r="L161" s="4" t="n">
        <v>101.24295</v>
      </c>
      <c r="M161" s="21" t="n">
        <f t="shared" si="18"/>
        <v>9.7093249E7</v>
      </c>
      <c r="O161" s="9" t="s">
        <v>56</v>
      </c>
    </row>
    <row r="162" spans="2:15" ht="17.25" customHeight="1" x14ac:dyDescent="0.3">
      <c r="B162" s="20" t="n">
        <v>149.0</v>
      </c>
      <c r="C162" s="7" t="s">
        <v>350</v>
      </c>
      <c r="D162" s="4" t="s">
        <v>351</v>
      </c>
      <c r="E162" s="34" t="n">
        <v>9.192256372E9</v>
      </c>
      <c r="F162" s="4" t="n">
        <f t="shared" si="13"/>
        <v>82.4955</v>
      </c>
      <c r="G162" s="4" t="n">
        <f t="shared" si="14"/>
        <v>82.3221</v>
      </c>
      <c r="H162" s="4" t="n">
        <f t="shared" si="15"/>
        <v>100.0</v>
      </c>
      <c r="I162" s="4" t="n">
        <f t="shared" si="16"/>
        <v>60.0</v>
      </c>
      <c r="J162" s="4" t="str">
        <f t="shared" si="17"/>
        <v/>
      </c>
      <c r="K162" s="4" t="n">
        <v>101.3627</v>
      </c>
      <c r="L162" s="4" t="n">
        <v>101.24295</v>
      </c>
      <c r="M162" s="21" t="n">
        <f t="shared" si="18"/>
        <v>9.7093251E7</v>
      </c>
      <c r="O162" s="9" t="s">
        <v>56</v>
      </c>
    </row>
    <row r="163" spans="2:15" ht="17.25" customHeight="1" x14ac:dyDescent="0.3">
      <c r="B163" s="20" t="n">
        <v>150.0</v>
      </c>
      <c r="C163" s="7" t="s">
        <v>352</v>
      </c>
      <c r="D163" s="4" t="s">
        <v>353</v>
      </c>
      <c r="E163" s="34" t="n">
        <v>9.192256373E9</v>
      </c>
      <c r="F163" s="4" t="n">
        <f t="shared" si="13"/>
        <v>82.4955</v>
      </c>
      <c r="G163" s="4" t="n">
        <f t="shared" si="14"/>
        <v>82.3221</v>
      </c>
      <c r="H163" s="4" t="n">
        <f t="shared" si="15"/>
        <v>100.0</v>
      </c>
      <c r="I163" s="4" t="n">
        <f t="shared" si="16"/>
        <v>60.0</v>
      </c>
      <c r="J163" s="4" t="str">
        <f t="shared" si="17"/>
        <v/>
      </c>
      <c r="K163" s="4" t="n">
        <v>101.3627</v>
      </c>
      <c r="L163" s="4" t="n">
        <v>101.24295</v>
      </c>
      <c r="M163" s="21" t="n">
        <f t="shared" si="18"/>
        <v>9.7093252E7</v>
      </c>
      <c r="O163" s="9" t="s">
        <v>56</v>
      </c>
    </row>
    <row r="164" spans="2:15" ht="17.25" customHeight="1" x14ac:dyDescent="0.3">
      <c r="B164" s="20" t="n">
        <v>151.0</v>
      </c>
      <c r="C164" s="7" t="s">
        <v>354</v>
      </c>
      <c r="D164" s="4" t="s">
        <v>355</v>
      </c>
      <c r="E164" s="34" t="n">
        <v>9.192256374E9</v>
      </c>
      <c r="F164" s="4" t="n">
        <f t="shared" si="13"/>
        <v>82.4955</v>
      </c>
      <c r="G164" s="4" t="n">
        <f t="shared" si="14"/>
        <v>82.3221</v>
      </c>
      <c r="H164" s="4" t="n">
        <f t="shared" si="15"/>
        <v>100.0</v>
      </c>
      <c r="I164" s="4" t="n">
        <f t="shared" si="16"/>
        <v>60.0</v>
      </c>
      <c r="J164" s="4" t="str">
        <f t="shared" si="17"/>
        <v/>
      </c>
      <c r="K164" s="4" t="n">
        <v>101.3627</v>
      </c>
      <c r="L164" s="4" t="n">
        <v>101.24295</v>
      </c>
      <c r="M164" s="21" t="n">
        <f t="shared" si="18"/>
        <v>9.7093253E7</v>
      </c>
      <c r="O164" s="9" t="s">
        <v>56</v>
      </c>
    </row>
    <row r="165" spans="2:15" ht="17.25" customHeight="1" x14ac:dyDescent="0.3">
      <c r="B165" s="20" t="n">
        <v>152.0</v>
      </c>
      <c r="C165" s="7" t="s">
        <v>356</v>
      </c>
      <c r="D165" s="4" t="s">
        <v>357</v>
      </c>
      <c r="E165" s="34" t="n">
        <v>9.192256375E9</v>
      </c>
      <c r="F165" s="4" t="n">
        <f t="shared" si="13"/>
        <v>82.4955</v>
      </c>
      <c r="G165" s="4" t="n">
        <f t="shared" si="14"/>
        <v>82.3221</v>
      </c>
      <c r="H165" s="4" t="n">
        <f t="shared" si="15"/>
        <v>100.0</v>
      </c>
      <c r="I165" s="4" t="n">
        <f t="shared" si="16"/>
        <v>60.0</v>
      </c>
      <c r="J165" s="4" t="str">
        <f t="shared" si="17"/>
        <v/>
      </c>
      <c r="K165" s="4" t="n">
        <v>101.3627</v>
      </c>
      <c r="L165" s="4" t="n">
        <v>101.24295</v>
      </c>
      <c r="M165" s="21" t="n">
        <f t="shared" si="18"/>
        <v>9.7093254E7</v>
      </c>
      <c r="O165" s="9" t="s">
        <v>56</v>
      </c>
    </row>
    <row r="166" spans="2:15" ht="17.25" customHeight="1" x14ac:dyDescent="0.3">
      <c r="B166" s="20" t="n">
        <v>153.0</v>
      </c>
      <c r="C166" s="7" t="s">
        <v>358</v>
      </c>
      <c r="D166" s="4" t="s">
        <v>359</v>
      </c>
      <c r="E166" s="34" t="n">
        <v>9.192256378E9</v>
      </c>
      <c r="F166" s="4" t="n">
        <f t="shared" si="13"/>
        <v>82.4955</v>
      </c>
      <c r="G166" s="4" t="n">
        <f t="shared" si="14"/>
        <v>82.3221</v>
      </c>
      <c r="H166" s="4" t="n">
        <f t="shared" si="15"/>
        <v>100.0</v>
      </c>
      <c r="I166" s="4" t="n">
        <f t="shared" si="16"/>
        <v>60.0</v>
      </c>
      <c r="J166" s="4" t="str">
        <f t="shared" si="17"/>
        <v/>
      </c>
      <c r="K166" s="4" t="n">
        <v>101.3627</v>
      </c>
      <c r="L166" s="4" t="n">
        <v>101.24295</v>
      </c>
      <c r="M166" s="21" t="n">
        <f t="shared" si="18"/>
        <v>9.7093257E7</v>
      </c>
      <c r="O166" s="9" t="s">
        <v>360</v>
      </c>
    </row>
    <row r="167" spans="2:15" ht="17.25" customHeight="1" x14ac:dyDescent="0.3">
      <c r="B167" s="20" t="n">
        <v>154.0</v>
      </c>
      <c r="C167" s="7" t="s">
        <v>361</v>
      </c>
      <c r="D167" s="4" t="s">
        <v>362</v>
      </c>
      <c r="E167" s="34" t="n">
        <v>9.19225638E9</v>
      </c>
      <c r="F167" s="4" t="n">
        <f t="shared" si="13"/>
        <v>82.4955</v>
      </c>
      <c r="G167" s="4" t="n">
        <f t="shared" si="14"/>
        <v>82.3221</v>
      </c>
      <c r="H167" s="4" t="n">
        <f t="shared" si="15"/>
        <v>100.0</v>
      </c>
      <c r="I167" s="4" t="n">
        <f t="shared" si="16"/>
        <v>60.0</v>
      </c>
      <c r="J167" s="4" t="str">
        <f t="shared" si="17"/>
        <v/>
      </c>
      <c r="K167" s="4" t="n">
        <v>101.3627</v>
      </c>
      <c r="L167" s="4" t="n">
        <v>101.24295</v>
      </c>
      <c r="M167" s="21" t="n">
        <f t="shared" si="18"/>
        <v>9.7093259E7</v>
      </c>
      <c r="O167" s="9" t="s">
        <v>56</v>
      </c>
    </row>
    <row r="168" spans="2:15" ht="17.25" customHeight="1" x14ac:dyDescent="0.3">
      <c r="B168" s="20" t="n">
        <v>155.0</v>
      </c>
      <c r="C168" s="7" t="s">
        <v>363</v>
      </c>
      <c r="D168" s="4" t="s">
        <v>364</v>
      </c>
      <c r="E168" s="34" t="n">
        <v>9.19225638E9</v>
      </c>
      <c r="F168" s="4" t="n">
        <f t="shared" si="13"/>
        <v>82.4955</v>
      </c>
      <c r="G168" s="4" t="n">
        <f t="shared" si="14"/>
        <v>82.3221</v>
      </c>
      <c r="H168" s="4" t="n">
        <f t="shared" si="15"/>
        <v>100.0</v>
      </c>
      <c r="I168" s="4" t="n">
        <f t="shared" si="16"/>
        <v>60.0</v>
      </c>
      <c r="J168" s="4" t="str">
        <f t="shared" si="17"/>
        <v/>
      </c>
      <c r="K168" s="4" t="n">
        <v>101.3627</v>
      </c>
      <c r="L168" s="4" t="n">
        <v>101.24295</v>
      </c>
      <c r="M168" s="21" t="n">
        <f t="shared" si="18"/>
        <v>9.7093259E7</v>
      </c>
      <c r="O168" s="9" t="s">
        <v>56</v>
      </c>
    </row>
    <row r="169" spans="2:15" ht="17.25" customHeight="1" x14ac:dyDescent="0.3">
      <c r="B169" s="20" t="n">
        <v>156.0</v>
      </c>
      <c r="C169" s="7" t="s">
        <v>365</v>
      </c>
      <c r="D169" s="4" t="s">
        <v>366</v>
      </c>
      <c r="E169" s="34" t="n">
        <v>9.192256384E9</v>
      </c>
      <c r="F169" s="4" t="n">
        <f t="shared" si="13"/>
        <v>82.4955</v>
      </c>
      <c r="G169" s="4" t="n">
        <f t="shared" si="14"/>
        <v>82.3221</v>
      </c>
      <c r="H169" s="4" t="n">
        <f t="shared" si="15"/>
        <v>100.0</v>
      </c>
      <c r="I169" s="4" t="n">
        <f t="shared" si="16"/>
        <v>60.0</v>
      </c>
      <c r="J169" s="4" t="str">
        <f t="shared" si="17"/>
        <v/>
      </c>
      <c r="K169" s="4" t="n">
        <v>101.3627</v>
      </c>
      <c r="L169" s="4" t="n">
        <v>101.24295</v>
      </c>
      <c r="M169" s="21" t="n">
        <f t="shared" si="18"/>
        <v>9.7093263E7</v>
      </c>
      <c r="O169" s="9" t="s">
        <v>56</v>
      </c>
    </row>
    <row r="170" spans="2:15" ht="17.25" customHeight="1" x14ac:dyDescent="0.3">
      <c r="B170" s="20" t="n">
        <v>157.0</v>
      </c>
      <c r="C170" s="7" t="s">
        <v>367</v>
      </c>
      <c r="D170" s="4" t="s">
        <v>368</v>
      </c>
      <c r="E170" s="34" t="n">
        <v>9.192256385E9</v>
      </c>
      <c r="F170" s="4" t="n">
        <f t="shared" si="13"/>
        <v>82.4955</v>
      </c>
      <c r="G170" s="4" t="n">
        <f t="shared" si="14"/>
        <v>82.3221</v>
      </c>
      <c r="H170" s="4" t="n">
        <f t="shared" si="15"/>
        <v>100.0</v>
      </c>
      <c r="I170" s="4" t="n">
        <f t="shared" si="16"/>
        <v>60.0</v>
      </c>
      <c r="J170" s="4" t="str">
        <f t="shared" si="17"/>
        <v/>
      </c>
      <c r="K170" s="4" t="n">
        <v>101.3627</v>
      </c>
      <c r="L170" s="4" t="n">
        <v>101.24295</v>
      </c>
      <c r="M170" s="21" t="n">
        <f t="shared" si="18"/>
        <v>9.7093264E7</v>
      </c>
      <c r="O170" s="9" t="s">
        <v>56</v>
      </c>
    </row>
    <row r="171" spans="2:15" ht="17.25" customHeight="1" x14ac:dyDescent="0.3">
      <c r="B171" s="20" t="n">
        <v>158.0</v>
      </c>
      <c r="C171" s="7" t="s">
        <v>369</v>
      </c>
      <c r="D171" s="4" t="s">
        <v>370</v>
      </c>
      <c r="E171" s="34" t="n">
        <v>9.192256388E9</v>
      </c>
      <c r="F171" s="4" t="n">
        <f t="shared" si="13"/>
        <v>82.4955</v>
      </c>
      <c r="G171" s="4" t="n">
        <f t="shared" si="14"/>
        <v>82.3221</v>
      </c>
      <c r="H171" s="4" t="n">
        <f t="shared" si="15"/>
        <v>100.0</v>
      </c>
      <c r="I171" s="4" t="n">
        <f t="shared" si="16"/>
        <v>60.0</v>
      </c>
      <c r="J171" s="4" t="str">
        <f t="shared" si="17"/>
        <v/>
      </c>
      <c r="K171" s="4" t="n">
        <v>101.3627</v>
      </c>
      <c r="L171" s="4" t="n">
        <v>101.24295</v>
      </c>
      <c r="M171" s="21" t="n">
        <f t="shared" si="18"/>
        <v>9.7093267E7</v>
      </c>
      <c r="O171" s="9" t="s">
        <v>56</v>
      </c>
    </row>
    <row r="172" spans="2:15" ht="17.25" customHeight="1" x14ac:dyDescent="0.3">
      <c r="B172" s="20" t="n">
        <v>159.0</v>
      </c>
      <c r="C172" s="7" t="s">
        <v>371</v>
      </c>
      <c r="D172" s="4" t="s">
        <v>372</v>
      </c>
      <c r="E172" s="34" t="n">
        <v>9.192256389E9</v>
      </c>
      <c r="F172" s="4" t="n">
        <f t="shared" si="13"/>
        <v>82.4955</v>
      </c>
      <c r="G172" s="4" t="n">
        <f t="shared" si="14"/>
        <v>82.3221</v>
      </c>
      <c r="H172" s="4" t="n">
        <f t="shared" si="15"/>
        <v>100.0</v>
      </c>
      <c r="I172" s="4" t="n">
        <f t="shared" si="16"/>
        <v>60.0</v>
      </c>
      <c r="J172" s="4" t="str">
        <f t="shared" si="17"/>
        <v/>
      </c>
      <c r="K172" s="4" t="n">
        <v>101.3627</v>
      </c>
      <c r="L172" s="4" t="n">
        <v>101.24295</v>
      </c>
      <c r="M172" s="21" t="n">
        <f t="shared" si="18"/>
        <v>9.7093268E7</v>
      </c>
      <c r="O172" s="9" t="s">
        <v>56</v>
      </c>
    </row>
    <row r="173" spans="2:15" ht="17.25" customHeight="1" x14ac:dyDescent="0.3">
      <c r="B173" s="20" t="n">
        <v>160.0</v>
      </c>
      <c r="C173" s="7" t="s">
        <v>373</v>
      </c>
      <c r="D173" s="4" t="s">
        <v>374</v>
      </c>
      <c r="E173" s="34" t="n">
        <v>9.19225639E9</v>
      </c>
      <c r="F173" s="4" t="n">
        <f t="shared" si="13"/>
        <v>82.4955</v>
      </c>
      <c r="G173" s="4" t="n">
        <f t="shared" si="14"/>
        <v>82.3221</v>
      </c>
      <c r="H173" s="4" t="n">
        <f t="shared" si="15"/>
        <v>100.0</v>
      </c>
      <c r="I173" s="4" t="n">
        <f t="shared" si="16"/>
        <v>60.0</v>
      </c>
      <c r="J173" s="4" t="str">
        <f t="shared" si="17"/>
        <v/>
      </c>
      <c r="K173" s="4" t="n">
        <v>101.3627</v>
      </c>
      <c r="L173" s="4" t="n">
        <v>101.24295</v>
      </c>
      <c r="M173" s="21" t="n">
        <f t="shared" si="18"/>
        <v>9.7093269E7</v>
      </c>
      <c r="O173" s="9" t="s">
        <v>56</v>
      </c>
    </row>
    <row r="174" spans="2:15" ht="17.25" customHeight="1" x14ac:dyDescent="0.3">
      <c r="B174" s="20" t="n">
        <v>161.0</v>
      </c>
      <c r="C174" s="7" t="s">
        <v>375</v>
      </c>
      <c r="D174" s="4" t="s">
        <v>376</v>
      </c>
      <c r="E174" s="34" t="n">
        <v>9.1922564E9</v>
      </c>
      <c r="F174" s="4" t="n">
        <f t="shared" si="13"/>
        <v>82.4955</v>
      </c>
      <c r="G174" s="4" t="n">
        <f t="shared" si="14"/>
        <v>82.3221</v>
      </c>
      <c r="H174" s="4" t="n">
        <f t="shared" si="15"/>
        <v>100.0</v>
      </c>
      <c r="I174" s="4" t="n">
        <f t="shared" si="16"/>
        <v>60.0</v>
      </c>
      <c r="J174" s="4" t="str">
        <f t="shared" si="17"/>
        <v/>
      </c>
      <c r="K174" s="4" t="n">
        <v>101.3627</v>
      </c>
      <c r="L174" s="4" t="n">
        <v>101.24295</v>
      </c>
      <c r="M174" s="21" t="n">
        <f t="shared" si="18"/>
        <v>9.7093279E7</v>
      </c>
      <c r="O174" s="9" t="s">
        <v>56</v>
      </c>
    </row>
    <row r="175" spans="2:15" ht="17.25" customHeight="1" x14ac:dyDescent="0.3">
      <c r="B175" s="20" t="n">
        <v>162.0</v>
      </c>
      <c r="C175" s="7" t="s">
        <v>377</v>
      </c>
      <c r="D175" s="4" t="s">
        <v>378</v>
      </c>
      <c r="E175" s="34" t="n">
        <v>9.1922564E9</v>
      </c>
      <c r="F175" s="4" t="n">
        <f t="shared" si="13"/>
        <v>82.4955</v>
      </c>
      <c r="G175" s="4" t="n">
        <f t="shared" si="14"/>
        <v>82.3221</v>
      </c>
      <c r="H175" s="4" t="n">
        <f t="shared" si="15"/>
        <v>100.0</v>
      </c>
      <c r="I175" s="4" t="n">
        <f t="shared" si="16"/>
        <v>60.0</v>
      </c>
      <c r="J175" s="4" t="str">
        <f t="shared" si="17"/>
        <v/>
      </c>
      <c r="K175" s="4" t="n">
        <v>101.3627</v>
      </c>
      <c r="L175" s="4" t="n">
        <v>101.24295</v>
      </c>
      <c r="M175" s="21" t="n">
        <f t="shared" si="18"/>
        <v>9.7093279E7</v>
      </c>
      <c r="O175" s="9" t="s">
        <v>56</v>
      </c>
    </row>
    <row r="176" spans="2:15" ht="17.25" customHeight="1" x14ac:dyDescent="0.3">
      <c r="B176" s="20" t="n">
        <v>163.0</v>
      </c>
      <c r="C176" s="7" t="s">
        <v>379</v>
      </c>
      <c r="D176" s="4" t="s">
        <v>380</v>
      </c>
      <c r="E176" s="34" t="n">
        <v>9.1922564E9</v>
      </c>
      <c r="F176" s="4" t="n">
        <f t="shared" si="13"/>
        <v>82.4955</v>
      </c>
      <c r="G176" s="4" t="n">
        <f t="shared" si="14"/>
        <v>82.3221</v>
      </c>
      <c r="H176" s="4" t="n">
        <f t="shared" si="15"/>
        <v>100.0</v>
      </c>
      <c r="I176" s="4" t="n">
        <f t="shared" si="16"/>
        <v>60.0</v>
      </c>
      <c r="J176" s="4" t="str">
        <f t="shared" si="17"/>
        <v/>
      </c>
      <c r="K176" s="4" t="n">
        <v>101.3627</v>
      </c>
      <c r="L176" s="4" t="n">
        <v>101.24295</v>
      </c>
      <c r="M176" s="21" t="n">
        <f t="shared" si="18"/>
        <v>9.7093279E7</v>
      </c>
      <c r="O176" s="9" t="s">
        <v>56</v>
      </c>
    </row>
    <row r="177" spans="2:15" ht="17.25" customHeight="1" x14ac:dyDescent="0.3">
      <c r="B177" s="20" t="n">
        <v>164.0</v>
      </c>
      <c r="C177" s="7" t="s">
        <v>381</v>
      </c>
      <c r="D177" s="4" t="s">
        <v>382</v>
      </c>
      <c r="E177" s="34" t="n">
        <v>9.192256402E9</v>
      </c>
      <c r="F177" s="4" t="n">
        <f t="shared" si="13"/>
        <v>82.4955</v>
      </c>
      <c r="G177" s="4" t="n">
        <f t="shared" si="14"/>
        <v>82.3221</v>
      </c>
      <c r="H177" s="4" t="n">
        <f t="shared" si="15"/>
        <v>100.0</v>
      </c>
      <c r="I177" s="4" t="n">
        <f t="shared" si="16"/>
        <v>60.0</v>
      </c>
      <c r="J177" s="4" t="str">
        <f t="shared" si="17"/>
        <v/>
      </c>
      <c r="K177" s="4" t="n">
        <v>101.3627</v>
      </c>
      <c r="L177" s="4" t="n">
        <v>101.24295</v>
      </c>
      <c r="M177" s="21" t="n">
        <f t="shared" si="18"/>
        <v>9.7093281E7</v>
      </c>
      <c r="O177" s="9" t="s">
        <v>56</v>
      </c>
    </row>
    <row r="178" spans="2:15" ht="17.25" customHeight="1" x14ac:dyDescent="0.3">
      <c r="B178" s="20" t="n">
        <v>165.0</v>
      </c>
      <c r="C178" s="7" t="s">
        <v>383</v>
      </c>
      <c r="D178" s="4" t="s">
        <v>384</v>
      </c>
      <c r="E178" s="34" t="n">
        <v>9.19225641E9</v>
      </c>
      <c r="F178" s="4" t="n">
        <f t="shared" si="13"/>
        <v>82.4955</v>
      </c>
      <c r="G178" s="4" t="n">
        <f t="shared" si="14"/>
        <v>82.3221</v>
      </c>
      <c r="H178" s="4" t="n">
        <f t="shared" si="15"/>
        <v>100.0</v>
      </c>
      <c r="I178" s="4" t="n">
        <f t="shared" si="16"/>
        <v>60.0</v>
      </c>
      <c r="J178" s="4" t="str">
        <f t="shared" si="17"/>
        <v/>
      </c>
      <c r="K178" s="4" t="n">
        <v>101.3627</v>
      </c>
      <c r="L178" s="4" t="n">
        <v>101.24295</v>
      </c>
      <c r="M178" s="21" t="n">
        <f t="shared" si="18"/>
        <v>9.7093289E7</v>
      </c>
      <c r="O178" s="9" t="s">
        <v>56</v>
      </c>
    </row>
    <row r="179" spans="2:15" ht="17.25" customHeight="1" x14ac:dyDescent="0.3">
      <c r="B179" s="20" t="n">
        <v>166.0</v>
      </c>
      <c r="C179" s="7" t="s">
        <v>385</v>
      </c>
      <c r="D179" s="4" t="s">
        <v>386</v>
      </c>
      <c r="E179" s="34" t="n">
        <v>9.192256411E9</v>
      </c>
      <c r="F179" s="4" t="n">
        <f t="shared" si="13"/>
        <v>82.4955</v>
      </c>
      <c r="G179" s="4" t="n">
        <f t="shared" si="14"/>
        <v>82.3221</v>
      </c>
      <c r="H179" s="4" t="n">
        <f t="shared" si="15"/>
        <v>100.0</v>
      </c>
      <c r="I179" s="4" t="n">
        <f t="shared" si="16"/>
        <v>60.0</v>
      </c>
      <c r="J179" s="4" t="str">
        <f t="shared" si="17"/>
        <v/>
      </c>
      <c r="K179" s="4" t="n">
        <v>101.3627</v>
      </c>
      <c r="L179" s="4" t="n">
        <v>101.24295</v>
      </c>
      <c r="M179" s="21" t="n">
        <f t="shared" si="18"/>
        <v>9.709329E7</v>
      </c>
      <c r="O179" s="9" t="s">
        <v>56</v>
      </c>
    </row>
    <row r="180" spans="2:15" ht="17.25" customHeight="1" x14ac:dyDescent="0.3">
      <c r="B180" s="20" t="n">
        <v>167.0</v>
      </c>
      <c r="C180" s="7" t="s">
        <v>387</v>
      </c>
      <c r="D180" s="4" t="s">
        <v>388</v>
      </c>
      <c r="E180" s="34" t="n">
        <v>9.192256411E9</v>
      </c>
      <c r="F180" s="4" t="n">
        <f t="shared" si="13"/>
        <v>82.4955</v>
      </c>
      <c r="G180" s="4" t="n">
        <f t="shared" si="14"/>
        <v>82.3221</v>
      </c>
      <c r="H180" s="4" t="n">
        <f t="shared" si="15"/>
        <v>100.0</v>
      </c>
      <c r="I180" s="4" t="n">
        <f t="shared" si="16"/>
        <v>60.0</v>
      </c>
      <c r="J180" s="4" t="str">
        <f t="shared" si="17"/>
        <v/>
      </c>
      <c r="K180" s="4" t="n">
        <v>101.3627</v>
      </c>
      <c r="L180" s="4" t="n">
        <v>101.24295</v>
      </c>
      <c r="M180" s="21" t="n">
        <f t="shared" si="18"/>
        <v>9.709329E7</v>
      </c>
      <c r="O180" s="9" t="s">
        <v>56</v>
      </c>
    </row>
    <row r="181" spans="2:15" ht="17.25" customHeight="1" x14ac:dyDescent="0.3">
      <c r="B181" s="20" t="n">
        <v>168.0</v>
      </c>
      <c r="C181" s="7" t="s">
        <v>389</v>
      </c>
      <c r="D181" s="4" t="s">
        <v>390</v>
      </c>
      <c r="E181" s="34" t="n">
        <v>9.192256414E9</v>
      </c>
      <c r="F181" s="4" t="n">
        <f t="shared" si="13"/>
        <v>82.4955</v>
      </c>
      <c r="G181" s="4" t="n">
        <f t="shared" si="14"/>
        <v>82.3221</v>
      </c>
      <c r="H181" s="4" t="n">
        <f t="shared" si="15"/>
        <v>100.0</v>
      </c>
      <c r="I181" s="4" t="n">
        <f t="shared" si="16"/>
        <v>60.0</v>
      </c>
      <c r="J181" s="4" t="str">
        <f t="shared" si="17"/>
        <v/>
      </c>
      <c r="K181" s="4" t="n">
        <v>101.3627</v>
      </c>
      <c r="L181" s="4" t="n">
        <v>101.24295</v>
      </c>
      <c r="M181" s="21" t="n">
        <f t="shared" si="18"/>
        <v>9.7093293E7</v>
      </c>
      <c r="O181" s="9" t="s">
        <v>56</v>
      </c>
    </row>
    <row r="182" spans="2:15" ht="17.25" customHeight="1" x14ac:dyDescent="0.3">
      <c r="B182" s="20" t="n">
        <v>169.0</v>
      </c>
      <c r="C182" s="7" t="s">
        <v>391</v>
      </c>
      <c r="D182" s="4" t="s">
        <v>392</v>
      </c>
      <c r="E182" s="34" t="n">
        <v>9.192256415E9</v>
      </c>
      <c r="F182" s="4" t="n">
        <f t="shared" si="13"/>
        <v>82.4955</v>
      </c>
      <c r="G182" s="4" t="n">
        <f t="shared" si="14"/>
        <v>82.3221</v>
      </c>
      <c r="H182" s="4" t="n">
        <f t="shared" si="15"/>
        <v>100.0</v>
      </c>
      <c r="I182" s="4" t="n">
        <f t="shared" si="16"/>
        <v>60.0</v>
      </c>
      <c r="J182" s="4" t="str">
        <f t="shared" si="17"/>
        <v/>
      </c>
      <c r="K182" s="4" t="n">
        <v>101.3627</v>
      </c>
      <c r="L182" s="4" t="n">
        <v>101.24295</v>
      </c>
      <c r="M182" s="21" t="n">
        <f t="shared" si="18"/>
        <v>9.7093294E7</v>
      </c>
      <c r="O182" s="9" t="s">
        <v>56</v>
      </c>
    </row>
    <row r="183" spans="2:15" ht="17.25" customHeight="1" x14ac:dyDescent="0.3">
      <c r="B183" s="20" t="n">
        <v>170.0</v>
      </c>
      <c r="C183" s="7" t="s">
        <v>393</v>
      </c>
      <c r="D183" s="4" t="s">
        <v>394</v>
      </c>
      <c r="E183" s="34" t="n">
        <v>9.192256419E9</v>
      </c>
      <c r="F183" s="4" t="n">
        <f t="shared" si="13"/>
        <v>82.4955</v>
      </c>
      <c r="G183" s="4" t="n">
        <f t="shared" si="14"/>
        <v>82.3221</v>
      </c>
      <c r="H183" s="4" t="n">
        <f t="shared" si="15"/>
        <v>100.0</v>
      </c>
      <c r="I183" s="4" t="n">
        <f t="shared" si="16"/>
        <v>60.0</v>
      </c>
      <c r="J183" s="4" t="str">
        <f t="shared" si="17"/>
        <v/>
      </c>
      <c r="K183" s="4" t="n">
        <v>101.3627</v>
      </c>
      <c r="L183" s="4" t="n">
        <v>101.24295</v>
      </c>
      <c r="M183" s="21" t="n">
        <f t="shared" si="18"/>
        <v>9.7093298E7</v>
      </c>
      <c r="O183" s="9" t="s">
        <v>56</v>
      </c>
    </row>
    <row r="184" spans="2:15" ht="17.25" customHeight="1" x14ac:dyDescent="0.3">
      <c r="B184" s="20" t="n">
        <v>171.0</v>
      </c>
      <c r="C184" s="7" t="s">
        <v>395</v>
      </c>
      <c r="D184" s="4" t="s">
        <v>396</v>
      </c>
      <c r="E184" s="34" t="n">
        <v>9.19225642E9</v>
      </c>
      <c r="F184" s="4" t="n">
        <f t="shared" si="13"/>
        <v>82.4955</v>
      </c>
      <c r="G184" s="4" t="n">
        <f t="shared" si="14"/>
        <v>82.3221</v>
      </c>
      <c r="H184" s="4" t="n">
        <f t="shared" si="15"/>
        <v>100.0</v>
      </c>
      <c r="I184" s="4" t="n">
        <f t="shared" si="16"/>
        <v>60.0</v>
      </c>
      <c r="J184" s="4" t="str">
        <f t="shared" si="17"/>
        <v/>
      </c>
      <c r="K184" s="4" t="n">
        <v>101.3627</v>
      </c>
      <c r="L184" s="4" t="n">
        <v>101.24295</v>
      </c>
      <c r="M184" s="21" t="n">
        <f t="shared" si="18"/>
        <v>9.7093299E7</v>
      </c>
      <c r="O184" s="9" t="s">
        <v>56</v>
      </c>
    </row>
    <row r="185" spans="2:15" ht="17.25" customHeight="1" x14ac:dyDescent="0.3">
      <c r="B185" s="20" t="n">
        <v>172.0</v>
      </c>
      <c r="C185" s="7" t="s">
        <v>397</v>
      </c>
      <c r="D185" s="4" t="s">
        <v>398</v>
      </c>
      <c r="E185" s="34" t="n">
        <v>9.192256422E9</v>
      </c>
      <c r="F185" s="4" t="n">
        <f t="shared" si="13"/>
        <v>82.4955</v>
      </c>
      <c r="G185" s="4" t="n">
        <f t="shared" si="14"/>
        <v>82.3221</v>
      </c>
      <c r="H185" s="4" t="n">
        <f t="shared" si="15"/>
        <v>100.0</v>
      </c>
      <c r="I185" s="4" t="n">
        <f t="shared" si="16"/>
        <v>60.0</v>
      </c>
      <c r="J185" s="4" t="str">
        <f t="shared" si="17"/>
        <v/>
      </c>
      <c r="K185" s="4" t="n">
        <v>101.3627</v>
      </c>
      <c r="L185" s="4" t="n">
        <v>101.24295</v>
      </c>
      <c r="M185" s="21" t="n">
        <f t="shared" si="18"/>
        <v>9.7093301E7</v>
      </c>
      <c r="O185" s="9" t="s">
        <v>56</v>
      </c>
    </row>
    <row r="186" spans="2:15" ht="17.25" customHeight="1" x14ac:dyDescent="0.3">
      <c r="B186" s="20" t="n">
        <v>173.0</v>
      </c>
      <c r="C186" s="7" t="s">
        <v>399</v>
      </c>
      <c r="D186" s="4" t="s">
        <v>400</v>
      </c>
      <c r="E186" s="34" t="n">
        <v>9.192256423E9</v>
      </c>
      <c r="F186" s="4" t="n">
        <f t="shared" si="13"/>
        <v>82.4955</v>
      </c>
      <c r="G186" s="4" t="n">
        <f t="shared" si="14"/>
        <v>82.3221</v>
      </c>
      <c r="H186" s="4" t="n">
        <f t="shared" si="15"/>
        <v>100.0</v>
      </c>
      <c r="I186" s="4" t="n">
        <f t="shared" si="16"/>
        <v>60.0</v>
      </c>
      <c r="J186" s="4" t="str">
        <f t="shared" si="17"/>
        <v/>
      </c>
      <c r="K186" s="4" t="n">
        <v>101.3627</v>
      </c>
      <c r="L186" s="4" t="n">
        <v>101.24295</v>
      </c>
      <c r="M186" s="21" t="n">
        <f t="shared" si="18"/>
        <v>9.7093302E7</v>
      </c>
      <c r="O186" s="9" t="s">
        <v>56</v>
      </c>
    </row>
    <row r="187" spans="2:15" ht="17.25" customHeight="1" x14ac:dyDescent="0.3">
      <c r="B187" s="20" t="n">
        <v>174.0</v>
      </c>
      <c r="C187" s="7" t="s">
        <v>401</v>
      </c>
      <c r="D187" s="4" t="s">
        <v>402</v>
      </c>
      <c r="E187" s="34" t="n">
        <v>9.192256428E9</v>
      </c>
      <c r="F187" s="4" t="n">
        <f t="shared" si="13"/>
        <v>82.4955</v>
      </c>
      <c r="G187" s="4" t="n">
        <f t="shared" si="14"/>
        <v>82.3221</v>
      </c>
      <c r="H187" s="4" t="n">
        <f t="shared" si="15"/>
        <v>100.0</v>
      </c>
      <c r="I187" s="4" t="n">
        <f t="shared" si="16"/>
        <v>60.0</v>
      </c>
      <c r="J187" s="4" t="str">
        <f t="shared" si="17"/>
        <v/>
      </c>
      <c r="K187" s="4" t="n">
        <v>101.3627</v>
      </c>
      <c r="L187" s="4" t="n">
        <v>101.24295</v>
      </c>
      <c r="M187" s="21" t="n">
        <f t="shared" si="18"/>
        <v>9.7093307E7</v>
      </c>
      <c r="O187" s="9" t="s">
        <v>56</v>
      </c>
    </row>
    <row r="188" spans="2:15" ht="17.25" customHeight="1" x14ac:dyDescent="0.3">
      <c r="B188" s="20" t="n">
        <v>175.0</v>
      </c>
      <c r="C188" s="7" t="s">
        <v>403</v>
      </c>
      <c r="D188" s="4" t="s">
        <v>404</v>
      </c>
      <c r="E188" s="34" t="n">
        <v>9.192256432E9</v>
      </c>
      <c r="F188" s="4" t="n">
        <f t="shared" si="13"/>
        <v>82.4955</v>
      </c>
      <c r="G188" s="4" t="n">
        <f t="shared" si="14"/>
        <v>82.3221</v>
      </c>
      <c r="H188" s="4" t="n">
        <f t="shared" si="15"/>
        <v>100.0</v>
      </c>
      <c r="I188" s="4" t="n">
        <f t="shared" si="16"/>
        <v>60.0</v>
      </c>
      <c r="J188" s="4" t="str">
        <f t="shared" si="17"/>
        <v/>
      </c>
      <c r="K188" s="4" t="n">
        <v>101.3627</v>
      </c>
      <c r="L188" s="4" t="n">
        <v>101.24295</v>
      </c>
      <c r="M188" s="21" t="n">
        <f t="shared" si="18"/>
        <v>9.7093311E7</v>
      </c>
      <c r="O188" s="9" t="s">
        <v>56</v>
      </c>
    </row>
    <row r="189" spans="2:15" ht="17.25" customHeight="1" x14ac:dyDescent="0.3">
      <c r="B189" s="20" t="n">
        <v>176.0</v>
      </c>
      <c r="C189" s="7" t="s">
        <v>405</v>
      </c>
      <c r="D189" s="4" t="s">
        <v>406</v>
      </c>
      <c r="E189" s="34" t="n">
        <v>9.192256433E9</v>
      </c>
      <c r="F189" s="4" t="n">
        <f t="shared" si="13"/>
        <v>82.4955</v>
      </c>
      <c r="G189" s="4" t="n">
        <f t="shared" si="14"/>
        <v>82.3221</v>
      </c>
      <c r="H189" s="4" t="n">
        <f t="shared" si="15"/>
        <v>100.0</v>
      </c>
      <c r="I189" s="4" t="n">
        <f t="shared" si="16"/>
        <v>60.0</v>
      </c>
      <c r="J189" s="4" t="str">
        <f t="shared" si="17"/>
        <v/>
      </c>
      <c r="K189" s="4" t="n">
        <v>101.3627</v>
      </c>
      <c r="L189" s="4" t="n">
        <v>101.24295</v>
      </c>
      <c r="M189" s="21" t="n">
        <f t="shared" si="18"/>
        <v>9.7093312E7</v>
      </c>
      <c r="O189" s="9" t="s">
        <v>56</v>
      </c>
    </row>
    <row r="190" spans="2:15" ht="17.25" customHeight="1" x14ac:dyDescent="0.3">
      <c r="B190" s="20" t="n">
        <v>177.0</v>
      </c>
      <c r="C190" s="7" t="s">
        <v>407</v>
      </c>
      <c r="D190" s="4" t="s">
        <v>408</v>
      </c>
      <c r="E190" s="34" t="n">
        <v>9.192256433E9</v>
      </c>
      <c r="F190" s="4" t="n">
        <f t="shared" si="13"/>
        <v>82.4955</v>
      </c>
      <c r="G190" s="4" t="n">
        <f t="shared" si="14"/>
        <v>82.3221</v>
      </c>
      <c r="H190" s="4" t="n">
        <f t="shared" si="15"/>
        <v>100.0</v>
      </c>
      <c r="I190" s="4" t="n">
        <f t="shared" si="16"/>
        <v>60.0</v>
      </c>
      <c r="J190" s="4" t="str">
        <f t="shared" si="17"/>
        <v/>
      </c>
      <c r="K190" s="4" t="n">
        <v>101.3627</v>
      </c>
      <c r="L190" s="4" t="n">
        <v>101.24295</v>
      </c>
      <c r="M190" s="21" t="n">
        <f t="shared" si="18"/>
        <v>9.7093312E7</v>
      </c>
      <c r="O190" s="9" t="s">
        <v>56</v>
      </c>
    </row>
    <row r="191" spans="2:15" ht="17.25" customHeight="1" x14ac:dyDescent="0.3">
      <c r="B191" s="20" t="n">
        <v>178.0</v>
      </c>
      <c r="C191" s="7" t="s">
        <v>409</v>
      </c>
      <c r="D191" s="4" t="s">
        <v>410</v>
      </c>
      <c r="E191" s="34" t="n">
        <v>9.192256438E9</v>
      </c>
      <c r="F191" s="4" t="n">
        <f t="shared" si="13"/>
        <v>82.4955</v>
      </c>
      <c r="G191" s="4" t="n">
        <f t="shared" si="14"/>
        <v>82.3221</v>
      </c>
      <c r="H191" s="4" t="n">
        <f t="shared" si="15"/>
        <v>100.0</v>
      </c>
      <c r="I191" s="4" t="n">
        <f t="shared" si="16"/>
        <v>60.0</v>
      </c>
      <c r="J191" s="4" t="str">
        <f t="shared" si="17"/>
        <v/>
      </c>
      <c r="K191" s="4" t="n">
        <v>101.3627</v>
      </c>
      <c r="L191" s="4" t="n">
        <v>101.24295</v>
      </c>
      <c r="M191" s="21" t="n">
        <f t="shared" si="18"/>
        <v>9.7093317E7</v>
      </c>
      <c r="O191" s="9" t="s">
        <v>56</v>
      </c>
    </row>
    <row r="192" spans="2:15" ht="17.25" customHeight="1" x14ac:dyDescent="0.3">
      <c r="B192" s="20" t="n">
        <v>179.0</v>
      </c>
      <c r="C192" s="7" t="s">
        <v>411</v>
      </c>
      <c r="D192" s="4" t="s">
        <v>412</v>
      </c>
      <c r="E192" s="34" t="n">
        <v>9.192256438E9</v>
      </c>
      <c r="F192" s="4" t="n">
        <f t="shared" si="13"/>
        <v>82.4955</v>
      </c>
      <c r="G192" s="4" t="n">
        <f t="shared" si="14"/>
        <v>82.3221</v>
      </c>
      <c r="H192" s="4" t="n">
        <f t="shared" si="15"/>
        <v>100.0</v>
      </c>
      <c r="I192" s="4" t="n">
        <f t="shared" si="16"/>
        <v>60.0</v>
      </c>
      <c r="J192" s="4" t="str">
        <f t="shared" si="17"/>
        <v/>
      </c>
      <c r="K192" s="4" t="n">
        <v>101.3627</v>
      </c>
      <c r="L192" s="4" t="n">
        <v>101.24295</v>
      </c>
      <c r="M192" s="21" t="n">
        <f t="shared" si="18"/>
        <v>9.7093317E7</v>
      </c>
      <c r="O192" s="9" t="s">
        <v>56</v>
      </c>
    </row>
    <row r="193" spans="2:15" ht="17.25" customHeight="1" x14ac:dyDescent="0.3">
      <c r="B193" s="20" t="n">
        <v>180.0</v>
      </c>
      <c r="C193" s="7" t="s">
        <v>413</v>
      </c>
      <c r="D193" s="4" t="s">
        <v>414</v>
      </c>
      <c r="E193" s="34" t="n">
        <v>9.19225644E9</v>
      </c>
      <c r="F193" s="4" t="n">
        <f t="shared" si="13"/>
        <v>82.4955</v>
      </c>
      <c r="G193" s="4" t="n">
        <f t="shared" si="14"/>
        <v>82.3221</v>
      </c>
      <c r="H193" s="4" t="n">
        <f t="shared" si="15"/>
        <v>100.0</v>
      </c>
      <c r="I193" s="4" t="n">
        <f t="shared" si="16"/>
        <v>60.0</v>
      </c>
      <c r="J193" s="4" t="str">
        <f t="shared" si="17"/>
        <v/>
      </c>
      <c r="K193" s="4" t="n">
        <v>101.3627</v>
      </c>
      <c r="L193" s="4" t="n">
        <v>101.24295</v>
      </c>
      <c r="M193" s="21" t="n">
        <f t="shared" si="18"/>
        <v>9.7093319E7</v>
      </c>
      <c r="O193" s="9" t="s">
        <v>56</v>
      </c>
    </row>
    <row r="194" spans="2:15" ht="17.25" customHeight="1" x14ac:dyDescent="0.3">
      <c r="B194" s="20" t="n">
        <v>181.0</v>
      </c>
      <c r="C194" s="7" t="s">
        <v>415</v>
      </c>
      <c r="D194" s="4" t="s">
        <v>416</v>
      </c>
      <c r="E194" s="34" t="n">
        <v>9.192256441E9</v>
      </c>
      <c r="F194" s="4" t="n">
        <f t="shared" si="13"/>
        <v>82.4955</v>
      </c>
      <c r="G194" s="4" t="n">
        <f t="shared" si="14"/>
        <v>82.3221</v>
      </c>
      <c r="H194" s="4" t="n">
        <f t="shared" si="15"/>
        <v>100.0</v>
      </c>
      <c r="I194" s="4" t="n">
        <f t="shared" si="16"/>
        <v>60.0</v>
      </c>
      <c r="J194" s="4" t="str">
        <f t="shared" si="17"/>
        <v/>
      </c>
      <c r="K194" s="4" t="n">
        <v>101.3627</v>
      </c>
      <c r="L194" s="4" t="n">
        <v>101.24295</v>
      </c>
      <c r="M194" s="21" t="n">
        <f t="shared" si="18"/>
        <v>9.709332E7</v>
      </c>
      <c r="O194" s="9" t="s">
        <v>56</v>
      </c>
    </row>
    <row r="195" spans="2:15" ht="17.25" customHeight="1" x14ac:dyDescent="0.3">
      <c r="B195" s="20" t="n">
        <v>182.0</v>
      </c>
      <c r="C195" s="7" t="s">
        <v>417</v>
      </c>
      <c r="D195" s="4" t="s">
        <v>418</v>
      </c>
      <c r="E195" s="34" t="n">
        <v>9.192256442E9</v>
      </c>
      <c r="F195" s="4" t="n">
        <f t="shared" si="13"/>
        <v>82.4955</v>
      </c>
      <c r="G195" s="4" t="n">
        <f t="shared" si="14"/>
        <v>82.3221</v>
      </c>
      <c r="H195" s="4" t="n">
        <f t="shared" si="15"/>
        <v>100.0</v>
      </c>
      <c r="I195" s="4" t="n">
        <f t="shared" si="16"/>
        <v>60.0</v>
      </c>
      <c r="J195" s="4" t="str">
        <f t="shared" si="17"/>
        <v/>
      </c>
      <c r="K195" s="4" t="n">
        <v>101.3627</v>
      </c>
      <c r="L195" s="4" t="n">
        <v>101.24295</v>
      </c>
      <c r="M195" s="21" t="n">
        <f t="shared" si="18"/>
        <v>9.7093321E7</v>
      </c>
      <c r="O195" s="9" t="s">
        <v>56</v>
      </c>
    </row>
    <row r="196" spans="2:15" ht="17.25" customHeight="1" x14ac:dyDescent="0.3">
      <c r="B196" s="20" t="n">
        <v>183.0</v>
      </c>
      <c r="C196" s="7" t="s">
        <v>419</v>
      </c>
      <c r="D196" s="4" t="s">
        <v>420</v>
      </c>
      <c r="E196" s="34" t="n">
        <v>9.192256442E9</v>
      </c>
      <c r="F196" s="4" t="n">
        <f t="shared" si="13"/>
        <v>82.4955</v>
      </c>
      <c r="G196" s="4" t="n">
        <f t="shared" si="14"/>
        <v>82.3221</v>
      </c>
      <c r="H196" s="4" t="n">
        <f t="shared" si="15"/>
        <v>100.0</v>
      </c>
      <c r="I196" s="4" t="n">
        <f t="shared" si="16"/>
        <v>60.0</v>
      </c>
      <c r="J196" s="4" t="str">
        <f t="shared" si="17"/>
        <v/>
      </c>
      <c r="K196" s="4" t="n">
        <v>101.3627</v>
      </c>
      <c r="L196" s="4" t="n">
        <v>101.24295</v>
      </c>
      <c r="M196" s="21" t="n">
        <f t="shared" si="18"/>
        <v>9.7093321E7</v>
      </c>
      <c r="O196" s="9" t="s">
        <v>56</v>
      </c>
    </row>
    <row r="197" spans="2:15" ht="17.25" customHeight="1" x14ac:dyDescent="0.3">
      <c r="B197" s="20" t="n">
        <v>184.0</v>
      </c>
      <c r="C197" s="7" t="s">
        <v>421</v>
      </c>
      <c r="D197" s="4" t="s">
        <v>422</v>
      </c>
      <c r="E197" s="34" t="n">
        <v>9.192256444E9</v>
      </c>
      <c r="F197" s="4" t="n">
        <f t="shared" si="13"/>
        <v>82.4955</v>
      </c>
      <c r="G197" s="4" t="n">
        <f t="shared" si="14"/>
        <v>82.3221</v>
      </c>
      <c r="H197" s="4" t="n">
        <f t="shared" si="15"/>
        <v>100.0</v>
      </c>
      <c r="I197" s="4" t="n">
        <f t="shared" si="16"/>
        <v>60.0</v>
      </c>
      <c r="J197" s="4" t="str">
        <f t="shared" si="17"/>
        <v/>
      </c>
      <c r="K197" s="4" t="n">
        <v>101.3627</v>
      </c>
      <c r="L197" s="4" t="n">
        <v>101.24295</v>
      </c>
      <c r="M197" s="21" t="n">
        <f t="shared" si="18"/>
        <v>9.7093323E7</v>
      </c>
      <c r="O197" s="9" t="s">
        <v>56</v>
      </c>
    </row>
    <row r="198" spans="2:15" ht="17.25" customHeight="1" x14ac:dyDescent="0.3">
      <c r="B198" s="20" t="n">
        <v>185.0</v>
      </c>
      <c r="C198" s="7" t="s">
        <v>423</v>
      </c>
      <c r="D198" s="4" t="s">
        <v>424</v>
      </c>
      <c r="E198" s="34" t="n">
        <v>9.192256448E9</v>
      </c>
      <c r="F198" s="4" t="n">
        <f t="shared" si="13"/>
        <v>82.4955</v>
      </c>
      <c r="G198" s="4" t="n">
        <f t="shared" si="14"/>
        <v>82.3221</v>
      </c>
      <c r="H198" s="4" t="n">
        <f t="shared" si="15"/>
        <v>100.0</v>
      </c>
      <c r="I198" s="4" t="n">
        <f t="shared" si="16"/>
        <v>60.0</v>
      </c>
      <c r="J198" s="4" t="str">
        <f t="shared" si="17"/>
        <v/>
      </c>
      <c r="K198" s="4" t="n">
        <v>101.3627</v>
      </c>
      <c r="L198" s="4" t="n">
        <v>101.24295</v>
      </c>
      <c r="M198" s="21" t="n">
        <f t="shared" si="18"/>
        <v>9.7093327E7</v>
      </c>
      <c r="O198" s="9" t="s">
        <v>56</v>
      </c>
    </row>
    <row r="199" spans="2:15" ht="17.25" customHeight="1" x14ac:dyDescent="0.3">
      <c r="B199" s="20" t="n">
        <v>186.0</v>
      </c>
      <c r="C199" s="7" t="s">
        <v>425</v>
      </c>
      <c r="D199" s="4" t="s">
        <v>426</v>
      </c>
      <c r="E199" s="34" t="n">
        <v>9.192256449E9</v>
      </c>
      <c r="F199" s="4" t="n">
        <f t="shared" si="13"/>
        <v>82.4955</v>
      </c>
      <c r="G199" s="4" t="n">
        <f t="shared" si="14"/>
        <v>82.3221</v>
      </c>
      <c r="H199" s="4" t="n">
        <f t="shared" si="15"/>
        <v>100.0</v>
      </c>
      <c r="I199" s="4" t="n">
        <f t="shared" si="16"/>
        <v>60.0</v>
      </c>
      <c r="J199" s="4" t="str">
        <f t="shared" si="17"/>
        <v/>
      </c>
      <c r="K199" s="4" t="n">
        <v>101.3627</v>
      </c>
      <c r="L199" s="4" t="n">
        <v>101.24295</v>
      </c>
      <c r="M199" s="21" t="n">
        <f t="shared" si="18"/>
        <v>9.7093328E7</v>
      </c>
      <c r="O199" s="9" t="s">
        <v>56</v>
      </c>
    </row>
    <row r="200" spans="2:15" ht="17.25" customHeight="1" x14ac:dyDescent="0.3">
      <c r="B200" s="20" t="n">
        <v>187.0</v>
      </c>
      <c r="C200" s="7" t="s">
        <v>427</v>
      </c>
      <c r="D200" s="4" t="s">
        <v>428</v>
      </c>
      <c r="E200" s="34" t="n">
        <v>9.19225645E9</v>
      </c>
      <c r="F200" s="4" t="n">
        <f t="shared" si="13"/>
        <v>82.4955</v>
      </c>
      <c r="G200" s="4" t="n">
        <f t="shared" si="14"/>
        <v>82.3221</v>
      </c>
      <c r="H200" s="4" t="n">
        <f t="shared" si="15"/>
        <v>100.0</v>
      </c>
      <c r="I200" s="4" t="n">
        <f t="shared" si="16"/>
        <v>60.0</v>
      </c>
      <c r="J200" s="4" t="str">
        <f t="shared" si="17"/>
        <v/>
      </c>
      <c r="K200" s="4" t="n">
        <v>101.3627</v>
      </c>
      <c r="L200" s="4" t="n">
        <v>101.24295</v>
      </c>
      <c r="M200" s="21" t="n">
        <f t="shared" si="18"/>
        <v>9.7093329E7</v>
      </c>
      <c r="O200" s="9" t="s">
        <v>56</v>
      </c>
    </row>
    <row r="201" spans="2:15" ht="17.25" customHeight="1" x14ac:dyDescent="0.3">
      <c r="B201" s="20" t="n">
        <v>188.0</v>
      </c>
      <c r="C201" s="7" t="s">
        <v>429</v>
      </c>
      <c r="D201" s="4" t="s">
        <v>430</v>
      </c>
      <c r="E201" s="34" t="n">
        <v>9.192256453E9</v>
      </c>
      <c r="F201" s="4" t="n">
        <f t="shared" si="13"/>
        <v>82.4955</v>
      </c>
      <c r="G201" s="4" t="n">
        <f t="shared" si="14"/>
        <v>82.3221</v>
      </c>
      <c r="H201" s="4" t="n">
        <f t="shared" si="15"/>
        <v>100.0</v>
      </c>
      <c r="I201" s="4" t="n">
        <f t="shared" si="16"/>
        <v>60.0</v>
      </c>
      <c r="J201" s="4" t="str">
        <f t="shared" si="17"/>
        <v/>
      </c>
      <c r="K201" s="4" t="n">
        <v>101.3627</v>
      </c>
      <c r="L201" s="4" t="n">
        <v>101.24295</v>
      </c>
      <c r="M201" s="21" t="n">
        <f t="shared" si="18"/>
        <v>9.7093332E7</v>
      </c>
      <c r="O201" s="9" t="s">
        <v>56</v>
      </c>
    </row>
    <row r="202" spans="2:15" ht="17.25" customHeight="1" x14ac:dyDescent="0.3">
      <c r="B202" s="20" t="n">
        <v>189.0</v>
      </c>
      <c r="C202" s="7" t="s">
        <v>431</v>
      </c>
      <c r="D202" s="4" t="s">
        <v>432</v>
      </c>
      <c r="E202" s="34" t="n">
        <v>9.192256453E9</v>
      </c>
      <c r="F202" s="4" t="n">
        <f t="shared" si="13"/>
        <v>82.4955</v>
      </c>
      <c r="G202" s="4" t="n">
        <f t="shared" si="14"/>
        <v>82.3221</v>
      </c>
      <c r="H202" s="4" t="n">
        <f t="shared" si="15"/>
        <v>100.0</v>
      </c>
      <c r="I202" s="4" t="n">
        <f t="shared" si="16"/>
        <v>60.0</v>
      </c>
      <c r="J202" s="4" t="str">
        <f t="shared" si="17"/>
        <v/>
      </c>
      <c r="K202" s="4" t="n">
        <v>101.3627</v>
      </c>
      <c r="L202" s="4" t="n">
        <v>101.24295</v>
      </c>
      <c r="M202" s="21" t="n">
        <f t="shared" si="18"/>
        <v>9.7093332E7</v>
      </c>
      <c r="O202" s="9" t="s">
        <v>56</v>
      </c>
    </row>
    <row r="203" spans="2:15" ht="17.25" customHeight="1" x14ac:dyDescent="0.3">
      <c r="B203" s="20" t="n">
        <v>190.0</v>
      </c>
      <c r="C203" s="7" t="s">
        <v>433</v>
      </c>
      <c r="D203" s="4" t="s">
        <v>434</v>
      </c>
      <c r="E203" s="34" t="n">
        <v>9.192256456E9</v>
      </c>
      <c r="F203" s="4" t="n">
        <f t="shared" si="13"/>
        <v>82.4955</v>
      </c>
      <c r="G203" s="4" t="n">
        <f t="shared" si="14"/>
        <v>82.3221</v>
      </c>
      <c r="H203" s="4" t="n">
        <f t="shared" si="15"/>
        <v>100.0</v>
      </c>
      <c r="I203" s="4" t="n">
        <f t="shared" si="16"/>
        <v>60.0</v>
      </c>
      <c r="J203" s="4" t="str">
        <f t="shared" si="17"/>
        <v/>
      </c>
      <c r="K203" s="4" t="n">
        <v>101.3627</v>
      </c>
      <c r="L203" s="4" t="n">
        <v>101.24295</v>
      </c>
      <c r="M203" s="21" t="n">
        <f t="shared" si="18"/>
        <v>9.7093335E7</v>
      </c>
      <c r="O203" s="9" t="s">
        <v>56</v>
      </c>
    </row>
    <row r="204" spans="2:15" ht="17.25" customHeight="1" x14ac:dyDescent="0.3">
      <c r="B204" s="20" t="n">
        <v>191.0</v>
      </c>
      <c r="C204" s="7" t="s">
        <v>435</v>
      </c>
      <c r="D204" s="4" t="s">
        <v>436</v>
      </c>
      <c r="E204" s="34" t="n">
        <v>9.192256458E9</v>
      </c>
      <c r="F204" s="4" t="n">
        <f t="shared" si="13"/>
        <v>82.4955</v>
      </c>
      <c r="G204" s="4" t="n">
        <f t="shared" si="14"/>
        <v>82.3221</v>
      </c>
      <c r="H204" s="4" t="n">
        <f t="shared" si="15"/>
        <v>100.0</v>
      </c>
      <c r="I204" s="4" t="n">
        <f t="shared" si="16"/>
        <v>60.0</v>
      </c>
      <c r="J204" s="4" t="str">
        <f t="shared" si="17"/>
        <v/>
      </c>
      <c r="K204" s="4" t="n">
        <v>101.3627</v>
      </c>
      <c r="L204" s="4" t="n">
        <v>101.24295</v>
      </c>
      <c r="M204" s="21" t="n">
        <f t="shared" si="18"/>
        <v>9.7093337E7</v>
      </c>
      <c r="O204" s="9" t="s">
        <v>56</v>
      </c>
    </row>
    <row r="205" spans="2:15" ht="17.25" customHeight="1" x14ac:dyDescent="0.3">
      <c r="B205" s="20" t="n">
        <v>192.0</v>
      </c>
      <c r="C205" s="7" t="s">
        <v>437</v>
      </c>
      <c r="D205" s="4" t="s">
        <v>438</v>
      </c>
      <c r="E205" s="34" t="n">
        <v>9.192256462E9</v>
      </c>
      <c r="F205" s="4" t="n">
        <f t="shared" si="13"/>
        <v>82.4955</v>
      </c>
      <c r="G205" s="4" t="n">
        <f t="shared" si="14"/>
        <v>82.3221</v>
      </c>
      <c r="H205" s="4" t="n">
        <f t="shared" si="15"/>
        <v>100.0</v>
      </c>
      <c r="I205" s="4" t="n">
        <f t="shared" si="16"/>
        <v>60.0</v>
      </c>
      <c r="J205" s="4" t="str">
        <f t="shared" si="17"/>
        <v/>
      </c>
      <c r="K205" s="4" t="n">
        <v>101.3627</v>
      </c>
      <c r="L205" s="4" t="n">
        <v>101.24295</v>
      </c>
      <c r="M205" s="21" t="n">
        <f t="shared" si="18"/>
        <v>9.7093341E7</v>
      </c>
      <c r="O205" s="9" t="s">
        <v>56</v>
      </c>
    </row>
    <row r="206" spans="2:15" ht="17.25" customHeight="1" x14ac:dyDescent="0.3">
      <c r="B206" s="20" t="n">
        <v>193.0</v>
      </c>
      <c r="C206" s="7" t="s">
        <v>439</v>
      </c>
      <c r="D206" s="4" t="s">
        <v>440</v>
      </c>
      <c r="E206" s="34" t="n">
        <v>9.192256464E9</v>
      </c>
      <c r="F206" s="4" t="n">
        <f t="shared" si="13"/>
        <v>82.4955</v>
      </c>
      <c r="G206" s="4" t="n">
        <f t="shared" si="14"/>
        <v>82.3221</v>
      </c>
      <c r="H206" s="4" t="n">
        <f t="shared" si="15"/>
        <v>100.0</v>
      </c>
      <c r="I206" s="4" t="n">
        <f t="shared" si="16"/>
        <v>60.0</v>
      </c>
      <c r="J206" s="4" t="str">
        <f t="shared" si="17"/>
        <v/>
      </c>
      <c r="K206" s="4" t="n">
        <v>101.3627</v>
      </c>
      <c r="L206" s="4" t="n">
        <v>101.24295</v>
      </c>
      <c r="M206" s="21" t="n">
        <f t="shared" si="18"/>
        <v>9.7093343E7</v>
      </c>
      <c r="O206" s="9" t="s">
        <v>56</v>
      </c>
    </row>
    <row r="207" spans="2:15" ht="17.25" customHeight="1" x14ac:dyDescent="0.3">
      <c r="B207" s="20" t="n">
        <v>194.0</v>
      </c>
      <c r="C207" s="7" t="s">
        <v>441</v>
      </c>
      <c r="D207" s="4" t="s">
        <v>442</v>
      </c>
      <c r="E207" s="34" t="n">
        <v>9.192256473E9</v>
      </c>
      <c r="F207" s="4" t="n">
        <f t="shared" ref="F207:F270" si="19">ROUND((E207/$E$7)*100,4)</f>
        <v>82.4955</v>
      </c>
      <c r="G207" s="4" t="n">
        <f t="shared" ref="G207:G270" si="20">ROUND((E207/$E$6)*100,4)</f>
        <v>82.3221</v>
      </c>
      <c r="H207" s="4" t="n">
        <f t="shared" ref="H207:H270" si="21">ROUND((E207/$J$6)*100,4)</f>
        <v>100.0</v>
      </c>
      <c r="I207" s="4" t="n">
        <f t="shared" ref="I207:I270" si="22">IFERROR(ROUND(SQRT(1 - IF(E207&lt;=$J$6, $E$9, $N$9) * POWER((E207-$J$6)/($E$7-$J$6),2)) *$C$9,3), 0)</f>
        <v>60.0</v>
      </c>
      <c r="J207" s="4" t="str">
        <f t="shared" ref="J207:J270" si="23">IF(M207&lt;0,"감점","")</f>
        <v/>
      </c>
      <c r="K207" s="4" t="n">
        <v>101.3627</v>
      </c>
      <c r="L207" s="4" t="n">
        <v>101.24295</v>
      </c>
      <c r="M207" s="21" t="n">
        <f t="shared" ref="M207:M270" si="24">E207-$J$10</f>
        <v>9.7093352E7</v>
      </c>
      <c r="O207" s="9" t="s">
        <v>56</v>
      </c>
    </row>
    <row r="208" spans="2:15" ht="17.25" customHeight="1" x14ac:dyDescent="0.3">
      <c r="B208" s="20" t="n">
        <v>195.0</v>
      </c>
      <c r="C208" s="7" t="s">
        <v>443</v>
      </c>
      <c r="D208" s="4" t="s">
        <v>444</v>
      </c>
      <c r="E208" s="34" t="n">
        <v>9.192256477E9</v>
      </c>
      <c r="F208" s="4" t="n">
        <f t="shared" si="19"/>
        <v>82.4955</v>
      </c>
      <c r="G208" s="4" t="n">
        <f t="shared" si="20"/>
        <v>82.3221</v>
      </c>
      <c r="H208" s="4" t="n">
        <f t="shared" si="21"/>
        <v>100.0</v>
      </c>
      <c r="I208" s="4" t="n">
        <f t="shared" si="22"/>
        <v>60.0</v>
      </c>
      <c r="J208" s="4" t="str">
        <f t="shared" si="23"/>
        <v/>
      </c>
      <c r="K208" s="4" t="n">
        <v>101.3627</v>
      </c>
      <c r="L208" s="4" t="n">
        <v>101.24295</v>
      </c>
      <c r="M208" s="21" t="n">
        <f t="shared" si="24"/>
        <v>9.7093356E7</v>
      </c>
      <c r="O208" s="9" t="s">
        <v>56</v>
      </c>
    </row>
    <row r="209" spans="2:15" ht="17.25" customHeight="1" x14ac:dyDescent="0.3">
      <c r="B209" s="20" t="n">
        <v>196.0</v>
      </c>
      <c r="C209" s="7" t="s">
        <v>445</v>
      </c>
      <c r="D209" s="4" t="s">
        <v>446</v>
      </c>
      <c r="E209" s="34" t="n">
        <v>9.192256487E9</v>
      </c>
      <c r="F209" s="4" t="n">
        <f t="shared" si="19"/>
        <v>82.4955</v>
      </c>
      <c r="G209" s="4" t="n">
        <f t="shared" si="20"/>
        <v>82.3221</v>
      </c>
      <c r="H209" s="4" t="n">
        <f t="shared" si="21"/>
        <v>100.0</v>
      </c>
      <c r="I209" s="4" t="n">
        <f t="shared" si="22"/>
        <v>60.0</v>
      </c>
      <c r="J209" s="4" t="str">
        <f t="shared" si="23"/>
        <v/>
      </c>
      <c r="K209" s="4" t="n">
        <v>101.3627</v>
      </c>
      <c r="L209" s="4" t="n">
        <v>101.24295</v>
      </c>
      <c r="M209" s="21" t="n">
        <f t="shared" si="24"/>
        <v>9.7093366E7</v>
      </c>
      <c r="O209" s="9" t="s">
        <v>56</v>
      </c>
    </row>
    <row r="210" spans="2:15" ht="17.25" customHeight="1" x14ac:dyDescent="0.3">
      <c r="B210" s="20" t="n">
        <v>197.0</v>
      </c>
      <c r="C210" s="7" t="s">
        <v>447</v>
      </c>
      <c r="D210" s="4" t="s">
        <v>448</v>
      </c>
      <c r="E210" s="34" t="n">
        <v>9.192256513E9</v>
      </c>
      <c r="F210" s="4" t="n">
        <f t="shared" si="19"/>
        <v>82.4955</v>
      </c>
      <c r="G210" s="4" t="n">
        <f t="shared" si="20"/>
        <v>82.3221</v>
      </c>
      <c r="H210" s="4" t="n">
        <f t="shared" si="21"/>
        <v>100.0</v>
      </c>
      <c r="I210" s="4" t="n">
        <f t="shared" si="22"/>
        <v>60.0</v>
      </c>
      <c r="J210" s="4" t="str">
        <f t="shared" si="23"/>
        <v/>
      </c>
      <c r="K210" s="4" t="n">
        <v>101.3627</v>
      </c>
      <c r="L210" s="4" t="n">
        <v>101.24295</v>
      </c>
      <c r="M210" s="21" t="n">
        <f t="shared" si="24"/>
        <v>9.7093392E7</v>
      </c>
      <c r="O210" s="9" t="s">
        <v>56</v>
      </c>
    </row>
    <row r="211" spans="2:15" ht="17.25" customHeight="1" x14ac:dyDescent="0.3">
      <c r="B211" s="20" t="n">
        <v>198.0</v>
      </c>
      <c r="C211" s="7" t="s">
        <v>449</v>
      </c>
      <c r="D211" s="4" t="s">
        <v>450</v>
      </c>
      <c r="E211" s="34" t="n">
        <v>9.192256526E9</v>
      </c>
      <c r="F211" s="4" t="n">
        <f t="shared" si="19"/>
        <v>82.4955</v>
      </c>
      <c r="G211" s="4" t="n">
        <f t="shared" si="20"/>
        <v>82.3221</v>
      </c>
      <c r="H211" s="4" t="n">
        <f t="shared" si="21"/>
        <v>100.0</v>
      </c>
      <c r="I211" s="4" t="n">
        <f t="shared" si="22"/>
        <v>60.0</v>
      </c>
      <c r="J211" s="4" t="str">
        <f t="shared" si="23"/>
        <v/>
      </c>
      <c r="K211" s="4" t="n">
        <v>101.3627</v>
      </c>
      <c r="L211" s="4" t="n">
        <v>101.24295</v>
      </c>
      <c r="M211" s="21" t="n">
        <f t="shared" si="24"/>
        <v>9.7093405E7</v>
      </c>
      <c r="O211" s="9" t="s">
        <v>56</v>
      </c>
    </row>
    <row r="212" spans="2:15" ht="17.25" customHeight="1" x14ac:dyDescent="0.3">
      <c r="B212" s="20" t="n">
        <v>199.0</v>
      </c>
      <c r="C212" s="7" t="s">
        <v>451</v>
      </c>
      <c r="D212" s="4" t="s">
        <v>452</v>
      </c>
      <c r="E212" s="34" t="n">
        <v>9.192256537E9</v>
      </c>
      <c r="F212" s="4" t="n">
        <f t="shared" si="19"/>
        <v>82.4955</v>
      </c>
      <c r="G212" s="4" t="n">
        <f t="shared" si="20"/>
        <v>82.3221</v>
      </c>
      <c r="H212" s="4" t="n">
        <f t="shared" si="21"/>
        <v>100.0</v>
      </c>
      <c r="I212" s="4" t="n">
        <f t="shared" si="22"/>
        <v>60.0</v>
      </c>
      <c r="J212" s="4" t="str">
        <f t="shared" si="23"/>
        <v/>
      </c>
      <c r="K212" s="4" t="n">
        <v>101.3627</v>
      </c>
      <c r="L212" s="4" t="n">
        <v>101.24295</v>
      </c>
      <c r="M212" s="21" t="n">
        <f t="shared" si="24"/>
        <v>9.7093416E7</v>
      </c>
      <c r="O212" s="9" t="s">
        <v>56</v>
      </c>
    </row>
    <row r="213" spans="2:15" ht="17.25" customHeight="1" x14ac:dyDescent="0.3">
      <c r="B213" s="20" t="n">
        <v>200.0</v>
      </c>
      <c r="C213" s="7" t="s">
        <v>453</v>
      </c>
      <c r="D213" s="4" t="s">
        <v>454</v>
      </c>
      <c r="E213" s="34" t="n">
        <v>9.192256552E9</v>
      </c>
      <c r="F213" s="4" t="n">
        <f t="shared" si="19"/>
        <v>82.4955</v>
      </c>
      <c r="G213" s="4" t="n">
        <f t="shared" si="20"/>
        <v>82.3221</v>
      </c>
      <c r="H213" s="4" t="n">
        <f t="shared" si="21"/>
        <v>100.0</v>
      </c>
      <c r="I213" s="4" t="n">
        <f t="shared" si="22"/>
        <v>60.0</v>
      </c>
      <c r="J213" s="4" t="str">
        <f t="shared" si="23"/>
        <v/>
      </c>
      <c r="K213" s="4" t="n">
        <v>101.3627</v>
      </c>
      <c r="L213" s="4" t="n">
        <v>101.24295</v>
      </c>
      <c r="M213" s="21" t="n">
        <f t="shared" si="24"/>
        <v>9.7093431E7</v>
      </c>
      <c r="O213" s="9" t="s">
        <v>56</v>
      </c>
    </row>
    <row r="214" spans="2:15" ht="17.25" customHeight="1" x14ac:dyDescent="0.3">
      <c r="B214" s="20" t="n">
        <v>201.0</v>
      </c>
      <c r="C214" s="7" t="s">
        <v>455</v>
      </c>
      <c r="D214" s="4" t="s">
        <v>456</v>
      </c>
      <c r="E214" s="34" t="n">
        <v>9.192256555E9</v>
      </c>
      <c r="F214" s="4" t="n">
        <f t="shared" si="19"/>
        <v>82.4955</v>
      </c>
      <c r="G214" s="4" t="n">
        <f t="shared" si="20"/>
        <v>82.3221</v>
      </c>
      <c r="H214" s="4" t="n">
        <f t="shared" si="21"/>
        <v>100.0</v>
      </c>
      <c r="I214" s="4" t="n">
        <f t="shared" si="22"/>
        <v>60.0</v>
      </c>
      <c r="J214" s="4" t="str">
        <f t="shared" si="23"/>
        <v/>
      </c>
      <c r="K214" s="4" t="n">
        <v>101.3627</v>
      </c>
      <c r="L214" s="4" t="n">
        <v>101.24295</v>
      </c>
      <c r="M214" s="21" t="n">
        <f t="shared" si="24"/>
        <v>9.7093434E7</v>
      </c>
      <c r="O214" s="9" t="s">
        <v>56</v>
      </c>
    </row>
    <row r="215" spans="2:15" ht="17.25" customHeight="1" x14ac:dyDescent="0.3">
      <c r="B215" s="20" t="n">
        <v>202.0</v>
      </c>
      <c r="C215" s="7" t="s">
        <v>457</v>
      </c>
      <c r="D215" s="4" t="s">
        <v>458</v>
      </c>
      <c r="E215" s="34" t="n">
        <v>9.192256558E9</v>
      </c>
      <c r="F215" s="4" t="n">
        <f t="shared" si="19"/>
        <v>82.4955</v>
      </c>
      <c r="G215" s="4" t="n">
        <f t="shared" si="20"/>
        <v>82.3221</v>
      </c>
      <c r="H215" s="4" t="n">
        <f t="shared" si="21"/>
        <v>100.0</v>
      </c>
      <c r="I215" s="4" t="n">
        <f t="shared" si="22"/>
        <v>60.0</v>
      </c>
      <c r="J215" s="4" t="str">
        <f t="shared" si="23"/>
        <v/>
      </c>
      <c r="K215" s="4" t="n">
        <v>101.3627</v>
      </c>
      <c r="L215" s="4" t="n">
        <v>101.24295</v>
      </c>
      <c r="M215" s="21" t="n">
        <f t="shared" si="24"/>
        <v>9.7093437E7</v>
      </c>
      <c r="O215" s="9" t="s">
        <v>56</v>
      </c>
    </row>
    <row r="216" spans="2:15" ht="17.25" customHeight="1" x14ac:dyDescent="0.3">
      <c r="B216" s="20" t="n">
        <v>203.0</v>
      </c>
      <c r="C216" s="7" t="s">
        <v>459</v>
      </c>
      <c r="D216" s="4" t="s">
        <v>460</v>
      </c>
      <c r="E216" s="34" t="n">
        <v>9.192256561E9</v>
      </c>
      <c r="F216" s="4" t="n">
        <f t="shared" si="19"/>
        <v>82.4955</v>
      </c>
      <c r="G216" s="4" t="n">
        <f t="shared" si="20"/>
        <v>82.3221</v>
      </c>
      <c r="H216" s="4" t="n">
        <f t="shared" si="21"/>
        <v>100.0</v>
      </c>
      <c r="I216" s="4" t="n">
        <f t="shared" si="22"/>
        <v>60.0</v>
      </c>
      <c r="J216" s="4" t="str">
        <f t="shared" si="23"/>
        <v/>
      </c>
      <c r="K216" s="4" t="n">
        <v>101.3627</v>
      </c>
      <c r="L216" s="4" t="n">
        <v>101.24295</v>
      </c>
      <c r="M216" s="21" t="n">
        <f t="shared" si="24"/>
        <v>9.709344E7</v>
      </c>
      <c r="O216" s="9" t="s">
        <v>56</v>
      </c>
    </row>
    <row r="217" spans="2:15" ht="17.25" customHeight="1" x14ac:dyDescent="0.3">
      <c r="B217" s="20" t="n">
        <v>204.0</v>
      </c>
      <c r="C217" s="7" t="s">
        <v>461</v>
      </c>
      <c r="D217" s="4" t="s">
        <v>462</v>
      </c>
      <c r="E217" s="34" t="n">
        <v>9.192256565E9</v>
      </c>
      <c r="F217" s="4" t="n">
        <f t="shared" si="19"/>
        <v>82.4955</v>
      </c>
      <c r="G217" s="4" t="n">
        <f t="shared" si="20"/>
        <v>82.3221</v>
      </c>
      <c r="H217" s="4" t="n">
        <f t="shared" si="21"/>
        <v>100.0</v>
      </c>
      <c r="I217" s="4" t="n">
        <f t="shared" si="22"/>
        <v>60.0</v>
      </c>
      <c r="J217" s="4" t="str">
        <f t="shared" si="23"/>
        <v/>
      </c>
      <c r="K217" s="4" t="n">
        <v>101.3627</v>
      </c>
      <c r="L217" s="4" t="n">
        <v>101.24295</v>
      </c>
      <c r="M217" s="21" t="n">
        <f t="shared" si="24"/>
        <v>9.7093444E7</v>
      </c>
      <c r="O217" s="9" t="s">
        <v>56</v>
      </c>
    </row>
    <row r="218" spans="2:15" ht="17.25" customHeight="1" x14ac:dyDescent="0.3">
      <c r="B218" s="20" t="n">
        <v>205.0</v>
      </c>
      <c r="C218" s="7" t="s">
        <v>463</v>
      </c>
      <c r="D218" s="4" t="s">
        <v>464</v>
      </c>
      <c r="E218" s="34" t="n">
        <v>9.192256581E9</v>
      </c>
      <c r="F218" s="4" t="n">
        <f t="shared" si="19"/>
        <v>82.4955</v>
      </c>
      <c r="G218" s="4" t="n">
        <f t="shared" si="20"/>
        <v>82.3221</v>
      </c>
      <c r="H218" s="4" t="n">
        <f t="shared" si="21"/>
        <v>100.0</v>
      </c>
      <c r="I218" s="4" t="n">
        <f t="shared" si="22"/>
        <v>60.0</v>
      </c>
      <c r="J218" s="4" t="str">
        <f t="shared" si="23"/>
        <v/>
      </c>
      <c r="K218" s="4" t="n">
        <v>101.3627</v>
      </c>
      <c r="L218" s="4" t="n">
        <v>101.24295</v>
      </c>
      <c r="M218" s="21" t="n">
        <f t="shared" si="24"/>
        <v>9.709346E7</v>
      </c>
      <c r="O218" s="9" t="s">
        <v>56</v>
      </c>
    </row>
    <row r="219" spans="2:15" ht="17.25" customHeight="1" x14ac:dyDescent="0.3">
      <c r="B219" s="20" t="n">
        <v>206.0</v>
      </c>
      <c r="C219" s="7" t="s">
        <v>465</v>
      </c>
      <c r="D219" s="4" t="s">
        <v>466</v>
      </c>
      <c r="E219" s="34" t="n">
        <v>9.192256599E9</v>
      </c>
      <c r="F219" s="4" t="n">
        <f t="shared" si="19"/>
        <v>82.4955</v>
      </c>
      <c r="G219" s="4" t="n">
        <f t="shared" si="20"/>
        <v>82.3221</v>
      </c>
      <c r="H219" s="4" t="n">
        <f t="shared" si="21"/>
        <v>100.0</v>
      </c>
      <c r="I219" s="4" t="n">
        <f t="shared" si="22"/>
        <v>60.0</v>
      </c>
      <c r="J219" s="4" t="str">
        <f t="shared" si="23"/>
        <v/>
      </c>
      <c r="K219" s="4" t="n">
        <v>101.3627</v>
      </c>
      <c r="L219" s="4" t="n">
        <v>101.24295</v>
      </c>
      <c r="M219" s="21" t="n">
        <f t="shared" si="24"/>
        <v>9.7093478E7</v>
      </c>
      <c r="O219" s="9" t="s">
        <v>56</v>
      </c>
    </row>
    <row r="220" spans="2:15" ht="17.25" customHeight="1" x14ac:dyDescent="0.3">
      <c r="B220" s="20" t="n">
        <v>207.0</v>
      </c>
      <c r="C220" s="7" t="s">
        <v>467</v>
      </c>
      <c r="D220" s="4" t="s">
        <v>468</v>
      </c>
      <c r="E220" s="34" t="n">
        <v>9.192256695E9</v>
      </c>
      <c r="F220" s="4" t="n">
        <f t="shared" si="19"/>
        <v>82.4955</v>
      </c>
      <c r="G220" s="4" t="n">
        <f t="shared" si="20"/>
        <v>82.3221</v>
      </c>
      <c r="H220" s="4" t="n">
        <f t="shared" si="21"/>
        <v>100.0</v>
      </c>
      <c r="I220" s="4" t="n">
        <f t="shared" si="22"/>
        <v>60.0</v>
      </c>
      <c r="J220" s="4" t="str">
        <f t="shared" si="23"/>
        <v/>
      </c>
      <c r="K220" s="4" t="n">
        <v>101.3627</v>
      </c>
      <c r="L220" s="4" t="n">
        <v>101.24296</v>
      </c>
      <c r="M220" s="21" t="n">
        <f t="shared" si="24"/>
        <v>9.7093574E7</v>
      </c>
      <c r="O220" s="9" t="s">
        <v>56</v>
      </c>
    </row>
    <row r="221" spans="2:15" ht="17.25" customHeight="1" x14ac:dyDescent="0.3">
      <c r="B221" s="20" t="n">
        <v>208.0</v>
      </c>
      <c r="C221" s="7" t="s">
        <v>469</v>
      </c>
      <c r="D221" s="4" t="s">
        <v>470</v>
      </c>
      <c r="E221" s="34" t="n">
        <v>9.192256768E9</v>
      </c>
      <c r="F221" s="4" t="n">
        <f t="shared" si="19"/>
        <v>82.4955</v>
      </c>
      <c r="G221" s="4" t="n">
        <f t="shared" si="20"/>
        <v>82.3221</v>
      </c>
      <c r="H221" s="4" t="n">
        <f t="shared" si="21"/>
        <v>100.0</v>
      </c>
      <c r="I221" s="4" t="n">
        <f t="shared" si="22"/>
        <v>60.0</v>
      </c>
      <c r="J221" s="4" t="str">
        <f t="shared" si="23"/>
        <v/>
      </c>
      <c r="K221" s="4" t="n">
        <v>101.3627</v>
      </c>
      <c r="L221" s="4" t="n">
        <v>101.24296</v>
      </c>
      <c r="M221" s="21" t="n">
        <f t="shared" si="24"/>
        <v>9.7093647E7</v>
      </c>
      <c r="O221" s="9" t="s">
        <v>56</v>
      </c>
    </row>
    <row r="222" spans="2:15" ht="17.25" customHeight="1" x14ac:dyDescent="0.3">
      <c r="B222" s="20" t="n">
        <v>209.0</v>
      </c>
      <c r="C222" s="7" t="s">
        <v>471</v>
      </c>
      <c r="D222" s="4" t="s">
        <v>472</v>
      </c>
      <c r="E222" s="34" t="n">
        <v>9.192257048E9</v>
      </c>
      <c r="F222" s="4" t="n">
        <f t="shared" si="19"/>
        <v>82.4955</v>
      </c>
      <c r="G222" s="4" t="n">
        <f t="shared" si="20"/>
        <v>82.3221</v>
      </c>
      <c r="H222" s="4" t="n">
        <f t="shared" si="21"/>
        <v>100.0</v>
      </c>
      <c r="I222" s="4" t="n">
        <f t="shared" si="22"/>
        <v>60.0</v>
      </c>
      <c r="J222" s="4" t="str">
        <f t="shared" si="23"/>
        <v/>
      </c>
      <c r="K222" s="4" t="n">
        <v>101.36271</v>
      </c>
      <c r="L222" s="4" t="n">
        <v>101.24296</v>
      </c>
      <c r="M222" s="21" t="n">
        <f t="shared" si="24"/>
        <v>9.7093927E7</v>
      </c>
      <c r="O222" s="9" t="s">
        <v>56</v>
      </c>
    </row>
    <row r="223" spans="2:15" ht="17.25" customHeight="1" x14ac:dyDescent="0.3">
      <c r="B223" s="20" t="n">
        <v>210.0</v>
      </c>
      <c r="C223" s="7" t="s">
        <v>473</v>
      </c>
      <c r="D223" s="4" t="s">
        <v>474</v>
      </c>
      <c r="E223" s="34" t="n">
        <v>9.192257051E9</v>
      </c>
      <c r="F223" s="4" t="n">
        <f t="shared" si="19"/>
        <v>82.4955</v>
      </c>
      <c r="G223" s="4" t="n">
        <f t="shared" si="20"/>
        <v>82.3221</v>
      </c>
      <c r="H223" s="4" t="n">
        <f t="shared" si="21"/>
        <v>100.0</v>
      </c>
      <c r="I223" s="4" t="n">
        <f t="shared" si="22"/>
        <v>60.0</v>
      </c>
      <c r="J223" s="4" t="str">
        <f t="shared" si="23"/>
        <v/>
      </c>
      <c r="K223" s="4" t="n">
        <v>101.36271</v>
      </c>
      <c r="L223" s="4" t="n">
        <v>101.24296</v>
      </c>
      <c r="M223" s="21" t="n">
        <f t="shared" si="24"/>
        <v>9.709393E7</v>
      </c>
      <c r="O223" s="9" t="s">
        <v>56</v>
      </c>
    </row>
    <row r="224" spans="2:15" ht="17.25" customHeight="1" x14ac:dyDescent="0.3">
      <c r="B224" s="20" t="n">
        <v>211.0</v>
      </c>
      <c r="C224" s="7" t="s">
        <v>475</v>
      </c>
      <c r="D224" s="4" t="s">
        <v>476</v>
      </c>
      <c r="E224" s="34" t="n">
        <v>9.192257136E9</v>
      </c>
      <c r="F224" s="4" t="n">
        <f t="shared" si="19"/>
        <v>82.4955</v>
      </c>
      <c r="G224" s="4" t="n">
        <f t="shared" si="20"/>
        <v>82.3221</v>
      </c>
      <c r="H224" s="4" t="n">
        <f t="shared" si="21"/>
        <v>100.0</v>
      </c>
      <c r="I224" s="4" t="n">
        <f t="shared" si="22"/>
        <v>60.0</v>
      </c>
      <c r="J224" s="4" t="str">
        <f t="shared" si="23"/>
        <v/>
      </c>
      <c r="K224" s="4" t="n">
        <v>101.36271</v>
      </c>
      <c r="L224" s="4" t="n">
        <v>101.24296</v>
      </c>
      <c r="M224" s="21" t="n">
        <f t="shared" si="24"/>
        <v>9.7094015E7</v>
      </c>
      <c r="O224" s="9" t="s">
        <v>56</v>
      </c>
    </row>
    <row r="225" spans="2:15" ht="17.25" customHeight="1" x14ac:dyDescent="0.3">
      <c r="B225" s="20" t="n">
        <v>212.0</v>
      </c>
      <c r="C225" s="7" t="s">
        <v>477</v>
      </c>
      <c r="D225" s="4" t="s">
        <v>478</v>
      </c>
      <c r="E225" s="34" t="n">
        <v>9.192257141E9</v>
      </c>
      <c r="F225" s="4" t="n">
        <f t="shared" si="19"/>
        <v>82.4955</v>
      </c>
      <c r="G225" s="4" t="n">
        <f t="shared" si="20"/>
        <v>82.3221</v>
      </c>
      <c r="H225" s="4" t="n">
        <f t="shared" si="21"/>
        <v>100.0</v>
      </c>
      <c r="I225" s="4" t="n">
        <f t="shared" si="22"/>
        <v>60.0</v>
      </c>
      <c r="J225" s="4" t="str">
        <f t="shared" si="23"/>
        <v/>
      </c>
      <c r="K225" s="4" t="n">
        <v>101.36271</v>
      </c>
      <c r="L225" s="4" t="n">
        <v>101.24296</v>
      </c>
      <c r="M225" s="21" t="n">
        <f t="shared" si="24"/>
        <v>9.709402E7</v>
      </c>
      <c r="O225" s="9" t="s">
        <v>56</v>
      </c>
    </row>
    <row r="226" spans="2:15" ht="17.25" customHeight="1" x14ac:dyDescent="0.3">
      <c r="B226" s="20" t="n">
        <v>213.0</v>
      </c>
      <c r="C226" s="7" t="s">
        <v>479</v>
      </c>
      <c r="D226" s="4" t="s">
        <v>480</v>
      </c>
      <c r="E226" s="34" t="n">
        <v>9.192257257E9</v>
      </c>
      <c r="F226" s="4" t="n">
        <f t="shared" si="19"/>
        <v>82.4955</v>
      </c>
      <c r="G226" s="4" t="n">
        <f t="shared" si="20"/>
        <v>82.3221</v>
      </c>
      <c r="H226" s="4" t="n">
        <f t="shared" si="21"/>
        <v>100.0</v>
      </c>
      <c r="I226" s="4" t="n">
        <f t="shared" si="22"/>
        <v>60.0</v>
      </c>
      <c r="J226" s="4" t="str">
        <f t="shared" si="23"/>
        <v/>
      </c>
      <c r="K226" s="4" t="n">
        <v>101.36271</v>
      </c>
      <c r="L226" s="4" t="n">
        <v>101.24296</v>
      </c>
      <c r="M226" s="21" t="n">
        <f t="shared" si="24"/>
        <v>9.7094136E7</v>
      </c>
      <c r="O226" s="9" t="s">
        <v>56</v>
      </c>
    </row>
    <row r="227" spans="2:15" ht="17.25" customHeight="1" x14ac:dyDescent="0.3">
      <c r="B227" s="20" t="n">
        <v>214.0</v>
      </c>
      <c r="C227" s="7" t="s">
        <v>481</v>
      </c>
      <c r="D227" s="4" t="s">
        <v>482</v>
      </c>
      <c r="E227" s="34" t="n">
        <v>9.192257344E9</v>
      </c>
      <c r="F227" s="4" t="n">
        <f t="shared" si="19"/>
        <v>82.4955</v>
      </c>
      <c r="G227" s="4" t="n">
        <f t="shared" si="20"/>
        <v>82.3221</v>
      </c>
      <c r="H227" s="4" t="n">
        <f t="shared" si="21"/>
        <v>100.0</v>
      </c>
      <c r="I227" s="4" t="n">
        <f t="shared" si="22"/>
        <v>60.0</v>
      </c>
      <c r="J227" s="4" t="str">
        <f t="shared" si="23"/>
        <v/>
      </c>
      <c r="K227" s="4" t="n">
        <v>101.36271</v>
      </c>
      <c r="L227" s="4" t="n">
        <v>101.24296</v>
      </c>
      <c r="M227" s="21" t="n">
        <f t="shared" si="24"/>
        <v>9.7094223E7</v>
      </c>
      <c r="O227" s="9" t="s">
        <v>56</v>
      </c>
    </row>
    <row r="228" spans="2:15" ht="17.25" customHeight="1" x14ac:dyDescent="0.3">
      <c r="B228" s="20" t="n">
        <v>215.0</v>
      </c>
      <c r="C228" s="7" t="s">
        <v>483</v>
      </c>
      <c r="D228" s="4" t="s">
        <v>484</v>
      </c>
      <c r="E228" s="34" t="n">
        <v>9.192257364E9</v>
      </c>
      <c r="F228" s="4" t="n">
        <f t="shared" si="19"/>
        <v>82.4955</v>
      </c>
      <c r="G228" s="4" t="n">
        <f t="shared" si="20"/>
        <v>82.3221</v>
      </c>
      <c r="H228" s="4" t="n">
        <f t="shared" si="21"/>
        <v>100.0</v>
      </c>
      <c r="I228" s="4" t="n">
        <f t="shared" si="22"/>
        <v>60.0</v>
      </c>
      <c r="J228" s="4" t="str">
        <f t="shared" si="23"/>
        <v/>
      </c>
      <c r="K228" s="4" t="n">
        <v>101.36271</v>
      </c>
      <c r="L228" s="4" t="n">
        <v>101.24296</v>
      </c>
      <c r="M228" s="21" t="n">
        <f t="shared" si="24"/>
        <v>9.7094243E7</v>
      </c>
      <c r="O228" s="9" t="s">
        <v>56</v>
      </c>
    </row>
    <row r="229" spans="2:15" ht="17.25" customHeight="1" x14ac:dyDescent="0.3">
      <c r="B229" s="20" t="n">
        <v>216.0</v>
      </c>
      <c r="C229" s="7" t="s">
        <v>485</v>
      </c>
      <c r="D229" s="4" t="s">
        <v>486</v>
      </c>
      <c r="E229" s="34" t="n">
        <v>9.19225737E9</v>
      </c>
      <c r="F229" s="4" t="n">
        <f t="shared" si="19"/>
        <v>82.4955</v>
      </c>
      <c r="G229" s="4" t="n">
        <f t="shared" si="20"/>
        <v>82.3221</v>
      </c>
      <c r="H229" s="4" t="n">
        <f t="shared" si="21"/>
        <v>100.0</v>
      </c>
      <c r="I229" s="4" t="n">
        <f t="shared" si="22"/>
        <v>60.0</v>
      </c>
      <c r="J229" s="4" t="str">
        <f t="shared" si="23"/>
        <v/>
      </c>
      <c r="K229" s="4" t="n">
        <v>101.36271</v>
      </c>
      <c r="L229" s="4" t="n">
        <v>101.24296</v>
      </c>
      <c r="M229" s="21" t="n">
        <f t="shared" si="24"/>
        <v>9.7094249E7</v>
      </c>
      <c r="O229" s="9" t="s">
        <v>56</v>
      </c>
    </row>
    <row r="230" spans="2:15" ht="17.25" customHeight="1" x14ac:dyDescent="0.3">
      <c r="B230" s="20" t="n">
        <v>217.0</v>
      </c>
      <c r="C230" s="7" t="s">
        <v>487</v>
      </c>
      <c r="D230" s="4" t="s">
        <v>488</v>
      </c>
      <c r="E230" s="34" t="n">
        <v>9.19225737E9</v>
      </c>
      <c r="F230" s="4" t="n">
        <f t="shared" si="19"/>
        <v>82.4955</v>
      </c>
      <c r="G230" s="4" t="n">
        <f t="shared" si="20"/>
        <v>82.3221</v>
      </c>
      <c r="H230" s="4" t="n">
        <f t="shared" si="21"/>
        <v>100.0</v>
      </c>
      <c r="I230" s="4" t="n">
        <f t="shared" si="22"/>
        <v>60.0</v>
      </c>
      <c r="J230" s="4" t="str">
        <f t="shared" si="23"/>
        <v/>
      </c>
      <c r="K230" s="4" t="n">
        <v>101.36271</v>
      </c>
      <c r="L230" s="4" t="n">
        <v>101.24296</v>
      </c>
      <c r="M230" s="21" t="n">
        <f t="shared" si="24"/>
        <v>9.7094249E7</v>
      </c>
      <c r="O230" s="9" t="s">
        <v>56</v>
      </c>
    </row>
    <row r="231" spans="2:15" ht="17.25" customHeight="1" x14ac:dyDescent="0.3">
      <c r="B231" s="20" t="n">
        <v>218.0</v>
      </c>
      <c r="C231" s="7" t="s">
        <v>489</v>
      </c>
      <c r="D231" s="4" t="s">
        <v>490</v>
      </c>
      <c r="E231" s="34" t="n">
        <v>9.192257377E9</v>
      </c>
      <c r="F231" s="4" t="n">
        <f t="shared" si="19"/>
        <v>82.4955</v>
      </c>
      <c r="G231" s="4" t="n">
        <f t="shared" si="20"/>
        <v>82.3221</v>
      </c>
      <c r="H231" s="4" t="n">
        <f t="shared" si="21"/>
        <v>100.0</v>
      </c>
      <c r="I231" s="4" t="n">
        <f t="shared" si="22"/>
        <v>60.0</v>
      </c>
      <c r="J231" s="4" t="str">
        <f t="shared" si="23"/>
        <v/>
      </c>
      <c r="K231" s="4" t="n">
        <v>101.36271</v>
      </c>
      <c r="L231" s="4" t="n">
        <v>101.24296</v>
      </c>
      <c r="M231" s="21" t="n">
        <f t="shared" si="24"/>
        <v>9.7094256E7</v>
      </c>
      <c r="O231" s="9" t="s">
        <v>56</v>
      </c>
    </row>
    <row r="232" spans="2:15" ht="17.25" customHeight="1" x14ac:dyDescent="0.3">
      <c r="B232" s="20" t="n">
        <v>219.0</v>
      </c>
      <c r="C232" s="7" t="s">
        <v>491</v>
      </c>
      <c r="D232" s="4" t="s">
        <v>492</v>
      </c>
      <c r="E232" s="34" t="n">
        <v>9.192257384E9</v>
      </c>
      <c r="F232" s="4" t="n">
        <f t="shared" si="19"/>
        <v>82.4955</v>
      </c>
      <c r="G232" s="4" t="n">
        <f t="shared" si="20"/>
        <v>82.3221</v>
      </c>
      <c r="H232" s="4" t="n">
        <f t="shared" si="21"/>
        <v>100.0</v>
      </c>
      <c r="I232" s="4" t="n">
        <f t="shared" si="22"/>
        <v>60.0</v>
      </c>
      <c r="J232" s="4" t="str">
        <f t="shared" si="23"/>
        <v/>
      </c>
      <c r="K232" s="4" t="n">
        <v>101.36271</v>
      </c>
      <c r="L232" s="4" t="n">
        <v>101.24296</v>
      </c>
      <c r="M232" s="21" t="n">
        <f t="shared" si="24"/>
        <v>9.7094263E7</v>
      </c>
      <c r="O232" s="9" t="s">
        <v>56</v>
      </c>
    </row>
    <row r="233" spans="2:15" ht="17.25" customHeight="1" x14ac:dyDescent="0.3">
      <c r="B233" s="20" t="n">
        <v>220.0</v>
      </c>
      <c r="C233" s="7" t="s">
        <v>493</v>
      </c>
      <c r="D233" s="4" t="s">
        <v>494</v>
      </c>
      <c r="E233" s="34" t="n">
        <v>9.192257391E9</v>
      </c>
      <c r="F233" s="4" t="n">
        <f t="shared" si="19"/>
        <v>82.4955</v>
      </c>
      <c r="G233" s="4" t="n">
        <f t="shared" si="20"/>
        <v>82.3221</v>
      </c>
      <c r="H233" s="4" t="n">
        <f t="shared" si="21"/>
        <v>100.0</v>
      </c>
      <c r="I233" s="4" t="n">
        <f t="shared" si="22"/>
        <v>60.0</v>
      </c>
      <c r="J233" s="4" t="str">
        <f t="shared" si="23"/>
        <v/>
      </c>
      <c r="K233" s="4" t="n">
        <v>101.36271</v>
      </c>
      <c r="L233" s="4" t="n">
        <v>101.24296</v>
      </c>
      <c r="M233" s="21" t="n">
        <f t="shared" si="24"/>
        <v>9.709427E7</v>
      </c>
      <c r="O233" s="9" t="s">
        <v>56</v>
      </c>
    </row>
    <row r="234" spans="2:15" ht="17.25" customHeight="1" x14ac:dyDescent="0.3">
      <c r="B234" s="20" t="n">
        <v>221.0</v>
      </c>
      <c r="C234" s="7" t="s">
        <v>495</v>
      </c>
      <c r="D234" s="4" t="s">
        <v>496</v>
      </c>
      <c r="E234" s="34" t="n">
        <v>9.192257398E9</v>
      </c>
      <c r="F234" s="4" t="n">
        <f t="shared" si="19"/>
        <v>82.4955</v>
      </c>
      <c r="G234" s="4" t="n">
        <f t="shared" si="20"/>
        <v>82.3221</v>
      </c>
      <c r="H234" s="4" t="n">
        <f t="shared" si="21"/>
        <v>100.0</v>
      </c>
      <c r="I234" s="4" t="n">
        <f t="shared" si="22"/>
        <v>60.0</v>
      </c>
      <c r="J234" s="4" t="str">
        <f t="shared" si="23"/>
        <v/>
      </c>
      <c r="K234" s="4" t="n">
        <v>101.36271</v>
      </c>
      <c r="L234" s="4" t="n">
        <v>101.24296</v>
      </c>
      <c r="M234" s="21" t="n">
        <f t="shared" si="24"/>
        <v>9.7094277E7</v>
      </c>
      <c r="O234" s="9" t="s">
        <v>56</v>
      </c>
    </row>
    <row r="235" spans="2:15" ht="17.25" customHeight="1" x14ac:dyDescent="0.3">
      <c r="B235" s="20" t="n">
        <v>222.0</v>
      </c>
      <c r="C235" s="7" t="s">
        <v>497</v>
      </c>
      <c r="D235" s="4" t="s">
        <v>498</v>
      </c>
      <c r="E235" s="34" t="n">
        <v>9.192257405E9</v>
      </c>
      <c r="F235" s="4" t="n">
        <f t="shared" si="19"/>
        <v>82.4955</v>
      </c>
      <c r="G235" s="4" t="n">
        <f t="shared" si="20"/>
        <v>82.3221</v>
      </c>
      <c r="H235" s="4" t="n">
        <f t="shared" si="21"/>
        <v>100.0</v>
      </c>
      <c r="I235" s="4" t="n">
        <f t="shared" si="22"/>
        <v>60.0</v>
      </c>
      <c r="J235" s="4" t="str">
        <f t="shared" si="23"/>
        <v/>
      </c>
      <c r="K235" s="4" t="n">
        <v>101.36271</v>
      </c>
      <c r="L235" s="4" t="n">
        <v>101.24296</v>
      </c>
      <c r="M235" s="21" t="n">
        <f t="shared" si="24"/>
        <v>9.7094284E7</v>
      </c>
      <c r="O235" s="9" t="s">
        <v>56</v>
      </c>
    </row>
    <row r="236" spans="2:15" ht="17.25" customHeight="1" x14ac:dyDescent="0.3">
      <c r="B236" s="20" t="n">
        <v>223.0</v>
      </c>
      <c r="C236" s="7" t="s">
        <v>499</v>
      </c>
      <c r="D236" s="4" t="s">
        <v>500</v>
      </c>
      <c r="E236" s="34" t="n">
        <v>9.192257412E9</v>
      </c>
      <c r="F236" s="4" t="n">
        <f t="shared" si="19"/>
        <v>82.4955</v>
      </c>
      <c r="G236" s="4" t="n">
        <f t="shared" si="20"/>
        <v>82.3221</v>
      </c>
      <c r="H236" s="4" t="n">
        <f t="shared" si="21"/>
        <v>100.0</v>
      </c>
      <c r="I236" s="4" t="n">
        <f t="shared" si="22"/>
        <v>60.0</v>
      </c>
      <c r="J236" s="4" t="str">
        <f t="shared" si="23"/>
        <v/>
      </c>
      <c r="K236" s="4" t="n">
        <v>101.36271</v>
      </c>
      <c r="L236" s="4" t="n">
        <v>101.24296</v>
      </c>
      <c r="M236" s="21" t="n">
        <f t="shared" si="24"/>
        <v>9.7094291E7</v>
      </c>
      <c r="O236" s="9" t="s">
        <v>56</v>
      </c>
    </row>
    <row r="237" spans="2:15" ht="17.25" customHeight="1" x14ac:dyDescent="0.3">
      <c r="B237" s="20" t="n">
        <v>224.0</v>
      </c>
      <c r="C237" s="7" t="s">
        <v>501</v>
      </c>
      <c r="D237" s="4" t="s">
        <v>502</v>
      </c>
      <c r="E237" s="34" t="n">
        <v>9.192257419E9</v>
      </c>
      <c r="F237" s="4" t="n">
        <f t="shared" si="19"/>
        <v>82.4955</v>
      </c>
      <c r="G237" s="4" t="n">
        <f t="shared" si="20"/>
        <v>82.3221</v>
      </c>
      <c r="H237" s="4" t="n">
        <f t="shared" si="21"/>
        <v>100.0</v>
      </c>
      <c r="I237" s="4" t="n">
        <f t="shared" si="22"/>
        <v>60.0</v>
      </c>
      <c r="J237" s="4" t="str">
        <f t="shared" si="23"/>
        <v/>
      </c>
      <c r="K237" s="4" t="n">
        <v>101.36271</v>
      </c>
      <c r="L237" s="4" t="n">
        <v>101.24296</v>
      </c>
      <c r="M237" s="21" t="n">
        <f t="shared" si="24"/>
        <v>9.7094298E7</v>
      </c>
      <c r="O237" s="9" t="s">
        <v>56</v>
      </c>
    </row>
    <row r="238" spans="2:15" ht="17.25" customHeight="1" x14ac:dyDescent="0.3">
      <c r="B238" s="20" t="n">
        <v>225.0</v>
      </c>
      <c r="C238" s="7" t="s">
        <v>503</v>
      </c>
      <c r="D238" s="4" t="s">
        <v>504</v>
      </c>
      <c r="E238" s="34" t="n">
        <v>9.19225744E9</v>
      </c>
      <c r="F238" s="4" t="n">
        <f t="shared" si="19"/>
        <v>82.4955</v>
      </c>
      <c r="G238" s="4" t="n">
        <f t="shared" si="20"/>
        <v>82.3221</v>
      </c>
      <c r="H238" s="4" t="n">
        <f t="shared" si="21"/>
        <v>100.0</v>
      </c>
      <c r="I238" s="4" t="n">
        <f t="shared" si="22"/>
        <v>60.0</v>
      </c>
      <c r="J238" s="4" t="str">
        <f t="shared" si="23"/>
        <v/>
      </c>
      <c r="K238" s="4" t="n">
        <v>101.36271</v>
      </c>
      <c r="L238" s="4" t="n">
        <v>101.24296</v>
      </c>
      <c r="M238" s="21" t="n">
        <f t="shared" si="24"/>
        <v>9.7094319E7</v>
      </c>
      <c r="O238" s="9" t="s">
        <v>56</v>
      </c>
    </row>
    <row r="239" spans="2:15" ht="17.25" customHeight="1" x14ac:dyDescent="0.3">
      <c r="B239" s="20" t="n">
        <v>226.0</v>
      </c>
      <c r="C239" s="7" t="s">
        <v>505</v>
      </c>
      <c r="D239" s="4" t="s">
        <v>506</v>
      </c>
      <c r="E239" s="34" t="n">
        <v>9.192257448E9</v>
      </c>
      <c r="F239" s="4" t="n">
        <f t="shared" si="19"/>
        <v>82.4955</v>
      </c>
      <c r="G239" s="4" t="n">
        <f t="shared" si="20"/>
        <v>82.3221</v>
      </c>
      <c r="H239" s="4" t="n">
        <f t="shared" si="21"/>
        <v>100.0</v>
      </c>
      <c r="I239" s="4" t="n">
        <f t="shared" si="22"/>
        <v>60.0</v>
      </c>
      <c r="J239" s="4" t="str">
        <f t="shared" si="23"/>
        <v/>
      </c>
      <c r="K239" s="4" t="n">
        <v>101.36271</v>
      </c>
      <c r="L239" s="4" t="n">
        <v>101.24296</v>
      </c>
      <c r="M239" s="21" t="n">
        <f t="shared" si="24"/>
        <v>9.7094327E7</v>
      </c>
      <c r="O239" s="9" t="s">
        <v>56</v>
      </c>
    </row>
    <row r="240" spans="2:15" ht="17.25" customHeight="1" x14ac:dyDescent="0.3">
      <c r="B240" s="20" t="n">
        <v>227.0</v>
      </c>
      <c r="C240" s="7" t="s">
        <v>507</v>
      </c>
      <c r="D240" s="4" t="s">
        <v>508</v>
      </c>
      <c r="E240" s="34" t="n">
        <v>9.192257451E9</v>
      </c>
      <c r="F240" s="4" t="n">
        <f t="shared" si="19"/>
        <v>82.4955</v>
      </c>
      <c r="G240" s="4" t="n">
        <f t="shared" si="20"/>
        <v>82.3221</v>
      </c>
      <c r="H240" s="4" t="n">
        <f t="shared" si="21"/>
        <v>100.0</v>
      </c>
      <c r="I240" s="4" t="n">
        <f t="shared" si="22"/>
        <v>60.0</v>
      </c>
      <c r="J240" s="4" t="str">
        <f t="shared" si="23"/>
        <v/>
      </c>
      <c r="K240" s="4" t="n">
        <v>101.36271</v>
      </c>
      <c r="L240" s="4" t="n">
        <v>101.24296</v>
      </c>
      <c r="M240" s="21" t="n">
        <f t="shared" si="24"/>
        <v>9.709433E7</v>
      </c>
      <c r="O240" s="9" t="s">
        <v>56</v>
      </c>
    </row>
    <row r="241" spans="2:15" ht="17.25" customHeight="1" x14ac:dyDescent="0.3">
      <c r="B241" s="20" t="n">
        <v>228.0</v>
      </c>
      <c r="C241" s="7" t="s">
        <v>509</v>
      </c>
      <c r="D241" s="4" t="s">
        <v>510</v>
      </c>
      <c r="E241" s="34" t="n">
        <v>9.192257587E9</v>
      </c>
      <c r="F241" s="4" t="n">
        <f t="shared" si="19"/>
        <v>82.4955</v>
      </c>
      <c r="G241" s="4" t="n">
        <f t="shared" si="20"/>
        <v>82.3221</v>
      </c>
      <c r="H241" s="4" t="n">
        <f t="shared" si="21"/>
        <v>100.0</v>
      </c>
      <c r="I241" s="4" t="n">
        <f t="shared" si="22"/>
        <v>60.0</v>
      </c>
      <c r="J241" s="4" t="str">
        <f t="shared" si="23"/>
        <v/>
      </c>
      <c r="K241" s="4" t="n">
        <v>101.36271</v>
      </c>
      <c r="L241" s="4" t="n">
        <v>101.24296</v>
      </c>
      <c r="M241" s="21" t="n">
        <f t="shared" si="24"/>
        <v>9.7094466E7</v>
      </c>
      <c r="O241" s="9" t="s">
        <v>56</v>
      </c>
    </row>
    <row r="242" spans="2:15" ht="17.25" customHeight="1" x14ac:dyDescent="0.3">
      <c r="B242" s="20" t="n">
        <v>229.0</v>
      </c>
      <c r="C242" s="7" t="s">
        <v>511</v>
      </c>
      <c r="D242" s="4" t="s">
        <v>512</v>
      </c>
      <c r="E242" s="34" t="n">
        <v>9.192257591E9</v>
      </c>
      <c r="F242" s="4" t="n">
        <f t="shared" si="19"/>
        <v>82.4955</v>
      </c>
      <c r="G242" s="4" t="n">
        <f t="shared" si="20"/>
        <v>82.3221</v>
      </c>
      <c r="H242" s="4" t="n">
        <f t="shared" si="21"/>
        <v>100.0</v>
      </c>
      <c r="I242" s="4" t="n">
        <f t="shared" si="22"/>
        <v>60.0</v>
      </c>
      <c r="J242" s="4" t="str">
        <f t="shared" si="23"/>
        <v/>
      </c>
      <c r="K242" s="4" t="n">
        <v>101.36271</v>
      </c>
      <c r="L242" s="4" t="n">
        <v>101.24296</v>
      </c>
      <c r="M242" s="21" t="n">
        <f t="shared" si="24"/>
        <v>9.709447E7</v>
      </c>
      <c r="O242" s="9" t="s">
        <v>56</v>
      </c>
    </row>
    <row r="243" spans="2:15" ht="17.25" customHeight="1" x14ac:dyDescent="0.3">
      <c r="B243" s="20" t="n">
        <v>230.0</v>
      </c>
      <c r="C243" s="7" t="s">
        <v>513</v>
      </c>
      <c r="D243" s="4" t="s">
        <v>514</v>
      </c>
      <c r="E243" s="34" t="n">
        <v>9.192257594E9</v>
      </c>
      <c r="F243" s="4" t="n">
        <f t="shared" si="19"/>
        <v>82.4955</v>
      </c>
      <c r="G243" s="4" t="n">
        <f t="shared" si="20"/>
        <v>82.3221</v>
      </c>
      <c r="H243" s="4" t="n">
        <f t="shared" si="21"/>
        <v>100.0</v>
      </c>
      <c r="I243" s="4" t="n">
        <f t="shared" si="22"/>
        <v>60.0</v>
      </c>
      <c r="J243" s="4" t="str">
        <f t="shared" si="23"/>
        <v/>
      </c>
      <c r="K243" s="4" t="n">
        <v>101.36271</v>
      </c>
      <c r="L243" s="4" t="n">
        <v>101.24296</v>
      </c>
      <c r="M243" s="21" t="n">
        <f t="shared" si="24"/>
        <v>9.7094473E7</v>
      </c>
      <c r="O243" s="9" t="s">
        <v>56</v>
      </c>
    </row>
    <row r="244" spans="2:15" ht="17.25" customHeight="1" x14ac:dyDescent="0.3">
      <c r="B244" s="20" t="n">
        <v>231.0</v>
      </c>
      <c r="C244" s="7" t="s">
        <v>515</v>
      </c>
      <c r="D244" s="4" t="s">
        <v>516</v>
      </c>
      <c r="E244" s="34" t="n">
        <v>9.192257596E9</v>
      </c>
      <c r="F244" s="4" t="n">
        <f t="shared" si="19"/>
        <v>82.4955</v>
      </c>
      <c r="G244" s="4" t="n">
        <f t="shared" si="20"/>
        <v>82.3221</v>
      </c>
      <c r="H244" s="4" t="n">
        <f t="shared" si="21"/>
        <v>100.0</v>
      </c>
      <c r="I244" s="4" t="n">
        <f t="shared" si="22"/>
        <v>60.0</v>
      </c>
      <c r="J244" s="4" t="str">
        <f t="shared" si="23"/>
        <v/>
      </c>
      <c r="K244" s="4" t="n">
        <v>101.36271</v>
      </c>
      <c r="L244" s="4" t="n">
        <v>101.24296</v>
      </c>
      <c r="M244" s="21" t="n">
        <f t="shared" si="24"/>
        <v>9.7094475E7</v>
      </c>
      <c r="O244" s="9" t="s">
        <v>56</v>
      </c>
    </row>
    <row r="245" spans="2:15" ht="17.25" customHeight="1" x14ac:dyDescent="0.3">
      <c r="B245" s="20" t="n">
        <v>232.0</v>
      </c>
      <c r="C245" s="7" t="s">
        <v>517</v>
      </c>
      <c r="D245" s="4" t="s">
        <v>518</v>
      </c>
      <c r="E245" s="34" t="n">
        <v>9.1922576E9</v>
      </c>
      <c r="F245" s="4" t="n">
        <f t="shared" si="19"/>
        <v>82.4955</v>
      </c>
      <c r="G245" s="4" t="n">
        <f t="shared" si="20"/>
        <v>82.3221</v>
      </c>
      <c r="H245" s="4" t="n">
        <f t="shared" si="21"/>
        <v>100.0</v>
      </c>
      <c r="I245" s="4" t="n">
        <f t="shared" si="22"/>
        <v>60.0</v>
      </c>
      <c r="J245" s="4" t="str">
        <f t="shared" si="23"/>
        <v/>
      </c>
      <c r="K245" s="4" t="n">
        <v>101.36271</v>
      </c>
      <c r="L245" s="4" t="n">
        <v>101.24296</v>
      </c>
      <c r="M245" s="21" t="n">
        <f t="shared" si="24"/>
        <v>9.7094479E7</v>
      </c>
      <c r="O245" s="9" t="s">
        <v>56</v>
      </c>
    </row>
    <row r="246" spans="2:15" ht="17.25" customHeight="1" x14ac:dyDescent="0.3">
      <c r="B246" s="20" t="n">
        <v>233.0</v>
      </c>
      <c r="C246" s="7" t="s">
        <v>519</v>
      </c>
      <c r="D246" s="4" t="s">
        <v>520</v>
      </c>
      <c r="E246" s="34" t="n">
        <v>9.192257628E9</v>
      </c>
      <c r="F246" s="4" t="n">
        <f t="shared" si="19"/>
        <v>82.4955</v>
      </c>
      <c r="G246" s="4" t="n">
        <f t="shared" si="20"/>
        <v>82.3221</v>
      </c>
      <c r="H246" s="4" t="n">
        <f t="shared" si="21"/>
        <v>100.0</v>
      </c>
      <c r="I246" s="4" t="n">
        <f t="shared" si="22"/>
        <v>60.0</v>
      </c>
      <c r="J246" s="4" t="str">
        <f t="shared" si="23"/>
        <v/>
      </c>
      <c r="K246" s="4" t="n">
        <v>101.36271</v>
      </c>
      <c r="L246" s="4" t="n">
        <v>101.24296</v>
      </c>
      <c r="M246" s="21" t="n">
        <f t="shared" si="24"/>
        <v>9.7094507E7</v>
      </c>
      <c r="O246" s="9" t="s">
        <v>56</v>
      </c>
    </row>
    <row r="247" spans="2:15" ht="17.25" customHeight="1" x14ac:dyDescent="0.3">
      <c r="B247" s="20" t="n">
        <v>234.0</v>
      </c>
      <c r="C247" s="7" t="s">
        <v>521</v>
      </c>
      <c r="D247" s="4" t="s">
        <v>522</v>
      </c>
      <c r="E247" s="34" t="n">
        <v>9.192257652E9</v>
      </c>
      <c r="F247" s="4" t="n">
        <f t="shared" si="19"/>
        <v>82.4955</v>
      </c>
      <c r="G247" s="4" t="n">
        <f t="shared" si="20"/>
        <v>82.3221</v>
      </c>
      <c r="H247" s="4" t="n">
        <f t="shared" si="21"/>
        <v>100.0</v>
      </c>
      <c r="I247" s="4" t="n">
        <f t="shared" si="22"/>
        <v>60.0</v>
      </c>
      <c r="J247" s="4" t="str">
        <f t="shared" si="23"/>
        <v/>
      </c>
      <c r="K247" s="4" t="n">
        <v>101.36271</v>
      </c>
      <c r="L247" s="4" t="n">
        <v>101.24296</v>
      </c>
      <c r="M247" s="21" t="n">
        <f t="shared" si="24"/>
        <v>9.7094531E7</v>
      </c>
      <c r="O247" s="9" t="s">
        <v>56</v>
      </c>
    </row>
    <row r="248" spans="2:15" ht="17.25" customHeight="1" x14ac:dyDescent="0.3">
      <c r="B248" s="20" t="n">
        <v>235.0</v>
      </c>
      <c r="C248" s="7" t="s">
        <v>523</v>
      </c>
      <c r="D248" s="4" t="s">
        <v>524</v>
      </c>
      <c r="E248" s="34" t="n">
        <v>9.192257667E9</v>
      </c>
      <c r="F248" s="4" t="n">
        <f t="shared" si="19"/>
        <v>82.4955</v>
      </c>
      <c r="G248" s="4" t="n">
        <f t="shared" si="20"/>
        <v>82.3221</v>
      </c>
      <c r="H248" s="4" t="n">
        <f t="shared" si="21"/>
        <v>100.0</v>
      </c>
      <c r="I248" s="4" t="n">
        <f t="shared" si="22"/>
        <v>60.0</v>
      </c>
      <c r="J248" s="4" t="str">
        <f t="shared" si="23"/>
        <v/>
      </c>
      <c r="K248" s="4" t="n">
        <v>101.36271</v>
      </c>
      <c r="L248" s="4" t="n">
        <v>101.24296</v>
      </c>
      <c r="M248" s="21" t="n">
        <f t="shared" si="24"/>
        <v>9.7094546E7</v>
      </c>
      <c r="O248" s="9" t="s">
        <v>56</v>
      </c>
    </row>
    <row r="249" spans="2:15" ht="17.25" customHeight="1" x14ac:dyDescent="0.3">
      <c r="B249" s="20" t="n">
        <v>236.0</v>
      </c>
      <c r="C249" s="7" t="s">
        <v>525</v>
      </c>
      <c r="D249" s="4" t="s">
        <v>526</v>
      </c>
      <c r="E249" s="34" t="n">
        <v>9.192257668E9</v>
      </c>
      <c r="F249" s="4" t="n">
        <f t="shared" si="19"/>
        <v>82.4955</v>
      </c>
      <c r="G249" s="4" t="n">
        <f t="shared" si="20"/>
        <v>82.3221</v>
      </c>
      <c r="H249" s="4" t="n">
        <f t="shared" si="21"/>
        <v>100.0</v>
      </c>
      <c r="I249" s="4" t="n">
        <f t="shared" si="22"/>
        <v>60.0</v>
      </c>
      <c r="J249" s="4" t="str">
        <f t="shared" si="23"/>
        <v/>
      </c>
      <c r="K249" s="4" t="n">
        <v>101.36271</v>
      </c>
      <c r="L249" s="4" t="n">
        <v>101.24296</v>
      </c>
      <c r="M249" s="21" t="n">
        <f t="shared" si="24"/>
        <v>9.7094547E7</v>
      </c>
      <c r="O249" s="9" t="s">
        <v>56</v>
      </c>
    </row>
    <row r="250" spans="2:15" ht="17.25" customHeight="1" x14ac:dyDescent="0.3">
      <c r="B250" s="20" t="n">
        <v>237.0</v>
      </c>
      <c r="C250" s="7" t="s">
        <v>527</v>
      </c>
      <c r="D250" s="4" t="s">
        <v>528</v>
      </c>
      <c r="E250" s="34" t="n">
        <v>9.192257679E9</v>
      </c>
      <c r="F250" s="4" t="n">
        <f t="shared" si="19"/>
        <v>82.4955</v>
      </c>
      <c r="G250" s="4" t="n">
        <f t="shared" si="20"/>
        <v>82.3221</v>
      </c>
      <c r="H250" s="4" t="n">
        <f t="shared" si="21"/>
        <v>100.0</v>
      </c>
      <c r="I250" s="4" t="n">
        <f t="shared" si="22"/>
        <v>60.0</v>
      </c>
      <c r="J250" s="4" t="str">
        <f t="shared" si="23"/>
        <v/>
      </c>
      <c r="K250" s="4" t="n">
        <v>101.36271</v>
      </c>
      <c r="L250" s="4" t="n">
        <v>101.24296</v>
      </c>
      <c r="M250" s="21" t="n">
        <f t="shared" si="24"/>
        <v>9.7094558E7</v>
      </c>
      <c r="O250" s="9" t="s">
        <v>56</v>
      </c>
    </row>
    <row r="251" spans="2:15" ht="17.25" customHeight="1" x14ac:dyDescent="0.3">
      <c r="B251" s="20" t="n">
        <v>238.0</v>
      </c>
      <c r="C251" s="7" t="s">
        <v>529</v>
      </c>
      <c r="D251" s="4" t="s">
        <v>530</v>
      </c>
      <c r="E251" s="34" t="n">
        <v>9.192257698E9</v>
      </c>
      <c r="F251" s="4" t="n">
        <f t="shared" si="19"/>
        <v>82.4955</v>
      </c>
      <c r="G251" s="4" t="n">
        <f t="shared" si="20"/>
        <v>82.3221</v>
      </c>
      <c r="H251" s="4" t="n">
        <f t="shared" si="21"/>
        <v>100.0</v>
      </c>
      <c r="I251" s="4" t="n">
        <f t="shared" si="22"/>
        <v>60.0</v>
      </c>
      <c r="J251" s="4" t="str">
        <f t="shared" si="23"/>
        <v/>
      </c>
      <c r="K251" s="4" t="n">
        <v>101.36271</v>
      </c>
      <c r="L251" s="4" t="n">
        <v>101.24296</v>
      </c>
      <c r="M251" s="21" t="n">
        <f t="shared" si="24"/>
        <v>9.7094577E7</v>
      </c>
      <c r="O251" s="9" t="s">
        <v>56</v>
      </c>
    </row>
    <row r="252" spans="2:15" ht="17.25" customHeight="1" x14ac:dyDescent="0.3">
      <c r="B252" s="20" t="n">
        <v>239.0</v>
      </c>
      <c r="C252" s="7" t="s">
        <v>531</v>
      </c>
      <c r="D252" s="4" t="s">
        <v>532</v>
      </c>
      <c r="E252" s="34" t="n">
        <v>9.192257761E9</v>
      </c>
      <c r="F252" s="4" t="n">
        <f t="shared" si="19"/>
        <v>82.4955</v>
      </c>
      <c r="G252" s="4" t="n">
        <f t="shared" si="20"/>
        <v>82.3221</v>
      </c>
      <c r="H252" s="4" t="n">
        <f t="shared" si="21"/>
        <v>100.0</v>
      </c>
      <c r="I252" s="4" t="n">
        <f t="shared" si="22"/>
        <v>60.0</v>
      </c>
      <c r="J252" s="4" t="str">
        <f t="shared" si="23"/>
        <v/>
      </c>
      <c r="K252" s="4" t="n">
        <v>101.36271</v>
      </c>
      <c r="L252" s="4" t="n">
        <v>101.24296</v>
      </c>
      <c r="M252" s="21" t="n">
        <f t="shared" si="24"/>
        <v>9.709464E7</v>
      </c>
      <c r="O252" s="9" t="s">
        <v>56</v>
      </c>
    </row>
    <row r="253" spans="2:15" ht="17.25" customHeight="1" x14ac:dyDescent="0.3">
      <c r="B253" s="20" t="n">
        <v>240.0</v>
      </c>
      <c r="C253" s="7" t="s">
        <v>533</v>
      </c>
      <c r="D253" s="4" t="s">
        <v>534</v>
      </c>
      <c r="E253" s="34" t="n">
        <v>9.192257999E9</v>
      </c>
      <c r="F253" s="4" t="n">
        <f t="shared" si="19"/>
        <v>82.4955</v>
      </c>
      <c r="G253" s="4" t="n">
        <f t="shared" si="20"/>
        <v>82.3221</v>
      </c>
      <c r="H253" s="4" t="n">
        <f t="shared" si="21"/>
        <v>100.0</v>
      </c>
      <c r="I253" s="4" t="n">
        <f t="shared" si="22"/>
        <v>60.0</v>
      </c>
      <c r="J253" s="4" t="str">
        <f t="shared" si="23"/>
        <v/>
      </c>
      <c r="K253" s="4" t="n">
        <v>101.36271</v>
      </c>
      <c r="L253" s="4" t="n">
        <v>101.24296</v>
      </c>
      <c r="M253" s="21" t="n">
        <f t="shared" si="24"/>
        <v>9.7094878E7</v>
      </c>
      <c r="O253" s="9" t="s">
        <v>56</v>
      </c>
    </row>
    <row r="254" spans="2:15" ht="17.25" customHeight="1" x14ac:dyDescent="0.3">
      <c r="B254" s="20" t="n">
        <v>241.0</v>
      </c>
      <c r="C254" s="7" t="s">
        <v>535</v>
      </c>
      <c r="D254" s="4" t="s">
        <v>536</v>
      </c>
      <c r="E254" s="34" t="n">
        <v>9.192258138E9</v>
      </c>
      <c r="F254" s="4" t="n">
        <f t="shared" si="19"/>
        <v>82.4955</v>
      </c>
      <c r="G254" s="4" t="n">
        <f t="shared" si="20"/>
        <v>82.3221</v>
      </c>
      <c r="H254" s="4" t="n">
        <f t="shared" si="21"/>
        <v>100.0</v>
      </c>
      <c r="I254" s="4" t="n">
        <f t="shared" si="22"/>
        <v>60.0</v>
      </c>
      <c r="J254" s="4" t="str">
        <f t="shared" si="23"/>
        <v/>
      </c>
      <c r="K254" s="4" t="n">
        <v>101.36271</v>
      </c>
      <c r="L254" s="4" t="n">
        <v>101.24296</v>
      </c>
      <c r="M254" s="21" t="n">
        <f t="shared" si="24"/>
        <v>9.7095017E7</v>
      </c>
      <c r="O254" s="9" t="s">
        <v>56</v>
      </c>
    </row>
    <row r="255" spans="2:15" ht="17.25" customHeight="1" x14ac:dyDescent="0.3">
      <c r="B255" s="20" t="n">
        <v>242.0</v>
      </c>
      <c r="C255" s="7" t="s">
        <v>537</v>
      </c>
      <c r="D255" s="4" t="s">
        <v>538</v>
      </c>
      <c r="E255" s="34" t="n">
        <v>9.192258311E9</v>
      </c>
      <c r="F255" s="4" t="n">
        <f t="shared" si="19"/>
        <v>82.4955</v>
      </c>
      <c r="G255" s="4" t="n">
        <f t="shared" si="20"/>
        <v>82.3221</v>
      </c>
      <c r="H255" s="4" t="n">
        <f t="shared" si="21"/>
        <v>100.0</v>
      </c>
      <c r="I255" s="4" t="n">
        <f t="shared" si="22"/>
        <v>60.0</v>
      </c>
      <c r="J255" s="4" t="str">
        <f t="shared" si="23"/>
        <v/>
      </c>
      <c r="K255" s="4" t="n">
        <v>101.36272</v>
      </c>
      <c r="L255" s="4" t="n">
        <v>101.24296</v>
      </c>
      <c r="M255" s="21" t="n">
        <f t="shared" si="24"/>
        <v>9.709519E7</v>
      </c>
      <c r="O255" s="9" t="s">
        <v>56</v>
      </c>
    </row>
    <row r="256" spans="2:15" ht="17.25" customHeight="1" x14ac:dyDescent="0.3">
      <c r="B256" s="20" t="n">
        <v>243.0</v>
      </c>
      <c r="C256" s="7" t="s">
        <v>539</v>
      </c>
      <c r="D256" s="4" t="s">
        <v>540</v>
      </c>
      <c r="E256" s="34" t="n">
        <v>9.192258318E9</v>
      </c>
      <c r="F256" s="4" t="n">
        <f t="shared" si="19"/>
        <v>82.4955</v>
      </c>
      <c r="G256" s="4" t="n">
        <f t="shared" si="20"/>
        <v>82.3221</v>
      </c>
      <c r="H256" s="4" t="n">
        <f t="shared" si="21"/>
        <v>100.0</v>
      </c>
      <c r="I256" s="4" t="n">
        <f t="shared" si="22"/>
        <v>60.0</v>
      </c>
      <c r="J256" s="4" t="str">
        <f t="shared" si="23"/>
        <v/>
      </c>
      <c r="K256" s="4" t="n">
        <v>101.36272</v>
      </c>
      <c r="L256" s="4" t="n">
        <v>101.24296</v>
      </c>
      <c r="M256" s="21" t="n">
        <f t="shared" si="24"/>
        <v>9.7095197E7</v>
      </c>
      <c r="O256" s="9" t="s">
        <v>56</v>
      </c>
    </row>
    <row r="257" spans="2:15" ht="17.25" customHeight="1" x14ac:dyDescent="0.3">
      <c r="B257" s="20" t="n">
        <v>244.0</v>
      </c>
      <c r="C257" s="7" t="s">
        <v>541</v>
      </c>
      <c r="D257" s="4" t="s">
        <v>542</v>
      </c>
      <c r="E257" s="34" t="n">
        <v>9.192258323E9</v>
      </c>
      <c r="F257" s="4" t="n">
        <f t="shared" si="19"/>
        <v>82.4955</v>
      </c>
      <c r="G257" s="4" t="n">
        <f t="shared" si="20"/>
        <v>82.3221</v>
      </c>
      <c r="H257" s="4" t="n">
        <f t="shared" si="21"/>
        <v>100.0</v>
      </c>
      <c r="I257" s="4" t="n">
        <f t="shared" si="22"/>
        <v>60.0</v>
      </c>
      <c r="J257" s="4" t="str">
        <f t="shared" si="23"/>
        <v/>
      </c>
      <c r="K257" s="4" t="n">
        <v>101.36272</v>
      </c>
      <c r="L257" s="4" t="n">
        <v>101.24296</v>
      </c>
      <c r="M257" s="21" t="n">
        <f t="shared" si="24"/>
        <v>9.7095202E7</v>
      </c>
      <c r="O257" s="9" t="s">
        <v>56</v>
      </c>
    </row>
    <row r="258" spans="2:15" ht="17.25" customHeight="1" x14ac:dyDescent="0.3">
      <c r="B258" s="20" t="n">
        <v>245.0</v>
      </c>
      <c r="C258" s="7" t="s">
        <v>543</v>
      </c>
      <c r="D258" s="4" t="s">
        <v>544</v>
      </c>
      <c r="E258" s="34" t="n">
        <v>9.192258325E9</v>
      </c>
      <c r="F258" s="4" t="n">
        <f t="shared" si="19"/>
        <v>82.4955</v>
      </c>
      <c r="G258" s="4" t="n">
        <f t="shared" si="20"/>
        <v>82.3221</v>
      </c>
      <c r="H258" s="4" t="n">
        <f t="shared" si="21"/>
        <v>100.0</v>
      </c>
      <c r="I258" s="4" t="n">
        <f t="shared" si="22"/>
        <v>60.0</v>
      </c>
      <c r="J258" s="4" t="str">
        <f t="shared" si="23"/>
        <v/>
      </c>
      <c r="K258" s="4" t="n">
        <v>101.36272</v>
      </c>
      <c r="L258" s="4" t="n">
        <v>101.24296</v>
      </c>
      <c r="M258" s="21" t="n">
        <f t="shared" si="24"/>
        <v>9.7095204E7</v>
      </c>
      <c r="O258" s="9" t="s">
        <v>56</v>
      </c>
    </row>
    <row r="259" spans="2:15" ht="17.25" customHeight="1" x14ac:dyDescent="0.3">
      <c r="B259" s="20" t="n">
        <v>246.0</v>
      </c>
      <c r="C259" s="7" t="s">
        <v>545</v>
      </c>
      <c r="D259" s="4" t="s">
        <v>546</v>
      </c>
      <c r="E259" s="34" t="n">
        <v>9.192258328E9</v>
      </c>
      <c r="F259" s="4" t="n">
        <f t="shared" si="19"/>
        <v>82.4955</v>
      </c>
      <c r="G259" s="4" t="n">
        <f t="shared" si="20"/>
        <v>82.3221</v>
      </c>
      <c r="H259" s="4" t="n">
        <f t="shared" si="21"/>
        <v>100.0</v>
      </c>
      <c r="I259" s="4" t="n">
        <f t="shared" si="22"/>
        <v>60.0</v>
      </c>
      <c r="J259" s="4" t="str">
        <f t="shared" si="23"/>
        <v/>
      </c>
      <c r="K259" s="4" t="n">
        <v>101.36272</v>
      </c>
      <c r="L259" s="4" t="n">
        <v>101.24296</v>
      </c>
      <c r="M259" s="21" t="n">
        <f t="shared" si="24"/>
        <v>9.7095207E7</v>
      </c>
      <c r="O259" s="9" t="s">
        <v>56</v>
      </c>
    </row>
    <row r="260" spans="2:15" ht="17.25" customHeight="1" x14ac:dyDescent="0.3">
      <c r="B260" s="20" t="n">
        <v>247.0</v>
      </c>
      <c r="C260" s="7" t="s">
        <v>547</v>
      </c>
      <c r="D260" s="4" t="s">
        <v>548</v>
      </c>
      <c r="E260" s="34" t="n">
        <v>9.192258328E9</v>
      </c>
      <c r="F260" s="4" t="n">
        <f t="shared" si="19"/>
        <v>82.4955</v>
      </c>
      <c r="G260" s="4" t="n">
        <f t="shared" si="20"/>
        <v>82.3221</v>
      </c>
      <c r="H260" s="4" t="n">
        <f t="shared" si="21"/>
        <v>100.0</v>
      </c>
      <c r="I260" s="4" t="n">
        <f t="shared" si="22"/>
        <v>60.0</v>
      </c>
      <c r="J260" s="4" t="str">
        <f t="shared" si="23"/>
        <v/>
      </c>
      <c r="K260" s="4" t="n">
        <v>101.36272</v>
      </c>
      <c r="L260" s="4" t="n">
        <v>101.24296</v>
      </c>
      <c r="M260" s="21" t="n">
        <f t="shared" si="24"/>
        <v>9.7095207E7</v>
      </c>
      <c r="O260" s="9" t="s">
        <v>56</v>
      </c>
    </row>
    <row r="261" spans="2:15" ht="17.25" customHeight="1" x14ac:dyDescent="0.3">
      <c r="B261" s="20" t="n">
        <v>248.0</v>
      </c>
      <c r="C261" s="7" t="s">
        <v>549</v>
      </c>
      <c r="D261" s="4" t="s">
        <v>550</v>
      </c>
      <c r="E261" s="34" t="n">
        <v>9.192258333E9</v>
      </c>
      <c r="F261" s="4" t="n">
        <f t="shared" si="19"/>
        <v>82.4955</v>
      </c>
      <c r="G261" s="4" t="n">
        <f t="shared" si="20"/>
        <v>82.3221</v>
      </c>
      <c r="H261" s="4" t="n">
        <f t="shared" si="21"/>
        <v>100.0</v>
      </c>
      <c r="I261" s="4" t="n">
        <f t="shared" si="22"/>
        <v>60.0</v>
      </c>
      <c r="J261" s="4" t="str">
        <f t="shared" si="23"/>
        <v/>
      </c>
      <c r="K261" s="4" t="n">
        <v>101.36272</v>
      </c>
      <c r="L261" s="4" t="n">
        <v>101.24296</v>
      </c>
      <c r="M261" s="21" t="n">
        <f t="shared" si="24"/>
        <v>9.7095212E7</v>
      </c>
      <c r="O261" s="9" t="s">
        <v>56</v>
      </c>
    </row>
    <row r="262" spans="2:15" ht="17.25" customHeight="1" x14ac:dyDescent="0.3">
      <c r="B262" s="20" t="n">
        <v>249.0</v>
      </c>
      <c r="C262" s="7" t="s">
        <v>551</v>
      </c>
      <c r="D262" s="4" t="s">
        <v>552</v>
      </c>
      <c r="E262" s="34" t="n">
        <v>9.192258345E9</v>
      </c>
      <c r="F262" s="4" t="n">
        <f t="shared" si="19"/>
        <v>82.4955</v>
      </c>
      <c r="G262" s="4" t="n">
        <f t="shared" si="20"/>
        <v>82.3221</v>
      </c>
      <c r="H262" s="4" t="n">
        <f t="shared" si="21"/>
        <v>100.0</v>
      </c>
      <c r="I262" s="4" t="n">
        <f t="shared" si="22"/>
        <v>60.0</v>
      </c>
      <c r="J262" s="4" t="str">
        <f t="shared" si="23"/>
        <v/>
      </c>
      <c r="K262" s="4" t="n">
        <v>101.36272</v>
      </c>
      <c r="L262" s="4" t="n">
        <v>101.24296</v>
      </c>
      <c r="M262" s="21" t="n">
        <f t="shared" si="24"/>
        <v>9.7095224E7</v>
      </c>
      <c r="O262" s="9" t="s">
        <v>56</v>
      </c>
    </row>
    <row r="263" spans="2:15" ht="17.25" customHeight="1" x14ac:dyDescent="0.3">
      <c r="B263" s="20" t="n">
        <v>250.0</v>
      </c>
      <c r="C263" s="7" t="s">
        <v>553</v>
      </c>
      <c r="D263" s="4" t="s">
        <v>554</v>
      </c>
      <c r="E263" s="34" t="n">
        <v>9.192258345E9</v>
      </c>
      <c r="F263" s="4" t="n">
        <f t="shared" si="19"/>
        <v>82.4955</v>
      </c>
      <c r="G263" s="4" t="n">
        <f t="shared" si="20"/>
        <v>82.3221</v>
      </c>
      <c r="H263" s="4" t="n">
        <f t="shared" si="21"/>
        <v>100.0</v>
      </c>
      <c r="I263" s="4" t="n">
        <f t="shared" si="22"/>
        <v>60.0</v>
      </c>
      <c r="J263" s="4" t="str">
        <f t="shared" si="23"/>
        <v/>
      </c>
      <c r="K263" s="4" t="n">
        <v>101.36272</v>
      </c>
      <c r="L263" s="4" t="n">
        <v>101.24296</v>
      </c>
      <c r="M263" s="21" t="n">
        <f t="shared" si="24"/>
        <v>9.7095224E7</v>
      </c>
      <c r="O263" s="9" t="s">
        <v>56</v>
      </c>
    </row>
    <row r="264" spans="2:15" ht="17.25" customHeight="1" x14ac:dyDescent="0.3">
      <c r="B264" s="20" t="n">
        <v>251.0</v>
      </c>
      <c r="C264" s="7" t="s">
        <v>555</v>
      </c>
      <c r="D264" s="4" t="s">
        <v>556</v>
      </c>
      <c r="E264" s="34" t="n">
        <v>9.192258351E9</v>
      </c>
      <c r="F264" s="4" t="n">
        <f t="shared" si="19"/>
        <v>82.4955</v>
      </c>
      <c r="G264" s="4" t="n">
        <f t="shared" si="20"/>
        <v>82.3221</v>
      </c>
      <c r="H264" s="4" t="n">
        <f t="shared" si="21"/>
        <v>100.0</v>
      </c>
      <c r="I264" s="4" t="n">
        <f t="shared" si="22"/>
        <v>60.0</v>
      </c>
      <c r="J264" s="4" t="str">
        <f t="shared" si="23"/>
        <v/>
      </c>
      <c r="K264" s="4" t="n">
        <v>101.36272</v>
      </c>
      <c r="L264" s="4" t="n">
        <v>101.24296</v>
      </c>
      <c r="M264" s="21" t="n">
        <f t="shared" si="24"/>
        <v>9.709523E7</v>
      </c>
      <c r="O264" s="9" t="s">
        <v>56</v>
      </c>
    </row>
    <row r="265" spans="2:15" ht="17.25" customHeight="1" x14ac:dyDescent="0.3">
      <c r="B265" s="20" t="n">
        <v>252.0</v>
      </c>
      <c r="C265" s="7" t="s">
        <v>557</v>
      </c>
      <c r="D265" s="4" t="s">
        <v>558</v>
      </c>
      <c r="E265" s="34" t="n">
        <v>9.192258357E9</v>
      </c>
      <c r="F265" s="4" t="n">
        <f t="shared" si="19"/>
        <v>82.4955</v>
      </c>
      <c r="G265" s="4" t="n">
        <f t="shared" si="20"/>
        <v>82.3221</v>
      </c>
      <c r="H265" s="4" t="n">
        <f t="shared" si="21"/>
        <v>100.0</v>
      </c>
      <c r="I265" s="4" t="n">
        <f t="shared" si="22"/>
        <v>60.0</v>
      </c>
      <c r="J265" s="4" t="str">
        <f t="shared" si="23"/>
        <v/>
      </c>
      <c r="K265" s="4" t="n">
        <v>101.36272</v>
      </c>
      <c r="L265" s="4" t="n">
        <v>101.24296</v>
      </c>
      <c r="M265" s="21" t="n">
        <f t="shared" si="24"/>
        <v>9.7095236E7</v>
      </c>
      <c r="O265" s="9" t="s">
        <v>56</v>
      </c>
    </row>
    <row r="266" spans="2:15" ht="17.25" customHeight="1" x14ac:dyDescent="0.3">
      <c r="B266" s="20" t="n">
        <v>253.0</v>
      </c>
      <c r="C266" s="7" t="s">
        <v>559</v>
      </c>
      <c r="D266" s="4" t="s">
        <v>560</v>
      </c>
      <c r="E266" s="34" t="n">
        <v>9.192258372E9</v>
      </c>
      <c r="F266" s="4" t="n">
        <f t="shared" si="19"/>
        <v>82.4955</v>
      </c>
      <c r="G266" s="4" t="n">
        <f t="shared" si="20"/>
        <v>82.3221</v>
      </c>
      <c r="H266" s="4" t="n">
        <f t="shared" si="21"/>
        <v>100.0</v>
      </c>
      <c r="I266" s="4" t="n">
        <f t="shared" si="22"/>
        <v>60.0</v>
      </c>
      <c r="J266" s="4" t="str">
        <f t="shared" si="23"/>
        <v/>
      </c>
      <c r="K266" s="4" t="n">
        <v>101.36272</v>
      </c>
      <c r="L266" s="4" t="n">
        <v>101.24296</v>
      </c>
      <c r="M266" s="21" t="n">
        <f t="shared" si="24"/>
        <v>9.7095251E7</v>
      </c>
      <c r="O266" s="9" t="s">
        <v>56</v>
      </c>
    </row>
    <row r="267" spans="2:15" ht="17.25" customHeight="1" x14ac:dyDescent="0.3">
      <c r="B267" s="20" t="n">
        <v>254.0</v>
      </c>
      <c r="C267" s="7" t="s">
        <v>561</v>
      </c>
      <c r="D267" s="4" t="s">
        <v>562</v>
      </c>
      <c r="E267" s="34" t="n">
        <v>9.192258381E9</v>
      </c>
      <c r="F267" s="4" t="n">
        <f t="shared" si="19"/>
        <v>82.4955</v>
      </c>
      <c r="G267" s="4" t="n">
        <f t="shared" si="20"/>
        <v>82.3221</v>
      </c>
      <c r="H267" s="4" t="n">
        <f t="shared" si="21"/>
        <v>100.0</v>
      </c>
      <c r="I267" s="4" t="n">
        <f t="shared" si="22"/>
        <v>60.0</v>
      </c>
      <c r="J267" s="4" t="str">
        <f t="shared" si="23"/>
        <v/>
      </c>
      <c r="K267" s="4" t="n">
        <v>101.36272</v>
      </c>
      <c r="L267" s="4" t="n">
        <v>101.24296</v>
      </c>
      <c r="M267" s="21" t="n">
        <f t="shared" si="24"/>
        <v>9.709526E7</v>
      </c>
      <c r="O267" s="9" t="s">
        <v>56</v>
      </c>
    </row>
    <row r="268" spans="2:15" ht="17.25" customHeight="1" x14ac:dyDescent="0.3">
      <c r="B268" s="20" t="n">
        <v>255.0</v>
      </c>
      <c r="C268" s="7" t="s">
        <v>563</v>
      </c>
      <c r="D268" s="4" t="s">
        <v>564</v>
      </c>
      <c r="E268" s="34" t="n">
        <v>9.192258387E9</v>
      </c>
      <c r="F268" s="4" t="n">
        <f t="shared" si="19"/>
        <v>82.4955</v>
      </c>
      <c r="G268" s="4" t="n">
        <f t="shared" si="20"/>
        <v>82.3222</v>
      </c>
      <c r="H268" s="4" t="n">
        <f t="shared" si="21"/>
        <v>100.0</v>
      </c>
      <c r="I268" s="4" t="n">
        <f t="shared" si="22"/>
        <v>60.0</v>
      </c>
      <c r="J268" s="4" t="str">
        <f t="shared" si="23"/>
        <v/>
      </c>
      <c r="K268" s="4" t="n">
        <v>101.36272</v>
      </c>
      <c r="L268" s="4" t="n">
        <v>101.24296</v>
      </c>
      <c r="M268" s="21" t="n">
        <f t="shared" si="24"/>
        <v>9.7095266E7</v>
      </c>
      <c r="O268" s="9" t="s">
        <v>56</v>
      </c>
    </row>
    <row r="269" spans="2:15" ht="17.25" customHeight="1" x14ac:dyDescent="0.3">
      <c r="B269" s="20" t="n">
        <v>256.0</v>
      </c>
      <c r="C269" s="7" t="s">
        <v>565</v>
      </c>
      <c r="D269" s="4" t="s">
        <v>566</v>
      </c>
      <c r="E269" s="34" t="n">
        <v>9.192258391E9</v>
      </c>
      <c r="F269" s="4" t="n">
        <f t="shared" si="19"/>
        <v>82.4955</v>
      </c>
      <c r="G269" s="4" t="n">
        <f t="shared" si="20"/>
        <v>82.3222</v>
      </c>
      <c r="H269" s="4" t="n">
        <f t="shared" si="21"/>
        <v>100.0</v>
      </c>
      <c r="I269" s="4" t="n">
        <f t="shared" si="22"/>
        <v>60.0</v>
      </c>
      <c r="J269" s="4" t="str">
        <f t="shared" si="23"/>
        <v/>
      </c>
      <c r="K269" s="4" t="n">
        <v>101.36272</v>
      </c>
      <c r="L269" s="4" t="n">
        <v>101.24296</v>
      </c>
      <c r="M269" s="21" t="n">
        <f t="shared" si="24"/>
        <v>9.709527E7</v>
      </c>
      <c r="O269" s="9" t="s">
        <v>56</v>
      </c>
    </row>
    <row r="270" spans="2:15" ht="17.25" customHeight="1" x14ac:dyDescent="0.3">
      <c r="B270" s="20" t="n">
        <v>257.0</v>
      </c>
      <c r="C270" s="7" t="s">
        <v>567</v>
      </c>
      <c r="D270" s="4" t="s">
        <v>568</v>
      </c>
      <c r="E270" s="34" t="n">
        <v>9.192258412E9</v>
      </c>
      <c r="F270" s="4" t="n">
        <f t="shared" si="19"/>
        <v>82.4955</v>
      </c>
      <c r="G270" s="4" t="n">
        <f t="shared" si="20"/>
        <v>82.3222</v>
      </c>
      <c r="H270" s="4" t="n">
        <f t="shared" si="21"/>
        <v>100.0</v>
      </c>
      <c r="I270" s="4" t="n">
        <f t="shared" si="22"/>
        <v>60.0</v>
      </c>
      <c r="J270" s="4" t="str">
        <f t="shared" si="23"/>
        <v/>
      </c>
      <c r="K270" s="4" t="n">
        <v>101.36272</v>
      </c>
      <c r="L270" s="4" t="n">
        <v>101.24296</v>
      </c>
      <c r="M270" s="21" t="n">
        <f t="shared" si="24"/>
        <v>9.7095291E7</v>
      </c>
      <c r="O270" s="9" t="s">
        <v>56</v>
      </c>
    </row>
    <row r="271" spans="2:15" ht="17.25" customHeight="1" x14ac:dyDescent="0.3">
      <c r="B271" s="20" t="n">
        <v>258.0</v>
      </c>
      <c r="C271" s="7" t="s">
        <v>569</v>
      </c>
      <c r="D271" s="4" t="s">
        <v>570</v>
      </c>
      <c r="E271" s="34" t="n">
        <v>9.192258436E9</v>
      </c>
      <c r="F271" s="4" t="n">
        <f t="shared" ref="F271:F334" si="25">ROUND((E271/$E$7)*100,4)</f>
        <v>82.4955</v>
      </c>
      <c r="G271" s="4" t="n">
        <f t="shared" ref="G271:G334" si="26">ROUND((E271/$E$6)*100,4)</f>
        <v>82.3222</v>
      </c>
      <c r="H271" s="4" t="n">
        <f t="shared" ref="H271:H334" si="27">ROUND((E271/$J$6)*100,4)</f>
        <v>100.0</v>
      </c>
      <c r="I271" s="4" t="n">
        <f t="shared" ref="I271:I334" si="28">IFERROR(ROUND(SQRT(1 - IF(E271&lt;=$J$6, $E$9, $N$9) * POWER((E271-$J$6)/($E$7-$J$6),2)) *$C$9,3), 0)</f>
        <v>60.0</v>
      </c>
      <c r="J271" s="4" t="str">
        <f t="shared" ref="J271:J334" si="29">IF(M271&lt;0,"감점","")</f>
        <v/>
      </c>
      <c r="K271" s="4" t="n">
        <v>101.36272</v>
      </c>
      <c r="L271" s="4" t="n">
        <v>101.24296</v>
      </c>
      <c r="M271" s="21" t="n">
        <f t="shared" ref="M271:M334" si="30">E271-$J$10</f>
        <v>9.7095315E7</v>
      </c>
      <c r="O271" s="9" t="s">
        <v>56</v>
      </c>
    </row>
    <row r="272" spans="2:15" ht="17.25" customHeight="1" x14ac:dyDescent="0.3">
      <c r="B272" s="20" t="n">
        <v>259.0</v>
      </c>
      <c r="C272" s="7" t="s">
        <v>571</v>
      </c>
      <c r="D272" s="4" t="s">
        <v>572</v>
      </c>
      <c r="E272" s="34" t="n">
        <v>9.192258458E9</v>
      </c>
      <c r="F272" s="4" t="n">
        <f t="shared" si="25"/>
        <v>82.4955</v>
      </c>
      <c r="G272" s="4" t="n">
        <f t="shared" si="26"/>
        <v>82.3222</v>
      </c>
      <c r="H272" s="4" t="n">
        <f t="shared" si="27"/>
        <v>100.0</v>
      </c>
      <c r="I272" s="4" t="n">
        <f t="shared" si="28"/>
        <v>60.0</v>
      </c>
      <c r="J272" s="4" t="str">
        <f t="shared" si="29"/>
        <v/>
      </c>
      <c r="K272" s="4" t="n">
        <v>101.36272</v>
      </c>
      <c r="L272" s="4" t="n">
        <v>101.24296</v>
      </c>
      <c r="M272" s="21" t="n">
        <f t="shared" si="30"/>
        <v>9.7095337E7</v>
      </c>
      <c r="O272" s="9" t="s">
        <v>56</v>
      </c>
    </row>
    <row r="273" spans="2:15" ht="17.25" customHeight="1" x14ac:dyDescent="0.3">
      <c r="B273" s="20" t="n">
        <v>260.0</v>
      </c>
      <c r="C273" s="7" t="s">
        <v>573</v>
      </c>
      <c r="D273" s="4" t="s">
        <v>574</v>
      </c>
      <c r="E273" s="34" t="n">
        <v>9.192258573E9</v>
      </c>
      <c r="F273" s="4" t="n">
        <f t="shared" si="25"/>
        <v>82.4955</v>
      </c>
      <c r="G273" s="4" t="n">
        <f t="shared" si="26"/>
        <v>82.3222</v>
      </c>
      <c r="H273" s="4" t="n">
        <f t="shared" si="27"/>
        <v>100.0</v>
      </c>
      <c r="I273" s="4" t="n">
        <f t="shared" si="28"/>
        <v>60.0</v>
      </c>
      <c r="J273" s="4" t="str">
        <f t="shared" si="29"/>
        <v/>
      </c>
      <c r="K273" s="4" t="n">
        <v>101.36272</v>
      </c>
      <c r="L273" s="4" t="n">
        <v>101.24296</v>
      </c>
      <c r="M273" s="21" t="n">
        <f t="shared" si="30"/>
        <v>9.7095452E7</v>
      </c>
      <c r="O273" s="9" t="s">
        <v>56</v>
      </c>
    </row>
    <row r="274" spans="2:15" ht="17.25" customHeight="1" x14ac:dyDescent="0.3">
      <c r="B274" s="20" t="n">
        <v>261.0</v>
      </c>
      <c r="C274" s="7" t="s">
        <v>575</v>
      </c>
      <c r="D274" s="4" t="s">
        <v>576</v>
      </c>
      <c r="E274" s="34" t="n">
        <v>9.19225864E9</v>
      </c>
      <c r="F274" s="4" t="n">
        <f t="shared" si="25"/>
        <v>82.4955</v>
      </c>
      <c r="G274" s="4" t="n">
        <f t="shared" si="26"/>
        <v>82.3222</v>
      </c>
      <c r="H274" s="4" t="n">
        <f t="shared" si="27"/>
        <v>100.0</v>
      </c>
      <c r="I274" s="4" t="n">
        <f t="shared" si="28"/>
        <v>60.0</v>
      </c>
      <c r="J274" s="4" t="str">
        <f t="shared" si="29"/>
        <v/>
      </c>
      <c r="K274" s="4" t="n">
        <v>101.36272</v>
      </c>
      <c r="L274" s="4" t="n">
        <v>101.24296</v>
      </c>
      <c r="M274" s="21" t="n">
        <f t="shared" si="30"/>
        <v>9.7095519E7</v>
      </c>
      <c r="O274" s="9" t="s">
        <v>56</v>
      </c>
    </row>
    <row r="275" spans="2:15" ht="17.25" customHeight="1" x14ac:dyDescent="0.3">
      <c r="B275" s="20" t="n">
        <v>262.0</v>
      </c>
      <c r="C275" s="7" t="s">
        <v>577</v>
      </c>
      <c r="D275" s="4" t="s">
        <v>578</v>
      </c>
      <c r="E275" s="34" t="n">
        <v>9.1945732E9</v>
      </c>
      <c r="F275" s="4" t="n">
        <f t="shared" si="25"/>
        <v>82.5163</v>
      </c>
      <c r="G275" s="4" t="n">
        <f t="shared" si="26"/>
        <v>82.3429</v>
      </c>
      <c r="H275" s="4" t="n">
        <f t="shared" si="27"/>
        <v>100.0252</v>
      </c>
      <c r="I275" s="4" t="n">
        <f t="shared" si="28"/>
        <v>60.0</v>
      </c>
      <c r="J275" s="4" t="str">
        <f t="shared" si="29"/>
        <v/>
      </c>
      <c r="K275" s="4" t="n">
        <v>101.3988</v>
      </c>
      <c r="L275" s="4" t="n">
        <v>101.28049</v>
      </c>
      <c r="M275" s="21" t="n">
        <f t="shared" si="30"/>
        <v>9.9410079E7</v>
      </c>
      <c r="O275" s="9" t="s">
        <v>56</v>
      </c>
    </row>
    <row r="276" spans="2:15" ht="17.25" customHeight="1" x14ac:dyDescent="0.3">
      <c r="B276" s="20" t="n">
        <v>263.0</v>
      </c>
      <c r="C276" s="7" t="s">
        <v>579</v>
      </c>
      <c r="D276" s="4" t="s">
        <v>580</v>
      </c>
      <c r="E276" s="34" t="n">
        <v>9.194811143E9</v>
      </c>
      <c r="F276" s="4" t="n">
        <f t="shared" si="25"/>
        <v>82.5184</v>
      </c>
      <c r="G276" s="4" t="n">
        <f t="shared" si="26"/>
        <v>82.345</v>
      </c>
      <c r="H276" s="4" t="n">
        <f t="shared" si="27"/>
        <v>100.0278</v>
      </c>
      <c r="I276" s="4" t="n">
        <f t="shared" si="28"/>
        <v>60.0</v>
      </c>
      <c r="J276" s="4" t="str">
        <f t="shared" si="29"/>
        <v/>
      </c>
      <c r="K276" s="4" t="n">
        <v>101.4044</v>
      </c>
      <c r="L276" s="4" t="n">
        <v>101.28465</v>
      </c>
      <c r="M276" s="21" t="n">
        <f t="shared" si="30"/>
        <v>9.9648022E7</v>
      </c>
      <c r="O276" s="9" t="s">
        <v>56</v>
      </c>
    </row>
    <row r="277" spans="2:15" ht="17.25" customHeight="1" x14ac:dyDescent="0.3">
      <c r="B277" s="20" t="n">
        <v>264.0</v>
      </c>
      <c r="C277" s="7" t="s">
        <v>581</v>
      </c>
      <c r="D277" s="4" t="s">
        <v>582</v>
      </c>
      <c r="E277" s="34" t="n">
        <v>9.197609204E9</v>
      </c>
      <c r="F277" s="4" t="n">
        <f t="shared" si="25"/>
        <v>82.5436</v>
      </c>
      <c r="G277" s="4" t="n">
        <f t="shared" si="26"/>
        <v>82.3701</v>
      </c>
      <c r="H277" s="4" t="n">
        <f t="shared" si="27"/>
        <v>100.0582</v>
      </c>
      <c r="I277" s="4" t="n">
        <f t="shared" si="28"/>
        <v>60.0</v>
      </c>
      <c r="J277" s="4" t="str">
        <f t="shared" si="29"/>
        <v/>
      </c>
      <c r="K277" s="4" t="n">
        <v>101.451</v>
      </c>
      <c r="L277" s="4" t="n">
        <v>101.33149</v>
      </c>
      <c r="M277" s="21" t="n">
        <f t="shared" si="30"/>
        <v>1.02446083E8</v>
      </c>
      <c r="O277" s="9" t="s">
        <v>56</v>
      </c>
    </row>
    <row r="278" spans="2:15" ht="17.25" customHeight="1" x14ac:dyDescent="0.3">
      <c r="B278" s="20" t="n">
        <v>265.0</v>
      </c>
      <c r="C278" s="7" t="s">
        <v>583</v>
      </c>
      <c r="D278" s="4" t="s">
        <v>584</v>
      </c>
      <c r="E278" s="34" t="n">
        <v>9.199127094E9</v>
      </c>
      <c r="F278" s="4" t="n">
        <f t="shared" si="25"/>
        <v>82.5572</v>
      </c>
      <c r="G278" s="4" t="n">
        <f t="shared" si="26"/>
        <v>82.3837</v>
      </c>
      <c r="H278" s="4" t="n">
        <f t="shared" si="27"/>
        <v>100.0747</v>
      </c>
      <c r="I278" s="4" t="n">
        <f t="shared" si="28"/>
        <v>60.0</v>
      </c>
      <c r="J278" s="4" t="str">
        <f t="shared" si="29"/>
        <v/>
      </c>
      <c r="K278" s="4" t="n">
        <v>101.4712</v>
      </c>
      <c r="L278" s="4" t="n">
        <v>101.35149</v>
      </c>
      <c r="M278" s="21" t="n">
        <f t="shared" si="30"/>
        <v>1.03963973E8</v>
      </c>
      <c r="O278" s="9" t="s">
        <v>56</v>
      </c>
    </row>
    <row r="279" spans="2:15" ht="17.25" customHeight="1" x14ac:dyDescent="0.3">
      <c r="B279" s="20" t="n">
        <v>266.0</v>
      </c>
      <c r="C279" s="7" t="s">
        <v>585</v>
      </c>
      <c r="D279" s="4" t="s">
        <v>586</v>
      </c>
      <c r="E279" s="34" t="n">
        <v>9.204198994E9</v>
      </c>
      <c r="F279" s="4" t="n">
        <f t="shared" si="25"/>
        <v>82.6027</v>
      </c>
      <c r="G279" s="4" t="n">
        <f t="shared" si="26"/>
        <v>82.4291</v>
      </c>
      <c r="H279" s="4" t="n">
        <f t="shared" si="27"/>
        <v>100.1299</v>
      </c>
      <c r="I279" s="4" t="n">
        <f t="shared" si="28"/>
        <v>60.0</v>
      </c>
      <c r="J279" s="4" t="str">
        <f t="shared" si="29"/>
        <v/>
      </c>
      <c r="K279" s="4" t="n">
        <v>101.55153</v>
      </c>
      <c r="L279" s="4" t="n">
        <v>101.43176</v>
      </c>
      <c r="M279" s="21" t="n">
        <f t="shared" si="30"/>
        <v>1.09035873E8</v>
      </c>
      <c r="O279" s="9" t="s">
        <v>56</v>
      </c>
    </row>
    <row r="280" spans="2:15" ht="17.25" customHeight="1" x14ac:dyDescent="0.3">
      <c r="B280" s="20" t="n">
        <v>267.0</v>
      </c>
      <c r="C280" s="7" t="s">
        <v>587</v>
      </c>
      <c r="D280" s="4" t="s">
        <v>588</v>
      </c>
      <c r="E280" s="34" t="n">
        <v>9.20969823E9</v>
      </c>
      <c r="F280" s="4" t="n">
        <f t="shared" si="25"/>
        <v>82.6521</v>
      </c>
      <c r="G280" s="4" t="n">
        <f t="shared" si="26"/>
        <v>82.4783</v>
      </c>
      <c r="H280" s="4" t="n">
        <f t="shared" si="27"/>
        <v>100.1897</v>
      </c>
      <c r="I280" s="4" t="n">
        <f t="shared" si="28"/>
        <v>60.0</v>
      </c>
      <c r="J280" s="4" t="str">
        <f t="shared" si="29"/>
        <v/>
      </c>
      <c r="K280" s="4" t="n">
        <v>101.63443</v>
      </c>
      <c r="L280" s="4" t="n">
        <v>101.51477</v>
      </c>
      <c r="M280" s="21" t="n">
        <f t="shared" si="30"/>
        <v>1.14535109E8</v>
      </c>
      <c r="O280" s="9" t="s">
        <v>56</v>
      </c>
    </row>
  </sheetData>
  <autoFilter ref="B13:P13" xr:uid="{00000000-0001-0000-0000-000000000000}"/>
  <mergeCells count="13">
    <mergeCell ref="J8:K8"/>
    <mergeCell ref="J9:K9"/>
    <mergeCell ref="J10:K10"/>
    <mergeCell ref="B1:N1"/>
    <mergeCell ref="F5:I5"/>
    <mergeCell ref="F6:I6"/>
    <mergeCell ref="F7:I7"/>
    <mergeCell ref="F8:I8"/>
    <mergeCell ref="F9:I9"/>
    <mergeCell ref="F10:I10"/>
    <mergeCell ref="J5:M5"/>
    <mergeCell ref="J6:K6"/>
    <mergeCell ref="J7:K7"/>
  </mergeCells>
  <phoneticPr fontId="2" type="noConversion"/>
  <conditionalFormatting sqref="C14:E2013">
    <cfRule type="expression" dxfId="1" priority="2">
      <formula>AND($B14&gt;$C$7,$B14&lt;$C$8)</formula>
    </cfRule>
  </conditionalFormatting>
  <conditionalFormatting sqref="C14:M2013">
    <cfRule type="expression" dxfId="0" priority="1">
      <formula>AND($O14 = "Y")</formula>
    </cfRule>
  </conditionalFormatting>
  <pageMargins left="0.7" right="0.7" top="0.75" bottom="0.75" header="0.3" footer="0.3"/>
  <pageSetup paperSize="9" scale="5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개찰결과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2020-08-18T01:54:09Z</dcterms:created>
  <dc:creator>Windows 사용자</dc:creator>
  <cp:lastModifiedBy>영규 박</cp:lastModifiedBy>
  <cp:lastPrinted>2020-09-02T00:45:24Z</cp:lastPrinted>
  <dcterms:modified xsi:type="dcterms:W3CDTF">2025-09-02T01:55:09Z</dcterms:modified>
</cp:coreProperties>
</file>