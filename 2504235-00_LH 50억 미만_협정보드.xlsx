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6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 firstSheet="17" activeTab="17"/>
  </bookViews>
  <sheets>
    <sheet sheetId="825" name="서울권조명기구교체공사" state="visible" r:id="rId4"/>
    <sheet sheetId="826" name="의왕월암 공공주택지구" state="visible" r:id="rId5"/>
    <sheet sheetId="827" name="밀양아리랑" state="visible" r:id="rId6"/>
    <sheet sheetId="828" name="여수국동(소방)" state="visible" r:id="rId7"/>
    <sheet sheetId="830" name="강원권임대주택" state="visible" r:id="rId8"/>
    <sheet sheetId="831" name="남양주진접2(소방)" state="visible" r:id="rId9"/>
    <sheet sheetId="833" name="사천선인" state="visible" r:id="rId10"/>
    <sheet sheetId="832" name="구리갈매역세권 공공주택지구" state="visible" r:id="rId11"/>
    <sheet sheetId="834" name="의정부우정(통신)" state="visible" r:id="rId12"/>
    <sheet sheetId="835" name="대구연호(통신)" state="visible" r:id="rId13"/>
    <sheet sheetId="837" name="경산대임(소방)" state="visible" r:id="rId14"/>
    <sheet sheetId="838" name="양주회천택지개발사업" state="visible" r:id="rId15"/>
    <sheet sheetId="839" name="인천계양" state="visible" r:id="rId16"/>
    <sheet sheetId="840" name="양주회천(3단계)(통신)" state="visible" r:id="rId17"/>
    <sheet sheetId="842" name="하남감일(소방)" state="visible" r:id="rId18"/>
    <sheet sheetId="841" name="부천괴안(소방)" state="visible" r:id="rId19"/>
    <sheet sheetId="843" name="인천계양(통신)" state="visible" r:id="rId20"/>
    <sheet sheetId="868" name="양식" state="visible" r:id="rId21"/>
  </sheets>
  <definedNames>
    <definedName name="_xlnm.Print_Area" localSheetId="0">'서울권조명기구교체공사'!$A1:$AX140</definedName>
    <definedName name="_xlnm.Print_Area" localSheetId="1">'의왕월암 공공주택지구'!$A1:$AX142</definedName>
    <definedName name="_xlnm.Print_Area" localSheetId="2">'밀양아리랑'!$A1:$AX136</definedName>
    <definedName name="_xlnm.Print_Area" localSheetId="3">'여수국동(소방)'!$A1:$AX138</definedName>
    <definedName name="_xlnm.Print_Area" localSheetId="4">'강원권임대주택'!$A1:$AX136</definedName>
    <definedName name="_xlnm.Print_Area" localSheetId="5">'남양주진접2(소방)'!$A1:$AX142</definedName>
    <definedName name="_xlnm.Print_Area" localSheetId="6">'사천선인'!$A1:$AX136</definedName>
    <definedName name="_xlnm.Print_Area" localSheetId="7">'구리갈매역세권 공공주택지구'!$A1:$AX148</definedName>
    <definedName name="_xlnm.Print_Area" localSheetId="8">'의정부우정(통신)'!$A1:$AX136</definedName>
    <definedName name="_xlnm.Print_Area" localSheetId="9">'대구연호(통신)'!$A1:$AX136</definedName>
    <definedName name="_xlnm.Print_Area" localSheetId="10">'경산대임(소방)'!$A1:$AX138</definedName>
    <definedName name="_xlnm.Print_Area" localSheetId="11">'양주회천택지개발사업'!$A1:$AX147</definedName>
    <definedName name="_xlnm.Print_Area" localSheetId="12">'인천계양'!$A1:$AX136</definedName>
    <definedName name="_xlnm.Print_Area" localSheetId="13">'양주회천(3단계)(통신)'!$A1:$AX133</definedName>
    <definedName name="_xlnm.Print_Area" localSheetId="14">'하남감일(소방)'!$A1:$AX138</definedName>
    <definedName name="_xlnm.Print_Area" localSheetId="15">'부천괴안(소방)'!$A1:$AX142</definedName>
    <definedName name="_xlnm.Print_Area" localSheetId="16">'인천계양(통신)'!$A1:$AX136</definedName>
    <definedName name="_xlnm.Print_Area" localSheetId="17">'양식'!$A1:$AX136</definedName>
  </definedNames>
  <calcPr calcId="171027" fullCalcOnLoad="1"/>
</workbook>
</file>

<file path=xl/sharedStrings.xml><?xml version="1.0" encoding="utf-8"?>
<sst xmlns="http://schemas.openxmlformats.org/spreadsheetml/2006/main" count="2003" uniqueCount="404">
  <si>
    <t>추정가격</t>
  </si>
  <si>
    <t xml:space="preserve">추정금액
(시공비율)</t>
  </si>
  <si>
    <t xml:space="preserve"> 2502705-00 2025년 서울권 건설·매입임대 조명기구 교체공사(서울신림1 등 5개 단지)</t>
  </si>
  <si>
    <t>시공능력</t>
  </si>
  <si>
    <t>시평기준</t>
  </si>
  <si>
    <t>참여가능비율</t>
  </si>
  <si>
    <t xml:space="preserve">입찰참가자격
전기</t>
  </si>
  <si>
    <t xml:space="preserve">단순
합산</t>
  </si>
  <si>
    <t>설계금액</t>
  </si>
  <si>
    <t>실적만점</t>
  </si>
  <si>
    <t>5년1배수</t>
  </si>
  <si>
    <t>입찰</t>
  </si>
  <si>
    <t>서울 49%, 5개사</t>
  </si>
  <si>
    <t xml:space="preserve">입찰참가자격
소방</t>
  </si>
  <si>
    <t>2024.04.15</t>
  </si>
  <si>
    <t xml:space="preserve">참가자격
시평제한</t>
  </si>
  <si>
    <t>연번</t>
  </si>
  <si>
    <t>승인여부</t>
  </si>
  <si>
    <t>업 체 명</t>
  </si>
  <si>
    <t>지 분</t>
  </si>
  <si>
    <t xml:space="preserve">합산
지분</t>
  </si>
  <si>
    <t>가점</t>
  </si>
  <si>
    <t>경영상태(부채,유동,영업기간)</t>
  </si>
  <si>
    <t>시공경험(최근5년간 1배수, 품질평가점수)</t>
  </si>
  <si>
    <t>투찰율[%]  소수점3째자리 반올림</t>
  </si>
  <si>
    <t>격차</t>
  </si>
  <si>
    <t>사정율</t>
  </si>
  <si>
    <t>예가         투찰율</t>
  </si>
  <si>
    <t>투찰금액</t>
  </si>
  <si>
    <t>비 고</t>
  </si>
  <si>
    <t>시공능력대표사</t>
  </si>
  <si>
    <t>시공능력구성사1</t>
  </si>
  <si>
    <t>시공능력구성사2</t>
  </si>
  <si>
    <t>시공능력구성사3</t>
  </si>
  <si>
    <t>시공능력구성사4</t>
  </si>
  <si>
    <t xml:space="preserve">시공능력
단순합산</t>
  </si>
  <si>
    <t xml:space="preserve">시공능력
*시공비율</t>
  </si>
  <si>
    <t>대표사</t>
  </si>
  <si>
    <t>구성원1</t>
  </si>
  <si>
    <t>구성원2</t>
  </si>
  <si>
    <t>구성원3</t>
  </si>
  <si>
    <t>구성원4</t>
  </si>
  <si>
    <t>경영          (15점만점)</t>
  </si>
  <si>
    <t>경영적용점수</t>
  </si>
  <si>
    <t>실적         (13점만점)</t>
  </si>
  <si>
    <t>실적점수적용</t>
  </si>
  <si>
    <t>시공품질(2점기본)</t>
  </si>
  <si>
    <t>시공실적점수</t>
  </si>
  <si>
    <t>신인도</t>
  </si>
  <si>
    <t xml:space="preserve">순공사
점수</t>
  </si>
  <si>
    <t xml:space="preserve">수행능력
점수</t>
  </si>
  <si>
    <t>입찰점수</t>
  </si>
  <si>
    <t>예상점수</t>
  </si>
  <si>
    <t>알림</t>
  </si>
  <si>
    <t>지음이엔아이</t>
  </si>
  <si>
    <t>도원이엔아이</t>
  </si>
  <si>
    <t xml:space="preserve">품질 88점이상:3점/ 85점이상:2점/ 83점이상:1.5점/ 80점이상:1점 </t>
  </si>
  <si>
    <t>대흥디씨티</t>
  </si>
  <si>
    <t>도화엔지니어링</t>
  </si>
  <si>
    <t>아람이엔테크</t>
  </si>
  <si>
    <t xml:space="preserve">영웅개발
30.61</t>
  </si>
  <si>
    <t xml:space="preserve">택산전설㈜윤명숙
29.30</t>
  </si>
  <si>
    <t>정정</t>
  </si>
  <si>
    <t>우진일렉트</t>
  </si>
  <si>
    <t xml:space="preserve">거성전력
윤명숙
20.50</t>
  </si>
  <si>
    <t xml:space="preserve">세현전력
윤명숙
39.61</t>
  </si>
  <si>
    <t>에코엠이엔씨</t>
  </si>
  <si>
    <t xml:space="preserve">태건전설_윤명숙
56.31</t>
  </si>
  <si>
    <t>지음쏠라테크</t>
  </si>
  <si>
    <t xml:space="preserve">강남이엔씨_이동훈
57.62</t>
  </si>
  <si>
    <t xml:space="preserve">연희전력
윤명숙</t>
  </si>
  <si>
    <t>에스지씨이앤씨</t>
  </si>
  <si>
    <t>삼천리이엔지</t>
  </si>
  <si>
    <t>㈜정준테크 61.19</t>
  </si>
  <si>
    <t>불가</t>
  </si>
  <si>
    <t>근원전력㈜</t>
  </si>
  <si>
    <t>송원이앤씨</t>
  </si>
  <si>
    <t>덕원전설</t>
  </si>
  <si>
    <t>이화공영</t>
  </si>
  <si>
    <t>정준테크</t>
  </si>
  <si>
    <t>엔케이이엔씨</t>
  </si>
  <si>
    <t>태호ENG_이동훈</t>
  </si>
  <si>
    <t xml:space="preserve">거성전력
윤명숙</t>
  </si>
  <si>
    <t>2502804-00 의왕월암 공공주택지구 도시기반 전기공사</t>
  </si>
  <si>
    <t>경기 30%, 5개사</t>
  </si>
  <si>
    <t>보원엔지니어링</t>
  </si>
  <si>
    <t xml:space="preserve">동해전기공사44.54
박재웅</t>
  </si>
  <si>
    <t>대한종합산전</t>
  </si>
  <si>
    <t xml:space="preserve">삼영플랜트
</t>
  </si>
  <si>
    <t xml:space="preserve">정준테크
이동훈</t>
  </si>
  <si>
    <t>엠라이테크 50.83</t>
  </si>
  <si>
    <t xml:space="preserve">광동전력
이동훈</t>
  </si>
  <si>
    <t xml:space="preserve">녹십자이엠 80.43
유형민</t>
  </si>
  <si>
    <t>남양계전</t>
  </si>
  <si>
    <t>일광이앤씨</t>
  </si>
  <si>
    <t xml:space="preserve">지음쏠라테크
78.66</t>
  </si>
  <si>
    <t xml:space="preserve">케이케이디씨
18.79
윤명숙</t>
  </si>
  <si>
    <t>이엘케이</t>
  </si>
  <si>
    <t>2502554-00 밀양아리랑 무형문화재 전수교육관 전기공사</t>
  </si>
  <si>
    <t>경남 30%, 5개사</t>
  </si>
  <si>
    <t>소방</t>
  </si>
  <si>
    <t xml:space="preserve">진사전력기술단
윤명숙</t>
  </si>
  <si>
    <t>추가</t>
  </si>
  <si>
    <t xml:space="preserve">한도전기공사
박성균</t>
  </si>
  <si>
    <t xml:space="preserve">지음쏠라테크 
57.56</t>
  </si>
  <si>
    <t xml:space="preserve">디케이
36.03
송종윤</t>
  </si>
  <si>
    <t xml:space="preserve">케이지건설 21.87
유형민</t>
  </si>
  <si>
    <t>2502913-02 여수국동 및 담양담양 및 함평기산 아파트 소방시설공사</t>
  </si>
  <si>
    <t>전남 30%, 5개사</t>
  </si>
  <si>
    <t xml:space="preserve">해동건설
24.70</t>
  </si>
  <si>
    <t>해동건설 30%</t>
  </si>
  <si>
    <t xml:space="preserve">새천년종합건설
31.59</t>
  </si>
  <si>
    <t xml:space="preserve">남일이엔씨_김대열
58.63</t>
  </si>
  <si>
    <t xml:space="preserve">지음쏠라테크 
73.68</t>
  </si>
  <si>
    <t xml:space="preserve">극동전력
24.59</t>
  </si>
  <si>
    <t xml:space="preserve">극동전력
30%</t>
  </si>
  <si>
    <t xml:space="preserve">진도전력
윤명숙
59.37</t>
  </si>
  <si>
    <t xml:space="preserve">덕흥건설
4.55</t>
  </si>
  <si>
    <t xml:space="preserve">대상전력
36.25
김희준</t>
  </si>
  <si>
    <t xml:space="preserve">덕흥건설
30%</t>
  </si>
  <si>
    <t>2502912-00 2025년 강원권 임대주택 노후 조명기구 교체공사(원주무실7 등 9개 단지)</t>
  </si>
  <si>
    <t>강원 49%, 4개사</t>
  </si>
  <si>
    <t xml:space="preserve">대금종합건설
33.54</t>
  </si>
  <si>
    <t>2502935-00 남양주진접2 B-1BL 아파트 소방시설공사 2공구</t>
  </si>
  <si>
    <t xml:space="preserve">에코엠이엔씨
20.70</t>
  </si>
  <si>
    <t>대광건영</t>
  </si>
  <si>
    <t xml:space="preserve">우진이엔씨 52.92
임태균</t>
  </si>
  <si>
    <t xml:space="preserve">에코엠
40%</t>
  </si>
  <si>
    <t xml:space="preserve">지음쏠라테크
50.47</t>
  </si>
  <si>
    <t>지음쏠라 51%</t>
  </si>
  <si>
    <t>김앤드이</t>
  </si>
  <si>
    <t xml:space="preserve">에이스원
조세희
30.58</t>
  </si>
  <si>
    <t xml:space="preserve">에이스원
40%</t>
  </si>
  <si>
    <t xml:space="preserve">구보공영
김희준</t>
  </si>
  <si>
    <t>신우이엔아이_김장섭 19.41</t>
  </si>
  <si>
    <t xml:space="preserve">신우
30%</t>
  </si>
  <si>
    <t>경우전기</t>
  </si>
  <si>
    <t>대원전력공사_윤명숙 10.79</t>
  </si>
  <si>
    <t xml:space="preserve">코원건설
26.39
유형민</t>
  </si>
  <si>
    <t>대원15%</t>
  </si>
  <si>
    <t>하나전기</t>
  </si>
  <si>
    <t xml:space="preserve">파워텔레콤 19.002
김대열</t>
  </si>
  <si>
    <t xml:space="preserve">파워텔
30%</t>
  </si>
  <si>
    <t xml:space="preserve">대한종합산전
42.8</t>
  </si>
  <si>
    <t xml:space="preserve">와이제이이엔지
박성균
76.20</t>
  </si>
  <si>
    <t xml:space="preserve">대한종합
51</t>
  </si>
  <si>
    <t>부현전기</t>
  </si>
  <si>
    <t xml:space="preserve">김호건설
19.60
이동훈</t>
  </si>
  <si>
    <t xml:space="preserve">김호건설
30%</t>
  </si>
  <si>
    <t xml:space="preserve">세영이앤씨 57.23
이동훈</t>
  </si>
  <si>
    <t xml:space="preserve">대일소방산업
김희준</t>
  </si>
  <si>
    <t>세진종합이엔씨_김장섭32.86</t>
  </si>
  <si>
    <t xml:space="preserve">세진종합
40%</t>
  </si>
  <si>
    <t xml:space="preserve">거산소방공사
김희준</t>
  </si>
  <si>
    <t xml:space="preserve">일진종합전설47.78
박성균</t>
  </si>
  <si>
    <t>송원이앤씨 53.56</t>
  </si>
  <si>
    <t>케이비에스비니지스</t>
  </si>
  <si>
    <t xml:space="preserve">신신이앤씨
김장섭</t>
  </si>
  <si>
    <t xml:space="preserve">만양
37.89
이동훈</t>
  </si>
  <si>
    <t xml:space="preserve">만양
40%</t>
  </si>
  <si>
    <t>광동전력92.42</t>
  </si>
  <si>
    <t xml:space="preserve">대상전력
김희준
24.83</t>
  </si>
  <si>
    <t xml:space="preserve">대상전력
30%</t>
  </si>
  <si>
    <t xml:space="preserve">부원전기
67.87
김장섭</t>
  </si>
  <si>
    <t xml:space="preserve">화인메컨
박성균</t>
  </si>
  <si>
    <t>영웅개발</t>
  </si>
  <si>
    <t xml:space="preserve">대흥전력기술
윤명숙</t>
  </si>
  <si>
    <t xml:space="preserve">동산씨앤이
이동훈</t>
  </si>
  <si>
    <t xml:space="preserve">부국전력통신공사
49.62</t>
  </si>
  <si>
    <t xml:space="preserve">은성산업
35.60
불가능</t>
  </si>
  <si>
    <t>2503212-01 사천선인 공공주택지구 도시기반 전기공사</t>
  </si>
  <si>
    <t>경남의무30%, 5개사</t>
  </si>
  <si>
    <t>2025.09.14</t>
  </si>
  <si>
    <t xml:space="preserve">아람이엔테크
품질90.73</t>
  </si>
  <si>
    <t>케이지건설29.44</t>
  </si>
  <si>
    <t>진사전력기술단_윤명숙</t>
  </si>
  <si>
    <t xml:space="preserve">지음이엔아이
품질93.38</t>
  </si>
  <si>
    <t>합포이엔지18.26</t>
  </si>
  <si>
    <t>지음쏠라테크79</t>
  </si>
  <si>
    <t>3,551,490,00</t>
  </si>
  <si>
    <t>2503218-00 구리갈매역세권 공공주택지구 도시기반 전기공사</t>
  </si>
  <si>
    <t>+</t>
  </si>
  <si>
    <t xml:space="preserve">광동전력
41.32
이동훈</t>
  </si>
  <si>
    <t xml:space="preserve">동해전기공사24.25
박재웅</t>
  </si>
  <si>
    <t xml:space="preserve">동해전기
30</t>
  </si>
  <si>
    <t xml:space="preserve">세지엔지니어링
62.62
윤명숙</t>
  </si>
  <si>
    <t xml:space="preserve">㈜화인이앤텍
김희준</t>
  </si>
  <si>
    <t xml:space="preserve">현창이앤씨 50.72
구성서</t>
  </si>
  <si>
    <t xml:space="preserve">녹십자이엠 43.8
유형민</t>
  </si>
  <si>
    <t xml:space="preserve">현창
57</t>
  </si>
  <si>
    <t xml:space="preserve">지음쏠라테크
42. 84</t>
  </si>
  <si>
    <t>일광이앤씨 65.98</t>
  </si>
  <si>
    <t>지음쏠라51</t>
  </si>
  <si>
    <t xml:space="preserve">명성이엔씨 22.91
 나의상</t>
  </si>
  <si>
    <t>명성30</t>
  </si>
  <si>
    <t xml:space="preserve">정준테크
50.71
이동훈</t>
  </si>
  <si>
    <t xml:space="preserve">코원건설
28.9</t>
  </si>
  <si>
    <t xml:space="preserve">성은전기
19.88
김희준</t>
  </si>
  <si>
    <t xml:space="preserve">정준55
성은20</t>
  </si>
  <si>
    <t xml:space="preserve">신광전력
구성서</t>
  </si>
  <si>
    <t xml:space="preserve">대한전력
25.01
이동훈</t>
  </si>
  <si>
    <t xml:space="preserve">대한전력
30</t>
  </si>
  <si>
    <t xml:space="preserve">한라전기
31.26
이동훈</t>
  </si>
  <si>
    <t xml:space="preserve">민재전기
34.09
이동훈</t>
  </si>
  <si>
    <t xml:space="preserve">민재전기
35</t>
  </si>
  <si>
    <t xml:space="preserve">김호건설
50.39
이동훈</t>
  </si>
  <si>
    <t>코레일테크</t>
  </si>
  <si>
    <t xml:space="preserve">김호건설
51</t>
  </si>
  <si>
    <t xml:space="preserve">신우이엔아이
58.30
김장섭</t>
  </si>
  <si>
    <t xml:space="preserve">대륙전기
김희준</t>
  </si>
  <si>
    <t xml:space="preserve">원전력공사 37.75
윤명숙</t>
  </si>
  <si>
    <t xml:space="preserve">구평전력
김희준</t>
  </si>
  <si>
    <t>삼영플랜트</t>
  </si>
  <si>
    <t>대명지이씨</t>
  </si>
  <si>
    <t xml:space="preserve">수영전기공사 29.03
김희준</t>
  </si>
  <si>
    <t xml:space="preserve">수영전기
30</t>
  </si>
  <si>
    <t>엠라이테크 27.68</t>
  </si>
  <si>
    <t>엠라이테크30</t>
  </si>
  <si>
    <t xml:space="preserve">규암전력
49.83
이동훈</t>
  </si>
  <si>
    <t xml:space="preserve">규암
51</t>
  </si>
  <si>
    <t>2503272-00 의정부우정 A-2BL 아파트 정보통신공사 2공구</t>
  </si>
  <si>
    <t>경기의무30%, 5개사</t>
  </si>
  <si>
    <t>대흥디씨티 88.42</t>
  </si>
  <si>
    <t xml:space="preserve">부원전기
김장섭
16.53</t>
  </si>
  <si>
    <t>우진일렉트 90.27</t>
  </si>
  <si>
    <t xml:space="preserve">건양전기신호_ 허민선11.14
</t>
  </si>
  <si>
    <t xml:space="preserve">대상전력
김희준
21.36</t>
  </si>
  <si>
    <t>여성기업</t>
  </si>
  <si>
    <t xml:space="preserve">대상
30%</t>
  </si>
  <si>
    <t xml:space="preserve">광원 27.51
윤명숙</t>
  </si>
  <si>
    <t>녹십자이엠 18.59</t>
  </si>
  <si>
    <t>광원42%</t>
  </si>
  <si>
    <t xml:space="preserve">하나전기
김기성</t>
  </si>
  <si>
    <t xml:space="preserve">태평양개발 78.62
조재진</t>
  </si>
  <si>
    <t xml:space="preserve">유티정보
조재진
72.42</t>
  </si>
  <si>
    <t>케이비에스비즈니스 박성균</t>
  </si>
  <si>
    <t xml:space="preserve">아이디스
김기성</t>
  </si>
  <si>
    <t>세진종합이엔씨31.68</t>
  </si>
  <si>
    <t xml:space="preserve">경우전기
김장섭</t>
  </si>
  <si>
    <t xml:space="preserve">코원건설
유형민
31.04</t>
  </si>
  <si>
    <t>일광이앤씨 16.95</t>
  </si>
  <si>
    <t xml:space="preserve">일광
30%</t>
  </si>
  <si>
    <t xml:space="preserve">스타버킷
최진규</t>
  </si>
  <si>
    <t xml:space="preserve">유리시스템즈 52.48
김기성</t>
  </si>
  <si>
    <t xml:space="preserve">동우텍
김기성</t>
  </si>
  <si>
    <t>트래콘건설 66.81</t>
  </si>
  <si>
    <t xml:space="preserve">우진기전
71.90
이동훈</t>
  </si>
  <si>
    <t xml:space="preserve">에스지씨이앤씨㈜
60.91</t>
  </si>
  <si>
    <t xml:space="preserve">우주전기통신
김희준</t>
  </si>
  <si>
    <t xml:space="preserve">개성건설
85.37</t>
  </si>
  <si>
    <t xml:space="preserve">길리
47.86
김희준</t>
  </si>
  <si>
    <t xml:space="preserve">에쓰엔정보기술
박성균</t>
  </si>
  <si>
    <t xml:space="preserve">길리
51%</t>
  </si>
  <si>
    <t>선우이엔씨</t>
  </si>
  <si>
    <t>만양</t>
  </si>
  <si>
    <t>대한종합산전 31.01</t>
  </si>
  <si>
    <t xml:space="preserve">유명이앤씨
윤명숙</t>
  </si>
  <si>
    <t xml:space="preserve">빛탑건설
윤명숙
19.94</t>
  </si>
  <si>
    <t xml:space="preserve">은성산업
유형민
7.82</t>
  </si>
  <si>
    <t>2503332-00 대구연호 스마트도시 정보통신공사</t>
  </si>
  <si>
    <t xml:space="preserve">입찰참가자격
통신</t>
  </si>
  <si>
    <t>대구의무30%, 5개사</t>
  </si>
  <si>
    <t xml:space="preserve">대유기전공사
16.51</t>
  </si>
  <si>
    <t>2503322-00 경산대임 A-1BL 아파트 소방시설공사</t>
  </si>
  <si>
    <t>경북 30%, 5개사</t>
  </si>
  <si>
    <t xml:space="preserve">구평전력
김희준
16.45</t>
  </si>
  <si>
    <t xml:space="preserve">구평전력
30%</t>
  </si>
  <si>
    <t xml:space="preserve">대동종합전설82.18
윤명숙</t>
  </si>
  <si>
    <t xml:space="preserve">다인전력
22.99
윤명숙</t>
  </si>
  <si>
    <t xml:space="preserve">지음쏠라테크
53.36</t>
  </si>
  <si>
    <t xml:space="preserve">다인전력
30%</t>
  </si>
  <si>
    <t xml:space="preserve">삼원종합전기 20.97
김대열</t>
  </si>
  <si>
    <t xml:space="preserve">삼원
30%</t>
  </si>
  <si>
    <t xml:space="preserve">건아전기
이재웅
39.36</t>
  </si>
  <si>
    <t xml:space="preserve">에코엠이엔씨
21.88</t>
  </si>
  <si>
    <t>광명에너지 6.78</t>
  </si>
  <si>
    <t xml:space="preserve">지성전설
조정
27.97</t>
  </si>
  <si>
    <t>2503346-01 양주회천 택지개발사업 3단계 도시기반 전기공사</t>
  </si>
  <si>
    <t xml:space="preserve">민재전기
이동훈
36.15</t>
  </si>
  <si>
    <t xml:space="preserve">동해전기공사 25.72
박재웅</t>
  </si>
  <si>
    <t xml:space="preserve">동해전기
30%</t>
  </si>
  <si>
    <t xml:space="preserve">정준테크
53.77
이동훈</t>
  </si>
  <si>
    <t xml:space="preserve">녹십자이엠 46.44
유형민</t>
  </si>
  <si>
    <t xml:space="preserve">정준테크
55%</t>
  </si>
  <si>
    <t>엠라이테크 29.35</t>
  </si>
  <si>
    <t xml:space="preserve">엠라이
30%</t>
  </si>
  <si>
    <t>경동이앤지 이동훈</t>
  </si>
  <si>
    <t xml:space="preserve">코원건설
30.64</t>
  </si>
  <si>
    <t xml:space="preserve">광동전력
43.81
이동훈</t>
  </si>
  <si>
    <t xml:space="preserve">이엘케이
56.42</t>
  </si>
  <si>
    <t xml:space="preserve">광동전력
51%</t>
  </si>
  <si>
    <t xml:space="preserve">원전력공사 윤명숙
40.03</t>
  </si>
  <si>
    <t xml:space="preserve">한라전기
이동훈
33.15</t>
  </si>
  <si>
    <t xml:space="preserve">대한전력
이동훈
26.52</t>
  </si>
  <si>
    <t xml:space="preserve">대한전력
30%</t>
  </si>
  <si>
    <t xml:space="preserve">영성전력구성서
69.91</t>
  </si>
  <si>
    <t xml:space="preserve">태광전기공사43.72
이동훈</t>
  </si>
  <si>
    <t xml:space="preserve">김호건설
이동훈
53.43</t>
  </si>
  <si>
    <t xml:space="preserve">건화티에스
윤명숙</t>
  </si>
  <si>
    <t>일광이앤씨 69.54</t>
  </si>
  <si>
    <t xml:space="preserve">인텍에프에이44.45
이동훈</t>
  </si>
  <si>
    <t>에스지씨이엔씨</t>
  </si>
  <si>
    <t xml:space="preserve">태성전설
이동훈
30.96</t>
  </si>
  <si>
    <t xml:space="preserve">세렉스
10.13
김기성</t>
  </si>
  <si>
    <t>유니온</t>
  </si>
  <si>
    <t>건화티에스</t>
  </si>
  <si>
    <t>2503374-00 인천계양 테크노밸리 공공주택지구 도시기반 1공구 및 공원등 1-1공구 전기공사</t>
  </si>
  <si>
    <t>인천 30%, 5개사</t>
  </si>
  <si>
    <t>대건전기제어 99.8</t>
  </si>
  <si>
    <t>의무지분만!</t>
  </si>
  <si>
    <t xml:space="preserve">새천년이엔씨
82.54</t>
  </si>
  <si>
    <t xml:space="preserve">청운전기
20.56
김장섭</t>
  </si>
  <si>
    <t xml:space="preserve">송원이앤씨
女 이동훈</t>
  </si>
  <si>
    <t xml:space="preserve">청운전기
30%</t>
  </si>
  <si>
    <r>
      <t xml:space="preserve">규암전력
</t>
    </r>
    <r>
      <rPr>
        <b/>
        <charset val="129"/>
        <color rgb="FFFF0000"/>
        <family val="3"/>
        <sz val="10"/>
        <rFont val="굴림체"/>
      </rPr>
      <t>女</t>
    </r>
    <r>
      <rPr>
        <charset val="129"/>
        <family val="3"/>
        <sz val="10"/>
        <rFont val="굴림체"/>
      </rPr>
      <t xml:space="preserve">이동훈
46.60</t>
    </r>
  </si>
  <si>
    <t>2503424-00 양주회천(3단계) 스마트도시 정보통신공사</t>
  </si>
  <si>
    <t>대흥디씨티 62.86</t>
  </si>
  <si>
    <t xml:space="preserve">건화티에스 39.89
윤명숙</t>
  </si>
  <si>
    <t>우진일렉트 64.18</t>
  </si>
  <si>
    <t xml:space="preserve">길리
34.03</t>
  </si>
  <si>
    <t>우진66</t>
  </si>
  <si>
    <r>
      <t xml:space="preserve">광원 </t>
    </r>
    <r>
      <rPr>
        <b/>
        <charset val="129"/>
        <color rgb="FFFF0000"/>
        <family val="3"/>
        <sz val="10"/>
        <rFont val="굴림체"/>
      </rPr>
      <t>女</t>
    </r>
    <r>
      <rPr>
        <charset val="129"/>
        <color rgb="FF000000"/>
        <family val="3"/>
        <sz val="10"/>
        <rFont val="굴림체"/>
      </rPr>
      <t xml:space="preserve">19.56
윤명숙</t>
    </r>
  </si>
  <si>
    <t>녹십자이엠 13.22</t>
  </si>
  <si>
    <t xml:space="preserve">스타버킷
최진규
75</t>
  </si>
  <si>
    <t xml:space="preserve">선우이엔씨 56.87
나의상</t>
  </si>
  <si>
    <t>트래콘건설 47.50</t>
  </si>
  <si>
    <t xml:space="preserve">유티정보
조재진
51.49</t>
  </si>
  <si>
    <t xml:space="preserve">대광건영
유형민</t>
  </si>
  <si>
    <t xml:space="preserve">코원건설
유형민
22.07</t>
  </si>
  <si>
    <t>일광이앤씨 12.05</t>
  </si>
  <si>
    <t xml:space="preserve">부원전기
김장섭
10.71</t>
  </si>
  <si>
    <t>세진종합이엔씨22.52</t>
  </si>
  <si>
    <t xml:space="preserve">태평양개발 55.90
조재진</t>
  </si>
  <si>
    <r>
      <t xml:space="preserve">대상전력
김희준 </t>
    </r>
    <r>
      <rPr>
        <b/>
        <charset val="129"/>
        <color rgb="FFFF0000"/>
        <family val="3"/>
        <sz val="10"/>
        <rFont val="굴림체"/>
      </rPr>
      <t>女</t>
    </r>
    <r>
      <rPr>
        <charset val="129"/>
        <color rgb="FF000000"/>
        <family val="3"/>
        <sz val="10"/>
        <rFont val="굴림체"/>
      </rPr>
      <t xml:space="preserve">
15.18</t>
    </r>
  </si>
  <si>
    <t xml:space="preserve">빛탑건설
윤명숙
14.17</t>
  </si>
  <si>
    <t>대상20</t>
  </si>
  <si>
    <t xml:space="preserve">우진기전
51.12
이동훈</t>
  </si>
  <si>
    <t xml:space="preserve">개성건설
60.69</t>
  </si>
  <si>
    <t>온세이엔씨 71.83</t>
  </si>
  <si>
    <t xml:space="preserve">에스지씨이앤씨㈜
43.31</t>
  </si>
  <si>
    <r>
      <t>만양</t>
    </r>
    <r>
      <rPr>
        <b/>
        <charset val="129"/>
        <color rgb="FFFF0000"/>
        <family val="3"/>
        <sz val="10"/>
        <rFont val="굴림체"/>
      </rPr>
      <t>女</t>
    </r>
    <r>
      <rPr>
        <charset val="129"/>
        <color rgb="FF000000"/>
        <family val="3"/>
        <sz val="10"/>
        <rFont val="굴림체"/>
      </rPr>
      <t xml:space="preserve">
46 이동훈</t>
    </r>
  </si>
  <si>
    <t>건양전기신호_ 허민선7.92</t>
  </si>
  <si>
    <t xml:space="preserve">건양
10</t>
  </si>
  <si>
    <t>오파스넷</t>
  </si>
  <si>
    <t xml:space="preserve">유리시스템즈 37.31
김기성</t>
  </si>
  <si>
    <t xml:space="preserve">대용와트스 57.60
윤명숙</t>
  </si>
  <si>
    <t xml:space="preserve">기전사
39.17
이재웅</t>
  </si>
  <si>
    <t>대한종합산전 22.05</t>
  </si>
  <si>
    <t xml:space="preserve">10억
미만</t>
  </si>
  <si>
    <t>2503458-00 하남감일 백제박물관 소방시설공사</t>
  </si>
  <si>
    <t>경영          (10점만점)</t>
  </si>
  <si>
    <t>실적         (8점만점)</t>
  </si>
  <si>
    <t xml:space="preserve">파워텔레콤
김대열</t>
  </si>
  <si>
    <t>경우전기_김장섭</t>
  </si>
  <si>
    <t>㈜신우이엔아이_김장섭</t>
  </si>
  <si>
    <t>대원전력공사_윤명숙</t>
  </si>
  <si>
    <t>2503430-00 부천괴안 A-1BL 아파트 소방시설공사 2공구</t>
  </si>
  <si>
    <t xml:space="preserve">에코엠이엔씨
26.86</t>
  </si>
  <si>
    <t>광동전력이동훈</t>
  </si>
  <si>
    <t xml:space="preserve">지음쏠라테크
65.50</t>
  </si>
  <si>
    <t xml:space="preserve">대상전력
김희준
32.22</t>
  </si>
  <si>
    <t xml:space="preserve">지음쏠라
70%</t>
  </si>
  <si>
    <t>신우이엔아이_김장섭 25.19</t>
  </si>
  <si>
    <t xml:space="preserve">코원건설
34.25
유형민</t>
  </si>
  <si>
    <t xml:space="preserve">파워텔레콤 24.66
김대열</t>
  </si>
  <si>
    <t xml:space="preserve">도원이엔아이
56.26</t>
  </si>
  <si>
    <t>파워텔레콤30%</t>
  </si>
  <si>
    <t xml:space="preserve">대용와트스 윤명숙
62.27</t>
  </si>
  <si>
    <t>세진종합이엔씨_김장섭42.65</t>
  </si>
  <si>
    <t xml:space="preserve">김호건설
25.44
이동훈</t>
  </si>
  <si>
    <t xml:space="preserve">김호건설
40%</t>
  </si>
  <si>
    <t>대원전력공사_윤명숙 14.01</t>
  </si>
  <si>
    <t xml:space="preserve">대원전력
30%</t>
  </si>
  <si>
    <t xml:space="preserve">건화티에스 윤명숙
69.99</t>
  </si>
  <si>
    <t xml:space="preserve">일진종합전설62.02
박성균</t>
  </si>
  <si>
    <t xml:space="preserve">송원이앤씨 69.51
이동훈</t>
  </si>
  <si>
    <t xml:space="preserve">대한종합산전
55.55</t>
  </si>
  <si>
    <t xml:space="preserve">만양
49.18
이동훈</t>
  </si>
  <si>
    <t xml:space="preserve">부국전력통신공사
64.40</t>
  </si>
  <si>
    <t xml:space="preserve">지테크
63.76
김대열</t>
  </si>
  <si>
    <t xml:space="preserve">부원전기
88.09
김장섭</t>
  </si>
  <si>
    <t>화인메컨</t>
  </si>
  <si>
    <t xml:space="preserve">오성방재공영 83.25
박성균</t>
  </si>
  <si>
    <t xml:space="preserve">두성이앤씨 26.63
김희준</t>
  </si>
  <si>
    <t xml:space="preserve">철탑
조재진
21.20</t>
  </si>
  <si>
    <t xml:space="preserve">태평양개발 51.15
조재진</t>
  </si>
  <si>
    <t xml:space="preserve">빛탑건설
32.64
윤명숙</t>
  </si>
  <si>
    <t>2503510-00 인천계양 A-9BL 아파트 정보통신공사 3공구</t>
  </si>
  <si>
    <t xml:space="preserve">건화티에스51.43
윤명숙</t>
  </si>
  <si>
    <t>우진일렉트 82.75</t>
  </si>
  <si>
    <t xml:space="preserve">새천년이엔씨
76.89
</t>
  </si>
  <si>
    <t xml:space="preserve">선경기전
38.31
허민선</t>
  </si>
  <si>
    <t xml:space="preserve">국동전설
27.805
윤명숙</t>
  </si>
  <si>
    <t>2504235-00 강원인제, 강원정선2 및 평창장평 아파트 정보통신공사</t>
  </si>
  <si>
    <t>2026-01-06  11:00:00 AM</t>
  </si>
  <si>
    <t>강원, 5개사</t>
  </si>
  <si>
    <t>\</t>
  </si>
  <si>
    <t>비고</t>
  </si>
  <si>
    <t/>
  </si>
  <si>
    <t xml:space="preserve">세진전설 32.52
이재웅</t>
  </si>
  <si>
    <t xml:space="preserve">동화전설 83.1
이재웅</t>
  </si>
  <si>
    <t xml:space="preserve">큐센텍 59.7
정충선</t>
  </si>
  <si>
    <t xml:space="preserve">대상전력 37.12
김희준</t>
  </si>
  <si>
    <t>정웅전기공사 29.2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</si>
</sst>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(* #,##0_);_(* (#,##0);_(* &quot;-&quot;_);_(@_)"/>
    <numFmt numFmtId="165" formatCode="0.0%"/>
    <numFmt numFmtId="166" formatCode="_-* #,##0.00_-;-* #,##0.00_-;_-* &quot;-&quot;_-;_-@_-"/>
    <numFmt numFmtId="167" formatCode="_(* #,##0.00_);_(* (#,##0.00);_(* &quot;-&quot;_);_(@_)"/>
    <numFmt numFmtId="168" formatCode="0.000%"/>
    <numFmt numFmtId="169" formatCode="_(* #,##0.00_);_(* (#,##0.00);_(* &quot;-&quot;??_);_(@_)"/>
    <numFmt numFmtId="170" formatCode="_-* #,##0_-;-* #,##0_-;_-* &quot;-&quot;_-;_-@_-"/>
    <numFmt numFmtId="171" formatCode="0.0"/>
  </numFmts>
  <fonts count="22" x14ac:knownFonts="1">
    <font>
      <color theme="1"/>
      <family val="2"/>
      <scheme val="minor"/>
      <sz val="11"/>
      <name val="Calibri"/>
    </font>
    <font>
      <charset val="129"/>
      <family val="3"/>
      <sz val="11"/>
      <name val="굴림체"/>
    </font>
    <font>
      <b/>
      <charset val="129"/>
      <family val="3"/>
      <sz val="10"/>
      <name val="굴림체"/>
    </font>
    <font>
      <b/>
      <charset val="129"/>
      <family val="3"/>
      <sz val="8"/>
      <name val="굴림체"/>
    </font>
    <font>
      <b/>
      <charset val="129"/>
      <family val="3"/>
      <sz val="12"/>
      <name val="굴림체"/>
    </font>
    <font>
      <b/>
      <charset val="129"/>
      <family val="3"/>
      <sz val="14"/>
      <name val="굴림체"/>
    </font>
    <font>
      <b/>
      <charset val="129"/>
      <family val="3"/>
      <sz val="18"/>
      <name val="굴림체"/>
    </font>
    <font>
      <charset val="129"/>
      <color rgb="FFFF0000"/>
      <family val="3"/>
      <sz val="10"/>
      <name val="굴림체"/>
    </font>
    <font>
      <charset val="129"/>
      <family val="3"/>
      <sz val="10"/>
      <name val="굴림체"/>
    </font>
    <font>
      <b/>
      <charset val="129"/>
      <color rgb="FFFF0000"/>
      <family val="3"/>
      <sz val="16"/>
      <name val="굴림체"/>
    </font>
    <font>
      <b/>
      <charset val="129"/>
      <color theme="1"/>
      <family val="3"/>
      <sz val="12"/>
      <name val="굴림체"/>
    </font>
    <font>
      <b/>
      <charset val="129"/>
      <color rgb="FF0070C0"/>
      <family val="3"/>
      <sz val="11"/>
      <name val="굴림체"/>
    </font>
    <font>
      <b/>
      <charset val="129"/>
      <family val="3"/>
      <sz val="11"/>
      <name val="굴림체"/>
    </font>
    <font>
      <charset val="129"/>
      <family val="3"/>
      <sz val="9"/>
      <name val="굴림체"/>
    </font>
    <font>
      <b/>
      <charset val="129"/>
      <color rgb="FF0070C0"/>
      <family val="3"/>
      <sz val="9"/>
      <name val="굴림체"/>
    </font>
    <font>
      <charset val="129"/>
      <color rgb="FFFF0000"/>
      <family val="3"/>
      <sz val="9"/>
      <name val="굴림체"/>
    </font>
    <font>
      <b/>
      <charset val="129"/>
      <color rgb="FFFF0000"/>
      <family val="3"/>
      <sz val="10"/>
      <name val="굴림체"/>
    </font>
    <font>
      <charset val="129"/>
      <color theme="1"/>
      <family val="3"/>
      <sz val="10"/>
      <name val="굴림체"/>
    </font>
    <font>
      <charset val="129"/>
      <color rgb="FF00B0F0"/>
      <family val="3"/>
      <sz val="10"/>
      <name val="굴림체"/>
    </font>
    <font>
      <b/>
      <charset val="129"/>
      <family val="3"/>
      <sz val="16"/>
      <name val="굴림체"/>
    </font>
    <font>
      <b/>
      <charset val="129"/>
      <color theme="1"/>
      <family val="3"/>
      <sz val="10"/>
      <name val="굴림체"/>
    </font>
    <font>
      <charset val="129"/>
      <color rgb="FF000000"/>
      <family val="3"/>
      <sz val="10"/>
      <name val="굴림체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00"/>
      </patternFill>
    </fill>
    <fill>
      <patternFill patternType="solid">
        <fgColor theme="9" tint="0.5999938962981048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2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164" fontId="2" fillId="2" borderId="3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2" fillId="2" borderId="4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164" fontId="4" fillId="2" borderId="9" xfId="0" applyNumberFormat="1" applyFont="1" applyFill="1" applyBorder="1" applyAlignment="1">
      <alignment horizontal="center" vertical="center" wrapText="1"/>
    </xf>
    <xf numFmtId="164" fontId="4" fillId="2" borderId="1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vertical="center" wrapText="1"/>
    </xf>
    <xf numFmtId="164" fontId="4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64" fontId="2" fillId="2" borderId="13" xfId="0" applyNumberFormat="1" applyFont="1" applyFill="1" applyBorder="1" applyAlignment="1">
      <alignment horizontal="center" vertical="center"/>
    </xf>
    <xf numFmtId="164" fontId="2" fillId="2" borderId="14" xfId="0" applyNumberFormat="1" applyFont="1" applyFill="1" applyBorder="1" applyAlignment="1">
      <alignment horizontal="center" vertical="center"/>
    </xf>
    <xf numFmtId="164" fontId="2" fillId="2" borderId="15" xfId="0" applyNumberFormat="1" applyFont="1" applyFill="1" applyBorder="1" applyAlignment="1">
      <alignment horizontal="center" vertical="center"/>
    </xf>
    <xf numFmtId="164" fontId="2" fillId="2" borderId="16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22" fontId="9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vertical="center"/>
    </xf>
    <xf numFmtId="10" fontId="11" fillId="2" borderId="0" xfId="0" applyNumberFormat="1" applyFont="1" applyFill="1" applyAlignment="1">
      <alignment horizontal="left" vertical="center"/>
    </xf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164" fontId="13" fillId="2" borderId="4" xfId="0" applyNumberFormat="1" applyFont="1" applyFill="1" applyBorder="1" applyAlignment="1">
      <alignment horizontal="center" vertical="center"/>
    </xf>
    <xf numFmtId="164" fontId="8" fillId="2" borderId="15" xfId="0" applyNumberFormat="1" applyFont="1" applyFill="1" applyBorder="1" applyAlignment="1">
      <alignment horizontal="center" vertical="center"/>
    </xf>
    <xf numFmtId="164" fontId="8" fillId="2" borderId="17" xfId="0" applyNumberFormat="1" applyFont="1" applyFill="1" applyBorder="1" applyAlignment="1">
      <alignment horizontal="center" vertical="center"/>
    </xf>
    <xf numFmtId="164" fontId="8" fillId="2" borderId="16" xfId="0" applyNumberFormat="1" applyFont="1" applyFill="1" applyBorder="1" applyAlignment="1">
      <alignment horizontal="center" vertical="center"/>
    </xf>
    <xf numFmtId="10" fontId="4" fillId="3" borderId="15" xfId="0" applyNumberFormat="1" applyFont="1" applyFill="1" applyBorder="1" applyAlignment="1">
      <alignment horizontal="center" vertical="center"/>
    </xf>
    <xf numFmtId="10" fontId="4" fillId="3" borderId="16" xfId="0" applyNumberFormat="1" applyFont="1" applyFill="1" applyBorder="1" applyAlignment="1">
      <alignment horizontal="center" vertical="center"/>
    </xf>
    <xf numFmtId="10" fontId="14" fillId="2" borderId="5" xfId="0" applyNumberFormat="1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right" vertical="center"/>
    </xf>
    <xf numFmtId="0" fontId="15" fillId="2" borderId="18" xfId="0" applyFont="1" applyFill="1" applyBorder="1" applyAlignment="1">
      <alignment horizontal="center" vertical="center" wrapText="1"/>
    </xf>
    <xf numFmtId="164" fontId="7" fillId="2" borderId="18" xfId="0" applyNumberFormat="1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164" fontId="8" fillId="2" borderId="0" xfId="0" applyNumberFormat="1" applyFont="1" applyFill="1" applyAlignment="1">
      <alignment vertical="center"/>
    </xf>
    <xf numFmtId="0" fontId="8" fillId="2" borderId="0" xfId="0" applyFont="1" applyFill="1" applyAlignment="1">
      <alignment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4" borderId="22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5" borderId="26" xfId="0" applyFont="1" applyFill="1" applyBorder="1" applyAlignment="1">
      <alignment horizontal="center" vertical="center" wrapText="1"/>
    </xf>
    <xf numFmtId="0" fontId="8" fillId="5" borderId="27" xfId="0" applyFont="1" applyFill="1" applyBorder="1" applyAlignment="1">
      <alignment horizontal="center" vertical="center" wrapText="1"/>
    </xf>
    <xf numFmtId="0" fontId="8" fillId="5" borderId="18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8" fillId="2" borderId="35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37" xfId="0" applyFont="1" applyFill="1" applyBorder="1" applyAlignment="1">
      <alignment horizontal="center" vertical="center" wrapText="1"/>
    </xf>
    <xf numFmtId="0" fontId="8" fillId="2" borderId="38" xfId="0" applyFont="1" applyFill="1" applyBorder="1" applyAlignment="1">
      <alignment horizontal="center" vertical="center" wrapText="1"/>
    </xf>
    <xf numFmtId="0" fontId="8" fillId="4" borderId="39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 shrinkToFit="1"/>
    </xf>
    <xf numFmtId="0" fontId="8" fillId="0" borderId="40" xfId="0" applyFont="1" applyBorder="1" applyAlignment="1">
      <alignment horizontal="center" vertical="center" wrapText="1" shrinkToFit="1"/>
    </xf>
    <xf numFmtId="0" fontId="8" fillId="2" borderId="41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 shrinkToFit="1"/>
    </xf>
    <xf numFmtId="0" fontId="8" fillId="0" borderId="38" xfId="0" applyFont="1" applyBorder="1" applyAlignment="1">
      <alignment horizontal="center" vertical="center" wrapText="1" shrinkToFit="1"/>
    </xf>
    <xf numFmtId="0" fontId="8" fillId="3" borderId="38" xfId="0" applyFont="1" applyFill="1" applyBorder="1" applyAlignment="1">
      <alignment horizontal="center" vertical="center" wrapText="1" shrinkToFit="1"/>
    </xf>
    <xf numFmtId="0" fontId="8" fillId="6" borderId="35" xfId="0" applyFont="1" applyFill="1" applyBorder="1" applyAlignment="1">
      <alignment horizontal="center" vertical="center" wrapText="1" shrinkToFit="1"/>
    </xf>
    <xf numFmtId="0" fontId="8" fillId="2" borderId="35" xfId="0" applyFont="1" applyFill="1" applyBorder="1" applyAlignment="1">
      <alignment horizontal="center" vertical="center" wrapText="1" shrinkToFit="1"/>
    </xf>
    <xf numFmtId="0" fontId="8" fillId="2" borderId="36" xfId="0" applyFont="1" applyFill="1" applyBorder="1" applyAlignment="1">
      <alignment horizontal="center" vertical="center" wrapText="1" shrinkToFit="1"/>
    </xf>
    <xf numFmtId="0" fontId="8" fillId="2" borderId="4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5" borderId="41" xfId="0" applyFont="1" applyFill="1" applyBorder="1" applyAlignment="1">
      <alignment horizontal="center" vertical="center" wrapText="1"/>
    </xf>
    <xf numFmtId="0" fontId="8" fillId="5" borderId="43" xfId="0" applyFont="1" applyFill="1" applyBorder="1" applyAlignment="1">
      <alignment horizontal="center" vertical="center" wrapText="1"/>
    </xf>
    <xf numFmtId="0" fontId="8" fillId="2" borderId="44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 shrinkToFit="1"/>
    </xf>
    <xf numFmtId="0" fontId="8" fillId="3" borderId="45" xfId="0" applyFont="1" applyFill="1" applyBorder="1" applyAlignment="1">
      <alignment horizontal="left" vertical="center" wrapText="1" shrinkToFit="1"/>
    </xf>
    <xf numFmtId="0" fontId="8" fillId="0" borderId="45" xfId="0" applyFont="1" applyBorder="1" applyAlignment="1">
      <alignment horizontal="left" vertical="center" wrapText="1" shrinkToFit="1"/>
    </xf>
    <xf numFmtId="0" fontId="8" fillId="0" borderId="46" xfId="0" applyFont="1" applyBorder="1" applyAlignment="1">
      <alignment horizontal="left" vertical="center" wrapText="1" shrinkToFit="1"/>
    </xf>
    <xf numFmtId="0" fontId="2" fillId="7" borderId="22" xfId="0" applyFont="1" applyFill="1" applyBorder="1" applyAlignment="1">
      <alignment horizontal="left" vertical="center" wrapText="1" shrinkToFit="1"/>
    </xf>
    <xf numFmtId="165" fontId="8" fillId="7" borderId="47" xfId="0" applyNumberFormat="1" applyFont="1" applyFill="1" applyBorder="1" applyAlignment="1">
      <alignment horizontal="center" vertical="center"/>
    </xf>
    <xf numFmtId="165" fontId="8" fillId="7" borderId="4" xfId="0" applyNumberFormat="1" applyFont="1" applyFill="1" applyBorder="1" applyAlignment="1">
      <alignment horizontal="center" vertical="center"/>
    </xf>
    <xf numFmtId="165" fontId="8" fillId="0" borderId="4" xfId="0" applyNumberFormat="1" applyFont="1" applyBorder="1" applyAlignment="1">
      <alignment horizontal="center" vertical="center"/>
    </xf>
    <xf numFmtId="165" fontId="8" fillId="0" borderId="48" xfId="0" applyNumberFormat="1" applyFont="1" applyBorder="1" applyAlignment="1">
      <alignment horizontal="center" vertical="center"/>
    </xf>
    <xf numFmtId="10" fontId="8" fillId="0" borderId="46" xfId="0" applyNumberFormat="1" applyFont="1" applyBorder="1" applyAlignment="1">
      <alignment horizontal="center" vertical="center"/>
    </xf>
    <xf numFmtId="9" fontId="8" fillId="0" borderId="49" xfId="0" applyNumberFormat="1" applyFont="1" applyBorder="1" applyAlignment="1">
      <alignment horizontal="center" vertical="center"/>
    </xf>
    <xf numFmtId="166" fontId="8" fillId="4" borderId="49" xfId="0" applyNumberFormat="1" applyFont="1" applyFill="1" applyBorder="1" applyAlignment="1">
      <alignment vertical="center"/>
    </xf>
    <xf numFmtId="166" fontId="8" fillId="0" borderId="1" xfId="0" applyNumberFormat="1" applyFont="1" applyBorder="1" applyAlignment="1">
      <alignment vertical="center"/>
    </xf>
    <xf numFmtId="166" fontId="8" fillId="0" borderId="4" xfId="0" applyNumberFormat="1" applyFont="1" applyBorder="1" applyAlignment="1">
      <alignment vertical="center"/>
    </xf>
    <xf numFmtId="166" fontId="8" fillId="0" borderId="48" xfId="0" applyNumberFormat="1" applyFont="1" applyBorder="1" applyAlignment="1">
      <alignment vertical="center"/>
    </xf>
    <xf numFmtId="166" fontId="8" fillId="0" borderId="46" xfId="0" applyNumberFormat="1" applyFont="1" applyBorder="1" applyAlignment="1">
      <alignment vertical="center"/>
    </xf>
    <xf numFmtId="166" fontId="7" fillId="0" borderId="49" xfId="0" applyNumberFormat="1" applyFont="1" applyBorder="1" applyAlignment="1">
      <alignment vertical="center"/>
    </xf>
    <xf numFmtId="166" fontId="8" fillId="0" borderId="50" xfId="0" applyNumberFormat="1" applyFont="1" applyBorder="1" applyAlignment="1">
      <alignment vertical="center"/>
    </xf>
    <xf numFmtId="164" fontId="8" fillId="0" borderId="51" xfId="0" applyNumberFormat="1" applyFont="1" applyBorder="1" applyAlignment="1">
      <alignment vertical="center" wrapText="1" shrinkToFit="1"/>
    </xf>
    <xf numFmtId="164" fontId="8" fillId="0" borderId="1" xfId="0" applyNumberFormat="1" applyFont="1" applyBorder="1" applyAlignment="1">
      <alignment vertical="center" wrapText="1" shrinkToFit="1"/>
    </xf>
    <xf numFmtId="164" fontId="8" fillId="0" borderId="4" xfId="0" applyNumberFormat="1" applyFont="1" applyBorder="1" applyAlignment="1">
      <alignment vertical="center" wrapText="1" shrinkToFit="1"/>
    </xf>
    <xf numFmtId="164" fontId="8" fillId="0" borderId="7" xfId="0" applyNumberFormat="1" applyFont="1" applyBorder="1" applyAlignment="1">
      <alignment vertical="center" wrapText="1" shrinkToFit="1"/>
    </xf>
    <xf numFmtId="164" fontId="8" fillId="0" borderId="46" xfId="0" applyNumberFormat="1" applyFont="1" applyBorder="1" applyAlignment="1">
      <alignment vertical="center" wrapText="1" shrinkToFit="1"/>
    </xf>
    <xf numFmtId="166" fontId="7" fillId="0" borderId="52" xfId="0" applyNumberFormat="1" applyFont="1" applyBorder="1" applyAlignment="1">
      <alignment vertical="center"/>
    </xf>
    <xf numFmtId="166" fontId="8" fillId="0" borderId="49" xfId="0" applyNumberFormat="1" applyFont="1" applyBorder="1" applyAlignment="1">
      <alignment vertical="center"/>
    </xf>
    <xf numFmtId="166" fontId="7" fillId="4" borderId="53" xfId="0" applyNumberFormat="1" applyFont="1" applyFill="1" applyBorder="1" applyAlignment="1">
      <alignment vertical="center"/>
    </xf>
    <xf numFmtId="167" fontId="8" fillId="0" borderId="8" xfId="0" applyNumberFormat="1" applyFont="1" applyBorder="1" applyAlignment="1">
      <alignment vertical="center"/>
    </xf>
    <xf numFmtId="166" fontId="8" fillId="0" borderId="8" xfId="0" applyNumberFormat="1" applyFont="1" applyBorder="1" applyAlignment="1">
      <alignment vertical="center"/>
    </xf>
    <xf numFmtId="166" fontId="8" fillId="0" borderId="45" xfId="0" applyNumberFormat="1" applyFont="1" applyBorder="1" applyAlignment="1">
      <alignment vertical="center"/>
    </xf>
    <xf numFmtId="164" fontId="8" fillId="0" borderId="45" xfId="0" applyNumberFormat="1" applyFont="1" applyBorder="1" applyAlignment="1">
      <alignment vertical="center"/>
    </xf>
    <xf numFmtId="168" fontId="8" fillId="0" borderId="45" xfId="0" applyNumberFormat="1" applyFont="1" applyBorder="1" applyAlignment="1">
      <alignment vertical="center"/>
    </xf>
    <xf numFmtId="169" fontId="2" fillId="0" borderId="7" xfId="0" applyNumberFormat="1" applyFont="1" applyBorder="1" applyAlignment="1">
      <alignment vertical="center"/>
    </xf>
    <xf numFmtId="168" fontId="8" fillId="0" borderId="7" xfId="0" applyNumberFormat="1" applyFont="1" applyBorder="1" applyAlignment="1">
      <alignment vertical="center"/>
    </xf>
    <xf numFmtId="164" fontId="8" fillId="0" borderId="18" xfId="0" applyNumberFormat="1" applyFont="1" applyBorder="1" applyAlignment="1">
      <alignment vertical="center"/>
    </xf>
    <xf numFmtId="0" fontId="8" fillId="0" borderId="18" xfId="0" applyFont="1" applyBorder="1" applyAlignment="1">
      <alignment vertical="center"/>
    </xf>
    <xf numFmtId="170" fontId="8" fillId="0" borderId="45" xfId="0" applyNumberFormat="1" applyFont="1" applyBorder="1" applyAlignment="1">
      <alignment vertical="center" wrapText="1" shrinkToFit="1"/>
    </xf>
    <xf numFmtId="170" fontId="8" fillId="0" borderId="7" xfId="0" applyNumberFormat="1" applyFont="1" applyBorder="1" applyAlignment="1">
      <alignment vertical="center" wrapText="1" shrinkToFit="1"/>
    </xf>
    <xf numFmtId="170" fontId="8" fillId="0" borderId="18" xfId="0" applyNumberFormat="1" applyFont="1" applyBorder="1" applyAlignment="1">
      <alignment vertical="center" wrapText="1" shrinkToFit="1"/>
    </xf>
    <xf numFmtId="0" fontId="7" fillId="7" borderId="7" xfId="0" applyFont="1" applyFill="1" applyBorder="1" applyAlignment="1">
      <alignment horizontal="center" vertical="center" wrapText="1" shrinkToFit="1"/>
    </xf>
    <xf numFmtId="0" fontId="7" fillId="7" borderId="48" xfId="0" applyFont="1" applyFill="1" applyBorder="1" applyAlignment="1">
      <alignment horizontal="center" vertical="center" wrapText="1" shrinkToFit="1"/>
    </xf>
    <xf numFmtId="0" fontId="7" fillId="7" borderId="54" xfId="0" applyFont="1" applyFill="1" applyBorder="1" applyAlignment="1">
      <alignment horizontal="center" vertical="center" wrapText="1" shrinkToFit="1"/>
    </xf>
    <xf numFmtId="166" fontId="16" fillId="3" borderId="4" xfId="0" applyNumberFormat="1" applyFont="1" applyFill="1" applyBorder="1" applyAlignment="1">
      <alignment vertical="center"/>
    </xf>
    <xf numFmtId="166" fontId="16" fillId="0" borderId="4" xfId="0" applyNumberFormat="1" applyFont="1" applyBorder="1" applyAlignment="1">
      <alignment vertical="center"/>
    </xf>
    <xf numFmtId="2" fontId="16" fillId="0" borderId="53" xfId="0" applyNumberFormat="1" applyFont="1" applyBorder="1" applyAlignment="1">
      <alignment horizontal="center" vertical="center"/>
    </xf>
    <xf numFmtId="166" fontId="8" fillId="4" borderId="53" xfId="0" applyNumberFormat="1" applyFont="1" applyFill="1" applyBorder="1" applyAlignment="1">
      <alignment vertical="center"/>
    </xf>
    <xf numFmtId="166" fontId="8" fillId="0" borderId="47" xfId="0" applyNumberFormat="1" applyFont="1" applyBorder="1" applyAlignment="1">
      <alignment vertical="center"/>
    </xf>
    <xf numFmtId="166" fontId="8" fillId="0" borderId="6" xfId="0" applyNumberFormat="1" applyFont="1" applyBorder="1" applyAlignment="1">
      <alignment vertical="center"/>
    </xf>
    <xf numFmtId="166" fontId="8" fillId="0" borderId="55" xfId="0" applyNumberFormat="1" applyFont="1" applyBorder="1" applyAlignment="1">
      <alignment vertical="center"/>
    </xf>
    <xf numFmtId="166" fontId="7" fillId="0" borderId="53" xfId="0" applyNumberFormat="1" applyFont="1" applyBorder="1" applyAlignment="1">
      <alignment vertical="center"/>
    </xf>
    <xf numFmtId="166" fontId="8" fillId="0" borderId="53" xfId="0" applyNumberFormat="1" applyFont="1" applyBorder="1" applyAlignment="1">
      <alignment vertical="center"/>
    </xf>
    <xf numFmtId="170" fontId="17" fillId="0" borderId="56" xfId="0" applyNumberFormat="1" applyFont="1" applyBorder="1" applyAlignment="1">
      <alignment vertical="center" wrapText="1" shrinkToFit="1"/>
    </xf>
    <xf numFmtId="164" fontId="8" fillId="0" borderId="2" xfId="0" applyNumberFormat="1" applyFont="1" applyBorder="1" applyAlignment="1">
      <alignment vertical="center" wrapText="1" shrinkToFit="1"/>
    </xf>
    <xf numFmtId="164" fontId="18" fillId="0" borderId="45" xfId="0" applyNumberFormat="1" applyFont="1" applyBorder="1" applyAlignment="1">
      <alignment vertical="center" wrapText="1" shrinkToFit="1"/>
    </xf>
    <xf numFmtId="164" fontId="8" fillId="0" borderId="55" xfId="0" applyNumberFormat="1" applyFont="1" applyBorder="1" applyAlignment="1">
      <alignment vertical="center" wrapText="1" shrinkToFit="1"/>
    </xf>
    <xf numFmtId="166" fontId="7" fillId="0" borderId="57" xfId="0" applyNumberFormat="1" applyFont="1" applyBorder="1" applyAlignment="1">
      <alignment vertical="center"/>
    </xf>
    <xf numFmtId="167" fontId="8" fillId="0" borderId="3" xfId="0" applyNumberFormat="1" applyFont="1" applyBorder="1" applyAlignment="1">
      <alignment vertical="center"/>
    </xf>
    <xf numFmtId="166" fontId="8" fillId="0" borderId="3" xfId="0" applyNumberFormat="1" applyFont="1" applyBorder="1" applyAlignment="1">
      <alignment vertical="center"/>
    </xf>
    <xf numFmtId="164" fontId="8" fillId="0" borderId="4" xfId="0" applyNumberFormat="1" applyFont="1" applyBorder="1" applyAlignment="1">
      <alignment vertical="center"/>
    </xf>
    <xf numFmtId="168" fontId="8" fillId="0" borderId="4" xfId="0" applyNumberFormat="1" applyFont="1" applyBorder="1" applyAlignment="1">
      <alignment vertical="center"/>
    </xf>
    <xf numFmtId="169" fontId="2" fillId="0" borderId="2" xfId="0" applyNumberFormat="1" applyFont="1" applyBorder="1" applyAlignment="1">
      <alignment vertical="center"/>
    </xf>
    <xf numFmtId="168" fontId="8" fillId="0" borderId="2" xfId="0" applyNumberFormat="1" applyFont="1" applyBorder="1" applyAlignment="1">
      <alignment vertical="center"/>
    </xf>
    <xf numFmtId="170" fontId="8" fillId="0" borderId="4" xfId="0" applyNumberFormat="1" applyFont="1" applyBorder="1" applyAlignment="1">
      <alignment vertical="center" wrapText="1" shrinkToFit="1"/>
    </xf>
    <xf numFmtId="170" fontId="8" fillId="0" borderId="2" xfId="0" applyNumberFormat="1" applyFont="1" applyBorder="1" applyAlignment="1">
      <alignment vertical="center" wrapText="1" shrinkToFit="1"/>
    </xf>
    <xf numFmtId="0" fontId="8" fillId="0" borderId="2" xfId="0" applyFont="1" applyBorder="1" applyAlignment="1">
      <alignment horizontal="left" vertical="center" wrapText="1" shrinkToFit="1"/>
    </xf>
    <xf numFmtId="0" fontId="8" fillId="0" borderId="55" xfId="0" applyFont="1" applyBorder="1" applyAlignment="1">
      <alignment horizontal="left" vertical="center" wrapText="1" shrinkToFit="1"/>
    </xf>
    <xf numFmtId="0" fontId="2" fillId="7" borderId="53" xfId="0" applyFont="1" applyFill="1" applyBorder="1" applyAlignment="1">
      <alignment horizontal="left" vertical="center" wrapText="1" shrinkToFit="1"/>
    </xf>
    <xf numFmtId="165" fontId="8" fillId="0" borderId="47" xfId="0" applyNumberFormat="1" applyFont="1" applyBorder="1" applyAlignment="1">
      <alignment horizontal="center" vertical="center"/>
    </xf>
    <xf numFmtId="165" fontId="8" fillId="0" borderId="6" xfId="0" applyNumberFormat="1" applyFont="1" applyBorder="1" applyAlignment="1">
      <alignment horizontal="center" vertical="center"/>
    </xf>
    <xf numFmtId="10" fontId="8" fillId="0" borderId="55" xfId="0" applyNumberFormat="1" applyFont="1" applyBorder="1" applyAlignment="1">
      <alignment horizontal="center" vertical="center"/>
    </xf>
    <xf numFmtId="9" fontId="8" fillId="0" borderId="53" xfId="0" applyNumberFormat="1" applyFont="1" applyBorder="1" applyAlignment="1">
      <alignment horizontal="center" vertical="center"/>
    </xf>
    <xf numFmtId="171" fontId="16" fillId="0" borderId="53" xfId="0" applyNumberFormat="1" applyFont="1" applyBorder="1" applyAlignment="1">
      <alignment horizontal="center" vertical="center"/>
    </xf>
    <xf numFmtId="0" fontId="2" fillId="7" borderId="18" xfId="0" applyFont="1" applyFill="1" applyBorder="1" applyAlignment="1">
      <alignment horizontal="left" vertical="center" wrapText="1" shrinkToFit="1"/>
    </xf>
    <xf numFmtId="170" fontId="8" fillId="0" borderId="38" xfId="0" applyNumberFormat="1" applyFont="1" applyBorder="1" applyAlignment="1">
      <alignment vertical="center" wrapText="1" shrinkToFit="1"/>
    </xf>
    <xf numFmtId="0" fontId="17" fillId="8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left" vertical="center" wrapText="1" shrinkToFit="1"/>
    </xf>
    <xf numFmtId="10" fontId="17" fillId="0" borderId="4" xfId="0" applyNumberFormat="1" applyFont="1" applyBorder="1" applyAlignment="1">
      <alignment horizontal="center" vertical="center"/>
    </xf>
    <xf numFmtId="10" fontId="8" fillId="0" borderId="6" xfId="0" applyNumberFormat="1" applyFont="1" applyBorder="1" applyAlignment="1">
      <alignment horizontal="center" vertical="center"/>
    </xf>
    <xf numFmtId="166" fontId="8" fillId="4" borderId="1" xfId="0" applyNumberFormat="1" applyFont="1" applyFill="1" applyBorder="1" applyAlignment="1">
      <alignment vertical="center"/>
    </xf>
    <xf numFmtId="166" fontId="8" fillId="7" borderId="1" xfId="0" applyNumberFormat="1" applyFont="1" applyFill="1" applyBorder="1" applyAlignment="1">
      <alignment vertical="center"/>
    </xf>
    <xf numFmtId="164" fontId="17" fillId="0" borderId="47" xfId="0" applyNumberFormat="1" applyFont="1" applyBorder="1" applyAlignment="1">
      <alignment vertical="center" wrapText="1" shrinkToFit="1"/>
    </xf>
    <xf numFmtId="167" fontId="8" fillId="4" borderId="3" xfId="0" applyNumberFormat="1" applyFont="1" applyFill="1" applyBorder="1" applyAlignment="1">
      <alignment vertical="center"/>
    </xf>
    <xf numFmtId="166" fontId="16" fillId="7" borderId="4" xfId="0" applyNumberFormat="1" applyFont="1" applyFill="1" applyBorder="1" applyAlignment="1">
      <alignment vertical="center"/>
    </xf>
    <xf numFmtId="0" fontId="8" fillId="7" borderId="18" xfId="0" applyFont="1" applyFill="1" applyBorder="1" applyAlignment="1">
      <alignment horizontal="left" vertical="center" wrapText="1" shrinkToFit="1"/>
    </xf>
    <xf numFmtId="164" fontId="8" fillId="0" borderId="3" xfId="0" applyNumberFormat="1" applyFont="1" applyBorder="1" applyAlignment="1">
      <alignment vertical="center" wrapText="1" shrinkToFit="1"/>
    </xf>
    <xf numFmtId="166" fontId="8" fillId="7" borderId="3" xfId="0" applyNumberFormat="1" applyFont="1" applyFill="1" applyBorder="1" applyAlignment="1">
      <alignment vertical="center"/>
    </xf>
    <xf numFmtId="164" fontId="17" fillId="0" borderId="3" xfId="0" applyNumberFormat="1" applyFont="1" applyBorder="1" applyAlignment="1">
      <alignment vertical="center" wrapText="1" shrinkToFit="1"/>
    </xf>
    <xf numFmtId="0" fontId="8" fillId="7" borderId="18" xfId="0" applyFont="1" applyFill="1" applyBorder="1" applyAlignment="1">
      <alignment horizontal="center" vertical="center" wrapText="1" shrinkToFit="1"/>
    </xf>
    <xf numFmtId="10" fontId="8" fillId="0" borderId="57" xfId="0" applyNumberFormat="1" applyFont="1" applyBorder="1" applyAlignment="1">
      <alignment horizontal="center" vertical="center"/>
    </xf>
    <xf numFmtId="170" fontId="8" fillId="0" borderId="58" xfId="0" applyNumberFormat="1" applyFont="1" applyBorder="1" applyAlignment="1">
      <alignment vertical="center" wrapText="1" shrinkToFit="1"/>
    </xf>
    <xf numFmtId="170" fontId="8" fillId="0" borderId="3" xfId="0" applyNumberFormat="1" applyFont="1" applyBorder="1" applyAlignment="1">
      <alignment vertical="center" wrapText="1" shrinkToFit="1"/>
    </xf>
    <xf numFmtId="164" fontId="8" fillId="0" borderId="45" xfId="0" applyNumberFormat="1" applyFont="1" applyBorder="1" applyAlignment="1">
      <alignment vertical="center" wrapText="1" shrinkToFit="1"/>
    </xf>
    <xf numFmtId="10" fontId="8" fillId="0" borderId="4" xfId="0" applyNumberFormat="1" applyFont="1" applyBorder="1" applyAlignment="1">
      <alignment horizontal="center" vertical="center"/>
    </xf>
    <xf numFmtId="164" fontId="8" fillId="0" borderId="47" xfId="0" applyNumberFormat="1" applyFont="1" applyBorder="1" applyAlignment="1">
      <alignment vertical="center" wrapText="1" shrinkToFit="1"/>
    </xf>
    <xf numFmtId="3" fontId="8" fillId="7" borderId="4" xfId="0" applyNumberFormat="1" applyFont="1" applyFill="1" applyBorder="1" applyAlignment="1">
      <alignment horizontal="left" vertical="center" wrapText="1" shrinkToFit="1"/>
    </xf>
    <xf numFmtId="0" fontId="8" fillId="7" borderId="4" xfId="0" applyFont="1" applyFill="1" applyBorder="1" applyAlignment="1">
      <alignment vertical="center" wrapText="1" shrinkToFit="1"/>
    </xf>
    <xf numFmtId="165" fontId="8" fillId="0" borderId="3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164" fontId="8" fillId="0" borderId="58" xfId="0" applyNumberFormat="1" applyFont="1" applyBorder="1" applyAlignment="1">
      <alignment vertical="center" wrapText="1" shrinkToFit="1"/>
    </xf>
    <xf numFmtId="0" fontId="17" fillId="7" borderId="4" xfId="0" applyFont="1" applyFill="1" applyBorder="1" applyAlignment="1">
      <alignment horizontal="left" vertical="center" wrapText="1" shrinkToFit="1"/>
    </xf>
    <xf numFmtId="170" fontId="8" fillId="0" borderId="6" xfId="0" applyNumberFormat="1" applyFont="1" applyBorder="1" applyAlignment="1">
      <alignment vertical="center" wrapText="1" shrinkToFit="1"/>
    </xf>
    <xf numFmtId="0" fontId="8" fillId="4" borderId="45" xfId="0" applyFont="1" applyFill="1" applyBorder="1" applyAlignment="1">
      <alignment horizontal="left" vertical="center" wrapText="1" shrinkToFit="1"/>
    </xf>
    <xf numFmtId="0" fontId="8" fillId="4" borderId="4" xfId="0" applyFont="1" applyFill="1" applyBorder="1" applyAlignment="1">
      <alignment horizontal="left" vertical="center" wrapText="1" shrinkToFit="1"/>
    </xf>
    <xf numFmtId="164" fontId="8" fillId="2" borderId="4" xfId="0" applyNumberFormat="1" applyFont="1" applyFill="1" applyBorder="1" applyAlignment="1">
      <alignment horizontal="center" vertical="center"/>
    </xf>
    <xf numFmtId="0" fontId="8" fillId="9" borderId="4" xfId="0" applyFont="1" applyFill="1" applyBorder="1" applyAlignment="1">
      <alignment vertical="center" wrapText="1"/>
    </xf>
    <xf numFmtId="3" fontId="17" fillId="0" borderId="59" xfId="0" applyNumberFormat="1" applyFont="1" applyBorder="1" applyAlignment="1">
      <alignment vertical="center" wrapText="1" shrinkToFit="1"/>
    </xf>
    <xf numFmtId="0" fontId="8" fillId="9" borderId="45" xfId="0" applyFont="1" applyFill="1" applyBorder="1" applyAlignment="1">
      <alignment vertical="center" wrapText="1"/>
    </xf>
    <xf numFmtId="3" fontId="8" fillId="0" borderId="4" xfId="0" applyNumberFormat="1" applyFont="1" applyBorder="1" applyAlignment="1">
      <alignment vertical="center" wrapText="1" shrinkToFit="1"/>
    </xf>
    <xf numFmtId="167" fontId="8" fillId="7" borderId="3" xfId="0" applyNumberFormat="1" applyFont="1" applyFill="1" applyBorder="1" applyAlignment="1">
      <alignment vertical="center"/>
    </xf>
    <xf numFmtId="0" fontId="8" fillId="8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vertical="center" wrapText="1"/>
    </xf>
    <xf numFmtId="0" fontId="17" fillId="9" borderId="45" xfId="0" applyFont="1" applyFill="1" applyBorder="1" applyAlignment="1">
      <alignment vertical="center" wrapText="1"/>
    </xf>
    <xf numFmtId="3" fontId="8" fillId="0" borderId="3" xfId="0" applyNumberFormat="1" applyFont="1" applyBorder="1" applyAlignment="1">
      <alignment vertical="center" wrapText="1" shrinkToFit="1"/>
    </xf>
    <xf numFmtId="0" fontId="8" fillId="7" borderId="45" xfId="0" applyFont="1" applyFill="1" applyBorder="1" applyAlignment="1">
      <alignment vertical="center" wrapText="1"/>
    </xf>
    <xf numFmtId="3" fontId="8" fillId="7" borderId="3" xfId="0" applyNumberFormat="1" applyFont="1" applyFill="1" applyBorder="1" applyAlignment="1">
      <alignment vertical="center" wrapText="1" shrinkToFit="1"/>
    </xf>
    <xf numFmtId="0" fontId="8" fillId="10" borderId="4" xfId="0" applyFont="1" applyFill="1" applyBorder="1" applyAlignment="1">
      <alignment vertical="center" wrapText="1"/>
    </xf>
    <xf numFmtId="0" fontId="8" fillId="8" borderId="45" xfId="0" applyFont="1" applyFill="1" applyBorder="1" applyAlignment="1">
      <alignment horizontal="left" vertical="center" wrapText="1" shrinkToFit="1"/>
    </xf>
    <xf numFmtId="3" fontId="8" fillId="3" borderId="4" xfId="0" applyNumberFormat="1" applyFont="1" applyFill="1" applyBorder="1" applyAlignment="1">
      <alignment horizontal="left" vertical="center" wrapText="1" shrinkToFit="1"/>
    </xf>
    <xf numFmtId="166" fontId="8" fillId="7" borderId="4" xfId="0" applyNumberFormat="1" applyFont="1" applyFill="1" applyBorder="1" applyAlignment="1">
      <alignment vertical="center"/>
    </xf>
    <xf numFmtId="166" fontId="8" fillId="4" borderId="4" xfId="0" applyNumberFormat="1" applyFont="1" applyFill="1" applyBorder="1" applyAlignment="1">
      <alignment vertical="center"/>
    </xf>
    <xf numFmtId="166" fontId="8" fillId="4" borderId="3" xfId="0" applyNumberFormat="1" applyFont="1" applyFill="1" applyBorder="1" applyAlignment="1">
      <alignment vertical="center"/>
    </xf>
    <xf numFmtId="0" fontId="19" fillId="2" borderId="5" xfId="0" applyFont="1" applyFill="1" applyBorder="1" applyAlignment="1">
      <alignment horizontal="left" vertical="center"/>
    </xf>
    <xf numFmtId="164" fontId="17" fillId="0" borderId="24" xfId="0" applyNumberFormat="1" applyFont="1" applyBorder="1" applyAlignment="1">
      <alignment vertical="center" wrapText="1" shrinkToFit="1"/>
    </xf>
    <xf numFmtId="166" fontId="16" fillId="0" borderId="47" xfId="0" applyNumberFormat="1" applyFont="1" applyBorder="1" applyAlignment="1">
      <alignment vertical="center"/>
    </xf>
    <xf numFmtId="0" fontId="8" fillId="8" borderId="2" xfId="0" applyFont="1" applyFill="1" applyBorder="1" applyAlignment="1">
      <alignment horizontal="left" vertical="center" wrapText="1" shrinkToFit="1"/>
    </xf>
    <xf numFmtId="0" fontId="8" fillId="0" borderId="15" xfId="0" applyFont="1" applyBorder="1" applyAlignment="1">
      <alignment horizontal="left" vertical="center" wrapText="1" shrinkToFit="1"/>
    </xf>
    <xf numFmtId="0" fontId="20" fillId="7" borderId="22" xfId="0" applyFont="1" applyFill="1" applyBorder="1" applyAlignment="1">
      <alignment horizontal="left" vertical="center" wrapText="1" shrinkToFit="1"/>
    </xf>
    <xf numFmtId="165" fontId="8" fillId="4" borderId="4" xfId="0" applyNumberFormat="1" applyFont="1" applyFill="1" applyBorder="1" applyAlignment="1">
      <alignment horizontal="center" vertical="center"/>
    </xf>
    <xf numFmtId="170" fontId="17" fillId="0" borderId="47" xfId="0" applyNumberFormat="1" applyFont="1" applyBorder="1" applyAlignment="1">
      <alignment vertical="center" wrapText="1" shrinkToFit="1"/>
    </xf>
    <xf numFmtId="166" fontId="17" fillId="4" borderId="53" xfId="0" applyNumberFormat="1" applyFont="1" applyFill="1" applyBorder="1" applyAlignment="1">
      <alignment vertical="center"/>
    </xf>
    <xf numFmtId="166" fontId="8" fillId="3" borderId="53" xfId="0" applyNumberFormat="1" applyFont="1" applyFill="1" applyBorder="1" applyAlignment="1">
      <alignment vertical="center"/>
    </xf>
    <xf numFmtId="9" fontId="8" fillId="4" borderId="53" xfId="0" applyNumberFormat="1" applyFont="1" applyFill="1" applyBorder="1" applyAlignment="1">
      <alignment horizontal="center" vertical="center"/>
    </xf>
    <xf numFmtId="0" fontId="20" fillId="7" borderId="18" xfId="0" applyFont="1" applyFill="1" applyBorder="1" applyAlignment="1">
      <alignment horizontal="left" vertical="center" wrapText="1" shrinkToFit="1"/>
    </xf>
    <xf numFmtId="165" fontId="8" fillId="4" borderId="47" xfId="0" applyNumberFormat="1" applyFont="1" applyFill="1" applyBorder="1" applyAlignment="1">
      <alignment horizontal="center" vertical="center"/>
    </xf>
    <xf numFmtId="0" fontId="2" fillId="7" borderId="18" xfId="0" applyFont="1" applyFill="1" applyBorder="1" applyAlignment="1">
      <alignment horizontal="center" vertical="center" wrapText="1" shrinkToFit="1"/>
    </xf>
    <xf numFmtId="0" fontId="17" fillId="3" borderId="45" xfId="0" applyFont="1" applyFill="1" applyBorder="1" applyAlignment="1">
      <alignment horizontal="left" vertical="center" wrapText="1" shrinkToFit="1"/>
    </xf>
    <xf numFmtId="164" fontId="8" fillId="0" borderId="58" xfId="0" applyNumberFormat="1" applyFont="1" applyBorder="1" applyAlignment="1">
      <alignment horizontal="center" vertical="center" wrapText="1" shrinkToFit="1"/>
    </xf>
    <xf numFmtId="164" fontId="8" fillId="0" borderId="4" xfId="0" applyNumberFormat="1" applyFont="1" applyBorder="1" applyAlignment="1">
      <alignment horizontal="center" vertical="center" wrapText="1" shrinkToFit="1"/>
    </xf>
    <xf numFmtId="166" fontId="8" fillId="7" borderId="8" xfId="0" applyNumberFormat="1" applyFont="1" applyFill="1" applyBorder="1" applyAlignment="1">
      <alignment vertical="center"/>
    </xf>
    <xf numFmtId="0" fontId="17" fillId="10" borderId="45" xfId="0" applyFont="1" applyFill="1" applyBorder="1" applyAlignment="1">
      <alignment vertical="center" wrapText="1"/>
    </xf>
    <xf numFmtId="0" fontId="8" fillId="7" borderId="4" xfId="0" applyFont="1" applyFill="1" applyBorder="1" applyAlignment="1">
      <alignment horizontal="center" vertical="center" wrapText="1" shrinkToFit="1"/>
    </xf>
    <xf numFmtId="170" fontId="8" fillId="0" borderId="47" xfId="0" applyNumberFormat="1" applyFont="1" applyBorder="1" applyAlignment="1">
      <alignment vertical="center" wrapText="1" shrinkToFit="1"/>
    </xf>
    <xf numFmtId="9" fontId="8" fillId="7" borderId="53" xfId="0" applyNumberFormat="1" applyFont="1" applyFill="1" applyBorder="1" applyAlignment="1">
      <alignment horizontal="center" vertical="center"/>
    </xf>
    <xf numFmtId="10" fontId="8" fillId="4" borderId="4" xfId="0" applyNumberFormat="1" applyFont="1" applyFill="1" applyBorder="1" applyAlignment="1">
      <alignment horizontal="center" vertical="center"/>
    </xf>
    <xf numFmtId="166" fontId="7" fillId="3" borderId="53" xfId="0" applyNumberFormat="1" applyFont="1" applyFill="1" applyBorder="1" applyAlignment="1">
      <alignment vertical="center"/>
    </xf>
    <xf numFmtId="166" fontId="16" fillId="3" borderId="47" xfId="0" applyNumberFormat="1" applyFont="1" applyFill="1" applyBorder="1" applyAlignment="1">
      <alignment vertical="center"/>
    </xf>
    <xf numFmtId="165" fontId="8" fillId="4" borderId="3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vertical="center" wrapText="1"/>
    </xf>
    <xf numFmtId="10" fontId="8" fillId="7" borderId="4" xfId="0" applyNumberFormat="1" applyFont="1" applyFill="1" applyBorder="1" applyAlignment="1">
      <alignment horizontal="center" vertical="center"/>
    </xf>
    <xf numFmtId="166" fontId="16" fillId="7" borderId="47" xfId="0" applyNumberFormat="1" applyFont="1" applyFill="1" applyBorder="1" applyAlignment="1">
      <alignment vertical="center"/>
    </xf>
    <xf numFmtId="0" fontId="21" fillId="3" borderId="4" xfId="0" applyFont="1" applyFill="1" applyBorder="1" applyAlignment="1">
      <alignment horizontal="left" vertical="center" wrapText="1" shrinkToFit="1"/>
    </xf>
    <xf numFmtId="165" fontId="21" fillId="0" borderId="4" xfId="0" applyNumberFormat="1" applyFont="1" applyBorder="1" applyAlignment="1">
      <alignment horizontal="center" vertical="center"/>
    </xf>
    <xf numFmtId="166" fontId="21" fillId="4" borderId="4" xfId="0" applyNumberFormat="1" applyFont="1" applyFill="1" applyBorder="1" applyAlignment="1">
      <alignment vertical="center"/>
    </xf>
    <xf numFmtId="170" fontId="21" fillId="0" borderId="6" xfId="0" applyNumberFormat="1" applyFont="1" applyBorder="1" applyAlignment="1">
      <alignment vertical="center" wrapText="1" shrinkToFit="1"/>
    </xf>
    <xf numFmtId="0" fontId="21" fillId="0" borderId="4" xfId="0" applyFont="1" applyBorder="1" applyAlignment="1">
      <alignment horizontal="left" vertical="center" wrapText="1" shrinkToFit="1"/>
    </xf>
    <xf numFmtId="165" fontId="21" fillId="0" borderId="3" xfId="0" applyNumberFormat="1" applyFont="1" applyBorder="1" applyAlignment="1">
      <alignment horizontal="center" vertical="center"/>
    </xf>
    <xf numFmtId="166" fontId="21" fillId="0" borderId="47" xfId="0" applyNumberFormat="1" applyFont="1" applyBorder="1" applyAlignment="1">
      <alignment vertical="center"/>
    </xf>
    <xf numFmtId="170" fontId="21" fillId="0" borderId="3" xfId="0" applyNumberFormat="1" applyFont="1" applyBorder="1" applyAlignment="1">
      <alignment vertical="center" wrapText="1" shrinkToFit="1"/>
    </xf>
    <xf numFmtId="166" fontId="7" fillId="11" borderId="53" xfId="0" applyNumberFormat="1" applyFont="1" applyFill="1" applyBorder="1" applyAlignment="1">
      <alignment vertical="center"/>
    </xf>
    <xf numFmtId="165" fontId="8" fillId="7" borderId="3" xfId="0" applyNumberFormat="1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 wrapText="1" shrinkToFit="1"/>
    </xf>
    <xf numFmtId="0" fontId="7" fillId="7" borderId="0" xfId="0" applyFont="1" applyFill="1" applyAlignment="1">
      <alignment horizontal="center" vertical="center" wrapText="1" shrinkToFit="1"/>
    </xf>
    <xf numFmtId="0" fontId="21" fillId="0" borderId="2" xfId="0" applyFont="1" applyBorder="1" applyAlignment="1">
      <alignment horizontal="left" vertical="center" wrapText="1" shrinkToFit="1"/>
    </xf>
    <xf numFmtId="10" fontId="21" fillId="0" borderId="4" xfId="0" applyNumberFormat="1" applyFont="1" applyBorder="1" applyAlignment="1">
      <alignment horizontal="center" vertical="center"/>
    </xf>
    <xf numFmtId="166" fontId="21" fillId="0" borderId="1" xfId="0" applyNumberFormat="1" applyFont="1" applyBorder="1" applyAlignment="1">
      <alignment vertical="center"/>
    </xf>
    <xf numFmtId="164" fontId="21" fillId="0" borderId="4" xfId="0" applyNumberFormat="1" applyFont="1" applyBorder="1" applyAlignment="1">
      <alignment vertical="center" wrapText="1" shrinkToFit="1"/>
    </xf>
    <xf numFmtId="165" fontId="17" fillId="4" borderId="47" xfId="0" applyNumberFormat="1" applyFont="1" applyFill="1" applyBorder="1" applyAlignment="1">
      <alignment horizontal="center" vertical="center"/>
    </xf>
    <xf numFmtId="166" fontId="16" fillId="7" borderId="3" xfId="0" applyNumberFormat="1" applyFont="1" applyFill="1" applyBorder="1" applyAlignment="1">
      <alignment vertical="center"/>
    </xf>
    <xf numFmtId="166" fontId="21" fillId="4" borderId="1" xfId="0" applyNumberFormat="1" applyFont="1" applyFill="1" applyBorder="1" applyAlignment="1">
      <alignment vertical="center"/>
    </xf>
    <xf numFmtId="166" fontId="21" fillId="0" borderId="4" xfId="0" applyNumberFormat="1" applyFont="1" applyBorder="1" applyAlignment="1">
      <alignment vertical="center"/>
    </xf>
    <xf numFmtId="0" fontId="21" fillId="12" borderId="4" xfId="0" applyFont="1" applyFill="1" applyBorder="1" applyAlignment="1">
      <alignment vertical="center" wrapText="1"/>
    </xf>
    <xf numFmtId="164" fontId="21" fillId="0" borderId="47" xfId="0" applyNumberFormat="1" applyFont="1" applyBorder="1" applyAlignment="1">
      <alignment vertical="center" wrapText="1" shrinkToFit="1"/>
    </xf>
    <xf numFmtId="166" fontId="21" fillId="0" borderId="3" xfId="0" applyNumberFormat="1" applyFont="1" applyBorder="1" applyAlignment="1">
      <alignment vertical="center"/>
    </xf>
    <xf numFmtId="164" fontId="21" fillId="0" borderId="3" xfId="0" applyNumberFormat="1" applyFont="1" applyBorder="1" applyAlignment="1">
      <alignment vertical="center" wrapText="1" shrinkToFit="1"/>
    </xf>
    <xf numFmtId="164" fontId="21" fillId="0" borderId="45" xfId="0" applyNumberFormat="1" applyFont="1" applyBorder="1" applyAlignment="1">
      <alignment vertical="center" wrapText="1" shrinkToFit="1"/>
    </xf>
    <xf numFmtId="164" fontId="21" fillId="0" borderId="2" xfId="0" applyNumberFormat="1" applyFont="1" applyBorder="1" applyAlignment="1">
      <alignment vertical="center" wrapText="1" shrinkToFit="1"/>
    </xf>
    <xf numFmtId="0" fontId="21" fillId="3" borderId="2" xfId="0" applyFont="1" applyFill="1" applyBorder="1" applyAlignment="1">
      <alignment horizontal="left" vertical="center" wrapText="1" shrinkToFit="1"/>
    </xf>
    <xf numFmtId="165" fontId="21" fillId="4" borderId="4" xfId="0" applyNumberFormat="1" applyFont="1" applyFill="1" applyBorder="1" applyAlignment="1">
      <alignment horizontal="center" vertical="center"/>
    </xf>
    <xf numFmtId="170" fontId="21" fillId="0" borderId="4" xfId="0" applyNumberFormat="1" applyFont="1" applyBorder="1" applyAlignment="1">
      <alignment vertical="center" wrapText="1" shrinkToFit="1"/>
    </xf>
    <xf numFmtId="0" fontId="21" fillId="13" borderId="4" xfId="0" applyFont="1" applyFill="1" applyBorder="1" applyAlignment="1">
      <alignment vertical="center" wrapText="1"/>
    </xf>
    <xf numFmtId="0" fontId="21" fillId="12" borderId="45" xfId="0" applyFont="1" applyFill="1" applyBorder="1" applyAlignment="1">
      <alignment vertical="center" wrapText="1"/>
    </xf>
    <xf numFmtId="170" fontId="21" fillId="0" borderId="47" xfId="0" applyNumberFormat="1" applyFont="1" applyBorder="1" applyAlignment="1">
      <alignment vertical="center" wrapText="1" shrinkToFit="1"/>
    </xf>
    <xf numFmtId="0" fontId="4" fillId="14" borderId="0" xfId="0" applyFont="1" applyFill="1" applyAlignment="1">
      <alignment horizontal="center" vertical="center" wrapText="1"/>
    </xf>
    <xf numFmtId="0" fontId="4" fillId="14" borderId="60" xfId="0" applyFont="1" applyFill="1" applyBorder="1" applyAlignment="1">
      <alignment horizontal="center" vertical="center"/>
    </xf>
    <xf numFmtId="0" fontId="4" fillId="14" borderId="40" xfId="0" applyFont="1" applyFill="1" applyBorder="1" applyAlignment="1">
      <alignment horizontal="center" vertical="center"/>
    </xf>
    <xf numFmtId="0" fontId="4" fillId="14" borderId="35" xfId="0" applyFont="1" applyFill="1" applyBorder="1" applyAlignment="1">
      <alignment horizontal="center" vertical="center"/>
    </xf>
    <xf numFmtId="0" fontId="21" fillId="9" borderId="45" xfId="0" applyFont="1" applyFill="1" applyBorder="1" applyAlignment="1">
      <alignment vertical="center" wrapText="1"/>
    </xf>
    <xf numFmtId="0" fontId="21" fillId="0" borderId="45" xfId="0" applyFont="1" applyBorder="1" applyAlignment="1">
      <alignment horizontal="left" vertical="center" wrapText="1" shrinkToFit="1"/>
    </xf>
    <xf numFmtId="165" fontId="21" fillId="4" borderId="47" xfId="0" applyNumberFormat="1" applyFont="1" applyFill="1" applyBorder="1" applyAlignment="1">
      <alignment horizontal="center" vertical="center"/>
    </xf>
    <xf numFmtId="3" fontId="21" fillId="0" borderId="3" xfId="0" applyNumberFormat="1" applyFont="1" applyBorder="1" applyAlignment="1">
      <alignment vertical="center" wrapText="1" shrinkToFit="1"/>
    </xf>
    <xf numFmtId="0" fontId="21" fillId="3" borderId="45" xfId="0" applyFont="1" applyFill="1" applyBorder="1" applyAlignment="1">
      <alignment horizontal="left" vertical="center" wrapText="1" shrinkToFit="1"/>
    </xf>
    <xf numFmtId="164" fontId="21" fillId="0" borderId="4" xfId="0" applyNumberFormat="1" applyFont="1" applyBorder="1" applyAlignment="1">
      <alignment horizontal="center" vertical="center" wrapText="1" shrinkToFit="1"/>
    </xf>
    <xf numFmtId="165" fontId="21" fillId="0" borderId="47" xfId="0" applyNumberFormat="1" applyFont="1" applyBorder="1" applyAlignment="1">
      <alignment horizontal="center" vertical="center"/>
    </xf>
    <xf numFmtId="0" fontId="7" fillId="7" borderId="45" xfId="0" applyFont="1" applyFill="1" applyBorder="1" applyAlignment="1">
      <alignment vertical="center" wrapText="1"/>
    </xf>
    <xf numFmtId="0" fontId="7" fillId="10" borderId="45" xfId="0" applyFont="1" applyFill="1" applyBorder="1" applyAlignment="1">
      <alignment vertical="center" wrapText="1"/>
    </xf>
    <xf numFmtId="165" fontId="21" fillId="4" borderId="3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70" fontId="21" fillId="0" borderId="45" xfId="0" applyNumberFormat="1" applyFont="1" applyBorder="1" applyAlignment="1">
      <alignment vertical="center" wrapText="1" shrinkToFit="1"/>
    </xf>
    <xf numFmtId="166" fontId="16" fillId="12" borderId="4" xfId="0" applyNumberFormat="1" applyFont="1" applyFill="1" applyBorder="1" applyAlignment="1">
      <alignment vertical="center"/>
    </xf>
    <xf numFmtId="164" fontId="21" fillId="12" borderId="18" xfId="0" applyNumberFormat="1" applyFont="1" applyFill="1" applyBorder="1" applyAlignment="1">
      <alignment vertical="center"/>
    </xf>
    <xf numFmtId="0" fontId="7" fillId="7" borderId="2" xfId="0" applyFont="1" applyFill="1" applyBorder="1" applyAlignment="1">
      <alignment horizontal="center" vertical="center" wrapText="1" shrinkToFit="1"/>
    </xf>
    <xf numFmtId="0" fontId="7" fillId="7" borderId="6" xfId="0" applyFont="1" applyFill="1" applyBorder="1" applyAlignment="1">
      <alignment horizontal="center" vertical="center" wrapText="1" shrinkToFit="1"/>
    </xf>
    <xf numFmtId="0" fontId="7" fillId="7" borderId="61" xfId="0" applyFont="1" applyFill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825.xml"/><Relationship Id="rId5" Type="http://schemas.openxmlformats.org/officeDocument/2006/relationships/worksheet" Target="worksheets/sheet826.xml"/><Relationship Id="rId6" Type="http://schemas.openxmlformats.org/officeDocument/2006/relationships/worksheet" Target="worksheets/sheet827.xml"/><Relationship Id="rId7" Type="http://schemas.openxmlformats.org/officeDocument/2006/relationships/worksheet" Target="worksheets/sheet828.xml"/><Relationship Id="rId8" Type="http://schemas.openxmlformats.org/officeDocument/2006/relationships/worksheet" Target="worksheets/sheet830.xml"/><Relationship Id="rId9" Type="http://schemas.openxmlformats.org/officeDocument/2006/relationships/worksheet" Target="worksheets/sheet831.xml"/><Relationship Id="rId10" Type="http://schemas.openxmlformats.org/officeDocument/2006/relationships/worksheet" Target="worksheets/sheet833.xml"/><Relationship Id="rId11" Type="http://schemas.openxmlformats.org/officeDocument/2006/relationships/worksheet" Target="worksheets/sheet832.xml"/><Relationship Id="rId12" Type="http://schemas.openxmlformats.org/officeDocument/2006/relationships/worksheet" Target="worksheets/sheet834.xml"/><Relationship Id="rId13" Type="http://schemas.openxmlformats.org/officeDocument/2006/relationships/worksheet" Target="worksheets/sheet835.xml"/><Relationship Id="rId14" Type="http://schemas.openxmlformats.org/officeDocument/2006/relationships/worksheet" Target="worksheets/sheet837.xml"/><Relationship Id="rId15" Type="http://schemas.openxmlformats.org/officeDocument/2006/relationships/worksheet" Target="worksheets/sheet838.xml"/><Relationship Id="rId16" Type="http://schemas.openxmlformats.org/officeDocument/2006/relationships/worksheet" Target="worksheets/sheet839.xml"/><Relationship Id="rId17" Type="http://schemas.openxmlformats.org/officeDocument/2006/relationships/worksheet" Target="worksheets/sheet840.xml"/><Relationship Id="rId18" Type="http://schemas.openxmlformats.org/officeDocument/2006/relationships/worksheet" Target="worksheets/sheet842.xml"/><Relationship Id="rId19" Type="http://schemas.openxmlformats.org/officeDocument/2006/relationships/worksheet" Target="worksheets/sheet841.xml"/><Relationship Id="rId20" Type="http://schemas.openxmlformats.org/officeDocument/2006/relationships/worksheet" Target="worksheets/sheet843.xml"/><Relationship Id="rId21" Type="http://schemas.openxmlformats.org/officeDocument/2006/relationships/worksheet" Target="worksheets/sheet868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8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40"/>
  <sheetViews>
    <sheetView workbookViewId="0" zoomScale="80" zoomScaleNormal="80">
      <selection activeCell="L17" sqref="L17"/>
    </sheetView>
  </sheetViews>
  <sheetFormatPr defaultRowHeight="13.5" outlineLevelRow="0" outlineLevelCol="0" x14ac:dyDescent="0.15" defaultColWidth="8.88671875" customHeight="1"/>
  <cols>
    <col min="1" max="1" width="5.33203125" style="1" customWidth="1"/>
    <col min="2" max="2" width="5.109375" style="2" customWidth="1"/>
    <col min="3" max="3" width="8.33203125" style="3" customWidth="1"/>
    <col min="4" max="7" width="8.33203125" style="1" customWidth="1"/>
    <col min="8" max="13" width="8.109375" style="1" customWidth="1"/>
    <col min="14" max="14" width="6.5546875" style="1" customWidth="1"/>
    <col min="15" max="15" width="5.88671875" style="1" customWidth="1"/>
    <col min="16" max="21" width="7.5546875" style="1" customWidth="1"/>
    <col min="22" max="22" width="7.6640625" style="4" hidden="1" customWidth="1"/>
    <col min="23" max="27" width="8.33203125" style="1" customWidth="1"/>
    <col min="28" max="28" width="7.6640625" style="1" customWidth="1"/>
    <col min="29" max="29" width="7.6640625" style="4" hidden="1" customWidth="1"/>
    <col min="30" max="31" width="7.6640625" style="4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 customWidth="1"/>
    <col min="49" max="50" width="15.109375" style="1" customWidth="1"/>
    <col min="51" max="16384" width="8.88671875" style="1" customWidth="1"/>
  </cols>
  <sheetData>
    <row r="1" ht="32.25" customHeight="1" spans="3:42" x14ac:dyDescent="0.25">
      <c r="C1" s="5" t="s">
        <v>0</v>
      </c>
      <c r="D1" s="6">
        <v>2128936000</v>
      </c>
      <c r="E1" s="7"/>
      <c r="F1" s="6"/>
      <c r="G1" s="7"/>
      <c r="H1" s="8" t="s">
        <v>1</v>
      </c>
      <c r="I1" s="9">
        <v>4833148320</v>
      </c>
      <c r="J1" s="9"/>
      <c r="K1" s="10" t="s">
        <v>2</v>
      </c>
      <c r="L1" s="11"/>
      <c r="M1" s="11"/>
      <c r="N1" s="12"/>
      <c r="O1" s="12"/>
      <c r="P1" s="12"/>
      <c r="Q1" s="12"/>
      <c r="R1" s="12"/>
      <c r="S1" s="12"/>
      <c r="T1" s="12"/>
      <c r="U1" s="12"/>
      <c r="V1" s="12"/>
      <c r="W1" s="12"/>
      <c r="X1" s="13"/>
      <c r="Y1" s="14" t="s">
        <v>3</v>
      </c>
      <c r="Z1" s="14"/>
      <c r="AA1" s="15" t="s">
        <v>4</v>
      </c>
      <c r="AB1" s="16"/>
      <c r="AC1" s="17"/>
      <c r="AD1" s="18" t="s">
        <v>5</v>
      </c>
      <c r="AE1" s="19"/>
      <c r="AF1" s="20"/>
      <c r="AG1" s="21" t="s">
        <v>6</v>
      </c>
      <c r="AH1" s="22"/>
      <c r="AI1" s="23">
        <v>2128936000</v>
      </c>
      <c r="AJ1" s="24"/>
      <c r="AK1" s="24"/>
      <c r="AL1" s="25" t="s">
        <v>7</v>
      </c>
      <c r="AM1" s="26"/>
      <c r="AN1" s="26"/>
      <c r="AO1" s="26"/>
      <c r="AP1" s="12"/>
    </row>
    <row r="2" ht="29.25" customHeight="1" spans="1:49" s="27" customFormat="1" x14ac:dyDescent="0.25">
      <c r="A2" s="20"/>
      <c r="B2" s="28"/>
      <c r="C2" s="29" t="s">
        <v>8</v>
      </c>
      <c r="D2" s="30">
        <v>2341829600</v>
      </c>
      <c r="E2" s="31"/>
      <c r="F2" s="32"/>
      <c r="G2" s="33"/>
      <c r="H2" s="5" t="s">
        <v>9</v>
      </c>
      <c r="I2" s="34">
        <f>D2*1</f>
        <v>2341829600</v>
      </c>
      <c r="J2" s="32"/>
      <c r="K2" s="35" t="s">
        <v>10</v>
      </c>
      <c r="L2" s="36" t="s">
        <v>11</v>
      </c>
      <c r="M2" s="37">
        <v>45861.625</v>
      </c>
      <c r="N2" s="37"/>
      <c r="O2" s="37"/>
      <c r="P2" s="37"/>
      <c r="Q2" s="38" t="s">
        <v>12</v>
      </c>
      <c r="R2" s="38"/>
      <c r="S2" s="38"/>
      <c r="T2" s="39"/>
      <c r="U2" s="40"/>
      <c r="V2" s="40"/>
      <c r="W2" s="41"/>
      <c r="X2" s="42"/>
      <c r="Y2" s="43">
        <v>991239000</v>
      </c>
      <c r="Z2" s="43"/>
      <c r="AA2" s="44">
        <f>I1</f>
        <v>4833148320</v>
      </c>
      <c r="AB2" s="45"/>
      <c r="AC2" s="46"/>
      <c r="AD2" s="47">
        <f>TRUNC(Y2/AA2,4)</f>
        <v>0.205</v>
      </c>
      <c r="AE2" s="48"/>
      <c r="AF2" s="49"/>
      <c r="AG2" s="21" t="s">
        <v>13</v>
      </c>
      <c r="AH2" s="22"/>
      <c r="AI2" s="23"/>
      <c r="AJ2" s="24"/>
      <c r="AK2" s="24"/>
      <c r="AL2" s="50"/>
      <c r="AM2" s="50"/>
      <c r="AN2" s="51" t="s">
        <v>14</v>
      </c>
      <c r="AP2" s="1"/>
      <c r="AQ2" s="1"/>
      <c r="AR2" s="52" t="s">
        <v>15</v>
      </c>
      <c r="AS2" s="53">
        <f>AI1</f>
        <v>2128936000</v>
      </c>
      <c r="AT2" s="54"/>
      <c r="AW2" s="55"/>
    </row>
    <row r="3" ht="24.95" customHeight="1" spans="1:50" s="56" customFormat="1" x14ac:dyDescent="0.25">
      <c r="A3" s="57" t="s">
        <v>16</v>
      </c>
      <c r="B3" s="58" t="s">
        <v>17</v>
      </c>
      <c r="C3" s="59" t="s">
        <v>18</v>
      </c>
      <c r="D3" s="60"/>
      <c r="E3" s="60"/>
      <c r="F3" s="60"/>
      <c r="G3" s="60"/>
      <c r="H3" s="61"/>
      <c r="I3" s="59" t="s">
        <v>19</v>
      </c>
      <c r="J3" s="60"/>
      <c r="K3" s="60"/>
      <c r="L3" s="60"/>
      <c r="M3" s="61"/>
      <c r="N3" s="62" t="s">
        <v>20</v>
      </c>
      <c r="O3" s="63" t="s">
        <v>21</v>
      </c>
      <c r="P3" s="59" t="s">
        <v>22</v>
      </c>
      <c r="Q3" s="60"/>
      <c r="R3" s="64"/>
      <c r="S3" s="64"/>
      <c r="T3" s="60"/>
      <c r="U3" s="61"/>
      <c r="V3" s="65"/>
      <c r="W3" s="59" t="s">
        <v>23</v>
      </c>
      <c r="X3" s="60"/>
      <c r="Y3" s="60"/>
      <c r="Z3" s="60"/>
      <c r="AA3" s="60"/>
      <c r="AB3" s="60"/>
      <c r="AC3" s="60"/>
      <c r="AD3" s="60"/>
      <c r="AE3" s="61"/>
      <c r="AF3" s="60"/>
      <c r="AG3" s="60"/>
      <c r="AH3" s="60"/>
      <c r="AI3" s="60"/>
      <c r="AJ3" s="60"/>
      <c r="AK3" s="61"/>
      <c r="AL3" s="66" t="s">
        <v>24</v>
      </c>
      <c r="AM3" s="67" t="s">
        <v>25</v>
      </c>
      <c r="AN3" s="68" t="s">
        <v>26</v>
      </c>
      <c r="AO3" s="69" t="s">
        <v>27</v>
      </c>
      <c r="AP3" s="70" t="s">
        <v>28</v>
      </c>
      <c r="AQ3" s="65" t="s">
        <v>29</v>
      </c>
      <c r="AR3" s="67" t="s">
        <v>30</v>
      </c>
      <c r="AS3" s="65" t="s">
        <v>31</v>
      </c>
      <c r="AT3" s="65" t="s">
        <v>32</v>
      </c>
      <c r="AU3" s="65" t="s">
        <v>33</v>
      </c>
      <c r="AV3" s="71" t="s">
        <v>34</v>
      </c>
      <c r="AW3" s="65" t="s">
        <v>35</v>
      </c>
      <c r="AX3" s="65" t="s">
        <v>36</v>
      </c>
    </row>
    <row r="4" ht="39.75" customHeight="1" spans="1:50" s="56" customFormat="1" x14ac:dyDescent="0.25">
      <c r="A4" s="72"/>
      <c r="B4" s="73"/>
      <c r="C4" s="74" t="s">
        <v>37</v>
      </c>
      <c r="D4" s="75" t="s">
        <v>38</v>
      </c>
      <c r="E4" s="76" t="s">
        <v>39</v>
      </c>
      <c r="F4" s="76" t="s">
        <v>40</v>
      </c>
      <c r="G4" s="77" t="s">
        <v>41</v>
      </c>
      <c r="H4" s="65"/>
      <c r="I4" s="78" t="s">
        <v>37</v>
      </c>
      <c r="J4" s="79" t="s">
        <v>38</v>
      </c>
      <c r="K4" s="75" t="s">
        <v>39</v>
      </c>
      <c r="L4" s="75" t="s">
        <v>40</v>
      </c>
      <c r="M4" s="80" t="s">
        <v>41</v>
      </c>
      <c r="N4" s="81"/>
      <c r="O4" s="82"/>
      <c r="P4" s="78" t="s">
        <v>37</v>
      </c>
      <c r="Q4" s="79" t="s">
        <v>38</v>
      </c>
      <c r="R4" s="75" t="s">
        <v>39</v>
      </c>
      <c r="S4" s="75" t="s">
        <v>40</v>
      </c>
      <c r="T4" s="80" t="s">
        <v>41</v>
      </c>
      <c r="U4" s="83" t="s">
        <v>42</v>
      </c>
      <c r="V4" s="84" t="s">
        <v>43</v>
      </c>
      <c r="W4" s="85" t="s">
        <v>37</v>
      </c>
      <c r="X4" s="79" t="s">
        <v>38</v>
      </c>
      <c r="Y4" s="79" t="s">
        <v>39</v>
      </c>
      <c r="Z4" s="79" t="s">
        <v>40</v>
      </c>
      <c r="AA4" s="80" t="s">
        <v>41</v>
      </c>
      <c r="AB4" s="86" t="s">
        <v>44</v>
      </c>
      <c r="AC4" s="87" t="s">
        <v>45</v>
      </c>
      <c r="AD4" s="88" t="s">
        <v>46</v>
      </c>
      <c r="AE4" s="88" t="s">
        <v>47</v>
      </c>
      <c r="AF4" s="89" t="s">
        <v>48</v>
      </c>
      <c r="AG4" s="89" t="s">
        <v>49</v>
      </c>
      <c r="AH4" s="90" t="s">
        <v>50</v>
      </c>
      <c r="AI4" s="91" t="s">
        <v>51</v>
      </c>
      <c r="AJ4" s="91"/>
      <c r="AK4" s="91" t="s">
        <v>52</v>
      </c>
      <c r="AL4" s="92"/>
      <c r="AM4" s="93"/>
      <c r="AN4" s="94"/>
      <c r="AO4" s="95"/>
      <c r="AP4" s="70"/>
      <c r="AQ4" s="65"/>
      <c r="AR4" s="93"/>
      <c r="AS4" s="65"/>
      <c r="AT4" s="65"/>
      <c r="AU4" s="65"/>
      <c r="AV4" s="96"/>
      <c r="AW4" s="65"/>
      <c r="AX4" s="65"/>
    </row>
    <row r="5" ht="46.5" customHeight="1" spans="1:50" s="97" customFormat="1" x14ac:dyDescent="0.25">
      <c r="A5" s="98">
        <v>1</v>
      </c>
      <c r="B5" s="99" t="s">
        <v>53</v>
      </c>
      <c r="C5" s="100" t="s">
        <v>54</v>
      </c>
      <c r="D5" s="101" t="s">
        <v>55</v>
      </c>
      <c r="E5" s="102"/>
      <c r="F5" s="102"/>
      <c r="G5" s="103"/>
      <c r="H5" s="104"/>
      <c r="I5" s="105">
        <v>0.51</v>
      </c>
      <c r="J5" s="106">
        <v>0.49</v>
      </c>
      <c r="K5" s="107"/>
      <c r="L5" s="108"/>
      <c r="M5" s="109"/>
      <c r="N5" s="110">
        <f>SUM(I5:M5)</f>
        <v>1</v>
      </c>
      <c r="O5" s="111">
        <v>1</v>
      </c>
      <c r="P5" s="112">
        <v>15</v>
      </c>
      <c r="Q5" s="113">
        <v>15</v>
      </c>
      <c r="R5" s="112"/>
      <c r="S5" s="114"/>
      <c r="T5" s="115"/>
      <c r="U5" s="116">
        <f>ROUND(((P5*I5)+(Q5*J5)+(R5*K5)+(S5*L5)+(T5*M5))*O5,2)</f>
        <v>15</v>
      </c>
      <c r="V5" s="117">
        <f>IF(U5&gt;=15,15,U5)</f>
        <v>15</v>
      </c>
      <c r="W5" s="118">
        <v>59183685000</v>
      </c>
      <c r="X5" s="119">
        <v>130509297000</v>
      </c>
      <c r="Y5" s="120"/>
      <c r="Z5" s="121"/>
      <c r="AA5" s="122"/>
      <c r="AB5" s="123">
        <f>ROUND((((W5*I5)+(X5*J5)+(Y5*K5)+(Z5*L5)+(AA5*M5))/$I$2),2)*13</f>
        <v>522.6</v>
      </c>
      <c r="AC5" s="124">
        <f>IF(AB5&gt;=13,13,AB5)</f>
        <v>13</v>
      </c>
      <c r="AD5" s="125">
        <v>5</v>
      </c>
      <c r="AE5" s="116">
        <f>IF((AC5+AD5)&gt;=15,15,(AC5+AD5))</f>
        <v>15</v>
      </c>
      <c r="AF5" s="126"/>
      <c r="AG5" s="127"/>
      <c r="AH5" s="128">
        <f>IF((V5+AE5+AF5)&gt;=30,30,(V5+AE5+AF5))</f>
        <v>30</v>
      </c>
      <c r="AI5" s="129">
        <v>65</v>
      </c>
      <c r="AJ5" s="128">
        <f>V5+AE5+AF5+AI5+AG5</f>
        <v>95</v>
      </c>
      <c r="AK5" s="128">
        <f>IF(AH5+AI5+AG5&gt;=95,95,AH5+AI5+AG5)</f>
        <v>95</v>
      </c>
      <c r="AL5" s="130">
        <f>-((50-((176+(45+(50-AH5)))))/200)</f>
        <v>0.955</v>
      </c>
      <c r="AM5" s="131"/>
      <c r="AN5" s="132">
        <f>100%+AM5</f>
        <v>1</v>
      </c>
      <c r="AO5" s="132">
        <f>100%+AN5</f>
        <v>2</v>
      </c>
      <c r="AP5" s="133"/>
      <c r="AQ5" s="134"/>
      <c r="AR5" s="135"/>
      <c r="AS5" s="135"/>
      <c r="AT5" s="135"/>
      <c r="AU5" s="135"/>
      <c r="AV5" s="136"/>
      <c r="AW5" s="137">
        <f>AR5+AS5+AT5+AU5+AV5</f>
        <v>0</v>
      </c>
      <c r="AX5" s="137">
        <f>(AR5*I5)+(AS5*J5)+(AT5*K5)+(AU5*L5)+(AV5*M5)</f>
        <v>0</v>
      </c>
    </row>
    <row r="6" ht="21.95" customHeight="1" spans="1:50" s="97" customFormat="1" x14ac:dyDescent="0.25">
      <c r="A6" s="138" t="s">
        <v>56</v>
      </c>
      <c r="B6" s="139"/>
      <c r="C6" s="139"/>
      <c r="D6" s="139"/>
      <c r="E6" s="139"/>
      <c r="F6" s="139"/>
      <c r="G6" s="139"/>
      <c r="H6" s="140"/>
      <c r="I6" s="141">
        <v>93.38</v>
      </c>
      <c r="J6" s="142">
        <v>85</v>
      </c>
      <c r="K6" s="142"/>
      <c r="L6" s="142"/>
      <c r="M6" s="142"/>
      <c r="N6" s="143">
        <f>I6*I5+J6*J5+K6*K5+L6*L5+M6*M5</f>
        <v>89.2738</v>
      </c>
      <c r="O6" s="144"/>
      <c r="P6" s="145"/>
      <c r="Q6" s="113"/>
      <c r="R6" s="113"/>
      <c r="S6" s="146"/>
      <c r="T6" s="147"/>
      <c r="U6" s="148"/>
      <c r="V6" s="149"/>
      <c r="W6" s="150"/>
      <c r="X6" s="151"/>
      <c r="Y6" s="152"/>
      <c r="Z6" s="151"/>
      <c r="AA6" s="153"/>
      <c r="AB6" s="154"/>
      <c r="AC6" s="149"/>
      <c r="AD6" s="148"/>
      <c r="AE6" s="148"/>
      <c r="AF6" s="155"/>
      <c r="AG6" s="156"/>
      <c r="AH6" s="113"/>
      <c r="AI6" s="157"/>
      <c r="AJ6" s="113"/>
      <c r="AK6" s="113"/>
      <c r="AL6" s="158"/>
      <c r="AM6" s="159"/>
      <c r="AN6" s="160"/>
      <c r="AO6" s="160"/>
      <c r="AP6" s="133"/>
      <c r="AQ6" s="134"/>
      <c r="AR6" s="161"/>
      <c r="AS6" s="161"/>
      <c r="AT6" s="161"/>
      <c r="AU6" s="161"/>
      <c r="AV6" s="162"/>
      <c r="AW6" s="137"/>
      <c r="AX6" s="137"/>
    </row>
    <row r="7" ht="46.5" customHeight="1" spans="1:50" s="97" customFormat="1" x14ac:dyDescent="0.25">
      <c r="A7" s="98">
        <v>2</v>
      </c>
      <c r="B7" s="99" t="s">
        <v>53</v>
      </c>
      <c r="C7" s="102" t="s">
        <v>57</v>
      </c>
      <c r="D7" s="101" t="s">
        <v>58</v>
      </c>
      <c r="E7" s="102"/>
      <c r="F7" s="163"/>
      <c r="G7" s="164"/>
      <c r="H7" s="165"/>
      <c r="I7" s="166">
        <v>0.51</v>
      </c>
      <c r="J7" s="107">
        <v>0.49</v>
      </c>
      <c r="K7" s="107"/>
      <c r="L7" s="167"/>
      <c r="M7" s="168"/>
      <c r="N7" s="169">
        <f>SUM(I7:M7)</f>
        <v>1</v>
      </c>
      <c r="O7" s="144">
        <v>1</v>
      </c>
      <c r="P7" s="112">
        <v>15</v>
      </c>
      <c r="Q7" s="113">
        <v>15</v>
      </c>
      <c r="R7" s="112"/>
      <c r="S7" s="113"/>
      <c r="T7" s="147"/>
      <c r="U7" s="148">
        <f>ROUND(((P7*I7)+(Q7*J7)+(R7*K7)+(S7*L7)+(T7*M7))*O7,2)</f>
        <v>15</v>
      </c>
      <c r="V7" s="149">
        <f>IF(U7&gt;=15,15,U7)</f>
        <v>15</v>
      </c>
      <c r="W7" s="120">
        <v>34748832000</v>
      </c>
      <c r="X7" s="120">
        <v>328448752000</v>
      </c>
      <c r="Y7" s="120"/>
      <c r="Z7" s="151"/>
      <c r="AA7" s="153"/>
      <c r="AB7" s="154">
        <f>ROUND((((W7*I7)+(X7*J7)+(Y7*K7)+(Z7*L7)+(AA7*M7))/$I$2),2)*13</f>
        <v>991.7700000000001</v>
      </c>
      <c r="AC7" s="149">
        <f>IF(AB7&gt;=13,13,AB7)</f>
        <v>13</v>
      </c>
      <c r="AD7" s="125">
        <v>3</v>
      </c>
      <c r="AE7" s="148">
        <f>IF((AC7+AD7)&gt;=15,15,(AC7+AD7))</f>
        <v>15</v>
      </c>
      <c r="AF7" s="155"/>
      <c r="AG7" s="127"/>
      <c r="AH7" s="113">
        <f>IF((V7+AE7+AF7)&gt;=30,30,(V7+AE7+AF7))</f>
        <v>30</v>
      </c>
      <c r="AI7" s="157">
        <v>65</v>
      </c>
      <c r="AJ7" s="113">
        <f>V7+AE7+AF7+AI7+AG7</f>
        <v>95</v>
      </c>
      <c r="AK7" s="113">
        <f>IF(AH7+AI7+AG7&gt;=95,95,AH7+AI7+AG7)</f>
        <v>95</v>
      </c>
      <c r="AL7" s="158">
        <f>-((50-((176+(45+(50-AH7)))))/200)</f>
        <v>0.955</v>
      </c>
      <c r="AM7" s="159"/>
      <c r="AN7" s="160">
        <f>100%+AM7</f>
        <v>1</v>
      </c>
      <c r="AO7" s="160">
        <f>100%+AN7</f>
        <v>2</v>
      </c>
      <c r="AP7" s="133"/>
      <c r="AQ7" s="134"/>
      <c r="AR7" s="161"/>
      <c r="AS7" s="161"/>
      <c r="AT7" s="161"/>
      <c r="AU7" s="161"/>
      <c r="AV7" s="162"/>
      <c r="AW7" s="137">
        <f>AR7+AS7+AT7+AU7+AV7</f>
        <v>0</v>
      </c>
      <c r="AX7" s="137">
        <f>(AR7*I7)+(AS7*J7)+(AT7*K7)+(AU7*L7)+(AV7*M7)</f>
        <v>0</v>
      </c>
    </row>
    <row r="8" ht="21.95" customHeight="1" spans="1:50" s="97" customFormat="1" x14ac:dyDescent="0.25">
      <c r="A8" s="138" t="s">
        <v>56</v>
      </c>
      <c r="B8" s="139"/>
      <c r="C8" s="139"/>
      <c r="D8" s="139"/>
      <c r="E8" s="139"/>
      <c r="F8" s="139"/>
      <c r="G8" s="139"/>
      <c r="H8" s="140"/>
      <c r="I8" s="142">
        <v>85</v>
      </c>
      <c r="J8" s="141">
        <v>93.38</v>
      </c>
      <c r="K8" s="142"/>
      <c r="L8" s="142"/>
      <c r="M8" s="142"/>
      <c r="N8" s="170">
        <f>I8*I7+J8*J7+K8*K7+L8*L7+M8*M7</f>
        <v>89.1062</v>
      </c>
      <c r="O8" s="144"/>
      <c r="P8" s="145"/>
      <c r="Q8" s="113"/>
      <c r="R8" s="113"/>
      <c r="S8" s="146"/>
      <c r="T8" s="147"/>
      <c r="U8" s="148"/>
      <c r="V8" s="149"/>
      <c r="W8" s="150"/>
      <c r="X8" s="151"/>
      <c r="Y8" s="152"/>
      <c r="Z8" s="151"/>
      <c r="AA8" s="153"/>
      <c r="AB8" s="154"/>
      <c r="AC8" s="149"/>
      <c r="AD8" s="148"/>
      <c r="AE8" s="148"/>
      <c r="AF8" s="155"/>
      <c r="AG8" s="156"/>
      <c r="AH8" s="113"/>
      <c r="AI8" s="157"/>
      <c r="AJ8" s="113"/>
      <c r="AK8" s="113"/>
      <c r="AL8" s="158"/>
      <c r="AM8" s="159"/>
      <c r="AN8" s="160"/>
      <c r="AO8" s="160"/>
      <c r="AP8" s="133"/>
      <c r="AQ8" s="134"/>
      <c r="AR8" s="161"/>
      <c r="AS8" s="161"/>
      <c r="AT8" s="161"/>
      <c r="AU8" s="161"/>
      <c r="AV8" s="162"/>
      <c r="AW8" s="137"/>
      <c r="AX8" s="137"/>
    </row>
    <row r="9" ht="46.5" customHeight="1" spans="1:50" s="97" customFormat="1" x14ac:dyDescent="0.25">
      <c r="A9" s="98">
        <v>3</v>
      </c>
      <c r="B9" s="99" t="s">
        <v>53</v>
      </c>
      <c r="C9" s="102" t="s">
        <v>59</v>
      </c>
      <c r="D9" s="101" t="s">
        <v>60</v>
      </c>
      <c r="E9" s="101" t="s">
        <v>61</v>
      </c>
      <c r="F9" s="163"/>
      <c r="G9" s="103"/>
      <c r="H9" s="171"/>
      <c r="I9" s="166">
        <v>0.51</v>
      </c>
      <c r="J9" s="107">
        <v>0.25</v>
      </c>
      <c r="K9" s="107">
        <v>0.24</v>
      </c>
      <c r="L9" s="167"/>
      <c r="M9" s="168"/>
      <c r="N9" s="169">
        <f>SUM(I9:M9)</f>
        <v>1</v>
      </c>
      <c r="O9" s="144">
        <v>1</v>
      </c>
      <c r="P9" s="112">
        <v>15</v>
      </c>
      <c r="Q9" s="112">
        <v>15</v>
      </c>
      <c r="R9" s="112">
        <v>15</v>
      </c>
      <c r="S9" s="146"/>
      <c r="T9" s="147"/>
      <c r="U9" s="148">
        <f>ROUND(((P9*I9)+(Q9*J9)+(R9*K9)+(S9*L9)+(T9*M9))*O9,2)</f>
        <v>15</v>
      </c>
      <c r="V9" s="149">
        <f>IF(U9&gt;=15,15,U9)</f>
        <v>15</v>
      </c>
      <c r="W9" s="120">
        <v>39361754000</v>
      </c>
      <c r="X9" s="120">
        <v>679768000</v>
      </c>
      <c r="Y9" s="120">
        <v>4369459000</v>
      </c>
      <c r="Z9" s="151"/>
      <c r="AA9" s="153"/>
      <c r="AB9" s="154">
        <f>ROUND((((W9*I9)+(X9*J9)+(Y9*K9)+(Z9*L9)+(AA9*M9))/$I$2),2)*13</f>
        <v>118.17</v>
      </c>
      <c r="AC9" s="149">
        <f>IF(AB9&gt;=13,13,AB9)</f>
        <v>13</v>
      </c>
      <c r="AD9" s="125">
        <v>2</v>
      </c>
      <c r="AE9" s="148">
        <f>IF((AC9+AD9)&gt;=15,15,(AC9+AD9))</f>
        <v>15</v>
      </c>
      <c r="AF9" s="155"/>
      <c r="AG9" s="127"/>
      <c r="AH9" s="113">
        <f>IF((V9+AE9+AF9)&gt;=30,30,(V9+AE9+AF9))</f>
        <v>30</v>
      </c>
      <c r="AI9" s="157">
        <v>65</v>
      </c>
      <c r="AJ9" s="113">
        <f>V9+AE9+AF9+AI9+AG9</f>
        <v>95</v>
      </c>
      <c r="AK9" s="113">
        <f>IF(AH9+AI9+AG9&gt;=95,95,AH9+AI9+AG9)</f>
        <v>95</v>
      </c>
      <c r="AL9" s="158">
        <f>-((50-((176+(45+(50-AH9)))))/200)</f>
        <v>0.955</v>
      </c>
      <c r="AM9" s="159"/>
      <c r="AN9" s="160">
        <f>100%+AM9</f>
        <v>1</v>
      </c>
      <c r="AO9" s="160">
        <f>100%+AN9</f>
        <v>2</v>
      </c>
      <c r="AP9" s="133"/>
      <c r="AQ9" s="134"/>
      <c r="AR9" s="161"/>
      <c r="AS9" s="161"/>
      <c r="AT9" s="161"/>
      <c r="AU9" s="161"/>
      <c r="AV9" s="162"/>
      <c r="AW9" s="172">
        <f>AR9+AS9+AT9+AU9+AV9</f>
        <v>0</v>
      </c>
      <c r="AX9" s="172">
        <f>(AR9*I9)+(AS9*J9)+(AT9*K9)+(AU9*L9)+(AV9*M9)</f>
        <v>0</v>
      </c>
    </row>
    <row r="10" ht="21.95" customHeight="1" spans="1:50" s="97" customFormat="1" x14ac:dyDescent="0.25">
      <c r="A10" s="138" t="s">
        <v>56</v>
      </c>
      <c r="B10" s="139"/>
      <c r="C10" s="139"/>
      <c r="D10" s="139"/>
      <c r="E10" s="139"/>
      <c r="F10" s="139"/>
      <c r="G10" s="139"/>
      <c r="H10" s="140"/>
      <c r="I10" s="141">
        <v>90.73</v>
      </c>
      <c r="J10" s="142">
        <v>85</v>
      </c>
      <c r="K10" s="142">
        <v>85</v>
      </c>
      <c r="L10" s="142"/>
      <c r="M10" s="142"/>
      <c r="N10" s="170">
        <f>I10*I9+J10*J9+K10*K9+L10*L9+M10*M9</f>
        <v>87.9223</v>
      </c>
      <c r="O10" s="144"/>
      <c r="P10" s="145"/>
      <c r="Q10" s="113"/>
      <c r="R10" s="113"/>
      <c r="S10" s="146"/>
      <c r="T10" s="147"/>
      <c r="U10" s="148"/>
      <c r="V10" s="149"/>
      <c r="W10" s="150"/>
      <c r="X10" s="151"/>
      <c r="Y10" s="152"/>
      <c r="Z10" s="151"/>
      <c r="AA10" s="153"/>
      <c r="AB10" s="154"/>
      <c r="AC10" s="149"/>
      <c r="AD10" s="148"/>
      <c r="AE10" s="148"/>
      <c r="AF10" s="155"/>
      <c r="AG10" s="156"/>
      <c r="AH10" s="113"/>
      <c r="AI10" s="157"/>
      <c r="AJ10" s="113"/>
      <c r="AK10" s="113"/>
      <c r="AL10" s="158"/>
      <c r="AM10" s="159"/>
      <c r="AN10" s="160"/>
      <c r="AO10" s="160"/>
      <c r="AP10" s="133"/>
      <c r="AQ10" s="134"/>
      <c r="AR10" s="161"/>
      <c r="AS10" s="161"/>
      <c r="AT10" s="161"/>
      <c r="AU10" s="161"/>
      <c r="AV10" s="162"/>
      <c r="AW10" s="137"/>
      <c r="AX10" s="137"/>
    </row>
    <row r="11" ht="46.5" customHeight="1" spans="1:50" s="97" customFormat="1" x14ac:dyDescent="0.25">
      <c r="A11" s="98">
        <v>4</v>
      </c>
      <c r="B11" s="173" t="s">
        <v>62</v>
      </c>
      <c r="C11" s="102" t="s">
        <v>63</v>
      </c>
      <c r="D11" s="101" t="s">
        <v>64</v>
      </c>
      <c r="E11" s="174" t="s">
        <v>65</v>
      </c>
      <c r="F11" s="163"/>
      <c r="G11" s="103"/>
      <c r="H11" s="171"/>
      <c r="I11" s="166">
        <v>0.51</v>
      </c>
      <c r="J11" s="175">
        <v>0.15</v>
      </c>
      <c r="K11" s="107">
        <v>0.34</v>
      </c>
      <c r="L11" s="176"/>
      <c r="M11" s="168"/>
      <c r="N11" s="169">
        <f t="shared" ref="N11:N46" si="0">SUM(I11:M11)</f>
        <v>1</v>
      </c>
      <c r="O11" s="144">
        <v>1</v>
      </c>
      <c r="P11" s="112">
        <v>15</v>
      </c>
      <c r="Q11" s="177">
        <v>11.8</v>
      </c>
      <c r="R11" s="178">
        <v>15</v>
      </c>
      <c r="S11" s="113"/>
      <c r="T11" s="147"/>
      <c r="U11" s="148">
        <f t="shared" ref="U11:U78" si="1">ROUND(((P11*I11)+(Q11*J11)+(R11*K11)+(S11*L11)+(T11*M11))*O11,2)</f>
        <v>14.52</v>
      </c>
      <c r="V11" s="149">
        <f t="shared" ref="V11:V78" si="2">IF(U11&gt;=15,15,U11)</f>
        <v>14.52</v>
      </c>
      <c r="W11" s="179">
        <v>57539030000</v>
      </c>
      <c r="X11" s="120">
        <v>3460823000</v>
      </c>
      <c r="Y11" s="120">
        <v>2582184000</v>
      </c>
      <c r="Z11" s="151"/>
      <c r="AA11" s="153"/>
      <c r="AB11" s="154">
        <f t="shared" ref="AB11:AB78" si="3">ROUND((((W11*I11)+(X11*J11)+(Y11*K11)+(Z11*L11)+(AA11*M11))/$I$2),2)*13</f>
        <v>170.69</v>
      </c>
      <c r="AC11" s="149">
        <f t="shared" ref="AC11:AC78" si="4">IF(AB11&gt;=13,13,AB11)</f>
        <v>13</v>
      </c>
      <c r="AD11" s="125">
        <v>2</v>
      </c>
      <c r="AE11" s="148">
        <f t="shared" ref="AE11:AE78" si="5">IF((AC11+AD11)&gt;=15,15,(AC11+AD11))</f>
        <v>15</v>
      </c>
      <c r="AF11" s="180">
        <f>1.5*I11</f>
        <v>0.765</v>
      </c>
      <c r="AG11" s="127"/>
      <c r="AH11" s="113">
        <f t="shared" ref="AH11:AH78" si="6">IF((V11+AE11+AF11)&gt;=30,30,(V11+AE11+AF11))</f>
        <v>30</v>
      </c>
      <c r="AI11" s="157">
        <v>65</v>
      </c>
      <c r="AJ11" s="113">
        <f t="shared" ref="AJ11:AJ78" si="7">V11+AE11+AF11+AI11+AG11</f>
        <v>95.285</v>
      </c>
      <c r="AK11" s="113">
        <f t="shared" ref="AK11:AK78" si="8">IF(AH11+AI11+AG11&gt;=95,95,AH11+AI11+AG11)</f>
        <v>95</v>
      </c>
      <c r="AL11" s="158">
        <f t="shared" ref="AL11:AL78" si="9">-((50-((176+(45+(50-AH11)))))/200)</f>
        <v>0.955</v>
      </c>
      <c r="AM11" s="159"/>
      <c r="AN11" s="160">
        <f t="shared" ref="AN11:AO34" si="10">100%+AM11</f>
        <v>1</v>
      </c>
      <c r="AO11" s="160">
        <f t="shared" si="10"/>
        <v>2</v>
      </c>
      <c r="AP11" s="133"/>
      <c r="AQ11" s="134"/>
      <c r="AR11" s="161"/>
      <c r="AS11" s="161"/>
      <c r="AT11" s="161"/>
      <c r="AU11" s="161"/>
      <c r="AV11" s="162"/>
      <c r="AW11" s="137">
        <f t="shared" ref="AW11:AW78" si="11">AR11+AS11+AT11+AU11+AV11</f>
        <v>0</v>
      </c>
      <c r="AX11" s="137">
        <f t="shared" ref="AX11:AX78" si="12">(AR11*I11)+(AS11*J11)+(AT11*K11)+(AU11*L11)+(AV11*M11)</f>
        <v>0</v>
      </c>
    </row>
    <row r="12" ht="21.95" customHeight="1" spans="1:50" s="97" customFormat="1" x14ac:dyDescent="0.25">
      <c r="A12" s="138" t="s">
        <v>56</v>
      </c>
      <c r="B12" s="139"/>
      <c r="C12" s="139"/>
      <c r="D12" s="139"/>
      <c r="E12" s="139"/>
      <c r="F12" s="139"/>
      <c r="G12" s="139"/>
      <c r="H12" s="140"/>
      <c r="I12" s="181">
        <v>85</v>
      </c>
      <c r="J12" s="142">
        <v>85</v>
      </c>
      <c r="K12" s="142">
        <v>85</v>
      </c>
      <c r="L12" s="142"/>
      <c r="M12" s="142"/>
      <c r="N12" s="170">
        <f>I12*I11+J12*J11+K12*K11+L12*L11+M12*M11</f>
        <v>85</v>
      </c>
      <c r="O12" s="144"/>
      <c r="P12" s="145"/>
      <c r="Q12" s="113"/>
      <c r="R12" s="113"/>
      <c r="S12" s="146"/>
      <c r="T12" s="147"/>
      <c r="U12" s="148"/>
      <c r="V12" s="149"/>
      <c r="W12" s="150"/>
      <c r="X12" s="151"/>
      <c r="Y12" s="152"/>
      <c r="Z12" s="151"/>
      <c r="AA12" s="153"/>
      <c r="AB12" s="154"/>
      <c r="AC12" s="149"/>
      <c r="AD12" s="148"/>
      <c r="AE12" s="148"/>
      <c r="AF12" s="155"/>
      <c r="AG12" s="156"/>
      <c r="AH12" s="113"/>
      <c r="AI12" s="157"/>
      <c r="AJ12" s="113"/>
      <c r="AK12" s="113"/>
      <c r="AL12" s="158"/>
      <c r="AM12" s="159"/>
      <c r="AN12" s="160"/>
      <c r="AO12" s="160"/>
      <c r="AP12" s="133"/>
      <c r="AQ12" s="134"/>
      <c r="AR12" s="161"/>
      <c r="AS12" s="161"/>
      <c r="AT12" s="161"/>
      <c r="AU12" s="161"/>
      <c r="AV12" s="162"/>
      <c r="AW12" s="137"/>
      <c r="AX12" s="137"/>
    </row>
    <row r="13" ht="46.5" customHeight="1" spans="1:50" s="97" customFormat="1" x14ac:dyDescent="0.25">
      <c r="A13" s="98">
        <v>5</v>
      </c>
      <c r="B13" s="99" t="s">
        <v>53</v>
      </c>
      <c r="C13" s="102" t="s">
        <v>66</v>
      </c>
      <c r="D13" s="174" t="s">
        <v>67</v>
      </c>
      <c r="E13" s="100"/>
      <c r="F13" s="163"/>
      <c r="G13" s="103"/>
      <c r="H13" s="182"/>
      <c r="I13" s="166">
        <v>0.51</v>
      </c>
      <c r="J13" s="107">
        <v>0.49</v>
      </c>
      <c r="K13" s="107"/>
      <c r="L13" s="167"/>
      <c r="M13" s="168"/>
      <c r="N13" s="169">
        <f t="shared" si="0"/>
        <v>1</v>
      </c>
      <c r="O13" s="144">
        <v>1</v>
      </c>
      <c r="P13" s="112">
        <v>15</v>
      </c>
      <c r="Q13" s="177">
        <v>14.9</v>
      </c>
      <c r="R13" s="112"/>
      <c r="S13" s="146"/>
      <c r="T13" s="120"/>
      <c r="U13" s="148">
        <f t="shared" si="1"/>
        <v>14.95</v>
      </c>
      <c r="V13" s="149">
        <f t="shared" si="2"/>
        <v>14.95</v>
      </c>
      <c r="W13" s="120">
        <v>14977246000</v>
      </c>
      <c r="X13" s="120">
        <v>1224996000</v>
      </c>
      <c r="Y13" s="183"/>
      <c r="Z13" s="151"/>
      <c r="AA13" s="153"/>
      <c r="AB13" s="154">
        <f t="shared" si="3"/>
        <v>45.76</v>
      </c>
      <c r="AC13" s="149">
        <f t="shared" si="4"/>
        <v>13</v>
      </c>
      <c r="AD13" s="125">
        <v>2</v>
      </c>
      <c r="AE13" s="148">
        <f t="shared" si="5"/>
        <v>15</v>
      </c>
      <c r="AF13" s="180">
        <f>0.5*I13</f>
        <v>0.255</v>
      </c>
      <c r="AG13" s="127"/>
      <c r="AH13" s="113">
        <f t="shared" si="6"/>
        <v>30</v>
      </c>
      <c r="AI13" s="157">
        <v>65</v>
      </c>
      <c r="AJ13" s="113">
        <f t="shared" si="7"/>
        <v>95.205</v>
      </c>
      <c r="AK13" s="113">
        <f t="shared" si="8"/>
        <v>95</v>
      </c>
      <c r="AL13" s="158">
        <f t="shared" si="9"/>
        <v>0.955</v>
      </c>
      <c r="AM13" s="159"/>
      <c r="AN13" s="160">
        <f t="shared" si="10"/>
        <v>1</v>
      </c>
      <c r="AO13" s="160">
        <f t="shared" si="10"/>
        <v>2</v>
      </c>
      <c r="AP13" s="133"/>
      <c r="AQ13" s="134"/>
      <c r="AR13" s="161"/>
      <c r="AS13" s="161"/>
      <c r="AT13" s="161"/>
      <c r="AU13" s="161"/>
      <c r="AV13" s="162"/>
      <c r="AW13" s="137">
        <f t="shared" si="11"/>
        <v>0</v>
      </c>
      <c r="AX13" s="137">
        <f t="shared" si="12"/>
        <v>0</v>
      </c>
    </row>
    <row r="14" ht="21.95" customHeight="1" spans="1:50" s="97" customFormat="1" x14ac:dyDescent="0.25">
      <c r="A14" s="138" t="s">
        <v>56</v>
      </c>
      <c r="B14" s="139"/>
      <c r="C14" s="139"/>
      <c r="D14" s="139"/>
      <c r="E14" s="139"/>
      <c r="F14" s="139"/>
      <c r="G14" s="139"/>
      <c r="H14" s="140"/>
      <c r="I14" s="142">
        <v>85</v>
      </c>
      <c r="J14" s="142">
        <v>85</v>
      </c>
      <c r="K14" s="142"/>
      <c r="L14" s="142"/>
      <c r="M14" s="142"/>
      <c r="N14" s="170">
        <f>I14*I13+J14*J13+K14*K13+L14*L13+M14*M13</f>
        <v>85</v>
      </c>
      <c r="O14" s="144"/>
      <c r="P14" s="145"/>
      <c r="Q14" s="113"/>
      <c r="R14" s="113"/>
      <c r="S14" s="146"/>
      <c r="T14" s="147"/>
      <c r="U14" s="148"/>
      <c r="V14" s="149"/>
      <c r="W14" s="150"/>
      <c r="X14" s="151"/>
      <c r="Y14" s="152"/>
      <c r="Z14" s="151"/>
      <c r="AA14" s="153"/>
      <c r="AB14" s="154"/>
      <c r="AC14" s="149"/>
      <c r="AD14" s="148"/>
      <c r="AE14" s="148"/>
      <c r="AF14" s="155"/>
      <c r="AG14" s="156"/>
      <c r="AH14" s="113"/>
      <c r="AI14" s="157"/>
      <c r="AJ14" s="113"/>
      <c r="AK14" s="113"/>
      <c r="AL14" s="158"/>
      <c r="AM14" s="159"/>
      <c r="AN14" s="160"/>
      <c r="AO14" s="160"/>
      <c r="AP14" s="133"/>
      <c r="AQ14" s="134"/>
      <c r="AR14" s="161"/>
      <c r="AS14" s="161"/>
      <c r="AT14" s="161"/>
      <c r="AU14" s="161"/>
      <c r="AV14" s="162"/>
      <c r="AW14" s="137"/>
      <c r="AX14" s="137"/>
    </row>
    <row r="15" ht="46.5" customHeight="1" spans="1:50" s="97" customFormat="1" x14ac:dyDescent="0.25">
      <c r="A15" s="98">
        <v>6</v>
      </c>
      <c r="B15" s="99" t="s">
        <v>53</v>
      </c>
      <c r="C15" s="102" t="s">
        <v>68</v>
      </c>
      <c r="D15" s="101" t="s">
        <v>69</v>
      </c>
      <c r="E15" s="163"/>
      <c r="F15" s="100"/>
      <c r="G15" s="103"/>
      <c r="H15" s="182"/>
      <c r="I15" s="166">
        <v>0.51</v>
      </c>
      <c r="J15" s="107">
        <v>0.49</v>
      </c>
      <c r="K15" s="107"/>
      <c r="L15" s="167"/>
      <c r="M15" s="168"/>
      <c r="N15" s="169">
        <f t="shared" si="0"/>
        <v>1</v>
      </c>
      <c r="O15" s="144">
        <v>1</v>
      </c>
      <c r="P15" s="112">
        <v>15</v>
      </c>
      <c r="Q15" s="112">
        <v>15</v>
      </c>
      <c r="R15" s="184"/>
      <c r="S15" s="146"/>
      <c r="T15" s="147"/>
      <c r="U15" s="148">
        <f t="shared" si="1"/>
        <v>15</v>
      </c>
      <c r="V15" s="149">
        <f t="shared" si="2"/>
        <v>15</v>
      </c>
      <c r="W15" s="185">
        <v>8216820000</v>
      </c>
      <c r="X15" s="120">
        <v>920681000</v>
      </c>
      <c r="Y15" s="120"/>
      <c r="Z15" s="151"/>
      <c r="AA15" s="153"/>
      <c r="AB15" s="154">
        <f t="shared" si="3"/>
        <v>25.74</v>
      </c>
      <c r="AC15" s="149">
        <f t="shared" si="4"/>
        <v>13</v>
      </c>
      <c r="AD15" s="125">
        <v>2</v>
      </c>
      <c r="AE15" s="148">
        <f t="shared" si="5"/>
        <v>15</v>
      </c>
      <c r="AF15" s="155"/>
      <c r="AG15" s="127"/>
      <c r="AH15" s="113">
        <f t="shared" si="6"/>
        <v>30</v>
      </c>
      <c r="AI15" s="157">
        <v>65</v>
      </c>
      <c r="AJ15" s="113">
        <f t="shared" si="7"/>
        <v>95</v>
      </c>
      <c r="AK15" s="113">
        <f t="shared" si="8"/>
        <v>95</v>
      </c>
      <c r="AL15" s="158">
        <f t="shared" si="9"/>
        <v>0.955</v>
      </c>
      <c r="AM15" s="159"/>
      <c r="AN15" s="160">
        <f t="shared" si="10"/>
        <v>1</v>
      </c>
      <c r="AO15" s="160">
        <f t="shared" si="10"/>
        <v>2</v>
      </c>
      <c r="AP15" s="133"/>
      <c r="AQ15" s="134"/>
      <c r="AR15" s="161"/>
      <c r="AS15" s="161"/>
      <c r="AT15" s="161"/>
      <c r="AU15" s="161"/>
      <c r="AV15" s="162"/>
      <c r="AW15" s="137">
        <f t="shared" si="11"/>
        <v>0</v>
      </c>
      <c r="AX15" s="137">
        <f t="shared" si="12"/>
        <v>0</v>
      </c>
    </row>
    <row r="16" ht="21.95" customHeight="1" spans="1:50" s="97" customFormat="1" x14ac:dyDescent="0.25">
      <c r="A16" s="138" t="s">
        <v>56</v>
      </c>
      <c r="B16" s="139"/>
      <c r="C16" s="139"/>
      <c r="D16" s="139"/>
      <c r="E16" s="139"/>
      <c r="F16" s="139"/>
      <c r="G16" s="139"/>
      <c r="H16" s="140"/>
      <c r="I16" s="181">
        <v>85</v>
      </c>
      <c r="J16" s="142">
        <v>85</v>
      </c>
      <c r="K16" s="142"/>
      <c r="L16" s="142"/>
      <c r="M16" s="142"/>
      <c r="N16" s="170">
        <f>I16*I15+J16*J15+K16*K15+L16*L15+M16*M15</f>
        <v>85</v>
      </c>
      <c r="O16" s="144"/>
      <c r="P16" s="145"/>
      <c r="Q16" s="113"/>
      <c r="R16" s="113"/>
      <c r="S16" s="146"/>
      <c r="T16" s="147"/>
      <c r="U16" s="148"/>
      <c r="V16" s="149"/>
      <c r="W16" s="150"/>
      <c r="X16" s="151"/>
      <c r="Y16" s="152"/>
      <c r="Z16" s="151"/>
      <c r="AA16" s="153"/>
      <c r="AB16" s="154"/>
      <c r="AC16" s="149"/>
      <c r="AD16" s="148"/>
      <c r="AE16" s="148"/>
      <c r="AF16" s="155"/>
      <c r="AG16" s="156"/>
      <c r="AH16" s="113"/>
      <c r="AI16" s="157"/>
      <c r="AJ16" s="113"/>
      <c r="AK16" s="113"/>
      <c r="AL16" s="158"/>
      <c r="AM16" s="159"/>
      <c r="AN16" s="160"/>
      <c r="AO16" s="160"/>
      <c r="AP16" s="133"/>
      <c r="AQ16" s="134"/>
      <c r="AR16" s="161"/>
      <c r="AS16" s="161"/>
      <c r="AT16" s="161"/>
      <c r="AU16" s="161"/>
      <c r="AV16" s="162"/>
      <c r="AW16" s="137"/>
      <c r="AX16" s="137"/>
    </row>
    <row r="17" ht="46.5" customHeight="1" spans="1:50" s="97" customFormat="1" x14ac:dyDescent="0.25">
      <c r="A17" s="98">
        <v>7</v>
      </c>
      <c r="B17" s="99" t="s">
        <v>53</v>
      </c>
      <c r="C17" s="100" t="s">
        <v>70</v>
      </c>
      <c r="D17" s="174" t="s">
        <v>71</v>
      </c>
      <c r="E17" s="100"/>
      <c r="F17" s="100"/>
      <c r="G17" s="103"/>
      <c r="H17" s="182"/>
      <c r="I17" s="166">
        <v>0.51</v>
      </c>
      <c r="J17" s="107">
        <v>0.49</v>
      </c>
      <c r="K17" s="107"/>
      <c r="L17" s="167"/>
      <c r="M17" s="168"/>
      <c r="N17" s="169">
        <f t="shared" si="0"/>
        <v>1</v>
      </c>
      <c r="O17" s="144">
        <v>1</v>
      </c>
      <c r="P17" s="112">
        <v>15</v>
      </c>
      <c r="Q17" s="112">
        <v>15</v>
      </c>
      <c r="R17" s="113"/>
      <c r="S17" s="146"/>
      <c r="T17" s="147"/>
      <c r="U17" s="148">
        <f t="shared" si="1"/>
        <v>15</v>
      </c>
      <c r="V17" s="149">
        <f t="shared" si="2"/>
        <v>15</v>
      </c>
      <c r="W17" s="120">
        <v>30881654000</v>
      </c>
      <c r="X17" s="120">
        <v>78106522000</v>
      </c>
      <c r="Y17" s="120"/>
      <c r="Z17" s="151"/>
      <c r="AA17" s="153"/>
      <c r="AB17" s="154">
        <f t="shared" si="3"/>
        <v>299.91</v>
      </c>
      <c r="AC17" s="149">
        <f t="shared" si="4"/>
        <v>13</v>
      </c>
      <c r="AD17" s="125">
        <v>2</v>
      </c>
      <c r="AE17" s="148">
        <f t="shared" si="5"/>
        <v>15</v>
      </c>
      <c r="AF17" s="156"/>
      <c r="AG17" s="127"/>
      <c r="AH17" s="113">
        <f t="shared" si="6"/>
        <v>30</v>
      </c>
      <c r="AI17" s="157">
        <v>65</v>
      </c>
      <c r="AJ17" s="113">
        <f t="shared" si="7"/>
        <v>95</v>
      </c>
      <c r="AK17" s="113">
        <f t="shared" si="8"/>
        <v>95</v>
      </c>
      <c r="AL17" s="158">
        <f t="shared" si="9"/>
        <v>0.955</v>
      </c>
      <c r="AM17" s="159"/>
      <c r="AN17" s="160">
        <f t="shared" si="10"/>
        <v>1</v>
      </c>
      <c r="AO17" s="160">
        <f t="shared" si="10"/>
        <v>2</v>
      </c>
      <c r="AP17" s="133"/>
      <c r="AQ17" s="134"/>
      <c r="AR17" s="161"/>
      <c r="AS17" s="161"/>
      <c r="AT17" s="161"/>
      <c r="AU17" s="161"/>
      <c r="AV17" s="162"/>
      <c r="AW17" s="137">
        <f t="shared" si="11"/>
        <v>0</v>
      </c>
      <c r="AX17" s="137">
        <f t="shared" si="12"/>
        <v>0</v>
      </c>
    </row>
    <row r="18" ht="21.95" customHeight="1" spans="1:50" s="97" customFormat="1" x14ac:dyDescent="0.25">
      <c r="A18" s="138" t="s">
        <v>56</v>
      </c>
      <c r="B18" s="139"/>
      <c r="C18" s="139"/>
      <c r="D18" s="139"/>
      <c r="E18" s="139"/>
      <c r="F18" s="139"/>
      <c r="G18" s="139"/>
      <c r="H18" s="140"/>
      <c r="I18" s="181">
        <v>85</v>
      </c>
      <c r="J18" s="142">
        <v>85</v>
      </c>
      <c r="K18" s="142"/>
      <c r="L18" s="142"/>
      <c r="M18" s="142"/>
      <c r="N18" s="170">
        <f>I18*I17+J18*J17+K18*K17+L18*L17+M18*M17</f>
        <v>85</v>
      </c>
      <c r="O18" s="144"/>
      <c r="P18" s="145"/>
      <c r="Q18" s="113"/>
      <c r="R18" s="113"/>
      <c r="S18" s="146"/>
      <c r="T18" s="147"/>
      <c r="U18" s="148"/>
      <c r="V18" s="149"/>
      <c r="W18" s="150"/>
      <c r="X18" s="151"/>
      <c r="Y18" s="152"/>
      <c r="Z18" s="151"/>
      <c r="AA18" s="153"/>
      <c r="AB18" s="154"/>
      <c r="AC18" s="149"/>
      <c r="AD18" s="148"/>
      <c r="AE18" s="148"/>
      <c r="AF18" s="155"/>
      <c r="AG18" s="156"/>
      <c r="AH18" s="113"/>
      <c r="AI18" s="157"/>
      <c r="AJ18" s="113"/>
      <c r="AK18" s="113"/>
      <c r="AL18" s="158"/>
      <c r="AM18" s="159"/>
      <c r="AN18" s="160"/>
      <c r="AO18" s="160"/>
      <c r="AP18" s="133"/>
      <c r="AQ18" s="134"/>
      <c r="AR18" s="161"/>
      <c r="AS18" s="161"/>
      <c r="AT18" s="161"/>
      <c r="AU18" s="161"/>
      <c r="AV18" s="162"/>
      <c r="AW18" s="137"/>
      <c r="AX18" s="137"/>
    </row>
    <row r="19" ht="46.5" customHeight="1" spans="1:50" s="97" customFormat="1" x14ac:dyDescent="0.25">
      <c r="A19" s="98"/>
      <c r="B19" s="99"/>
      <c r="C19" s="100"/>
      <c r="D19" s="102"/>
      <c r="E19" s="102"/>
      <c r="F19" s="100"/>
      <c r="G19" s="103"/>
      <c r="H19" s="186"/>
      <c r="I19" s="166">
        <v>0.51</v>
      </c>
      <c r="J19" s="107">
        <v>0.49</v>
      </c>
      <c r="K19" s="107"/>
      <c r="L19" s="167"/>
      <c r="M19" s="168"/>
      <c r="N19" s="169">
        <f t="shared" si="0"/>
        <v>1</v>
      </c>
      <c r="O19" s="144">
        <v>1</v>
      </c>
      <c r="P19" s="112">
        <v>15</v>
      </c>
      <c r="Q19" s="112">
        <v>15</v>
      </c>
      <c r="R19" s="113"/>
      <c r="S19" s="146"/>
      <c r="T19" s="147"/>
      <c r="U19" s="148">
        <f t="shared" si="1"/>
        <v>15</v>
      </c>
      <c r="V19" s="149">
        <f t="shared" si="2"/>
        <v>15</v>
      </c>
      <c r="W19" s="183"/>
      <c r="X19" s="183"/>
      <c r="Y19" s="183"/>
      <c r="Z19" s="151"/>
      <c r="AA19" s="153"/>
      <c r="AB19" s="154">
        <f t="shared" si="3"/>
        <v>0</v>
      </c>
      <c r="AC19" s="149">
        <f t="shared" si="4"/>
        <v>0</v>
      </c>
      <c r="AD19" s="125">
        <v>2</v>
      </c>
      <c r="AE19" s="148">
        <f t="shared" si="5"/>
        <v>2</v>
      </c>
      <c r="AF19" s="156"/>
      <c r="AG19" s="127"/>
      <c r="AH19" s="113">
        <f t="shared" si="6"/>
        <v>17</v>
      </c>
      <c r="AI19" s="157">
        <v>65</v>
      </c>
      <c r="AJ19" s="113">
        <f t="shared" si="7"/>
        <v>82</v>
      </c>
      <c r="AK19" s="113">
        <f t="shared" si="8"/>
        <v>82</v>
      </c>
      <c r="AL19" s="158">
        <f t="shared" si="9"/>
        <v>1.02</v>
      </c>
      <c r="AM19" s="159"/>
      <c r="AN19" s="160">
        <f t="shared" si="10"/>
        <v>1</v>
      </c>
      <c r="AO19" s="160">
        <f t="shared" si="10"/>
        <v>2</v>
      </c>
      <c r="AP19" s="133"/>
      <c r="AQ19" s="134"/>
      <c r="AR19" s="161"/>
      <c r="AS19" s="161"/>
      <c r="AT19" s="161"/>
      <c r="AU19" s="161"/>
      <c r="AV19" s="162"/>
      <c r="AW19" s="137">
        <f t="shared" si="11"/>
        <v>0</v>
      </c>
      <c r="AX19" s="137">
        <f t="shared" si="12"/>
        <v>0</v>
      </c>
    </row>
    <row r="20" ht="21.95" customHeight="1" spans="1:50" s="97" customFormat="1" x14ac:dyDescent="0.25">
      <c r="A20" s="138" t="s">
        <v>56</v>
      </c>
      <c r="B20" s="139"/>
      <c r="C20" s="139"/>
      <c r="D20" s="139"/>
      <c r="E20" s="139"/>
      <c r="F20" s="139"/>
      <c r="G20" s="139"/>
      <c r="H20" s="140"/>
      <c r="I20" s="142">
        <v>85</v>
      </c>
      <c r="J20" s="142">
        <v>85</v>
      </c>
      <c r="K20" s="142"/>
      <c r="L20" s="142"/>
      <c r="M20" s="142"/>
      <c r="N20" s="170">
        <f>I20*I19+J20*J19+K20*K19+L20*L19+M20*M19</f>
        <v>85</v>
      </c>
      <c r="O20" s="144"/>
      <c r="P20" s="145"/>
      <c r="Q20" s="113"/>
      <c r="R20" s="113"/>
      <c r="S20" s="146"/>
      <c r="T20" s="147"/>
      <c r="U20" s="148"/>
      <c r="V20" s="149"/>
      <c r="W20" s="150"/>
      <c r="X20" s="151"/>
      <c r="Y20" s="152"/>
      <c r="Z20" s="151"/>
      <c r="AA20" s="153"/>
      <c r="AB20" s="154"/>
      <c r="AC20" s="149"/>
      <c r="AD20" s="148"/>
      <c r="AE20" s="148"/>
      <c r="AF20" s="155"/>
      <c r="AG20" s="156"/>
      <c r="AH20" s="113"/>
      <c r="AI20" s="157"/>
      <c r="AJ20" s="113"/>
      <c r="AK20" s="113"/>
      <c r="AL20" s="158"/>
      <c r="AM20" s="159"/>
      <c r="AN20" s="160"/>
      <c r="AO20" s="160"/>
      <c r="AP20" s="133"/>
      <c r="AQ20" s="134"/>
      <c r="AR20" s="161"/>
      <c r="AS20" s="161"/>
      <c r="AT20" s="161"/>
      <c r="AU20" s="161"/>
      <c r="AV20" s="162"/>
      <c r="AW20" s="137"/>
      <c r="AX20" s="137"/>
    </row>
    <row r="21" ht="46.5" customHeight="1" spans="1:50" s="97" customFormat="1" x14ac:dyDescent="0.25">
      <c r="A21" s="98"/>
      <c r="B21" s="99"/>
      <c r="C21" s="102"/>
      <c r="D21" s="102"/>
      <c r="E21" s="102"/>
      <c r="F21" s="100"/>
      <c r="G21" s="103"/>
      <c r="H21" s="186"/>
      <c r="I21" s="166">
        <v>0.51</v>
      </c>
      <c r="J21" s="107">
        <v>0.49</v>
      </c>
      <c r="K21" s="107"/>
      <c r="L21" s="107"/>
      <c r="M21" s="187"/>
      <c r="N21" s="169">
        <f t="shared" si="0"/>
        <v>1</v>
      </c>
      <c r="O21" s="144">
        <v>1</v>
      </c>
      <c r="P21" s="112">
        <v>15</v>
      </c>
      <c r="Q21" s="112">
        <v>15</v>
      </c>
      <c r="R21" s="113"/>
      <c r="S21" s="113"/>
      <c r="T21" s="146"/>
      <c r="U21" s="148">
        <f t="shared" si="1"/>
        <v>15</v>
      </c>
      <c r="V21" s="149">
        <f t="shared" si="2"/>
        <v>15</v>
      </c>
      <c r="W21" s="188"/>
      <c r="X21" s="161"/>
      <c r="Y21" s="189"/>
      <c r="Z21" s="190"/>
      <c r="AA21" s="153"/>
      <c r="AB21" s="154">
        <f t="shared" si="3"/>
        <v>0</v>
      </c>
      <c r="AC21" s="149">
        <f t="shared" si="4"/>
        <v>0</v>
      </c>
      <c r="AD21" s="125">
        <v>2</v>
      </c>
      <c r="AE21" s="148">
        <f t="shared" si="5"/>
        <v>2</v>
      </c>
      <c r="AF21" s="156"/>
      <c r="AG21" s="156"/>
      <c r="AH21" s="113">
        <f t="shared" si="6"/>
        <v>17</v>
      </c>
      <c r="AI21" s="157">
        <v>65</v>
      </c>
      <c r="AJ21" s="113">
        <f t="shared" si="7"/>
        <v>82</v>
      </c>
      <c r="AK21" s="113">
        <f t="shared" si="8"/>
        <v>82</v>
      </c>
      <c r="AL21" s="158">
        <f t="shared" si="9"/>
        <v>1.02</v>
      </c>
      <c r="AM21" s="159"/>
      <c r="AN21" s="160">
        <f t="shared" si="10"/>
        <v>1</v>
      </c>
      <c r="AO21" s="160">
        <f t="shared" si="10"/>
        <v>2</v>
      </c>
      <c r="AP21" s="133"/>
      <c r="AQ21" s="134"/>
      <c r="AR21" s="161"/>
      <c r="AS21" s="161"/>
      <c r="AT21" s="161"/>
      <c r="AU21" s="161"/>
      <c r="AV21" s="162"/>
      <c r="AW21" s="137">
        <f t="shared" si="11"/>
        <v>0</v>
      </c>
      <c r="AX21" s="137">
        <f t="shared" si="12"/>
        <v>0</v>
      </c>
    </row>
    <row r="22" ht="46.5" customHeight="1" spans="1:50" s="97" customFormat="1" x14ac:dyDescent="0.25">
      <c r="A22" s="98"/>
      <c r="B22" s="102"/>
      <c r="C22" s="102"/>
      <c r="D22" s="102"/>
      <c r="E22" s="102"/>
      <c r="F22" s="100"/>
      <c r="G22" s="103"/>
      <c r="H22" s="186"/>
      <c r="I22" s="166">
        <v>0.51</v>
      </c>
      <c r="J22" s="107">
        <v>0.49</v>
      </c>
      <c r="K22" s="191"/>
      <c r="L22" s="107"/>
      <c r="M22" s="187"/>
      <c r="N22" s="169">
        <f t="shared" si="0"/>
        <v>1</v>
      </c>
      <c r="O22" s="144">
        <v>1</v>
      </c>
      <c r="P22" s="112">
        <v>15</v>
      </c>
      <c r="Q22" s="112">
        <v>15</v>
      </c>
      <c r="R22" s="113"/>
      <c r="S22" s="113"/>
      <c r="T22" s="146"/>
      <c r="U22" s="148">
        <f t="shared" si="1"/>
        <v>15</v>
      </c>
      <c r="V22" s="149">
        <f t="shared" si="2"/>
        <v>15</v>
      </c>
      <c r="W22" s="192"/>
      <c r="X22" s="120"/>
      <c r="Y22" s="120"/>
      <c r="Z22" s="190"/>
      <c r="AA22" s="153"/>
      <c r="AB22" s="154">
        <f t="shared" si="3"/>
        <v>0</v>
      </c>
      <c r="AC22" s="149">
        <f t="shared" si="4"/>
        <v>0</v>
      </c>
      <c r="AD22" s="125">
        <v>2</v>
      </c>
      <c r="AE22" s="148">
        <f t="shared" si="5"/>
        <v>2</v>
      </c>
      <c r="AF22" s="156"/>
      <c r="AG22" s="156"/>
      <c r="AH22" s="113">
        <f t="shared" si="6"/>
        <v>17</v>
      </c>
      <c r="AI22" s="157">
        <v>65</v>
      </c>
      <c r="AJ22" s="113">
        <f t="shared" si="7"/>
        <v>82</v>
      </c>
      <c r="AK22" s="113">
        <f t="shared" si="8"/>
        <v>82</v>
      </c>
      <c r="AL22" s="158">
        <f t="shared" si="9"/>
        <v>1.02</v>
      </c>
      <c r="AM22" s="159"/>
      <c r="AN22" s="160">
        <f t="shared" si="10"/>
        <v>1</v>
      </c>
      <c r="AO22" s="160">
        <f t="shared" si="10"/>
        <v>2</v>
      </c>
      <c r="AP22" s="133"/>
      <c r="AQ22" s="134"/>
      <c r="AR22" s="161"/>
      <c r="AS22" s="161"/>
      <c r="AT22" s="161"/>
      <c r="AU22" s="161"/>
      <c r="AV22" s="162"/>
      <c r="AW22" s="137">
        <f t="shared" si="11"/>
        <v>0</v>
      </c>
      <c r="AX22" s="137">
        <f t="shared" si="12"/>
        <v>0</v>
      </c>
    </row>
    <row r="23" ht="46.5" customHeight="1" spans="1:50" s="97" customFormat="1" x14ac:dyDescent="0.25">
      <c r="A23" s="98"/>
      <c r="B23" s="102"/>
      <c r="C23" s="101" t="s">
        <v>64</v>
      </c>
      <c r="D23" s="101" t="s">
        <v>72</v>
      </c>
      <c r="E23" s="193"/>
      <c r="F23" s="100"/>
      <c r="G23" s="103"/>
      <c r="H23" s="186"/>
      <c r="I23" s="166">
        <v>0.51</v>
      </c>
      <c r="J23" s="107">
        <v>0.49</v>
      </c>
      <c r="K23" s="107"/>
      <c r="L23" s="107"/>
      <c r="M23" s="187"/>
      <c r="N23" s="169">
        <f t="shared" si="0"/>
        <v>1</v>
      </c>
      <c r="O23" s="144">
        <v>1</v>
      </c>
      <c r="P23" s="145">
        <v>15</v>
      </c>
      <c r="Q23" s="113">
        <v>15</v>
      </c>
      <c r="R23" s="113"/>
      <c r="S23" s="113"/>
      <c r="T23" s="146"/>
      <c r="U23" s="148">
        <f t="shared" si="1"/>
        <v>15</v>
      </c>
      <c r="V23" s="149">
        <f t="shared" si="2"/>
        <v>15</v>
      </c>
      <c r="W23" s="192"/>
      <c r="X23" s="183"/>
      <c r="Y23" s="120"/>
      <c r="Z23" s="190"/>
      <c r="AA23" s="153"/>
      <c r="AB23" s="154">
        <f t="shared" si="3"/>
        <v>0</v>
      </c>
      <c r="AC23" s="149">
        <f t="shared" si="4"/>
        <v>0</v>
      </c>
      <c r="AD23" s="125">
        <v>2</v>
      </c>
      <c r="AE23" s="148">
        <f t="shared" si="5"/>
        <v>2</v>
      </c>
      <c r="AF23" s="156"/>
      <c r="AG23" s="156"/>
      <c r="AH23" s="113">
        <f t="shared" si="6"/>
        <v>17</v>
      </c>
      <c r="AI23" s="157">
        <v>65</v>
      </c>
      <c r="AJ23" s="113">
        <f t="shared" si="7"/>
        <v>82</v>
      </c>
      <c r="AK23" s="113">
        <f t="shared" si="8"/>
        <v>82</v>
      </c>
      <c r="AL23" s="158">
        <f t="shared" si="9"/>
        <v>1.02</v>
      </c>
      <c r="AM23" s="159"/>
      <c r="AN23" s="160">
        <f t="shared" si="10"/>
        <v>1</v>
      </c>
      <c r="AO23" s="160">
        <f t="shared" si="10"/>
        <v>2</v>
      </c>
      <c r="AP23" s="133"/>
      <c r="AQ23" s="134"/>
      <c r="AR23" s="161"/>
      <c r="AS23" s="161"/>
      <c r="AT23" s="161"/>
      <c r="AU23" s="161"/>
      <c r="AV23" s="162"/>
      <c r="AW23" s="137">
        <f t="shared" si="11"/>
        <v>0</v>
      </c>
      <c r="AX23" s="137">
        <f t="shared" si="12"/>
        <v>0</v>
      </c>
    </row>
    <row r="24" ht="46.5" customHeight="1" spans="1:50" s="97" customFormat="1" x14ac:dyDescent="0.25">
      <c r="A24" s="98"/>
      <c r="B24" s="102"/>
      <c r="C24" s="102"/>
      <c r="D24" s="174" t="s">
        <v>73</v>
      </c>
      <c r="E24" s="194"/>
      <c r="F24" s="100"/>
      <c r="G24" s="103"/>
      <c r="H24" s="186"/>
      <c r="I24" s="195">
        <v>0.51</v>
      </c>
      <c r="J24" s="107">
        <v>0.49</v>
      </c>
      <c r="K24" s="107"/>
      <c r="L24" s="107"/>
      <c r="M24" s="187"/>
      <c r="N24" s="169">
        <f t="shared" si="0"/>
        <v>1</v>
      </c>
      <c r="O24" s="144">
        <v>1</v>
      </c>
      <c r="P24" s="145">
        <v>15</v>
      </c>
      <c r="Q24" s="113">
        <v>15</v>
      </c>
      <c r="R24" s="113"/>
      <c r="S24" s="113"/>
      <c r="T24" s="146"/>
      <c r="U24" s="148">
        <f t="shared" si="1"/>
        <v>15</v>
      </c>
      <c r="V24" s="149">
        <f t="shared" si="2"/>
        <v>15</v>
      </c>
      <c r="W24" s="192"/>
      <c r="X24" s="183"/>
      <c r="Y24" s="183"/>
      <c r="Z24" s="190"/>
      <c r="AA24" s="153"/>
      <c r="AB24" s="154">
        <f t="shared" si="3"/>
        <v>0</v>
      </c>
      <c r="AC24" s="149">
        <f t="shared" si="4"/>
        <v>0</v>
      </c>
      <c r="AD24" s="125">
        <v>2</v>
      </c>
      <c r="AE24" s="148">
        <f t="shared" si="5"/>
        <v>2</v>
      </c>
      <c r="AF24" s="156"/>
      <c r="AG24" s="156"/>
      <c r="AH24" s="113">
        <f t="shared" si="6"/>
        <v>17</v>
      </c>
      <c r="AI24" s="157">
        <v>65</v>
      </c>
      <c r="AJ24" s="113">
        <f t="shared" si="7"/>
        <v>82</v>
      </c>
      <c r="AK24" s="113">
        <f t="shared" si="8"/>
        <v>82</v>
      </c>
      <c r="AL24" s="158">
        <f t="shared" si="9"/>
        <v>1.02</v>
      </c>
      <c r="AM24" s="159"/>
      <c r="AN24" s="160">
        <f t="shared" si="10"/>
        <v>1</v>
      </c>
      <c r="AO24" s="160">
        <f t="shared" si="10"/>
        <v>2</v>
      </c>
      <c r="AP24" s="133"/>
      <c r="AQ24" s="134"/>
      <c r="AR24" s="161"/>
      <c r="AS24" s="161"/>
      <c r="AT24" s="161"/>
      <c r="AU24" s="161"/>
      <c r="AV24" s="162"/>
      <c r="AW24" s="137">
        <f t="shared" si="11"/>
        <v>0</v>
      </c>
      <c r="AX24" s="137">
        <f t="shared" si="12"/>
        <v>0</v>
      </c>
    </row>
    <row r="25" ht="46.5" customHeight="1" spans="1:50" s="97" customFormat="1" x14ac:dyDescent="0.25">
      <c r="A25" s="98"/>
      <c r="B25" s="196" t="s">
        <v>74</v>
      </c>
      <c r="C25" s="101" t="s">
        <v>75</v>
      </c>
      <c r="D25" s="100"/>
      <c r="E25" s="100"/>
      <c r="F25" s="100"/>
      <c r="G25" s="103"/>
      <c r="H25" s="186"/>
      <c r="I25" s="195">
        <v>0.51</v>
      </c>
      <c r="J25" s="107">
        <v>0.49</v>
      </c>
      <c r="K25" s="107"/>
      <c r="L25" s="107"/>
      <c r="M25" s="187"/>
      <c r="N25" s="169">
        <f t="shared" si="0"/>
        <v>1</v>
      </c>
      <c r="O25" s="144">
        <v>1</v>
      </c>
      <c r="P25" s="145">
        <v>15</v>
      </c>
      <c r="Q25" s="113">
        <v>15</v>
      </c>
      <c r="R25" s="156"/>
      <c r="S25" s="113"/>
      <c r="T25" s="146"/>
      <c r="U25" s="148">
        <f t="shared" si="1"/>
        <v>15</v>
      </c>
      <c r="V25" s="149">
        <f t="shared" si="2"/>
        <v>15</v>
      </c>
      <c r="W25" s="197"/>
      <c r="X25" s="120"/>
      <c r="Y25" s="183"/>
      <c r="Z25" s="190"/>
      <c r="AA25" s="153"/>
      <c r="AB25" s="154">
        <f t="shared" si="3"/>
        <v>0</v>
      </c>
      <c r="AC25" s="149">
        <f t="shared" si="4"/>
        <v>0</v>
      </c>
      <c r="AD25" s="125">
        <v>2</v>
      </c>
      <c r="AE25" s="148">
        <f t="shared" si="5"/>
        <v>2</v>
      </c>
      <c r="AF25" s="156"/>
      <c r="AG25" s="156"/>
      <c r="AH25" s="113">
        <f t="shared" si="6"/>
        <v>17</v>
      </c>
      <c r="AI25" s="157">
        <v>65</v>
      </c>
      <c r="AJ25" s="113">
        <f t="shared" si="7"/>
        <v>82</v>
      </c>
      <c r="AK25" s="113">
        <f t="shared" si="8"/>
        <v>82</v>
      </c>
      <c r="AL25" s="158">
        <f t="shared" si="9"/>
        <v>1.02</v>
      </c>
      <c r="AM25" s="159"/>
      <c r="AN25" s="160">
        <f t="shared" si="10"/>
        <v>1</v>
      </c>
      <c r="AO25" s="160">
        <f t="shared" si="10"/>
        <v>2</v>
      </c>
      <c r="AP25" s="133"/>
      <c r="AQ25" s="134"/>
      <c r="AR25" s="161"/>
      <c r="AS25" s="161"/>
      <c r="AT25" s="161"/>
      <c r="AU25" s="161"/>
      <c r="AV25" s="162"/>
      <c r="AW25" s="137">
        <f t="shared" si="11"/>
        <v>0</v>
      </c>
      <c r="AX25" s="137">
        <f t="shared" si="12"/>
        <v>0</v>
      </c>
    </row>
    <row r="26" ht="46.5" customHeight="1" spans="1:50" s="97" customFormat="1" x14ac:dyDescent="0.25">
      <c r="A26" s="100"/>
      <c r="B26" s="100"/>
      <c r="C26" s="100" t="s">
        <v>76</v>
      </c>
      <c r="D26" s="198"/>
      <c r="E26" s="100"/>
      <c r="F26" s="100"/>
      <c r="G26" s="103"/>
      <c r="H26" s="186"/>
      <c r="I26" s="195">
        <v>0.51</v>
      </c>
      <c r="J26" s="107">
        <v>0.49</v>
      </c>
      <c r="K26" s="107"/>
      <c r="L26" s="107"/>
      <c r="M26" s="187"/>
      <c r="N26" s="169">
        <f t="shared" si="0"/>
        <v>1</v>
      </c>
      <c r="O26" s="144">
        <v>1</v>
      </c>
      <c r="P26" s="145">
        <v>15</v>
      </c>
      <c r="Q26" s="113">
        <v>15</v>
      </c>
      <c r="R26" s="113"/>
      <c r="S26" s="113"/>
      <c r="T26" s="146"/>
      <c r="U26" s="148">
        <f t="shared" si="1"/>
        <v>15</v>
      </c>
      <c r="V26" s="149">
        <f t="shared" si="2"/>
        <v>15</v>
      </c>
      <c r="W26" s="189"/>
      <c r="X26" s="199"/>
      <c r="Y26" s="151"/>
      <c r="Z26" s="190"/>
      <c r="AA26" s="153"/>
      <c r="AB26" s="154">
        <f t="shared" si="3"/>
        <v>0</v>
      </c>
      <c r="AC26" s="149">
        <f t="shared" si="4"/>
        <v>0</v>
      </c>
      <c r="AD26" s="125">
        <v>2</v>
      </c>
      <c r="AE26" s="148">
        <f t="shared" si="5"/>
        <v>2</v>
      </c>
      <c r="AF26" s="156"/>
      <c r="AG26" s="156"/>
      <c r="AH26" s="113">
        <f t="shared" si="6"/>
        <v>17</v>
      </c>
      <c r="AI26" s="157">
        <v>65</v>
      </c>
      <c r="AJ26" s="113">
        <f t="shared" si="7"/>
        <v>82</v>
      </c>
      <c r="AK26" s="113">
        <f t="shared" si="8"/>
        <v>82</v>
      </c>
      <c r="AL26" s="158">
        <f t="shared" si="9"/>
        <v>1.02</v>
      </c>
      <c r="AM26" s="159"/>
      <c r="AN26" s="160">
        <f t="shared" si="10"/>
        <v>1</v>
      </c>
      <c r="AO26" s="160">
        <f t="shared" si="10"/>
        <v>2</v>
      </c>
      <c r="AP26" s="133"/>
      <c r="AQ26" s="134"/>
      <c r="AR26" s="161"/>
      <c r="AS26" s="161"/>
      <c r="AT26" s="161"/>
      <c r="AU26" s="161"/>
      <c r="AV26" s="162"/>
      <c r="AW26" s="137">
        <f t="shared" si="11"/>
        <v>0</v>
      </c>
      <c r="AX26" s="137">
        <f t="shared" si="12"/>
        <v>0</v>
      </c>
    </row>
    <row r="27" ht="46.5" customHeight="1" spans="1:50" s="97" customFormat="1" x14ac:dyDescent="0.25">
      <c r="A27" s="100"/>
      <c r="B27" s="100"/>
      <c r="C27" s="102"/>
      <c r="D27" s="102"/>
      <c r="E27" s="102"/>
      <c r="F27" s="100"/>
      <c r="G27" s="103"/>
      <c r="H27" s="186"/>
      <c r="I27" s="195">
        <v>0.51</v>
      </c>
      <c r="J27" s="107">
        <v>0.49</v>
      </c>
      <c r="K27" s="107"/>
      <c r="L27" s="107"/>
      <c r="M27" s="187"/>
      <c r="N27" s="169">
        <f t="shared" si="0"/>
        <v>1</v>
      </c>
      <c r="O27" s="144">
        <v>1</v>
      </c>
      <c r="P27" s="145">
        <v>15</v>
      </c>
      <c r="Q27" s="113">
        <v>15</v>
      </c>
      <c r="R27" s="113"/>
      <c r="S27" s="113"/>
      <c r="T27" s="146"/>
      <c r="U27" s="148">
        <f t="shared" si="1"/>
        <v>15</v>
      </c>
      <c r="V27" s="149">
        <f t="shared" si="2"/>
        <v>15</v>
      </c>
      <c r="W27" s="189"/>
      <c r="X27" s="199"/>
      <c r="Y27" s="151"/>
      <c r="Z27" s="190"/>
      <c r="AA27" s="153"/>
      <c r="AB27" s="154">
        <f t="shared" si="3"/>
        <v>0</v>
      </c>
      <c r="AC27" s="149">
        <f t="shared" si="4"/>
        <v>0</v>
      </c>
      <c r="AD27" s="125">
        <v>2</v>
      </c>
      <c r="AE27" s="148">
        <f t="shared" si="5"/>
        <v>2</v>
      </c>
      <c r="AF27" s="156"/>
      <c r="AG27" s="156"/>
      <c r="AH27" s="113">
        <f t="shared" si="6"/>
        <v>17</v>
      </c>
      <c r="AI27" s="157">
        <v>65</v>
      </c>
      <c r="AJ27" s="113">
        <f t="shared" si="7"/>
        <v>82</v>
      </c>
      <c r="AK27" s="113">
        <f t="shared" si="8"/>
        <v>82</v>
      </c>
      <c r="AL27" s="158">
        <f t="shared" si="9"/>
        <v>1.02</v>
      </c>
      <c r="AM27" s="159"/>
      <c r="AN27" s="160">
        <f t="shared" si="10"/>
        <v>1</v>
      </c>
      <c r="AO27" s="160">
        <f t="shared" si="10"/>
        <v>2</v>
      </c>
      <c r="AP27" s="133"/>
      <c r="AQ27" s="134"/>
      <c r="AR27" s="161"/>
      <c r="AS27" s="161"/>
      <c r="AT27" s="161"/>
      <c r="AU27" s="161"/>
      <c r="AV27" s="162"/>
      <c r="AW27" s="137">
        <f t="shared" si="11"/>
        <v>0</v>
      </c>
      <c r="AX27" s="137">
        <f t="shared" si="12"/>
        <v>0</v>
      </c>
    </row>
    <row r="28" ht="46.5" customHeight="1" spans="1:50" s="97" customFormat="1" x14ac:dyDescent="0.25">
      <c r="A28" s="100"/>
      <c r="B28" s="100"/>
      <c r="C28" s="102"/>
      <c r="D28" s="102"/>
      <c r="E28" s="198"/>
      <c r="F28" s="100"/>
      <c r="G28" s="103"/>
      <c r="H28" s="186"/>
      <c r="I28" s="195">
        <v>0.51</v>
      </c>
      <c r="J28" s="107">
        <v>0.49</v>
      </c>
      <c r="K28" s="107"/>
      <c r="L28" s="107"/>
      <c r="M28" s="187"/>
      <c r="N28" s="169">
        <f t="shared" si="0"/>
        <v>1</v>
      </c>
      <c r="O28" s="144">
        <v>1</v>
      </c>
      <c r="P28" s="145">
        <v>15</v>
      </c>
      <c r="Q28" s="113">
        <v>15</v>
      </c>
      <c r="R28" s="113"/>
      <c r="S28" s="113"/>
      <c r="T28" s="146"/>
      <c r="U28" s="148">
        <f t="shared" si="1"/>
        <v>15</v>
      </c>
      <c r="V28" s="149">
        <f t="shared" si="2"/>
        <v>15</v>
      </c>
      <c r="W28" s="189"/>
      <c r="X28" s="199"/>
      <c r="Y28" s="151"/>
      <c r="Z28" s="190"/>
      <c r="AA28" s="153"/>
      <c r="AB28" s="154">
        <f t="shared" si="3"/>
        <v>0</v>
      </c>
      <c r="AC28" s="149">
        <f t="shared" si="4"/>
        <v>0</v>
      </c>
      <c r="AD28" s="125">
        <v>2</v>
      </c>
      <c r="AE28" s="148">
        <f t="shared" si="5"/>
        <v>2</v>
      </c>
      <c r="AF28" s="156"/>
      <c r="AG28" s="156"/>
      <c r="AH28" s="113">
        <f t="shared" si="6"/>
        <v>17</v>
      </c>
      <c r="AI28" s="157">
        <v>65</v>
      </c>
      <c r="AJ28" s="113">
        <f t="shared" si="7"/>
        <v>82</v>
      </c>
      <c r="AK28" s="113">
        <f t="shared" si="8"/>
        <v>82</v>
      </c>
      <c r="AL28" s="158">
        <f t="shared" si="9"/>
        <v>1.02</v>
      </c>
      <c r="AM28" s="159"/>
      <c r="AN28" s="160">
        <f t="shared" si="10"/>
        <v>1</v>
      </c>
      <c r="AO28" s="160">
        <f t="shared" si="10"/>
        <v>2</v>
      </c>
      <c r="AP28" s="133"/>
      <c r="AQ28" s="134"/>
      <c r="AR28" s="161"/>
      <c r="AS28" s="161"/>
      <c r="AT28" s="161"/>
      <c r="AU28" s="161"/>
      <c r="AV28" s="162"/>
      <c r="AW28" s="137">
        <f t="shared" si="11"/>
        <v>0</v>
      </c>
      <c r="AX28" s="137">
        <f t="shared" si="12"/>
        <v>0</v>
      </c>
    </row>
    <row r="29" ht="46.5" customHeight="1" spans="1:50" s="97" customFormat="1" x14ac:dyDescent="0.25">
      <c r="A29" s="100"/>
      <c r="B29" s="100"/>
      <c r="C29" s="100"/>
      <c r="D29" s="102"/>
      <c r="E29" s="102"/>
      <c r="F29" s="100"/>
      <c r="G29" s="103"/>
      <c r="H29" s="186"/>
      <c r="I29" s="195">
        <v>0.51</v>
      </c>
      <c r="J29" s="107">
        <v>0.49</v>
      </c>
      <c r="K29" s="107"/>
      <c r="L29" s="107"/>
      <c r="M29" s="187"/>
      <c r="N29" s="169">
        <f t="shared" si="0"/>
        <v>1</v>
      </c>
      <c r="O29" s="144">
        <v>1</v>
      </c>
      <c r="P29" s="145">
        <v>15</v>
      </c>
      <c r="Q29" s="113">
        <v>15</v>
      </c>
      <c r="R29" s="113"/>
      <c r="S29" s="113"/>
      <c r="T29" s="146"/>
      <c r="U29" s="148">
        <f t="shared" si="1"/>
        <v>15</v>
      </c>
      <c r="V29" s="149">
        <f t="shared" si="2"/>
        <v>15</v>
      </c>
      <c r="W29" s="189"/>
      <c r="X29" s="199"/>
      <c r="Y29" s="151"/>
      <c r="Z29" s="190"/>
      <c r="AA29" s="153"/>
      <c r="AB29" s="154">
        <f t="shared" si="3"/>
        <v>0</v>
      </c>
      <c r="AC29" s="149">
        <f t="shared" si="4"/>
        <v>0</v>
      </c>
      <c r="AD29" s="125">
        <v>2</v>
      </c>
      <c r="AE29" s="148">
        <f t="shared" si="5"/>
        <v>2</v>
      </c>
      <c r="AF29" s="156"/>
      <c r="AG29" s="156"/>
      <c r="AH29" s="113">
        <f t="shared" si="6"/>
        <v>17</v>
      </c>
      <c r="AI29" s="157">
        <v>65</v>
      </c>
      <c r="AJ29" s="113">
        <f t="shared" si="7"/>
        <v>82</v>
      </c>
      <c r="AK29" s="113">
        <f t="shared" si="8"/>
        <v>82</v>
      </c>
      <c r="AL29" s="158">
        <f t="shared" si="9"/>
        <v>1.02</v>
      </c>
      <c r="AM29" s="159"/>
      <c r="AN29" s="160">
        <f t="shared" si="10"/>
        <v>1</v>
      </c>
      <c r="AO29" s="160">
        <f t="shared" si="10"/>
        <v>2</v>
      </c>
      <c r="AP29" s="133"/>
      <c r="AQ29" s="134"/>
      <c r="AR29" s="161"/>
      <c r="AS29" s="161"/>
      <c r="AT29" s="161"/>
      <c r="AU29" s="161"/>
      <c r="AV29" s="162"/>
      <c r="AW29" s="137">
        <f t="shared" si="11"/>
        <v>0</v>
      </c>
      <c r="AX29" s="137">
        <f t="shared" si="12"/>
        <v>0</v>
      </c>
    </row>
    <row r="30" ht="46.5" customHeight="1" spans="1:50" s="97" customFormat="1" x14ac:dyDescent="0.25">
      <c r="A30" s="100"/>
      <c r="B30" s="100"/>
      <c r="C30" s="100" t="s">
        <v>76</v>
      </c>
      <c r="D30" s="174"/>
      <c r="E30" s="100"/>
      <c r="F30" s="100"/>
      <c r="G30" s="103"/>
      <c r="H30" s="186"/>
      <c r="I30" s="195">
        <v>0.51</v>
      </c>
      <c r="J30" s="107">
        <v>0.49</v>
      </c>
      <c r="K30" s="107"/>
      <c r="L30" s="107"/>
      <c r="M30" s="187"/>
      <c r="N30" s="169">
        <f t="shared" si="0"/>
        <v>1</v>
      </c>
      <c r="O30" s="144">
        <v>1</v>
      </c>
      <c r="P30" s="145">
        <v>15</v>
      </c>
      <c r="Q30" s="113">
        <v>15</v>
      </c>
      <c r="R30" s="113"/>
      <c r="S30" s="113"/>
      <c r="T30" s="146"/>
      <c r="U30" s="148">
        <f t="shared" si="1"/>
        <v>15</v>
      </c>
      <c r="V30" s="149">
        <f t="shared" si="2"/>
        <v>15</v>
      </c>
      <c r="W30" s="189"/>
      <c r="X30" s="199"/>
      <c r="Y30" s="151"/>
      <c r="Z30" s="190"/>
      <c r="AA30" s="153"/>
      <c r="AB30" s="154">
        <f t="shared" si="3"/>
        <v>0</v>
      </c>
      <c r="AC30" s="149">
        <f t="shared" si="4"/>
        <v>0</v>
      </c>
      <c r="AD30" s="125">
        <v>2</v>
      </c>
      <c r="AE30" s="148">
        <f t="shared" si="5"/>
        <v>2</v>
      </c>
      <c r="AF30" s="156"/>
      <c r="AG30" s="156"/>
      <c r="AH30" s="113">
        <f t="shared" si="6"/>
        <v>17</v>
      </c>
      <c r="AI30" s="157">
        <v>65</v>
      </c>
      <c r="AJ30" s="113">
        <f t="shared" si="7"/>
        <v>82</v>
      </c>
      <c r="AK30" s="113">
        <f t="shared" si="8"/>
        <v>82</v>
      </c>
      <c r="AL30" s="158">
        <f t="shared" si="9"/>
        <v>1.02</v>
      </c>
      <c r="AM30" s="159"/>
      <c r="AN30" s="160">
        <f t="shared" si="10"/>
        <v>1</v>
      </c>
      <c r="AO30" s="160">
        <f t="shared" si="10"/>
        <v>2</v>
      </c>
      <c r="AP30" s="133"/>
      <c r="AQ30" s="134"/>
      <c r="AR30" s="161"/>
      <c r="AS30" s="161"/>
      <c r="AT30" s="161"/>
      <c r="AU30" s="161"/>
      <c r="AV30" s="162"/>
      <c r="AW30" s="137">
        <f t="shared" si="11"/>
        <v>0</v>
      </c>
      <c r="AX30" s="137">
        <f t="shared" si="12"/>
        <v>0</v>
      </c>
    </row>
    <row r="31" ht="46.5" customHeight="1" spans="1:50" s="97" customFormat="1" x14ac:dyDescent="0.25">
      <c r="A31" s="100"/>
      <c r="B31" s="100"/>
      <c r="C31" s="101" t="s">
        <v>77</v>
      </c>
      <c r="D31" s="101" t="s">
        <v>78</v>
      </c>
      <c r="E31" s="101" t="s">
        <v>79</v>
      </c>
      <c r="F31" s="100"/>
      <c r="G31" s="103"/>
      <c r="H31" s="186"/>
      <c r="I31" s="195">
        <v>0.51</v>
      </c>
      <c r="J31" s="107">
        <v>0.49</v>
      </c>
      <c r="K31" s="107"/>
      <c r="L31" s="107"/>
      <c r="M31" s="187"/>
      <c r="N31" s="169">
        <f t="shared" si="0"/>
        <v>1</v>
      </c>
      <c r="O31" s="144">
        <v>1</v>
      </c>
      <c r="P31" s="145">
        <v>15</v>
      </c>
      <c r="Q31" s="113">
        <v>15</v>
      </c>
      <c r="R31" s="113"/>
      <c r="S31" s="113"/>
      <c r="T31" s="146"/>
      <c r="U31" s="148">
        <f t="shared" si="1"/>
        <v>15</v>
      </c>
      <c r="V31" s="149">
        <f t="shared" si="2"/>
        <v>15</v>
      </c>
      <c r="W31" s="189"/>
      <c r="X31" s="199"/>
      <c r="Y31" s="151"/>
      <c r="Z31" s="190"/>
      <c r="AA31" s="153"/>
      <c r="AB31" s="154">
        <f t="shared" si="3"/>
        <v>0</v>
      </c>
      <c r="AC31" s="149">
        <f t="shared" si="4"/>
        <v>0</v>
      </c>
      <c r="AD31" s="125">
        <v>2</v>
      </c>
      <c r="AE31" s="148">
        <f t="shared" si="5"/>
        <v>2</v>
      </c>
      <c r="AF31" s="156"/>
      <c r="AG31" s="156"/>
      <c r="AH31" s="113">
        <f t="shared" si="6"/>
        <v>17</v>
      </c>
      <c r="AI31" s="157">
        <v>65</v>
      </c>
      <c r="AJ31" s="113">
        <f t="shared" si="7"/>
        <v>82</v>
      </c>
      <c r="AK31" s="113">
        <f t="shared" si="8"/>
        <v>82</v>
      </c>
      <c r="AL31" s="158">
        <f t="shared" si="9"/>
        <v>1.02</v>
      </c>
      <c r="AM31" s="159"/>
      <c r="AN31" s="160">
        <f t="shared" si="10"/>
        <v>1</v>
      </c>
      <c r="AO31" s="160">
        <f t="shared" si="10"/>
        <v>2</v>
      </c>
      <c r="AP31" s="133"/>
      <c r="AQ31" s="134"/>
      <c r="AR31" s="161"/>
      <c r="AS31" s="161"/>
      <c r="AT31" s="161"/>
      <c r="AU31" s="161"/>
      <c r="AV31" s="162"/>
      <c r="AW31" s="137">
        <f t="shared" si="11"/>
        <v>0</v>
      </c>
      <c r="AX31" s="137">
        <f t="shared" si="12"/>
        <v>0</v>
      </c>
    </row>
    <row r="32" ht="46.5" customHeight="1" spans="1:50" s="97" customFormat="1" x14ac:dyDescent="0.25">
      <c r="A32" s="100"/>
      <c r="B32" s="100"/>
      <c r="C32" s="100" t="s">
        <v>80</v>
      </c>
      <c r="D32" s="200" t="s">
        <v>81</v>
      </c>
      <c r="E32" s="174"/>
      <c r="F32" s="100"/>
      <c r="G32" s="103"/>
      <c r="H32" s="186"/>
      <c r="I32" s="195">
        <v>0.51</v>
      </c>
      <c r="J32" s="107">
        <v>0.49</v>
      </c>
      <c r="K32" s="107"/>
      <c r="L32" s="107"/>
      <c r="M32" s="187"/>
      <c r="N32" s="169">
        <f t="shared" si="0"/>
        <v>1</v>
      </c>
      <c r="O32" s="144">
        <v>1</v>
      </c>
      <c r="P32" s="145">
        <v>15</v>
      </c>
      <c r="Q32" s="113">
        <v>15</v>
      </c>
      <c r="R32" s="113"/>
      <c r="S32" s="113"/>
      <c r="T32" s="146"/>
      <c r="U32" s="148">
        <f t="shared" si="1"/>
        <v>15</v>
      </c>
      <c r="V32" s="149">
        <f t="shared" si="2"/>
        <v>15</v>
      </c>
      <c r="W32" s="189"/>
      <c r="X32" s="199"/>
      <c r="Y32" s="151"/>
      <c r="Z32" s="190"/>
      <c r="AA32" s="153"/>
      <c r="AB32" s="154">
        <f t="shared" si="3"/>
        <v>0</v>
      </c>
      <c r="AC32" s="149">
        <f t="shared" si="4"/>
        <v>0</v>
      </c>
      <c r="AD32" s="125">
        <v>2</v>
      </c>
      <c r="AE32" s="148">
        <f t="shared" si="5"/>
        <v>2</v>
      </c>
      <c r="AF32" s="156"/>
      <c r="AG32" s="156"/>
      <c r="AH32" s="113">
        <f t="shared" si="6"/>
        <v>17</v>
      </c>
      <c r="AI32" s="157">
        <v>65</v>
      </c>
      <c r="AJ32" s="113">
        <f t="shared" si="7"/>
        <v>82</v>
      </c>
      <c r="AK32" s="113">
        <f t="shared" si="8"/>
        <v>82</v>
      </c>
      <c r="AL32" s="158">
        <f t="shared" si="9"/>
        <v>1.02</v>
      </c>
      <c r="AM32" s="159"/>
      <c r="AN32" s="160">
        <f t="shared" si="10"/>
        <v>1</v>
      </c>
      <c r="AO32" s="160">
        <f t="shared" si="10"/>
        <v>2</v>
      </c>
      <c r="AP32" s="133"/>
      <c r="AQ32" s="134"/>
      <c r="AR32" s="161"/>
      <c r="AS32" s="161"/>
      <c r="AT32" s="161"/>
      <c r="AU32" s="161"/>
      <c r="AV32" s="162"/>
      <c r="AW32" s="137">
        <f t="shared" si="11"/>
        <v>0</v>
      </c>
      <c r="AX32" s="137">
        <f t="shared" si="12"/>
        <v>0</v>
      </c>
    </row>
    <row r="33" ht="46.5" customHeight="1" spans="1:50" s="97" customFormat="1" x14ac:dyDescent="0.25">
      <c r="A33" s="100"/>
      <c r="B33" s="100"/>
      <c r="C33" s="101"/>
      <c r="D33" s="201" t="s">
        <v>82</v>
      </c>
      <c r="E33" s="200" t="s">
        <v>81</v>
      </c>
      <c r="F33" s="100"/>
      <c r="G33" s="103"/>
      <c r="H33" s="186"/>
      <c r="I33" s="195">
        <v>0.51</v>
      </c>
      <c r="J33" s="107">
        <v>0.49</v>
      </c>
      <c r="K33" s="107"/>
      <c r="L33" s="107"/>
      <c r="M33" s="187"/>
      <c r="N33" s="169">
        <f t="shared" si="0"/>
        <v>1</v>
      </c>
      <c r="O33" s="144">
        <v>1</v>
      </c>
      <c r="P33" s="145">
        <v>15</v>
      </c>
      <c r="Q33" s="113">
        <v>15</v>
      </c>
      <c r="R33" s="113"/>
      <c r="S33" s="113"/>
      <c r="T33" s="146"/>
      <c r="U33" s="148">
        <f t="shared" si="1"/>
        <v>15</v>
      </c>
      <c r="V33" s="149">
        <f t="shared" si="2"/>
        <v>15</v>
      </c>
      <c r="W33" s="189"/>
      <c r="X33" s="199"/>
      <c r="Y33" s="151"/>
      <c r="Z33" s="190"/>
      <c r="AA33" s="153"/>
      <c r="AB33" s="154">
        <f t="shared" si="3"/>
        <v>0</v>
      </c>
      <c r="AC33" s="149">
        <f t="shared" si="4"/>
        <v>0</v>
      </c>
      <c r="AD33" s="125">
        <v>2</v>
      </c>
      <c r="AE33" s="148">
        <f t="shared" si="5"/>
        <v>2</v>
      </c>
      <c r="AF33" s="156"/>
      <c r="AG33" s="156"/>
      <c r="AH33" s="113">
        <f t="shared" si="6"/>
        <v>17</v>
      </c>
      <c r="AI33" s="157">
        <v>65</v>
      </c>
      <c r="AJ33" s="113">
        <f t="shared" si="7"/>
        <v>82</v>
      </c>
      <c r="AK33" s="113">
        <f t="shared" si="8"/>
        <v>82</v>
      </c>
      <c r="AL33" s="158">
        <f t="shared" si="9"/>
        <v>1.02</v>
      </c>
      <c r="AM33" s="159"/>
      <c r="AN33" s="160">
        <f t="shared" si="10"/>
        <v>1</v>
      </c>
      <c r="AO33" s="160">
        <f t="shared" si="10"/>
        <v>2</v>
      </c>
      <c r="AP33" s="133"/>
      <c r="AQ33" s="134"/>
      <c r="AR33" s="161"/>
      <c r="AS33" s="161"/>
      <c r="AT33" s="161"/>
      <c r="AU33" s="161"/>
      <c r="AV33" s="162"/>
      <c r="AW33" s="137">
        <f t="shared" si="11"/>
        <v>0</v>
      </c>
      <c r="AX33" s="137">
        <f t="shared" si="12"/>
        <v>0</v>
      </c>
    </row>
    <row r="34" ht="46.5" customHeight="1" spans="1:50" s="97" customFormat="1" x14ac:dyDescent="0.25">
      <c r="A34" s="100"/>
      <c r="B34" s="100"/>
      <c r="C34" s="100"/>
      <c r="D34" s="100"/>
      <c r="E34" s="100"/>
      <c r="F34" s="100"/>
      <c r="G34" s="103"/>
      <c r="H34" s="186"/>
      <c r="I34" s="195">
        <v>0.51</v>
      </c>
      <c r="J34" s="107">
        <v>0.49</v>
      </c>
      <c r="K34" s="107"/>
      <c r="L34" s="107"/>
      <c r="M34" s="187"/>
      <c r="N34" s="169">
        <f t="shared" si="0"/>
        <v>1</v>
      </c>
      <c r="O34" s="144">
        <v>1</v>
      </c>
      <c r="P34" s="145">
        <v>15</v>
      </c>
      <c r="Q34" s="113">
        <v>15</v>
      </c>
      <c r="R34" s="113"/>
      <c r="S34" s="113"/>
      <c r="T34" s="146"/>
      <c r="U34" s="148">
        <f t="shared" si="1"/>
        <v>15</v>
      </c>
      <c r="V34" s="149">
        <f t="shared" si="2"/>
        <v>15</v>
      </c>
      <c r="W34" s="189"/>
      <c r="X34" s="199"/>
      <c r="Y34" s="151"/>
      <c r="Z34" s="190"/>
      <c r="AA34" s="153"/>
      <c r="AB34" s="154">
        <f t="shared" si="3"/>
        <v>0</v>
      </c>
      <c r="AC34" s="149">
        <f t="shared" si="4"/>
        <v>0</v>
      </c>
      <c r="AD34" s="125">
        <v>2</v>
      </c>
      <c r="AE34" s="148">
        <f t="shared" si="5"/>
        <v>2</v>
      </c>
      <c r="AF34" s="156"/>
      <c r="AG34" s="156"/>
      <c r="AH34" s="113">
        <f t="shared" si="6"/>
        <v>17</v>
      </c>
      <c r="AI34" s="157">
        <v>65</v>
      </c>
      <c r="AJ34" s="113">
        <f t="shared" si="7"/>
        <v>82</v>
      </c>
      <c r="AK34" s="113">
        <f t="shared" si="8"/>
        <v>82</v>
      </c>
      <c r="AL34" s="158">
        <f t="shared" si="9"/>
        <v>1.02</v>
      </c>
      <c r="AM34" s="159"/>
      <c r="AN34" s="160">
        <f t="shared" si="10"/>
        <v>1</v>
      </c>
      <c r="AO34" s="160">
        <f t="shared" si="10"/>
        <v>2</v>
      </c>
      <c r="AP34" s="133"/>
      <c r="AQ34" s="134"/>
      <c r="AR34" s="161"/>
      <c r="AS34" s="161"/>
      <c r="AT34" s="161"/>
      <c r="AU34" s="161"/>
      <c r="AV34" s="162"/>
      <c r="AW34" s="137">
        <f t="shared" si="11"/>
        <v>0</v>
      </c>
      <c r="AX34" s="137">
        <f t="shared" si="12"/>
        <v>0</v>
      </c>
    </row>
    <row r="35" ht="46.5" customHeight="1" spans="1:50" s="97" customFormat="1" x14ac:dyDescent="0.25">
      <c r="A35" s="100"/>
      <c r="B35" s="100"/>
      <c r="C35" s="100"/>
      <c r="D35" s="100"/>
      <c r="E35" s="100"/>
      <c r="F35" s="100"/>
      <c r="G35" s="103"/>
      <c r="H35" s="186"/>
      <c r="I35" s="195">
        <v>0.51</v>
      </c>
      <c r="J35" s="107">
        <v>0.49</v>
      </c>
      <c r="K35" s="107"/>
      <c r="L35" s="107"/>
      <c r="M35" s="187"/>
      <c r="N35" s="169">
        <f t="shared" si="0"/>
        <v>1</v>
      </c>
      <c r="O35" s="144">
        <v>1</v>
      </c>
      <c r="P35" s="145">
        <v>15</v>
      </c>
      <c r="Q35" s="113">
        <v>15</v>
      </c>
      <c r="R35" s="113"/>
      <c r="S35" s="113"/>
      <c r="T35" s="146"/>
      <c r="U35" s="148">
        <f t="shared" si="1"/>
        <v>15</v>
      </c>
      <c r="V35" s="149">
        <f t="shared" si="2"/>
        <v>15</v>
      </c>
      <c r="W35" s="189"/>
      <c r="X35" s="199"/>
      <c r="Y35" s="151"/>
      <c r="Z35" s="190"/>
      <c r="AA35" s="153"/>
      <c r="AB35" s="154">
        <f t="shared" si="3"/>
        <v>0</v>
      </c>
      <c r="AC35" s="149">
        <f t="shared" si="4"/>
        <v>0</v>
      </c>
      <c r="AD35" s="125">
        <v>2</v>
      </c>
      <c r="AE35" s="148">
        <f t="shared" si="5"/>
        <v>2</v>
      </c>
      <c r="AF35" s="156"/>
      <c r="AG35" s="156"/>
      <c r="AH35" s="113">
        <f t="shared" si="6"/>
        <v>17</v>
      </c>
      <c r="AI35" s="157">
        <v>65</v>
      </c>
      <c r="AJ35" s="113">
        <f t="shared" si="7"/>
        <v>82</v>
      </c>
      <c r="AK35" s="113">
        <f t="shared" si="8"/>
        <v>82</v>
      </c>
      <c r="AL35" s="158">
        <f t="shared" si="9"/>
        <v>1.02</v>
      </c>
      <c r="AM35" s="159"/>
      <c r="AN35" s="160">
        <f t="shared" ref="AN35:AO54" si="13">100%+AM35</f>
        <v>1</v>
      </c>
      <c r="AO35" s="160">
        <f t="shared" si="13"/>
        <v>2</v>
      </c>
      <c r="AP35" s="133"/>
      <c r="AQ35" s="134"/>
      <c r="AR35" s="161"/>
      <c r="AS35" s="161"/>
      <c r="AT35" s="161"/>
      <c r="AU35" s="161"/>
      <c r="AV35" s="162"/>
      <c r="AW35" s="137">
        <f t="shared" si="11"/>
        <v>0</v>
      </c>
      <c r="AX35" s="137">
        <f t="shared" si="12"/>
        <v>0</v>
      </c>
    </row>
    <row r="36" ht="46.5" customHeight="1" spans="1:50" s="97" customFormat="1" x14ac:dyDescent="0.25">
      <c r="A36" s="100"/>
      <c r="B36" s="100"/>
      <c r="C36" s="100"/>
      <c r="D36" s="100"/>
      <c r="E36" s="100"/>
      <c r="F36" s="100"/>
      <c r="G36" s="103"/>
      <c r="H36" s="186"/>
      <c r="I36" s="195">
        <v>0.51</v>
      </c>
      <c r="J36" s="107">
        <v>0.49</v>
      </c>
      <c r="K36" s="107"/>
      <c r="L36" s="107"/>
      <c r="M36" s="187"/>
      <c r="N36" s="169">
        <f t="shared" si="0"/>
        <v>1</v>
      </c>
      <c r="O36" s="144">
        <v>1</v>
      </c>
      <c r="P36" s="145">
        <v>15</v>
      </c>
      <c r="Q36" s="113">
        <v>15</v>
      </c>
      <c r="R36" s="113"/>
      <c r="S36" s="113"/>
      <c r="T36" s="146"/>
      <c r="U36" s="148">
        <f t="shared" si="1"/>
        <v>15</v>
      </c>
      <c r="V36" s="149">
        <f t="shared" si="2"/>
        <v>15</v>
      </c>
      <c r="W36" s="189"/>
      <c r="X36" s="199"/>
      <c r="Y36" s="151"/>
      <c r="Z36" s="190"/>
      <c r="AA36" s="153"/>
      <c r="AB36" s="154">
        <f t="shared" si="3"/>
        <v>0</v>
      </c>
      <c r="AC36" s="149">
        <f t="shared" si="4"/>
        <v>0</v>
      </c>
      <c r="AD36" s="125">
        <v>2</v>
      </c>
      <c r="AE36" s="148">
        <f t="shared" si="5"/>
        <v>2</v>
      </c>
      <c r="AF36" s="156"/>
      <c r="AG36" s="156"/>
      <c r="AH36" s="113">
        <f t="shared" si="6"/>
        <v>17</v>
      </c>
      <c r="AI36" s="157">
        <v>65</v>
      </c>
      <c r="AJ36" s="113">
        <f t="shared" si="7"/>
        <v>82</v>
      </c>
      <c r="AK36" s="113">
        <f t="shared" si="8"/>
        <v>82</v>
      </c>
      <c r="AL36" s="158">
        <f t="shared" si="9"/>
        <v>1.02</v>
      </c>
      <c r="AM36" s="159"/>
      <c r="AN36" s="160">
        <f t="shared" si="13"/>
        <v>1</v>
      </c>
      <c r="AO36" s="160">
        <f t="shared" si="13"/>
        <v>2</v>
      </c>
      <c r="AP36" s="133"/>
      <c r="AQ36" s="134"/>
      <c r="AR36" s="161"/>
      <c r="AS36" s="161"/>
      <c r="AT36" s="161"/>
      <c r="AU36" s="161"/>
      <c r="AV36" s="162"/>
      <c r="AW36" s="137">
        <f t="shared" si="11"/>
        <v>0</v>
      </c>
      <c r="AX36" s="137">
        <f t="shared" si="12"/>
        <v>0</v>
      </c>
    </row>
    <row r="37" ht="46.5" customHeight="1" spans="1:50" s="97" customFormat="1" x14ac:dyDescent="0.25">
      <c r="A37" s="100"/>
      <c r="B37" s="100"/>
      <c r="C37" s="100"/>
      <c r="D37" s="100"/>
      <c r="E37" s="100"/>
      <c r="F37" s="100"/>
      <c r="G37" s="103"/>
      <c r="H37" s="186"/>
      <c r="I37" s="195">
        <v>0.51</v>
      </c>
      <c r="J37" s="107">
        <v>0.49</v>
      </c>
      <c r="K37" s="107"/>
      <c r="L37" s="107"/>
      <c r="M37" s="187"/>
      <c r="N37" s="169">
        <f t="shared" si="0"/>
        <v>1</v>
      </c>
      <c r="O37" s="144">
        <v>1</v>
      </c>
      <c r="P37" s="145">
        <v>15</v>
      </c>
      <c r="Q37" s="113">
        <v>15</v>
      </c>
      <c r="R37" s="113"/>
      <c r="S37" s="113"/>
      <c r="T37" s="146"/>
      <c r="U37" s="148">
        <f t="shared" si="1"/>
        <v>15</v>
      </c>
      <c r="V37" s="149">
        <f t="shared" si="2"/>
        <v>15</v>
      </c>
      <c r="W37" s="189"/>
      <c r="X37" s="199"/>
      <c r="Y37" s="151"/>
      <c r="Z37" s="190"/>
      <c r="AA37" s="153"/>
      <c r="AB37" s="154">
        <f t="shared" si="3"/>
        <v>0</v>
      </c>
      <c r="AC37" s="149">
        <f t="shared" si="4"/>
        <v>0</v>
      </c>
      <c r="AD37" s="125">
        <v>2</v>
      </c>
      <c r="AE37" s="148">
        <f t="shared" si="5"/>
        <v>2</v>
      </c>
      <c r="AF37" s="156"/>
      <c r="AG37" s="156"/>
      <c r="AH37" s="113">
        <f t="shared" si="6"/>
        <v>17</v>
      </c>
      <c r="AI37" s="157">
        <v>65</v>
      </c>
      <c r="AJ37" s="113">
        <f t="shared" si="7"/>
        <v>82</v>
      </c>
      <c r="AK37" s="113">
        <f t="shared" si="8"/>
        <v>82</v>
      </c>
      <c r="AL37" s="158">
        <f t="shared" si="9"/>
        <v>1.02</v>
      </c>
      <c r="AM37" s="159"/>
      <c r="AN37" s="160">
        <f t="shared" si="13"/>
        <v>1</v>
      </c>
      <c r="AO37" s="160">
        <f t="shared" si="13"/>
        <v>2</v>
      </c>
      <c r="AP37" s="133"/>
      <c r="AQ37" s="134"/>
      <c r="AR37" s="161"/>
      <c r="AS37" s="161"/>
      <c r="AT37" s="161"/>
      <c r="AU37" s="161"/>
      <c r="AV37" s="162"/>
      <c r="AW37" s="137">
        <f t="shared" si="11"/>
        <v>0</v>
      </c>
      <c r="AX37" s="137">
        <f t="shared" si="12"/>
        <v>0</v>
      </c>
    </row>
    <row r="38" ht="46.5" customHeight="1" spans="1:50" s="97" customFormat="1" x14ac:dyDescent="0.25">
      <c r="A38" s="100"/>
      <c r="B38" s="100"/>
      <c r="C38" s="100"/>
      <c r="D38" s="100"/>
      <c r="E38" s="100"/>
      <c r="F38" s="100"/>
      <c r="G38" s="103"/>
      <c r="H38" s="186"/>
      <c r="I38" s="195">
        <v>0.51</v>
      </c>
      <c r="J38" s="107">
        <v>0.49</v>
      </c>
      <c r="K38" s="107"/>
      <c r="L38" s="107"/>
      <c r="M38" s="187"/>
      <c r="N38" s="169">
        <f t="shared" si="0"/>
        <v>1</v>
      </c>
      <c r="O38" s="144">
        <v>1</v>
      </c>
      <c r="P38" s="145">
        <v>15</v>
      </c>
      <c r="Q38" s="113">
        <v>15</v>
      </c>
      <c r="R38" s="113"/>
      <c r="S38" s="113"/>
      <c r="T38" s="146"/>
      <c r="U38" s="148">
        <f t="shared" si="1"/>
        <v>15</v>
      </c>
      <c r="V38" s="149">
        <f t="shared" si="2"/>
        <v>15</v>
      </c>
      <c r="W38" s="189"/>
      <c r="X38" s="199"/>
      <c r="Y38" s="151"/>
      <c r="Z38" s="190"/>
      <c r="AA38" s="153"/>
      <c r="AB38" s="154">
        <f t="shared" si="3"/>
        <v>0</v>
      </c>
      <c r="AC38" s="149">
        <f t="shared" si="4"/>
        <v>0</v>
      </c>
      <c r="AD38" s="125">
        <v>2</v>
      </c>
      <c r="AE38" s="148">
        <f t="shared" si="5"/>
        <v>2</v>
      </c>
      <c r="AF38" s="156"/>
      <c r="AG38" s="156"/>
      <c r="AH38" s="113">
        <f t="shared" si="6"/>
        <v>17</v>
      </c>
      <c r="AI38" s="157">
        <v>65</v>
      </c>
      <c r="AJ38" s="113">
        <f t="shared" si="7"/>
        <v>82</v>
      </c>
      <c r="AK38" s="113">
        <f t="shared" si="8"/>
        <v>82</v>
      </c>
      <c r="AL38" s="158">
        <f t="shared" si="9"/>
        <v>1.02</v>
      </c>
      <c r="AM38" s="159"/>
      <c r="AN38" s="160">
        <f t="shared" si="13"/>
        <v>1</v>
      </c>
      <c r="AO38" s="160">
        <f t="shared" si="13"/>
        <v>2</v>
      </c>
      <c r="AP38" s="133"/>
      <c r="AQ38" s="134"/>
      <c r="AR38" s="161"/>
      <c r="AS38" s="161"/>
      <c r="AT38" s="161"/>
      <c r="AU38" s="161"/>
      <c r="AV38" s="162"/>
      <c r="AW38" s="137">
        <f t="shared" si="11"/>
        <v>0</v>
      </c>
      <c r="AX38" s="137">
        <f t="shared" si="12"/>
        <v>0</v>
      </c>
    </row>
    <row r="39" ht="46.5" customHeight="1" spans="1:50" s="97" customFormat="1" x14ac:dyDescent="0.25">
      <c r="A39" s="100"/>
      <c r="B39" s="100"/>
      <c r="C39" s="100"/>
      <c r="D39" s="100"/>
      <c r="E39" s="100"/>
      <c r="F39" s="100"/>
      <c r="G39" s="103"/>
      <c r="H39" s="186"/>
      <c r="I39" s="195">
        <v>0.51</v>
      </c>
      <c r="J39" s="107">
        <v>0.49</v>
      </c>
      <c r="K39" s="107"/>
      <c r="L39" s="107"/>
      <c r="M39" s="187"/>
      <c r="N39" s="169">
        <f t="shared" si="0"/>
        <v>1</v>
      </c>
      <c r="O39" s="144">
        <v>1</v>
      </c>
      <c r="P39" s="145">
        <v>15</v>
      </c>
      <c r="Q39" s="113">
        <v>15</v>
      </c>
      <c r="R39" s="113"/>
      <c r="S39" s="113"/>
      <c r="T39" s="146"/>
      <c r="U39" s="148">
        <f t="shared" si="1"/>
        <v>15</v>
      </c>
      <c r="V39" s="149">
        <f t="shared" si="2"/>
        <v>15</v>
      </c>
      <c r="W39" s="189"/>
      <c r="X39" s="199"/>
      <c r="Y39" s="151"/>
      <c r="Z39" s="190"/>
      <c r="AA39" s="153"/>
      <c r="AB39" s="154">
        <f t="shared" si="3"/>
        <v>0</v>
      </c>
      <c r="AC39" s="149">
        <f t="shared" si="4"/>
        <v>0</v>
      </c>
      <c r="AD39" s="125">
        <v>2</v>
      </c>
      <c r="AE39" s="148">
        <f t="shared" si="5"/>
        <v>2</v>
      </c>
      <c r="AF39" s="156"/>
      <c r="AG39" s="156"/>
      <c r="AH39" s="113">
        <f t="shared" si="6"/>
        <v>17</v>
      </c>
      <c r="AI39" s="157">
        <v>65</v>
      </c>
      <c r="AJ39" s="113">
        <f t="shared" si="7"/>
        <v>82</v>
      </c>
      <c r="AK39" s="113">
        <f t="shared" si="8"/>
        <v>82</v>
      </c>
      <c r="AL39" s="158">
        <f t="shared" si="9"/>
        <v>1.02</v>
      </c>
      <c r="AM39" s="159"/>
      <c r="AN39" s="160">
        <f t="shared" si="13"/>
        <v>1</v>
      </c>
      <c r="AO39" s="160">
        <f t="shared" si="13"/>
        <v>2</v>
      </c>
      <c r="AP39" s="133"/>
      <c r="AQ39" s="134"/>
      <c r="AR39" s="161"/>
      <c r="AS39" s="161"/>
      <c r="AT39" s="161"/>
      <c r="AU39" s="161"/>
      <c r="AV39" s="162"/>
      <c r="AW39" s="137">
        <f t="shared" si="11"/>
        <v>0</v>
      </c>
      <c r="AX39" s="137">
        <f t="shared" si="12"/>
        <v>0</v>
      </c>
    </row>
    <row r="40" ht="46.5" customHeight="1" spans="1:50" s="97" customFormat="1" x14ac:dyDescent="0.25">
      <c r="A40" s="100"/>
      <c r="B40" s="100"/>
      <c r="C40" s="100"/>
      <c r="D40" s="100"/>
      <c r="E40" s="100"/>
      <c r="F40" s="100"/>
      <c r="G40" s="103"/>
      <c r="H40" s="186"/>
      <c r="I40" s="195">
        <v>0.51</v>
      </c>
      <c r="J40" s="107">
        <v>0.49</v>
      </c>
      <c r="K40" s="107"/>
      <c r="L40" s="107"/>
      <c r="M40" s="187"/>
      <c r="N40" s="169">
        <f t="shared" si="0"/>
        <v>1</v>
      </c>
      <c r="O40" s="144">
        <v>1</v>
      </c>
      <c r="P40" s="145">
        <v>15</v>
      </c>
      <c r="Q40" s="113">
        <v>15</v>
      </c>
      <c r="R40" s="113"/>
      <c r="S40" s="113"/>
      <c r="T40" s="146"/>
      <c r="U40" s="148">
        <f t="shared" si="1"/>
        <v>15</v>
      </c>
      <c r="V40" s="149">
        <f t="shared" si="2"/>
        <v>15</v>
      </c>
      <c r="W40" s="189"/>
      <c r="X40" s="199"/>
      <c r="Y40" s="151"/>
      <c r="Z40" s="190"/>
      <c r="AA40" s="153"/>
      <c r="AB40" s="154">
        <f t="shared" si="3"/>
        <v>0</v>
      </c>
      <c r="AC40" s="149">
        <f t="shared" si="4"/>
        <v>0</v>
      </c>
      <c r="AD40" s="125">
        <v>2</v>
      </c>
      <c r="AE40" s="148">
        <f t="shared" si="5"/>
        <v>2</v>
      </c>
      <c r="AF40" s="156"/>
      <c r="AG40" s="156"/>
      <c r="AH40" s="113">
        <f t="shared" si="6"/>
        <v>17</v>
      </c>
      <c r="AI40" s="157">
        <v>65</v>
      </c>
      <c r="AJ40" s="113">
        <f t="shared" si="7"/>
        <v>82</v>
      </c>
      <c r="AK40" s="113">
        <f t="shared" si="8"/>
        <v>82</v>
      </c>
      <c r="AL40" s="158">
        <f t="shared" si="9"/>
        <v>1.02</v>
      </c>
      <c r="AM40" s="159"/>
      <c r="AN40" s="160">
        <f t="shared" si="13"/>
        <v>1</v>
      </c>
      <c r="AO40" s="160">
        <f t="shared" si="13"/>
        <v>2</v>
      </c>
      <c r="AP40" s="133"/>
      <c r="AQ40" s="134"/>
      <c r="AR40" s="161"/>
      <c r="AS40" s="161"/>
      <c r="AT40" s="161"/>
      <c r="AU40" s="161"/>
      <c r="AV40" s="162"/>
      <c r="AW40" s="137">
        <f t="shared" si="11"/>
        <v>0</v>
      </c>
      <c r="AX40" s="137">
        <f t="shared" si="12"/>
        <v>0</v>
      </c>
    </row>
    <row r="41" ht="46.5" customHeight="1" spans="1:50" s="97" customFormat="1" x14ac:dyDescent="0.25">
      <c r="A41" s="100"/>
      <c r="B41" s="100"/>
      <c r="C41" s="100"/>
      <c r="D41" s="100"/>
      <c r="E41" s="100"/>
      <c r="F41" s="100"/>
      <c r="G41" s="103"/>
      <c r="H41" s="186"/>
      <c r="I41" s="195">
        <v>0.51</v>
      </c>
      <c r="J41" s="107">
        <v>0.49</v>
      </c>
      <c r="K41" s="107"/>
      <c r="L41" s="107"/>
      <c r="M41" s="187"/>
      <c r="N41" s="169">
        <f t="shared" si="0"/>
        <v>1</v>
      </c>
      <c r="O41" s="144">
        <v>1</v>
      </c>
      <c r="P41" s="145">
        <v>15</v>
      </c>
      <c r="Q41" s="113">
        <v>15</v>
      </c>
      <c r="R41" s="113"/>
      <c r="S41" s="113"/>
      <c r="T41" s="146"/>
      <c r="U41" s="148">
        <f t="shared" si="1"/>
        <v>15</v>
      </c>
      <c r="V41" s="149">
        <f t="shared" si="2"/>
        <v>15</v>
      </c>
      <c r="W41" s="189"/>
      <c r="X41" s="199"/>
      <c r="Y41" s="151"/>
      <c r="Z41" s="190"/>
      <c r="AA41" s="153"/>
      <c r="AB41" s="154">
        <f t="shared" si="3"/>
        <v>0</v>
      </c>
      <c r="AC41" s="149">
        <f t="shared" si="4"/>
        <v>0</v>
      </c>
      <c r="AD41" s="125">
        <v>2</v>
      </c>
      <c r="AE41" s="148">
        <f t="shared" si="5"/>
        <v>2</v>
      </c>
      <c r="AF41" s="156"/>
      <c r="AG41" s="156"/>
      <c r="AH41" s="113">
        <f t="shared" si="6"/>
        <v>17</v>
      </c>
      <c r="AI41" s="157">
        <v>65</v>
      </c>
      <c r="AJ41" s="113">
        <f t="shared" si="7"/>
        <v>82</v>
      </c>
      <c r="AK41" s="113">
        <f t="shared" si="8"/>
        <v>82</v>
      </c>
      <c r="AL41" s="158">
        <f t="shared" si="9"/>
        <v>1.02</v>
      </c>
      <c r="AM41" s="159"/>
      <c r="AN41" s="160">
        <f t="shared" si="13"/>
        <v>1</v>
      </c>
      <c r="AO41" s="160">
        <f t="shared" si="13"/>
        <v>2</v>
      </c>
      <c r="AP41" s="133"/>
      <c r="AQ41" s="134"/>
      <c r="AR41" s="161"/>
      <c r="AS41" s="161"/>
      <c r="AT41" s="161"/>
      <c r="AU41" s="161"/>
      <c r="AV41" s="162"/>
      <c r="AW41" s="137">
        <f t="shared" si="11"/>
        <v>0</v>
      </c>
      <c r="AX41" s="137">
        <f t="shared" si="12"/>
        <v>0</v>
      </c>
    </row>
    <row r="42" ht="46.5" customHeight="1" spans="1:50" s="97" customFormat="1" x14ac:dyDescent="0.25">
      <c r="A42" s="100"/>
      <c r="B42" s="100"/>
      <c r="C42" s="100"/>
      <c r="D42" s="100"/>
      <c r="E42" s="100"/>
      <c r="F42" s="100"/>
      <c r="G42" s="103"/>
      <c r="H42" s="186"/>
      <c r="I42" s="195">
        <v>0.51</v>
      </c>
      <c r="J42" s="107">
        <v>0.49</v>
      </c>
      <c r="K42" s="107"/>
      <c r="L42" s="107"/>
      <c r="M42" s="187"/>
      <c r="N42" s="169">
        <f t="shared" si="0"/>
        <v>1</v>
      </c>
      <c r="O42" s="144">
        <v>1</v>
      </c>
      <c r="P42" s="145">
        <v>15</v>
      </c>
      <c r="Q42" s="113">
        <v>15</v>
      </c>
      <c r="R42" s="113"/>
      <c r="S42" s="113"/>
      <c r="T42" s="146"/>
      <c r="U42" s="148">
        <f t="shared" si="1"/>
        <v>15</v>
      </c>
      <c r="V42" s="149">
        <f t="shared" si="2"/>
        <v>15</v>
      </c>
      <c r="W42" s="189"/>
      <c r="X42" s="199"/>
      <c r="Y42" s="151"/>
      <c r="Z42" s="190"/>
      <c r="AA42" s="153"/>
      <c r="AB42" s="154">
        <f t="shared" si="3"/>
        <v>0</v>
      </c>
      <c r="AC42" s="149">
        <f t="shared" si="4"/>
        <v>0</v>
      </c>
      <c r="AD42" s="125">
        <v>2</v>
      </c>
      <c r="AE42" s="148">
        <f t="shared" si="5"/>
        <v>2</v>
      </c>
      <c r="AF42" s="156"/>
      <c r="AG42" s="156"/>
      <c r="AH42" s="113">
        <f t="shared" si="6"/>
        <v>17</v>
      </c>
      <c r="AI42" s="157">
        <v>65</v>
      </c>
      <c r="AJ42" s="113">
        <f t="shared" si="7"/>
        <v>82</v>
      </c>
      <c r="AK42" s="113">
        <f t="shared" si="8"/>
        <v>82</v>
      </c>
      <c r="AL42" s="158">
        <f t="shared" si="9"/>
        <v>1.02</v>
      </c>
      <c r="AM42" s="159"/>
      <c r="AN42" s="160">
        <f t="shared" si="13"/>
        <v>1</v>
      </c>
      <c r="AO42" s="160">
        <f t="shared" si="13"/>
        <v>2</v>
      </c>
      <c r="AP42" s="133"/>
      <c r="AQ42" s="134"/>
      <c r="AR42" s="161"/>
      <c r="AS42" s="161"/>
      <c r="AT42" s="161"/>
      <c r="AU42" s="161"/>
      <c r="AV42" s="162"/>
      <c r="AW42" s="137">
        <f t="shared" si="11"/>
        <v>0</v>
      </c>
      <c r="AX42" s="137">
        <f t="shared" si="12"/>
        <v>0</v>
      </c>
    </row>
    <row r="43" ht="46.5" customHeight="1" spans="1:50" s="97" customFormat="1" x14ac:dyDescent="0.25">
      <c r="A43" s="100"/>
      <c r="B43" s="100"/>
      <c r="C43" s="100"/>
      <c r="D43" s="100"/>
      <c r="E43" s="100"/>
      <c r="F43" s="100"/>
      <c r="G43" s="103"/>
      <c r="H43" s="186"/>
      <c r="I43" s="195">
        <v>0.51</v>
      </c>
      <c r="J43" s="107">
        <v>0.49</v>
      </c>
      <c r="K43" s="107"/>
      <c r="L43" s="107"/>
      <c r="M43" s="187"/>
      <c r="N43" s="169">
        <f t="shared" si="0"/>
        <v>1</v>
      </c>
      <c r="O43" s="144">
        <v>1</v>
      </c>
      <c r="P43" s="145">
        <v>15</v>
      </c>
      <c r="Q43" s="113">
        <v>15</v>
      </c>
      <c r="R43" s="113"/>
      <c r="S43" s="113"/>
      <c r="T43" s="146"/>
      <c r="U43" s="148">
        <f t="shared" si="1"/>
        <v>15</v>
      </c>
      <c r="V43" s="149">
        <f t="shared" si="2"/>
        <v>15</v>
      </c>
      <c r="W43" s="189"/>
      <c r="X43" s="199"/>
      <c r="Y43" s="151"/>
      <c r="Z43" s="190"/>
      <c r="AA43" s="153"/>
      <c r="AB43" s="154">
        <f t="shared" si="3"/>
        <v>0</v>
      </c>
      <c r="AC43" s="149">
        <f t="shared" si="4"/>
        <v>0</v>
      </c>
      <c r="AD43" s="125">
        <v>2</v>
      </c>
      <c r="AE43" s="148">
        <f t="shared" si="5"/>
        <v>2</v>
      </c>
      <c r="AF43" s="156"/>
      <c r="AG43" s="156"/>
      <c r="AH43" s="113">
        <f t="shared" si="6"/>
        <v>17</v>
      </c>
      <c r="AI43" s="157">
        <v>65</v>
      </c>
      <c r="AJ43" s="113">
        <f t="shared" si="7"/>
        <v>82</v>
      </c>
      <c r="AK43" s="113">
        <f t="shared" si="8"/>
        <v>82</v>
      </c>
      <c r="AL43" s="158">
        <f t="shared" si="9"/>
        <v>1.02</v>
      </c>
      <c r="AM43" s="159"/>
      <c r="AN43" s="160">
        <f t="shared" si="13"/>
        <v>1</v>
      </c>
      <c r="AO43" s="160">
        <f t="shared" si="13"/>
        <v>2</v>
      </c>
      <c r="AP43" s="133"/>
      <c r="AQ43" s="134"/>
      <c r="AR43" s="161"/>
      <c r="AS43" s="161"/>
      <c r="AT43" s="161"/>
      <c r="AU43" s="161"/>
      <c r="AV43" s="162"/>
      <c r="AW43" s="137">
        <f t="shared" si="11"/>
        <v>0</v>
      </c>
      <c r="AX43" s="137">
        <f t="shared" si="12"/>
        <v>0</v>
      </c>
    </row>
    <row r="44" ht="46.5" customHeight="1" spans="1:50" s="97" customFormat="1" x14ac:dyDescent="0.25">
      <c r="A44" s="100"/>
      <c r="B44" s="100"/>
      <c r="C44" s="100"/>
      <c r="D44" s="100"/>
      <c r="E44" s="100"/>
      <c r="F44" s="100"/>
      <c r="G44" s="103"/>
      <c r="H44" s="186"/>
      <c r="I44" s="195">
        <v>0.51</v>
      </c>
      <c r="J44" s="107">
        <v>0.49</v>
      </c>
      <c r="K44" s="107"/>
      <c r="L44" s="107"/>
      <c r="M44" s="187"/>
      <c r="N44" s="169">
        <f t="shared" si="0"/>
        <v>1</v>
      </c>
      <c r="O44" s="144">
        <v>1</v>
      </c>
      <c r="P44" s="145">
        <v>15</v>
      </c>
      <c r="Q44" s="113">
        <v>15</v>
      </c>
      <c r="R44" s="113"/>
      <c r="S44" s="113"/>
      <c r="T44" s="146"/>
      <c r="U44" s="148">
        <f t="shared" si="1"/>
        <v>15</v>
      </c>
      <c r="V44" s="149">
        <f t="shared" si="2"/>
        <v>15</v>
      </c>
      <c r="W44" s="189"/>
      <c r="X44" s="199"/>
      <c r="Y44" s="151"/>
      <c r="Z44" s="190"/>
      <c r="AA44" s="153"/>
      <c r="AB44" s="154">
        <f t="shared" si="3"/>
        <v>0</v>
      </c>
      <c r="AC44" s="149">
        <f t="shared" si="4"/>
        <v>0</v>
      </c>
      <c r="AD44" s="125">
        <v>2</v>
      </c>
      <c r="AE44" s="148">
        <f t="shared" si="5"/>
        <v>2</v>
      </c>
      <c r="AF44" s="156"/>
      <c r="AG44" s="156"/>
      <c r="AH44" s="113">
        <f t="shared" si="6"/>
        <v>17</v>
      </c>
      <c r="AI44" s="157">
        <v>65</v>
      </c>
      <c r="AJ44" s="113">
        <f t="shared" si="7"/>
        <v>82</v>
      </c>
      <c r="AK44" s="113">
        <f t="shared" si="8"/>
        <v>82</v>
      </c>
      <c r="AL44" s="158">
        <f t="shared" si="9"/>
        <v>1.02</v>
      </c>
      <c r="AM44" s="159"/>
      <c r="AN44" s="160">
        <f t="shared" si="13"/>
        <v>1</v>
      </c>
      <c r="AO44" s="160">
        <f t="shared" si="13"/>
        <v>2</v>
      </c>
      <c r="AP44" s="133"/>
      <c r="AQ44" s="134"/>
      <c r="AR44" s="161"/>
      <c r="AS44" s="161"/>
      <c r="AT44" s="161"/>
      <c r="AU44" s="161"/>
      <c r="AV44" s="162"/>
      <c r="AW44" s="137">
        <f t="shared" si="11"/>
        <v>0</v>
      </c>
      <c r="AX44" s="137">
        <f t="shared" si="12"/>
        <v>0</v>
      </c>
    </row>
    <row r="45" ht="46.5" customHeight="1" spans="1:50" s="97" customFormat="1" x14ac:dyDescent="0.25">
      <c r="A45" s="100"/>
      <c r="B45" s="100"/>
      <c r="C45" s="100"/>
      <c r="D45" s="100"/>
      <c r="E45" s="100"/>
      <c r="F45" s="100"/>
      <c r="G45" s="103"/>
      <c r="H45" s="186"/>
      <c r="I45" s="195">
        <v>0.51</v>
      </c>
      <c r="J45" s="107">
        <v>0.49</v>
      </c>
      <c r="K45" s="107"/>
      <c r="L45" s="107"/>
      <c r="M45" s="187"/>
      <c r="N45" s="169">
        <f t="shared" si="0"/>
        <v>1</v>
      </c>
      <c r="O45" s="144">
        <v>1</v>
      </c>
      <c r="P45" s="145">
        <v>15</v>
      </c>
      <c r="Q45" s="113">
        <v>15</v>
      </c>
      <c r="R45" s="113"/>
      <c r="S45" s="113"/>
      <c r="T45" s="146"/>
      <c r="U45" s="148">
        <f t="shared" si="1"/>
        <v>15</v>
      </c>
      <c r="V45" s="149">
        <f t="shared" si="2"/>
        <v>15</v>
      </c>
      <c r="W45" s="189"/>
      <c r="X45" s="199"/>
      <c r="Y45" s="151"/>
      <c r="Z45" s="190"/>
      <c r="AA45" s="153"/>
      <c r="AB45" s="154">
        <f t="shared" si="3"/>
        <v>0</v>
      </c>
      <c r="AC45" s="149">
        <f t="shared" si="4"/>
        <v>0</v>
      </c>
      <c r="AD45" s="125">
        <v>2</v>
      </c>
      <c r="AE45" s="148">
        <f t="shared" si="5"/>
        <v>2</v>
      </c>
      <c r="AF45" s="156"/>
      <c r="AG45" s="156"/>
      <c r="AH45" s="113">
        <f t="shared" si="6"/>
        <v>17</v>
      </c>
      <c r="AI45" s="157">
        <v>65</v>
      </c>
      <c r="AJ45" s="113">
        <f t="shared" si="7"/>
        <v>82</v>
      </c>
      <c r="AK45" s="113">
        <f t="shared" si="8"/>
        <v>82</v>
      </c>
      <c r="AL45" s="158">
        <f t="shared" si="9"/>
        <v>1.02</v>
      </c>
      <c r="AM45" s="159"/>
      <c r="AN45" s="160">
        <f t="shared" si="13"/>
        <v>1</v>
      </c>
      <c r="AO45" s="160">
        <f t="shared" si="13"/>
        <v>2</v>
      </c>
      <c r="AP45" s="133"/>
      <c r="AQ45" s="134"/>
      <c r="AR45" s="161"/>
      <c r="AS45" s="161"/>
      <c r="AT45" s="161"/>
      <c r="AU45" s="161"/>
      <c r="AV45" s="162"/>
      <c r="AW45" s="137">
        <f t="shared" si="11"/>
        <v>0</v>
      </c>
      <c r="AX45" s="137">
        <f t="shared" si="12"/>
        <v>0</v>
      </c>
    </row>
    <row r="46" ht="46.5" customHeight="1" spans="1:50" s="97" customFormat="1" x14ac:dyDescent="0.25">
      <c r="A46" s="100"/>
      <c r="B46" s="100"/>
      <c r="C46" s="100"/>
      <c r="D46" s="100"/>
      <c r="E46" s="100"/>
      <c r="F46" s="100"/>
      <c r="G46" s="103"/>
      <c r="H46" s="186"/>
      <c r="I46" s="195">
        <v>0.51</v>
      </c>
      <c r="J46" s="107">
        <v>0.49</v>
      </c>
      <c r="K46" s="107"/>
      <c r="L46" s="107"/>
      <c r="M46" s="187"/>
      <c r="N46" s="169">
        <f t="shared" si="0"/>
        <v>1</v>
      </c>
      <c r="O46" s="144">
        <v>1</v>
      </c>
      <c r="P46" s="145">
        <v>15</v>
      </c>
      <c r="Q46" s="113">
        <v>15</v>
      </c>
      <c r="R46" s="113"/>
      <c r="S46" s="113"/>
      <c r="T46" s="146"/>
      <c r="U46" s="148">
        <f t="shared" si="1"/>
        <v>15</v>
      </c>
      <c r="V46" s="149">
        <f t="shared" si="2"/>
        <v>15</v>
      </c>
      <c r="W46" s="189"/>
      <c r="X46" s="199"/>
      <c r="Y46" s="151"/>
      <c r="Z46" s="190"/>
      <c r="AA46" s="153"/>
      <c r="AB46" s="154">
        <f t="shared" si="3"/>
        <v>0</v>
      </c>
      <c r="AC46" s="149">
        <f t="shared" si="4"/>
        <v>0</v>
      </c>
      <c r="AD46" s="125">
        <v>2</v>
      </c>
      <c r="AE46" s="148">
        <f t="shared" si="5"/>
        <v>2</v>
      </c>
      <c r="AF46" s="156"/>
      <c r="AG46" s="156"/>
      <c r="AH46" s="113">
        <f t="shared" si="6"/>
        <v>17</v>
      </c>
      <c r="AI46" s="157">
        <v>65</v>
      </c>
      <c r="AJ46" s="113">
        <f t="shared" si="7"/>
        <v>82</v>
      </c>
      <c r="AK46" s="113">
        <f t="shared" si="8"/>
        <v>82</v>
      </c>
      <c r="AL46" s="158">
        <f t="shared" si="9"/>
        <v>1.02</v>
      </c>
      <c r="AM46" s="159"/>
      <c r="AN46" s="160">
        <f t="shared" si="13"/>
        <v>1</v>
      </c>
      <c r="AO46" s="160">
        <f t="shared" si="13"/>
        <v>2</v>
      </c>
      <c r="AP46" s="133"/>
      <c r="AQ46" s="134"/>
      <c r="AR46" s="161"/>
      <c r="AS46" s="161"/>
      <c r="AT46" s="161"/>
      <c r="AU46" s="161"/>
      <c r="AV46" s="162"/>
      <c r="AW46" s="137">
        <f t="shared" si="11"/>
        <v>0</v>
      </c>
      <c r="AX46" s="137">
        <f t="shared" si="12"/>
        <v>0</v>
      </c>
    </row>
    <row r="47" ht="46.5" customHeight="1" spans="1:50" s="97" customFormat="1" x14ac:dyDescent="0.25">
      <c r="A47" s="100"/>
      <c r="B47" s="100"/>
      <c r="C47" s="100"/>
      <c r="D47" s="100"/>
      <c r="E47" s="100"/>
      <c r="F47" s="100"/>
      <c r="G47" s="103"/>
      <c r="H47" s="186"/>
      <c r="I47" s="195">
        <v>0.51</v>
      </c>
      <c r="J47" s="107">
        <v>0.49</v>
      </c>
      <c r="K47" s="107"/>
      <c r="L47" s="107"/>
      <c r="M47" s="187"/>
      <c r="N47" s="169">
        <f t="shared" ref="N47:N110" si="14">SUM(I47:M47)</f>
        <v>1</v>
      </c>
      <c r="O47" s="144">
        <v>1</v>
      </c>
      <c r="P47" s="145">
        <v>15</v>
      </c>
      <c r="Q47" s="113">
        <v>15</v>
      </c>
      <c r="R47" s="113"/>
      <c r="S47" s="113"/>
      <c r="T47" s="146"/>
      <c r="U47" s="148">
        <f t="shared" si="1"/>
        <v>15</v>
      </c>
      <c r="V47" s="149">
        <f t="shared" si="2"/>
        <v>15</v>
      </c>
      <c r="W47" s="189"/>
      <c r="X47" s="199"/>
      <c r="Y47" s="151"/>
      <c r="Z47" s="190"/>
      <c r="AA47" s="153"/>
      <c r="AB47" s="154">
        <f t="shared" si="3"/>
        <v>0</v>
      </c>
      <c r="AC47" s="149">
        <f t="shared" si="4"/>
        <v>0</v>
      </c>
      <c r="AD47" s="125">
        <v>2</v>
      </c>
      <c r="AE47" s="148">
        <f t="shared" si="5"/>
        <v>2</v>
      </c>
      <c r="AF47" s="156"/>
      <c r="AG47" s="156"/>
      <c r="AH47" s="113">
        <f t="shared" si="6"/>
        <v>17</v>
      </c>
      <c r="AI47" s="157">
        <v>65</v>
      </c>
      <c r="AJ47" s="113">
        <f t="shared" si="7"/>
        <v>82</v>
      </c>
      <c r="AK47" s="113">
        <f t="shared" si="8"/>
        <v>82</v>
      </c>
      <c r="AL47" s="158">
        <f t="shared" si="9"/>
        <v>1.02</v>
      </c>
      <c r="AM47" s="159"/>
      <c r="AN47" s="160">
        <f t="shared" si="13"/>
        <v>1</v>
      </c>
      <c r="AO47" s="160">
        <f t="shared" si="13"/>
        <v>2</v>
      </c>
      <c r="AP47" s="133"/>
      <c r="AQ47" s="134"/>
      <c r="AR47" s="161"/>
      <c r="AS47" s="161"/>
      <c r="AT47" s="161"/>
      <c r="AU47" s="161"/>
      <c r="AV47" s="162"/>
      <c r="AW47" s="137">
        <f t="shared" si="11"/>
        <v>0</v>
      </c>
      <c r="AX47" s="137">
        <f t="shared" si="12"/>
        <v>0</v>
      </c>
    </row>
    <row r="48" ht="46.5" customHeight="1" spans="1:50" s="97" customFormat="1" x14ac:dyDescent="0.25">
      <c r="A48" s="100"/>
      <c r="B48" s="100"/>
      <c r="C48" s="100"/>
      <c r="D48" s="100"/>
      <c r="E48" s="100"/>
      <c r="F48" s="100"/>
      <c r="G48" s="103"/>
      <c r="H48" s="186"/>
      <c r="I48" s="195">
        <v>0.51</v>
      </c>
      <c r="J48" s="107">
        <v>0.49</v>
      </c>
      <c r="K48" s="107"/>
      <c r="L48" s="107"/>
      <c r="M48" s="187"/>
      <c r="N48" s="169">
        <f t="shared" si="14"/>
        <v>1</v>
      </c>
      <c r="O48" s="144">
        <v>1</v>
      </c>
      <c r="P48" s="145">
        <v>15</v>
      </c>
      <c r="Q48" s="113">
        <v>15</v>
      </c>
      <c r="R48" s="113"/>
      <c r="S48" s="113"/>
      <c r="T48" s="146"/>
      <c r="U48" s="148">
        <f t="shared" si="1"/>
        <v>15</v>
      </c>
      <c r="V48" s="149">
        <f t="shared" si="2"/>
        <v>15</v>
      </c>
      <c r="W48" s="189"/>
      <c r="X48" s="199"/>
      <c r="Y48" s="151"/>
      <c r="Z48" s="190"/>
      <c r="AA48" s="153"/>
      <c r="AB48" s="154">
        <f t="shared" si="3"/>
        <v>0</v>
      </c>
      <c r="AC48" s="149">
        <f t="shared" si="4"/>
        <v>0</v>
      </c>
      <c r="AD48" s="125">
        <v>2</v>
      </c>
      <c r="AE48" s="148">
        <f t="shared" si="5"/>
        <v>2</v>
      </c>
      <c r="AF48" s="156"/>
      <c r="AG48" s="156"/>
      <c r="AH48" s="113">
        <f t="shared" si="6"/>
        <v>17</v>
      </c>
      <c r="AI48" s="157">
        <v>65</v>
      </c>
      <c r="AJ48" s="113">
        <f t="shared" si="7"/>
        <v>82</v>
      </c>
      <c r="AK48" s="113">
        <f t="shared" si="8"/>
        <v>82</v>
      </c>
      <c r="AL48" s="158">
        <f t="shared" si="9"/>
        <v>1.02</v>
      </c>
      <c r="AM48" s="159"/>
      <c r="AN48" s="160">
        <f t="shared" si="13"/>
        <v>1</v>
      </c>
      <c r="AO48" s="160">
        <f t="shared" si="13"/>
        <v>2</v>
      </c>
      <c r="AP48" s="133"/>
      <c r="AQ48" s="134"/>
      <c r="AR48" s="161"/>
      <c r="AS48" s="161"/>
      <c r="AT48" s="161"/>
      <c r="AU48" s="161"/>
      <c r="AV48" s="162"/>
      <c r="AW48" s="137">
        <f t="shared" si="11"/>
        <v>0</v>
      </c>
      <c r="AX48" s="137">
        <f t="shared" si="12"/>
        <v>0</v>
      </c>
    </row>
    <row r="49" ht="46.5" customHeight="1" spans="1:50" s="97" customFormat="1" x14ac:dyDescent="0.25">
      <c r="A49" s="100"/>
      <c r="B49" s="100"/>
      <c r="C49" s="100"/>
      <c r="D49" s="100"/>
      <c r="E49" s="100"/>
      <c r="F49" s="100"/>
      <c r="G49" s="103"/>
      <c r="H49" s="186"/>
      <c r="I49" s="195">
        <v>0.51</v>
      </c>
      <c r="J49" s="107">
        <v>0.49</v>
      </c>
      <c r="K49" s="107"/>
      <c r="L49" s="107"/>
      <c r="M49" s="187"/>
      <c r="N49" s="169">
        <f t="shared" si="14"/>
        <v>1</v>
      </c>
      <c r="O49" s="144">
        <v>1</v>
      </c>
      <c r="P49" s="145">
        <v>15</v>
      </c>
      <c r="Q49" s="113">
        <v>15</v>
      </c>
      <c r="R49" s="113"/>
      <c r="S49" s="113"/>
      <c r="T49" s="146"/>
      <c r="U49" s="148">
        <f t="shared" si="1"/>
        <v>15</v>
      </c>
      <c r="V49" s="149">
        <f t="shared" si="2"/>
        <v>15</v>
      </c>
      <c r="W49" s="189"/>
      <c r="X49" s="199"/>
      <c r="Y49" s="151"/>
      <c r="Z49" s="190"/>
      <c r="AA49" s="153"/>
      <c r="AB49" s="154">
        <f t="shared" si="3"/>
        <v>0</v>
      </c>
      <c r="AC49" s="149">
        <f t="shared" si="4"/>
        <v>0</v>
      </c>
      <c r="AD49" s="125">
        <v>2</v>
      </c>
      <c r="AE49" s="148">
        <f t="shared" si="5"/>
        <v>2</v>
      </c>
      <c r="AF49" s="156"/>
      <c r="AG49" s="156"/>
      <c r="AH49" s="113">
        <f t="shared" si="6"/>
        <v>17</v>
      </c>
      <c r="AI49" s="157">
        <v>65</v>
      </c>
      <c r="AJ49" s="113">
        <f t="shared" si="7"/>
        <v>82</v>
      </c>
      <c r="AK49" s="113">
        <f t="shared" si="8"/>
        <v>82</v>
      </c>
      <c r="AL49" s="158">
        <f t="shared" si="9"/>
        <v>1.02</v>
      </c>
      <c r="AM49" s="159"/>
      <c r="AN49" s="160">
        <f t="shared" si="13"/>
        <v>1</v>
      </c>
      <c r="AO49" s="160">
        <f t="shared" si="13"/>
        <v>2</v>
      </c>
      <c r="AP49" s="133"/>
      <c r="AQ49" s="134"/>
      <c r="AR49" s="161"/>
      <c r="AS49" s="161"/>
      <c r="AT49" s="161"/>
      <c r="AU49" s="161"/>
      <c r="AV49" s="162"/>
      <c r="AW49" s="137">
        <f t="shared" si="11"/>
        <v>0</v>
      </c>
      <c r="AX49" s="137">
        <f t="shared" si="12"/>
        <v>0</v>
      </c>
    </row>
    <row r="50" ht="46.5" customHeight="1" spans="1:50" s="97" customFormat="1" x14ac:dyDescent="0.25">
      <c r="A50" s="100"/>
      <c r="B50" s="100"/>
      <c r="C50" s="100"/>
      <c r="D50" s="100"/>
      <c r="E50" s="100"/>
      <c r="F50" s="100"/>
      <c r="G50" s="103"/>
      <c r="H50" s="186"/>
      <c r="I50" s="195">
        <v>0.51</v>
      </c>
      <c r="J50" s="107">
        <v>0.49</v>
      </c>
      <c r="K50" s="107"/>
      <c r="L50" s="107"/>
      <c r="M50" s="187"/>
      <c r="N50" s="169">
        <f t="shared" si="14"/>
        <v>1</v>
      </c>
      <c r="O50" s="144">
        <v>1</v>
      </c>
      <c r="P50" s="145">
        <v>15</v>
      </c>
      <c r="Q50" s="113">
        <v>15</v>
      </c>
      <c r="R50" s="113"/>
      <c r="S50" s="113"/>
      <c r="T50" s="146"/>
      <c r="U50" s="148">
        <f t="shared" si="1"/>
        <v>15</v>
      </c>
      <c r="V50" s="149">
        <f t="shared" si="2"/>
        <v>15</v>
      </c>
      <c r="W50" s="189"/>
      <c r="X50" s="199"/>
      <c r="Y50" s="151"/>
      <c r="Z50" s="190"/>
      <c r="AA50" s="153"/>
      <c r="AB50" s="154">
        <f t="shared" si="3"/>
        <v>0</v>
      </c>
      <c r="AC50" s="149">
        <f t="shared" si="4"/>
        <v>0</v>
      </c>
      <c r="AD50" s="125">
        <v>2</v>
      </c>
      <c r="AE50" s="148">
        <f t="shared" si="5"/>
        <v>2</v>
      </c>
      <c r="AF50" s="156"/>
      <c r="AG50" s="156"/>
      <c r="AH50" s="113">
        <f t="shared" si="6"/>
        <v>17</v>
      </c>
      <c r="AI50" s="157">
        <v>65</v>
      </c>
      <c r="AJ50" s="113">
        <f t="shared" si="7"/>
        <v>82</v>
      </c>
      <c r="AK50" s="113">
        <f t="shared" si="8"/>
        <v>82</v>
      </c>
      <c r="AL50" s="158">
        <f t="shared" si="9"/>
        <v>1.02</v>
      </c>
      <c r="AM50" s="159"/>
      <c r="AN50" s="160">
        <f t="shared" si="13"/>
        <v>1</v>
      </c>
      <c r="AO50" s="160">
        <f t="shared" si="13"/>
        <v>2</v>
      </c>
      <c r="AP50" s="133"/>
      <c r="AQ50" s="134"/>
      <c r="AR50" s="161"/>
      <c r="AS50" s="161"/>
      <c r="AT50" s="161"/>
      <c r="AU50" s="161"/>
      <c r="AV50" s="162"/>
      <c r="AW50" s="137">
        <f t="shared" si="11"/>
        <v>0</v>
      </c>
      <c r="AX50" s="137">
        <f t="shared" si="12"/>
        <v>0</v>
      </c>
    </row>
    <row r="51" ht="46.5" customHeight="1" spans="1:50" s="97" customFormat="1" x14ac:dyDescent="0.25">
      <c r="A51" s="100"/>
      <c r="B51" s="100"/>
      <c r="C51" s="100"/>
      <c r="D51" s="100"/>
      <c r="E51" s="100"/>
      <c r="F51" s="100"/>
      <c r="G51" s="103"/>
      <c r="H51" s="186"/>
      <c r="I51" s="195">
        <v>0.51</v>
      </c>
      <c r="J51" s="107">
        <v>0.49</v>
      </c>
      <c r="K51" s="107"/>
      <c r="L51" s="107"/>
      <c r="M51" s="187"/>
      <c r="N51" s="169">
        <f t="shared" si="14"/>
        <v>1</v>
      </c>
      <c r="O51" s="144">
        <v>1</v>
      </c>
      <c r="P51" s="145">
        <v>15</v>
      </c>
      <c r="Q51" s="113">
        <v>15</v>
      </c>
      <c r="R51" s="113"/>
      <c r="S51" s="113"/>
      <c r="T51" s="146"/>
      <c r="U51" s="148">
        <f t="shared" si="1"/>
        <v>15</v>
      </c>
      <c r="V51" s="149">
        <f t="shared" si="2"/>
        <v>15</v>
      </c>
      <c r="W51" s="189"/>
      <c r="X51" s="199"/>
      <c r="Y51" s="151"/>
      <c r="Z51" s="190"/>
      <c r="AA51" s="153"/>
      <c r="AB51" s="154">
        <f t="shared" si="3"/>
        <v>0</v>
      </c>
      <c r="AC51" s="149">
        <f t="shared" si="4"/>
        <v>0</v>
      </c>
      <c r="AD51" s="125">
        <v>2</v>
      </c>
      <c r="AE51" s="148">
        <f t="shared" si="5"/>
        <v>2</v>
      </c>
      <c r="AF51" s="156"/>
      <c r="AG51" s="156"/>
      <c r="AH51" s="113">
        <f t="shared" si="6"/>
        <v>17</v>
      </c>
      <c r="AI51" s="157">
        <v>65</v>
      </c>
      <c r="AJ51" s="113">
        <f t="shared" si="7"/>
        <v>82</v>
      </c>
      <c r="AK51" s="113">
        <f t="shared" si="8"/>
        <v>82</v>
      </c>
      <c r="AL51" s="158">
        <f t="shared" si="9"/>
        <v>1.02</v>
      </c>
      <c r="AM51" s="159"/>
      <c r="AN51" s="160">
        <f t="shared" si="13"/>
        <v>1</v>
      </c>
      <c r="AO51" s="160">
        <f t="shared" si="13"/>
        <v>2</v>
      </c>
      <c r="AP51" s="133"/>
      <c r="AQ51" s="134"/>
      <c r="AR51" s="161"/>
      <c r="AS51" s="161"/>
      <c r="AT51" s="161"/>
      <c r="AU51" s="161"/>
      <c r="AV51" s="162"/>
      <c r="AW51" s="137">
        <f t="shared" si="11"/>
        <v>0</v>
      </c>
      <c r="AX51" s="137">
        <f t="shared" si="12"/>
        <v>0</v>
      </c>
    </row>
    <row r="52" ht="46.5" customHeight="1" spans="1:50" s="97" customFormat="1" x14ac:dyDescent="0.25">
      <c r="A52" s="100"/>
      <c r="B52" s="100"/>
      <c r="C52" s="100"/>
      <c r="D52" s="100"/>
      <c r="E52" s="100"/>
      <c r="F52" s="100"/>
      <c r="G52" s="103"/>
      <c r="H52" s="186"/>
      <c r="I52" s="195">
        <v>0.51</v>
      </c>
      <c r="J52" s="107">
        <v>0.49</v>
      </c>
      <c r="K52" s="107"/>
      <c r="L52" s="107"/>
      <c r="M52" s="187"/>
      <c r="N52" s="169">
        <f t="shared" si="14"/>
        <v>1</v>
      </c>
      <c r="O52" s="144">
        <v>1</v>
      </c>
      <c r="P52" s="145">
        <v>15</v>
      </c>
      <c r="Q52" s="113">
        <v>15</v>
      </c>
      <c r="R52" s="113"/>
      <c r="S52" s="113"/>
      <c r="T52" s="146"/>
      <c r="U52" s="148">
        <f t="shared" si="1"/>
        <v>15</v>
      </c>
      <c r="V52" s="149">
        <f t="shared" si="2"/>
        <v>15</v>
      </c>
      <c r="W52" s="189"/>
      <c r="X52" s="199"/>
      <c r="Y52" s="151"/>
      <c r="Z52" s="190"/>
      <c r="AA52" s="153"/>
      <c r="AB52" s="154">
        <f t="shared" si="3"/>
        <v>0</v>
      </c>
      <c r="AC52" s="149">
        <f t="shared" si="4"/>
        <v>0</v>
      </c>
      <c r="AD52" s="125">
        <v>2</v>
      </c>
      <c r="AE52" s="148">
        <f t="shared" si="5"/>
        <v>2</v>
      </c>
      <c r="AF52" s="156"/>
      <c r="AG52" s="156"/>
      <c r="AH52" s="113">
        <f t="shared" si="6"/>
        <v>17</v>
      </c>
      <c r="AI52" s="157">
        <v>65</v>
      </c>
      <c r="AJ52" s="113">
        <f t="shared" si="7"/>
        <v>82</v>
      </c>
      <c r="AK52" s="113">
        <f t="shared" si="8"/>
        <v>82</v>
      </c>
      <c r="AL52" s="158">
        <f t="shared" si="9"/>
        <v>1.02</v>
      </c>
      <c r="AM52" s="159"/>
      <c r="AN52" s="160">
        <f t="shared" si="13"/>
        <v>1</v>
      </c>
      <c r="AO52" s="160">
        <f t="shared" si="13"/>
        <v>2</v>
      </c>
      <c r="AP52" s="133"/>
      <c r="AQ52" s="134"/>
      <c r="AR52" s="161"/>
      <c r="AS52" s="161"/>
      <c r="AT52" s="161"/>
      <c r="AU52" s="161"/>
      <c r="AV52" s="162"/>
      <c r="AW52" s="137">
        <f t="shared" si="11"/>
        <v>0</v>
      </c>
      <c r="AX52" s="137">
        <f t="shared" si="12"/>
        <v>0</v>
      </c>
    </row>
    <row r="53" ht="46.5" customHeight="1" spans="1:50" s="97" customFormat="1" x14ac:dyDescent="0.25">
      <c r="A53" s="100"/>
      <c r="B53" s="100"/>
      <c r="C53" s="100"/>
      <c r="D53" s="100"/>
      <c r="E53" s="100"/>
      <c r="F53" s="100"/>
      <c r="G53" s="103"/>
      <c r="H53" s="186"/>
      <c r="I53" s="195">
        <v>0.51</v>
      </c>
      <c r="J53" s="107">
        <v>0.49</v>
      </c>
      <c r="K53" s="107"/>
      <c r="L53" s="107"/>
      <c r="M53" s="187"/>
      <c r="N53" s="169">
        <f t="shared" si="14"/>
        <v>1</v>
      </c>
      <c r="O53" s="144">
        <v>1</v>
      </c>
      <c r="P53" s="145">
        <v>15</v>
      </c>
      <c r="Q53" s="113">
        <v>15</v>
      </c>
      <c r="R53" s="113"/>
      <c r="S53" s="113"/>
      <c r="T53" s="146"/>
      <c r="U53" s="148">
        <f t="shared" si="1"/>
        <v>15</v>
      </c>
      <c r="V53" s="149">
        <f t="shared" si="2"/>
        <v>15</v>
      </c>
      <c r="W53" s="189"/>
      <c r="X53" s="199"/>
      <c r="Y53" s="151"/>
      <c r="Z53" s="190"/>
      <c r="AA53" s="153"/>
      <c r="AB53" s="154">
        <f t="shared" si="3"/>
        <v>0</v>
      </c>
      <c r="AC53" s="149">
        <f t="shared" si="4"/>
        <v>0</v>
      </c>
      <c r="AD53" s="125">
        <v>2</v>
      </c>
      <c r="AE53" s="148">
        <f t="shared" si="5"/>
        <v>2</v>
      </c>
      <c r="AF53" s="156"/>
      <c r="AG53" s="156"/>
      <c r="AH53" s="113">
        <f t="shared" si="6"/>
        <v>17</v>
      </c>
      <c r="AI53" s="157">
        <v>65</v>
      </c>
      <c r="AJ53" s="113">
        <f t="shared" si="7"/>
        <v>82</v>
      </c>
      <c r="AK53" s="113">
        <f t="shared" si="8"/>
        <v>82</v>
      </c>
      <c r="AL53" s="158">
        <f t="shared" si="9"/>
        <v>1.02</v>
      </c>
      <c r="AM53" s="159"/>
      <c r="AN53" s="160">
        <f t="shared" si="13"/>
        <v>1</v>
      </c>
      <c r="AO53" s="160">
        <f t="shared" si="13"/>
        <v>2</v>
      </c>
      <c r="AP53" s="133"/>
      <c r="AQ53" s="134"/>
      <c r="AR53" s="161"/>
      <c r="AS53" s="161"/>
      <c r="AT53" s="161"/>
      <c r="AU53" s="161"/>
      <c r="AV53" s="162"/>
      <c r="AW53" s="137">
        <f t="shared" si="11"/>
        <v>0</v>
      </c>
      <c r="AX53" s="137">
        <f t="shared" si="12"/>
        <v>0</v>
      </c>
    </row>
    <row r="54" ht="46.5" customHeight="1" spans="1:50" s="97" customFormat="1" x14ac:dyDescent="0.25">
      <c r="A54" s="100"/>
      <c r="B54" s="100"/>
      <c r="C54" s="100"/>
      <c r="D54" s="100"/>
      <c r="E54" s="100"/>
      <c r="F54" s="100"/>
      <c r="G54" s="103"/>
      <c r="H54" s="186"/>
      <c r="I54" s="195">
        <v>0.51</v>
      </c>
      <c r="J54" s="107">
        <v>0.49</v>
      </c>
      <c r="K54" s="107"/>
      <c r="L54" s="107"/>
      <c r="M54" s="187"/>
      <c r="N54" s="169">
        <f t="shared" si="14"/>
        <v>1</v>
      </c>
      <c r="O54" s="144">
        <v>1</v>
      </c>
      <c r="P54" s="145">
        <v>15</v>
      </c>
      <c r="Q54" s="113">
        <v>15</v>
      </c>
      <c r="R54" s="113"/>
      <c r="S54" s="113"/>
      <c r="T54" s="146"/>
      <c r="U54" s="148">
        <f t="shared" si="1"/>
        <v>15</v>
      </c>
      <c r="V54" s="149">
        <f t="shared" si="2"/>
        <v>15</v>
      </c>
      <c r="W54" s="189"/>
      <c r="X54" s="199"/>
      <c r="Y54" s="151"/>
      <c r="Z54" s="190"/>
      <c r="AA54" s="153"/>
      <c r="AB54" s="154">
        <f t="shared" si="3"/>
        <v>0</v>
      </c>
      <c r="AC54" s="149">
        <f t="shared" si="4"/>
        <v>0</v>
      </c>
      <c r="AD54" s="125">
        <v>2</v>
      </c>
      <c r="AE54" s="148">
        <f t="shared" si="5"/>
        <v>2</v>
      </c>
      <c r="AF54" s="156"/>
      <c r="AG54" s="156"/>
      <c r="AH54" s="113">
        <f t="shared" si="6"/>
        <v>17</v>
      </c>
      <c r="AI54" s="157">
        <v>65</v>
      </c>
      <c r="AJ54" s="113">
        <f t="shared" si="7"/>
        <v>82</v>
      </c>
      <c r="AK54" s="113">
        <f t="shared" si="8"/>
        <v>82</v>
      </c>
      <c r="AL54" s="158">
        <f t="shared" si="9"/>
        <v>1.02</v>
      </c>
      <c r="AM54" s="159"/>
      <c r="AN54" s="160">
        <f t="shared" si="13"/>
        <v>1</v>
      </c>
      <c r="AO54" s="160">
        <f t="shared" si="13"/>
        <v>2</v>
      </c>
      <c r="AP54" s="133"/>
      <c r="AQ54" s="134"/>
      <c r="AR54" s="161"/>
      <c r="AS54" s="161"/>
      <c r="AT54" s="161"/>
      <c r="AU54" s="161"/>
      <c r="AV54" s="162"/>
      <c r="AW54" s="137">
        <f t="shared" si="11"/>
        <v>0</v>
      </c>
      <c r="AX54" s="137">
        <f t="shared" si="12"/>
        <v>0</v>
      </c>
    </row>
    <row r="55" ht="46.5" customHeight="1" spans="1:50" s="97" customFormat="1" x14ac:dyDescent="0.25">
      <c r="A55" s="100"/>
      <c r="B55" s="100"/>
      <c r="C55" s="100"/>
      <c r="D55" s="100"/>
      <c r="E55" s="100"/>
      <c r="F55" s="100"/>
      <c r="G55" s="103"/>
      <c r="H55" s="186"/>
      <c r="I55" s="195">
        <v>0.51</v>
      </c>
      <c r="J55" s="107">
        <v>0.49</v>
      </c>
      <c r="K55" s="107"/>
      <c r="L55" s="107"/>
      <c r="M55" s="187"/>
      <c r="N55" s="169">
        <f t="shared" si="14"/>
        <v>1</v>
      </c>
      <c r="O55" s="144">
        <v>1</v>
      </c>
      <c r="P55" s="145">
        <v>15</v>
      </c>
      <c r="Q55" s="113">
        <v>15</v>
      </c>
      <c r="R55" s="113"/>
      <c r="S55" s="113"/>
      <c r="T55" s="146"/>
      <c r="U55" s="148">
        <f t="shared" si="1"/>
        <v>15</v>
      </c>
      <c r="V55" s="149">
        <f t="shared" si="2"/>
        <v>15</v>
      </c>
      <c r="W55" s="189"/>
      <c r="X55" s="199"/>
      <c r="Y55" s="151"/>
      <c r="Z55" s="190"/>
      <c r="AA55" s="153"/>
      <c r="AB55" s="154">
        <f t="shared" si="3"/>
        <v>0</v>
      </c>
      <c r="AC55" s="149">
        <f t="shared" si="4"/>
        <v>0</v>
      </c>
      <c r="AD55" s="125">
        <v>2</v>
      </c>
      <c r="AE55" s="148">
        <f t="shared" si="5"/>
        <v>2</v>
      </c>
      <c r="AF55" s="156"/>
      <c r="AG55" s="156"/>
      <c r="AH55" s="113">
        <f t="shared" si="6"/>
        <v>17</v>
      </c>
      <c r="AI55" s="157">
        <v>65</v>
      </c>
      <c r="AJ55" s="113">
        <f t="shared" si="7"/>
        <v>82</v>
      </c>
      <c r="AK55" s="113">
        <f t="shared" si="8"/>
        <v>82</v>
      </c>
      <c r="AL55" s="158">
        <f t="shared" si="9"/>
        <v>1.02</v>
      </c>
      <c r="AM55" s="159"/>
      <c r="AN55" s="160">
        <f t="shared" ref="AN55:AO74" si="15">100%+AM55</f>
        <v>1</v>
      </c>
      <c r="AO55" s="160">
        <f t="shared" si="15"/>
        <v>2</v>
      </c>
      <c r="AP55" s="133"/>
      <c r="AQ55" s="134"/>
      <c r="AR55" s="161"/>
      <c r="AS55" s="161"/>
      <c r="AT55" s="161"/>
      <c r="AU55" s="161"/>
      <c r="AV55" s="162"/>
      <c r="AW55" s="137">
        <f t="shared" si="11"/>
        <v>0</v>
      </c>
      <c r="AX55" s="137">
        <f t="shared" si="12"/>
        <v>0</v>
      </c>
    </row>
    <row r="56" ht="46.5" customHeight="1" spans="1:50" s="97" customFormat="1" x14ac:dyDescent="0.25">
      <c r="A56" s="100"/>
      <c r="B56" s="100"/>
      <c r="C56" s="100"/>
      <c r="D56" s="100"/>
      <c r="E56" s="100"/>
      <c r="F56" s="100"/>
      <c r="G56" s="103"/>
      <c r="H56" s="186"/>
      <c r="I56" s="195">
        <v>0.51</v>
      </c>
      <c r="J56" s="107">
        <v>0.49</v>
      </c>
      <c r="K56" s="107"/>
      <c r="L56" s="107"/>
      <c r="M56" s="187"/>
      <c r="N56" s="169">
        <f t="shared" si="14"/>
        <v>1</v>
      </c>
      <c r="O56" s="144">
        <v>1</v>
      </c>
      <c r="P56" s="145">
        <v>15</v>
      </c>
      <c r="Q56" s="113">
        <v>15</v>
      </c>
      <c r="R56" s="113"/>
      <c r="S56" s="113"/>
      <c r="T56" s="146"/>
      <c r="U56" s="148">
        <f t="shared" si="1"/>
        <v>15</v>
      </c>
      <c r="V56" s="149">
        <f t="shared" si="2"/>
        <v>15</v>
      </c>
      <c r="W56" s="189"/>
      <c r="X56" s="199"/>
      <c r="Y56" s="151"/>
      <c r="Z56" s="190"/>
      <c r="AA56" s="153"/>
      <c r="AB56" s="154">
        <f t="shared" si="3"/>
        <v>0</v>
      </c>
      <c r="AC56" s="149">
        <f t="shared" si="4"/>
        <v>0</v>
      </c>
      <c r="AD56" s="125">
        <v>2</v>
      </c>
      <c r="AE56" s="148">
        <f t="shared" si="5"/>
        <v>2</v>
      </c>
      <c r="AF56" s="156"/>
      <c r="AG56" s="156"/>
      <c r="AH56" s="113">
        <f t="shared" si="6"/>
        <v>17</v>
      </c>
      <c r="AI56" s="157">
        <v>65</v>
      </c>
      <c r="AJ56" s="113">
        <f t="shared" si="7"/>
        <v>82</v>
      </c>
      <c r="AK56" s="113">
        <f t="shared" si="8"/>
        <v>82</v>
      </c>
      <c r="AL56" s="158">
        <f t="shared" si="9"/>
        <v>1.02</v>
      </c>
      <c r="AM56" s="159"/>
      <c r="AN56" s="160">
        <f t="shared" si="15"/>
        <v>1</v>
      </c>
      <c r="AO56" s="160">
        <f t="shared" si="15"/>
        <v>2</v>
      </c>
      <c r="AP56" s="133"/>
      <c r="AQ56" s="134"/>
      <c r="AR56" s="161"/>
      <c r="AS56" s="161"/>
      <c r="AT56" s="161"/>
      <c r="AU56" s="161"/>
      <c r="AV56" s="162"/>
      <c r="AW56" s="137">
        <f t="shared" si="11"/>
        <v>0</v>
      </c>
      <c r="AX56" s="137">
        <f t="shared" si="12"/>
        <v>0</v>
      </c>
    </row>
    <row r="57" ht="46.5" customHeight="1" spans="1:50" s="97" customFormat="1" x14ac:dyDescent="0.25">
      <c r="A57" s="100"/>
      <c r="B57" s="100"/>
      <c r="C57" s="100"/>
      <c r="D57" s="100"/>
      <c r="E57" s="100"/>
      <c r="F57" s="100"/>
      <c r="G57" s="103"/>
      <c r="H57" s="186"/>
      <c r="I57" s="195">
        <v>0.51</v>
      </c>
      <c r="J57" s="107">
        <v>0.49</v>
      </c>
      <c r="K57" s="107"/>
      <c r="L57" s="107"/>
      <c r="M57" s="187"/>
      <c r="N57" s="169">
        <f t="shared" si="14"/>
        <v>1</v>
      </c>
      <c r="O57" s="144">
        <v>1</v>
      </c>
      <c r="P57" s="145">
        <v>15</v>
      </c>
      <c r="Q57" s="113">
        <v>15</v>
      </c>
      <c r="R57" s="113"/>
      <c r="S57" s="113"/>
      <c r="T57" s="146"/>
      <c r="U57" s="148">
        <f t="shared" si="1"/>
        <v>15</v>
      </c>
      <c r="V57" s="149">
        <f t="shared" si="2"/>
        <v>15</v>
      </c>
      <c r="W57" s="189"/>
      <c r="X57" s="199"/>
      <c r="Y57" s="151"/>
      <c r="Z57" s="190"/>
      <c r="AA57" s="153"/>
      <c r="AB57" s="154">
        <f t="shared" si="3"/>
        <v>0</v>
      </c>
      <c r="AC57" s="149">
        <f t="shared" si="4"/>
        <v>0</v>
      </c>
      <c r="AD57" s="125">
        <v>2</v>
      </c>
      <c r="AE57" s="148">
        <f t="shared" si="5"/>
        <v>2</v>
      </c>
      <c r="AF57" s="156"/>
      <c r="AG57" s="156"/>
      <c r="AH57" s="113">
        <f t="shared" si="6"/>
        <v>17</v>
      </c>
      <c r="AI57" s="157">
        <v>65</v>
      </c>
      <c r="AJ57" s="113">
        <f t="shared" si="7"/>
        <v>82</v>
      </c>
      <c r="AK57" s="113">
        <f t="shared" si="8"/>
        <v>82</v>
      </c>
      <c r="AL57" s="158">
        <f t="shared" si="9"/>
        <v>1.02</v>
      </c>
      <c r="AM57" s="159"/>
      <c r="AN57" s="160">
        <f t="shared" si="15"/>
        <v>1</v>
      </c>
      <c r="AO57" s="160">
        <f t="shared" si="15"/>
        <v>2</v>
      </c>
      <c r="AP57" s="133"/>
      <c r="AQ57" s="134"/>
      <c r="AR57" s="161"/>
      <c r="AS57" s="161"/>
      <c r="AT57" s="161"/>
      <c r="AU57" s="161"/>
      <c r="AV57" s="162"/>
      <c r="AW57" s="137">
        <f t="shared" si="11"/>
        <v>0</v>
      </c>
      <c r="AX57" s="137">
        <f t="shared" si="12"/>
        <v>0</v>
      </c>
    </row>
    <row r="58" ht="46.5" customHeight="1" spans="1:50" s="97" customFormat="1" x14ac:dyDescent="0.25">
      <c r="A58" s="100"/>
      <c r="B58" s="100"/>
      <c r="C58" s="100"/>
      <c r="D58" s="100"/>
      <c r="E58" s="100"/>
      <c r="F58" s="100"/>
      <c r="G58" s="103"/>
      <c r="H58" s="186"/>
      <c r="I58" s="195">
        <v>0.51</v>
      </c>
      <c r="J58" s="107">
        <v>0.49</v>
      </c>
      <c r="K58" s="107"/>
      <c r="L58" s="107"/>
      <c r="M58" s="187"/>
      <c r="N58" s="169">
        <f t="shared" si="14"/>
        <v>1</v>
      </c>
      <c r="O58" s="144">
        <v>1</v>
      </c>
      <c r="P58" s="145">
        <v>15</v>
      </c>
      <c r="Q58" s="113">
        <v>15</v>
      </c>
      <c r="R58" s="113"/>
      <c r="S58" s="113"/>
      <c r="T58" s="146"/>
      <c r="U58" s="148">
        <f t="shared" si="1"/>
        <v>15</v>
      </c>
      <c r="V58" s="149">
        <f t="shared" si="2"/>
        <v>15</v>
      </c>
      <c r="W58" s="189"/>
      <c r="X58" s="199"/>
      <c r="Y58" s="151"/>
      <c r="Z58" s="190"/>
      <c r="AA58" s="153"/>
      <c r="AB58" s="154">
        <f t="shared" si="3"/>
        <v>0</v>
      </c>
      <c r="AC58" s="149">
        <f t="shared" si="4"/>
        <v>0</v>
      </c>
      <c r="AD58" s="125">
        <v>2</v>
      </c>
      <c r="AE58" s="148">
        <f t="shared" si="5"/>
        <v>2</v>
      </c>
      <c r="AF58" s="156"/>
      <c r="AG58" s="156"/>
      <c r="AH58" s="113">
        <f t="shared" si="6"/>
        <v>17</v>
      </c>
      <c r="AI58" s="157">
        <v>65</v>
      </c>
      <c r="AJ58" s="113">
        <f t="shared" si="7"/>
        <v>82</v>
      </c>
      <c r="AK58" s="113">
        <f t="shared" si="8"/>
        <v>82</v>
      </c>
      <c r="AL58" s="158">
        <f t="shared" si="9"/>
        <v>1.02</v>
      </c>
      <c r="AM58" s="159"/>
      <c r="AN58" s="160">
        <f t="shared" si="15"/>
        <v>1</v>
      </c>
      <c r="AO58" s="160">
        <f t="shared" si="15"/>
        <v>2</v>
      </c>
      <c r="AP58" s="133"/>
      <c r="AQ58" s="134"/>
      <c r="AR58" s="161"/>
      <c r="AS58" s="161"/>
      <c r="AT58" s="161"/>
      <c r="AU58" s="161"/>
      <c r="AV58" s="162"/>
      <c r="AW58" s="137">
        <f t="shared" si="11"/>
        <v>0</v>
      </c>
      <c r="AX58" s="137">
        <f t="shared" si="12"/>
        <v>0</v>
      </c>
    </row>
    <row r="59" ht="46.5" customHeight="1" spans="1:50" s="97" customFormat="1" x14ac:dyDescent="0.25">
      <c r="A59" s="100"/>
      <c r="B59" s="100"/>
      <c r="C59" s="100"/>
      <c r="D59" s="100"/>
      <c r="E59" s="100"/>
      <c r="F59" s="100"/>
      <c r="G59" s="103"/>
      <c r="H59" s="186"/>
      <c r="I59" s="195">
        <v>0.51</v>
      </c>
      <c r="J59" s="107">
        <v>0.49</v>
      </c>
      <c r="K59" s="107"/>
      <c r="L59" s="107"/>
      <c r="M59" s="187"/>
      <c r="N59" s="169">
        <f t="shared" si="14"/>
        <v>1</v>
      </c>
      <c r="O59" s="144">
        <v>1</v>
      </c>
      <c r="P59" s="145">
        <v>15</v>
      </c>
      <c r="Q59" s="113">
        <v>15</v>
      </c>
      <c r="R59" s="113"/>
      <c r="S59" s="113"/>
      <c r="T59" s="146"/>
      <c r="U59" s="148">
        <f t="shared" si="1"/>
        <v>15</v>
      </c>
      <c r="V59" s="149">
        <f t="shared" si="2"/>
        <v>15</v>
      </c>
      <c r="W59" s="189"/>
      <c r="X59" s="199"/>
      <c r="Y59" s="151"/>
      <c r="Z59" s="190"/>
      <c r="AA59" s="153"/>
      <c r="AB59" s="154">
        <f t="shared" si="3"/>
        <v>0</v>
      </c>
      <c r="AC59" s="149">
        <f t="shared" si="4"/>
        <v>0</v>
      </c>
      <c r="AD59" s="125">
        <v>2</v>
      </c>
      <c r="AE59" s="148">
        <f t="shared" si="5"/>
        <v>2</v>
      </c>
      <c r="AF59" s="156"/>
      <c r="AG59" s="156"/>
      <c r="AH59" s="113">
        <f t="shared" si="6"/>
        <v>17</v>
      </c>
      <c r="AI59" s="157">
        <v>65</v>
      </c>
      <c r="AJ59" s="113">
        <f t="shared" si="7"/>
        <v>82</v>
      </c>
      <c r="AK59" s="113">
        <f t="shared" si="8"/>
        <v>82</v>
      </c>
      <c r="AL59" s="158">
        <f t="shared" si="9"/>
        <v>1.02</v>
      </c>
      <c r="AM59" s="159"/>
      <c r="AN59" s="160">
        <f t="shared" si="15"/>
        <v>1</v>
      </c>
      <c r="AO59" s="160">
        <f t="shared" si="15"/>
        <v>2</v>
      </c>
      <c r="AP59" s="133"/>
      <c r="AQ59" s="134"/>
      <c r="AR59" s="161"/>
      <c r="AS59" s="161"/>
      <c r="AT59" s="161"/>
      <c r="AU59" s="161"/>
      <c r="AV59" s="162"/>
      <c r="AW59" s="137">
        <f t="shared" si="11"/>
        <v>0</v>
      </c>
      <c r="AX59" s="137">
        <f t="shared" si="12"/>
        <v>0</v>
      </c>
    </row>
    <row r="60" ht="46.5" customHeight="1" spans="1:50" s="97" customFormat="1" x14ac:dyDescent="0.25">
      <c r="A60" s="100"/>
      <c r="B60" s="100"/>
      <c r="C60" s="100"/>
      <c r="D60" s="100"/>
      <c r="E60" s="100"/>
      <c r="F60" s="100"/>
      <c r="G60" s="103"/>
      <c r="H60" s="186"/>
      <c r="I60" s="195">
        <v>0.51</v>
      </c>
      <c r="J60" s="107">
        <v>0.49</v>
      </c>
      <c r="K60" s="107"/>
      <c r="L60" s="107"/>
      <c r="M60" s="187"/>
      <c r="N60" s="169">
        <f t="shared" si="14"/>
        <v>1</v>
      </c>
      <c r="O60" s="144">
        <v>1</v>
      </c>
      <c r="P60" s="145">
        <v>15</v>
      </c>
      <c r="Q60" s="113">
        <v>15</v>
      </c>
      <c r="R60" s="113"/>
      <c r="S60" s="113"/>
      <c r="T60" s="146"/>
      <c r="U60" s="148">
        <f t="shared" si="1"/>
        <v>15</v>
      </c>
      <c r="V60" s="149">
        <f t="shared" si="2"/>
        <v>15</v>
      </c>
      <c r="W60" s="189"/>
      <c r="X60" s="199"/>
      <c r="Y60" s="151"/>
      <c r="Z60" s="190"/>
      <c r="AA60" s="153"/>
      <c r="AB60" s="154">
        <f t="shared" si="3"/>
        <v>0</v>
      </c>
      <c r="AC60" s="149">
        <f t="shared" si="4"/>
        <v>0</v>
      </c>
      <c r="AD60" s="125">
        <v>2</v>
      </c>
      <c r="AE60" s="148">
        <f t="shared" si="5"/>
        <v>2</v>
      </c>
      <c r="AF60" s="156"/>
      <c r="AG60" s="156"/>
      <c r="AH60" s="113">
        <f t="shared" si="6"/>
        <v>17</v>
      </c>
      <c r="AI60" s="157">
        <v>65</v>
      </c>
      <c r="AJ60" s="113">
        <f t="shared" si="7"/>
        <v>82</v>
      </c>
      <c r="AK60" s="113">
        <f t="shared" si="8"/>
        <v>82</v>
      </c>
      <c r="AL60" s="158">
        <f t="shared" si="9"/>
        <v>1.02</v>
      </c>
      <c r="AM60" s="159"/>
      <c r="AN60" s="160">
        <f t="shared" si="15"/>
        <v>1</v>
      </c>
      <c r="AO60" s="160">
        <f t="shared" si="15"/>
        <v>2</v>
      </c>
      <c r="AP60" s="133"/>
      <c r="AQ60" s="134"/>
      <c r="AR60" s="161"/>
      <c r="AS60" s="161"/>
      <c r="AT60" s="161"/>
      <c r="AU60" s="161"/>
      <c r="AV60" s="162"/>
      <c r="AW60" s="137">
        <f t="shared" si="11"/>
        <v>0</v>
      </c>
      <c r="AX60" s="137">
        <f t="shared" si="12"/>
        <v>0</v>
      </c>
    </row>
    <row r="61" ht="46.5" customHeight="1" spans="1:50" s="97" customFormat="1" x14ac:dyDescent="0.25">
      <c r="A61" s="100"/>
      <c r="B61" s="100"/>
      <c r="C61" s="100"/>
      <c r="D61" s="100"/>
      <c r="E61" s="100"/>
      <c r="F61" s="100"/>
      <c r="G61" s="103"/>
      <c r="H61" s="186"/>
      <c r="I61" s="195">
        <v>0.51</v>
      </c>
      <c r="J61" s="107">
        <v>0.49</v>
      </c>
      <c r="K61" s="107"/>
      <c r="L61" s="107"/>
      <c r="M61" s="187"/>
      <c r="N61" s="169">
        <f t="shared" si="14"/>
        <v>1</v>
      </c>
      <c r="O61" s="144">
        <v>1</v>
      </c>
      <c r="P61" s="145">
        <v>15</v>
      </c>
      <c r="Q61" s="113">
        <v>15</v>
      </c>
      <c r="R61" s="113"/>
      <c r="S61" s="113"/>
      <c r="T61" s="146"/>
      <c r="U61" s="148">
        <f t="shared" si="1"/>
        <v>15</v>
      </c>
      <c r="V61" s="149">
        <f t="shared" si="2"/>
        <v>15</v>
      </c>
      <c r="W61" s="189"/>
      <c r="X61" s="199"/>
      <c r="Y61" s="151"/>
      <c r="Z61" s="190"/>
      <c r="AA61" s="153"/>
      <c r="AB61" s="154">
        <f t="shared" si="3"/>
        <v>0</v>
      </c>
      <c r="AC61" s="149">
        <f t="shared" si="4"/>
        <v>0</v>
      </c>
      <c r="AD61" s="125">
        <v>2</v>
      </c>
      <c r="AE61" s="148">
        <f t="shared" si="5"/>
        <v>2</v>
      </c>
      <c r="AF61" s="156"/>
      <c r="AG61" s="156"/>
      <c r="AH61" s="113">
        <f t="shared" si="6"/>
        <v>17</v>
      </c>
      <c r="AI61" s="157">
        <v>65</v>
      </c>
      <c r="AJ61" s="113">
        <f t="shared" si="7"/>
        <v>82</v>
      </c>
      <c r="AK61" s="113">
        <f t="shared" si="8"/>
        <v>82</v>
      </c>
      <c r="AL61" s="158">
        <f t="shared" si="9"/>
        <v>1.02</v>
      </c>
      <c r="AM61" s="159"/>
      <c r="AN61" s="160">
        <f t="shared" si="15"/>
        <v>1</v>
      </c>
      <c r="AO61" s="160">
        <f t="shared" si="15"/>
        <v>2</v>
      </c>
      <c r="AP61" s="133"/>
      <c r="AQ61" s="134"/>
      <c r="AR61" s="161"/>
      <c r="AS61" s="161"/>
      <c r="AT61" s="161"/>
      <c r="AU61" s="161"/>
      <c r="AV61" s="162"/>
      <c r="AW61" s="137">
        <f t="shared" si="11"/>
        <v>0</v>
      </c>
      <c r="AX61" s="137">
        <f t="shared" si="12"/>
        <v>0</v>
      </c>
    </row>
    <row r="62" ht="46.5" customHeight="1" spans="1:50" s="97" customFormat="1" x14ac:dyDescent="0.25">
      <c r="A62" s="100"/>
      <c r="B62" s="100"/>
      <c r="C62" s="100"/>
      <c r="D62" s="100"/>
      <c r="E62" s="100"/>
      <c r="F62" s="100"/>
      <c r="G62" s="103"/>
      <c r="H62" s="186"/>
      <c r="I62" s="195">
        <v>0.51</v>
      </c>
      <c r="J62" s="107">
        <v>0.49</v>
      </c>
      <c r="K62" s="107"/>
      <c r="L62" s="107"/>
      <c r="M62" s="187"/>
      <c r="N62" s="169">
        <f t="shared" si="14"/>
        <v>1</v>
      </c>
      <c r="O62" s="144">
        <v>1</v>
      </c>
      <c r="P62" s="145">
        <v>15</v>
      </c>
      <c r="Q62" s="113">
        <v>15</v>
      </c>
      <c r="R62" s="113"/>
      <c r="S62" s="113"/>
      <c r="T62" s="146"/>
      <c r="U62" s="148">
        <f t="shared" si="1"/>
        <v>15</v>
      </c>
      <c r="V62" s="149">
        <f t="shared" si="2"/>
        <v>15</v>
      </c>
      <c r="W62" s="189"/>
      <c r="X62" s="199"/>
      <c r="Y62" s="151"/>
      <c r="Z62" s="190"/>
      <c r="AA62" s="153"/>
      <c r="AB62" s="154">
        <f t="shared" si="3"/>
        <v>0</v>
      </c>
      <c r="AC62" s="149">
        <f t="shared" si="4"/>
        <v>0</v>
      </c>
      <c r="AD62" s="125">
        <v>2</v>
      </c>
      <c r="AE62" s="148">
        <f t="shared" si="5"/>
        <v>2</v>
      </c>
      <c r="AF62" s="156"/>
      <c r="AG62" s="156"/>
      <c r="AH62" s="113">
        <f t="shared" si="6"/>
        <v>17</v>
      </c>
      <c r="AI62" s="157">
        <v>65</v>
      </c>
      <c r="AJ62" s="113">
        <f t="shared" si="7"/>
        <v>82</v>
      </c>
      <c r="AK62" s="113">
        <f t="shared" si="8"/>
        <v>82</v>
      </c>
      <c r="AL62" s="158">
        <f t="shared" si="9"/>
        <v>1.02</v>
      </c>
      <c r="AM62" s="159"/>
      <c r="AN62" s="160">
        <f t="shared" si="15"/>
        <v>1</v>
      </c>
      <c r="AO62" s="160">
        <f t="shared" si="15"/>
        <v>2</v>
      </c>
      <c r="AP62" s="133"/>
      <c r="AQ62" s="134"/>
      <c r="AR62" s="161"/>
      <c r="AS62" s="161"/>
      <c r="AT62" s="161"/>
      <c r="AU62" s="161"/>
      <c r="AV62" s="162"/>
      <c r="AW62" s="137">
        <f t="shared" si="11"/>
        <v>0</v>
      </c>
      <c r="AX62" s="137">
        <f t="shared" si="12"/>
        <v>0</v>
      </c>
    </row>
    <row r="63" ht="46.5" customHeight="1" spans="1:50" s="97" customFormat="1" x14ac:dyDescent="0.25">
      <c r="A63" s="100"/>
      <c r="B63" s="100"/>
      <c r="C63" s="100"/>
      <c r="D63" s="100"/>
      <c r="E63" s="100"/>
      <c r="F63" s="100"/>
      <c r="G63" s="103"/>
      <c r="H63" s="186"/>
      <c r="I63" s="195">
        <v>0.51</v>
      </c>
      <c r="J63" s="107">
        <v>0.49</v>
      </c>
      <c r="K63" s="107"/>
      <c r="L63" s="107"/>
      <c r="M63" s="187"/>
      <c r="N63" s="169">
        <f t="shared" si="14"/>
        <v>1</v>
      </c>
      <c r="O63" s="144">
        <v>1</v>
      </c>
      <c r="P63" s="145">
        <v>15</v>
      </c>
      <c r="Q63" s="113">
        <v>15</v>
      </c>
      <c r="R63" s="113"/>
      <c r="S63" s="113"/>
      <c r="T63" s="146"/>
      <c r="U63" s="148">
        <f t="shared" si="1"/>
        <v>15</v>
      </c>
      <c r="V63" s="149">
        <f t="shared" si="2"/>
        <v>15</v>
      </c>
      <c r="W63" s="189"/>
      <c r="X63" s="199"/>
      <c r="Y63" s="151"/>
      <c r="Z63" s="190"/>
      <c r="AA63" s="153"/>
      <c r="AB63" s="154">
        <f t="shared" si="3"/>
        <v>0</v>
      </c>
      <c r="AC63" s="149">
        <f t="shared" si="4"/>
        <v>0</v>
      </c>
      <c r="AD63" s="125">
        <v>2</v>
      </c>
      <c r="AE63" s="148">
        <f t="shared" si="5"/>
        <v>2</v>
      </c>
      <c r="AF63" s="156"/>
      <c r="AG63" s="156"/>
      <c r="AH63" s="113">
        <f t="shared" si="6"/>
        <v>17</v>
      </c>
      <c r="AI63" s="157">
        <v>65</v>
      </c>
      <c r="AJ63" s="113">
        <f t="shared" si="7"/>
        <v>82</v>
      </c>
      <c r="AK63" s="113">
        <f t="shared" si="8"/>
        <v>82</v>
      </c>
      <c r="AL63" s="158">
        <f t="shared" si="9"/>
        <v>1.02</v>
      </c>
      <c r="AM63" s="159"/>
      <c r="AN63" s="160">
        <f t="shared" si="15"/>
        <v>1</v>
      </c>
      <c r="AO63" s="160">
        <f t="shared" si="15"/>
        <v>2</v>
      </c>
      <c r="AP63" s="133"/>
      <c r="AQ63" s="134"/>
      <c r="AR63" s="161"/>
      <c r="AS63" s="161"/>
      <c r="AT63" s="161"/>
      <c r="AU63" s="161"/>
      <c r="AV63" s="162"/>
      <c r="AW63" s="137">
        <f t="shared" si="11"/>
        <v>0</v>
      </c>
      <c r="AX63" s="137">
        <f t="shared" si="12"/>
        <v>0</v>
      </c>
    </row>
    <row r="64" ht="46.5" customHeight="1" spans="1:50" s="97" customFormat="1" x14ac:dyDescent="0.25">
      <c r="A64" s="100"/>
      <c r="B64" s="100"/>
      <c r="C64" s="100"/>
      <c r="D64" s="100"/>
      <c r="E64" s="100"/>
      <c r="F64" s="100"/>
      <c r="G64" s="103"/>
      <c r="H64" s="186"/>
      <c r="I64" s="195">
        <v>0.51</v>
      </c>
      <c r="J64" s="107">
        <v>0.49</v>
      </c>
      <c r="K64" s="107"/>
      <c r="L64" s="107"/>
      <c r="M64" s="187"/>
      <c r="N64" s="169">
        <f t="shared" si="14"/>
        <v>1</v>
      </c>
      <c r="O64" s="144">
        <v>1</v>
      </c>
      <c r="P64" s="145">
        <v>15</v>
      </c>
      <c r="Q64" s="113">
        <v>15</v>
      </c>
      <c r="R64" s="113"/>
      <c r="S64" s="113"/>
      <c r="T64" s="146"/>
      <c r="U64" s="148">
        <f t="shared" si="1"/>
        <v>15</v>
      </c>
      <c r="V64" s="149">
        <f t="shared" si="2"/>
        <v>15</v>
      </c>
      <c r="W64" s="189"/>
      <c r="X64" s="199"/>
      <c r="Y64" s="151"/>
      <c r="Z64" s="190"/>
      <c r="AA64" s="153"/>
      <c r="AB64" s="154">
        <f t="shared" si="3"/>
        <v>0</v>
      </c>
      <c r="AC64" s="149">
        <f t="shared" si="4"/>
        <v>0</v>
      </c>
      <c r="AD64" s="125">
        <v>2</v>
      </c>
      <c r="AE64" s="148">
        <f t="shared" si="5"/>
        <v>2</v>
      </c>
      <c r="AF64" s="156"/>
      <c r="AG64" s="156"/>
      <c r="AH64" s="113">
        <f t="shared" si="6"/>
        <v>17</v>
      </c>
      <c r="AI64" s="157">
        <v>65</v>
      </c>
      <c r="AJ64" s="113">
        <f t="shared" si="7"/>
        <v>82</v>
      </c>
      <c r="AK64" s="113">
        <f t="shared" si="8"/>
        <v>82</v>
      </c>
      <c r="AL64" s="158">
        <f t="shared" si="9"/>
        <v>1.02</v>
      </c>
      <c r="AM64" s="159"/>
      <c r="AN64" s="160">
        <f t="shared" si="15"/>
        <v>1</v>
      </c>
      <c r="AO64" s="160">
        <f t="shared" si="15"/>
        <v>2</v>
      </c>
      <c r="AP64" s="133"/>
      <c r="AQ64" s="134"/>
      <c r="AR64" s="161"/>
      <c r="AS64" s="161"/>
      <c r="AT64" s="161"/>
      <c r="AU64" s="161"/>
      <c r="AV64" s="162"/>
      <c r="AW64" s="137">
        <f t="shared" si="11"/>
        <v>0</v>
      </c>
      <c r="AX64" s="137">
        <f t="shared" si="12"/>
        <v>0</v>
      </c>
    </row>
    <row r="65" ht="46.5" customHeight="1" spans="1:50" s="97" customFormat="1" x14ac:dyDescent="0.25">
      <c r="A65" s="100"/>
      <c r="B65" s="100"/>
      <c r="C65" s="100"/>
      <c r="D65" s="100"/>
      <c r="E65" s="100"/>
      <c r="F65" s="100"/>
      <c r="G65" s="103"/>
      <c r="H65" s="186"/>
      <c r="I65" s="195">
        <v>0.51</v>
      </c>
      <c r="J65" s="107">
        <v>0.49</v>
      </c>
      <c r="K65" s="107"/>
      <c r="L65" s="107"/>
      <c r="M65" s="187"/>
      <c r="N65" s="169">
        <f t="shared" si="14"/>
        <v>1</v>
      </c>
      <c r="O65" s="144">
        <v>1</v>
      </c>
      <c r="P65" s="145">
        <v>15</v>
      </c>
      <c r="Q65" s="113">
        <v>15</v>
      </c>
      <c r="R65" s="113"/>
      <c r="S65" s="113"/>
      <c r="T65" s="146"/>
      <c r="U65" s="148">
        <f t="shared" si="1"/>
        <v>15</v>
      </c>
      <c r="V65" s="149">
        <f t="shared" si="2"/>
        <v>15</v>
      </c>
      <c r="W65" s="189"/>
      <c r="X65" s="199"/>
      <c r="Y65" s="151"/>
      <c r="Z65" s="190"/>
      <c r="AA65" s="153"/>
      <c r="AB65" s="154">
        <f t="shared" si="3"/>
        <v>0</v>
      </c>
      <c r="AC65" s="149">
        <f t="shared" si="4"/>
        <v>0</v>
      </c>
      <c r="AD65" s="125">
        <v>2</v>
      </c>
      <c r="AE65" s="148">
        <f t="shared" si="5"/>
        <v>2</v>
      </c>
      <c r="AF65" s="156"/>
      <c r="AG65" s="156"/>
      <c r="AH65" s="113">
        <f t="shared" si="6"/>
        <v>17</v>
      </c>
      <c r="AI65" s="157">
        <v>65</v>
      </c>
      <c r="AJ65" s="113">
        <f t="shared" si="7"/>
        <v>82</v>
      </c>
      <c r="AK65" s="113">
        <f t="shared" si="8"/>
        <v>82</v>
      </c>
      <c r="AL65" s="158">
        <f t="shared" si="9"/>
        <v>1.02</v>
      </c>
      <c r="AM65" s="159"/>
      <c r="AN65" s="160">
        <f t="shared" si="15"/>
        <v>1</v>
      </c>
      <c r="AO65" s="160">
        <f t="shared" si="15"/>
        <v>2</v>
      </c>
      <c r="AP65" s="133"/>
      <c r="AQ65" s="134"/>
      <c r="AR65" s="161"/>
      <c r="AS65" s="161"/>
      <c r="AT65" s="161"/>
      <c r="AU65" s="161"/>
      <c r="AV65" s="162"/>
      <c r="AW65" s="137">
        <f t="shared" si="11"/>
        <v>0</v>
      </c>
      <c r="AX65" s="137">
        <f t="shared" si="12"/>
        <v>0</v>
      </c>
    </row>
    <row r="66" ht="46.5" customHeight="1" spans="1:50" s="97" customFormat="1" x14ac:dyDescent="0.25">
      <c r="A66" s="100"/>
      <c r="B66" s="100"/>
      <c r="C66" s="100"/>
      <c r="D66" s="100"/>
      <c r="E66" s="100"/>
      <c r="F66" s="100"/>
      <c r="G66" s="103"/>
      <c r="H66" s="186"/>
      <c r="I66" s="195">
        <v>0.51</v>
      </c>
      <c r="J66" s="107">
        <v>0.49</v>
      </c>
      <c r="K66" s="107"/>
      <c r="L66" s="107"/>
      <c r="M66" s="187"/>
      <c r="N66" s="169">
        <f t="shared" si="14"/>
        <v>1</v>
      </c>
      <c r="O66" s="144">
        <v>1</v>
      </c>
      <c r="P66" s="145">
        <v>15</v>
      </c>
      <c r="Q66" s="113">
        <v>15</v>
      </c>
      <c r="R66" s="113"/>
      <c r="S66" s="113"/>
      <c r="T66" s="146"/>
      <c r="U66" s="148">
        <f t="shared" si="1"/>
        <v>15</v>
      </c>
      <c r="V66" s="149">
        <f t="shared" si="2"/>
        <v>15</v>
      </c>
      <c r="W66" s="189"/>
      <c r="X66" s="199"/>
      <c r="Y66" s="151"/>
      <c r="Z66" s="190"/>
      <c r="AA66" s="153"/>
      <c r="AB66" s="154">
        <f t="shared" si="3"/>
        <v>0</v>
      </c>
      <c r="AC66" s="149">
        <f t="shared" si="4"/>
        <v>0</v>
      </c>
      <c r="AD66" s="125">
        <v>2</v>
      </c>
      <c r="AE66" s="148">
        <f t="shared" si="5"/>
        <v>2</v>
      </c>
      <c r="AF66" s="156"/>
      <c r="AG66" s="156"/>
      <c r="AH66" s="113">
        <f t="shared" si="6"/>
        <v>17</v>
      </c>
      <c r="AI66" s="157">
        <v>65</v>
      </c>
      <c r="AJ66" s="113">
        <f t="shared" si="7"/>
        <v>82</v>
      </c>
      <c r="AK66" s="113">
        <f t="shared" si="8"/>
        <v>82</v>
      </c>
      <c r="AL66" s="158">
        <f t="shared" si="9"/>
        <v>1.02</v>
      </c>
      <c r="AM66" s="159"/>
      <c r="AN66" s="160">
        <f t="shared" si="15"/>
        <v>1</v>
      </c>
      <c r="AO66" s="160">
        <f t="shared" si="15"/>
        <v>2</v>
      </c>
      <c r="AP66" s="133"/>
      <c r="AQ66" s="134"/>
      <c r="AR66" s="161"/>
      <c r="AS66" s="161"/>
      <c r="AT66" s="161"/>
      <c r="AU66" s="161"/>
      <c r="AV66" s="162"/>
      <c r="AW66" s="137">
        <f t="shared" si="11"/>
        <v>0</v>
      </c>
      <c r="AX66" s="137">
        <f t="shared" si="12"/>
        <v>0</v>
      </c>
    </row>
    <row r="67" ht="46.5" customHeight="1" spans="1:50" s="97" customFormat="1" x14ac:dyDescent="0.25">
      <c r="A67" s="100"/>
      <c r="B67" s="100"/>
      <c r="C67" s="100"/>
      <c r="D67" s="100"/>
      <c r="E67" s="100"/>
      <c r="F67" s="100"/>
      <c r="G67" s="103"/>
      <c r="H67" s="186"/>
      <c r="I67" s="195">
        <v>0.51</v>
      </c>
      <c r="J67" s="107">
        <v>0.49</v>
      </c>
      <c r="K67" s="107"/>
      <c r="L67" s="107"/>
      <c r="M67" s="187"/>
      <c r="N67" s="169">
        <f t="shared" si="14"/>
        <v>1</v>
      </c>
      <c r="O67" s="144">
        <v>1</v>
      </c>
      <c r="P67" s="145">
        <v>15</v>
      </c>
      <c r="Q67" s="113">
        <v>15</v>
      </c>
      <c r="R67" s="113"/>
      <c r="S67" s="113"/>
      <c r="T67" s="146"/>
      <c r="U67" s="148">
        <f t="shared" si="1"/>
        <v>15</v>
      </c>
      <c r="V67" s="149">
        <f t="shared" si="2"/>
        <v>15</v>
      </c>
      <c r="W67" s="189"/>
      <c r="X67" s="199"/>
      <c r="Y67" s="151"/>
      <c r="Z67" s="190"/>
      <c r="AA67" s="153"/>
      <c r="AB67" s="154">
        <f t="shared" si="3"/>
        <v>0</v>
      </c>
      <c r="AC67" s="149">
        <f t="shared" si="4"/>
        <v>0</v>
      </c>
      <c r="AD67" s="125">
        <v>2</v>
      </c>
      <c r="AE67" s="148">
        <f t="shared" si="5"/>
        <v>2</v>
      </c>
      <c r="AF67" s="156"/>
      <c r="AG67" s="156"/>
      <c r="AH67" s="113">
        <f t="shared" si="6"/>
        <v>17</v>
      </c>
      <c r="AI67" s="157">
        <v>65</v>
      </c>
      <c r="AJ67" s="113">
        <f t="shared" si="7"/>
        <v>82</v>
      </c>
      <c r="AK67" s="113">
        <f t="shared" si="8"/>
        <v>82</v>
      </c>
      <c r="AL67" s="158">
        <f t="shared" si="9"/>
        <v>1.02</v>
      </c>
      <c r="AM67" s="159"/>
      <c r="AN67" s="160">
        <f t="shared" si="15"/>
        <v>1</v>
      </c>
      <c r="AO67" s="160">
        <f t="shared" si="15"/>
        <v>2</v>
      </c>
      <c r="AP67" s="133"/>
      <c r="AQ67" s="134"/>
      <c r="AR67" s="161"/>
      <c r="AS67" s="161"/>
      <c r="AT67" s="161"/>
      <c r="AU67" s="161"/>
      <c r="AV67" s="162"/>
      <c r="AW67" s="137">
        <f t="shared" si="11"/>
        <v>0</v>
      </c>
      <c r="AX67" s="137">
        <f t="shared" si="12"/>
        <v>0</v>
      </c>
    </row>
    <row r="68" ht="46.5" customHeight="1" spans="1:50" s="97" customFormat="1" x14ac:dyDescent="0.25">
      <c r="A68" s="100"/>
      <c r="B68" s="100"/>
      <c r="C68" s="100"/>
      <c r="D68" s="100"/>
      <c r="E68" s="100"/>
      <c r="F68" s="100"/>
      <c r="G68" s="103"/>
      <c r="H68" s="186"/>
      <c r="I68" s="195">
        <v>0.51</v>
      </c>
      <c r="J68" s="107">
        <v>0.49</v>
      </c>
      <c r="K68" s="107"/>
      <c r="L68" s="107"/>
      <c r="M68" s="187"/>
      <c r="N68" s="169">
        <f t="shared" si="14"/>
        <v>1</v>
      </c>
      <c r="O68" s="144">
        <v>1</v>
      </c>
      <c r="P68" s="145">
        <v>15</v>
      </c>
      <c r="Q68" s="113">
        <v>15</v>
      </c>
      <c r="R68" s="113"/>
      <c r="S68" s="113"/>
      <c r="T68" s="146"/>
      <c r="U68" s="148">
        <f t="shared" si="1"/>
        <v>15</v>
      </c>
      <c r="V68" s="149">
        <f t="shared" si="2"/>
        <v>15</v>
      </c>
      <c r="W68" s="189"/>
      <c r="X68" s="199"/>
      <c r="Y68" s="151"/>
      <c r="Z68" s="190"/>
      <c r="AA68" s="153"/>
      <c r="AB68" s="154">
        <f t="shared" si="3"/>
        <v>0</v>
      </c>
      <c r="AC68" s="149">
        <f t="shared" si="4"/>
        <v>0</v>
      </c>
      <c r="AD68" s="125">
        <v>2</v>
      </c>
      <c r="AE68" s="148">
        <f t="shared" si="5"/>
        <v>2</v>
      </c>
      <c r="AF68" s="156"/>
      <c r="AG68" s="156"/>
      <c r="AH68" s="113">
        <f t="shared" si="6"/>
        <v>17</v>
      </c>
      <c r="AI68" s="157">
        <v>65</v>
      </c>
      <c r="AJ68" s="113">
        <f t="shared" si="7"/>
        <v>82</v>
      </c>
      <c r="AK68" s="113">
        <f t="shared" si="8"/>
        <v>82</v>
      </c>
      <c r="AL68" s="158">
        <f t="shared" si="9"/>
        <v>1.02</v>
      </c>
      <c r="AM68" s="159"/>
      <c r="AN68" s="160">
        <f t="shared" si="15"/>
        <v>1</v>
      </c>
      <c r="AO68" s="160">
        <f t="shared" si="15"/>
        <v>2</v>
      </c>
      <c r="AP68" s="133"/>
      <c r="AQ68" s="134"/>
      <c r="AR68" s="161"/>
      <c r="AS68" s="161"/>
      <c r="AT68" s="161"/>
      <c r="AU68" s="161"/>
      <c r="AV68" s="162"/>
      <c r="AW68" s="137">
        <f t="shared" si="11"/>
        <v>0</v>
      </c>
      <c r="AX68" s="137">
        <f t="shared" si="12"/>
        <v>0</v>
      </c>
    </row>
    <row r="69" ht="46.5" customHeight="1" spans="1:50" s="97" customFormat="1" x14ac:dyDescent="0.25">
      <c r="A69" s="100"/>
      <c r="B69" s="100"/>
      <c r="C69" s="100"/>
      <c r="D69" s="100"/>
      <c r="E69" s="100"/>
      <c r="F69" s="100"/>
      <c r="G69" s="103"/>
      <c r="H69" s="186"/>
      <c r="I69" s="195">
        <v>0.51</v>
      </c>
      <c r="J69" s="107">
        <v>0.49</v>
      </c>
      <c r="K69" s="107"/>
      <c r="L69" s="107"/>
      <c r="M69" s="187"/>
      <c r="N69" s="169">
        <f t="shared" si="14"/>
        <v>1</v>
      </c>
      <c r="O69" s="144">
        <v>1</v>
      </c>
      <c r="P69" s="145">
        <v>15</v>
      </c>
      <c r="Q69" s="113">
        <v>15</v>
      </c>
      <c r="R69" s="113"/>
      <c r="S69" s="113"/>
      <c r="T69" s="146"/>
      <c r="U69" s="148">
        <f t="shared" si="1"/>
        <v>15</v>
      </c>
      <c r="V69" s="149">
        <f t="shared" si="2"/>
        <v>15</v>
      </c>
      <c r="W69" s="189"/>
      <c r="X69" s="199"/>
      <c r="Y69" s="151"/>
      <c r="Z69" s="190"/>
      <c r="AA69" s="153"/>
      <c r="AB69" s="154">
        <f t="shared" si="3"/>
        <v>0</v>
      </c>
      <c r="AC69" s="149">
        <f t="shared" si="4"/>
        <v>0</v>
      </c>
      <c r="AD69" s="125">
        <v>2</v>
      </c>
      <c r="AE69" s="148">
        <f t="shared" si="5"/>
        <v>2</v>
      </c>
      <c r="AF69" s="156"/>
      <c r="AG69" s="156"/>
      <c r="AH69" s="113">
        <f t="shared" si="6"/>
        <v>17</v>
      </c>
      <c r="AI69" s="157">
        <v>65</v>
      </c>
      <c r="AJ69" s="113">
        <f t="shared" si="7"/>
        <v>82</v>
      </c>
      <c r="AK69" s="113">
        <f t="shared" si="8"/>
        <v>82</v>
      </c>
      <c r="AL69" s="158">
        <f t="shared" si="9"/>
        <v>1.02</v>
      </c>
      <c r="AM69" s="159"/>
      <c r="AN69" s="160">
        <f t="shared" si="15"/>
        <v>1</v>
      </c>
      <c r="AO69" s="160">
        <f t="shared" si="15"/>
        <v>2</v>
      </c>
      <c r="AP69" s="133"/>
      <c r="AQ69" s="134"/>
      <c r="AR69" s="161"/>
      <c r="AS69" s="161"/>
      <c r="AT69" s="161"/>
      <c r="AU69" s="161"/>
      <c r="AV69" s="162"/>
      <c r="AW69" s="137">
        <f t="shared" si="11"/>
        <v>0</v>
      </c>
      <c r="AX69" s="137">
        <f t="shared" si="12"/>
        <v>0</v>
      </c>
    </row>
    <row r="70" ht="46.5" customHeight="1" spans="1:50" s="97" customFormat="1" x14ac:dyDescent="0.25">
      <c r="A70" s="100"/>
      <c r="B70" s="100"/>
      <c r="C70" s="100"/>
      <c r="D70" s="100"/>
      <c r="E70" s="100"/>
      <c r="F70" s="100"/>
      <c r="G70" s="103"/>
      <c r="H70" s="186"/>
      <c r="I70" s="195">
        <v>0.51</v>
      </c>
      <c r="J70" s="107">
        <v>0.49</v>
      </c>
      <c r="K70" s="107"/>
      <c r="L70" s="107"/>
      <c r="M70" s="187"/>
      <c r="N70" s="169">
        <f t="shared" si="14"/>
        <v>1</v>
      </c>
      <c r="O70" s="144">
        <v>1</v>
      </c>
      <c r="P70" s="145">
        <v>15</v>
      </c>
      <c r="Q70" s="113">
        <v>15</v>
      </c>
      <c r="R70" s="113"/>
      <c r="S70" s="113"/>
      <c r="T70" s="146"/>
      <c r="U70" s="148">
        <f t="shared" si="1"/>
        <v>15</v>
      </c>
      <c r="V70" s="149">
        <f t="shared" si="2"/>
        <v>15</v>
      </c>
      <c r="W70" s="189"/>
      <c r="X70" s="199"/>
      <c r="Y70" s="151"/>
      <c r="Z70" s="190"/>
      <c r="AA70" s="153"/>
      <c r="AB70" s="154">
        <f t="shared" si="3"/>
        <v>0</v>
      </c>
      <c r="AC70" s="149">
        <f t="shared" si="4"/>
        <v>0</v>
      </c>
      <c r="AD70" s="125">
        <v>2</v>
      </c>
      <c r="AE70" s="148">
        <f t="shared" si="5"/>
        <v>2</v>
      </c>
      <c r="AF70" s="156"/>
      <c r="AG70" s="156"/>
      <c r="AH70" s="113">
        <f t="shared" si="6"/>
        <v>17</v>
      </c>
      <c r="AI70" s="157">
        <v>65</v>
      </c>
      <c r="AJ70" s="113">
        <f t="shared" si="7"/>
        <v>82</v>
      </c>
      <c r="AK70" s="113">
        <f t="shared" si="8"/>
        <v>82</v>
      </c>
      <c r="AL70" s="158">
        <f t="shared" si="9"/>
        <v>1.02</v>
      </c>
      <c r="AM70" s="159"/>
      <c r="AN70" s="160">
        <f t="shared" si="15"/>
        <v>1</v>
      </c>
      <c r="AO70" s="160">
        <f t="shared" si="15"/>
        <v>2</v>
      </c>
      <c r="AP70" s="133"/>
      <c r="AQ70" s="134"/>
      <c r="AR70" s="161"/>
      <c r="AS70" s="161"/>
      <c r="AT70" s="161"/>
      <c r="AU70" s="161"/>
      <c r="AV70" s="162"/>
      <c r="AW70" s="137">
        <f t="shared" si="11"/>
        <v>0</v>
      </c>
      <c r="AX70" s="137">
        <f t="shared" si="12"/>
        <v>0</v>
      </c>
    </row>
    <row r="71" ht="46.5" customHeight="1" spans="1:50" s="97" customFormat="1" x14ac:dyDescent="0.25">
      <c r="A71" s="100"/>
      <c r="B71" s="100"/>
      <c r="C71" s="100"/>
      <c r="D71" s="100"/>
      <c r="E71" s="100"/>
      <c r="F71" s="100"/>
      <c r="G71" s="103"/>
      <c r="H71" s="186"/>
      <c r="I71" s="195">
        <v>0.51</v>
      </c>
      <c r="J71" s="107">
        <v>0.49</v>
      </c>
      <c r="K71" s="107"/>
      <c r="L71" s="107"/>
      <c r="M71" s="187"/>
      <c r="N71" s="169">
        <f t="shared" si="14"/>
        <v>1</v>
      </c>
      <c r="O71" s="144">
        <v>1</v>
      </c>
      <c r="P71" s="145">
        <v>15</v>
      </c>
      <c r="Q71" s="113">
        <v>15</v>
      </c>
      <c r="R71" s="113"/>
      <c r="S71" s="113"/>
      <c r="T71" s="146"/>
      <c r="U71" s="148">
        <f t="shared" si="1"/>
        <v>15</v>
      </c>
      <c r="V71" s="149">
        <f t="shared" si="2"/>
        <v>15</v>
      </c>
      <c r="W71" s="189"/>
      <c r="X71" s="199"/>
      <c r="Y71" s="151"/>
      <c r="Z71" s="190"/>
      <c r="AA71" s="153"/>
      <c r="AB71" s="154">
        <f t="shared" si="3"/>
        <v>0</v>
      </c>
      <c r="AC71" s="149">
        <f t="shared" si="4"/>
        <v>0</v>
      </c>
      <c r="AD71" s="125">
        <v>2</v>
      </c>
      <c r="AE71" s="148">
        <f t="shared" si="5"/>
        <v>2</v>
      </c>
      <c r="AF71" s="156"/>
      <c r="AG71" s="156"/>
      <c r="AH71" s="113">
        <f t="shared" si="6"/>
        <v>17</v>
      </c>
      <c r="AI71" s="157">
        <v>65</v>
      </c>
      <c r="AJ71" s="113">
        <f t="shared" si="7"/>
        <v>82</v>
      </c>
      <c r="AK71" s="113">
        <f t="shared" si="8"/>
        <v>82</v>
      </c>
      <c r="AL71" s="158">
        <f t="shared" si="9"/>
        <v>1.02</v>
      </c>
      <c r="AM71" s="159"/>
      <c r="AN71" s="160">
        <f t="shared" si="15"/>
        <v>1</v>
      </c>
      <c r="AO71" s="160">
        <f t="shared" si="15"/>
        <v>2</v>
      </c>
      <c r="AP71" s="133"/>
      <c r="AQ71" s="134"/>
      <c r="AR71" s="161"/>
      <c r="AS71" s="161"/>
      <c r="AT71" s="161"/>
      <c r="AU71" s="161"/>
      <c r="AV71" s="162"/>
      <c r="AW71" s="137">
        <f t="shared" si="11"/>
        <v>0</v>
      </c>
      <c r="AX71" s="137">
        <f t="shared" si="12"/>
        <v>0</v>
      </c>
    </row>
    <row r="72" ht="46.5" customHeight="1" spans="1:50" s="97" customFormat="1" x14ac:dyDescent="0.25">
      <c r="A72" s="100"/>
      <c r="B72" s="100"/>
      <c r="C72" s="100"/>
      <c r="D72" s="100"/>
      <c r="E72" s="100"/>
      <c r="F72" s="100"/>
      <c r="G72" s="103"/>
      <c r="H72" s="186"/>
      <c r="I72" s="195">
        <v>0.51</v>
      </c>
      <c r="J72" s="107">
        <v>0.49</v>
      </c>
      <c r="K72" s="107"/>
      <c r="L72" s="107"/>
      <c r="M72" s="187"/>
      <c r="N72" s="169">
        <f t="shared" si="14"/>
        <v>1</v>
      </c>
      <c r="O72" s="144">
        <v>1</v>
      </c>
      <c r="P72" s="145">
        <v>15</v>
      </c>
      <c r="Q72" s="113">
        <v>15</v>
      </c>
      <c r="R72" s="113"/>
      <c r="S72" s="113"/>
      <c r="T72" s="146"/>
      <c r="U72" s="148">
        <f t="shared" si="1"/>
        <v>15</v>
      </c>
      <c r="V72" s="149">
        <f t="shared" si="2"/>
        <v>15</v>
      </c>
      <c r="W72" s="189"/>
      <c r="X72" s="199"/>
      <c r="Y72" s="151"/>
      <c r="Z72" s="190"/>
      <c r="AA72" s="153"/>
      <c r="AB72" s="154">
        <f t="shared" si="3"/>
        <v>0</v>
      </c>
      <c r="AC72" s="149">
        <f t="shared" si="4"/>
        <v>0</v>
      </c>
      <c r="AD72" s="125">
        <v>2</v>
      </c>
      <c r="AE72" s="148">
        <f t="shared" si="5"/>
        <v>2</v>
      </c>
      <c r="AF72" s="156"/>
      <c r="AG72" s="156"/>
      <c r="AH72" s="113">
        <f t="shared" si="6"/>
        <v>17</v>
      </c>
      <c r="AI72" s="157">
        <v>65</v>
      </c>
      <c r="AJ72" s="113">
        <f t="shared" si="7"/>
        <v>82</v>
      </c>
      <c r="AK72" s="113">
        <f t="shared" si="8"/>
        <v>82</v>
      </c>
      <c r="AL72" s="158">
        <f t="shared" si="9"/>
        <v>1.02</v>
      </c>
      <c r="AM72" s="159"/>
      <c r="AN72" s="160">
        <f t="shared" si="15"/>
        <v>1</v>
      </c>
      <c r="AO72" s="160">
        <f t="shared" si="15"/>
        <v>2</v>
      </c>
      <c r="AP72" s="133"/>
      <c r="AQ72" s="134"/>
      <c r="AR72" s="161"/>
      <c r="AS72" s="161"/>
      <c r="AT72" s="161"/>
      <c r="AU72" s="161"/>
      <c r="AV72" s="162"/>
      <c r="AW72" s="137">
        <f t="shared" si="11"/>
        <v>0</v>
      </c>
      <c r="AX72" s="137">
        <f t="shared" si="12"/>
        <v>0</v>
      </c>
    </row>
    <row r="73" ht="46.5" customHeight="1" spans="1:50" s="97" customFormat="1" x14ac:dyDescent="0.25">
      <c r="A73" s="100"/>
      <c r="B73" s="100"/>
      <c r="C73" s="100"/>
      <c r="D73" s="100"/>
      <c r="E73" s="100"/>
      <c r="F73" s="100"/>
      <c r="G73" s="103"/>
      <c r="H73" s="186"/>
      <c r="I73" s="195">
        <v>0.51</v>
      </c>
      <c r="J73" s="107">
        <v>0.49</v>
      </c>
      <c r="K73" s="107"/>
      <c r="L73" s="107"/>
      <c r="M73" s="187"/>
      <c r="N73" s="169">
        <f t="shared" si="14"/>
        <v>1</v>
      </c>
      <c r="O73" s="144">
        <v>1</v>
      </c>
      <c r="P73" s="145">
        <v>15</v>
      </c>
      <c r="Q73" s="113">
        <v>15</v>
      </c>
      <c r="R73" s="113"/>
      <c r="S73" s="113"/>
      <c r="T73" s="146"/>
      <c r="U73" s="148">
        <f t="shared" si="1"/>
        <v>15</v>
      </c>
      <c r="V73" s="149">
        <f t="shared" si="2"/>
        <v>15</v>
      </c>
      <c r="W73" s="189"/>
      <c r="X73" s="199"/>
      <c r="Y73" s="151"/>
      <c r="Z73" s="190"/>
      <c r="AA73" s="153"/>
      <c r="AB73" s="154">
        <f t="shared" si="3"/>
        <v>0</v>
      </c>
      <c r="AC73" s="149">
        <f t="shared" si="4"/>
        <v>0</v>
      </c>
      <c r="AD73" s="125">
        <v>2</v>
      </c>
      <c r="AE73" s="148">
        <f t="shared" si="5"/>
        <v>2</v>
      </c>
      <c r="AF73" s="156"/>
      <c r="AG73" s="156"/>
      <c r="AH73" s="113">
        <f t="shared" si="6"/>
        <v>17</v>
      </c>
      <c r="AI73" s="157">
        <v>65</v>
      </c>
      <c r="AJ73" s="113">
        <f t="shared" si="7"/>
        <v>82</v>
      </c>
      <c r="AK73" s="113">
        <f t="shared" si="8"/>
        <v>82</v>
      </c>
      <c r="AL73" s="158">
        <f t="shared" si="9"/>
        <v>1.02</v>
      </c>
      <c r="AM73" s="159"/>
      <c r="AN73" s="160">
        <f t="shared" si="15"/>
        <v>1</v>
      </c>
      <c r="AO73" s="160">
        <f t="shared" si="15"/>
        <v>2</v>
      </c>
      <c r="AP73" s="133"/>
      <c r="AQ73" s="134"/>
      <c r="AR73" s="161"/>
      <c r="AS73" s="161"/>
      <c r="AT73" s="161"/>
      <c r="AU73" s="161"/>
      <c r="AV73" s="162"/>
      <c r="AW73" s="137">
        <f t="shared" si="11"/>
        <v>0</v>
      </c>
      <c r="AX73" s="137">
        <f t="shared" si="12"/>
        <v>0</v>
      </c>
    </row>
    <row r="74" ht="46.5" customHeight="1" spans="1:50" s="97" customFormat="1" x14ac:dyDescent="0.25">
      <c r="A74" s="100"/>
      <c r="B74" s="100"/>
      <c r="C74" s="100"/>
      <c r="D74" s="100"/>
      <c r="E74" s="100"/>
      <c r="F74" s="100"/>
      <c r="G74" s="103"/>
      <c r="H74" s="186"/>
      <c r="I74" s="195">
        <v>0.51</v>
      </c>
      <c r="J74" s="107">
        <v>0.49</v>
      </c>
      <c r="K74" s="107"/>
      <c r="L74" s="107"/>
      <c r="M74" s="187"/>
      <c r="N74" s="169">
        <f t="shared" si="14"/>
        <v>1</v>
      </c>
      <c r="O74" s="144">
        <v>1</v>
      </c>
      <c r="P74" s="145">
        <v>15</v>
      </c>
      <c r="Q74" s="113">
        <v>15</v>
      </c>
      <c r="R74" s="113"/>
      <c r="S74" s="113"/>
      <c r="T74" s="146"/>
      <c r="U74" s="148">
        <f t="shared" si="1"/>
        <v>15</v>
      </c>
      <c r="V74" s="149">
        <f t="shared" si="2"/>
        <v>15</v>
      </c>
      <c r="W74" s="189"/>
      <c r="X74" s="199"/>
      <c r="Y74" s="151"/>
      <c r="Z74" s="190"/>
      <c r="AA74" s="153"/>
      <c r="AB74" s="154">
        <f t="shared" si="3"/>
        <v>0</v>
      </c>
      <c r="AC74" s="149">
        <f t="shared" si="4"/>
        <v>0</v>
      </c>
      <c r="AD74" s="125">
        <v>2</v>
      </c>
      <c r="AE74" s="148">
        <f t="shared" si="5"/>
        <v>2</v>
      </c>
      <c r="AF74" s="156"/>
      <c r="AG74" s="156"/>
      <c r="AH74" s="113">
        <f t="shared" si="6"/>
        <v>17</v>
      </c>
      <c r="AI74" s="157">
        <v>65</v>
      </c>
      <c r="AJ74" s="113">
        <f t="shared" si="7"/>
        <v>82</v>
      </c>
      <c r="AK74" s="113">
        <f t="shared" si="8"/>
        <v>82</v>
      </c>
      <c r="AL74" s="158">
        <f t="shared" si="9"/>
        <v>1.02</v>
      </c>
      <c r="AM74" s="159"/>
      <c r="AN74" s="160">
        <f t="shared" si="15"/>
        <v>1</v>
      </c>
      <c r="AO74" s="160">
        <f t="shared" si="15"/>
        <v>2</v>
      </c>
      <c r="AP74" s="133"/>
      <c r="AQ74" s="134"/>
      <c r="AR74" s="161"/>
      <c r="AS74" s="161"/>
      <c r="AT74" s="161"/>
      <c r="AU74" s="161"/>
      <c r="AV74" s="162"/>
      <c r="AW74" s="137">
        <f t="shared" si="11"/>
        <v>0</v>
      </c>
      <c r="AX74" s="137">
        <f t="shared" si="12"/>
        <v>0</v>
      </c>
    </row>
    <row r="75" ht="46.5" customHeight="1" spans="1:50" s="97" customFormat="1" x14ac:dyDescent="0.25">
      <c r="A75" s="100"/>
      <c r="B75" s="100"/>
      <c r="C75" s="100"/>
      <c r="D75" s="100"/>
      <c r="E75" s="100"/>
      <c r="F75" s="100"/>
      <c r="G75" s="103"/>
      <c r="H75" s="186"/>
      <c r="I75" s="195">
        <v>0.51</v>
      </c>
      <c r="J75" s="107">
        <v>0.49</v>
      </c>
      <c r="K75" s="107"/>
      <c r="L75" s="107"/>
      <c r="M75" s="187"/>
      <c r="N75" s="169">
        <f t="shared" si="14"/>
        <v>1</v>
      </c>
      <c r="O75" s="144">
        <v>1</v>
      </c>
      <c r="P75" s="145">
        <v>15</v>
      </c>
      <c r="Q75" s="113">
        <v>15</v>
      </c>
      <c r="R75" s="113"/>
      <c r="S75" s="113"/>
      <c r="T75" s="146"/>
      <c r="U75" s="148">
        <f t="shared" si="1"/>
        <v>15</v>
      </c>
      <c r="V75" s="149">
        <f t="shared" si="2"/>
        <v>15</v>
      </c>
      <c r="W75" s="189"/>
      <c r="X75" s="199"/>
      <c r="Y75" s="151"/>
      <c r="Z75" s="190"/>
      <c r="AA75" s="153"/>
      <c r="AB75" s="154">
        <f t="shared" si="3"/>
        <v>0</v>
      </c>
      <c r="AC75" s="149">
        <f t="shared" si="4"/>
        <v>0</v>
      </c>
      <c r="AD75" s="125">
        <v>2</v>
      </c>
      <c r="AE75" s="148">
        <f t="shared" si="5"/>
        <v>2</v>
      </c>
      <c r="AF75" s="156"/>
      <c r="AG75" s="156"/>
      <c r="AH75" s="113">
        <f t="shared" si="6"/>
        <v>17</v>
      </c>
      <c r="AI75" s="157">
        <v>65</v>
      </c>
      <c r="AJ75" s="113">
        <f t="shared" si="7"/>
        <v>82</v>
      </c>
      <c r="AK75" s="113">
        <f t="shared" si="8"/>
        <v>82</v>
      </c>
      <c r="AL75" s="158">
        <f t="shared" si="9"/>
        <v>1.02</v>
      </c>
      <c r="AM75" s="159"/>
      <c r="AN75" s="160">
        <f t="shared" ref="AN75:AO94" si="16">100%+AM75</f>
        <v>1</v>
      </c>
      <c r="AO75" s="160">
        <f t="shared" si="16"/>
        <v>2</v>
      </c>
      <c r="AP75" s="133"/>
      <c r="AQ75" s="134"/>
      <c r="AR75" s="161"/>
      <c r="AS75" s="161"/>
      <c r="AT75" s="161"/>
      <c r="AU75" s="161"/>
      <c r="AV75" s="162"/>
      <c r="AW75" s="137">
        <f t="shared" si="11"/>
        <v>0</v>
      </c>
      <c r="AX75" s="137">
        <f t="shared" si="12"/>
        <v>0</v>
      </c>
    </row>
    <row r="76" ht="46.5" customHeight="1" spans="1:50" s="97" customFormat="1" x14ac:dyDescent="0.25">
      <c r="A76" s="100"/>
      <c r="B76" s="100"/>
      <c r="C76" s="100"/>
      <c r="D76" s="100"/>
      <c r="E76" s="100"/>
      <c r="F76" s="100"/>
      <c r="G76" s="103"/>
      <c r="H76" s="186"/>
      <c r="I76" s="195">
        <v>0.51</v>
      </c>
      <c r="J76" s="107">
        <v>0.49</v>
      </c>
      <c r="K76" s="107"/>
      <c r="L76" s="107"/>
      <c r="M76" s="187"/>
      <c r="N76" s="169">
        <f t="shared" si="14"/>
        <v>1</v>
      </c>
      <c r="O76" s="144">
        <v>1</v>
      </c>
      <c r="P76" s="145">
        <v>15</v>
      </c>
      <c r="Q76" s="113">
        <v>15</v>
      </c>
      <c r="R76" s="113"/>
      <c r="S76" s="113"/>
      <c r="T76" s="146"/>
      <c r="U76" s="148">
        <f t="shared" si="1"/>
        <v>15</v>
      </c>
      <c r="V76" s="149">
        <f t="shared" si="2"/>
        <v>15</v>
      </c>
      <c r="W76" s="189"/>
      <c r="X76" s="199"/>
      <c r="Y76" s="151"/>
      <c r="Z76" s="190"/>
      <c r="AA76" s="153"/>
      <c r="AB76" s="154">
        <f t="shared" si="3"/>
        <v>0</v>
      </c>
      <c r="AC76" s="149">
        <f t="shared" si="4"/>
        <v>0</v>
      </c>
      <c r="AD76" s="125">
        <v>2</v>
      </c>
      <c r="AE76" s="148">
        <f t="shared" si="5"/>
        <v>2</v>
      </c>
      <c r="AF76" s="156"/>
      <c r="AG76" s="156"/>
      <c r="AH76" s="113">
        <f t="shared" si="6"/>
        <v>17</v>
      </c>
      <c r="AI76" s="157">
        <v>65</v>
      </c>
      <c r="AJ76" s="113">
        <f t="shared" si="7"/>
        <v>82</v>
      </c>
      <c r="AK76" s="113">
        <f t="shared" si="8"/>
        <v>82</v>
      </c>
      <c r="AL76" s="158">
        <f t="shared" si="9"/>
        <v>1.02</v>
      </c>
      <c r="AM76" s="159"/>
      <c r="AN76" s="160">
        <f t="shared" si="16"/>
        <v>1</v>
      </c>
      <c r="AO76" s="160">
        <f t="shared" si="16"/>
        <v>2</v>
      </c>
      <c r="AP76" s="133"/>
      <c r="AQ76" s="134"/>
      <c r="AR76" s="161"/>
      <c r="AS76" s="161"/>
      <c r="AT76" s="161"/>
      <c r="AU76" s="161"/>
      <c r="AV76" s="162"/>
      <c r="AW76" s="137">
        <f t="shared" si="11"/>
        <v>0</v>
      </c>
      <c r="AX76" s="137">
        <f t="shared" si="12"/>
        <v>0</v>
      </c>
    </row>
    <row r="77" ht="46.5" customHeight="1" spans="1:50" s="97" customFormat="1" x14ac:dyDescent="0.25">
      <c r="A77" s="100"/>
      <c r="B77" s="100"/>
      <c r="C77" s="100"/>
      <c r="D77" s="100"/>
      <c r="E77" s="100"/>
      <c r="F77" s="100"/>
      <c r="G77" s="103"/>
      <c r="H77" s="186"/>
      <c r="I77" s="195">
        <v>0.51</v>
      </c>
      <c r="J77" s="107">
        <v>0.49</v>
      </c>
      <c r="K77" s="107"/>
      <c r="L77" s="107"/>
      <c r="M77" s="187"/>
      <c r="N77" s="169">
        <f t="shared" si="14"/>
        <v>1</v>
      </c>
      <c r="O77" s="144">
        <v>1</v>
      </c>
      <c r="P77" s="145">
        <v>15</v>
      </c>
      <c r="Q77" s="113">
        <v>15</v>
      </c>
      <c r="R77" s="113"/>
      <c r="S77" s="113"/>
      <c r="T77" s="146"/>
      <c r="U77" s="148">
        <f t="shared" si="1"/>
        <v>15</v>
      </c>
      <c r="V77" s="149">
        <f t="shared" si="2"/>
        <v>15</v>
      </c>
      <c r="W77" s="189"/>
      <c r="X77" s="199"/>
      <c r="Y77" s="151"/>
      <c r="Z77" s="190"/>
      <c r="AA77" s="153"/>
      <c r="AB77" s="154">
        <f t="shared" si="3"/>
        <v>0</v>
      </c>
      <c r="AC77" s="149">
        <f t="shared" si="4"/>
        <v>0</v>
      </c>
      <c r="AD77" s="125">
        <v>2</v>
      </c>
      <c r="AE77" s="148">
        <f t="shared" si="5"/>
        <v>2</v>
      </c>
      <c r="AF77" s="156"/>
      <c r="AG77" s="156"/>
      <c r="AH77" s="113">
        <f t="shared" si="6"/>
        <v>17</v>
      </c>
      <c r="AI77" s="157">
        <v>65</v>
      </c>
      <c r="AJ77" s="113">
        <f t="shared" si="7"/>
        <v>82</v>
      </c>
      <c r="AK77" s="113">
        <f t="shared" si="8"/>
        <v>82</v>
      </c>
      <c r="AL77" s="158">
        <f t="shared" si="9"/>
        <v>1.02</v>
      </c>
      <c r="AM77" s="159"/>
      <c r="AN77" s="160">
        <f t="shared" si="16"/>
        <v>1</v>
      </c>
      <c r="AO77" s="160">
        <f t="shared" si="16"/>
        <v>2</v>
      </c>
      <c r="AP77" s="133"/>
      <c r="AQ77" s="134"/>
      <c r="AR77" s="161"/>
      <c r="AS77" s="161"/>
      <c r="AT77" s="161"/>
      <c r="AU77" s="161"/>
      <c r="AV77" s="162"/>
      <c r="AW77" s="137">
        <f t="shared" si="11"/>
        <v>0</v>
      </c>
      <c r="AX77" s="137">
        <f t="shared" si="12"/>
        <v>0</v>
      </c>
    </row>
    <row r="78" ht="46.5" customHeight="1" spans="1:50" s="97" customFormat="1" x14ac:dyDescent="0.25">
      <c r="A78" s="100"/>
      <c r="B78" s="100"/>
      <c r="C78" s="100"/>
      <c r="D78" s="100"/>
      <c r="E78" s="100"/>
      <c r="F78" s="100"/>
      <c r="G78" s="103"/>
      <c r="H78" s="186"/>
      <c r="I78" s="195">
        <v>0.51</v>
      </c>
      <c r="J78" s="107">
        <v>0.49</v>
      </c>
      <c r="K78" s="107"/>
      <c r="L78" s="107"/>
      <c r="M78" s="187"/>
      <c r="N78" s="169">
        <f t="shared" si="14"/>
        <v>1</v>
      </c>
      <c r="O78" s="144">
        <v>1</v>
      </c>
      <c r="P78" s="145">
        <v>15</v>
      </c>
      <c r="Q78" s="113">
        <v>15</v>
      </c>
      <c r="R78" s="113"/>
      <c r="S78" s="113"/>
      <c r="T78" s="146"/>
      <c r="U78" s="148">
        <f t="shared" si="1"/>
        <v>15</v>
      </c>
      <c r="V78" s="149">
        <f t="shared" si="2"/>
        <v>15</v>
      </c>
      <c r="W78" s="189"/>
      <c r="X78" s="199"/>
      <c r="Y78" s="151"/>
      <c r="Z78" s="190"/>
      <c r="AA78" s="153"/>
      <c r="AB78" s="154">
        <f t="shared" si="3"/>
        <v>0</v>
      </c>
      <c r="AC78" s="149">
        <f t="shared" si="4"/>
        <v>0</v>
      </c>
      <c r="AD78" s="125">
        <v>2</v>
      </c>
      <c r="AE78" s="148">
        <f t="shared" si="5"/>
        <v>2</v>
      </c>
      <c r="AF78" s="156"/>
      <c r="AG78" s="156"/>
      <c r="AH78" s="113">
        <f t="shared" si="6"/>
        <v>17</v>
      </c>
      <c r="AI78" s="157">
        <v>65</v>
      </c>
      <c r="AJ78" s="113">
        <f t="shared" si="7"/>
        <v>82</v>
      </c>
      <c r="AK78" s="113">
        <f t="shared" si="8"/>
        <v>82</v>
      </c>
      <c r="AL78" s="158">
        <f t="shared" si="9"/>
        <v>1.02</v>
      </c>
      <c r="AM78" s="159"/>
      <c r="AN78" s="160">
        <f t="shared" si="16"/>
        <v>1</v>
      </c>
      <c r="AO78" s="160">
        <f t="shared" si="16"/>
        <v>2</v>
      </c>
      <c r="AP78" s="133"/>
      <c r="AQ78" s="134"/>
      <c r="AR78" s="161"/>
      <c r="AS78" s="161"/>
      <c r="AT78" s="161"/>
      <c r="AU78" s="161"/>
      <c r="AV78" s="162"/>
      <c r="AW78" s="137">
        <f t="shared" si="11"/>
        <v>0</v>
      </c>
      <c r="AX78" s="137">
        <f t="shared" si="12"/>
        <v>0</v>
      </c>
    </row>
    <row r="79" ht="46.5" customHeight="1" spans="1:50" s="97" customFormat="1" x14ac:dyDescent="0.25">
      <c r="A79" s="100"/>
      <c r="B79" s="100"/>
      <c r="C79" s="100"/>
      <c r="D79" s="100"/>
      <c r="E79" s="100"/>
      <c r="F79" s="100"/>
      <c r="G79" s="103"/>
      <c r="H79" s="186"/>
      <c r="I79" s="195">
        <v>0.51</v>
      </c>
      <c r="J79" s="107">
        <v>0.49</v>
      </c>
      <c r="K79" s="107"/>
      <c r="L79" s="107"/>
      <c r="M79" s="187"/>
      <c r="N79" s="169">
        <f t="shared" si="14"/>
        <v>1</v>
      </c>
      <c r="O79" s="144">
        <v>1</v>
      </c>
      <c r="P79" s="145">
        <v>15</v>
      </c>
      <c r="Q79" s="113">
        <v>15</v>
      </c>
      <c r="R79" s="113"/>
      <c r="S79" s="113"/>
      <c r="T79" s="146"/>
      <c r="U79" s="148">
        <f t="shared" ref="U79:U140" si="17">ROUND(((P79*I79)+(Q79*J79)+(R79*K79)+(S79*L79)+(T79*M79))*O79,2)</f>
        <v>15</v>
      </c>
      <c r="V79" s="149">
        <f t="shared" ref="V79:V140" si="18">IF(U79&gt;=15,15,U79)</f>
        <v>15</v>
      </c>
      <c r="W79" s="189"/>
      <c r="X79" s="199"/>
      <c r="Y79" s="151"/>
      <c r="Z79" s="190"/>
      <c r="AA79" s="153"/>
      <c r="AB79" s="154">
        <f t="shared" ref="AB79:AB140" si="19">ROUND((((W79*I79)+(X79*J79)+(Y79*K79)+(Z79*L79)+(AA79*M79))/$I$2),2)*13</f>
        <v>0</v>
      </c>
      <c r="AC79" s="149">
        <f t="shared" ref="AC79:AC140" si="20">IF(AB79&gt;=13,13,AB79)</f>
        <v>0</v>
      </c>
      <c r="AD79" s="125">
        <v>2</v>
      </c>
      <c r="AE79" s="148">
        <f t="shared" ref="AE79:AE140" si="21">IF((AC79+AD79)&gt;=15,15,(AC79+AD79))</f>
        <v>2</v>
      </c>
      <c r="AF79" s="156"/>
      <c r="AG79" s="156"/>
      <c r="AH79" s="113">
        <f t="shared" ref="AH79:AH140" si="22">IF((V79+AE79+AF79)&gt;=30,30,(V79+AE79+AF79))</f>
        <v>17</v>
      </c>
      <c r="AI79" s="157">
        <v>65</v>
      </c>
      <c r="AJ79" s="113">
        <f t="shared" ref="AJ79:AJ140" si="23">V79+AE79+AF79+AI79+AG79</f>
        <v>82</v>
      </c>
      <c r="AK79" s="113">
        <f t="shared" ref="AK79:AK140" si="24">IF(AH79+AI79+AG79&gt;=95,95,AH79+AI79+AG79)</f>
        <v>82</v>
      </c>
      <c r="AL79" s="158">
        <f t="shared" ref="AL79:AL140" si="25">-((50-((176+(45+(50-AH79)))))/200)</f>
        <v>1.02</v>
      </c>
      <c r="AM79" s="159"/>
      <c r="AN79" s="160">
        <f t="shared" si="16"/>
        <v>1</v>
      </c>
      <c r="AO79" s="160">
        <f t="shared" si="16"/>
        <v>2</v>
      </c>
      <c r="AP79" s="133"/>
      <c r="AQ79" s="134"/>
      <c r="AR79" s="161"/>
      <c r="AS79" s="161"/>
      <c r="AT79" s="161"/>
      <c r="AU79" s="161"/>
      <c r="AV79" s="162"/>
      <c r="AW79" s="137">
        <f t="shared" ref="AW79:AW140" si="26">AR79+AS79+AT79+AU79+AV79</f>
        <v>0</v>
      </c>
      <c r="AX79" s="137">
        <f t="shared" ref="AX79:AX140" si="27">(AR79*I79)+(AS79*J79)+(AT79*K79)+(AU79*L79)+(AV79*M79)</f>
        <v>0</v>
      </c>
    </row>
    <row r="80" ht="46.5" customHeight="1" spans="1:50" s="97" customFormat="1" x14ac:dyDescent="0.25">
      <c r="A80" s="100"/>
      <c r="B80" s="100"/>
      <c r="C80" s="100"/>
      <c r="D80" s="100"/>
      <c r="E80" s="100"/>
      <c r="F80" s="100"/>
      <c r="G80" s="103"/>
      <c r="H80" s="186"/>
      <c r="I80" s="195">
        <v>0.51</v>
      </c>
      <c r="J80" s="107">
        <v>0.49</v>
      </c>
      <c r="K80" s="107"/>
      <c r="L80" s="107"/>
      <c r="M80" s="187"/>
      <c r="N80" s="169">
        <f t="shared" si="14"/>
        <v>1</v>
      </c>
      <c r="O80" s="144">
        <v>1</v>
      </c>
      <c r="P80" s="145">
        <v>15</v>
      </c>
      <c r="Q80" s="113">
        <v>15</v>
      </c>
      <c r="R80" s="113"/>
      <c r="S80" s="113"/>
      <c r="T80" s="146"/>
      <c r="U80" s="148">
        <f t="shared" si="17"/>
        <v>15</v>
      </c>
      <c r="V80" s="149">
        <f t="shared" si="18"/>
        <v>15</v>
      </c>
      <c r="W80" s="189"/>
      <c r="X80" s="199"/>
      <c r="Y80" s="151"/>
      <c r="Z80" s="190"/>
      <c r="AA80" s="153"/>
      <c r="AB80" s="154">
        <f t="shared" si="19"/>
        <v>0</v>
      </c>
      <c r="AC80" s="149">
        <f t="shared" si="20"/>
        <v>0</v>
      </c>
      <c r="AD80" s="125">
        <v>2</v>
      </c>
      <c r="AE80" s="148">
        <f t="shared" si="21"/>
        <v>2</v>
      </c>
      <c r="AF80" s="156"/>
      <c r="AG80" s="156"/>
      <c r="AH80" s="113">
        <f t="shared" si="22"/>
        <v>17</v>
      </c>
      <c r="AI80" s="157">
        <v>65</v>
      </c>
      <c r="AJ80" s="113">
        <f t="shared" si="23"/>
        <v>82</v>
      </c>
      <c r="AK80" s="113">
        <f t="shared" si="24"/>
        <v>82</v>
      </c>
      <c r="AL80" s="158">
        <f t="shared" si="25"/>
        <v>1.02</v>
      </c>
      <c r="AM80" s="159"/>
      <c r="AN80" s="160">
        <f t="shared" si="16"/>
        <v>1</v>
      </c>
      <c r="AO80" s="160">
        <f t="shared" si="16"/>
        <v>2</v>
      </c>
      <c r="AP80" s="133"/>
      <c r="AQ80" s="134"/>
      <c r="AR80" s="161"/>
      <c r="AS80" s="161"/>
      <c r="AT80" s="161"/>
      <c r="AU80" s="161"/>
      <c r="AV80" s="162"/>
      <c r="AW80" s="137">
        <f t="shared" si="26"/>
        <v>0</v>
      </c>
      <c r="AX80" s="137">
        <f t="shared" si="27"/>
        <v>0</v>
      </c>
    </row>
    <row r="81" ht="46.5" customHeight="1" spans="1:50" s="97" customFormat="1" x14ac:dyDescent="0.25">
      <c r="A81" s="100"/>
      <c r="B81" s="100"/>
      <c r="C81" s="100"/>
      <c r="D81" s="100"/>
      <c r="E81" s="100"/>
      <c r="F81" s="100"/>
      <c r="G81" s="103"/>
      <c r="H81" s="186"/>
      <c r="I81" s="195">
        <v>0.51</v>
      </c>
      <c r="J81" s="107">
        <v>0.49</v>
      </c>
      <c r="K81" s="107"/>
      <c r="L81" s="107"/>
      <c r="M81" s="187"/>
      <c r="N81" s="169">
        <f t="shared" si="14"/>
        <v>1</v>
      </c>
      <c r="O81" s="144">
        <v>1</v>
      </c>
      <c r="P81" s="145">
        <v>15</v>
      </c>
      <c r="Q81" s="113">
        <v>15</v>
      </c>
      <c r="R81" s="113"/>
      <c r="S81" s="113"/>
      <c r="T81" s="146"/>
      <c r="U81" s="148">
        <f t="shared" si="17"/>
        <v>15</v>
      </c>
      <c r="V81" s="149">
        <f t="shared" si="18"/>
        <v>15</v>
      </c>
      <c r="W81" s="189"/>
      <c r="X81" s="199"/>
      <c r="Y81" s="151"/>
      <c r="Z81" s="190"/>
      <c r="AA81" s="153"/>
      <c r="AB81" s="154">
        <f t="shared" si="19"/>
        <v>0</v>
      </c>
      <c r="AC81" s="149">
        <f t="shared" si="20"/>
        <v>0</v>
      </c>
      <c r="AD81" s="125">
        <v>2</v>
      </c>
      <c r="AE81" s="148">
        <f t="shared" si="21"/>
        <v>2</v>
      </c>
      <c r="AF81" s="156"/>
      <c r="AG81" s="156"/>
      <c r="AH81" s="113">
        <f t="shared" si="22"/>
        <v>17</v>
      </c>
      <c r="AI81" s="157">
        <v>65</v>
      </c>
      <c r="AJ81" s="113">
        <f t="shared" si="23"/>
        <v>82</v>
      </c>
      <c r="AK81" s="113">
        <f t="shared" si="24"/>
        <v>82</v>
      </c>
      <c r="AL81" s="158">
        <f t="shared" si="25"/>
        <v>1.02</v>
      </c>
      <c r="AM81" s="159"/>
      <c r="AN81" s="160">
        <f t="shared" si="16"/>
        <v>1</v>
      </c>
      <c r="AO81" s="160">
        <f t="shared" si="16"/>
        <v>2</v>
      </c>
      <c r="AP81" s="133"/>
      <c r="AQ81" s="134"/>
      <c r="AR81" s="161"/>
      <c r="AS81" s="161"/>
      <c r="AT81" s="161"/>
      <c r="AU81" s="161"/>
      <c r="AV81" s="162"/>
      <c r="AW81" s="137">
        <f t="shared" si="26"/>
        <v>0</v>
      </c>
      <c r="AX81" s="137">
        <f t="shared" si="27"/>
        <v>0</v>
      </c>
    </row>
    <row r="82" ht="46.5" customHeight="1" spans="1:50" s="97" customFormat="1" x14ac:dyDescent="0.25">
      <c r="A82" s="100"/>
      <c r="B82" s="100"/>
      <c r="C82" s="100"/>
      <c r="D82" s="100"/>
      <c r="E82" s="100"/>
      <c r="F82" s="100"/>
      <c r="G82" s="103"/>
      <c r="H82" s="186"/>
      <c r="I82" s="195">
        <v>0.51</v>
      </c>
      <c r="J82" s="107">
        <v>0.49</v>
      </c>
      <c r="K82" s="107"/>
      <c r="L82" s="107"/>
      <c r="M82" s="187"/>
      <c r="N82" s="169">
        <f t="shared" si="14"/>
        <v>1</v>
      </c>
      <c r="O82" s="144">
        <v>1</v>
      </c>
      <c r="P82" s="145">
        <v>15</v>
      </c>
      <c r="Q82" s="113">
        <v>15</v>
      </c>
      <c r="R82" s="113"/>
      <c r="S82" s="113"/>
      <c r="T82" s="146"/>
      <c r="U82" s="148">
        <f t="shared" si="17"/>
        <v>15</v>
      </c>
      <c r="V82" s="149">
        <f t="shared" si="18"/>
        <v>15</v>
      </c>
      <c r="W82" s="189"/>
      <c r="X82" s="199"/>
      <c r="Y82" s="151"/>
      <c r="Z82" s="190"/>
      <c r="AA82" s="153"/>
      <c r="AB82" s="154">
        <f t="shared" si="19"/>
        <v>0</v>
      </c>
      <c r="AC82" s="149">
        <f t="shared" si="20"/>
        <v>0</v>
      </c>
      <c r="AD82" s="125">
        <v>2</v>
      </c>
      <c r="AE82" s="148">
        <f t="shared" si="21"/>
        <v>2</v>
      </c>
      <c r="AF82" s="156"/>
      <c r="AG82" s="156"/>
      <c r="AH82" s="113">
        <f t="shared" si="22"/>
        <v>17</v>
      </c>
      <c r="AI82" s="157">
        <v>65</v>
      </c>
      <c r="AJ82" s="113">
        <f t="shared" si="23"/>
        <v>82</v>
      </c>
      <c r="AK82" s="113">
        <f t="shared" si="24"/>
        <v>82</v>
      </c>
      <c r="AL82" s="158">
        <f t="shared" si="25"/>
        <v>1.02</v>
      </c>
      <c r="AM82" s="159"/>
      <c r="AN82" s="160">
        <f t="shared" si="16"/>
        <v>1</v>
      </c>
      <c r="AO82" s="160">
        <f t="shared" si="16"/>
        <v>2</v>
      </c>
      <c r="AP82" s="133"/>
      <c r="AQ82" s="134"/>
      <c r="AR82" s="161"/>
      <c r="AS82" s="161"/>
      <c r="AT82" s="161"/>
      <c r="AU82" s="161"/>
      <c r="AV82" s="162"/>
      <c r="AW82" s="137">
        <f t="shared" si="26"/>
        <v>0</v>
      </c>
      <c r="AX82" s="137">
        <f t="shared" si="27"/>
        <v>0</v>
      </c>
    </row>
    <row r="83" ht="46.5" customHeight="1" spans="1:50" s="97" customFormat="1" x14ac:dyDescent="0.25">
      <c r="A83" s="100"/>
      <c r="B83" s="100"/>
      <c r="C83" s="100"/>
      <c r="D83" s="100"/>
      <c r="E83" s="100"/>
      <c r="F83" s="100"/>
      <c r="G83" s="103"/>
      <c r="H83" s="186"/>
      <c r="I83" s="195">
        <v>0.51</v>
      </c>
      <c r="J83" s="107">
        <v>0.49</v>
      </c>
      <c r="K83" s="107"/>
      <c r="L83" s="107"/>
      <c r="M83" s="187"/>
      <c r="N83" s="169">
        <f t="shared" si="14"/>
        <v>1</v>
      </c>
      <c r="O83" s="144">
        <v>1</v>
      </c>
      <c r="P83" s="145">
        <v>15</v>
      </c>
      <c r="Q83" s="113">
        <v>15</v>
      </c>
      <c r="R83" s="113"/>
      <c r="S83" s="113"/>
      <c r="T83" s="146"/>
      <c r="U83" s="148">
        <f t="shared" si="17"/>
        <v>15</v>
      </c>
      <c r="V83" s="149">
        <f t="shared" si="18"/>
        <v>15</v>
      </c>
      <c r="W83" s="189"/>
      <c r="X83" s="199"/>
      <c r="Y83" s="151"/>
      <c r="Z83" s="190"/>
      <c r="AA83" s="153"/>
      <c r="AB83" s="154">
        <f t="shared" si="19"/>
        <v>0</v>
      </c>
      <c r="AC83" s="149">
        <f t="shared" si="20"/>
        <v>0</v>
      </c>
      <c r="AD83" s="125">
        <v>2</v>
      </c>
      <c r="AE83" s="148">
        <f t="shared" si="21"/>
        <v>2</v>
      </c>
      <c r="AF83" s="156"/>
      <c r="AG83" s="156"/>
      <c r="AH83" s="113">
        <f t="shared" si="22"/>
        <v>17</v>
      </c>
      <c r="AI83" s="157">
        <v>65</v>
      </c>
      <c r="AJ83" s="113">
        <f t="shared" si="23"/>
        <v>82</v>
      </c>
      <c r="AK83" s="113">
        <f t="shared" si="24"/>
        <v>82</v>
      </c>
      <c r="AL83" s="158">
        <f t="shared" si="25"/>
        <v>1.02</v>
      </c>
      <c r="AM83" s="159"/>
      <c r="AN83" s="160">
        <f t="shared" si="16"/>
        <v>1</v>
      </c>
      <c r="AO83" s="160">
        <f t="shared" si="16"/>
        <v>2</v>
      </c>
      <c r="AP83" s="133"/>
      <c r="AQ83" s="134"/>
      <c r="AR83" s="161"/>
      <c r="AS83" s="161"/>
      <c r="AT83" s="161"/>
      <c r="AU83" s="161"/>
      <c r="AV83" s="162"/>
      <c r="AW83" s="137">
        <f t="shared" si="26"/>
        <v>0</v>
      </c>
      <c r="AX83" s="137">
        <f t="shared" si="27"/>
        <v>0</v>
      </c>
    </row>
    <row r="84" ht="46.5" customHeight="1" spans="1:50" s="97" customFormat="1" x14ac:dyDescent="0.25">
      <c r="A84" s="100"/>
      <c r="B84" s="100"/>
      <c r="C84" s="100"/>
      <c r="D84" s="100"/>
      <c r="E84" s="100"/>
      <c r="F84" s="100"/>
      <c r="G84" s="103"/>
      <c r="H84" s="186"/>
      <c r="I84" s="195">
        <v>0.51</v>
      </c>
      <c r="J84" s="107">
        <v>0.49</v>
      </c>
      <c r="K84" s="107"/>
      <c r="L84" s="107"/>
      <c r="M84" s="187"/>
      <c r="N84" s="169">
        <f t="shared" si="14"/>
        <v>1</v>
      </c>
      <c r="O84" s="144">
        <v>1</v>
      </c>
      <c r="P84" s="145">
        <v>15</v>
      </c>
      <c r="Q84" s="113">
        <v>15</v>
      </c>
      <c r="R84" s="113"/>
      <c r="S84" s="113"/>
      <c r="T84" s="146"/>
      <c r="U84" s="148">
        <f t="shared" si="17"/>
        <v>15</v>
      </c>
      <c r="V84" s="149">
        <f t="shared" si="18"/>
        <v>15</v>
      </c>
      <c r="W84" s="189"/>
      <c r="X84" s="199"/>
      <c r="Y84" s="151"/>
      <c r="Z84" s="190"/>
      <c r="AA84" s="153"/>
      <c r="AB84" s="154">
        <f t="shared" si="19"/>
        <v>0</v>
      </c>
      <c r="AC84" s="149">
        <f t="shared" si="20"/>
        <v>0</v>
      </c>
      <c r="AD84" s="125">
        <v>2</v>
      </c>
      <c r="AE84" s="148">
        <f t="shared" si="21"/>
        <v>2</v>
      </c>
      <c r="AF84" s="156"/>
      <c r="AG84" s="156"/>
      <c r="AH84" s="113">
        <f t="shared" si="22"/>
        <v>17</v>
      </c>
      <c r="AI84" s="157">
        <v>65</v>
      </c>
      <c r="AJ84" s="113">
        <f t="shared" si="23"/>
        <v>82</v>
      </c>
      <c r="AK84" s="113">
        <f t="shared" si="24"/>
        <v>82</v>
      </c>
      <c r="AL84" s="158">
        <f t="shared" si="25"/>
        <v>1.02</v>
      </c>
      <c r="AM84" s="159"/>
      <c r="AN84" s="160">
        <f t="shared" si="16"/>
        <v>1</v>
      </c>
      <c r="AO84" s="160">
        <f t="shared" si="16"/>
        <v>2</v>
      </c>
      <c r="AP84" s="133"/>
      <c r="AQ84" s="134"/>
      <c r="AR84" s="161"/>
      <c r="AS84" s="161"/>
      <c r="AT84" s="161"/>
      <c r="AU84" s="161"/>
      <c r="AV84" s="162"/>
      <c r="AW84" s="137">
        <f t="shared" si="26"/>
        <v>0</v>
      </c>
      <c r="AX84" s="137">
        <f t="shared" si="27"/>
        <v>0</v>
      </c>
    </row>
    <row r="85" ht="46.5" customHeight="1" spans="1:50" s="97" customFormat="1" x14ac:dyDescent="0.25">
      <c r="A85" s="100"/>
      <c r="B85" s="100"/>
      <c r="C85" s="100"/>
      <c r="D85" s="100"/>
      <c r="E85" s="100"/>
      <c r="F85" s="100"/>
      <c r="G85" s="103"/>
      <c r="H85" s="186"/>
      <c r="I85" s="195">
        <v>0.51</v>
      </c>
      <c r="J85" s="107">
        <v>0.49</v>
      </c>
      <c r="K85" s="107"/>
      <c r="L85" s="107"/>
      <c r="M85" s="187"/>
      <c r="N85" s="169">
        <f t="shared" si="14"/>
        <v>1</v>
      </c>
      <c r="O85" s="144">
        <v>1</v>
      </c>
      <c r="P85" s="145">
        <v>15</v>
      </c>
      <c r="Q85" s="113">
        <v>15</v>
      </c>
      <c r="R85" s="113"/>
      <c r="S85" s="113"/>
      <c r="T85" s="146"/>
      <c r="U85" s="148">
        <f t="shared" si="17"/>
        <v>15</v>
      </c>
      <c r="V85" s="149">
        <f t="shared" si="18"/>
        <v>15</v>
      </c>
      <c r="W85" s="189"/>
      <c r="X85" s="199"/>
      <c r="Y85" s="151"/>
      <c r="Z85" s="190"/>
      <c r="AA85" s="153"/>
      <c r="AB85" s="154">
        <f t="shared" si="19"/>
        <v>0</v>
      </c>
      <c r="AC85" s="149">
        <f t="shared" si="20"/>
        <v>0</v>
      </c>
      <c r="AD85" s="125">
        <v>2</v>
      </c>
      <c r="AE85" s="148">
        <f t="shared" si="21"/>
        <v>2</v>
      </c>
      <c r="AF85" s="156"/>
      <c r="AG85" s="156"/>
      <c r="AH85" s="113">
        <f t="shared" si="22"/>
        <v>17</v>
      </c>
      <c r="AI85" s="157">
        <v>65</v>
      </c>
      <c r="AJ85" s="113">
        <f t="shared" si="23"/>
        <v>82</v>
      </c>
      <c r="AK85" s="113">
        <f t="shared" si="24"/>
        <v>82</v>
      </c>
      <c r="AL85" s="158">
        <f t="shared" si="25"/>
        <v>1.02</v>
      </c>
      <c r="AM85" s="159"/>
      <c r="AN85" s="160">
        <f t="shared" si="16"/>
        <v>1</v>
      </c>
      <c r="AO85" s="160">
        <f t="shared" si="16"/>
        <v>2</v>
      </c>
      <c r="AP85" s="133"/>
      <c r="AQ85" s="134"/>
      <c r="AR85" s="161"/>
      <c r="AS85" s="161"/>
      <c r="AT85" s="161"/>
      <c r="AU85" s="161"/>
      <c r="AV85" s="162"/>
      <c r="AW85" s="137">
        <f t="shared" si="26"/>
        <v>0</v>
      </c>
      <c r="AX85" s="137">
        <f t="shared" si="27"/>
        <v>0</v>
      </c>
    </row>
    <row r="86" ht="46.5" customHeight="1" spans="1:50" s="97" customFormat="1" x14ac:dyDescent="0.25">
      <c r="A86" s="100"/>
      <c r="B86" s="100"/>
      <c r="C86" s="100"/>
      <c r="D86" s="100"/>
      <c r="E86" s="100"/>
      <c r="F86" s="100"/>
      <c r="G86" s="103"/>
      <c r="H86" s="186"/>
      <c r="I86" s="195">
        <v>0.51</v>
      </c>
      <c r="J86" s="107">
        <v>0.49</v>
      </c>
      <c r="K86" s="107"/>
      <c r="L86" s="107"/>
      <c r="M86" s="187"/>
      <c r="N86" s="169">
        <f t="shared" si="14"/>
        <v>1</v>
      </c>
      <c r="O86" s="144">
        <v>1</v>
      </c>
      <c r="P86" s="145">
        <v>15</v>
      </c>
      <c r="Q86" s="113">
        <v>15</v>
      </c>
      <c r="R86" s="113"/>
      <c r="S86" s="113"/>
      <c r="T86" s="146"/>
      <c r="U86" s="148">
        <f t="shared" si="17"/>
        <v>15</v>
      </c>
      <c r="V86" s="149">
        <f t="shared" si="18"/>
        <v>15</v>
      </c>
      <c r="W86" s="189"/>
      <c r="X86" s="199"/>
      <c r="Y86" s="151"/>
      <c r="Z86" s="190"/>
      <c r="AA86" s="153"/>
      <c r="AB86" s="154">
        <f t="shared" si="19"/>
        <v>0</v>
      </c>
      <c r="AC86" s="149">
        <f t="shared" si="20"/>
        <v>0</v>
      </c>
      <c r="AD86" s="125">
        <v>2</v>
      </c>
      <c r="AE86" s="148">
        <f t="shared" si="21"/>
        <v>2</v>
      </c>
      <c r="AF86" s="156"/>
      <c r="AG86" s="156"/>
      <c r="AH86" s="113">
        <f t="shared" si="22"/>
        <v>17</v>
      </c>
      <c r="AI86" s="157">
        <v>65</v>
      </c>
      <c r="AJ86" s="113">
        <f t="shared" si="23"/>
        <v>82</v>
      </c>
      <c r="AK86" s="113">
        <f t="shared" si="24"/>
        <v>82</v>
      </c>
      <c r="AL86" s="158">
        <f t="shared" si="25"/>
        <v>1.02</v>
      </c>
      <c r="AM86" s="159"/>
      <c r="AN86" s="160">
        <f t="shared" si="16"/>
        <v>1</v>
      </c>
      <c r="AO86" s="160">
        <f t="shared" si="16"/>
        <v>2</v>
      </c>
      <c r="AP86" s="133"/>
      <c r="AQ86" s="134"/>
      <c r="AR86" s="161"/>
      <c r="AS86" s="161"/>
      <c r="AT86" s="161"/>
      <c r="AU86" s="161"/>
      <c r="AV86" s="162"/>
      <c r="AW86" s="137">
        <f t="shared" si="26"/>
        <v>0</v>
      </c>
      <c r="AX86" s="137">
        <f t="shared" si="27"/>
        <v>0</v>
      </c>
    </row>
    <row r="87" ht="46.5" customHeight="1" spans="1:50" s="97" customFormat="1" x14ac:dyDescent="0.25">
      <c r="A87" s="100"/>
      <c r="B87" s="100"/>
      <c r="C87" s="100"/>
      <c r="D87" s="100"/>
      <c r="E87" s="100"/>
      <c r="F87" s="100"/>
      <c r="G87" s="103"/>
      <c r="H87" s="186"/>
      <c r="I87" s="195">
        <v>0.51</v>
      </c>
      <c r="J87" s="107">
        <v>0.49</v>
      </c>
      <c r="K87" s="107"/>
      <c r="L87" s="107"/>
      <c r="M87" s="187"/>
      <c r="N87" s="169">
        <f t="shared" si="14"/>
        <v>1</v>
      </c>
      <c r="O87" s="144">
        <v>1</v>
      </c>
      <c r="P87" s="145">
        <v>15</v>
      </c>
      <c r="Q87" s="113">
        <v>15</v>
      </c>
      <c r="R87" s="113"/>
      <c r="S87" s="113"/>
      <c r="T87" s="146"/>
      <c r="U87" s="148">
        <f t="shared" si="17"/>
        <v>15</v>
      </c>
      <c r="V87" s="149">
        <f t="shared" si="18"/>
        <v>15</v>
      </c>
      <c r="W87" s="189"/>
      <c r="X87" s="199"/>
      <c r="Y87" s="151"/>
      <c r="Z87" s="190"/>
      <c r="AA87" s="153"/>
      <c r="AB87" s="154">
        <f t="shared" si="19"/>
        <v>0</v>
      </c>
      <c r="AC87" s="149">
        <f t="shared" si="20"/>
        <v>0</v>
      </c>
      <c r="AD87" s="125">
        <v>2</v>
      </c>
      <c r="AE87" s="148">
        <f t="shared" si="21"/>
        <v>2</v>
      </c>
      <c r="AF87" s="156"/>
      <c r="AG87" s="156"/>
      <c r="AH87" s="113">
        <f t="shared" si="22"/>
        <v>17</v>
      </c>
      <c r="AI87" s="157">
        <v>65</v>
      </c>
      <c r="AJ87" s="113">
        <f t="shared" si="23"/>
        <v>82</v>
      </c>
      <c r="AK87" s="113">
        <f t="shared" si="24"/>
        <v>82</v>
      </c>
      <c r="AL87" s="158">
        <f t="shared" si="25"/>
        <v>1.02</v>
      </c>
      <c r="AM87" s="159"/>
      <c r="AN87" s="160">
        <f t="shared" si="16"/>
        <v>1</v>
      </c>
      <c r="AO87" s="160">
        <f t="shared" si="16"/>
        <v>2</v>
      </c>
      <c r="AP87" s="133"/>
      <c r="AQ87" s="134"/>
      <c r="AR87" s="161"/>
      <c r="AS87" s="161"/>
      <c r="AT87" s="161"/>
      <c r="AU87" s="161"/>
      <c r="AV87" s="162"/>
      <c r="AW87" s="137">
        <f t="shared" si="26"/>
        <v>0</v>
      </c>
      <c r="AX87" s="137">
        <f t="shared" si="27"/>
        <v>0</v>
      </c>
    </row>
    <row r="88" ht="46.5" customHeight="1" spans="1:50" s="97" customFormat="1" x14ac:dyDescent="0.25">
      <c r="A88" s="100"/>
      <c r="B88" s="100"/>
      <c r="C88" s="100"/>
      <c r="D88" s="100"/>
      <c r="E88" s="100"/>
      <c r="F88" s="100"/>
      <c r="G88" s="103"/>
      <c r="H88" s="186"/>
      <c r="I88" s="195">
        <v>0.51</v>
      </c>
      <c r="J88" s="107">
        <v>0.49</v>
      </c>
      <c r="K88" s="107"/>
      <c r="L88" s="107"/>
      <c r="M88" s="187"/>
      <c r="N88" s="169">
        <f t="shared" si="14"/>
        <v>1</v>
      </c>
      <c r="O88" s="144">
        <v>1</v>
      </c>
      <c r="P88" s="145">
        <v>15</v>
      </c>
      <c r="Q88" s="113">
        <v>15</v>
      </c>
      <c r="R88" s="113"/>
      <c r="S88" s="113"/>
      <c r="T88" s="146"/>
      <c r="U88" s="148">
        <f t="shared" si="17"/>
        <v>15</v>
      </c>
      <c r="V88" s="149">
        <f t="shared" si="18"/>
        <v>15</v>
      </c>
      <c r="W88" s="189"/>
      <c r="X88" s="199"/>
      <c r="Y88" s="151"/>
      <c r="Z88" s="190"/>
      <c r="AA88" s="153"/>
      <c r="AB88" s="154">
        <f t="shared" si="19"/>
        <v>0</v>
      </c>
      <c r="AC88" s="149">
        <f t="shared" si="20"/>
        <v>0</v>
      </c>
      <c r="AD88" s="125">
        <v>2</v>
      </c>
      <c r="AE88" s="148">
        <f t="shared" si="21"/>
        <v>2</v>
      </c>
      <c r="AF88" s="156"/>
      <c r="AG88" s="156"/>
      <c r="AH88" s="113">
        <f t="shared" si="22"/>
        <v>17</v>
      </c>
      <c r="AI88" s="157">
        <v>65</v>
      </c>
      <c r="AJ88" s="113">
        <f t="shared" si="23"/>
        <v>82</v>
      </c>
      <c r="AK88" s="113">
        <f t="shared" si="24"/>
        <v>82</v>
      </c>
      <c r="AL88" s="158">
        <f t="shared" si="25"/>
        <v>1.02</v>
      </c>
      <c r="AM88" s="159"/>
      <c r="AN88" s="160">
        <f t="shared" si="16"/>
        <v>1</v>
      </c>
      <c r="AO88" s="160">
        <f t="shared" si="16"/>
        <v>2</v>
      </c>
      <c r="AP88" s="133"/>
      <c r="AQ88" s="134"/>
      <c r="AR88" s="161"/>
      <c r="AS88" s="161"/>
      <c r="AT88" s="161"/>
      <c r="AU88" s="161"/>
      <c r="AV88" s="162"/>
      <c r="AW88" s="137">
        <f t="shared" si="26"/>
        <v>0</v>
      </c>
      <c r="AX88" s="137">
        <f t="shared" si="27"/>
        <v>0</v>
      </c>
    </row>
    <row r="89" ht="46.5" customHeight="1" spans="1:50" s="97" customFormat="1" x14ac:dyDescent="0.25">
      <c r="A89" s="100"/>
      <c r="B89" s="100"/>
      <c r="C89" s="100"/>
      <c r="D89" s="100"/>
      <c r="E89" s="100"/>
      <c r="F89" s="100"/>
      <c r="G89" s="103"/>
      <c r="H89" s="186"/>
      <c r="I89" s="195">
        <v>0.51</v>
      </c>
      <c r="J89" s="107">
        <v>0.49</v>
      </c>
      <c r="K89" s="107"/>
      <c r="L89" s="107"/>
      <c r="M89" s="187"/>
      <c r="N89" s="169">
        <f t="shared" si="14"/>
        <v>1</v>
      </c>
      <c r="O89" s="144">
        <v>1</v>
      </c>
      <c r="P89" s="145">
        <v>15</v>
      </c>
      <c r="Q89" s="113">
        <v>15</v>
      </c>
      <c r="R89" s="113"/>
      <c r="S89" s="113"/>
      <c r="T89" s="146"/>
      <c r="U89" s="148">
        <f t="shared" si="17"/>
        <v>15</v>
      </c>
      <c r="V89" s="149">
        <f t="shared" si="18"/>
        <v>15</v>
      </c>
      <c r="W89" s="189"/>
      <c r="X89" s="199"/>
      <c r="Y89" s="151"/>
      <c r="Z89" s="190"/>
      <c r="AA89" s="153"/>
      <c r="AB89" s="154">
        <f t="shared" si="19"/>
        <v>0</v>
      </c>
      <c r="AC89" s="149">
        <f t="shared" si="20"/>
        <v>0</v>
      </c>
      <c r="AD89" s="125">
        <v>2</v>
      </c>
      <c r="AE89" s="148">
        <f t="shared" si="21"/>
        <v>2</v>
      </c>
      <c r="AF89" s="156"/>
      <c r="AG89" s="156"/>
      <c r="AH89" s="113">
        <f t="shared" si="22"/>
        <v>17</v>
      </c>
      <c r="AI89" s="157">
        <v>65</v>
      </c>
      <c r="AJ89" s="113">
        <f t="shared" si="23"/>
        <v>82</v>
      </c>
      <c r="AK89" s="113">
        <f t="shared" si="24"/>
        <v>82</v>
      </c>
      <c r="AL89" s="158">
        <f t="shared" si="25"/>
        <v>1.02</v>
      </c>
      <c r="AM89" s="159"/>
      <c r="AN89" s="160">
        <f t="shared" si="16"/>
        <v>1</v>
      </c>
      <c r="AO89" s="160">
        <f t="shared" si="16"/>
        <v>2</v>
      </c>
      <c r="AP89" s="133"/>
      <c r="AQ89" s="134"/>
      <c r="AR89" s="161"/>
      <c r="AS89" s="161"/>
      <c r="AT89" s="161"/>
      <c r="AU89" s="161"/>
      <c r="AV89" s="162"/>
      <c r="AW89" s="137">
        <f t="shared" si="26"/>
        <v>0</v>
      </c>
      <c r="AX89" s="137">
        <f t="shared" si="27"/>
        <v>0</v>
      </c>
    </row>
    <row r="90" ht="46.5" customHeight="1" spans="1:50" s="97" customFormat="1" x14ac:dyDescent="0.25">
      <c r="A90" s="100"/>
      <c r="B90" s="100"/>
      <c r="C90" s="100"/>
      <c r="D90" s="100"/>
      <c r="E90" s="100"/>
      <c r="F90" s="100"/>
      <c r="G90" s="103"/>
      <c r="H90" s="186"/>
      <c r="I90" s="195">
        <v>0.51</v>
      </c>
      <c r="J90" s="107">
        <v>0.49</v>
      </c>
      <c r="K90" s="107"/>
      <c r="L90" s="107"/>
      <c r="M90" s="187"/>
      <c r="N90" s="169">
        <f t="shared" si="14"/>
        <v>1</v>
      </c>
      <c r="O90" s="144">
        <v>1</v>
      </c>
      <c r="P90" s="145">
        <v>15</v>
      </c>
      <c r="Q90" s="113">
        <v>15</v>
      </c>
      <c r="R90" s="113"/>
      <c r="S90" s="113"/>
      <c r="T90" s="146"/>
      <c r="U90" s="148">
        <f t="shared" si="17"/>
        <v>15</v>
      </c>
      <c r="V90" s="149">
        <f t="shared" si="18"/>
        <v>15</v>
      </c>
      <c r="W90" s="189"/>
      <c r="X90" s="199"/>
      <c r="Y90" s="151"/>
      <c r="Z90" s="190"/>
      <c r="AA90" s="153"/>
      <c r="AB90" s="154">
        <f t="shared" si="19"/>
        <v>0</v>
      </c>
      <c r="AC90" s="149">
        <f t="shared" si="20"/>
        <v>0</v>
      </c>
      <c r="AD90" s="125">
        <v>2</v>
      </c>
      <c r="AE90" s="148">
        <f t="shared" si="21"/>
        <v>2</v>
      </c>
      <c r="AF90" s="156"/>
      <c r="AG90" s="156"/>
      <c r="AH90" s="113">
        <f t="shared" si="22"/>
        <v>17</v>
      </c>
      <c r="AI90" s="157">
        <v>65</v>
      </c>
      <c r="AJ90" s="113">
        <f t="shared" si="23"/>
        <v>82</v>
      </c>
      <c r="AK90" s="113">
        <f t="shared" si="24"/>
        <v>82</v>
      </c>
      <c r="AL90" s="158">
        <f t="shared" si="25"/>
        <v>1.02</v>
      </c>
      <c r="AM90" s="159"/>
      <c r="AN90" s="160">
        <f t="shared" si="16"/>
        <v>1</v>
      </c>
      <c r="AO90" s="160">
        <f t="shared" si="16"/>
        <v>2</v>
      </c>
      <c r="AP90" s="133"/>
      <c r="AQ90" s="134"/>
      <c r="AR90" s="161"/>
      <c r="AS90" s="161"/>
      <c r="AT90" s="161"/>
      <c r="AU90" s="161"/>
      <c r="AV90" s="162"/>
      <c r="AW90" s="137">
        <f t="shared" si="26"/>
        <v>0</v>
      </c>
      <c r="AX90" s="137">
        <f t="shared" si="27"/>
        <v>0</v>
      </c>
    </row>
    <row r="91" ht="46.5" customHeight="1" spans="1:50" s="97" customFormat="1" x14ac:dyDescent="0.25">
      <c r="A91" s="100"/>
      <c r="B91" s="100"/>
      <c r="C91" s="100"/>
      <c r="D91" s="100"/>
      <c r="E91" s="100"/>
      <c r="F91" s="100"/>
      <c r="G91" s="103"/>
      <c r="H91" s="186"/>
      <c r="I91" s="195">
        <v>0.51</v>
      </c>
      <c r="J91" s="107">
        <v>0.49</v>
      </c>
      <c r="K91" s="107"/>
      <c r="L91" s="107"/>
      <c r="M91" s="187"/>
      <c r="N91" s="169">
        <f t="shared" si="14"/>
        <v>1</v>
      </c>
      <c r="O91" s="144">
        <v>1</v>
      </c>
      <c r="P91" s="145">
        <v>15</v>
      </c>
      <c r="Q91" s="113">
        <v>15</v>
      </c>
      <c r="R91" s="113"/>
      <c r="S91" s="113"/>
      <c r="T91" s="146"/>
      <c r="U91" s="148">
        <f t="shared" si="17"/>
        <v>15</v>
      </c>
      <c r="V91" s="149">
        <f t="shared" si="18"/>
        <v>15</v>
      </c>
      <c r="W91" s="189"/>
      <c r="X91" s="199"/>
      <c r="Y91" s="151"/>
      <c r="Z91" s="190"/>
      <c r="AA91" s="153"/>
      <c r="AB91" s="154">
        <f t="shared" si="19"/>
        <v>0</v>
      </c>
      <c r="AC91" s="149">
        <f t="shared" si="20"/>
        <v>0</v>
      </c>
      <c r="AD91" s="125">
        <v>2</v>
      </c>
      <c r="AE91" s="148">
        <f t="shared" si="21"/>
        <v>2</v>
      </c>
      <c r="AF91" s="156"/>
      <c r="AG91" s="156"/>
      <c r="AH91" s="113">
        <f t="shared" si="22"/>
        <v>17</v>
      </c>
      <c r="AI91" s="157">
        <v>65</v>
      </c>
      <c r="AJ91" s="113">
        <f t="shared" si="23"/>
        <v>82</v>
      </c>
      <c r="AK91" s="113">
        <f t="shared" si="24"/>
        <v>82</v>
      </c>
      <c r="AL91" s="158">
        <f t="shared" si="25"/>
        <v>1.02</v>
      </c>
      <c r="AM91" s="159"/>
      <c r="AN91" s="160">
        <f t="shared" si="16"/>
        <v>1</v>
      </c>
      <c r="AO91" s="160">
        <f t="shared" si="16"/>
        <v>2</v>
      </c>
      <c r="AP91" s="133"/>
      <c r="AQ91" s="134"/>
      <c r="AR91" s="161"/>
      <c r="AS91" s="161"/>
      <c r="AT91" s="161"/>
      <c r="AU91" s="161"/>
      <c r="AV91" s="162"/>
      <c r="AW91" s="137">
        <f t="shared" si="26"/>
        <v>0</v>
      </c>
      <c r="AX91" s="137">
        <f t="shared" si="27"/>
        <v>0</v>
      </c>
    </row>
    <row r="92" ht="46.5" customHeight="1" spans="1:50" s="97" customFormat="1" x14ac:dyDescent="0.25">
      <c r="A92" s="100"/>
      <c r="B92" s="100"/>
      <c r="C92" s="100"/>
      <c r="D92" s="100"/>
      <c r="E92" s="100"/>
      <c r="F92" s="100"/>
      <c r="G92" s="103"/>
      <c r="H92" s="186"/>
      <c r="I92" s="195">
        <v>0.51</v>
      </c>
      <c r="J92" s="107">
        <v>0.49</v>
      </c>
      <c r="K92" s="107"/>
      <c r="L92" s="107"/>
      <c r="M92" s="187"/>
      <c r="N92" s="169">
        <f t="shared" si="14"/>
        <v>1</v>
      </c>
      <c r="O92" s="144">
        <v>1</v>
      </c>
      <c r="P92" s="145">
        <v>15</v>
      </c>
      <c r="Q92" s="113">
        <v>15</v>
      </c>
      <c r="R92" s="113"/>
      <c r="S92" s="113"/>
      <c r="T92" s="146"/>
      <c r="U92" s="148">
        <f t="shared" si="17"/>
        <v>15</v>
      </c>
      <c r="V92" s="149">
        <f t="shared" si="18"/>
        <v>15</v>
      </c>
      <c r="W92" s="189"/>
      <c r="X92" s="199"/>
      <c r="Y92" s="151"/>
      <c r="Z92" s="190"/>
      <c r="AA92" s="153"/>
      <c r="AB92" s="154">
        <f t="shared" si="19"/>
        <v>0</v>
      </c>
      <c r="AC92" s="149">
        <f t="shared" si="20"/>
        <v>0</v>
      </c>
      <c r="AD92" s="125">
        <v>2</v>
      </c>
      <c r="AE92" s="148">
        <f t="shared" si="21"/>
        <v>2</v>
      </c>
      <c r="AF92" s="156"/>
      <c r="AG92" s="156"/>
      <c r="AH92" s="113">
        <f t="shared" si="22"/>
        <v>17</v>
      </c>
      <c r="AI92" s="157">
        <v>65</v>
      </c>
      <c r="AJ92" s="113">
        <f t="shared" si="23"/>
        <v>82</v>
      </c>
      <c r="AK92" s="113">
        <f t="shared" si="24"/>
        <v>82</v>
      </c>
      <c r="AL92" s="158">
        <f t="shared" si="25"/>
        <v>1.02</v>
      </c>
      <c r="AM92" s="159"/>
      <c r="AN92" s="160">
        <f t="shared" si="16"/>
        <v>1</v>
      </c>
      <c r="AO92" s="160">
        <f t="shared" si="16"/>
        <v>2</v>
      </c>
      <c r="AP92" s="133"/>
      <c r="AQ92" s="134"/>
      <c r="AR92" s="161"/>
      <c r="AS92" s="161"/>
      <c r="AT92" s="161"/>
      <c r="AU92" s="161"/>
      <c r="AV92" s="162"/>
      <c r="AW92" s="137">
        <f t="shared" si="26"/>
        <v>0</v>
      </c>
      <c r="AX92" s="137">
        <f t="shared" si="27"/>
        <v>0</v>
      </c>
    </row>
    <row r="93" ht="46.5" customHeight="1" spans="1:50" s="97" customFormat="1" x14ac:dyDescent="0.25">
      <c r="A93" s="100"/>
      <c r="B93" s="100"/>
      <c r="C93" s="100"/>
      <c r="D93" s="100"/>
      <c r="E93" s="100"/>
      <c r="F93" s="100"/>
      <c r="G93" s="103"/>
      <c r="H93" s="186"/>
      <c r="I93" s="195">
        <v>0.51</v>
      </c>
      <c r="J93" s="107">
        <v>0.49</v>
      </c>
      <c r="K93" s="107"/>
      <c r="L93" s="107"/>
      <c r="M93" s="187"/>
      <c r="N93" s="169">
        <f t="shared" si="14"/>
        <v>1</v>
      </c>
      <c r="O93" s="144">
        <v>1</v>
      </c>
      <c r="P93" s="145">
        <v>15</v>
      </c>
      <c r="Q93" s="113">
        <v>15</v>
      </c>
      <c r="R93" s="113"/>
      <c r="S93" s="113"/>
      <c r="T93" s="146"/>
      <c r="U93" s="148">
        <f t="shared" si="17"/>
        <v>15</v>
      </c>
      <c r="V93" s="149">
        <f t="shared" si="18"/>
        <v>15</v>
      </c>
      <c r="W93" s="189"/>
      <c r="X93" s="199"/>
      <c r="Y93" s="151"/>
      <c r="Z93" s="190"/>
      <c r="AA93" s="153"/>
      <c r="AB93" s="154">
        <f t="shared" si="19"/>
        <v>0</v>
      </c>
      <c r="AC93" s="149">
        <f t="shared" si="20"/>
        <v>0</v>
      </c>
      <c r="AD93" s="125">
        <v>2</v>
      </c>
      <c r="AE93" s="148">
        <f t="shared" si="21"/>
        <v>2</v>
      </c>
      <c r="AF93" s="156"/>
      <c r="AG93" s="156"/>
      <c r="AH93" s="113">
        <f t="shared" si="22"/>
        <v>17</v>
      </c>
      <c r="AI93" s="157">
        <v>65</v>
      </c>
      <c r="AJ93" s="113">
        <f t="shared" si="23"/>
        <v>82</v>
      </c>
      <c r="AK93" s="113">
        <f t="shared" si="24"/>
        <v>82</v>
      </c>
      <c r="AL93" s="158">
        <f t="shared" si="25"/>
        <v>1.02</v>
      </c>
      <c r="AM93" s="159"/>
      <c r="AN93" s="160">
        <f t="shared" si="16"/>
        <v>1</v>
      </c>
      <c r="AO93" s="160">
        <f t="shared" si="16"/>
        <v>2</v>
      </c>
      <c r="AP93" s="133"/>
      <c r="AQ93" s="134"/>
      <c r="AR93" s="161"/>
      <c r="AS93" s="161"/>
      <c r="AT93" s="161"/>
      <c r="AU93" s="161"/>
      <c r="AV93" s="162"/>
      <c r="AW93" s="137">
        <f t="shared" si="26"/>
        <v>0</v>
      </c>
      <c r="AX93" s="137">
        <f t="shared" si="27"/>
        <v>0</v>
      </c>
    </row>
    <row r="94" ht="46.5" customHeight="1" spans="1:50" s="97" customFormat="1" x14ac:dyDescent="0.25">
      <c r="A94" s="100"/>
      <c r="B94" s="100"/>
      <c r="C94" s="100"/>
      <c r="D94" s="100"/>
      <c r="E94" s="100"/>
      <c r="F94" s="100"/>
      <c r="G94" s="103"/>
      <c r="H94" s="186"/>
      <c r="I94" s="195">
        <v>0.51</v>
      </c>
      <c r="J94" s="107">
        <v>0.49</v>
      </c>
      <c r="K94" s="107"/>
      <c r="L94" s="107"/>
      <c r="M94" s="187"/>
      <c r="N94" s="169">
        <f t="shared" si="14"/>
        <v>1</v>
      </c>
      <c r="O94" s="144">
        <v>1</v>
      </c>
      <c r="P94" s="145">
        <v>15</v>
      </c>
      <c r="Q94" s="113">
        <v>15</v>
      </c>
      <c r="R94" s="113"/>
      <c r="S94" s="113"/>
      <c r="T94" s="146"/>
      <c r="U94" s="148">
        <f t="shared" si="17"/>
        <v>15</v>
      </c>
      <c r="V94" s="149">
        <f t="shared" si="18"/>
        <v>15</v>
      </c>
      <c r="W94" s="189"/>
      <c r="X94" s="199"/>
      <c r="Y94" s="151"/>
      <c r="Z94" s="190"/>
      <c r="AA94" s="153"/>
      <c r="AB94" s="154">
        <f t="shared" si="19"/>
        <v>0</v>
      </c>
      <c r="AC94" s="149">
        <f t="shared" si="20"/>
        <v>0</v>
      </c>
      <c r="AD94" s="125">
        <v>2</v>
      </c>
      <c r="AE94" s="148">
        <f t="shared" si="21"/>
        <v>2</v>
      </c>
      <c r="AF94" s="156"/>
      <c r="AG94" s="156"/>
      <c r="AH94" s="113">
        <f t="shared" si="22"/>
        <v>17</v>
      </c>
      <c r="AI94" s="157">
        <v>65</v>
      </c>
      <c r="AJ94" s="113">
        <f t="shared" si="23"/>
        <v>82</v>
      </c>
      <c r="AK94" s="113">
        <f t="shared" si="24"/>
        <v>82</v>
      </c>
      <c r="AL94" s="158">
        <f t="shared" si="25"/>
        <v>1.02</v>
      </c>
      <c r="AM94" s="159"/>
      <c r="AN94" s="160">
        <f t="shared" si="16"/>
        <v>1</v>
      </c>
      <c r="AO94" s="160">
        <f t="shared" si="16"/>
        <v>2</v>
      </c>
      <c r="AP94" s="133"/>
      <c r="AQ94" s="134"/>
      <c r="AR94" s="161"/>
      <c r="AS94" s="161"/>
      <c r="AT94" s="161"/>
      <c r="AU94" s="161"/>
      <c r="AV94" s="162"/>
      <c r="AW94" s="137">
        <f t="shared" si="26"/>
        <v>0</v>
      </c>
      <c r="AX94" s="137">
        <f t="shared" si="27"/>
        <v>0</v>
      </c>
    </row>
    <row r="95" ht="46.5" customHeight="1" spans="1:50" s="97" customFormat="1" x14ac:dyDescent="0.25">
      <c r="A95" s="100"/>
      <c r="B95" s="100"/>
      <c r="C95" s="100"/>
      <c r="D95" s="100"/>
      <c r="E95" s="100"/>
      <c r="F95" s="100"/>
      <c r="G95" s="103"/>
      <c r="H95" s="186"/>
      <c r="I95" s="195">
        <v>0.51</v>
      </c>
      <c r="J95" s="107">
        <v>0.49</v>
      </c>
      <c r="K95" s="107"/>
      <c r="L95" s="107"/>
      <c r="M95" s="187"/>
      <c r="N95" s="169">
        <f t="shared" si="14"/>
        <v>1</v>
      </c>
      <c r="O95" s="144">
        <v>1</v>
      </c>
      <c r="P95" s="145">
        <v>15</v>
      </c>
      <c r="Q95" s="113">
        <v>15</v>
      </c>
      <c r="R95" s="113"/>
      <c r="S95" s="113"/>
      <c r="T95" s="146"/>
      <c r="U95" s="148">
        <f t="shared" si="17"/>
        <v>15</v>
      </c>
      <c r="V95" s="149">
        <f t="shared" si="18"/>
        <v>15</v>
      </c>
      <c r="W95" s="189"/>
      <c r="X95" s="199"/>
      <c r="Y95" s="151"/>
      <c r="Z95" s="190"/>
      <c r="AA95" s="153"/>
      <c r="AB95" s="154">
        <f t="shared" si="19"/>
        <v>0</v>
      </c>
      <c r="AC95" s="149">
        <f t="shared" si="20"/>
        <v>0</v>
      </c>
      <c r="AD95" s="125">
        <v>2</v>
      </c>
      <c r="AE95" s="148">
        <f t="shared" si="21"/>
        <v>2</v>
      </c>
      <c r="AF95" s="156"/>
      <c r="AG95" s="156"/>
      <c r="AH95" s="113">
        <f t="shared" si="22"/>
        <v>17</v>
      </c>
      <c r="AI95" s="157">
        <v>65</v>
      </c>
      <c r="AJ95" s="113">
        <f t="shared" si="23"/>
        <v>82</v>
      </c>
      <c r="AK95" s="113">
        <f t="shared" si="24"/>
        <v>82</v>
      </c>
      <c r="AL95" s="158">
        <f t="shared" si="25"/>
        <v>1.02</v>
      </c>
      <c r="AM95" s="159"/>
      <c r="AN95" s="160">
        <f t="shared" ref="AN95:AO114" si="28">100%+AM95</f>
        <v>1</v>
      </c>
      <c r="AO95" s="160">
        <f t="shared" si="28"/>
        <v>2</v>
      </c>
      <c r="AP95" s="133"/>
      <c r="AQ95" s="134"/>
      <c r="AR95" s="161"/>
      <c r="AS95" s="161"/>
      <c r="AT95" s="161"/>
      <c r="AU95" s="161"/>
      <c r="AV95" s="162"/>
      <c r="AW95" s="137">
        <f t="shared" si="26"/>
        <v>0</v>
      </c>
      <c r="AX95" s="137">
        <f t="shared" si="27"/>
        <v>0</v>
      </c>
    </row>
    <row r="96" ht="46.5" customHeight="1" spans="1:50" s="97" customFormat="1" x14ac:dyDescent="0.25">
      <c r="A96" s="100"/>
      <c r="B96" s="100"/>
      <c r="C96" s="100"/>
      <c r="D96" s="100"/>
      <c r="E96" s="100"/>
      <c r="F96" s="100"/>
      <c r="G96" s="103"/>
      <c r="H96" s="186"/>
      <c r="I96" s="195">
        <v>0.51</v>
      </c>
      <c r="J96" s="107">
        <v>0.49</v>
      </c>
      <c r="K96" s="107"/>
      <c r="L96" s="107"/>
      <c r="M96" s="187"/>
      <c r="N96" s="169">
        <f t="shared" si="14"/>
        <v>1</v>
      </c>
      <c r="O96" s="144">
        <v>1</v>
      </c>
      <c r="P96" s="145">
        <v>15</v>
      </c>
      <c r="Q96" s="113">
        <v>15</v>
      </c>
      <c r="R96" s="113"/>
      <c r="S96" s="113"/>
      <c r="T96" s="146"/>
      <c r="U96" s="148">
        <f t="shared" si="17"/>
        <v>15</v>
      </c>
      <c r="V96" s="149">
        <f t="shared" si="18"/>
        <v>15</v>
      </c>
      <c r="W96" s="189"/>
      <c r="X96" s="199"/>
      <c r="Y96" s="151"/>
      <c r="Z96" s="190"/>
      <c r="AA96" s="153"/>
      <c r="AB96" s="154">
        <f t="shared" si="19"/>
        <v>0</v>
      </c>
      <c r="AC96" s="149">
        <f t="shared" si="20"/>
        <v>0</v>
      </c>
      <c r="AD96" s="125">
        <v>2</v>
      </c>
      <c r="AE96" s="148">
        <f t="shared" si="21"/>
        <v>2</v>
      </c>
      <c r="AF96" s="156"/>
      <c r="AG96" s="156"/>
      <c r="AH96" s="113">
        <f t="shared" si="22"/>
        <v>17</v>
      </c>
      <c r="AI96" s="157">
        <v>65</v>
      </c>
      <c r="AJ96" s="113">
        <f t="shared" si="23"/>
        <v>82</v>
      </c>
      <c r="AK96" s="113">
        <f t="shared" si="24"/>
        <v>82</v>
      </c>
      <c r="AL96" s="158">
        <f t="shared" si="25"/>
        <v>1.02</v>
      </c>
      <c r="AM96" s="159"/>
      <c r="AN96" s="160">
        <f t="shared" si="28"/>
        <v>1</v>
      </c>
      <c r="AO96" s="160">
        <f t="shared" si="28"/>
        <v>2</v>
      </c>
      <c r="AP96" s="133"/>
      <c r="AQ96" s="134"/>
      <c r="AR96" s="161"/>
      <c r="AS96" s="161"/>
      <c r="AT96" s="161"/>
      <c r="AU96" s="161"/>
      <c r="AV96" s="162"/>
      <c r="AW96" s="137">
        <f t="shared" si="26"/>
        <v>0</v>
      </c>
      <c r="AX96" s="137">
        <f t="shared" si="27"/>
        <v>0</v>
      </c>
    </row>
    <row r="97" ht="46.5" customHeight="1" spans="1:50" s="97" customFormat="1" x14ac:dyDescent="0.25">
      <c r="A97" s="100"/>
      <c r="B97" s="100"/>
      <c r="C97" s="100"/>
      <c r="D97" s="100"/>
      <c r="E97" s="100"/>
      <c r="F97" s="100"/>
      <c r="G97" s="103"/>
      <c r="H97" s="186"/>
      <c r="I97" s="195">
        <v>0.51</v>
      </c>
      <c r="J97" s="107">
        <v>0.49</v>
      </c>
      <c r="K97" s="107"/>
      <c r="L97" s="107"/>
      <c r="M97" s="187"/>
      <c r="N97" s="169">
        <f t="shared" si="14"/>
        <v>1</v>
      </c>
      <c r="O97" s="144">
        <v>1</v>
      </c>
      <c r="P97" s="145">
        <v>15</v>
      </c>
      <c r="Q97" s="113">
        <v>15</v>
      </c>
      <c r="R97" s="113"/>
      <c r="S97" s="113"/>
      <c r="T97" s="146"/>
      <c r="U97" s="148">
        <f t="shared" si="17"/>
        <v>15</v>
      </c>
      <c r="V97" s="149">
        <f t="shared" si="18"/>
        <v>15</v>
      </c>
      <c r="W97" s="189"/>
      <c r="X97" s="199"/>
      <c r="Y97" s="151"/>
      <c r="Z97" s="190"/>
      <c r="AA97" s="153"/>
      <c r="AB97" s="154">
        <f t="shared" si="19"/>
        <v>0</v>
      </c>
      <c r="AC97" s="149">
        <f t="shared" si="20"/>
        <v>0</v>
      </c>
      <c r="AD97" s="125">
        <v>2</v>
      </c>
      <c r="AE97" s="148">
        <f t="shared" si="21"/>
        <v>2</v>
      </c>
      <c r="AF97" s="156"/>
      <c r="AG97" s="156"/>
      <c r="AH97" s="113">
        <f t="shared" si="22"/>
        <v>17</v>
      </c>
      <c r="AI97" s="157">
        <v>65</v>
      </c>
      <c r="AJ97" s="113">
        <f t="shared" si="23"/>
        <v>82</v>
      </c>
      <c r="AK97" s="113">
        <f t="shared" si="24"/>
        <v>82</v>
      </c>
      <c r="AL97" s="158">
        <f t="shared" si="25"/>
        <v>1.02</v>
      </c>
      <c r="AM97" s="159"/>
      <c r="AN97" s="160">
        <f t="shared" si="28"/>
        <v>1</v>
      </c>
      <c r="AO97" s="160">
        <f t="shared" si="28"/>
        <v>2</v>
      </c>
      <c r="AP97" s="133"/>
      <c r="AQ97" s="134"/>
      <c r="AR97" s="161"/>
      <c r="AS97" s="161"/>
      <c r="AT97" s="161"/>
      <c r="AU97" s="161"/>
      <c r="AV97" s="162"/>
      <c r="AW97" s="137">
        <f t="shared" si="26"/>
        <v>0</v>
      </c>
      <c r="AX97" s="137">
        <f t="shared" si="27"/>
        <v>0</v>
      </c>
    </row>
    <row r="98" ht="46.5" customHeight="1" spans="1:50" s="97" customFormat="1" x14ac:dyDescent="0.25">
      <c r="A98" s="100"/>
      <c r="B98" s="100"/>
      <c r="C98" s="100"/>
      <c r="D98" s="100"/>
      <c r="E98" s="100"/>
      <c r="F98" s="100"/>
      <c r="G98" s="103"/>
      <c r="H98" s="186"/>
      <c r="I98" s="195">
        <v>0.51</v>
      </c>
      <c r="J98" s="107">
        <v>0.49</v>
      </c>
      <c r="K98" s="107"/>
      <c r="L98" s="107"/>
      <c r="M98" s="187"/>
      <c r="N98" s="169">
        <f t="shared" si="14"/>
        <v>1</v>
      </c>
      <c r="O98" s="144">
        <v>1</v>
      </c>
      <c r="P98" s="145">
        <v>15</v>
      </c>
      <c r="Q98" s="113">
        <v>15</v>
      </c>
      <c r="R98" s="113"/>
      <c r="S98" s="113"/>
      <c r="T98" s="146"/>
      <c r="U98" s="148">
        <f t="shared" si="17"/>
        <v>15</v>
      </c>
      <c r="V98" s="149">
        <f t="shared" si="18"/>
        <v>15</v>
      </c>
      <c r="W98" s="189"/>
      <c r="X98" s="199"/>
      <c r="Y98" s="151"/>
      <c r="Z98" s="190"/>
      <c r="AA98" s="153"/>
      <c r="AB98" s="154">
        <f t="shared" si="19"/>
        <v>0</v>
      </c>
      <c r="AC98" s="149">
        <f t="shared" si="20"/>
        <v>0</v>
      </c>
      <c r="AD98" s="125">
        <v>2</v>
      </c>
      <c r="AE98" s="148">
        <f t="shared" si="21"/>
        <v>2</v>
      </c>
      <c r="AF98" s="156"/>
      <c r="AG98" s="156"/>
      <c r="AH98" s="113">
        <f t="shared" si="22"/>
        <v>17</v>
      </c>
      <c r="AI98" s="157">
        <v>65</v>
      </c>
      <c r="AJ98" s="113">
        <f t="shared" si="23"/>
        <v>82</v>
      </c>
      <c r="AK98" s="113">
        <f t="shared" si="24"/>
        <v>82</v>
      </c>
      <c r="AL98" s="158">
        <f t="shared" si="25"/>
        <v>1.02</v>
      </c>
      <c r="AM98" s="159"/>
      <c r="AN98" s="160">
        <f t="shared" si="28"/>
        <v>1</v>
      </c>
      <c r="AO98" s="160">
        <f t="shared" si="28"/>
        <v>2</v>
      </c>
      <c r="AP98" s="133"/>
      <c r="AQ98" s="134"/>
      <c r="AR98" s="161"/>
      <c r="AS98" s="161"/>
      <c r="AT98" s="161"/>
      <c r="AU98" s="161"/>
      <c r="AV98" s="162"/>
      <c r="AW98" s="137">
        <f t="shared" si="26"/>
        <v>0</v>
      </c>
      <c r="AX98" s="137">
        <f t="shared" si="27"/>
        <v>0</v>
      </c>
    </row>
    <row r="99" ht="46.5" customHeight="1" spans="1:50" s="97" customFormat="1" x14ac:dyDescent="0.25">
      <c r="A99" s="100"/>
      <c r="B99" s="100"/>
      <c r="C99" s="100"/>
      <c r="D99" s="100"/>
      <c r="E99" s="100"/>
      <c r="F99" s="100"/>
      <c r="G99" s="103"/>
      <c r="H99" s="186"/>
      <c r="I99" s="195">
        <v>0.51</v>
      </c>
      <c r="J99" s="107">
        <v>0.49</v>
      </c>
      <c r="K99" s="107"/>
      <c r="L99" s="107"/>
      <c r="M99" s="187"/>
      <c r="N99" s="169">
        <f t="shared" si="14"/>
        <v>1</v>
      </c>
      <c r="O99" s="144">
        <v>1</v>
      </c>
      <c r="P99" s="145">
        <v>15</v>
      </c>
      <c r="Q99" s="113">
        <v>15</v>
      </c>
      <c r="R99" s="113"/>
      <c r="S99" s="113"/>
      <c r="T99" s="146"/>
      <c r="U99" s="148">
        <f t="shared" si="17"/>
        <v>15</v>
      </c>
      <c r="V99" s="149">
        <f t="shared" si="18"/>
        <v>15</v>
      </c>
      <c r="W99" s="189"/>
      <c r="X99" s="199"/>
      <c r="Y99" s="151"/>
      <c r="Z99" s="190"/>
      <c r="AA99" s="153"/>
      <c r="AB99" s="154">
        <f t="shared" si="19"/>
        <v>0</v>
      </c>
      <c r="AC99" s="149">
        <f t="shared" si="20"/>
        <v>0</v>
      </c>
      <c r="AD99" s="125">
        <v>2</v>
      </c>
      <c r="AE99" s="148">
        <f t="shared" si="21"/>
        <v>2</v>
      </c>
      <c r="AF99" s="156"/>
      <c r="AG99" s="156"/>
      <c r="AH99" s="113">
        <f t="shared" si="22"/>
        <v>17</v>
      </c>
      <c r="AI99" s="157">
        <v>65</v>
      </c>
      <c r="AJ99" s="113">
        <f t="shared" si="23"/>
        <v>82</v>
      </c>
      <c r="AK99" s="113">
        <f t="shared" si="24"/>
        <v>82</v>
      </c>
      <c r="AL99" s="158">
        <f t="shared" si="25"/>
        <v>1.02</v>
      </c>
      <c r="AM99" s="159"/>
      <c r="AN99" s="160">
        <f t="shared" si="28"/>
        <v>1</v>
      </c>
      <c r="AO99" s="160">
        <f t="shared" si="28"/>
        <v>2</v>
      </c>
      <c r="AP99" s="133"/>
      <c r="AQ99" s="134"/>
      <c r="AR99" s="161"/>
      <c r="AS99" s="161"/>
      <c r="AT99" s="161"/>
      <c r="AU99" s="161"/>
      <c r="AV99" s="162"/>
      <c r="AW99" s="137">
        <f t="shared" si="26"/>
        <v>0</v>
      </c>
      <c r="AX99" s="137">
        <f t="shared" si="27"/>
        <v>0</v>
      </c>
    </row>
    <row r="100" ht="46.5" customHeight="1" spans="1:50" s="97" customFormat="1" x14ac:dyDescent="0.25">
      <c r="A100" s="100"/>
      <c r="B100" s="100"/>
      <c r="C100" s="100"/>
      <c r="D100" s="100"/>
      <c r="E100" s="100"/>
      <c r="F100" s="100"/>
      <c r="G100" s="103"/>
      <c r="H100" s="186"/>
      <c r="I100" s="195">
        <v>0.51</v>
      </c>
      <c r="J100" s="107">
        <v>0.49</v>
      </c>
      <c r="K100" s="107"/>
      <c r="L100" s="107"/>
      <c r="M100" s="187"/>
      <c r="N100" s="169">
        <f t="shared" si="14"/>
        <v>1</v>
      </c>
      <c r="O100" s="144">
        <v>1</v>
      </c>
      <c r="P100" s="145">
        <v>15</v>
      </c>
      <c r="Q100" s="113">
        <v>15</v>
      </c>
      <c r="R100" s="113"/>
      <c r="S100" s="113"/>
      <c r="T100" s="146"/>
      <c r="U100" s="148">
        <f t="shared" si="17"/>
        <v>15</v>
      </c>
      <c r="V100" s="149">
        <f t="shared" si="18"/>
        <v>15</v>
      </c>
      <c r="W100" s="189"/>
      <c r="X100" s="199"/>
      <c r="Y100" s="151"/>
      <c r="Z100" s="190"/>
      <c r="AA100" s="153"/>
      <c r="AB100" s="154">
        <f t="shared" si="19"/>
        <v>0</v>
      </c>
      <c r="AC100" s="149">
        <f t="shared" si="20"/>
        <v>0</v>
      </c>
      <c r="AD100" s="125">
        <v>2</v>
      </c>
      <c r="AE100" s="148">
        <f t="shared" si="21"/>
        <v>2</v>
      </c>
      <c r="AF100" s="156"/>
      <c r="AG100" s="156"/>
      <c r="AH100" s="113">
        <f t="shared" si="22"/>
        <v>17</v>
      </c>
      <c r="AI100" s="157">
        <v>65</v>
      </c>
      <c r="AJ100" s="113">
        <f t="shared" si="23"/>
        <v>82</v>
      </c>
      <c r="AK100" s="113">
        <f t="shared" si="24"/>
        <v>82</v>
      </c>
      <c r="AL100" s="158">
        <f t="shared" si="25"/>
        <v>1.02</v>
      </c>
      <c r="AM100" s="159"/>
      <c r="AN100" s="160">
        <f t="shared" si="28"/>
        <v>1</v>
      </c>
      <c r="AO100" s="160">
        <f t="shared" si="28"/>
        <v>2</v>
      </c>
      <c r="AP100" s="133"/>
      <c r="AQ100" s="134"/>
      <c r="AR100" s="161"/>
      <c r="AS100" s="161"/>
      <c r="AT100" s="161"/>
      <c r="AU100" s="161"/>
      <c r="AV100" s="162"/>
      <c r="AW100" s="137">
        <f t="shared" si="26"/>
        <v>0</v>
      </c>
      <c r="AX100" s="137">
        <f t="shared" si="27"/>
        <v>0</v>
      </c>
    </row>
    <row r="101" ht="46.5" customHeight="1" spans="1:50" s="97" customFormat="1" x14ac:dyDescent="0.25">
      <c r="A101" s="100"/>
      <c r="B101" s="100"/>
      <c r="C101" s="100"/>
      <c r="D101" s="100"/>
      <c r="E101" s="100"/>
      <c r="F101" s="100"/>
      <c r="G101" s="103"/>
      <c r="H101" s="186"/>
      <c r="I101" s="195">
        <v>0.51</v>
      </c>
      <c r="J101" s="107">
        <v>0.49</v>
      </c>
      <c r="K101" s="107"/>
      <c r="L101" s="107"/>
      <c r="M101" s="187"/>
      <c r="N101" s="169">
        <f t="shared" si="14"/>
        <v>1</v>
      </c>
      <c r="O101" s="144">
        <v>1</v>
      </c>
      <c r="P101" s="145">
        <v>15</v>
      </c>
      <c r="Q101" s="113">
        <v>15</v>
      </c>
      <c r="R101" s="113"/>
      <c r="S101" s="113"/>
      <c r="T101" s="146"/>
      <c r="U101" s="148">
        <f t="shared" si="17"/>
        <v>15</v>
      </c>
      <c r="V101" s="149">
        <f t="shared" si="18"/>
        <v>15</v>
      </c>
      <c r="W101" s="189"/>
      <c r="X101" s="199"/>
      <c r="Y101" s="151"/>
      <c r="Z101" s="190"/>
      <c r="AA101" s="153"/>
      <c r="AB101" s="154">
        <f t="shared" si="19"/>
        <v>0</v>
      </c>
      <c r="AC101" s="149">
        <f t="shared" si="20"/>
        <v>0</v>
      </c>
      <c r="AD101" s="125">
        <v>2</v>
      </c>
      <c r="AE101" s="148">
        <f t="shared" si="21"/>
        <v>2</v>
      </c>
      <c r="AF101" s="156"/>
      <c r="AG101" s="156"/>
      <c r="AH101" s="113">
        <f t="shared" si="22"/>
        <v>17</v>
      </c>
      <c r="AI101" s="157">
        <v>65</v>
      </c>
      <c r="AJ101" s="113">
        <f t="shared" si="23"/>
        <v>82</v>
      </c>
      <c r="AK101" s="113">
        <f t="shared" si="24"/>
        <v>82</v>
      </c>
      <c r="AL101" s="158">
        <f t="shared" si="25"/>
        <v>1.02</v>
      </c>
      <c r="AM101" s="159"/>
      <c r="AN101" s="160">
        <f t="shared" si="28"/>
        <v>1</v>
      </c>
      <c r="AO101" s="160">
        <f t="shared" si="28"/>
        <v>2</v>
      </c>
      <c r="AP101" s="133"/>
      <c r="AQ101" s="134"/>
      <c r="AR101" s="161"/>
      <c r="AS101" s="161"/>
      <c r="AT101" s="161"/>
      <c r="AU101" s="161"/>
      <c r="AV101" s="162"/>
      <c r="AW101" s="137">
        <f t="shared" si="26"/>
        <v>0</v>
      </c>
      <c r="AX101" s="137">
        <f t="shared" si="27"/>
        <v>0</v>
      </c>
    </row>
    <row r="102" ht="64.5" customHeight="1" spans="1:50" s="56" customFormat="1" x14ac:dyDescent="0.25">
      <c r="A102" s="100"/>
      <c r="B102" s="100"/>
      <c r="C102" s="100"/>
      <c r="D102" s="100"/>
      <c r="E102" s="100"/>
      <c r="F102" s="100"/>
      <c r="G102" s="103"/>
      <c r="H102" s="186"/>
      <c r="I102" s="195">
        <v>0.51</v>
      </c>
      <c r="J102" s="107">
        <v>0.49</v>
      </c>
      <c r="K102" s="107"/>
      <c r="L102" s="107"/>
      <c r="M102" s="187"/>
      <c r="N102" s="169">
        <f t="shared" si="14"/>
        <v>1</v>
      </c>
      <c r="O102" s="144">
        <v>1</v>
      </c>
      <c r="P102" s="145">
        <v>15</v>
      </c>
      <c r="Q102" s="113">
        <v>15</v>
      </c>
      <c r="R102" s="113"/>
      <c r="S102" s="113"/>
      <c r="T102" s="146"/>
      <c r="U102" s="148">
        <f t="shared" si="17"/>
        <v>15</v>
      </c>
      <c r="V102" s="149">
        <f t="shared" si="18"/>
        <v>15</v>
      </c>
      <c r="W102" s="189"/>
      <c r="X102" s="199"/>
      <c r="Y102" s="151"/>
      <c r="Z102" s="190"/>
      <c r="AA102" s="153"/>
      <c r="AB102" s="154">
        <f t="shared" si="19"/>
        <v>0</v>
      </c>
      <c r="AC102" s="149">
        <f t="shared" si="20"/>
        <v>0</v>
      </c>
      <c r="AD102" s="125">
        <v>2</v>
      </c>
      <c r="AE102" s="148">
        <f t="shared" si="21"/>
        <v>2</v>
      </c>
      <c r="AF102" s="156"/>
      <c r="AG102" s="156"/>
      <c r="AH102" s="113">
        <f t="shared" si="22"/>
        <v>17</v>
      </c>
      <c r="AI102" s="157">
        <v>65</v>
      </c>
      <c r="AJ102" s="113">
        <f t="shared" si="23"/>
        <v>82</v>
      </c>
      <c r="AK102" s="113">
        <f t="shared" si="24"/>
        <v>82</v>
      </c>
      <c r="AL102" s="158">
        <f t="shared" si="25"/>
        <v>1.02</v>
      </c>
      <c r="AM102" s="159"/>
      <c r="AN102" s="160">
        <f t="shared" si="28"/>
        <v>1</v>
      </c>
      <c r="AO102" s="160">
        <f t="shared" si="28"/>
        <v>2</v>
      </c>
      <c r="AP102" s="133"/>
      <c r="AQ102" s="134"/>
      <c r="AR102" s="161"/>
      <c r="AS102" s="161"/>
      <c r="AT102" s="161"/>
      <c r="AU102" s="161"/>
      <c r="AV102" s="162"/>
      <c r="AW102" s="137">
        <f t="shared" si="26"/>
        <v>0</v>
      </c>
      <c r="AX102" s="137">
        <f t="shared" si="27"/>
        <v>0</v>
      </c>
    </row>
    <row r="103" ht="46.5" customHeight="1" spans="1:50" s="97" customFormat="1" x14ac:dyDescent="0.25">
      <c r="A103" s="100"/>
      <c r="B103" s="100"/>
      <c r="C103" s="100"/>
      <c r="D103" s="100"/>
      <c r="E103" s="100"/>
      <c r="F103" s="100"/>
      <c r="G103" s="103"/>
      <c r="H103" s="186"/>
      <c r="I103" s="195">
        <v>0.51</v>
      </c>
      <c r="J103" s="107">
        <v>0.49</v>
      </c>
      <c r="K103" s="107"/>
      <c r="L103" s="107"/>
      <c r="M103" s="187"/>
      <c r="N103" s="169">
        <f t="shared" si="14"/>
        <v>1</v>
      </c>
      <c r="O103" s="144">
        <v>1</v>
      </c>
      <c r="P103" s="145">
        <v>15</v>
      </c>
      <c r="Q103" s="113">
        <v>15</v>
      </c>
      <c r="R103" s="113"/>
      <c r="S103" s="113"/>
      <c r="T103" s="146"/>
      <c r="U103" s="148">
        <f t="shared" si="17"/>
        <v>15</v>
      </c>
      <c r="V103" s="149">
        <f t="shared" si="18"/>
        <v>15</v>
      </c>
      <c r="W103" s="189"/>
      <c r="X103" s="199"/>
      <c r="Y103" s="151"/>
      <c r="Z103" s="190"/>
      <c r="AA103" s="153"/>
      <c r="AB103" s="154">
        <f t="shared" si="19"/>
        <v>0</v>
      </c>
      <c r="AC103" s="149">
        <f t="shared" si="20"/>
        <v>0</v>
      </c>
      <c r="AD103" s="125">
        <v>2</v>
      </c>
      <c r="AE103" s="148">
        <f t="shared" si="21"/>
        <v>2</v>
      </c>
      <c r="AF103" s="156"/>
      <c r="AG103" s="156"/>
      <c r="AH103" s="113">
        <f t="shared" si="22"/>
        <v>17</v>
      </c>
      <c r="AI103" s="157">
        <v>65</v>
      </c>
      <c r="AJ103" s="113">
        <f t="shared" si="23"/>
        <v>82</v>
      </c>
      <c r="AK103" s="113">
        <f t="shared" si="24"/>
        <v>82</v>
      </c>
      <c r="AL103" s="158">
        <f t="shared" si="25"/>
        <v>1.02</v>
      </c>
      <c r="AM103" s="159"/>
      <c r="AN103" s="160">
        <f t="shared" si="28"/>
        <v>1</v>
      </c>
      <c r="AO103" s="160">
        <f t="shared" si="28"/>
        <v>2</v>
      </c>
      <c r="AP103" s="133"/>
      <c r="AQ103" s="134"/>
      <c r="AR103" s="161"/>
      <c r="AS103" s="161"/>
      <c r="AT103" s="161"/>
      <c r="AU103" s="161"/>
      <c r="AV103" s="162"/>
      <c r="AW103" s="137">
        <f t="shared" si="26"/>
        <v>0</v>
      </c>
      <c r="AX103" s="137">
        <f t="shared" si="27"/>
        <v>0</v>
      </c>
    </row>
    <row r="104" ht="46.5" customHeight="1" spans="1:50" s="97" customFormat="1" x14ac:dyDescent="0.25">
      <c r="A104" s="100"/>
      <c r="B104" s="100"/>
      <c r="C104" s="100"/>
      <c r="D104" s="100"/>
      <c r="E104" s="100"/>
      <c r="F104" s="100"/>
      <c r="G104" s="103"/>
      <c r="H104" s="186"/>
      <c r="I104" s="195">
        <v>0.51</v>
      </c>
      <c r="J104" s="107">
        <v>0.49</v>
      </c>
      <c r="K104" s="107"/>
      <c r="L104" s="107"/>
      <c r="M104" s="187"/>
      <c r="N104" s="169">
        <f t="shared" si="14"/>
        <v>1</v>
      </c>
      <c r="O104" s="144">
        <v>1</v>
      </c>
      <c r="P104" s="145">
        <v>15</v>
      </c>
      <c r="Q104" s="113">
        <v>15</v>
      </c>
      <c r="R104" s="113"/>
      <c r="S104" s="113"/>
      <c r="T104" s="146"/>
      <c r="U104" s="148">
        <f t="shared" si="17"/>
        <v>15</v>
      </c>
      <c r="V104" s="149">
        <f t="shared" si="18"/>
        <v>15</v>
      </c>
      <c r="W104" s="189"/>
      <c r="X104" s="199"/>
      <c r="Y104" s="151"/>
      <c r="Z104" s="190"/>
      <c r="AA104" s="153"/>
      <c r="AB104" s="154">
        <f t="shared" si="19"/>
        <v>0</v>
      </c>
      <c r="AC104" s="149">
        <f t="shared" si="20"/>
        <v>0</v>
      </c>
      <c r="AD104" s="125">
        <v>2</v>
      </c>
      <c r="AE104" s="148">
        <f t="shared" si="21"/>
        <v>2</v>
      </c>
      <c r="AF104" s="156"/>
      <c r="AG104" s="156"/>
      <c r="AH104" s="113">
        <f t="shared" si="22"/>
        <v>17</v>
      </c>
      <c r="AI104" s="157">
        <v>65</v>
      </c>
      <c r="AJ104" s="113">
        <f t="shared" si="23"/>
        <v>82</v>
      </c>
      <c r="AK104" s="113">
        <f t="shared" si="24"/>
        <v>82</v>
      </c>
      <c r="AL104" s="158">
        <f t="shared" si="25"/>
        <v>1.02</v>
      </c>
      <c r="AM104" s="159"/>
      <c r="AN104" s="160">
        <f t="shared" si="28"/>
        <v>1</v>
      </c>
      <c r="AO104" s="160">
        <f t="shared" si="28"/>
        <v>2</v>
      </c>
      <c r="AP104" s="133"/>
      <c r="AQ104" s="134"/>
      <c r="AR104" s="161"/>
      <c r="AS104" s="161"/>
      <c r="AT104" s="161"/>
      <c r="AU104" s="161"/>
      <c r="AV104" s="162"/>
      <c r="AW104" s="137">
        <f t="shared" si="26"/>
        <v>0</v>
      </c>
      <c r="AX104" s="137">
        <f t="shared" si="27"/>
        <v>0</v>
      </c>
    </row>
    <row r="105" ht="46.5" customHeight="1" spans="1:50" s="97" customFormat="1" x14ac:dyDescent="0.25">
      <c r="A105" s="100"/>
      <c r="B105" s="100"/>
      <c r="C105" s="100"/>
      <c r="D105" s="100"/>
      <c r="E105" s="100"/>
      <c r="F105" s="100"/>
      <c r="G105" s="103"/>
      <c r="H105" s="186"/>
      <c r="I105" s="195">
        <v>0.51</v>
      </c>
      <c r="J105" s="107">
        <v>0.49</v>
      </c>
      <c r="K105" s="107"/>
      <c r="L105" s="107"/>
      <c r="M105" s="187"/>
      <c r="N105" s="169">
        <f t="shared" si="14"/>
        <v>1</v>
      </c>
      <c r="O105" s="144">
        <v>1</v>
      </c>
      <c r="P105" s="145">
        <v>15</v>
      </c>
      <c r="Q105" s="113">
        <v>15</v>
      </c>
      <c r="R105" s="113"/>
      <c r="S105" s="113"/>
      <c r="T105" s="146"/>
      <c r="U105" s="148">
        <f t="shared" si="17"/>
        <v>15</v>
      </c>
      <c r="V105" s="149">
        <f t="shared" si="18"/>
        <v>15</v>
      </c>
      <c r="W105" s="189"/>
      <c r="X105" s="199"/>
      <c r="Y105" s="151"/>
      <c r="Z105" s="190"/>
      <c r="AA105" s="153"/>
      <c r="AB105" s="154">
        <f t="shared" si="19"/>
        <v>0</v>
      </c>
      <c r="AC105" s="149">
        <f t="shared" si="20"/>
        <v>0</v>
      </c>
      <c r="AD105" s="125">
        <v>2</v>
      </c>
      <c r="AE105" s="148">
        <f t="shared" si="21"/>
        <v>2</v>
      </c>
      <c r="AF105" s="156"/>
      <c r="AG105" s="156"/>
      <c r="AH105" s="113">
        <f t="shared" si="22"/>
        <v>17</v>
      </c>
      <c r="AI105" s="157">
        <v>65</v>
      </c>
      <c r="AJ105" s="113">
        <f t="shared" si="23"/>
        <v>82</v>
      </c>
      <c r="AK105" s="113">
        <f t="shared" si="24"/>
        <v>82</v>
      </c>
      <c r="AL105" s="158">
        <f t="shared" si="25"/>
        <v>1.02</v>
      </c>
      <c r="AM105" s="159"/>
      <c r="AN105" s="160">
        <f t="shared" si="28"/>
        <v>1</v>
      </c>
      <c r="AO105" s="160">
        <f t="shared" si="28"/>
        <v>2</v>
      </c>
      <c r="AP105" s="133"/>
      <c r="AQ105" s="134"/>
      <c r="AR105" s="161"/>
      <c r="AS105" s="161"/>
      <c r="AT105" s="161"/>
      <c r="AU105" s="161"/>
      <c r="AV105" s="162"/>
      <c r="AW105" s="137">
        <f t="shared" si="26"/>
        <v>0</v>
      </c>
      <c r="AX105" s="137">
        <f t="shared" si="27"/>
        <v>0</v>
      </c>
    </row>
    <row r="106" ht="47.25" customHeight="1" spans="1:50" s="97" customFormat="1" x14ac:dyDescent="0.25">
      <c r="A106" s="100"/>
      <c r="B106" s="100"/>
      <c r="C106" s="100"/>
      <c r="D106" s="100"/>
      <c r="E106" s="100"/>
      <c r="F106" s="100"/>
      <c r="G106" s="103"/>
      <c r="H106" s="186"/>
      <c r="I106" s="195">
        <v>0.51</v>
      </c>
      <c r="J106" s="107">
        <v>0.49</v>
      </c>
      <c r="K106" s="107"/>
      <c r="L106" s="107"/>
      <c r="M106" s="187"/>
      <c r="N106" s="169">
        <f t="shared" si="14"/>
        <v>1</v>
      </c>
      <c r="O106" s="144">
        <v>1</v>
      </c>
      <c r="P106" s="145">
        <v>15</v>
      </c>
      <c r="Q106" s="113">
        <v>15</v>
      </c>
      <c r="R106" s="113"/>
      <c r="S106" s="113"/>
      <c r="T106" s="146"/>
      <c r="U106" s="148">
        <f t="shared" si="17"/>
        <v>15</v>
      </c>
      <c r="V106" s="149">
        <f t="shared" si="18"/>
        <v>15</v>
      </c>
      <c r="W106" s="189"/>
      <c r="X106" s="199"/>
      <c r="Y106" s="151"/>
      <c r="Z106" s="190"/>
      <c r="AA106" s="153"/>
      <c r="AB106" s="154">
        <f t="shared" si="19"/>
        <v>0</v>
      </c>
      <c r="AC106" s="149">
        <f t="shared" si="20"/>
        <v>0</v>
      </c>
      <c r="AD106" s="125">
        <v>2</v>
      </c>
      <c r="AE106" s="148">
        <f t="shared" si="21"/>
        <v>2</v>
      </c>
      <c r="AF106" s="156"/>
      <c r="AG106" s="156"/>
      <c r="AH106" s="113">
        <f t="shared" si="22"/>
        <v>17</v>
      </c>
      <c r="AI106" s="157">
        <v>65</v>
      </c>
      <c r="AJ106" s="113">
        <f t="shared" si="23"/>
        <v>82</v>
      </c>
      <c r="AK106" s="113">
        <f t="shared" si="24"/>
        <v>82</v>
      </c>
      <c r="AL106" s="158">
        <f t="shared" si="25"/>
        <v>1.02</v>
      </c>
      <c r="AM106" s="159"/>
      <c r="AN106" s="160">
        <f t="shared" si="28"/>
        <v>1</v>
      </c>
      <c r="AO106" s="160">
        <f t="shared" si="28"/>
        <v>2</v>
      </c>
      <c r="AP106" s="133"/>
      <c r="AQ106" s="134"/>
      <c r="AR106" s="161"/>
      <c r="AS106" s="161"/>
      <c r="AT106" s="161"/>
      <c r="AU106" s="161"/>
      <c r="AV106" s="162"/>
      <c r="AW106" s="137">
        <f t="shared" si="26"/>
        <v>0</v>
      </c>
      <c r="AX106" s="137">
        <f t="shared" si="27"/>
        <v>0</v>
      </c>
    </row>
    <row r="107" ht="46.5" customHeight="1" spans="1:50" s="97" customFormat="1" x14ac:dyDescent="0.25">
      <c r="A107" s="100"/>
      <c r="B107" s="100"/>
      <c r="C107" s="100"/>
      <c r="D107" s="100"/>
      <c r="E107" s="100"/>
      <c r="F107" s="100"/>
      <c r="G107" s="103"/>
      <c r="H107" s="186"/>
      <c r="I107" s="195">
        <v>0.51</v>
      </c>
      <c r="J107" s="107">
        <v>0.49</v>
      </c>
      <c r="K107" s="107"/>
      <c r="L107" s="107"/>
      <c r="M107" s="187"/>
      <c r="N107" s="169">
        <f t="shared" si="14"/>
        <v>1</v>
      </c>
      <c r="O107" s="144">
        <v>1</v>
      </c>
      <c r="P107" s="145">
        <v>15</v>
      </c>
      <c r="Q107" s="113">
        <v>15</v>
      </c>
      <c r="R107" s="113"/>
      <c r="S107" s="113"/>
      <c r="T107" s="146"/>
      <c r="U107" s="148">
        <f t="shared" si="17"/>
        <v>15</v>
      </c>
      <c r="V107" s="149">
        <f t="shared" si="18"/>
        <v>15</v>
      </c>
      <c r="W107" s="189"/>
      <c r="X107" s="199"/>
      <c r="Y107" s="151"/>
      <c r="Z107" s="190"/>
      <c r="AA107" s="153"/>
      <c r="AB107" s="154">
        <f t="shared" si="19"/>
        <v>0</v>
      </c>
      <c r="AC107" s="149">
        <f t="shared" si="20"/>
        <v>0</v>
      </c>
      <c r="AD107" s="125">
        <v>2</v>
      </c>
      <c r="AE107" s="148">
        <f t="shared" si="21"/>
        <v>2</v>
      </c>
      <c r="AF107" s="156"/>
      <c r="AG107" s="156"/>
      <c r="AH107" s="113">
        <f t="shared" si="22"/>
        <v>17</v>
      </c>
      <c r="AI107" s="157">
        <v>65</v>
      </c>
      <c r="AJ107" s="113">
        <f t="shared" si="23"/>
        <v>82</v>
      </c>
      <c r="AK107" s="113">
        <f t="shared" si="24"/>
        <v>82</v>
      </c>
      <c r="AL107" s="158">
        <f t="shared" si="25"/>
        <v>1.02</v>
      </c>
      <c r="AM107" s="159"/>
      <c r="AN107" s="160">
        <f t="shared" si="28"/>
        <v>1</v>
      </c>
      <c r="AO107" s="160">
        <f t="shared" si="28"/>
        <v>2</v>
      </c>
      <c r="AP107" s="133"/>
      <c r="AQ107" s="134"/>
      <c r="AR107" s="161"/>
      <c r="AS107" s="161"/>
      <c r="AT107" s="161"/>
      <c r="AU107" s="161"/>
      <c r="AV107" s="162"/>
      <c r="AW107" s="137">
        <f t="shared" si="26"/>
        <v>0</v>
      </c>
      <c r="AX107" s="137">
        <f t="shared" si="27"/>
        <v>0</v>
      </c>
    </row>
    <row r="108" ht="46.5" customHeight="1" spans="1:50" s="97" customFormat="1" x14ac:dyDescent="0.25">
      <c r="A108" s="100"/>
      <c r="B108" s="100"/>
      <c r="C108" s="100"/>
      <c r="D108" s="100"/>
      <c r="E108" s="100"/>
      <c r="F108" s="100"/>
      <c r="G108" s="103"/>
      <c r="H108" s="186"/>
      <c r="I108" s="195">
        <v>0.51</v>
      </c>
      <c r="J108" s="107">
        <v>0.49</v>
      </c>
      <c r="K108" s="107"/>
      <c r="L108" s="107"/>
      <c r="M108" s="187"/>
      <c r="N108" s="169">
        <f t="shared" si="14"/>
        <v>1</v>
      </c>
      <c r="O108" s="144">
        <v>1</v>
      </c>
      <c r="P108" s="145">
        <v>15</v>
      </c>
      <c r="Q108" s="113">
        <v>15</v>
      </c>
      <c r="R108" s="113"/>
      <c r="S108" s="113"/>
      <c r="T108" s="146"/>
      <c r="U108" s="148">
        <f t="shared" si="17"/>
        <v>15</v>
      </c>
      <c r="V108" s="149">
        <f t="shared" si="18"/>
        <v>15</v>
      </c>
      <c r="W108" s="189"/>
      <c r="X108" s="199"/>
      <c r="Y108" s="151"/>
      <c r="Z108" s="190"/>
      <c r="AA108" s="153"/>
      <c r="AB108" s="154">
        <f t="shared" si="19"/>
        <v>0</v>
      </c>
      <c r="AC108" s="149">
        <f t="shared" si="20"/>
        <v>0</v>
      </c>
      <c r="AD108" s="125">
        <v>2</v>
      </c>
      <c r="AE108" s="148">
        <f t="shared" si="21"/>
        <v>2</v>
      </c>
      <c r="AF108" s="156"/>
      <c r="AG108" s="156"/>
      <c r="AH108" s="113">
        <f t="shared" si="22"/>
        <v>17</v>
      </c>
      <c r="AI108" s="157">
        <v>65</v>
      </c>
      <c r="AJ108" s="113">
        <f t="shared" si="23"/>
        <v>82</v>
      </c>
      <c r="AK108" s="113">
        <f t="shared" si="24"/>
        <v>82</v>
      </c>
      <c r="AL108" s="158">
        <f t="shared" si="25"/>
        <v>1.02</v>
      </c>
      <c r="AM108" s="159"/>
      <c r="AN108" s="160">
        <f t="shared" si="28"/>
        <v>1</v>
      </c>
      <c r="AO108" s="160">
        <f t="shared" si="28"/>
        <v>2</v>
      </c>
      <c r="AP108" s="133"/>
      <c r="AQ108" s="134"/>
      <c r="AR108" s="161"/>
      <c r="AS108" s="161"/>
      <c r="AT108" s="161"/>
      <c r="AU108" s="161"/>
      <c r="AV108" s="162"/>
      <c r="AW108" s="137">
        <f t="shared" si="26"/>
        <v>0</v>
      </c>
      <c r="AX108" s="137">
        <f t="shared" si="27"/>
        <v>0</v>
      </c>
    </row>
    <row r="109" ht="46.5" customHeight="1" spans="1:50" s="97" customFormat="1" x14ac:dyDescent="0.25">
      <c r="A109" s="100"/>
      <c r="B109" s="100"/>
      <c r="C109" s="100"/>
      <c r="D109" s="100"/>
      <c r="E109" s="100"/>
      <c r="F109" s="100"/>
      <c r="G109" s="103"/>
      <c r="H109" s="186"/>
      <c r="I109" s="195">
        <v>0.51</v>
      </c>
      <c r="J109" s="107">
        <v>0.49</v>
      </c>
      <c r="K109" s="107"/>
      <c r="L109" s="107"/>
      <c r="M109" s="187"/>
      <c r="N109" s="169">
        <f t="shared" si="14"/>
        <v>1</v>
      </c>
      <c r="O109" s="144">
        <v>1</v>
      </c>
      <c r="P109" s="145">
        <v>15</v>
      </c>
      <c r="Q109" s="113">
        <v>15</v>
      </c>
      <c r="R109" s="113"/>
      <c r="S109" s="113"/>
      <c r="T109" s="146"/>
      <c r="U109" s="148">
        <f t="shared" si="17"/>
        <v>15</v>
      </c>
      <c r="V109" s="149">
        <f t="shared" si="18"/>
        <v>15</v>
      </c>
      <c r="W109" s="189"/>
      <c r="X109" s="199"/>
      <c r="Y109" s="151"/>
      <c r="Z109" s="190"/>
      <c r="AA109" s="153"/>
      <c r="AB109" s="154">
        <f t="shared" si="19"/>
        <v>0</v>
      </c>
      <c r="AC109" s="149">
        <f t="shared" si="20"/>
        <v>0</v>
      </c>
      <c r="AD109" s="125">
        <v>2</v>
      </c>
      <c r="AE109" s="148">
        <f t="shared" si="21"/>
        <v>2</v>
      </c>
      <c r="AF109" s="156"/>
      <c r="AG109" s="156"/>
      <c r="AH109" s="113">
        <f t="shared" si="22"/>
        <v>17</v>
      </c>
      <c r="AI109" s="157">
        <v>65</v>
      </c>
      <c r="AJ109" s="113">
        <f t="shared" si="23"/>
        <v>82</v>
      </c>
      <c r="AK109" s="113">
        <f t="shared" si="24"/>
        <v>82</v>
      </c>
      <c r="AL109" s="158">
        <f t="shared" si="25"/>
        <v>1.02</v>
      </c>
      <c r="AM109" s="159"/>
      <c r="AN109" s="160">
        <f t="shared" si="28"/>
        <v>1</v>
      </c>
      <c r="AO109" s="160">
        <f t="shared" si="28"/>
        <v>2</v>
      </c>
      <c r="AP109" s="133"/>
      <c r="AQ109" s="134"/>
      <c r="AR109" s="161"/>
      <c r="AS109" s="161"/>
      <c r="AT109" s="161"/>
      <c r="AU109" s="161"/>
      <c r="AV109" s="162"/>
      <c r="AW109" s="137">
        <f t="shared" si="26"/>
        <v>0</v>
      </c>
      <c r="AX109" s="137">
        <f t="shared" si="27"/>
        <v>0</v>
      </c>
    </row>
    <row r="110" ht="46.5" customHeight="1" spans="1:50" s="97" customFormat="1" x14ac:dyDescent="0.25">
      <c r="A110" s="100"/>
      <c r="B110" s="100"/>
      <c r="C110" s="100"/>
      <c r="D110" s="100"/>
      <c r="E110" s="100"/>
      <c r="F110" s="100"/>
      <c r="G110" s="103"/>
      <c r="H110" s="186"/>
      <c r="I110" s="195">
        <v>0.51</v>
      </c>
      <c r="J110" s="107">
        <v>0.49</v>
      </c>
      <c r="K110" s="107"/>
      <c r="L110" s="107"/>
      <c r="M110" s="187"/>
      <c r="N110" s="169">
        <f t="shared" si="14"/>
        <v>1</v>
      </c>
      <c r="O110" s="144">
        <v>1</v>
      </c>
      <c r="P110" s="145">
        <v>15</v>
      </c>
      <c r="Q110" s="113">
        <v>15</v>
      </c>
      <c r="R110" s="113"/>
      <c r="S110" s="113"/>
      <c r="T110" s="146"/>
      <c r="U110" s="148">
        <f t="shared" si="17"/>
        <v>15</v>
      </c>
      <c r="V110" s="149">
        <f t="shared" si="18"/>
        <v>15</v>
      </c>
      <c r="W110" s="189"/>
      <c r="X110" s="199"/>
      <c r="Y110" s="151"/>
      <c r="Z110" s="190"/>
      <c r="AA110" s="153"/>
      <c r="AB110" s="154">
        <f t="shared" si="19"/>
        <v>0</v>
      </c>
      <c r="AC110" s="149">
        <f t="shared" si="20"/>
        <v>0</v>
      </c>
      <c r="AD110" s="125">
        <v>2</v>
      </c>
      <c r="AE110" s="148">
        <f t="shared" si="21"/>
        <v>2</v>
      </c>
      <c r="AF110" s="156"/>
      <c r="AG110" s="156"/>
      <c r="AH110" s="113">
        <f t="shared" si="22"/>
        <v>17</v>
      </c>
      <c r="AI110" s="157">
        <v>65</v>
      </c>
      <c r="AJ110" s="113">
        <f t="shared" si="23"/>
        <v>82</v>
      </c>
      <c r="AK110" s="113">
        <f t="shared" si="24"/>
        <v>82</v>
      </c>
      <c r="AL110" s="158">
        <f t="shared" si="25"/>
        <v>1.02</v>
      </c>
      <c r="AM110" s="159"/>
      <c r="AN110" s="160">
        <f t="shared" si="28"/>
        <v>1</v>
      </c>
      <c r="AO110" s="160">
        <f t="shared" si="28"/>
        <v>2</v>
      </c>
      <c r="AP110" s="133"/>
      <c r="AQ110" s="134"/>
      <c r="AR110" s="161"/>
      <c r="AS110" s="161"/>
      <c r="AT110" s="161"/>
      <c r="AU110" s="161"/>
      <c r="AV110" s="162"/>
      <c r="AW110" s="137">
        <f t="shared" si="26"/>
        <v>0</v>
      </c>
      <c r="AX110" s="137">
        <f t="shared" si="27"/>
        <v>0</v>
      </c>
    </row>
    <row r="111" ht="47.25" customHeight="1" spans="1:50" s="56" customFormat="1" x14ac:dyDescent="0.25">
      <c r="A111" s="100"/>
      <c r="B111" s="100"/>
      <c r="C111" s="100"/>
      <c r="D111" s="100"/>
      <c r="E111" s="100"/>
      <c r="F111" s="100"/>
      <c r="G111" s="103"/>
      <c r="H111" s="186"/>
      <c r="I111" s="195">
        <v>0.51</v>
      </c>
      <c r="J111" s="107">
        <v>0.49</v>
      </c>
      <c r="K111" s="107"/>
      <c r="L111" s="107"/>
      <c r="M111" s="187"/>
      <c r="N111" s="169">
        <f t="shared" ref="N111:N140" si="29">SUM(I111:M111)</f>
        <v>1</v>
      </c>
      <c r="O111" s="144">
        <v>1</v>
      </c>
      <c r="P111" s="145">
        <v>15</v>
      </c>
      <c r="Q111" s="113">
        <v>15</v>
      </c>
      <c r="R111" s="113"/>
      <c r="S111" s="113"/>
      <c r="T111" s="146"/>
      <c r="U111" s="148">
        <f t="shared" si="17"/>
        <v>15</v>
      </c>
      <c r="V111" s="149">
        <f t="shared" si="18"/>
        <v>15</v>
      </c>
      <c r="W111" s="189"/>
      <c r="X111" s="199"/>
      <c r="Y111" s="151"/>
      <c r="Z111" s="190"/>
      <c r="AA111" s="153"/>
      <c r="AB111" s="154">
        <f t="shared" si="19"/>
        <v>0</v>
      </c>
      <c r="AC111" s="149">
        <f t="shared" si="20"/>
        <v>0</v>
      </c>
      <c r="AD111" s="125">
        <v>2</v>
      </c>
      <c r="AE111" s="148">
        <f t="shared" si="21"/>
        <v>2</v>
      </c>
      <c r="AF111" s="156"/>
      <c r="AG111" s="156"/>
      <c r="AH111" s="113">
        <f t="shared" si="22"/>
        <v>17</v>
      </c>
      <c r="AI111" s="157">
        <v>65</v>
      </c>
      <c r="AJ111" s="113">
        <f t="shared" si="23"/>
        <v>82</v>
      </c>
      <c r="AK111" s="113">
        <f t="shared" si="24"/>
        <v>82</v>
      </c>
      <c r="AL111" s="158">
        <f t="shared" si="25"/>
        <v>1.02</v>
      </c>
      <c r="AM111" s="159"/>
      <c r="AN111" s="160">
        <f t="shared" si="28"/>
        <v>1</v>
      </c>
      <c r="AO111" s="160">
        <f t="shared" si="28"/>
        <v>2</v>
      </c>
      <c r="AP111" s="133"/>
      <c r="AQ111" s="134"/>
      <c r="AR111" s="161"/>
      <c r="AS111" s="161"/>
      <c r="AT111" s="161"/>
      <c r="AU111" s="161"/>
      <c r="AV111" s="162"/>
      <c r="AW111" s="137">
        <f t="shared" si="26"/>
        <v>0</v>
      </c>
      <c r="AX111" s="137">
        <f t="shared" si="27"/>
        <v>0</v>
      </c>
    </row>
    <row r="112" ht="57" customHeight="1" spans="1:50" s="97" customFormat="1" x14ac:dyDescent="0.25">
      <c r="A112" s="100"/>
      <c r="B112" s="100"/>
      <c r="C112" s="100"/>
      <c r="D112" s="100"/>
      <c r="E112" s="100"/>
      <c r="F112" s="100"/>
      <c r="G112" s="103"/>
      <c r="H112" s="186"/>
      <c r="I112" s="195">
        <v>0.51</v>
      </c>
      <c r="J112" s="107">
        <v>0.49</v>
      </c>
      <c r="K112" s="107"/>
      <c r="L112" s="107"/>
      <c r="M112" s="187"/>
      <c r="N112" s="169">
        <f t="shared" si="29"/>
        <v>1</v>
      </c>
      <c r="O112" s="144">
        <v>1</v>
      </c>
      <c r="P112" s="145">
        <v>15</v>
      </c>
      <c r="Q112" s="113">
        <v>15</v>
      </c>
      <c r="R112" s="113"/>
      <c r="S112" s="113"/>
      <c r="T112" s="146"/>
      <c r="U112" s="148">
        <f t="shared" si="17"/>
        <v>15</v>
      </c>
      <c r="V112" s="149">
        <f t="shared" si="18"/>
        <v>15</v>
      </c>
      <c r="W112" s="189"/>
      <c r="X112" s="199"/>
      <c r="Y112" s="151"/>
      <c r="Z112" s="190"/>
      <c r="AA112" s="153"/>
      <c r="AB112" s="154">
        <f t="shared" si="19"/>
        <v>0</v>
      </c>
      <c r="AC112" s="149">
        <f t="shared" si="20"/>
        <v>0</v>
      </c>
      <c r="AD112" s="125">
        <v>2</v>
      </c>
      <c r="AE112" s="148">
        <f t="shared" si="21"/>
        <v>2</v>
      </c>
      <c r="AF112" s="156"/>
      <c r="AG112" s="156"/>
      <c r="AH112" s="113">
        <f t="shared" si="22"/>
        <v>17</v>
      </c>
      <c r="AI112" s="157">
        <v>65</v>
      </c>
      <c r="AJ112" s="113">
        <f t="shared" si="23"/>
        <v>82</v>
      </c>
      <c r="AK112" s="113">
        <f t="shared" si="24"/>
        <v>82</v>
      </c>
      <c r="AL112" s="158">
        <f t="shared" si="25"/>
        <v>1.02</v>
      </c>
      <c r="AM112" s="159"/>
      <c r="AN112" s="160">
        <f t="shared" si="28"/>
        <v>1</v>
      </c>
      <c r="AO112" s="160">
        <f t="shared" si="28"/>
        <v>2</v>
      </c>
      <c r="AP112" s="133"/>
      <c r="AQ112" s="134"/>
      <c r="AR112" s="161"/>
      <c r="AS112" s="161"/>
      <c r="AT112" s="161"/>
      <c r="AU112" s="161"/>
      <c r="AV112" s="162"/>
      <c r="AW112" s="137">
        <f t="shared" si="26"/>
        <v>0</v>
      </c>
      <c r="AX112" s="137">
        <f t="shared" si="27"/>
        <v>0</v>
      </c>
    </row>
    <row r="113" ht="46.5" customHeight="1" spans="1:50" s="97" customFormat="1" x14ac:dyDescent="0.25">
      <c r="A113" s="100"/>
      <c r="B113" s="100"/>
      <c r="C113" s="100"/>
      <c r="D113" s="100"/>
      <c r="E113" s="100"/>
      <c r="F113" s="100"/>
      <c r="G113" s="103"/>
      <c r="H113" s="186"/>
      <c r="I113" s="195">
        <v>0.51</v>
      </c>
      <c r="J113" s="107">
        <v>0.49</v>
      </c>
      <c r="K113" s="107"/>
      <c r="L113" s="107"/>
      <c r="M113" s="187"/>
      <c r="N113" s="169">
        <f t="shared" si="29"/>
        <v>1</v>
      </c>
      <c r="O113" s="144">
        <v>1</v>
      </c>
      <c r="P113" s="145">
        <v>15</v>
      </c>
      <c r="Q113" s="113">
        <v>15</v>
      </c>
      <c r="R113" s="113"/>
      <c r="S113" s="113"/>
      <c r="T113" s="146"/>
      <c r="U113" s="148">
        <f t="shared" si="17"/>
        <v>15</v>
      </c>
      <c r="V113" s="149">
        <f t="shared" si="18"/>
        <v>15</v>
      </c>
      <c r="W113" s="189"/>
      <c r="X113" s="199"/>
      <c r="Y113" s="151"/>
      <c r="Z113" s="190"/>
      <c r="AA113" s="153"/>
      <c r="AB113" s="154">
        <f t="shared" si="19"/>
        <v>0</v>
      </c>
      <c r="AC113" s="149">
        <f t="shared" si="20"/>
        <v>0</v>
      </c>
      <c r="AD113" s="125">
        <v>2</v>
      </c>
      <c r="AE113" s="148">
        <f t="shared" si="21"/>
        <v>2</v>
      </c>
      <c r="AF113" s="156"/>
      <c r="AG113" s="156"/>
      <c r="AH113" s="113">
        <f t="shared" si="22"/>
        <v>17</v>
      </c>
      <c r="AI113" s="157">
        <v>65</v>
      </c>
      <c r="AJ113" s="113">
        <f t="shared" si="23"/>
        <v>82</v>
      </c>
      <c r="AK113" s="113">
        <f t="shared" si="24"/>
        <v>82</v>
      </c>
      <c r="AL113" s="158">
        <f t="shared" si="25"/>
        <v>1.02</v>
      </c>
      <c r="AM113" s="159"/>
      <c r="AN113" s="160">
        <f t="shared" si="28"/>
        <v>1</v>
      </c>
      <c r="AO113" s="160">
        <f t="shared" si="28"/>
        <v>2</v>
      </c>
      <c r="AP113" s="133"/>
      <c r="AQ113" s="134"/>
      <c r="AR113" s="161"/>
      <c r="AS113" s="161"/>
      <c r="AT113" s="161"/>
      <c r="AU113" s="161"/>
      <c r="AV113" s="162"/>
      <c r="AW113" s="137">
        <f t="shared" si="26"/>
        <v>0</v>
      </c>
      <c r="AX113" s="137">
        <f t="shared" si="27"/>
        <v>0</v>
      </c>
    </row>
    <row r="114" ht="47.25" customHeight="1" spans="1:50" s="56" customFormat="1" x14ac:dyDescent="0.25">
      <c r="A114" s="100"/>
      <c r="B114" s="100"/>
      <c r="C114" s="100"/>
      <c r="D114" s="100"/>
      <c r="E114" s="100"/>
      <c r="F114" s="100"/>
      <c r="G114" s="103"/>
      <c r="H114" s="186"/>
      <c r="I114" s="195">
        <v>0.51</v>
      </c>
      <c r="J114" s="107">
        <v>0.49</v>
      </c>
      <c r="K114" s="107"/>
      <c r="L114" s="107"/>
      <c r="M114" s="187"/>
      <c r="N114" s="169">
        <f t="shared" si="29"/>
        <v>1</v>
      </c>
      <c r="O114" s="144">
        <v>1</v>
      </c>
      <c r="P114" s="145">
        <v>15</v>
      </c>
      <c r="Q114" s="113">
        <v>15</v>
      </c>
      <c r="R114" s="113"/>
      <c r="S114" s="113"/>
      <c r="T114" s="146"/>
      <c r="U114" s="148">
        <f t="shared" si="17"/>
        <v>15</v>
      </c>
      <c r="V114" s="149">
        <f t="shared" si="18"/>
        <v>15</v>
      </c>
      <c r="W114" s="189"/>
      <c r="X114" s="199"/>
      <c r="Y114" s="151"/>
      <c r="Z114" s="190"/>
      <c r="AA114" s="153"/>
      <c r="AB114" s="154">
        <f t="shared" si="19"/>
        <v>0</v>
      </c>
      <c r="AC114" s="149">
        <f t="shared" si="20"/>
        <v>0</v>
      </c>
      <c r="AD114" s="125">
        <v>2</v>
      </c>
      <c r="AE114" s="148">
        <f t="shared" si="21"/>
        <v>2</v>
      </c>
      <c r="AF114" s="156"/>
      <c r="AG114" s="156"/>
      <c r="AH114" s="113">
        <f t="shared" si="22"/>
        <v>17</v>
      </c>
      <c r="AI114" s="157">
        <v>65</v>
      </c>
      <c r="AJ114" s="113">
        <f t="shared" si="23"/>
        <v>82</v>
      </c>
      <c r="AK114" s="113">
        <f t="shared" si="24"/>
        <v>82</v>
      </c>
      <c r="AL114" s="158">
        <f t="shared" si="25"/>
        <v>1.02</v>
      </c>
      <c r="AM114" s="159"/>
      <c r="AN114" s="160">
        <f t="shared" si="28"/>
        <v>1</v>
      </c>
      <c r="AO114" s="160">
        <f t="shared" si="28"/>
        <v>2</v>
      </c>
      <c r="AP114" s="133"/>
      <c r="AQ114" s="134"/>
      <c r="AR114" s="161"/>
      <c r="AS114" s="161"/>
      <c r="AT114" s="161"/>
      <c r="AU114" s="161"/>
      <c r="AV114" s="162"/>
      <c r="AW114" s="137">
        <f t="shared" si="26"/>
        <v>0</v>
      </c>
      <c r="AX114" s="137">
        <f t="shared" si="27"/>
        <v>0</v>
      </c>
    </row>
    <row r="115" ht="46.5" customHeight="1" spans="1:50" s="97" customFormat="1" x14ac:dyDescent="0.25">
      <c r="A115" s="100"/>
      <c r="B115" s="100"/>
      <c r="C115" s="100"/>
      <c r="D115" s="100"/>
      <c r="E115" s="100"/>
      <c r="F115" s="100"/>
      <c r="G115" s="103"/>
      <c r="H115" s="186"/>
      <c r="I115" s="195">
        <v>0.51</v>
      </c>
      <c r="J115" s="107">
        <v>0.49</v>
      </c>
      <c r="K115" s="107"/>
      <c r="L115" s="107"/>
      <c r="M115" s="187"/>
      <c r="N115" s="169">
        <f t="shared" si="29"/>
        <v>1</v>
      </c>
      <c r="O115" s="144">
        <v>1</v>
      </c>
      <c r="P115" s="145">
        <v>15</v>
      </c>
      <c r="Q115" s="113">
        <v>15</v>
      </c>
      <c r="R115" s="113"/>
      <c r="S115" s="113"/>
      <c r="T115" s="146"/>
      <c r="U115" s="148">
        <f t="shared" si="17"/>
        <v>15</v>
      </c>
      <c r="V115" s="149">
        <f t="shared" si="18"/>
        <v>15</v>
      </c>
      <c r="W115" s="189"/>
      <c r="X115" s="199"/>
      <c r="Y115" s="151"/>
      <c r="Z115" s="190"/>
      <c r="AA115" s="153"/>
      <c r="AB115" s="154">
        <f t="shared" si="19"/>
        <v>0</v>
      </c>
      <c r="AC115" s="149">
        <f t="shared" si="20"/>
        <v>0</v>
      </c>
      <c r="AD115" s="125">
        <v>2</v>
      </c>
      <c r="AE115" s="148">
        <f t="shared" si="21"/>
        <v>2</v>
      </c>
      <c r="AF115" s="156"/>
      <c r="AG115" s="156"/>
      <c r="AH115" s="113">
        <f t="shared" si="22"/>
        <v>17</v>
      </c>
      <c r="AI115" s="157">
        <v>65</v>
      </c>
      <c r="AJ115" s="113">
        <f t="shared" si="23"/>
        <v>82</v>
      </c>
      <c r="AK115" s="113">
        <f t="shared" si="24"/>
        <v>82</v>
      </c>
      <c r="AL115" s="158">
        <f t="shared" si="25"/>
        <v>1.02</v>
      </c>
      <c r="AM115" s="159"/>
      <c r="AN115" s="160">
        <f t="shared" ref="AN115:AO134" si="30">100%+AM115</f>
        <v>1</v>
      </c>
      <c r="AO115" s="160">
        <f t="shared" si="30"/>
        <v>2</v>
      </c>
      <c r="AP115" s="133"/>
      <c r="AQ115" s="134"/>
      <c r="AR115" s="161"/>
      <c r="AS115" s="161"/>
      <c r="AT115" s="161"/>
      <c r="AU115" s="161"/>
      <c r="AV115" s="162"/>
      <c r="AW115" s="137">
        <f t="shared" si="26"/>
        <v>0</v>
      </c>
      <c r="AX115" s="137">
        <f t="shared" si="27"/>
        <v>0</v>
      </c>
    </row>
    <row r="116" ht="46.5" customHeight="1" spans="1:50" s="97" customFormat="1" x14ac:dyDescent="0.25">
      <c r="A116" s="100"/>
      <c r="B116" s="100"/>
      <c r="C116" s="100"/>
      <c r="D116" s="100"/>
      <c r="E116" s="100"/>
      <c r="F116" s="100"/>
      <c r="G116" s="103"/>
      <c r="H116" s="186"/>
      <c r="I116" s="195">
        <v>0.51</v>
      </c>
      <c r="J116" s="107">
        <v>0.49</v>
      </c>
      <c r="K116" s="107"/>
      <c r="L116" s="107"/>
      <c r="M116" s="187"/>
      <c r="N116" s="169">
        <f t="shared" si="29"/>
        <v>1</v>
      </c>
      <c r="O116" s="144">
        <v>1</v>
      </c>
      <c r="P116" s="145">
        <v>15</v>
      </c>
      <c r="Q116" s="113">
        <v>15</v>
      </c>
      <c r="R116" s="113"/>
      <c r="S116" s="113"/>
      <c r="T116" s="146"/>
      <c r="U116" s="148">
        <f t="shared" si="17"/>
        <v>15</v>
      </c>
      <c r="V116" s="149">
        <f t="shared" si="18"/>
        <v>15</v>
      </c>
      <c r="W116" s="189"/>
      <c r="X116" s="199"/>
      <c r="Y116" s="151"/>
      <c r="Z116" s="190"/>
      <c r="AA116" s="153"/>
      <c r="AB116" s="154">
        <f t="shared" si="19"/>
        <v>0</v>
      </c>
      <c r="AC116" s="149">
        <f t="shared" si="20"/>
        <v>0</v>
      </c>
      <c r="AD116" s="125">
        <v>2</v>
      </c>
      <c r="AE116" s="148">
        <f t="shared" si="21"/>
        <v>2</v>
      </c>
      <c r="AF116" s="156"/>
      <c r="AG116" s="156"/>
      <c r="AH116" s="113">
        <f t="shared" si="22"/>
        <v>17</v>
      </c>
      <c r="AI116" s="157">
        <v>65</v>
      </c>
      <c r="AJ116" s="113">
        <f t="shared" si="23"/>
        <v>82</v>
      </c>
      <c r="AK116" s="113">
        <f t="shared" si="24"/>
        <v>82</v>
      </c>
      <c r="AL116" s="158">
        <f t="shared" si="25"/>
        <v>1.02</v>
      </c>
      <c r="AM116" s="159"/>
      <c r="AN116" s="160">
        <f t="shared" si="30"/>
        <v>1</v>
      </c>
      <c r="AO116" s="160">
        <f t="shared" si="30"/>
        <v>2</v>
      </c>
      <c r="AP116" s="133"/>
      <c r="AQ116" s="134"/>
      <c r="AR116" s="161"/>
      <c r="AS116" s="161"/>
      <c r="AT116" s="161"/>
      <c r="AU116" s="161"/>
      <c r="AV116" s="162"/>
      <c r="AW116" s="137">
        <f t="shared" si="26"/>
        <v>0</v>
      </c>
      <c r="AX116" s="137">
        <f t="shared" si="27"/>
        <v>0</v>
      </c>
    </row>
    <row r="117" ht="46.5" customHeight="1" spans="1:50" s="97" customFormat="1" x14ac:dyDescent="0.25">
      <c r="A117" s="100"/>
      <c r="B117" s="100"/>
      <c r="C117" s="100"/>
      <c r="D117" s="100"/>
      <c r="E117" s="100"/>
      <c r="F117" s="100"/>
      <c r="G117" s="103"/>
      <c r="H117" s="186"/>
      <c r="I117" s="195">
        <v>0.51</v>
      </c>
      <c r="J117" s="107">
        <v>0.49</v>
      </c>
      <c r="K117" s="107"/>
      <c r="L117" s="107"/>
      <c r="M117" s="187"/>
      <c r="N117" s="169">
        <f t="shared" si="29"/>
        <v>1</v>
      </c>
      <c r="O117" s="144">
        <v>1</v>
      </c>
      <c r="P117" s="145">
        <v>15</v>
      </c>
      <c r="Q117" s="113">
        <v>15</v>
      </c>
      <c r="R117" s="113"/>
      <c r="S117" s="113"/>
      <c r="T117" s="146"/>
      <c r="U117" s="148">
        <f t="shared" si="17"/>
        <v>15</v>
      </c>
      <c r="V117" s="149">
        <f t="shared" si="18"/>
        <v>15</v>
      </c>
      <c r="W117" s="189"/>
      <c r="X117" s="199"/>
      <c r="Y117" s="151"/>
      <c r="Z117" s="190"/>
      <c r="AA117" s="153"/>
      <c r="AB117" s="154">
        <f t="shared" si="19"/>
        <v>0</v>
      </c>
      <c r="AC117" s="149">
        <f t="shared" si="20"/>
        <v>0</v>
      </c>
      <c r="AD117" s="125">
        <v>2</v>
      </c>
      <c r="AE117" s="148">
        <f t="shared" si="21"/>
        <v>2</v>
      </c>
      <c r="AF117" s="156"/>
      <c r="AG117" s="156"/>
      <c r="AH117" s="113">
        <f t="shared" si="22"/>
        <v>17</v>
      </c>
      <c r="AI117" s="157">
        <v>65</v>
      </c>
      <c r="AJ117" s="113">
        <f t="shared" si="23"/>
        <v>82</v>
      </c>
      <c r="AK117" s="113">
        <f t="shared" si="24"/>
        <v>82</v>
      </c>
      <c r="AL117" s="158">
        <f t="shared" si="25"/>
        <v>1.02</v>
      </c>
      <c r="AM117" s="159"/>
      <c r="AN117" s="160">
        <f t="shared" si="30"/>
        <v>1</v>
      </c>
      <c r="AO117" s="160">
        <f t="shared" si="30"/>
        <v>2</v>
      </c>
      <c r="AP117" s="133"/>
      <c r="AQ117" s="134"/>
      <c r="AR117" s="161"/>
      <c r="AS117" s="161"/>
      <c r="AT117" s="161"/>
      <c r="AU117" s="161"/>
      <c r="AV117" s="162"/>
      <c r="AW117" s="137">
        <f t="shared" si="26"/>
        <v>0</v>
      </c>
      <c r="AX117" s="137">
        <f t="shared" si="27"/>
        <v>0</v>
      </c>
    </row>
    <row r="118" ht="53.25" customHeight="1" spans="1:50" s="97" customFormat="1" x14ac:dyDescent="0.25">
      <c r="A118" s="100"/>
      <c r="B118" s="100"/>
      <c r="C118" s="100"/>
      <c r="D118" s="100"/>
      <c r="E118" s="100"/>
      <c r="F118" s="100"/>
      <c r="G118" s="103"/>
      <c r="H118" s="186"/>
      <c r="I118" s="195">
        <v>0.51</v>
      </c>
      <c r="J118" s="107">
        <v>0.49</v>
      </c>
      <c r="K118" s="107"/>
      <c r="L118" s="107"/>
      <c r="M118" s="187"/>
      <c r="N118" s="169">
        <f t="shared" si="29"/>
        <v>1</v>
      </c>
      <c r="O118" s="144">
        <v>1</v>
      </c>
      <c r="P118" s="145">
        <v>15</v>
      </c>
      <c r="Q118" s="113">
        <v>15</v>
      </c>
      <c r="R118" s="113"/>
      <c r="S118" s="113"/>
      <c r="T118" s="146"/>
      <c r="U118" s="148">
        <f t="shared" si="17"/>
        <v>15</v>
      </c>
      <c r="V118" s="149">
        <f t="shared" si="18"/>
        <v>15</v>
      </c>
      <c r="W118" s="189"/>
      <c r="X118" s="199"/>
      <c r="Y118" s="151"/>
      <c r="Z118" s="190"/>
      <c r="AA118" s="153"/>
      <c r="AB118" s="154">
        <f t="shared" si="19"/>
        <v>0</v>
      </c>
      <c r="AC118" s="149">
        <f t="shared" si="20"/>
        <v>0</v>
      </c>
      <c r="AD118" s="125">
        <v>2</v>
      </c>
      <c r="AE118" s="148">
        <f t="shared" si="21"/>
        <v>2</v>
      </c>
      <c r="AF118" s="156"/>
      <c r="AG118" s="156"/>
      <c r="AH118" s="113">
        <f t="shared" si="22"/>
        <v>17</v>
      </c>
      <c r="AI118" s="157">
        <v>65</v>
      </c>
      <c r="AJ118" s="113">
        <f t="shared" si="23"/>
        <v>82</v>
      </c>
      <c r="AK118" s="113">
        <f t="shared" si="24"/>
        <v>82</v>
      </c>
      <c r="AL118" s="158">
        <f t="shared" si="25"/>
        <v>1.02</v>
      </c>
      <c r="AM118" s="159"/>
      <c r="AN118" s="160">
        <f t="shared" si="30"/>
        <v>1</v>
      </c>
      <c r="AO118" s="160">
        <f t="shared" si="30"/>
        <v>2</v>
      </c>
      <c r="AP118" s="133"/>
      <c r="AQ118" s="134"/>
      <c r="AR118" s="161"/>
      <c r="AS118" s="161"/>
      <c r="AT118" s="161"/>
      <c r="AU118" s="161"/>
      <c r="AV118" s="162"/>
      <c r="AW118" s="137">
        <f t="shared" si="26"/>
        <v>0</v>
      </c>
      <c r="AX118" s="137">
        <f t="shared" si="27"/>
        <v>0</v>
      </c>
    </row>
    <row r="119" ht="46.5" customHeight="1" spans="1:50" s="97" customFormat="1" x14ac:dyDescent="0.25">
      <c r="A119" s="100"/>
      <c r="B119" s="100"/>
      <c r="C119" s="100"/>
      <c r="D119" s="100"/>
      <c r="E119" s="100"/>
      <c r="F119" s="100"/>
      <c r="G119" s="103"/>
      <c r="H119" s="186"/>
      <c r="I119" s="195">
        <v>0.51</v>
      </c>
      <c r="J119" s="107">
        <v>0.49</v>
      </c>
      <c r="K119" s="107"/>
      <c r="L119" s="107"/>
      <c r="M119" s="187"/>
      <c r="N119" s="169">
        <f t="shared" si="29"/>
        <v>1</v>
      </c>
      <c r="O119" s="144">
        <v>1</v>
      </c>
      <c r="P119" s="145">
        <v>15</v>
      </c>
      <c r="Q119" s="113">
        <v>15</v>
      </c>
      <c r="R119" s="113"/>
      <c r="S119" s="113"/>
      <c r="T119" s="146"/>
      <c r="U119" s="148">
        <f t="shared" si="17"/>
        <v>15</v>
      </c>
      <c r="V119" s="149">
        <f t="shared" si="18"/>
        <v>15</v>
      </c>
      <c r="W119" s="189"/>
      <c r="X119" s="199"/>
      <c r="Y119" s="151"/>
      <c r="Z119" s="190"/>
      <c r="AA119" s="153"/>
      <c r="AB119" s="154">
        <f t="shared" si="19"/>
        <v>0</v>
      </c>
      <c r="AC119" s="149">
        <f t="shared" si="20"/>
        <v>0</v>
      </c>
      <c r="AD119" s="125">
        <v>2</v>
      </c>
      <c r="AE119" s="148">
        <f t="shared" si="21"/>
        <v>2</v>
      </c>
      <c r="AF119" s="156"/>
      <c r="AG119" s="156"/>
      <c r="AH119" s="113">
        <f t="shared" si="22"/>
        <v>17</v>
      </c>
      <c r="AI119" s="157">
        <v>65</v>
      </c>
      <c r="AJ119" s="113">
        <f t="shared" si="23"/>
        <v>82</v>
      </c>
      <c r="AK119" s="113">
        <f t="shared" si="24"/>
        <v>82</v>
      </c>
      <c r="AL119" s="158">
        <f t="shared" si="25"/>
        <v>1.02</v>
      </c>
      <c r="AM119" s="159"/>
      <c r="AN119" s="160">
        <f t="shared" si="30"/>
        <v>1</v>
      </c>
      <c r="AO119" s="160">
        <f t="shared" si="30"/>
        <v>2</v>
      </c>
      <c r="AP119" s="133"/>
      <c r="AQ119" s="134"/>
      <c r="AR119" s="161"/>
      <c r="AS119" s="161"/>
      <c r="AT119" s="161"/>
      <c r="AU119" s="161"/>
      <c r="AV119" s="162"/>
      <c r="AW119" s="137">
        <f t="shared" si="26"/>
        <v>0</v>
      </c>
      <c r="AX119" s="137">
        <f t="shared" si="27"/>
        <v>0</v>
      </c>
    </row>
    <row r="120" ht="46.5" customHeight="1" spans="1:50" s="97" customFormat="1" x14ac:dyDescent="0.25">
      <c r="A120" s="100"/>
      <c r="B120" s="100"/>
      <c r="C120" s="100"/>
      <c r="D120" s="100"/>
      <c r="E120" s="100"/>
      <c r="F120" s="100"/>
      <c r="G120" s="103"/>
      <c r="H120" s="186"/>
      <c r="I120" s="195">
        <v>0.51</v>
      </c>
      <c r="J120" s="107">
        <v>0.49</v>
      </c>
      <c r="K120" s="107"/>
      <c r="L120" s="107"/>
      <c r="M120" s="187"/>
      <c r="N120" s="169">
        <f t="shared" si="29"/>
        <v>1</v>
      </c>
      <c r="O120" s="144">
        <v>1</v>
      </c>
      <c r="P120" s="145">
        <v>15</v>
      </c>
      <c r="Q120" s="113">
        <v>15</v>
      </c>
      <c r="R120" s="113"/>
      <c r="S120" s="113"/>
      <c r="T120" s="146"/>
      <c r="U120" s="148">
        <f t="shared" si="17"/>
        <v>15</v>
      </c>
      <c r="V120" s="149">
        <f t="shared" si="18"/>
        <v>15</v>
      </c>
      <c r="W120" s="189"/>
      <c r="X120" s="199"/>
      <c r="Y120" s="151"/>
      <c r="Z120" s="190"/>
      <c r="AA120" s="153"/>
      <c r="AB120" s="154">
        <f t="shared" si="19"/>
        <v>0</v>
      </c>
      <c r="AC120" s="149">
        <f t="shared" si="20"/>
        <v>0</v>
      </c>
      <c r="AD120" s="125">
        <v>2</v>
      </c>
      <c r="AE120" s="148">
        <f t="shared" si="21"/>
        <v>2</v>
      </c>
      <c r="AF120" s="156"/>
      <c r="AG120" s="156"/>
      <c r="AH120" s="113">
        <f t="shared" si="22"/>
        <v>17</v>
      </c>
      <c r="AI120" s="157">
        <v>65</v>
      </c>
      <c r="AJ120" s="113">
        <f t="shared" si="23"/>
        <v>82</v>
      </c>
      <c r="AK120" s="113">
        <f t="shared" si="24"/>
        <v>82</v>
      </c>
      <c r="AL120" s="158">
        <f t="shared" si="25"/>
        <v>1.02</v>
      </c>
      <c r="AM120" s="159"/>
      <c r="AN120" s="160">
        <f t="shared" si="30"/>
        <v>1</v>
      </c>
      <c r="AO120" s="160">
        <f t="shared" si="30"/>
        <v>2</v>
      </c>
      <c r="AP120" s="133"/>
      <c r="AQ120" s="134"/>
      <c r="AR120" s="161"/>
      <c r="AS120" s="161"/>
      <c r="AT120" s="161"/>
      <c r="AU120" s="161"/>
      <c r="AV120" s="162"/>
      <c r="AW120" s="137">
        <f t="shared" si="26"/>
        <v>0</v>
      </c>
      <c r="AX120" s="137">
        <f t="shared" si="27"/>
        <v>0</v>
      </c>
    </row>
    <row r="121" ht="46.5" customHeight="1" spans="1:50" s="97" customFormat="1" x14ac:dyDescent="0.25">
      <c r="A121" s="100"/>
      <c r="B121" s="100"/>
      <c r="C121" s="100"/>
      <c r="D121" s="100"/>
      <c r="E121" s="100"/>
      <c r="F121" s="100"/>
      <c r="G121" s="103"/>
      <c r="H121" s="186"/>
      <c r="I121" s="195">
        <v>0.51</v>
      </c>
      <c r="J121" s="107">
        <v>0.49</v>
      </c>
      <c r="K121" s="107"/>
      <c r="L121" s="107"/>
      <c r="M121" s="187"/>
      <c r="N121" s="169">
        <f t="shared" si="29"/>
        <v>1</v>
      </c>
      <c r="O121" s="144">
        <v>1</v>
      </c>
      <c r="P121" s="145">
        <v>15</v>
      </c>
      <c r="Q121" s="113">
        <v>15</v>
      </c>
      <c r="R121" s="113"/>
      <c r="S121" s="113"/>
      <c r="T121" s="146"/>
      <c r="U121" s="148">
        <f t="shared" si="17"/>
        <v>15</v>
      </c>
      <c r="V121" s="149">
        <f t="shared" si="18"/>
        <v>15</v>
      </c>
      <c r="W121" s="189"/>
      <c r="X121" s="199"/>
      <c r="Y121" s="151"/>
      <c r="Z121" s="190"/>
      <c r="AA121" s="153"/>
      <c r="AB121" s="154">
        <f t="shared" si="19"/>
        <v>0</v>
      </c>
      <c r="AC121" s="149">
        <f t="shared" si="20"/>
        <v>0</v>
      </c>
      <c r="AD121" s="125">
        <v>2</v>
      </c>
      <c r="AE121" s="148">
        <f t="shared" si="21"/>
        <v>2</v>
      </c>
      <c r="AF121" s="156"/>
      <c r="AG121" s="156"/>
      <c r="AH121" s="113">
        <f t="shared" si="22"/>
        <v>17</v>
      </c>
      <c r="AI121" s="157">
        <v>65</v>
      </c>
      <c r="AJ121" s="113">
        <f t="shared" si="23"/>
        <v>82</v>
      </c>
      <c r="AK121" s="113">
        <f t="shared" si="24"/>
        <v>82</v>
      </c>
      <c r="AL121" s="158">
        <f t="shared" si="25"/>
        <v>1.02</v>
      </c>
      <c r="AM121" s="159"/>
      <c r="AN121" s="160">
        <f t="shared" si="30"/>
        <v>1</v>
      </c>
      <c r="AO121" s="160">
        <f t="shared" si="30"/>
        <v>2</v>
      </c>
      <c r="AP121" s="133"/>
      <c r="AQ121" s="134"/>
      <c r="AR121" s="161"/>
      <c r="AS121" s="161"/>
      <c r="AT121" s="161"/>
      <c r="AU121" s="161"/>
      <c r="AV121" s="162"/>
      <c r="AW121" s="137">
        <f t="shared" si="26"/>
        <v>0</v>
      </c>
      <c r="AX121" s="137">
        <f t="shared" si="27"/>
        <v>0</v>
      </c>
    </row>
    <row r="122" ht="47.25" customHeight="1" spans="1:50" s="56" customFormat="1" x14ac:dyDescent="0.25">
      <c r="A122" s="100"/>
      <c r="B122" s="100"/>
      <c r="C122" s="100"/>
      <c r="D122" s="100"/>
      <c r="E122" s="100"/>
      <c r="F122" s="100"/>
      <c r="G122" s="103"/>
      <c r="H122" s="186"/>
      <c r="I122" s="195">
        <v>0.51</v>
      </c>
      <c r="J122" s="107">
        <v>0.49</v>
      </c>
      <c r="K122" s="107"/>
      <c r="L122" s="107"/>
      <c r="M122" s="187"/>
      <c r="N122" s="169">
        <f t="shared" si="29"/>
        <v>1</v>
      </c>
      <c r="O122" s="144">
        <v>1</v>
      </c>
      <c r="P122" s="145">
        <v>15</v>
      </c>
      <c r="Q122" s="113">
        <v>15</v>
      </c>
      <c r="R122" s="113"/>
      <c r="S122" s="113"/>
      <c r="T122" s="146"/>
      <c r="U122" s="148">
        <f t="shared" si="17"/>
        <v>15</v>
      </c>
      <c r="V122" s="149">
        <f t="shared" si="18"/>
        <v>15</v>
      </c>
      <c r="W122" s="189"/>
      <c r="X122" s="199"/>
      <c r="Y122" s="151"/>
      <c r="Z122" s="190"/>
      <c r="AA122" s="153"/>
      <c r="AB122" s="154">
        <f t="shared" si="19"/>
        <v>0</v>
      </c>
      <c r="AC122" s="149">
        <f t="shared" si="20"/>
        <v>0</v>
      </c>
      <c r="AD122" s="125">
        <v>2</v>
      </c>
      <c r="AE122" s="148">
        <f t="shared" si="21"/>
        <v>2</v>
      </c>
      <c r="AF122" s="156"/>
      <c r="AG122" s="156"/>
      <c r="AH122" s="113">
        <f t="shared" si="22"/>
        <v>17</v>
      </c>
      <c r="AI122" s="157">
        <v>65</v>
      </c>
      <c r="AJ122" s="113">
        <f t="shared" si="23"/>
        <v>82</v>
      </c>
      <c r="AK122" s="113">
        <f t="shared" si="24"/>
        <v>82</v>
      </c>
      <c r="AL122" s="158">
        <f t="shared" si="25"/>
        <v>1.02</v>
      </c>
      <c r="AM122" s="159"/>
      <c r="AN122" s="160">
        <f t="shared" si="30"/>
        <v>1</v>
      </c>
      <c r="AO122" s="160">
        <f t="shared" si="30"/>
        <v>2</v>
      </c>
      <c r="AP122" s="133"/>
      <c r="AQ122" s="134"/>
      <c r="AR122" s="161"/>
      <c r="AS122" s="161"/>
      <c r="AT122" s="161"/>
      <c r="AU122" s="161"/>
      <c r="AV122" s="162"/>
      <c r="AW122" s="137">
        <f t="shared" si="26"/>
        <v>0</v>
      </c>
      <c r="AX122" s="137">
        <f t="shared" si="27"/>
        <v>0</v>
      </c>
    </row>
    <row r="123" ht="47.25" customHeight="1" spans="1:50" s="56" customFormat="1" x14ac:dyDescent="0.25">
      <c r="A123" s="100"/>
      <c r="B123" s="100"/>
      <c r="C123" s="100"/>
      <c r="D123" s="100"/>
      <c r="E123" s="100"/>
      <c r="F123" s="100"/>
      <c r="G123" s="103"/>
      <c r="H123" s="186"/>
      <c r="I123" s="195">
        <v>0.51</v>
      </c>
      <c r="J123" s="107">
        <v>0.49</v>
      </c>
      <c r="K123" s="107"/>
      <c r="L123" s="107"/>
      <c r="M123" s="187"/>
      <c r="N123" s="169">
        <f t="shared" si="29"/>
        <v>1</v>
      </c>
      <c r="O123" s="144">
        <v>1</v>
      </c>
      <c r="P123" s="145">
        <v>15</v>
      </c>
      <c r="Q123" s="113">
        <v>15</v>
      </c>
      <c r="R123" s="113"/>
      <c r="S123" s="113"/>
      <c r="T123" s="146"/>
      <c r="U123" s="148">
        <f t="shared" si="17"/>
        <v>15</v>
      </c>
      <c r="V123" s="149">
        <f t="shared" si="18"/>
        <v>15</v>
      </c>
      <c r="W123" s="189"/>
      <c r="X123" s="199"/>
      <c r="Y123" s="151"/>
      <c r="Z123" s="190"/>
      <c r="AA123" s="153"/>
      <c r="AB123" s="154">
        <f t="shared" si="19"/>
        <v>0</v>
      </c>
      <c r="AC123" s="149">
        <f t="shared" si="20"/>
        <v>0</v>
      </c>
      <c r="AD123" s="125">
        <v>2</v>
      </c>
      <c r="AE123" s="148">
        <f t="shared" si="21"/>
        <v>2</v>
      </c>
      <c r="AF123" s="156"/>
      <c r="AG123" s="156"/>
      <c r="AH123" s="113">
        <f t="shared" si="22"/>
        <v>17</v>
      </c>
      <c r="AI123" s="157">
        <v>65</v>
      </c>
      <c r="AJ123" s="113">
        <f t="shared" si="23"/>
        <v>82</v>
      </c>
      <c r="AK123" s="113">
        <f t="shared" si="24"/>
        <v>82</v>
      </c>
      <c r="AL123" s="158">
        <f t="shared" si="25"/>
        <v>1.02</v>
      </c>
      <c r="AM123" s="159"/>
      <c r="AN123" s="160">
        <f t="shared" si="30"/>
        <v>1</v>
      </c>
      <c r="AO123" s="160">
        <f t="shared" si="30"/>
        <v>2</v>
      </c>
      <c r="AP123" s="133"/>
      <c r="AQ123" s="134"/>
      <c r="AR123" s="161"/>
      <c r="AS123" s="161"/>
      <c r="AT123" s="161"/>
      <c r="AU123" s="161"/>
      <c r="AV123" s="162"/>
      <c r="AW123" s="137">
        <f t="shared" si="26"/>
        <v>0</v>
      </c>
      <c r="AX123" s="137">
        <f t="shared" si="27"/>
        <v>0</v>
      </c>
    </row>
    <row r="124" ht="46.5" customHeight="1" spans="1:50" s="97" customFormat="1" x14ac:dyDescent="0.25">
      <c r="A124" s="100"/>
      <c r="B124" s="100"/>
      <c r="C124" s="100"/>
      <c r="D124" s="100"/>
      <c r="E124" s="100"/>
      <c r="F124" s="100"/>
      <c r="G124" s="103"/>
      <c r="H124" s="186"/>
      <c r="I124" s="195">
        <v>0.51</v>
      </c>
      <c r="J124" s="107">
        <v>0.49</v>
      </c>
      <c r="K124" s="107"/>
      <c r="L124" s="107"/>
      <c r="M124" s="187"/>
      <c r="N124" s="169">
        <f t="shared" si="29"/>
        <v>1</v>
      </c>
      <c r="O124" s="144">
        <v>1</v>
      </c>
      <c r="P124" s="145">
        <v>15</v>
      </c>
      <c r="Q124" s="113">
        <v>15</v>
      </c>
      <c r="R124" s="113"/>
      <c r="S124" s="113"/>
      <c r="T124" s="146"/>
      <c r="U124" s="148">
        <f t="shared" si="17"/>
        <v>15</v>
      </c>
      <c r="V124" s="149">
        <f t="shared" si="18"/>
        <v>15</v>
      </c>
      <c r="W124" s="189"/>
      <c r="X124" s="199"/>
      <c r="Y124" s="151"/>
      <c r="Z124" s="190"/>
      <c r="AA124" s="153"/>
      <c r="AB124" s="154">
        <f t="shared" si="19"/>
        <v>0</v>
      </c>
      <c r="AC124" s="149">
        <f t="shared" si="20"/>
        <v>0</v>
      </c>
      <c r="AD124" s="125">
        <v>2</v>
      </c>
      <c r="AE124" s="148">
        <f t="shared" si="21"/>
        <v>2</v>
      </c>
      <c r="AF124" s="156"/>
      <c r="AG124" s="156"/>
      <c r="AH124" s="113">
        <f t="shared" si="22"/>
        <v>17</v>
      </c>
      <c r="AI124" s="157">
        <v>65</v>
      </c>
      <c r="AJ124" s="113">
        <f t="shared" si="23"/>
        <v>82</v>
      </c>
      <c r="AK124" s="113">
        <f t="shared" si="24"/>
        <v>82</v>
      </c>
      <c r="AL124" s="158">
        <f t="shared" si="25"/>
        <v>1.02</v>
      </c>
      <c r="AM124" s="159"/>
      <c r="AN124" s="160">
        <f t="shared" si="30"/>
        <v>1</v>
      </c>
      <c r="AO124" s="160">
        <f t="shared" si="30"/>
        <v>2</v>
      </c>
      <c r="AP124" s="133"/>
      <c r="AQ124" s="134"/>
      <c r="AR124" s="161"/>
      <c r="AS124" s="161"/>
      <c r="AT124" s="161"/>
      <c r="AU124" s="161"/>
      <c r="AV124" s="162"/>
      <c r="AW124" s="137">
        <f t="shared" si="26"/>
        <v>0</v>
      </c>
      <c r="AX124" s="137">
        <f t="shared" si="27"/>
        <v>0</v>
      </c>
    </row>
    <row r="125" ht="47.25" customHeight="1" spans="1:50" s="56" customFormat="1" x14ac:dyDescent="0.25">
      <c r="A125" s="100"/>
      <c r="B125" s="100"/>
      <c r="C125" s="100"/>
      <c r="D125" s="100"/>
      <c r="E125" s="100"/>
      <c r="F125" s="100"/>
      <c r="G125" s="103"/>
      <c r="H125" s="186"/>
      <c r="I125" s="195">
        <v>0.51</v>
      </c>
      <c r="J125" s="107">
        <v>0.49</v>
      </c>
      <c r="K125" s="107"/>
      <c r="L125" s="107"/>
      <c r="M125" s="187"/>
      <c r="N125" s="169">
        <f t="shared" si="29"/>
        <v>1</v>
      </c>
      <c r="O125" s="144">
        <v>1</v>
      </c>
      <c r="P125" s="145">
        <v>15</v>
      </c>
      <c r="Q125" s="113">
        <v>15</v>
      </c>
      <c r="R125" s="113"/>
      <c r="S125" s="113"/>
      <c r="T125" s="146"/>
      <c r="U125" s="148">
        <f t="shared" si="17"/>
        <v>15</v>
      </c>
      <c r="V125" s="149">
        <f t="shared" si="18"/>
        <v>15</v>
      </c>
      <c r="W125" s="189"/>
      <c r="X125" s="199"/>
      <c r="Y125" s="151"/>
      <c r="Z125" s="190"/>
      <c r="AA125" s="153"/>
      <c r="AB125" s="154">
        <f t="shared" si="19"/>
        <v>0</v>
      </c>
      <c r="AC125" s="149">
        <f t="shared" si="20"/>
        <v>0</v>
      </c>
      <c r="AD125" s="125">
        <v>2</v>
      </c>
      <c r="AE125" s="148">
        <f t="shared" si="21"/>
        <v>2</v>
      </c>
      <c r="AF125" s="156"/>
      <c r="AG125" s="156"/>
      <c r="AH125" s="113">
        <f t="shared" si="22"/>
        <v>17</v>
      </c>
      <c r="AI125" s="157">
        <v>65</v>
      </c>
      <c r="AJ125" s="113">
        <f t="shared" si="23"/>
        <v>82</v>
      </c>
      <c r="AK125" s="113">
        <f t="shared" si="24"/>
        <v>82</v>
      </c>
      <c r="AL125" s="158">
        <f t="shared" si="25"/>
        <v>1.02</v>
      </c>
      <c r="AM125" s="159"/>
      <c r="AN125" s="160">
        <f t="shared" si="30"/>
        <v>1</v>
      </c>
      <c r="AO125" s="160">
        <f t="shared" si="30"/>
        <v>2</v>
      </c>
      <c r="AP125" s="133"/>
      <c r="AQ125" s="134"/>
      <c r="AR125" s="161"/>
      <c r="AS125" s="161"/>
      <c r="AT125" s="161"/>
      <c r="AU125" s="161"/>
      <c r="AV125" s="162"/>
      <c r="AW125" s="137">
        <f t="shared" si="26"/>
        <v>0</v>
      </c>
      <c r="AX125" s="137">
        <f t="shared" si="27"/>
        <v>0</v>
      </c>
    </row>
    <row r="126" ht="47.25" customHeight="1" spans="1:50" s="97" customFormat="1" x14ac:dyDescent="0.25">
      <c r="A126" s="100"/>
      <c r="B126" s="100"/>
      <c r="C126" s="100"/>
      <c r="D126" s="100"/>
      <c r="E126" s="100"/>
      <c r="F126" s="100"/>
      <c r="G126" s="103"/>
      <c r="H126" s="186"/>
      <c r="I126" s="195">
        <v>0.51</v>
      </c>
      <c r="J126" s="107">
        <v>0.49</v>
      </c>
      <c r="K126" s="107"/>
      <c r="L126" s="107"/>
      <c r="M126" s="187"/>
      <c r="N126" s="169">
        <f t="shared" si="29"/>
        <v>1</v>
      </c>
      <c r="O126" s="144">
        <v>1</v>
      </c>
      <c r="P126" s="145">
        <v>15</v>
      </c>
      <c r="Q126" s="113">
        <v>15</v>
      </c>
      <c r="R126" s="113"/>
      <c r="S126" s="113"/>
      <c r="T126" s="146"/>
      <c r="U126" s="148">
        <f t="shared" si="17"/>
        <v>15</v>
      </c>
      <c r="V126" s="149">
        <f t="shared" si="18"/>
        <v>15</v>
      </c>
      <c r="W126" s="189"/>
      <c r="X126" s="199"/>
      <c r="Y126" s="151"/>
      <c r="Z126" s="190"/>
      <c r="AA126" s="153"/>
      <c r="AB126" s="154">
        <f t="shared" si="19"/>
        <v>0</v>
      </c>
      <c r="AC126" s="149">
        <f t="shared" si="20"/>
        <v>0</v>
      </c>
      <c r="AD126" s="125">
        <v>2</v>
      </c>
      <c r="AE126" s="148">
        <f t="shared" si="21"/>
        <v>2</v>
      </c>
      <c r="AF126" s="156"/>
      <c r="AG126" s="156"/>
      <c r="AH126" s="113">
        <f t="shared" si="22"/>
        <v>17</v>
      </c>
      <c r="AI126" s="157">
        <v>65</v>
      </c>
      <c r="AJ126" s="113">
        <f t="shared" si="23"/>
        <v>82</v>
      </c>
      <c r="AK126" s="113">
        <f t="shared" si="24"/>
        <v>82</v>
      </c>
      <c r="AL126" s="158">
        <f t="shared" si="25"/>
        <v>1.02</v>
      </c>
      <c r="AM126" s="159"/>
      <c r="AN126" s="160">
        <f t="shared" si="30"/>
        <v>1</v>
      </c>
      <c r="AO126" s="160">
        <f t="shared" si="30"/>
        <v>2</v>
      </c>
      <c r="AP126" s="133"/>
      <c r="AQ126" s="134"/>
      <c r="AR126" s="161"/>
      <c r="AS126" s="161"/>
      <c r="AT126" s="161"/>
      <c r="AU126" s="161"/>
      <c r="AV126" s="162"/>
      <c r="AW126" s="137">
        <f t="shared" si="26"/>
        <v>0</v>
      </c>
      <c r="AX126" s="137">
        <f t="shared" si="27"/>
        <v>0</v>
      </c>
    </row>
    <row r="127" ht="47.25" customHeight="1" spans="1:50" s="97" customFormat="1" x14ac:dyDescent="0.25">
      <c r="A127" s="100"/>
      <c r="B127" s="100"/>
      <c r="C127" s="100"/>
      <c r="D127" s="100"/>
      <c r="E127" s="100"/>
      <c r="F127" s="100"/>
      <c r="G127" s="103"/>
      <c r="H127" s="186"/>
      <c r="I127" s="195">
        <v>0.51</v>
      </c>
      <c r="J127" s="107">
        <v>0.49</v>
      </c>
      <c r="K127" s="107"/>
      <c r="L127" s="107"/>
      <c r="M127" s="187"/>
      <c r="N127" s="169">
        <f t="shared" si="29"/>
        <v>1</v>
      </c>
      <c r="O127" s="144">
        <v>1</v>
      </c>
      <c r="P127" s="145">
        <v>15</v>
      </c>
      <c r="Q127" s="113">
        <v>15</v>
      </c>
      <c r="R127" s="113"/>
      <c r="S127" s="113"/>
      <c r="T127" s="146"/>
      <c r="U127" s="148">
        <f t="shared" si="17"/>
        <v>15</v>
      </c>
      <c r="V127" s="149">
        <f t="shared" si="18"/>
        <v>15</v>
      </c>
      <c r="W127" s="189"/>
      <c r="X127" s="199"/>
      <c r="Y127" s="151"/>
      <c r="Z127" s="190"/>
      <c r="AA127" s="153"/>
      <c r="AB127" s="154">
        <f t="shared" si="19"/>
        <v>0</v>
      </c>
      <c r="AC127" s="149">
        <f t="shared" si="20"/>
        <v>0</v>
      </c>
      <c r="AD127" s="125">
        <v>2</v>
      </c>
      <c r="AE127" s="148">
        <f t="shared" si="21"/>
        <v>2</v>
      </c>
      <c r="AF127" s="156"/>
      <c r="AG127" s="156"/>
      <c r="AH127" s="113">
        <f t="shared" si="22"/>
        <v>17</v>
      </c>
      <c r="AI127" s="157">
        <v>65</v>
      </c>
      <c r="AJ127" s="113">
        <f t="shared" si="23"/>
        <v>82</v>
      </c>
      <c r="AK127" s="113">
        <f t="shared" si="24"/>
        <v>82</v>
      </c>
      <c r="AL127" s="158">
        <f t="shared" si="25"/>
        <v>1.02</v>
      </c>
      <c r="AM127" s="159"/>
      <c r="AN127" s="160">
        <f t="shared" si="30"/>
        <v>1</v>
      </c>
      <c r="AO127" s="160">
        <f t="shared" si="30"/>
        <v>2</v>
      </c>
      <c r="AP127" s="133"/>
      <c r="AQ127" s="134"/>
      <c r="AR127" s="161"/>
      <c r="AS127" s="161"/>
      <c r="AT127" s="161"/>
      <c r="AU127" s="161"/>
      <c r="AV127" s="162"/>
      <c r="AW127" s="137">
        <f t="shared" si="26"/>
        <v>0</v>
      </c>
      <c r="AX127" s="137">
        <f t="shared" si="27"/>
        <v>0</v>
      </c>
    </row>
    <row r="128" ht="46.5" customHeight="1" spans="1:50" s="97" customFormat="1" x14ac:dyDescent="0.25">
      <c r="A128" s="100"/>
      <c r="B128" s="100"/>
      <c r="C128" s="100"/>
      <c r="D128" s="100"/>
      <c r="E128" s="100"/>
      <c r="F128" s="100"/>
      <c r="G128" s="103"/>
      <c r="H128" s="186"/>
      <c r="I128" s="195">
        <v>0.51</v>
      </c>
      <c r="J128" s="107">
        <v>0.49</v>
      </c>
      <c r="K128" s="107"/>
      <c r="L128" s="107"/>
      <c r="M128" s="187"/>
      <c r="N128" s="169">
        <f t="shared" si="29"/>
        <v>1</v>
      </c>
      <c r="O128" s="144">
        <v>1</v>
      </c>
      <c r="P128" s="145">
        <v>15</v>
      </c>
      <c r="Q128" s="113">
        <v>15</v>
      </c>
      <c r="R128" s="113"/>
      <c r="S128" s="113"/>
      <c r="T128" s="146"/>
      <c r="U128" s="148">
        <f t="shared" si="17"/>
        <v>15</v>
      </c>
      <c r="V128" s="149">
        <f t="shared" si="18"/>
        <v>15</v>
      </c>
      <c r="W128" s="189"/>
      <c r="X128" s="199"/>
      <c r="Y128" s="151"/>
      <c r="Z128" s="190"/>
      <c r="AA128" s="153"/>
      <c r="AB128" s="154">
        <f t="shared" si="19"/>
        <v>0</v>
      </c>
      <c r="AC128" s="149">
        <f t="shared" si="20"/>
        <v>0</v>
      </c>
      <c r="AD128" s="125">
        <v>2</v>
      </c>
      <c r="AE128" s="148">
        <f t="shared" si="21"/>
        <v>2</v>
      </c>
      <c r="AF128" s="156"/>
      <c r="AG128" s="156"/>
      <c r="AH128" s="113">
        <f t="shared" si="22"/>
        <v>17</v>
      </c>
      <c r="AI128" s="157">
        <v>65</v>
      </c>
      <c r="AJ128" s="113">
        <f t="shared" si="23"/>
        <v>82</v>
      </c>
      <c r="AK128" s="113">
        <f t="shared" si="24"/>
        <v>82</v>
      </c>
      <c r="AL128" s="158">
        <f t="shared" si="25"/>
        <v>1.02</v>
      </c>
      <c r="AM128" s="159"/>
      <c r="AN128" s="160">
        <f t="shared" si="30"/>
        <v>1</v>
      </c>
      <c r="AO128" s="160">
        <f t="shared" si="30"/>
        <v>2</v>
      </c>
      <c r="AP128" s="133"/>
      <c r="AQ128" s="134"/>
      <c r="AR128" s="161"/>
      <c r="AS128" s="161"/>
      <c r="AT128" s="161"/>
      <c r="AU128" s="161"/>
      <c r="AV128" s="162"/>
      <c r="AW128" s="137">
        <f t="shared" si="26"/>
        <v>0</v>
      </c>
      <c r="AX128" s="137">
        <f t="shared" si="27"/>
        <v>0</v>
      </c>
    </row>
    <row r="129" ht="46.5" customHeight="1" spans="1:50" s="97" customFormat="1" x14ac:dyDescent="0.25">
      <c r="A129" s="100"/>
      <c r="B129" s="100"/>
      <c r="C129" s="100"/>
      <c r="D129" s="100"/>
      <c r="E129" s="100"/>
      <c r="F129" s="100"/>
      <c r="G129" s="103"/>
      <c r="H129" s="186"/>
      <c r="I129" s="195">
        <v>0.51</v>
      </c>
      <c r="J129" s="107">
        <v>0.49</v>
      </c>
      <c r="K129" s="107"/>
      <c r="L129" s="107"/>
      <c r="M129" s="187"/>
      <c r="N129" s="169">
        <f t="shared" si="29"/>
        <v>1</v>
      </c>
      <c r="O129" s="144">
        <v>1</v>
      </c>
      <c r="P129" s="145">
        <v>15</v>
      </c>
      <c r="Q129" s="113">
        <v>15</v>
      </c>
      <c r="R129" s="113"/>
      <c r="S129" s="113"/>
      <c r="T129" s="146"/>
      <c r="U129" s="148">
        <f t="shared" si="17"/>
        <v>15</v>
      </c>
      <c r="V129" s="149">
        <f t="shared" si="18"/>
        <v>15</v>
      </c>
      <c r="W129" s="189"/>
      <c r="X129" s="199"/>
      <c r="Y129" s="151"/>
      <c r="Z129" s="190"/>
      <c r="AA129" s="153"/>
      <c r="AB129" s="154">
        <f t="shared" si="19"/>
        <v>0</v>
      </c>
      <c r="AC129" s="149">
        <f t="shared" si="20"/>
        <v>0</v>
      </c>
      <c r="AD129" s="125">
        <v>2</v>
      </c>
      <c r="AE129" s="148">
        <f t="shared" si="21"/>
        <v>2</v>
      </c>
      <c r="AF129" s="156"/>
      <c r="AG129" s="156"/>
      <c r="AH129" s="113">
        <f t="shared" si="22"/>
        <v>17</v>
      </c>
      <c r="AI129" s="157">
        <v>65</v>
      </c>
      <c r="AJ129" s="113">
        <f t="shared" si="23"/>
        <v>82</v>
      </c>
      <c r="AK129" s="113">
        <f t="shared" si="24"/>
        <v>82</v>
      </c>
      <c r="AL129" s="158">
        <f t="shared" si="25"/>
        <v>1.02</v>
      </c>
      <c r="AM129" s="159"/>
      <c r="AN129" s="160">
        <f t="shared" si="30"/>
        <v>1</v>
      </c>
      <c r="AO129" s="160">
        <f t="shared" si="30"/>
        <v>2</v>
      </c>
      <c r="AP129" s="133"/>
      <c r="AQ129" s="134"/>
      <c r="AR129" s="161"/>
      <c r="AS129" s="161"/>
      <c r="AT129" s="161"/>
      <c r="AU129" s="161"/>
      <c r="AV129" s="162"/>
      <c r="AW129" s="137">
        <f t="shared" si="26"/>
        <v>0</v>
      </c>
      <c r="AX129" s="137">
        <f t="shared" si="27"/>
        <v>0</v>
      </c>
    </row>
    <row r="130" ht="47.25" customHeight="1" spans="1:50" s="56" customFormat="1" x14ac:dyDescent="0.25">
      <c r="A130" s="100"/>
      <c r="B130" s="100"/>
      <c r="C130" s="100"/>
      <c r="D130" s="100"/>
      <c r="E130" s="100"/>
      <c r="F130" s="100"/>
      <c r="G130" s="103"/>
      <c r="H130" s="186"/>
      <c r="I130" s="195">
        <v>0.51</v>
      </c>
      <c r="J130" s="107">
        <v>0.49</v>
      </c>
      <c r="K130" s="107"/>
      <c r="L130" s="107"/>
      <c r="M130" s="187"/>
      <c r="N130" s="169">
        <f t="shared" si="29"/>
        <v>1</v>
      </c>
      <c r="O130" s="144">
        <v>1</v>
      </c>
      <c r="P130" s="145">
        <v>15</v>
      </c>
      <c r="Q130" s="113">
        <v>15</v>
      </c>
      <c r="R130" s="113"/>
      <c r="S130" s="113"/>
      <c r="T130" s="146"/>
      <c r="U130" s="148">
        <f t="shared" si="17"/>
        <v>15</v>
      </c>
      <c r="V130" s="149">
        <f t="shared" si="18"/>
        <v>15</v>
      </c>
      <c r="W130" s="189"/>
      <c r="X130" s="199"/>
      <c r="Y130" s="151"/>
      <c r="Z130" s="190"/>
      <c r="AA130" s="153"/>
      <c r="AB130" s="154">
        <f t="shared" si="19"/>
        <v>0</v>
      </c>
      <c r="AC130" s="149">
        <f t="shared" si="20"/>
        <v>0</v>
      </c>
      <c r="AD130" s="125">
        <v>2</v>
      </c>
      <c r="AE130" s="148">
        <f t="shared" si="21"/>
        <v>2</v>
      </c>
      <c r="AF130" s="156"/>
      <c r="AG130" s="156"/>
      <c r="AH130" s="113">
        <f t="shared" si="22"/>
        <v>17</v>
      </c>
      <c r="AI130" s="157">
        <v>65</v>
      </c>
      <c r="AJ130" s="113">
        <f t="shared" si="23"/>
        <v>82</v>
      </c>
      <c r="AK130" s="113">
        <f t="shared" si="24"/>
        <v>82</v>
      </c>
      <c r="AL130" s="158">
        <f t="shared" si="25"/>
        <v>1.02</v>
      </c>
      <c r="AM130" s="159"/>
      <c r="AN130" s="160">
        <f t="shared" si="30"/>
        <v>1</v>
      </c>
      <c r="AO130" s="160">
        <f t="shared" si="30"/>
        <v>2</v>
      </c>
      <c r="AP130" s="133"/>
      <c r="AQ130" s="134"/>
      <c r="AR130" s="161"/>
      <c r="AS130" s="161"/>
      <c r="AT130" s="161"/>
      <c r="AU130" s="161"/>
      <c r="AV130" s="162"/>
      <c r="AW130" s="137">
        <f t="shared" si="26"/>
        <v>0</v>
      </c>
      <c r="AX130" s="137">
        <f t="shared" si="27"/>
        <v>0</v>
      </c>
    </row>
    <row r="131" ht="46.5" customHeight="1" spans="1:50" s="97" customFormat="1" x14ac:dyDescent="0.25">
      <c r="A131" s="100"/>
      <c r="B131" s="100"/>
      <c r="C131" s="100"/>
      <c r="D131" s="100"/>
      <c r="E131" s="100"/>
      <c r="F131" s="100"/>
      <c r="G131" s="103"/>
      <c r="H131" s="186"/>
      <c r="I131" s="195">
        <v>0.51</v>
      </c>
      <c r="J131" s="107">
        <v>0.49</v>
      </c>
      <c r="K131" s="107"/>
      <c r="L131" s="107"/>
      <c r="M131" s="187"/>
      <c r="N131" s="169">
        <f t="shared" si="29"/>
        <v>1</v>
      </c>
      <c r="O131" s="144">
        <v>1</v>
      </c>
      <c r="P131" s="145">
        <v>15</v>
      </c>
      <c r="Q131" s="113">
        <v>15</v>
      </c>
      <c r="R131" s="113"/>
      <c r="S131" s="113"/>
      <c r="T131" s="146"/>
      <c r="U131" s="148">
        <f t="shared" si="17"/>
        <v>15</v>
      </c>
      <c r="V131" s="149">
        <f t="shared" si="18"/>
        <v>15</v>
      </c>
      <c r="W131" s="189"/>
      <c r="X131" s="199"/>
      <c r="Y131" s="151"/>
      <c r="Z131" s="190"/>
      <c r="AA131" s="153"/>
      <c r="AB131" s="154">
        <f t="shared" si="19"/>
        <v>0</v>
      </c>
      <c r="AC131" s="149">
        <f t="shared" si="20"/>
        <v>0</v>
      </c>
      <c r="AD131" s="125">
        <v>2</v>
      </c>
      <c r="AE131" s="148">
        <f t="shared" si="21"/>
        <v>2</v>
      </c>
      <c r="AF131" s="156"/>
      <c r="AG131" s="156"/>
      <c r="AH131" s="113">
        <f t="shared" si="22"/>
        <v>17</v>
      </c>
      <c r="AI131" s="157">
        <v>65</v>
      </c>
      <c r="AJ131" s="113">
        <f t="shared" si="23"/>
        <v>82</v>
      </c>
      <c r="AK131" s="113">
        <f t="shared" si="24"/>
        <v>82</v>
      </c>
      <c r="AL131" s="158">
        <f t="shared" si="25"/>
        <v>1.02</v>
      </c>
      <c r="AM131" s="159"/>
      <c r="AN131" s="160">
        <f t="shared" si="30"/>
        <v>1</v>
      </c>
      <c r="AO131" s="160">
        <f t="shared" si="30"/>
        <v>2</v>
      </c>
      <c r="AP131" s="133"/>
      <c r="AQ131" s="134"/>
      <c r="AR131" s="161"/>
      <c r="AS131" s="161"/>
      <c r="AT131" s="161"/>
      <c r="AU131" s="161"/>
      <c r="AV131" s="162"/>
      <c r="AW131" s="137">
        <f t="shared" si="26"/>
        <v>0</v>
      </c>
      <c r="AX131" s="137">
        <f t="shared" si="27"/>
        <v>0</v>
      </c>
    </row>
    <row r="132" ht="47.25" customHeight="1" spans="1:50" s="56" customFormat="1" x14ac:dyDescent="0.25">
      <c r="A132" s="100"/>
      <c r="B132" s="100"/>
      <c r="C132" s="100"/>
      <c r="D132" s="100"/>
      <c r="E132" s="100"/>
      <c r="F132" s="100"/>
      <c r="G132" s="103"/>
      <c r="H132" s="186"/>
      <c r="I132" s="195">
        <v>0.51</v>
      </c>
      <c r="J132" s="107">
        <v>0.49</v>
      </c>
      <c r="K132" s="107"/>
      <c r="L132" s="107"/>
      <c r="M132" s="187"/>
      <c r="N132" s="169">
        <f t="shared" si="29"/>
        <v>1</v>
      </c>
      <c r="O132" s="144">
        <v>1</v>
      </c>
      <c r="P132" s="145">
        <v>15</v>
      </c>
      <c r="Q132" s="113">
        <v>15</v>
      </c>
      <c r="R132" s="113"/>
      <c r="S132" s="113"/>
      <c r="T132" s="146"/>
      <c r="U132" s="148">
        <f t="shared" si="17"/>
        <v>15</v>
      </c>
      <c r="V132" s="149">
        <f t="shared" si="18"/>
        <v>15</v>
      </c>
      <c r="W132" s="189"/>
      <c r="X132" s="199"/>
      <c r="Y132" s="151"/>
      <c r="Z132" s="190"/>
      <c r="AA132" s="153"/>
      <c r="AB132" s="154">
        <f t="shared" si="19"/>
        <v>0</v>
      </c>
      <c r="AC132" s="149">
        <f t="shared" si="20"/>
        <v>0</v>
      </c>
      <c r="AD132" s="125">
        <v>2</v>
      </c>
      <c r="AE132" s="148">
        <f t="shared" si="21"/>
        <v>2</v>
      </c>
      <c r="AF132" s="156"/>
      <c r="AG132" s="156"/>
      <c r="AH132" s="113">
        <f t="shared" si="22"/>
        <v>17</v>
      </c>
      <c r="AI132" s="157">
        <v>65</v>
      </c>
      <c r="AJ132" s="113">
        <f t="shared" si="23"/>
        <v>82</v>
      </c>
      <c r="AK132" s="113">
        <f t="shared" si="24"/>
        <v>82</v>
      </c>
      <c r="AL132" s="158">
        <f t="shared" si="25"/>
        <v>1.02</v>
      </c>
      <c r="AM132" s="159"/>
      <c r="AN132" s="160">
        <f t="shared" si="30"/>
        <v>1</v>
      </c>
      <c r="AO132" s="160">
        <f t="shared" si="30"/>
        <v>2</v>
      </c>
      <c r="AP132" s="133"/>
      <c r="AQ132" s="134"/>
      <c r="AR132" s="161"/>
      <c r="AS132" s="161"/>
      <c r="AT132" s="161"/>
      <c r="AU132" s="161"/>
      <c r="AV132" s="162"/>
      <c r="AW132" s="137">
        <f t="shared" si="26"/>
        <v>0</v>
      </c>
      <c r="AX132" s="137">
        <f t="shared" si="27"/>
        <v>0</v>
      </c>
    </row>
    <row r="133" ht="46.5" customHeight="1" spans="1:50" s="97" customFormat="1" x14ac:dyDescent="0.25">
      <c r="A133" s="100"/>
      <c r="B133" s="100"/>
      <c r="C133" s="100"/>
      <c r="D133" s="100"/>
      <c r="E133" s="100"/>
      <c r="F133" s="100"/>
      <c r="G133" s="103"/>
      <c r="H133" s="186"/>
      <c r="I133" s="195">
        <v>0.51</v>
      </c>
      <c r="J133" s="107">
        <v>0.49</v>
      </c>
      <c r="K133" s="107"/>
      <c r="L133" s="107"/>
      <c r="M133" s="187"/>
      <c r="N133" s="169">
        <f t="shared" si="29"/>
        <v>1</v>
      </c>
      <c r="O133" s="144">
        <v>1</v>
      </c>
      <c r="P133" s="145">
        <v>15</v>
      </c>
      <c r="Q133" s="113">
        <v>15</v>
      </c>
      <c r="R133" s="113"/>
      <c r="S133" s="113"/>
      <c r="T133" s="146"/>
      <c r="U133" s="148">
        <f t="shared" si="17"/>
        <v>15</v>
      </c>
      <c r="V133" s="149">
        <f t="shared" si="18"/>
        <v>15</v>
      </c>
      <c r="W133" s="189"/>
      <c r="X133" s="199"/>
      <c r="Y133" s="151"/>
      <c r="Z133" s="190"/>
      <c r="AA133" s="153"/>
      <c r="AB133" s="154">
        <f t="shared" si="19"/>
        <v>0</v>
      </c>
      <c r="AC133" s="149">
        <f t="shared" si="20"/>
        <v>0</v>
      </c>
      <c r="AD133" s="125">
        <v>2</v>
      </c>
      <c r="AE133" s="148">
        <f t="shared" si="21"/>
        <v>2</v>
      </c>
      <c r="AF133" s="156"/>
      <c r="AG133" s="156"/>
      <c r="AH133" s="113">
        <f t="shared" si="22"/>
        <v>17</v>
      </c>
      <c r="AI133" s="157">
        <v>65</v>
      </c>
      <c r="AJ133" s="113">
        <f t="shared" si="23"/>
        <v>82</v>
      </c>
      <c r="AK133" s="113">
        <f t="shared" si="24"/>
        <v>82</v>
      </c>
      <c r="AL133" s="158">
        <f t="shared" si="25"/>
        <v>1.02</v>
      </c>
      <c r="AM133" s="159"/>
      <c r="AN133" s="160">
        <f t="shared" si="30"/>
        <v>1</v>
      </c>
      <c r="AO133" s="160">
        <f t="shared" si="30"/>
        <v>2</v>
      </c>
      <c r="AP133" s="133"/>
      <c r="AQ133" s="134"/>
      <c r="AR133" s="161"/>
      <c r="AS133" s="161"/>
      <c r="AT133" s="161"/>
      <c r="AU133" s="161"/>
      <c r="AV133" s="162"/>
      <c r="AW133" s="137">
        <f t="shared" si="26"/>
        <v>0</v>
      </c>
      <c r="AX133" s="137">
        <f t="shared" si="27"/>
        <v>0</v>
      </c>
    </row>
    <row r="134" ht="46.5" customHeight="1" spans="1:50" s="97" customFormat="1" x14ac:dyDescent="0.25">
      <c r="A134" s="100"/>
      <c r="B134" s="100"/>
      <c r="C134" s="100"/>
      <c r="D134" s="100"/>
      <c r="E134" s="100"/>
      <c r="F134" s="100"/>
      <c r="G134" s="103"/>
      <c r="H134" s="186"/>
      <c r="I134" s="195">
        <v>0.51</v>
      </c>
      <c r="J134" s="107">
        <v>0.49</v>
      </c>
      <c r="K134" s="107"/>
      <c r="L134" s="107"/>
      <c r="M134" s="187"/>
      <c r="N134" s="169">
        <f t="shared" si="29"/>
        <v>1</v>
      </c>
      <c r="O134" s="144">
        <v>1</v>
      </c>
      <c r="P134" s="145">
        <v>15</v>
      </c>
      <c r="Q134" s="113">
        <v>15</v>
      </c>
      <c r="R134" s="113"/>
      <c r="S134" s="113"/>
      <c r="T134" s="146"/>
      <c r="U134" s="148">
        <f t="shared" si="17"/>
        <v>15</v>
      </c>
      <c r="V134" s="149">
        <f t="shared" si="18"/>
        <v>15</v>
      </c>
      <c r="W134" s="189"/>
      <c r="X134" s="199"/>
      <c r="Y134" s="151"/>
      <c r="Z134" s="190"/>
      <c r="AA134" s="153"/>
      <c r="AB134" s="154">
        <f t="shared" si="19"/>
        <v>0</v>
      </c>
      <c r="AC134" s="149">
        <f t="shared" si="20"/>
        <v>0</v>
      </c>
      <c r="AD134" s="125">
        <v>2</v>
      </c>
      <c r="AE134" s="148">
        <f t="shared" si="21"/>
        <v>2</v>
      </c>
      <c r="AF134" s="156"/>
      <c r="AG134" s="156"/>
      <c r="AH134" s="113">
        <f t="shared" si="22"/>
        <v>17</v>
      </c>
      <c r="AI134" s="157">
        <v>65</v>
      </c>
      <c r="AJ134" s="113">
        <f t="shared" si="23"/>
        <v>82</v>
      </c>
      <c r="AK134" s="113">
        <f t="shared" si="24"/>
        <v>82</v>
      </c>
      <c r="AL134" s="158">
        <f t="shared" si="25"/>
        <v>1.02</v>
      </c>
      <c r="AM134" s="159"/>
      <c r="AN134" s="160">
        <f t="shared" si="30"/>
        <v>1</v>
      </c>
      <c r="AO134" s="160">
        <f t="shared" si="30"/>
        <v>2</v>
      </c>
      <c r="AP134" s="133"/>
      <c r="AQ134" s="134"/>
      <c r="AR134" s="161"/>
      <c r="AS134" s="161"/>
      <c r="AT134" s="161"/>
      <c r="AU134" s="161"/>
      <c r="AV134" s="162"/>
      <c r="AW134" s="137">
        <f t="shared" si="26"/>
        <v>0</v>
      </c>
      <c r="AX134" s="137">
        <f t="shared" si="27"/>
        <v>0</v>
      </c>
    </row>
    <row r="135" ht="47.25" customHeight="1" spans="1:50" s="97" customFormat="1" x14ac:dyDescent="0.25">
      <c r="A135" s="100"/>
      <c r="B135" s="100"/>
      <c r="C135" s="100"/>
      <c r="D135" s="100"/>
      <c r="E135" s="100"/>
      <c r="F135" s="100"/>
      <c r="G135" s="103"/>
      <c r="H135" s="186"/>
      <c r="I135" s="195">
        <v>0.51</v>
      </c>
      <c r="J135" s="107">
        <v>0.49</v>
      </c>
      <c r="K135" s="107"/>
      <c r="L135" s="107"/>
      <c r="M135" s="187"/>
      <c r="N135" s="169">
        <f t="shared" si="29"/>
        <v>1</v>
      </c>
      <c r="O135" s="144">
        <v>1</v>
      </c>
      <c r="P135" s="145">
        <v>15</v>
      </c>
      <c r="Q135" s="113">
        <v>15</v>
      </c>
      <c r="R135" s="113"/>
      <c r="S135" s="113"/>
      <c r="T135" s="146"/>
      <c r="U135" s="148">
        <f t="shared" si="17"/>
        <v>15</v>
      </c>
      <c r="V135" s="149">
        <f t="shared" si="18"/>
        <v>15</v>
      </c>
      <c r="W135" s="189"/>
      <c r="X135" s="199"/>
      <c r="Y135" s="151"/>
      <c r="Z135" s="190"/>
      <c r="AA135" s="153"/>
      <c r="AB135" s="154">
        <f t="shared" si="19"/>
        <v>0</v>
      </c>
      <c r="AC135" s="149">
        <f t="shared" si="20"/>
        <v>0</v>
      </c>
      <c r="AD135" s="125">
        <v>2</v>
      </c>
      <c r="AE135" s="148">
        <f t="shared" si="21"/>
        <v>2</v>
      </c>
      <c r="AF135" s="156"/>
      <c r="AG135" s="156"/>
      <c r="AH135" s="113">
        <f t="shared" si="22"/>
        <v>17</v>
      </c>
      <c r="AI135" s="157">
        <v>65</v>
      </c>
      <c r="AJ135" s="113">
        <f t="shared" si="23"/>
        <v>82</v>
      </c>
      <c r="AK135" s="113">
        <f t="shared" si="24"/>
        <v>82</v>
      </c>
      <c r="AL135" s="158">
        <f t="shared" si="25"/>
        <v>1.02</v>
      </c>
      <c r="AM135" s="159"/>
      <c r="AN135" s="160">
        <f t="shared" ref="AN135:AO140" si="31">100%+AM135</f>
        <v>1</v>
      </c>
      <c r="AO135" s="160">
        <f t="shared" si="31"/>
        <v>2</v>
      </c>
      <c r="AP135" s="133"/>
      <c r="AQ135" s="134"/>
      <c r="AR135" s="161"/>
      <c r="AS135" s="161"/>
      <c r="AT135" s="161"/>
      <c r="AU135" s="161"/>
      <c r="AV135" s="162"/>
      <c r="AW135" s="137">
        <f t="shared" si="26"/>
        <v>0</v>
      </c>
      <c r="AX135" s="137">
        <f t="shared" si="27"/>
        <v>0</v>
      </c>
    </row>
    <row r="136" ht="47.25" customHeight="1" spans="1:50" s="56" customFormat="1" x14ac:dyDescent="0.25">
      <c r="A136" s="100"/>
      <c r="B136" s="100"/>
      <c r="C136" s="100"/>
      <c r="D136" s="100"/>
      <c r="E136" s="100"/>
      <c r="F136" s="100"/>
      <c r="G136" s="103"/>
      <c r="H136" s="186"/>
      <c r="I136" s="195">
        <v>0.51</v>
      </c>
      <c r="J136" s="107">
        <v>0.49</v>
      </c>
      <c r="K136" s="107"/>
      <c r="L136" s="107"/>
      <c r="M136" s="187"/>
      <c r="N136" s="169">
        <f t="shared" si="29"/>
        <v>1</v>
      </c>
      <c r="O136" s="144">
        <v>1</v>
      </c>
      <c r="P136" s="145">
        <v>15</v>
      </c>
      <c r="Q136" s="113">
        <v>15</v>
      </c>
      <c r="R136" s="113"/>
      <c r="S136" s="113"/>
      <c r="T136" s="146"/>
      <c r="U136" s="148">
        <f t="shared" si="17"/>
        <v>15</v>
      </c>
      <c r="V136" s="149">
        <f t="shared" si="18"/>
        <v>15</v>
      </c>
      <c r="W136" s="189"/>
      <c r="X136" s="199"/>
      <c r="Y136" s="151"/>
      <c r="Z136" s="190"/>
      <c r="AA136" s="153"/>
      <c r="AB136" s="154">
        <f t="shared" si="19"/>
        <v>0</v>
      </c>
      <c r="AC136" s="149">
        <f t="shared" si="20"/>
        <v>0</v>
      </c>
      <c r="AD136" s="125">
        <v>2</v>
      </c>
      <c r="AE136" s="148">
        <f t="shared" si="21"/>
        <v>2</v>
      </c>
      <c r="AF136" s="156"/>
      <c r="AG136" s="156"/>
      <c r="AH136" s="113">
        <f t="shared" si="22"/>
        <v>17</v>
      </c>
      <c r="AI136" s="157">
        <v>65</v>
      </c>
      <c r="AJ136" s="113">
        <f t="shared" si="23"/>
        <v>82</v>
      </c>
      <c r="AK136" s="113">
        <f t="shared" si="24"/>
        <v>82</v>
      </c>
      <c r="AL136" s="158">
        <f t="shared" si="25"/>
        <v>1.02</v>
      </c>
      <c r="AM136" s="159"/>
      <c r="AN136" s="160">
        <f t="shared" si="31"/>
        <v>1</v>
      </c>
      <c r="AO136" s="160">
        <f t="shared" si="31"/>
        <v>2</v>
      </c>
      <c r="AP136" s="133"/>
      <c r="AQ136" s="134"/>
      <c r="AR136" s="161"/>
      <c r="AS136" s="161"/>
      <c r="AT136" s="161"/>
      <c r="AU136" s="161"/>
      <c r="AV136" s="162"/>
      <c r="AW136" s="137">
        <f t="shared" si="26"/>
        <v>0</v>
      </c>
      <c r="AX136" s="137">
        <f t="shared" si="27"/>
        <v>0</v>
      </c>
    </row>
    <row r="137" ht="46.5" customHeight="1" spans="1:50" s="97" customFormat="1" x14ac:dyDescent="0.25">
      <c r="A137" s="100"/>
      <c r="B137" s="100"/>
      <c r="C137" s="100"/>
      <c r="D137" s="100"/>
      <c r="E137" s="100"/>
      <c r="F137" s="100"/>
      <c r="G137" s="103"/>
      <c r="H137" s="186"/>
      <c r="I137" s="195">
        <v>0.51</v>
      </c>
      <c r="J137" s="107">
        <v>0.49</v>
      </c>
      <c r="K137" s="107"/>
      <c r="L137" s="107"/>
      <c r="M137" s="187"/>
      <c r="N137" s="169">
        <f t="shared" si="29"/>
        <v>1</v>
      </c>
      <c r="O137" s="144">
        <v>1</v>
      </c>
      <c r="P137" s="145">
        <v>15</v>
      </c>
      <c r="Q137" s="113">
        <v>15</v>
      </c>
      <c r="R137" s="113"/>
      <c r="S137" s="113"/>
      <c r="T137" s="146"/>
      <c r="U137" s="148">
        <f t="shared" si="17"/>
        <v>15</v>
      </c>
      <c r="V137" s="149">
        <f t="shared" si="18"/>
        <v>15</v>
      </c>
      <c r="W137" s="189"/>
      <c r="X137" s="199"/>
      <c r="Y137" s="151"/>
      <c r="Z137" s="190"/>
      <c r="AA137" s="153"/>
      <c r="AB137" s="154">
        <f t="shared" si="19"/>
        <v>0</v>
      </c>
      <c r="AC137" s="149">
        <f t="shared" si="20"/>
        <v>0</v>
      </c>
      <c r="AD137" s="125">
        <v>2</v>
      </c>
      <c r="AE137" s="148">
        <f t="shared" si="21"/>
        <v>2</v>
      </c>
      <c r="AF137" s="156"/>
      <c r="AG137" s="156"/>
      <c r="AH137" s="113">
        <f t="shared" si="22"/>
        <v>17</v>
      </c>
      <c r="AI137" s="157">
        <v>65</v>
      </c>
      <c r="AJ137" s="113">
        <f t="shared" si="23"/>
        <v>82</v>
      </c>
      <c r="AK137" s="113">
        <f t="shared" si="24"/>
        <v>82</v>
      </c>
      <c r="AL137" s="158">
        <f t="shared" si="25"/>
        <v>1.02</v>
      </c>
      <c r="AM137" s="159"/>
      <c r="AN137" s="160">
        <f t="shared" si="31"/>
        <v>1</v>
      </c>
      <c r="AO137" s="160">
        <f t="shared" si="31"/>
        <v>2</v>
      </c>
      <c r="AP137" s="133"/>
      <c r="AQ137" s="134"/>
      <c r="AR137" s="161"/>
      <c r="AS137" s="161"/>
      <c r="AT137" s="161"/>
      <c r="AU137" s="161"/>
      <c r="AV137" s="162"/>
      <c r="AW137" s="137">
        <f t="shared" si="26"/>
        <v>0</v>
      </c>
      <c r="AX137" s="137">
        <f t="shared" si="27"/>
        <v>0</v>
      </c>
    </row>
    <row r="138" ht="47.25" customHeight="1" spans="1:50" s="56" customFormat="1" x14ac:dyDescent="0.25">
      <c r="A138" s="100"/>
      <c r="B138" s="100"/>
      <c r="C138" s="100"/>
      <c r="D138" s="100"/>
      <c r="E138" s="100"/>
      <c r="F138" s="100"/>
      <c r="G138" s="103"/>
      <c r="H138" s="186"/>
      <c r="I138" s="195">
        <v>0.51</v>
      </c>
      <c r="J138" s="107">
        <v>0.49</v>
      </c>
      <c r="K138" s="107"/>
      <c r="L138" s="107"/>
      <c r="M138" s="187"/>
      <c r="N138" s="169">
        <f t="shared" si="29"/>
        <v>1</v>
      </c>
      <c r="O138" s="144">
        <v>1</v>
      </c>
      <c r="P138" s="145">
        <v>15</v>
      </c>
      <c r="Q138" s="113">
        <v>15</v>
      </c>
      <c r="R138" s="113"/>
      <c r="S138" s="113"/>
      <c r="T138" s="146"/>
      <c r="U138" s="148">
        <f t="shared" si="17"/>
        <v>15</v>
      </c>
      <c r="V138" s="149">
        <f t="shared" si="18"/>
        <v>15</v>
      </c>
      <c r="W138" s="189"/>
      <c r="X138" s="199"/>
      <c r="Y138" s="151"/>
      <c r="Z138" s="190"/>
      <c r="AA138" s="153"/>
      <c r="AB138" s="154">
        <f t="shared" si="19"/>
        <v>0</v>
      </c>
      <c r="AC138" s="149">
        <f t="shared" si="20"/>
        <v>0</v>
      </c>
      <c r="AD138" s="125">
        <v>2</v>
      </c>
      <c r="AE138" s="148">
        <f t="shared" si="21"/>
        <v>2</v>
      </c>
      <c r="AF138" s="156"/>
      <c r="AG138" s="156"/>
      <c r="AH138" s="113">
        <f t="shared" si="22"/>
        <v>17</v>
      </c>
      <c r="AI138" s="157">
        <v>65</v>
      </c>
      <c r="AJ138" s="113">
        <f t="shared" si="23"/>
        <v>82</v>
      </c>
      <c r="AK138" s="113">
        <f t="shared" si="24"/>
        <v>82</v>
      </c>
      <c r="AL138" s="158">
        <f t="shared" si="25"/>
        <v>1.02</v>
      </c>
      <c r="AM138" s="159"/>
      <c r="AN138" s="160">
        <f t="shared" si="31"/>
        <v>1</v>
      </c>
      <c r="AO138" s="160">
        <f t="shared" si="31"/>
        <v>2</v>
      </c>
      <c r="AP138" s="133"/>
      <c r="AQ138" s="134"/>
      <c r="AR138" s="161"/>
      <c r="AS138" s="161"/>
      <c r="AT138" s="161"/>
      <c r="AU138" s="161"/>
      <c r="AV138" s="162"/>
      <c r="AW138" s="137">
        <f t="shared" si="26"/>
        <v>0</v>
      </c>
      <c r="AX138" s="137">
        <f t="shared" si="27"/>
        <v>0</v>
      </c>
    </row>
    <row r="139" ht="47.25" customHeight="1" spans="1:50" s="97" customFormat="1" x14ac:dyDescent="0.25">
      <c r="A139" s="100"/>
      <c r="B139" s="100"/>
      <c r="C139" s="100"/>
      <c r="D139" s="100"/>
      <c r="E139" s="100"/>
      <c r="F139" s="100"/>
      <c r="G139" s="103"/>
      <c r="H139" s="186"/>
      <c r="I139" s="195">
        <v>0.51</v>
      </c>
      <c r="J139" s="107">
        <v>0.49</v>
      </c>
      <c r="K139" s="107"/>
      <c r="L139" s="107"/>
      <c r="M139" s="187"/>
      <c r="N139" s="169">
        <f t="shared" si="29"/>
        <v>1</v>
      </c>
      <c r="O139" s="144">
        <v>1</v>
      </c>
      <c r="P139" s="145">
        <v>15</v>
      </c>
      <c r="Q139" s="113">
        <v>15</v>
      </c>
      <c r="R139" s="113"/>
      <c r="S139" s="113"/>
      <c r="T139" s="146"/>
      <c r="U139" s="148">
        <f t="shared" si="17"/>
        <v>15</v>
      </c>
      <c r="V139" s="149">
        <f t="shared" si="18"/>
        <v>15</v>
      </c>
      <c r="W139" s="189"/>
      <c r="X139" s="199"/>
      <c r="Y139" s="151"/>
      <c r="Z139" s="190"/>
      <c r="AA139" s="153"/>
      <c r="AB139" s="154">
        <f t="shared" si="19"/>
        <v>0</v>
      </c>
      <c r="AC139" s="149">
        <f t="shared" si="20"/>
        <v>0</v>
      </c>
      <c r="AD139" s="125">
        <v>2</v>
      </c>
      <c r="AE139" s="148">
        <f t="shared" si="21"/>
        <v>2</v>
      </c>
      <c r="AF139" s="156"/>
      <c r="AG139" s="156"/>
      <c r="AH139" s="113">
        <f t="shared" si="22"/>
        <v>17</v>
      </c>
      <c r="AI139" s="157">
        <v>65</v>
      </c>
      <c r="AJ139" s="113">
        <f t="shared" si="23"/>
        <v>82</v>
      </c>
      <c r="AK139" s="113">
        <f t="shared" si="24"/>
        <v>82</v>
      </c>
      <c r="AL139" s="158">
        <f t="shared" si="25"/>
        <v>1.02</v>
      </c>
      <c r="AM139" s="159"/>
      <c r="AN139" s="160">
        <f t="shared" si="31"/>
        <v>1</v>
      </c>
      <c r="AO139" s="160">
        <f t="shared" si="31"/>
        <v>2</v>
      </c>
      <c r="AP139" s="133"/>
      <c r="AQ139" s="134"/>
      <c r="AR139" s="161"/>
      <c r="AS139" s="161"/>
      <c r="AT139" s="161"/>
      <c r="AU139" s="161"/>
      <c r="AV139" s="162"/>
      <c r="AW139" s="137">
        <f t="shared" si="26"/>
        <v>0</v>
      </c>
      <c r="AX139" s="137">
        <f t="shared" si="27"/>
        <v>0</v>
      </c>
    </row>
    <row r="140" ht="46.5" customHeight="1" spans="1:50" s="97" customFormat="1" x14ac:dyDescent="0.25">
      <c r="A140" s="100"/>
      <c r="B140" s="100"/>
      <c r="C140" s="100"/>
      <c r="D140" s="100"/>
      <c r="E140" s="100"/>
      <c r="F140" s="100"/>
      <c r="G140" s="103"/>
      <c r="H140" s="186"/>
      <c r="I140" s="195">
        <v>0.51</v>
      </c>
      <c r="J140" s="107">
        <v>0.49</v>
      </c>
      <c r="K140" s="107"/>
      <c r="L140" s="107"/>
      <c r="M140" s="187"/>
      <c r="N140" s="169">
        <f t="shared" si="29"/>
        <v>1</v>
      </c>
      <c r="O140" s="144">
        <v>1</v>
      </c>
      <c r="P140" s="145">
        <v>15</v>
      </c>
      <c r="Q140" s="113">
        <v>15</v>
      </c>
      <c r="R140" s="113"/>
      <c r="S140" s="113"/>
      <c r="T140" s="146"/>
      <c r="U140" s="148">
        <f t="shared" si="17"/>
        <v>15</v>
      </c>
      <c r="V140" s="149">
        <f t="shared" si="18"/>
        <v>15</v>
      </c>
      <c r="W140" s="189"/>
      <c r="X140" s="199"/>
      <c r="Y140" s="151"/>
      <c r="Z140" s="190"/>
      <c r="AA140" s="153"/>
      <c r="AB140" s="154">
        <f t="shared" si="19"/>
        <v>0</v>
      </c>
      <c r="AC140" s="149">
        <f t="shared" si="20"/>
        <v>0</v>
      </c>
      <c r="AD140" s="125">
        <v>2</v>
      </c>
      <c r="AE140" s="148">
        <f t="shared" si="21"/>
        <v>2</v>
      </c>
      <c r="AF140" s="156"/>
      <c r="AG140" s="156"/>
      <c r="AH140" s="113">
        <f t="shared" si="22"/>
        <v>17</v>
      </c>
      <c r="AI140" s="157">
        <v>65</v>
      </c>
      <c r="AJ140" s="113">
        <f t="shared" si="23"/>
        <v>82</v>
      </c>
      <c r="AK140" s="113">
        <f t="shared" si="24"/>
        <v>82</v>
      </c>
      <c r="AL140" s="158">
        <f t="shared" si="25"/>
        <v>1.02</v>
      </c>
      <c r="AM140" s="159"/>
      <c r="AN140" s="160">
        <f t="shared" si="31"/>
        <v>1</v>
      </c>
      <c r="AO140" s="160">
        <f t="shared" si="31"/>
        <v>2</v>
      </c>
      <c r="AP140" s="133"/>
      <c r="AQ140" s="134"/>
      <c r="AR140" s="161"/>
      <c r="AS140" s="161"/>
      <c r="AT140" s="161"/>
      <c r="AU140" s="161"/>
      <c r="AV140" s="162"/>
      <c r="AW140" s="137">
        <f t="shared" si="26"/>
        <v>0</v>
      </c>
      <c r="AX140" s="137">
        <f t="shared" si="27"/>
        <v>0</v>
      </c>
    </row>
  </sheetData>
  <mergeCells count="48">
    <mergeCell ref="D1:E1"/>
    <mergeCell ref="F1:G1"/>
    <mergeCell ref="I1:J1"/>
    <mergeCell ref="Y1:Z1"/>
    <mergeCell ref="AA1:AC1"/>
    <mergeCell ref="AD1:AE1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AG2:AH2"/>
    <mergeCell ref="AI2:AK2"/>
    <mergeCell ref="AS2:AT2"/>
    <mergeCell ref="C3:H3"/>
    <mergeCell ref="I3:M3"/>
    <mergeCell ref="P3:U3"/>
    <mergeCell ref="W3:AE3"/>
    <mergeCell ref="A3:A4"/>
    <mergeCell ref="B3:B4"/>
    <mergeCell ref="N3:N4"/>
    <mergeCell ref="O3:O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6:H6"/>
    <mergeCell ref="A8:H8"/>
    <mergeCell ref="A10:H10"/>
    <mergeCell ref="A12:H12"/>
    <mergeCell ref="A14:H14"/>
    <mergeCell ref="A16:H16"/>
    <mergeCell ref="A18:H18"/>
    <mergeCell ref="A20:H20"/>
  </mergeCells>
  <pageMargins left="0.7" right="0.7" top="0.75" bottom="0.75" header="0.3" footer="0.3"/>
  <pageSetup paperSize="9" orientation="portrait" horizontalDpi="4294967295" verticalDpi="4294967295" scale="40" fitToWidth="1" fitToHeight="1" firstPageNumber="1" useFirstPageNumber="1" copies="1"/>
</worksheet>
</file>

<file path=xl/worksheets/sheet8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42"/>
  <sheetViews>
    <sheetView workbookViewId="0" zoomScale="80" zoomScaleNormal="80">
      <selection activeCell="J16" sqref="J16"/>
    </sheetView>
  </sheetViews>
  <sheetFormatPr defaultRowHeight="13.5" outlineLevelRow="0" outlineLevelCol="0" x14ac:dyDescent="0.15" defaultColWidth="8.88671875" customHeight="1"/>
  <cols>
    <col min="1" max="1" width="5.33203125" style="1" customWidth="1"/>
    <col min="2" max="2" width="5.109375" style="2" customWidth="1"/>
    <col min="3" max="3" width="8.33203125" style="3" customWidth="1"/>
    <col min="4" max="7" width="8.33203125" style="1" customWidth="1"/>
    <col min="8" max="13" width="8.109375" style="1" customWidth="1"/>
    <col min="14" max="14" width="8.33203125" style="1" customWidth="1"/>
    <col min="15" max="15" width="5.88671875" style="1" customWidth="1"/>
    <col min="16" max="21" width="7.5546875" style="1" customWidth="1"/>
    <col min="22" max="22" width="7.6640625" style="4" hidden="1" customWidth="1"/>
    <col min="23" max="27" width="8.33203125" style="1" customWidth="1"/>
    <col min="28" max="28" width="7.6640625" style="1" customWidth="1"/>
    <col min="29" max="29" width="7.6640625" style="4" hidden="1" customWidth="1"/>
    <col min="30" max="31" width="7.6640625" style="4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 customWidth="1"/>
    <col min="49" max="50" width="15.109375" style="1" customWidth="1"/>
    <col min="51" max="16384" width="8.88671875" style="1" customWidth="1"/>
  </cols>
  <sheetData>
    <row r="1" ht="32.25" customHeight="1" spans="3:42" x14ac:dyDescent="0.25">
      <c r="C1" s="5" t="s">
        <v>0</v>
      </c>
      <c r="D1" s="6">
        <v>1492460000</v>
      </c>
      <c r="E1" s="7"/>
      <c r="F1" s="6"/>
      <c r="G1" s="7"/>
      <c r="H1" s="8" t="s">
        <v>1</v>
      </c>
      <c r="I1" s="9">
        <v>3175832000</v>
      </c>
      <c r="J1" s="9"/>
      <c r="K1" s="10" t="s">
        <v>83</v>
      </c>
      <c r="L1" s="11"/>
      <c r="M1" s="11"/>
      <c r="N1" s="12"/>
      <c r="O1" s="12"/>
      <c r="P1" s="12"/>
      <c r="Q1" s="12"/>
      <c r="R1" s="12"/>
      <c r="S1" s="12"/>
      <c r="T1" s="12"/>
      <c r="U1" s="12"/>
      <c r="V1" s="12"/>
      <c r="W1" s="12"/>
      <c r="X1" s="13"/>
      <c r="Y1" s="14" t="s">
        <v>3</v>
      </c>
      <c r="Z1" s="14"/>
      <c r="AA1" s="15" t="s">
        <v>4</v>
      </c>
      <c r="AB1" s="16"/>
      <c r="AC1" s="17"/>
      <c r="AD1" s="18" t="s">
        <v>5</v>
      </c>
      <c r="AE1" s="19"/>
      <c r="AF1" s="20"/>
      <c r="AG1" s="21" t="s">
        <v>6</v>
      </c>
      <c r="AH1" s="22"/>
      <c r="AI1" s="23">
        <v>1492460000</v>
      </c>
      <c r="AJ1" s="24"/>
      <c r="AK1" s="24"/>
      <c r="AL1" s="25" t="s">
        <v>7</v>
      </c>
      <c r="AM1" s="26"/>
      <c r="AN1" s="26"/>
      <c r="AO1" s="26"/>
      <c r="AP1" s="12"/>
    </row>
    <row r="2" ht="29.25" customHeight="1" spans="1:49" s="27" customFormat="1" x14ac:dyDescent="0.25">
      <c r="A2" s="20"/>
      <c r="B2" s="28"/>
      <c r="C2" s="29" t="s">
        <v>8</v>
      </c>
      <c r="D2" s="30">
        <v>1641706000</v>
      </c>
      <c r="E2" s="31"/>
      <c r="F2" s="32"/>
      <c r="G2" s="33"/>
      <c r="H2" s="5" t="s">
        <v>9</v>
      </c>
      <c r="I2" s="34">
        <f>D2*1</f>
        <v>1641706000</v>
      </c>
      <c r="J2" s="32"/>
      <c r="K2" s="35" t="s">
        <v>10</v>
      </c>
      <c r="L2" s="36" t="s">
        <v>11</v>
      </c>
      <c r="M2" s="37">
        <v>45904.625</v>
      </c>
      <c r="N2" s="37"/>
      <c r="O2" s="37"/>
      <c r="P2" s="37"/>
      <c r="Q2" s="38" t="s">
        <v>84</v>
      </c>
      <c r="R2" s="38"/>
      <c r="S2" s="38"/>
      <c r="T2" s="39"/>
      <c r="U2" s="40"/>
      <c r="V2" s="40"/>
      <c r="W2" s="41"/>
      <c r="X2" s="42"/>
      <c r="Y2" s="202">
        <v>2498290000</v>
      </c>
      <c r="Z2" s="202"/>
      <c r="AA2" s="44">
        <f>I1</f>
        <v>3175832000</v>
      </c>
      <c r="AB2" s="45"/>
      <c r="AC2" s="46"/>
      <c r="AD2" s="47">
        <f>TRUNC(Y2/AA2,4)</f>
        <v>0.7866</v>
      </c>
      <c r="AE2" s="48"/>
      <c r="AF2" s="49"/>
      <c r="AG2" s="21" t="s">
        <v>13</v>
      </c>
      <c r="AH2" s="22"/>
      <c r="AI2" s="23"/>
      <c r="AJ2" s="24"/>
      <c r="AK2" s="24"/>
      <c r="AL2" s="50"/>
      <c r="AM2" s="50"/>
      <c r="AN2" s="51" t="s">
        <v>14</v>
      </c>
      <c r="AP2" s="1"/>
      <c r="AQ2" s="1"/>
      <c r="AR2" s="52" t="s">
        <v>15</v>
      </c>
      <c r="AS2" s="53">
        <f>AI1</f>
        <v>1492460000</v>
      </c>
      <c r="AT2" s="54"/>
      <c r="AW2" s="55"/>
    </row>
    <row r="3" ht="24.95" customHeight="1" spans="1:50" s="56" customFormat="1" x14ac:dyDescent="0.25">
      <c r="A3" s="57" t="s">
        <v>16</v>
      </c>
      <c r="B3" s="58" t="s">
        <v>17</v>
      </c>
      <c r="C3" s="59" t="s">
        <v>18</v>
      </c>
      <c r="D3" s="60"/>
      <c r="E3" s="60"/>
      <c r="F3" s="60"/>
      <c r="G3" s="60"/>
      <c r="H3" s="61"/>
      <c r="I3" s="59" t="s">
        <v>19</v>
      </c>
      <c r="J3" s="60"/>
      <c r="K3" s="60"/>
      <c r="L3" s="60"/>
      <c r="M3" s="61"/>
      <c r="N3" s="62" t="s">
        <v>20</v>
      </c>
      <c r="O3" s="63" t="s">
        <v>21</v>
      </c>
      <c r="P3" s="59" t="s">
        <v>22</v>
      </c>
      <c r="Q3" s="60"/>
      <c r="R3" s="64"/>
      <c r="S3" s="64"/>
      <c r="T3" s="60"/>
      <c r="U3" s="61"/>
      <c r="V3" s="65"/>
      <c r="W3" s="59" t="s">
        <v>23</v>
      </c>
      <c r="X3" s="60"/>
      <c r="Y3" s="60"/>
      <c r="Z3" s="60"/>
      <c r="AA3" s="60"/>
      <c r="AB3" s="60"/>
      <c r="AC3" s="60"/>
      <c r="AD3" s="60"/>
      <c r="AE3" s="61"/>
      <c r="AF3" s="60"/>
      <c r="AG3" s="60"/>
      <c r="AH3" s="60"/>
      <c r="AI3" s="60"/>
      <c r="AJ3" s="60"/>
      <c r="AK3" s="61"/>
      <c r="AL3" s="66" t="s">
        <v>24</v>
      </c>
      <c r="AM3" s="67" t="s">
        <v>25</v>
      </c>
      <c r="AN3" s="68" t="s">
        <v>26</v>
      </c>
      <c r="AO3" s="69" t="s">
        <v>27</v>
      </c>
      <c r="AP3" s="70" t="s">
        <v>28</v>
      </c>
      <c r="AQ3" s="65" t="s">
        <v>29</v>
      </c>
      <c r="AR3" s="67" t="s">
        <v>30</v>
      </c>
      <c r="AS3" s="65" t="s">
        <v>31</v>
      </c>
      <c r="AT3" s="65" t="s">
        <v>32</v>
      </c>
      <c r="AU3" s="65" t="s">
        <v>33</v>
      </c>
      <c r="AV3" s="71" t="s">
        <v>34</v>
      </c>
      <c r="AW3" s="65" t="s">
        <v>35</v>
      </c>
      <c r="AX3" s="65" t="s">
        <v>36</v>
      </c>
    </row>
    <row r="4" ht="39.75" customHeight="1" spans="1:50" s="56" customFormat="1" x14ac:dyDescent="0.25">
      <c r="A4" s="72"/>
      <c r="B4" s="73"/>
      <c r="C4" s="74" t="s">
        <v>37</v>
      </c>
      <c r="D4" s="75" t="s">
        <v>38</v>
      </c>
      <c r="E4" s="76" t="s">
        <v>39</v>
      </c>
      <c r="F4" s="76" t="s">
        <v>40</v>
      </c>
      <c r="G4" s="77" t="s">
        <v>41</v>
      </c>
      <c r="H4" s="65"/>
      <c r="I4" s="78" t="s">
        <v>37</v>
      </c>
      <c r="J4" s="79" t="s">
        <v>38</v>
      </c>
      <c r="K4" s="75" t="s">
        <v>39</v>
      </c>
      <c r="L4" s="75" t="s">
        <v>40</v>
      </c>
      <c r="M4" s="80" t="s">
        <v>41</v>
      </c>
      <c r="N4" s="81"/>
      <c r="O4" s="82"/>
      <c r="P4" s="78" t="s">
        <v>37</v>
      </c>
      <c r="Q4" s="79" t="s">
        <v>38</v>
      </c>
      <c r="R4" s="75" t="s">
        <v>39</v>
      </c>
      <c r="S4" s="75" t="s">
        <v>40</v>
      </c>
      <c r="T4" s="80" t="s">
        <v>41</v>
      </c>
      <c r="U4" s="83" t="s">
        <v>42</v>
      </c>
      <c r="V4" s="84" t="s">
        <v>43</v>
      </c>
      <c r="W4" s="85" t="s">
        <v>37</v>
      </c>
      <c r="X4" s="79" t="s">
        <v>38</v>
      </c>
      <c r="Y4" s="79" t="s">
        <v>39</v>
      </c>
      <c r="Z4" s="79" t="s">
        <v>40</v>
      </c>
      <c r="AA4" s="80" t="s">
        <v>41</v>
      </c>
      <c r="AB4" s="86" t="s">
        <v>44</v>
      </c>
      <c r="AC4" s="87" t="s">
        <v>45</v>
      </c>
      <c r="AD4" s="88" t="s">
        <v>46</v>
      </c>
      <c r="AE4" s="88" t="s">
        <v>47</v>
      </c>
      <c r="AF4" s="89" t="s">
        <v>48</v>
      </c>
      <c r="AG4" s="89" t="s">
        <v>49</v>
      </c>
      <c r="AH4" s="90" t="s">
        <v>50</v>
      </c>
      <c r="AI4" s="91" t="s">
        <v>51</v>
      </c>
      <c r="AJ4" s="91"/>
      <c r="AK4" s="91" t="s">
        <v>52</v>
      </c>
      <c r="AL4" s="92"/>
      <c r="AM4" s="93"/>
      <c r="AN4" s="94"/>
      <c r="AO4" s="95"/>
      <c r="AP4" s="70"/>
      <c r="AQ4" s="65"/>
      <c r="AR4" s="93"/>
      <c r="AS4" s="65"/>
      <c r="AT4" s="65"/>
      <c r="AU4" s="65"/>
      <c r="AV4" s="96"/>
      <c r="AW4" s="65"/>
      <c r="AX4" s="65"/>
    </row>
    <row r="5" ht="46.5" customHeight="1" spans="1:50" s="97" customFormat="1" x14ac:dyDescent="0.25">
      <c r="A5" s="98">
        <v>1</v>
      </c>
      <c r="B5" s="99" t="s">
        <v>53</v>
      </c>
      <c r="C5" s="203" t="s">
        <v>54</v>
      </c>
      <c r="D5" s="102"/>
      <c r="E5" s="102"/>
      <c r="F5" s="102"/>
      <c r="G5" s="103"/>
      <c r="H5" s="104"/>
      <c r="I5" s="105">
        <v>1</v>
      </c>
      <c r="J5" s="106"/>
      <c r="K5" s="107"/>
      <c r="L5" s="108"/>
      <c r="M5" s="109"/>
      <c r="N5" s="110">
        <f>SUM(I5:M5)</f>
        <v>1</v>
      </c>
      <c r="O5" s="111">
        <v>1</v>
      </c>
      <c r="P5" s="112">
        <v>15</v>
      </c>
      <c r="Q5" s="113"/>
      <c r="R5" s="112"/>
      <c r="S5" s="114"/>
      <c r="T5" s="115"/>
      <c r="U5" s="116">
        <f>ROUND(((P5*I5)+(Q5*J5)+(R5*K5)+(S5*L5)+(T5*M5))*O5,2)</f>
        <v>15</v>
      </c>
      <c r="V5" s="117">
        <f>IF(U5&gt;=15,15,U5)</f>
        <v>15</v>
      </c>
      <c r="W5" s="204">
        <v>59183685000</v>
      </c>
      <c r="X5" s="119"/>
      <c r="Y5" s="120"/>
      <c r="Z5" s="121"/>
      <c r="AA5" s="122"/>
      <c r="AB5" s="123">
        <f>ROUND((((W5*I5)+(X5*J5)+(Y5*K5)+(Z5*L5)+(AA5*M5))/$I$2),2)*13</f>
        <v>468.65</v>
      </c>
      <c r="AC5" s="124">
        <f>IF(AB5&gt;=13,13,AB5)</f>
        <v>13</v>
      </c>
      <c r="AD5" s="125">
        <v>5</v>
      </c>
      <c r="AE5" s="116">
        <f>IF((AC5+AD5)&gt;=15,15,(AC5+AD5))</f>
        <v>15</v>
      </c>
      <c r="AF5" s="126"/>
      <c r="AG5" s="127">
        <v>0.56</v>
      </c>
      <c r="AH5" s="128">
        <f>IF((V5+AE5+AF5)&gt;=30,30,(V5+AE5+AF5))</f>
        <v>30</v>
      </c>
      <c r="AI5" s="129">
        <v>65</v>
      </c>
      <c r="AJ5" s="128">
        <f>V5+AE5+AF5+AI5+AG5</f>
        <v>95.56</v>
      </c>
      <c r="AK5" s="128">
        <f>IF(AH5+AI5+AG5&gt;=95,95,AH5+AI5+AG5)</f>
        <v>95</v>
      </c>
      <c r="AL5" s="130">
        <f>-((50-((176+(45+(50-AH5)))))/200)</f>
        <v>0.955</v>
      </c>
      <c r="AM5" s="131"/>
      <c r="AN5" s="132">
        <f>100%+AM5</f>
        <v>1</v>
      </c>
      <c r="AO5" s="132">
        <f>100%+AN5</f>
        <v>2</v>
      </c>
      <c r="AP5" s="133"/>
      <c r="AQ5" s="134"/>
      <c r="AR5" s="135"/>
      <c r="AS5" s="135"/>
      <c r="AT5" s="135"/>
      <c r="AU5" s="135"/>
      <c r="AV5" s="136"/>
      <c r="AW5" s="137">
        <f>AR5+AS5+AT5+AU5+AV5</f>
        <v>0</v>
      </c>
      <c r="AX5" s="137">
        <f>(AR5*I5)+(AS5*J5)+(AT5*K5)+(AU5*L5)+(AV5*M5)</f>
        <v>0</v>
      </c>
    </row>
    <row r="6" ht="21.95" customHeight="1" spans="1:50" s="97" customFormat="1" x14ac:dyDescent="0.25">
      <c r="A6" s="138" t="s">
        <v>56</v>
      </c>
      <c r="B6" s="139"/>
      <c r="C6" s="139"/>
      <c r="D6" s="139"/>
      <c r="E6" s="139"/>
      <c r="F6" s="139"/>
      <c r="G6" s="139"/>
      <c r="H6" s="140"/>
      <c r="I6" s="141">
        <v>93.38</v>
      </c>
      <c r="J6" s="142"/>
      <c r="K6" s="142"/>
      <c r="L6" s="142"/>
      <c r="M6" s="142"/>
      <c r="N6" s="143">
        <f>I6*I5+J6*J5+K6*K5+L6*L5+M6*M5</f>
        <v>93.38</v>
      </c>
      <c r="O6" s="144"/>
      <c r="P6" s="145"/>
      <c r="Q6" s="113"/>
      <c r="R6" s="113"/>
      <c r="S6" s="146"/>
      <c r="T6" s="147"/>
      <c r="U6" s="148"/>
      <c r="V6" s="149"/>
      <c r="W6" s="150"/>
      <c r="X6" s="151"/>
      <c r="Y6" s="152"/>
      <c r="Z6" s="151"/>
      <c r="AA6" s="153"/>
      <c r="AB6" s="154"/>
      <c r="AC6" s="149"/>
      <c r="AD6" s="148"/>
      <c r="AE6" s="148"/>
      <c r="AF6" s="155"/>
      <c r="AG6" s="156"/>
      <c r="AH6" s="113"/>
      <c r="AI6" s="157"/>
      <c r="AJ6" s="113"/>
      <c r="AK6" s="113"/>
      <c r="AL6" s="158"/>
      <c r="AM6" s="159"/>
      <c r="AN6" s="160"/>
      <c r="AO6" s="160"/>
      <c r="AP6" s="133"/>
      <c r="AQ6" s="134"/>
      <c r="AR6" s="161"/>
      <c r="AS6" s="161"/>
      <c r="AT6" s="161"/>
      <c r="AU6" s="161"/>
      <c r="AV6" s="162"/>
      <c r="AW6" s="137"/>
      <c r="AX6" s="137"/>
    </row>
    <row r="7" ht="46.5" customHeight="1" spans="1:50" s="97" customFormat="1" x14ac:dyDescent="0.25">
      <c r="A7" s="98">
        <v>2</v>
      </c>
      <c r="B7" s="99" t="s">
        <v>53</v>
      </c>
      <c r="C7" s="205" t="s">
        <v>66</v>
      </c>
      <c r="D7" s="102"/>
      <c r="E7" s="102"/>
      <c r="F7" s="163"/>
      <c r="G7" s="164"/>
      <c r="H7" s="165"/>
      <c r="I7" s="166">
        <v>1</v>
      </c>
      <c r="J7" s="107"/>
      <c r="K7" s="107"/>
      <c r="L7" s="167"/>
      <c r="M7" s="168"/>
      <c r="N7" s="169">
        <f>SUM(I7:M7)</f>
        <v>1</v>
      </c>
      <c r="O7" s="144">
        <v>1</v>
      </c>
      <c r="P7" s="112">
        <v>15</v>
      </c>
      <c r="Q7" s="113"/>
      <c r="R7" s="112"/>
      <c r="S7" s="113"/>
      <c r="T7" s="147"/>
      <c r="U7" s="148">
        <f>ROUND(((P7*I7)+(Q7*J7)+(R7*K7)+(S7*L7)+(T7*M7))*O7,2)</f>
        <v>15</v>
      </c>
      <c r="V7" s="149">
        <f>IF(U7&gt;=15,15,U7)</f>
        <v>15</v>
      </c>
      <c r="W7" s="120">
        <v>14977246000</v>
      </c>
      <c r="X7" s="120"/>
      <c r="Y7" s="120"/>
      <c r="Z7" s="151"/>
      <c r="AA7" s="153"/>
      <c r="AB7" s="154">
        <f>ROUND((((W7*I7)+(X7*J7)+(Y7*K7)+(Z7*L7)+(AA7*M7))/$I$2),2)*13</f>
        <v>118.55999999999999</v>
      </c>
      <c r="AC7" s="149">
        <f>IF(AB7&gt;=13,13,AB7)</f>
        <v>13</v>
      </c>
      <c r="AD7" s="125">
        <v>2</v>
      </c>
      <c r="AE7" s="148">
        <f>IF((AC7+AD7)&gt;=15,15,(AC7+AD7))</f>
        <v>15</v>
      </c>
      <c r="AF7" s="155"/>
      <c r="AG7" s="127">
        <v>0.56</v>
      </c>
      <c r="AH7" s="113">
        <f>IF((V7+AE7+AF7)&gt;=30,30,(V7+AE7+AF7))</f>
        <v>30</v>
      </c>
      <c r="AI7" s="157">
        <v>65</v>
      </c>
      <c r="AJ7" s="113">
        <f>V7+AE7+AF7+AI7+AG7</f>
        <v>95.56</v>
      </c>
      <c r="AK7" s="113">
        <f>IF(AH7+AI7+AG7&gt;=95,95,AH7+AI7+AG7)</f>
        <v>95</v>
      </c>
      <c r="AL7" s="158">
        <f>-((50-((176+(45+(50-AH7)))))/200)</f>
        <v>0.955</v>
      </c>
      <c r="AM7" s="159"/>
      <c r="AN7" s="160">
        <f>100%+AM7</f>
        <v>1</v>
      </c>
      <c r="AO7" s="160">
        <f>100%+AN7</f>
        <v>2</v>
      </c>
      <c r="AP7" s="133"/>
      <c r="AQ7" s="134"/>
      <c r="AR7" s="161"/>
      <c r="AS7" s="161"/>
      <c r="AT7" s="161"/>
      <c r="AU7" s="161"/>
      <c r="AV7" s="162"/>
      <c r="AW7" s="137">
        <f>AR7+AS7+AT7+AU7+AV7</f>
        <v>0</v>
      </c>
      <c r="AX7" s="137">
        <f>(AR7*I7)+(AS7*J7)+(AT7*K7)+(AU7*L7)+(AV7*M7)</f>
        <v>0</v>
      </c>
    </row>
    <row r="8" ht="21.95" customHeight="1" spans="1:50" s="97" customFormat="1" x14ac:dyDescent="0.25">
      <c r="A8" s="138" t="s">
        <v>56</v>
      </c>
      <c r="B8" s="139"/>
      <c r="C8" s="139"/>
      <c r="D8" s="139"/>
      <c r="E8" s="139"/>
      <c r="F8" s="139"/>
      <c r="G8" s="139"/>
      <c r="H8" s="140"/>
      <c r="I8" s="142">
        <v>85</v>
      </c>
      <c r="J8" s="181"/>
      <c r="K8" s="142"/>
      <c r="L8" s="142"/>
      <c r="M8" s="142"/>
      <c r="N8" s="170">
        <f>I8*I7+J8*J7+K8*K7+L8*L7+M8*M7</f>
        <v>85</v>
      </c>
      <c r="O8" s="144"/>
      <c r="P8" s="145"/>
      <c r="Q8" s="113"/>
      <c r="R8" s="113"/>
      <c r="S8" s="146"/>
      <c r="T8" s="147"/>
      <c r="U8" s="148"/>
      <c r="V8" s="149"/>
      <c r="W8" s="150"/>
      <c r="X8" s="151"/>
      <c r="Y8" s="152"/>
      <c r="Z8" s="151"/>
      <c r="AA8" s="153"/>
      <c r="AB8" s="154"/>
      <c r="AC8" s="149"/>
      <c r="AD8" s="148"/>
      <c r="AE8" s="148"/>
      <c r="AF8" s="155"/>
      <c r="AG8" s="156"/>
      <c r="AH8" s="113"/>
      <c r="AI8" s="157"/>
      <c r="AJ8" s="113"/>
      <c r="AK8" s="113"/>
      <c r="AL8" s="158"/>
      <c r="AM8" s="159"/>
      <c r="AN8" s="160"/>
      <c r="AO8" s="160"/>
      <c r="AP8" s="133"/>
      <c r="AQ8" s="134"/>
      <c r="AR8" s="161"/>
      <c r="AS8" s="161"/>
      <c r="AT8" s="161"/>
      <c r="AU8" s="161"/>
      <c r="AV8" s="162"/>
      <c r="AW8" s="137"/>
      <c r="AX8" s="137"/>
    </row>
    <row r="9" ht="46.5" customHeight="1" spans="1:50" s="97" customFormat="1" x14ac:dyDescent="0.25">
      <c r="A9" s="98">
        <v>3</v>
      </c>
      <c r="B9" s="99" t="s">
        <v>53</v>
      </c>
      <c r="C9" s="205" t="s">
        <v>59</v>
      </c>
      <c r="D9" s="102"/>
      <c r="E9" s="102"/>
      <c r="F9" s="163"/>
      <c r="G9" s="103"/>
      <c r="H9" s="171"/>
      <c r="I9" s="166">
        <v>1</v>
      </c>
      <c r="J9" s="107"/>
      <c r="K9" s="107"/>
      <c r="L9" s="167"/>
      <c r="M9" s="168"/>
      <c r="N9" s="169">
        <f>SUM(I9:M9)</f>
        <v>1</v>
      </c>
      <c r="O9" s="144">
        <v>1</v>
      </c>
      <c r="P9" s="112">
        <v>15</v>
      </c>
      <c r="Q9" s="112"/>
      <c r="R9" s="112"/>
      <c r="S9" s="146"/>
      <c r="T9" s="147"/>
      <c r="U9" s="148">
        <f>ROUND(((P9*I9)+(Q9*J9)+(R9*K9)+(S9*L9)+(T9*M9))*O9,2)</f>
        <v>15</v>
      </c>
      <c r="V9" s="149">
        <f>IF(U9&gt;=15,15,U9)</f>
        <v>15</v>
      </c>
      <c r="W9" s="206">
        <v>39361754000</v>
      </c>
      <c r="X9" s="120"/>
      <c r="Y9" s="120"/>
      <c r="Z9" s="151"/>
      <c r="AA9" s="153"/>
      <c r="AB9" s="154">
        <f>ROUND((((W9*I9)+(X9*J9)+(Y9*K9)+(Z9*L9)+(AA9*M9))/$I$2),2)*13</f>
        <v>311.74</v>
      </c>
      <c r="AC9" s="149">
        <f>IF(AB9&gt;=13,13,AB9)</f>
        <v>13</v>
      </c>
      <c r="AD9" s="125">
        <v>5</v>
      </c>
      <c r="AE9" s="148">
        <f>IF((AC9+AD9)&gt;=15,15,(AC9+AD9))</f>
        <v>15</v>
      </c>
      <c r="AF9" s="155"/>
      <c r="AG9" s="127">
        <v>0.56</v>
      </c>
      <c r="AH9" s="113">
        <f>IF((V9+AE9+AF9)&gt;=30,30,(V9+AE9+AF9))</f>
        <v>30</v>
      </c>
      <c r="AI9" s="157">
        <v>65</v>
      </c>
      <c r="AJ9" s="113">
        <f>V9+AE9+AF9+AI9+AG9</f>
        <v>95.56</v>
      </c>
      <c r="AK9" s="113">
        <f>IF(AH9+AI9+AG9&gt;=95,95,AH9+AI9+AG9)</f>
        <v>95</v>
      </c>
      <c r="AL9" s="158">
        <f>-((50-((176+(45+(50-AH9)))))/200)</f>
        <v>0.955</v>
      </c>
      <c r="AM9" s="159"/>
      <c r="AN9" s="160">
        <f>100%+AM9</f>
        <v>1</v>
      </c>
      <c r="AO9" s="160">
        <f>100%+AN9</f>
        <v>2</v>
      </c>
      <c r="AP9" s="133"/>
      <c r="AQ9" s="134"/>
      <c r="AR9" s="161"/>
      <c r="AS9" s="161"/>
      <c r="AT9" s="161"/>
      <c r="AU9" s="161"/>
      <c r="AV9" s="162"/>
      <c r="AW9" s="172">
        <f>AR9+AS9+AT9+AU9+AV9</f>
        <v>0</v>
      </c>
      <c r="AX9" s="172">
        <f>(AR9*I9)+(AS9*J9)+(AT9*K9)+(AU9*L9)+(AV9*M9)</f>
        <v>0</v>
      </c>
    </row>
    <row r="10" ht="21.95" customHeight="1" spans="1:50" s="97" customFormat="1" x14ac:dyDescent="0.25">
      <c r="A10" s="138" t="s">
        <v>56</v>
      </c>
      <c r="B10" s="139"/>
      <c r="C10" s="139"/>
      <c r="D10" s="139"/>
      <c r="E10" s="139"/>
      <c r="F10" s="139"/>
      <c r="G10" s="139"/>
      <c r="H10" s="140"/>
      <c r="I10" s="141">
        <v>90.73</v>
      </c>
      <c r="J10" s="142"/>
      <c r="K10" s="142"/>
      <c r="L10" s="142"/>
      <c r="M10" s="142"/>
      <c r="N10" s="170">
        <f>I10*I9+J10*J9+K10*K9+L10*L9+M10*M9</f>
        <v>90.73</v>
      </c>
      <c r="O10" s="144"/>
      <c r="P10" s="145"/>
      <c r="Q10" s="113"/>
      <c r="R10" s="113"/>
      <c r="S10" s="146"/>
      <c r="T10" s="147"/>
      <c r="U10" s="148"/>
      <c r="V10" s="149"/>
      <c r="W10" s="150"/>
      <c r="X10" s="151"/>
      <c r="Y10" s="152"/>
      <c r="Z10" s="151"/>
      <c r="AA10" s="153"/>
      <c r="AB10" s="154"/>
      <c r="AC10" s="149"/>
      <c r="AD10" s="148"/>
      <c r="AE10" s="148"/>
      <c r="AF10" s="155"/>
      <c r="AG10" s="156"/>
      <c r="AH10" s="113"/>
      <c r="AI10" s="157"/>
      <c r="AJ10" s="113"/>
      <c r="AK10" s="113"/>
      <c r="AL10" s="158"/>
      <c r="AM10" s="159"/>
      <c r="AN10" s="160"/>
      <c r="AO10" s="160"/>
      <c r="AP10" s="133"/>
      <c r="AQ10" s="134"/>
      <c r="AR10" s="161"/>
      <c r="AS10" s="161"/>
      <c r="AT10" s="161"/>
      <c r="AU10" s="161"/>
      <c r="AV10" s="162"/>
      <c r="AW10" s="137"/>
      <c r="AX10" s="137"/>
    </row>
    <row r="11" ht="46.5" customHeight="1" spans="1:50" s="97" customFormat="1" x14ac:dyDescent="0.25">
      <c r="A11" s="98">
        <v>4</v>
      </c>
      <c r="B11" s="99" t="s">
        <v>53</v>
      </c>
      <c r="C11" s="205" t="s">
        <v>57</v>
      </c>
      <c r="D11" s="102"/>
      <c r="E11" s="100"/>
      <c r="F11" s="163"/>
      <c r="G11" s="103"/>
      <c r="H11" s="171"/>
      <c r="I11" s="166">
        <v>1</v>
      </c>
      <c r="J11" s="175"/>
      <c r="K11" s="107"/>
      <c r="L11" s="176"/>
      <c r="M11" s="168"/>
      <c r="N11" s="169">
        <f t="shared" ref="N11:N48" si="0">SUM(I11:M11)</f>
        <v>1</v>
      </c>
      <c r="O11" s="144">
        <v>1</v>
      </c>
      <c r="P11" s="112">
        <v>15</v>
      </c>
      <c r="Q11" s="178"/>
      <c r="R11" s="178"/>
      <c r="S11" s="113"/>
      <c r="T11" s="147"/>
      <c r="U11" s="148">
        <f t="shared" ref="U11:U80" si="1">ROUND(((P11*I11)+(Q11*J11)+(R11*K11)+(S11*L11)+(T11*M11))*O11,2)</f>
        <v>15</v>
      </c>
      <c r="V11" s="149">
        <f t="shared" ref="V11:V80" si="2">IF(U11&gt;=15,15,U11)</f>
        <v>15</v>
      </c>
      <c r="W11" s="206">
        <v>34748832000</v>
      </c>
      <c r="X11" s="120"/>
      <c r="Y11" s="120"/>
      <c r="Z11" s="151"/>
      <c r="AA11" s="153"/>
      <c r="AB11" s="154">
        <f t="shared" ref="AB11:AB80" si="3">ROUND((((W11*I11)+(X11*J11)+(Y11*K11)+(Z11*L11)+(AA11*M11))/$I$2),2)*13</f>
        <v>275.21000000000004</v>
      </c>
      <c r="AC11" s="149">
        <f t="shared" ref="AC11:AC80" si="4">IF(AB11&gt;=13,13,AB11)</f>
        <v>13</v>
      </c>
      <c r="AD11" s="125">
        <v>2</v>
      </c>
      <c r="AE11" s="148">
        <f t="shared" ref="AE11:AE80" si="5">IF((AC11+AD11)&gt;=15,15,(AC11+AD11))</f>
        <v>15</v>
      </c>
      <c r="AF11" s="207"/>
      <c r="AG11" s="127">
        <v>0.56</v>
      </c>
      <c r="AH11" s="113">
        <f t="shared" ref="AH11:AH80" si="6">IF((V11+AE11+AF11)&gt;=30,30,(V11+AE11+AF11))</f>
        <v>30</v>
      </c>
      <c r="AI11" s="157">
        <v>65</v>
      </c>
      <c r="AJ11" s="113">
        <f t="shared" ref="AJ11:AJ80" si="7">V11+AE11+AF11+AI11+AG11</f>
        <v>95.56</v>
      </c>
      <c r="AK11" s="113">
        <f t="shared" ref="AK11:AK80" si="8">IF(AH11+AI11+AG11&gt;=95,95,AH11+AI11+AG11)</f>
        <v>95</v>
      </c>
      <c r="AL11" s="158">
        <f t="shared" ref="AL11:AL80" si="9">-((50-((176+(45+(50-AH11)))))/200)</f>
        <v>0.955</v>
      </c>
      <c r="AM11" s="159"/>
      <c r="AN11" s="160">
        <f t="shared" ref="AN11:AO36" si="10">100%+AM11</f>
        <v>1</v>
      </c>
      <c r="AO11" s="160">
        <f t="shared" si="10"/>
        <v>2</v>
      </c>
      <c r="AP11" s="133"/>
      <c r="AQ11" s="134"/>
      <c r="AR11" s="161"/>
      <c r="AS11" s="161"/>
      <c r="AT11" s="161"/>
      <c r="AU11" s="161"/>
      <c r="AV11" s="162"/>
      <c r="AW11" s="137">
        <f t="shared" ref="AW11:AW80" si="11">AR11+AS11+AT11+AU11+AV11</f>
        <v>0</v>
      </c>
      <c r="AX11" s="137">
        <f t="shared" ref="AX11:AX80" si="12">(AR11*I11)+(AS11*J11)+(AT11*K11)+(AU11*L11)+(AV11*M11)</f>
        <v>0</v>
      </c>
    </row>
    <row r="12" ht="21.95" customHeight="1" spans="1:50" s="97" customFormat="1" x14ac:dyDescent="0.25">
      <c r="A12" s="138" t="s">
        <v>56</v>
      </c>
      <c r="B12" s="139"/>
      <c r="C12" s="139"/>
      <c r="D12" s="139"/>
      <c r="E12" s="139"/>
      <c r="F12" s="139"/>
      <c r="G12" s="139"/>
      <c r="H12" s="140"/>
      <c r="I12" s="181">
        <v>85</v>
      </c>
      <c r="J12" s="142"/>
      <c r="K12" s="142"/>
      <c r="L12" s="142"/>
      <c r="M12" s="142"/>
      <c r="N12" s="170">
        <f>I12*I11+J12*J11+K12*K11+L12*L11+M12*M11</f>
        <v>85</v>
      </c>
      <c r="O12" s="144"/>
      <c r="P12" s="145"/>
      <c r="Q12" s="113"/>
      <c r="R12" s="113"/>
      <c r="S12" s="146"/>
      <c r="T12" s="147"/>
      <c r="U12" s="148"/>
      <c r="V12" s="149"/>
      <c r="W12" s="150"/>
      <c r="X12" s="151"/>
      <c r="Y12" s="152"/>
      <c r="Z12" s="151"/>
      <c r="AA12" s="153"/>
      <c r="AB12" s="154"/>
      <c r="AC12" s="149"/>
      <c r="AD12" s="148"/>
      <c r="AE12" s="148"/>
      <c r="AF12" s="155"/>
      <c r="AG12" s="156"/>
      <c r="AH12" s="113"/>
      <c r="AI12" s="157"/>
      <c r="AJ12" s="113"/>
      <c r="AK12" s="113"/>
      <c r="AL12" s="158"/>
      <c r="AM12" s="159"/>
      <c r="AN12" s="160"/>
      <c r="AO12" s="160"/>
      <c r="AP12" s="133"/>
      <c r="AQ12" s="134"/>
      <c r="AR12" s="161"/>
      <c r="AS12" s="161"/>
      <c r="AT12" s="161"/>
      <c r="AU12" s="161"/>
      <c r="AV12" s="162"/>
      <c r="AW12" s="137"/>
      <c r="AX12" s="137"/>
    </row>
    <row r="13" ht="46.5" customHeight="1" spans="1:50" s="97" customFormat="1" x14ac:dyDescent="0.25">
      <c r="A13" s="98">
        <v>5</v>
      </c>
      <c r="B13" s="99" t="s">
        <v>53</v>
      </c>
      <c r="C13" s="205" t="s">
        <v>63</v>
      </c>
      <c r="D13" s="100"/>
      <c r="E13" s="100"/>
      <c r="F13" s="163"/>
      <c r="G13" s="103"/>
      <c r="H13" s="182"/>
      <c r="I13" s="166">
        <v>1</v>
      </c>
      <c r="J13" s="107"/>
      <c r="K13" s="107"/>
      <c r="L13" s="167"/>
      <c r="M13" s="168"/>
      <c r="N13" s="169">
        <f t="shared" si="0"/>
        <v>1</v>
      </c>
      <c r="O13" s="144">
        <v>1</v>
      </c>
      <c r="P13" s="112">
        <v>15</v>
      </c>
      <c r="Q13" s="178"/>
      <c r="R13" s="112"/>
      <c r="S13" s="146"/>
      <c r="T13" s="120"/>
      <c r="U13" s="148">
        <f t="shared" si="1"/>
        <v>15</v>
      </c>
      <c r="V13" s="149">
        <f t="shared" si="2"/>
        <v>15</v>
      </c>
      <c r="W13" s="206">
        <v>57539030000</v>
      </c>
      <c r="X13" s="120"/>
      <c r="Y13" s="183"/>
      <c r="Z13" s="151"/>
      <c r="AA13" s="153"/>
      <c r="AB13" s="154">
        <f t="shared" si="3"/>
        <v>455.65</v>
      </c>
      <c r="AC13" s="149">
        <f t="shared" si="4"/>
        <v>13</v>
      </c>
      <c r="AD13" s="125">
        <v>2</v>
      </c>
      <c r="AE13" s="148">
        <f t="shared" si="5"/>
        <v>15</v>
      </c>
      <c r="AF13" s="207"/>
      <c r="AG13" s="127">
        <v>0.56</v>
      </c>
      <c r="AH13" s="113">
        <f t="shared" si="6"/>
        <v>30</v>
      </c>
      <c r="AI13" s="157">
        <v>65</v>
      </c>
      <c r="AJ13" s="113">
        <f t="shared" si="7"/>
        <v>95.56</v>
      </c>
      <c r="AK13" s="113">
        <f t="shared" si="8"/>
        <v>95</v>
      </c>
      <c r="AL13" s="158">
        <f t="shared" si="9"/>
        <v>0.955</v>
      </c>
      <c r="AM13" s="159"/>
      <c r="AN13" s="160">
        <f t="shared" si="10"/>
        <v>1</v>
      </c>
      <c r="AO13" s="160">
        <f t="shared" si="10"/>
        <v>2</v>
      </c>
      <c r="AP13" s="133"/>
      <c r="AQ13" s="134"/>
      <c r="AR13" s="161"/>
      <c r="AS13" s="161"/>
      <c r="AT13" s="161"/>
      <c r="AU13" s="161"/>
      <c r="AV13" s="162"/>
      <c r="AW13" s="137">
        <f t="shared" si="11"/>
        <v>0</v>
      </c>
      <c r="AX13" s="137">
        <f t="shared" si="12"/>
        <v>0</v>
      </c>
    </row>
    <row r="14" ht="21.95" customHeight="1" spans="1:50" s="97" customFormat="1" x14ac:dyDescent="0.25">
      <c r="A14" s="138" t="s">
        <v>56</v>
      </c>
      <c r="B14" s="139"/>
      <c r="C14" s="139"/>
      <c r="D14" s="139"/>
      <c r="E14" s="139"/>
      <c r="F14" s="139"/>
      <c r="G14" s="139"/>
      <c r="H14" s="140"/>
      <c r="I14" s="142">
        <v>85</v>
      </c>
      <c r="J14" s="142"/>
      <c r="K14" s="142"/>
      <c r="L14" s="142"/>
      <c r="M14" s="142"/>
      <c r="N14" s="170">
        <f>I14*I13+J14*J13+K14*K13+L14*L13+M14*M13</f>
        <v>85</v>
      </c>
      <c r="O14" s="144"/>
      <c r="P14" s="145"/>
      <c r="Q14" s="113"/>
      <c r="R14" s="113"/>
      <c r="S14" s="146"/>
      <c r="T14" s="147"/>
      <c r="U14" s="148"/>
      <c r="V14" s="149"/>
      <c r="W14" s="150"/>
      <c r="X14" s="151"/>
      <c r="Y14" s="152"/>
      <c r="Z14" s="151"/>
      <c r="AA14" s="153"/>
      <c r="AB14" s="154"/>
      <c r="AC14" s="149"/>
      <c r="AD14" s="148"/>
      <c r="AE14" s="148"/>
      <c r="AF14" s="155"/>
      <c r="AG14" s="156"/>
      <c r="AH14" s="113"/>
      <c r="AI14" s="157"/>
      <c r="AJ14" s="113"/>
      <c r="AK14" s="113"/>
      <c r="AL14" s="158"/>
      <c r="AM14" s="159"/>
      <c r="AN14" s="160"/>
      <c r="AO14" s="160"/>
      <c r="AP14" s="133"/>
      <c r="AQ14" s="134"/>
      <c r="AR14" s="161"/>
      <c r="AS14" s="161"/>
      <c r="AT14" s="161"/>
      <c r="AU14" s="161"/>
      <c r="AV14" s="162"/>
      <c r="AW14" s="137"/>
      <c r="AX14" s="137"/>
    </row>
    <row r="15" ht="46.5" customHeight="1" spans="1:50" s="97" customFormat="1" x14ac:dyDescent="0.25">
      <c r="A15" s="98">
        <v>6</v>
      </c>
      <c r="B15" s="208" t="s">
        <v>62</v>
      </c>
      <c r="C15" s="209" t="s">
        <v>85</v>
      </c>
      <c r="D15" s="210" t="s">
        <v>86</v>
      </c>
      <c r="E15" s="100"/>
      <c r="F15" s="100"/>
      <c r="G15" s="103"/>
      <c r="H15" s="182"/>
      <c r="I15" s="166">
        <v>0.56</v>
      </c>
      <c r="J15" s="107">
        <v>0.44</v>
      </c>
      <c r="K15" s="107"/>
      <c r="L15" s="167"/>
      <c r="M15" s="168"/>
      <c r="N15" s="169">
        <f t="shared" si="0"/>
        <v>1</v>
      </c>
      <c r="O15" s="144">
        <v>1</v>
      </c>
      <c r="P15" s="112">
        <v>15</v>
      </c>
      <c r="Q15" s="112">
        <v>15</v>
      </c>
      <c r="R15" s="184"/>
      <c r="S15" s="146"/>
      <c r="T15" s="147"/>
      <c r="U15" s="148">
        <f t="shared" si="1"/>
        <v>15</v>
      </c>
      <c r="V15" s="149">
        <f t="shared" si="2"/>
        <v>15</v>
      </c>
      <c r="W15" s="211">
        <v>15345190000</v>
      </c>
      <c r="X15" s="211">
        <v>708518000</v>
      </c>
      <c r="Y15" s="120"/>
      <c r="Z15" s="151"/>
      <c r="AA15" s="153"/>
      <c r="AB15" s="154">
        <f t="shared" si="3"/>
        <v>70.46</v>
      </c>
      <c r="AC15" s="149">
        <f t="shared" si="4"/>
        <v>13</v>
      </c>
      <c r="AD15" s="125">
        <v>2</v>
      </c>
      <c r="AE15" s="148">
        <f t="shared" si="5"/>
        <v>15</v>
      </c>
      <c r="AF15" s="155"/>
      <c r="AG15" s="127">
        <v>0.56</v>
      </c>
      <c r="AH15" s="113">
        <f t="shared" si="6"/>
        <v>30</v>
      </c>
      <c r="AI15" s="157">
        <v>65</v>
      </c>
      <c r="AJ15" s="113">
        <f t="shared" si="7"/>
        <v>95.56</v>
      </c>
      <c r="AK15" s="113">
        <f t="shared" si="8"/>
        <v>95</v>
      </c>
      <c r="AL15" s="158">
        <f t="shared" si="9"/>
        <v>0.955</v>
      </c>
      <c r="AM15" s="159"/>
      <c r="AN15" s="160">
        <f t="shared" si="10"/>
        <v>1</v>
      </c>
      <c r="AO15" s="160">
        <f t="shared" si="10"/>
        <v>2</v>
      </c>
      <c r="AP15" s="133"/>
      <c r="AQ15" s="134"/>
      <c r="AR15" s="161"/>
      <c r="AS15" s="161"/>
      <c r="AT15" s="161"/>
      <c r="AU15" s="161"/>
      <c r="AV15" s="162"/>
      <c r="AW15" s="137">
        <f t="shared" si="11"/>
        <v>0</v>
      </c>
      <c r="AX15" s="137">
        <f t="shared" si="12"/>
        <v>0</v>
      </c>
    </row>
    <row r="16" ht="21.95" customHeight="1" spans="1:50" s="97" customFormat="1" x14ac:dyDescent="0.25">
      <c r="A16" s="138" t="s">
        <v>56</v>
      </c>
      <c r="B16" s="139"/>
      <c r="C16" s="139"/>
      <c r="D16" s="139"/>
      <c r="E16" s="139"/>
      <c r="F16" s="139"/>
      <c r="G16" s="139"/>
      <c r="H16" s="140"/>
      <c r="I16" s="181">
        <v>85</v>
      </c>
      <c r="J16" s="142">
        <v>85</v>
      </c>
      <c r="K16" s="142"/>
      <c r="L16" s="142"/>
      <c r="M16" s="142"/>
      <c r="N16" s="170">
        <f>I16*I15+J16*J15+K16*K15+L16*L15+M16*M15</f>
        <v>85</v>
      </c>
      <c r="O16" s="144"/>
      <c r="P16" s="145"/>
      <c r="Q16" s="113"/>
      <c r="R16" s="113"/>
      <c r="S16" s="146"/>
      <c r="T16" s="147"/>
      <c r="U16" s="148"/>
      <c r="V16" s="149"/>
      <c r="W16" s="150"/>
      <c r="X16" s="151"/>
      <c r="Y16" s="152"/>
      <c r="Z16" s="151"/>
      <c r="AA16" s="153"/>
      <c r="AB16" s="154"/>
      <c r="AC16" s="149"/>
      <c r="AD16" s="148"/>
      <c r="AE16" s="148"/>
      <c r="AF16" s="155"/>
      <c r="AG16" s="156"/>
      <c r="AH16" s="113"/>
      <c r="AI16" s="157"/>
      <c r="AJ16" s="113"/>
      <c r="AK16" s="113"/>
      <c r="AL16" s="158"/>
      <c r="AM16" s="159"/>
      <c r="AN16" s="160"/>
      <c r="AO16" s="160"/>
      <c r="AP16" s="133"/>
      <c r="AQ16" s="134"/>
      <c r="AR16" s="161"/>
      <c r="AS16" s="161"/>
      <c r="AT16" s="161"/>
      <c r="AU16" s="161"/>
      <c r="AV16" s="162"/>
      <c r="AW16" s="137"/>
      <c r="AX16" s="137"/>
    </row>
    <row r="17" ht="46.5" customHeight="1" spans="1:50" s="97" customFormat="1" x14ac:dyDescent="0.25">
      <c r="A17" s="98">
        <v>7</v>
      </c>
      <c r="B17" s="99" t="s">
        <v>53</v>
      </c>
      <c r="C17" s="212" t="s">
        <v>87</v>
      </c>
      <c r="D17" s="205" t="s">
        <v>88</v>
      </c>
      <c r="E17" s="100"/>
      <c r="F17" s="100"/>
      <c r="G17" s="103"/>
      <c r="H17" s="182"/>
      <c r="I17" s="166">
        <v>0.51</v>
      </c>
      <c r="J17" s="107">
        <v>0.49</v>
      </c>
      <c r="K17" s="107"/>
      <c r="L17" s="167"/>
      <c r="M17" s="168"/>
      <c r="N17" s="169">
        <f t="shared" si="0"/>
        <v>1</v>
      </c>
      <c r="O17" s="144">
        <v>1</v>
      </c>
      <c r="P17" s="112">
        <v>15</v>
      </c>
      <c r="Q17" s="112">
        <v>15</v>
      </c>
      <c r="R17" s="113"/>
      <c r="S17" s="146"/>
      <c r="T17" s="147"/>
      <c r="U17" s="148">
        <f t="shared" si="1"/>
        <v>15</v>
      </c>
      <c r="V17" s="149">
        <f t="shared" si="2"/>
        <v>15</v>
      </c>
      <c r="W17" s="211">
        <v>32826052000</v>
      </c>
      <c r="X17" s="213">
        <v>17523143000</v>
      </c>
      <c r="Y17" s="120"/>
      <c r="Z17" s="151"/>
      <c r="AA17" s="153"/>
      <c r="AB17" s="154">
        <f t="shared" si="3"/>
        <v>200.59</v>
      </c>
      <c r="AC17" s="149">
        <f t="shared" si="4"/>
        <v>13</v>
      </c>
      <c r="AD17" s="125">
        <v>2</v>
      </c>
      <c r="AE17" s="148">
        <f t="shared" si="5"/>
        <v>15</v>
      </c>
      <c r="AF17" s="156"/>
      <c r="AG17" s="127">
        <v>0.56</v>
      </c>
      <c r="AH17" s="113">
        <f t="shared" si="6"/>
        <v>30</v>
      </c>
      <c r="AI17" s="157">
        <v>65</v>
      </c>
      <c r="AJ17" s="113">
        <f t="shared" si="7"/>
        <v>95.56</v>
      </c>
      <c r="AK17" s="113">
        <f t="shared" si="8"/>
        <v>95</v>
      </c>
      <c r="AL17" s="158">
        <f t="shared" si="9"/>
        <v>0.955</v>
      </c>
      <c r="AM17" s="159"/>
      <c r="AN17" s="160">
        <f t="shared" si="10"/>
        <v>1</v>
      </c>
      <c r="AO17" s="160">
        <f t="shared" si="10"/>
        <v>2</v>
      </c>
      <c r="AP17" s="133"/>
      <c r="AQ17" s="134"/>
      <c r="AR17" s="161"/>
      <c r="AS17" s="161"/>
      <c r="AT17" s="161"/>
      <c r="AU17" s="161"/>
      <c r="AV17" s="162"/>
      <c r="AW17" s="137">
        <f t="shared" si="11"/>
        <v>0</v>
      </c>
      <c r="AX17" s="137">
        <f t="shared" si="12"/>
        <v>0</v>
      </c>
    </row>
    <row r="18" ht="21.95" customHeight="1" spans="1:50" s="97" customFormat="1" x14ac:dyDescent="0.25">
      <c r="A18" s="138" t="s">
        <v>56</v>
      </c>
      <c r="B18" s="139"/>
      <c r="C18" s="139"/>
      <c r="D18" s="139"/>
      <c r="E18" s="139"/>
      <c r="F18" s="139"/>
      <c r="G18" s="139"/>
      <c r="H18" s="140"/>
      <c r="I18" s="181">
        <v>85</v>
      </c>
      <c r="J18" s="142">
        <v>85</v>
      </c>
      <c r="K18" s="142"/>
      <c r="L18" s="142"/>
      <c r="M18" s="142"/>
      <c r="N18" s="170">
        <f>I18*I17+J18*J17+K18*K17+L18*L17+M18*M17</f>
        <v>85</v>
      </c>
      <c r="O18" s="144"/>
      <c r="P18" s="145"/>
      <c r="Q18" s="113"/>
      <c r="R18" s="113"/>
      <c r="S18" s="146"/>
      <c r="T18" s="147"/>
      <c r="U18" s="148"/>
      <c r="V18" s="149"/>
      <c r="W18" s="150"/>
      <c r="X18" s="151"/>
      <c r="Y18" s="152"/>
      <c r="Z18" s="151"/>
      <c r="AA18" s="153"/>
      <c r="AB18" s="154"/>
      <c r="AC18" s="149"/>
      <c r="AD18" s="148"/>
      <c r="AE18" s="148"/>
      <c r="AF18" s="155"/>
      <c r="AG18" s="156"/>
      <c r="AH18" s="113"/>
      <c r="AI18" s="157"/>
      <c r="AJ18" s="113"/>
      <c r="AK18" s="113"/>
      <c r="AL18" s="158"/>
      <c r="AM18" s="159"/>
      <c r="AN18" s="160"/>
      <c r="AO18" s="160"/>
      <c r="AP18" s="133"/>
      <c r="AQ18" s="134"/>
      <c r="AR18" s="161"/>
      <c r="AS18" s="161"/>
      <c r="AT18" s="161"/>
      <c r="AU18" s="161"/>
      <c r="AV18" s="162"/>
      <c r="AW18" s="137"/>
      <c r="AX18" s="137"/>
    </row>
    <row r="19" ht="46.5" customHeight="1" spans="1:50" s="97" customFormat="1" x14ac:dyDescent="0.25">
      <c r="A19" s="98">
        <v>8</v>
      </c>
      <c r="B19" s="208" t="s">
        <v>62</v>
      </c>
      <c r="C19" s="212" t="s">
        <v>89</v>
      </c>
      <c r="D19" s="203" t="s">
        <v>90</v>
      </c>
      <c r="E19" s="214"/>
      <c r="F19" s="100"/>
      <c r="G19" s="103"/>
      <c r="H19" s="186"/>
      <c r="I19" s="166">
        <v>0.51</v>
      </c>
      <c r="J19" s="107">
        <v>0.49</v>
      </c>
      <c r="K19" s="107"/>
      <c r="L19" s="167"/>
      <c r="M19" s="168"/>
      <c r="N19" s="169">
        <f t="shared" si="0"/>
        <v>1</v>
      </c>
      <c r="O19" s="144">
        <v>1</v>
      </c>
      <c r="P19" s="112">
        <v>15</v>
      </c>
      <c r="Q19" s="112">
        <v>15</v>
      </c>
      <c r="R19" s="184"/>
      <c r="S19" s="146"/>
      <c r="T19" s="147"/>
      <c r="U19" s="148">
        <f t="shared" si="1"/>
        <v>15</v>
      </c>
      <c r="V19" s="149">
        <f t="shared" si="2"/>
        <v>15</v>
      </c>
      <c r="W19" s="211">
        <v>3664456000</v>
      </c>
      <c r="X19" s="211">
        <v>1281708000</v>
      </c>
      <c r="Y19" s="120"/>
      <c r="Z19" s="151"/>
      <c r="AA19" s="153"/>
      <c r="AB19" s="154">
        <f t="shared" si="3"/>
        <v>19.76</v>
      </c>
      <c r="AC19" s="149">
        <f t="shared" si="4"/>
        <v>13</v>
      </c>
      <c r="AD19" s="125">
        <v>2</v>
      </c>
      <c r="AE19" s="148">
        <f t="shared" si="5"/>
        <v>15</v>
      </c>
      <c r="AF19" s="156"/>
      <c r="AG19" s="127">
        <v>0.56</v>
      </c>
      <c r="AH19" s="113">
        <f t="shared" si="6"/>
        <v>30</v>
      </c>
      <c r="AI19" s="157">
        <v>65</v>
      </c>
      <c r="AJ19" s="113">
        <f t="shared" si="7"/>
        <v>95.56</v>
      </c>
      <c r="AK19" s="113">
        <f t="shared" si="8"/>
        <v>95</v>
      </c>
      <c r="AL19" s="158">
        <f t="shared" si="9"/>
        <v>0.955</v>
      </c>
      <c r="AM19" s="159"/>
      <c r="AN19" s="160">
        <f t="shared" si="10"/>
        <v>1</v>
      </c>
      <c r="AO19" s="160">
        <f t="shared" si="10"/>
        <v>2</v>
      </c>
      <c r="AP19" s="133"/>
      <c r="AQ19" s="134"/>
      <c r="AR19" s="161"/>
      <c r="AS19" s="161"/>
      <c r="AT19" s="161"/>
      <c r="AU19" s="161"/>
      <c r="AV19" s="162"/>
      <c r="AW19" s="137">
        <f t="shared" si="11"/>
        <v>0</v>
      </c>
      <c r="AX19" s="137">
        <f t="shared" si="12"/>
        <v>0</v>
      </c>
    </row>
    <row r="20" ht="21.95" customHeight="1" spans="1:50" s="97" customFormat="1" x14ac:dyDescent="0.25">
      <c r="A20" s="138" t="s">
        <v>56</v>
      </c>
      <c r="B20" s="139"/>
      <c r="C20" s="139"/>
      <c r="D20" s="139"/>
      <c r="E20" s="139"/>
      <c r="F20" s="139"/>
      <c r="G20" s="139"/>
      <c r="H20" s="140"/>
      <c r="I20" s="142">
        <v>85</v>
      </c>
      <c r="J20" s="142">
        <v>85</v>
      </c>
      <c r="K20" s="142">
        <v>85</v>
      </c>
      <c r="L20" s="142"/>
      <c r="M20" s="142"/>
      <c r="N20" s="170">
        <f>I20*I19+J20*J19+K20*K19+L20*L19+M20*M19</f>
        <v>85</v>
      </c>
      <c r="O20" s="144"/>
      <c r="P20" s="145"/>
      <c r="Q20" s="113"/>
      <c r="R20" s="113"/>
      <c r="S20" s="146"/>
      <c r="T20" s="147"/>
      <c r="U20" s="148"/>
      <c r="V20" s="149"/>
      <c r="W20" s="150"/>
      <c r="X20" s="151"/>
      <c r="Y20" s="152"/>
      <c r="Z20" s="151"/>
      <c r="AA20" s="153"/>
      <c r="AB20" s="154"/>
      <c r="AC20" s="149"/>
      <c r="AD20" s="148"/>
      <c r="AE20" s="148"/>
      <c r="AF20" s="155"/>
      <c r="AG20" s="156"/>
      <c r="AH20" s="113"/>
      <c r="AI20" s="157"/>
      <c r="AJ20" s="113"/>
      <c r="AK20" s="113"/>
      <c r="AL20" s="158"/>
      <c r="AM20" s="159"/>
      <c r="AN20" s="160"/>
      <c r="AO20" s="160"/>
      <c r="AP20" s="133"/>
      <c r="AQ20" s="134"/>
      <c r="AR20" s="161"/>
      <c r="AS20" s="161"/>
      <c r="AT20" s="161"/>
      <c r="AU20" s="161"/>
      <c r="AV20" s="162"/>
      <c r="AW20" s="137"/>
      <c r="AX20" s="137"/>
    </row>
    <row r="21" ht="46.5" customHeight="1" spans="1:50" s="97" customFormat="1" x14ac:dyDescent="0.25">
      <c r="A21" s="98">
        <v>9</v>
      </c>
      <c r="B21" s="99" t="s">
        <v>53</v>
      </c>
      <c r="C21" s="209" t="s">
        <v>91</v>
      </c>
      <c r="D21" s="203" t="s">
        <v>92</v>
      </c>
      <c r="E21" s="100"/>
      <c r="F21" s="100"/>
      <c r="G21" s="103"/>
      <c r="H21" s="186"/>
      <c r="I21" s="166">
        <v>0.51</v>
      </c>
      <c r="J21" s="107">
        <v>0.49</v>
      </c>
      <c r="K21" s="107"/>
      <c r="L21" s="107"/>
      <c r="M21" s="187"/>
      <c r="N21" s="169">
        <f t="shared" si="0"/>
        <v>1</v>
      </c>
      <c r="O21" s="144">
        <v>1</v>
      </c>
      <c r="P21" s="112">
        <v>15</v>
      </c>
      <c r="Q21" s="112">
        <v>15</v>
      </c>
      <c r="R21" s="113"/>
      <c r="S21" s="113"/>
      <c r="T21" s="146"/>
      <c r="U21" s="148">
        <f t="shared" si="1"/>
        <v>15</v>
      </c>
      <c r="V21" s="149">
        <f t="shared" si="2"/>
        <v>15</v>
      </c>
      <c r="W21" s="211">
        <v>7486618000</v>
      </c>
      <c r="X21" s="211">
        <v>4319931000</v>
      </c>
      <c r="Y21" s="120"/>
      <c r="Z21" s="190"/>
      <c r="AA21" s="153"/>
      <c r="AB21" s="154">
        <f t="shared" si="3"/>
        <v>47.06</v>
      </c>
      <c r="AC21" s="149">
        <f t="shared" si="4"/>
        <v>13</v>
      </c>
      <c r="AD21" s="125">
        <v>2</v>
      </c>
      <c r="AE21" s="148">
        <f t="shared" si="5"/>
        <v>15</v>
      </c>
      <c r="AF21" s="156"/>
      <c r="AG21" s="127">
        <v>0.56</v>
      </c>
      <c r="AH21" s="113">
        <f t="shared" si="6"/>
        <v>30</v>
      </c>
      <c r="AI21" s="157">
        <v>65</v>
      </c>
      <c r="AJ21" s="113">
        <f t="shared" si="7"/>
        <v>95.56</v>
      </c>
      <c r="AK21" s="113">
        <f t="shared" si="8"/>
        <v>95</v>
      </c>
      <c r="AL21" s="158">
        <f t="shared" si="9"/>
        <v>0.955</v>
      </c>
      <c r="AM21" s="159"/>
      <c r="AN21" s="160">
        <f t="shared" si="10"/>
        <v>1</v>
      </c>
      <c r="AO21" s="160">
        <f t="shared" si="10"/>
        <v>2</v>
      </c>
      <c r="AP21" s="133"/>
      <c r="AQ21" s="134"/>
      <c r="AR21" s="161"/>
      <c r="AS21" s="161"/>
      <c r="AT21" s="161"/>
      <c r="AU21" s="161"/>
      <c r="AV21" s="162"/>
      <c r="AW21" s="137">
        <f t="shared" si="11"/>
        <v>0</v>
      </c>
      <c r="AX21" s="137">
        <f t="shared" si="12"/>
        <v>0</v>
      </c>
    </row>
    <row r="22" ht="21.95" customHeight="1" spans="1:50" s="97" customFormat="1" x14ac:dyDescent="0.25">
      <c r="A22" s="138" t="s">
        <v>56</v>
      </c>
      <c r="B22" s="139"/>
      <c r="C22" s="139"/>
      <c r="D22" s="139"/>
      <c r="E22" s="139"/>
      <c r="F22" s="139"/>
      <c r="G22" s="139"/>
      <c r="H22" s="140"/>
      <c r="I22" s="142">
        <v>85</v>
      </c>
      <c r="J22" s="142">
        <v>85</v>
      </c>
      <c r="K22" s="142"/>
      <c r="L22" s="142"/>
      <c r="M22" s="142"/>
      <c r="N22" s="170">
        <f>I22*I21+J22*J21+K22*K21+L22*L21+M22*M21</f>
        <v>85</v>
      </c>
      <c r="O22" s="144"/>
      <c r="P22" s="145"/>
      <c r="Q22" s="113"/>
      <c r="R22" s="113"/>
      <c r="S22" s="146"/>
      <c r="T22" s="147"/>
      <c r="U22" s="148"/>
      <c r="V22" s="149"/>
      <c r="W22" s="150"/>
      <c r="X22" s="151"/>
      <c r="Y22" s="152"/>
      <c r="Z22" s="151"/>
      <c r="AA22" s="153"/>
      <c r="AB22" s="154"/>
      <c r="AC22" s="149"/>
      <c r="AD22" s="148"/>
      <c r="AE22" s="148"/>
      <c r="AF22" s="155"/>
      <c r="AG22" s="156"/>
      <c r="AH22" s="113"/>
      <c r="AI22" s="157"/>
      <c r="AJ22" s="113"/>
      <c r="AK22" s="113"/>
      <c r="AL22" s="158"/>
      <c r="AM22" s="159"/>
      <c r="AN22" s="160"/>
      <c r="AO22" s="160"/>
      <c r="AP22" s="133"/>
      <c r="AQ22" s="134"/>
      <c r="AR22" s="161"/>
      <c r="AS22" s="161"/>
      <c r="AT22" s="161"/>
      <c r="AU22" s="161"/>
      <c r="AV22" s="162"/>
      <c r="AW22" s="137"/>
      <c r="AX22" s="137"/>
    </row>
    <row r="23" ht="46.5" customHeight="1" spans="1:50" s="97" customFormat="1" x14ac:dyDescent="0.25">
      <c r="A23" s="98">
        <v>10</v>
      </c>
      <c r="B23" s="99" t="s">
        <v>53</v>
      </c>
      <c r="C23" s="102" t="s">
        <v>93</v>
      </c>
      <c r="D23" s="203" t="s">
        <v>94</v>
      </c>
      <c r="E23" s="193"/>
      <c r="F23" s="100"/>
      <c r="G23" s="103"/>
      <c r="H23" s="186"/>
      <c r="I23" s="166">
        <v>0.51</v>
      </c>
      <c r="J23" s="107">
        <v>0.49</v>
      </c>
      <c r="K23" s="191"/>
      <c r="L23" s="107"/>
      <c r="M23" s="187"/>
      <c r="N23" s="169">
        <f t="shared" si="0"/>
        <v>1</v>
      </c>
      <c r="O23" s="144">
        <v>1</v>
      </c>
      <c r="P23" s="112">
        <v>15</v>
      </c>
      <c r="Q23" s="112">
        <v>15</v>
      </c>
      <c r="R23" s="113"/>
      <c r="S23" s="113"/>
      <c r="T23" s="146"/>
      <c r="U23" s="148">
        <f t="shared" si="1"/>
        <v>15</v>
      </c>
      <c r="V23" s="149">
        <f t="shared" si="2"/>
        <v>15</v>
      </c>
      <c r="W23" s="211">
        <v>229675529000</v>
      </c>
      <c r="X23" s="211">
        <v>14643377000</v>
      </c>
      <c r="Y23" s="211"/>
      <c r="Z23" s="190"/>
      <c r="AA23" s="153"/>
      <c r="AB23" s="154">
        <f t="shared" si="3"/>
        <v>984.36</v>
      </c>
      <c r="AC23" s="149">
        <f t="shared" si="4"/>
        <v>13</v>
      </c>
      <c r="AD23" s="125">
        <v>2</v>
      </c>
      <c r="AE23" s="148">
        <f t="shared" si="5"/>
        <v>15</v>
      </c>
      <c r="AF23" s="156"/>
      <c r="AG23" s="127">
        <v>0.56</v>
      </c>
      <c r="AH23" s="113">
        <f t="shared" si="6"/>
        <v>30</v>
      </c>
      <c r="AI23" s="157">
        <v>65</v>
      </c>
      <c r="AJ23" s="113">
        <f t="shared" si="7"/>
        <v>95.56</v>
      </c>
      <c r="AK23" s="113">
        <f t="shared" si="8"/>
        <v>95</v>
      </c>
      <c r="AL23" s="158">
        <f t="shared" si="9"/>
        <v>0.955</v>
      </c>
      <c r="AM23" s="159"/>
      <c r="AN23" s="160">
        <f t="shared" si="10"/>
        <v>1</v>
      </c>
      <c r="AO23" s="160">
        <f t="shared" si="10"/>
        <v>2</v>
      </c>
      <c r="AP23" s="133"/>
      <c r="AQ23" s="134"/>
      <c r="AR23" s="161"/>
      <c r="AS23" s="161"/>
      <c r="AT23" s="161"/>
      <c r="AU23" s="161"/>
      <c r="AV23" s="162"/>
      <c r="AW23" s="137">
        <f t="shared" si="11"/>
        <v>0</v>
      </c>
      <c r="AX23" s="137">
        <f t="shared" si="12"/>
        <v>0</v>
      </c>
    </row>
    <row r="24" ht="21.95" customHeight="1" spans="1:50" s="97" customFormat="1" x14ac:dyDescent="0.25">
      <c r="A24" s="138" t="s">
        <v>56</v>
      </c>
      <c r="B24" s="139"/>
      <c r="C24" s="139"/>
      <c r="D24" s="139"/>
      <c r="E24" s="139"/>
      <c r="F24" s="139"/>
      <c r="G24" s="139"/>
      <c r="H24" s="140"/>
      <c r="I24" s="142">
        <v>85</v>
      </c>
      <c r="J24" s="142">
        <v>85</v>
      </c>
      <c r="K24" s="142"/>
      <c r="L24" s="142"/>
      <c r="M24" s="142"/>
      <c r="N24" s="170">
        <f>I24*I23+J24*J23+K24*K23+L24*L23+M24*M23</f>
        <v>85</v>
      </c>
      <c r="O24" s="144"/>
      <c r="P24" s="145"/>
      <c r="Q24" s="113"/>
      <c r="R24" s="113"/>
      <c r="S24" s="146"/>
      <c r="T24" s="147"/>
      <c r="U24" s="148"/>
      <c r="V24" s="149"/>
      <c r="W24" s="150"/>
      <c r="X24" s="151"/>
      <c r="Y24" s="152"/>
      <c r="Z24" s="151"/>
      <c r="AA24" s="153"/>
      <c r="AB24" s="154"/>
      <c r="AC24" s="149"/>
      <c r="AD24" s="148"/>
      <c r="AE24" s="148"/>
      <c r="AF24" s="155"/>
      <c r="AG24" s="156"/>
      <c r="AH24" s="113"/>
      <c r="AI24" s="157"/>
      <c r="AJ24" s="113"/>
      <c r="AK24" s="113"/>
      <c r="AL24" s="158"/>
      <c r="AM24" s="159"/>
      <c r="AN24" s="160"/>
      <c r="AO24" s="160"/>
      <c r="AP24" s="133"/>
      <c r="AQ24" s="134"/>
      <c r="AR24" s="161"/>
      <c r="AS24" s="161"/>
      <c r="AT24" s="161"/>
      <c r="AU24" s="161"/>
      <c r="AV24" s="162"/>
      <c r="AW24" s="137"/>
      <c r="AX24" s="137"/>
    </row>
    <row r="25" ht="46.5" customHeight="1" spans="1:50" s="97" customFormat="1" x14ac:dyDescent="0.25">
      <c r="A25" s="98">
        <v>11</v>
      </c>
      <c r="B25" s="215" t="s">
        <v>62</v>
      </c>
      <c r="C25" s="209" t="s">
        <v>95</v>
      </c>
      <c r="D25" s="203"/>
      <c r="E25" s="216" t="s">
        <v>96</v>
      </c>
      <c r="F25" s="100"/>
      <c r="G25" s="103"/>
      <c r="H25" s="186"/>
      <c r="I25" s="166">
        <v>0.65</v>
      </c>
      <c r="J25" s="107">
        <v>0.2</v>
      </c>
      <c r="K25" s="107">
        <v>0.15</v>
      </c>
      <c r="L25" s="107"/>
      <c r="M25" s="187"/>
      <c r="N25" s="169">
        <f t="shared" si="0"/>
        <v>1</v>
      </c>
      <c r="O25" s="144">
        <v>1</v>
      </c>
      <c r="P25" s="145">
        <v>15</v>
      </c>
      <c r="Q25" s="217">
        <v>15</v>
      </c>
      <c r="R25" s="218">
        <v>14.79</v>
      </c>
      <c r="S25" s="113"/>
      <c r="T25" s="146"/>
      <c r="U25" s="148">
        <f t="shared" si="1"/>
        <v>14.97</v>
      </c>
      <c r="V25" s="149">
        <f t="shared" si="2"/>
        <v>14.97</v>
      </c>
      <c r="W25" s="192">
        <v>8216820000</v>
      </c>
      <c r="X25" s="120">
        <v>0</v>
      </c>
      <c r="Y25" s="120">
        <v>317658000</v>
      </c>
      <c r="Z25" s="190"/>
      <c r="AA25" s="153"/>
      <c r="AB25" s="154">
        <f t="shared" si="3"/>
        <v>42.64</v>
      </c>
      <c r="AC25" s="149">
        <f t="shared" si="4"/>
        <v>13</v>
      </c>
      <c r="AD25" s="125">
        <v>2</v>
      </c>
      <c r="AE25" s="148">
        <f t="shared" si="5"/>
        <v>15</v>
      </c>
      <c r="AF25" s="219">
        <f>0.5*I25</f>
        <v>0.325</v>
      </c>
      <c r="AG25" s="127">
        <v>0.56</v>
      </c>
      <c r="AH25" s="113">
        <f t="shared" si="6"/>
        <v>30</v>
      </c>
      <c r="AI25" s="157">
        <v>65</v>
      </c>
      <c r="AJ25" s="113">
        <f t="shared" si="7"/>
        <v>95.855</v>
      </c>
      <c r="AK25" s="113">
        <f t="shared" si="8"/>
        <v>95</v>
      </c>
      <c r="AL25" s="158">
        <f t="shared" si="9"/>
        <v>0.955</v>
      </c>
      <c r="AM25" s="159"/>
      <c r="AN25" s="160">
        <f t="shared" si="10"/>
        <v>1</v>
      </c>
      <c r="AO25" s="160">
        <f t="shared" si="10"/>
        <v>2</v>
      </c>
      <c r="AP25" s="133"/>
      <c r="AQ25" s="134"/>
      <c r="AR25" s="161"/>
      <c r="AS25" s="161"/>
      <c r="AT25" s="161"/>
      <c r="AU25" s="161"/>
      <c r="AV25" s="162"/>
      <c r="AW25" s="137">
        <f t="shared" si="11"/>
        <v>0</v>
      </c>
      <c r="AX25" s="137">
        <f t="shared" si="12"/>
        <v>0</v>
      </c>
    </row>
    <row r="26" ht="21.95" customHeight="1" spans="1:50" s="97" customFormat="1" x14ac:dyDescent="0.25">
      <c r="A26" s="138" t="s">
        <v>56</v>
      </c>
      <c r="B26" s="139"/>
      <c r="C26" s="139"/>
      <c r="D26" s="139"/>
      <c r="E26" s="139"/>
      <c r="F26" s="139"/>
      <c r="G26" s="139"/>
      <c r="H26" s="140"/>
      <c r="I26" s="142">
        <v>85</v>
      </c>
      <c r="J26" s="142">
        <v>85</v>
      </c>
      <c r="K26" s="142">
        <v>85</v>
      </c>
      <c r="L26" s="142"/>
      <c r="M26" s="142"/>
      <c r="N26" s="170">
        <f>I26*I25+J26*J25+K26*K25+L26*L25+M26*M25</f>
        <v>85</v>
      </c>
      <c r="O26" s="144"/>
      <c r="P26" s="145"/>
      <c r="Q26" s="113"/>
      <c r="R26" s="113"/>
      <c r="S26" s="146"/>
      <c r="T26" s="147"/>
      <c r="U26" s="148"/>
      <c r="V26" s="149"/>
      <c r="W26" s="150"/>
      <c r="X26" s="151"/>
      <c r="Y26" s="152"/>
      <c r="Z26" s="151"/>
      <c r="AA26" s="153"/>
      <c r="AB26" s="154"/>
      <c r="AC26" s="149"/>
      <c r="AD26" s="148"/>
      <c r="AE26" s="148"/>
      <c r="AF26" s="155"/>
      <c r="AG26" s="156"/>
      <c r="AH26" s="113"/>
      <c r="AI26" s="157"/>
      <c r="AJ26" s="113"/>
      <c r="AK26" s="113"/>
      <c r="AL26" s="158"/>
      <c r="AM26" s="159"/>
      <c r="AN26" s="160"/>
      <c r="AO26" s="160"/>
      <c r="AP26" s="133"/>
      <c r="AQ26" s="134"/>
      <c r="AR26" s="161"/>
      <c r="AS26" s="161"/>
      <c r="AT26" s="161"/>
      <c r="AU26" s="161"/>
      <c r="AV26" s="162"/>
      <c r="AW26" s="137"/>
      <c r="AX26" s="137"/>
    </row>
    <row r="27" ht="46.5" customHeight="1" spans="1:50" s="97" customFormat="1" x14ac:dyDescent="0.25">
      <c r="A27" s="98"/>
      <c r="B27" s="196"/>
      <c r="C27" s="102"/>
      <c r="D27" s="100"/>
      <c r="E27" s="100"/>
      <c r="F27" s="100"/>
      <c r="G27" s="103"/>
      <c r="H27" s="186"/>
      <c r="I27" s="195">
        <v>0.51</v>
      </c>
      <c r="J27" s="107">
        <v>0.49</v>
      </c>
      <c r="K27" s="107"/>
      <c r="L27" s="107"/>
      <c r="M27" s="187"/>
      <c r="N27" s="169">
        <f t="shared" si="0"/>
        <v>1</v>
      </c>
      <c r="O27" s="144">
        <v>1</v>
      </c>
      <c r="P27" s="145">
        <v>15</v>
      </c>
      <c r="Q27" s="113">
        <v>15</v>
      </c>
      <c r="R27" s="156"/>
      <c r="S27" s="113"/>
      <c r="T27" s="146"/>
      <c r="U27" s="148">
        <f t="shared" si="1"/>
        <v>15</v>
      </c>
      <c r="V27" s="149">
        <f t="shared" si="2"/>
        <v>15</v>
      </c>
      <c r="W27" s="197"/>
      <c r="X27" s="120"/>
      <c r="Y27" s="183"/>
      <c r="Z27" s="190"/>
      <c r="AA27" s="153"/>
      <c r="AB27" s="154">
        <f t="shared" si="3"/>
        <v>0</v>
      </c>
      <c r="AC27" s="149">
        <f t="shared" si="4"/>
        <v>0</v>
      </c>
      <c r="AD27" s="125">
        <v>2</v>
      </c>
      <c r="AE27" s="148">
        <f t="shared" si="5"/>
        <v>2</v>
      </c>
      <c r="AF27" s="156"/>
      <c r="AG27" s="156"/>
      <c r="AH27" s="113">
        <f t="shared" si="6"/>
        <v>17</v>
      </c>
      <c r="AI27" s="157">
        <v>65</v>
      </c>
      <c r="AJ27" s="113">
        <f t="shared" si="7"/>
        <v>82</v>
      </c>
      <c r="AK27" s="113">
        <f t="shared" si="8"/>
        <v>82</v>
      </c>
      <c r="AL27" s="158">
        <f t="shared" si="9"/>
        <v>1.02</v>
      </c>
      <c r="AM27" s="159"/>
      <c r="AN27" s="160">
        <f t="shared" si="10"/>
        <v>1</v>
      </c>
      <c r="AO27" s="160">
        <f t="shared" si="10"/>
        <v>2</v>
      </c>
      <c r="AP27" s="133"/>
      <c r="AQ27" s="134"/>
      <c r="AR27" s="161"/>
      <c r="AS27" s="161"/>
      <c r="AT27" s="161"/>
      <c r="AU27" s="161"/>
      <c r="AV27" s="162"/>
      <c r="AW27" s="137">
        <f t="shared" si="11"/>
        <v>0</v>
      </c>
      <c r="AX27" s="137">
        <f t="shared" si="12"/>
        <v>0</v>
      </c>
    </row>
    <row r="28" ht="46.5" customHeight="1" spans="1:50" s="97" customFormat="1" x14ac:dyDescent="0.25">
      <c r="A28" s="100"/>
      <c r="B28" s="100"/>
      <c r="C28" s="209"/>
      <c r="D28" s="214"/>
      <c r="E28" s="100"/>
      <c r="F28" s="100"/>
      <c r="G28" s="103"/>
      <c r="H28" s="186"/>
      <c r="I28" s="195">
        <v>0.51</v>
      </c>
      <c r="J28" s="107">
        <v>0.49</v>
      </c>
      <c r="K28" s="107"/>
      <c r="L28" s="107"/>
      <c r="M28" s="187"/>
      <c r="N28" s="169">
        <f t="shared" si="0"/>
        <v>1</v>
      </c>
      <c r="O28" s="144">
        <v>1</v>
      </c>
      <c r="P28" s="145">
        <v>15</v>
      </c>
      <c r="Q28" s="113">
        <v>15</v>
      </c>
      <c r="R28" s="113"/>
      <c r="S28" s="113"/>
      <c r="T28" s="146"/>
      <c r="U28" s="148">
        <f t="shared" si="1"/>
        <v>15</v>
      </c>
      <c r="V28" s="149">
        <f t="shared" si="2"/>
        <v>15</v>
      </c>
      <c r="W28" s="189"/>
      <c r="X28" s="199"/>
      <c r="Y28" s="151"/>
      <c r="Z28" s="190"/>
      <c r="AA28" s="153"/>
      <c r="AB28" s="154">
        <f t="shared" si="3"/>
        <v>0</v>
      </c>
      <c r="AC28" s="149">
        <f t="shared" si="4"/>
        <v>0</v>
      </c>
      <c r="AD28" s="125">
        <v>2</v>
      </c>
      <c r="AE28" s="148">
        <f t="shared" si="5"/>
        <v>2</v>
      </c>
      <c r="AF28" s="156"/>
      <c r="AG28" s="156"/>
      <c r="AH28" s="113">
        <f t="shared" si="6"/>
        <v>17</v>
      </c>
      <c r="AI28" s="157">
        <v>65</v>
      </c>
      <c r="AJ28" s="113">
        <f t="shared" si="7"/>
        <v>82</v>
      </c>
      <c r="AK28" s="113">
        <f t="shared" si="8"/>
        <v>82</v>
      </c>
      <c r="AL28" s="158">
        <f t="shared" si="9"/>
        <v>1.02</v>
      </c>
      <c r="AM28" s="159"/>
      <c r="AN28" s="160">
        <f t="shared" si="10"/>
        <v>1</v>
      </c>
      <c r="AO28" s="160">
        <f t="shared" si="10"/>
        <v>2</v>
      </c>
      <c r="AP28" s="133"/>
      <c r="AQ28" s="134"/>
      <c r="AR28" s="161"/>
      <c r="AS28" s="161"/>
      <c r="AT28" s="161"/>
      <c r="AU28" s="161"/>
      <c r="AV28" s="162"/>
      <c r="AW28" s="137">
        <f t="shared" si="11"/>
        <v>0</v>
      </c>
      <c r="AX28" s="137">
        <f t="shared" si="12"/>
        <v>0</v>
      </c>
    </row>
    <row r="29" ht="46.5" customHeight="1" spans="1:50" s="97" customFormat="1" x14ac:dyDescent="0.25">
      <c r="A29" s="100"/>
      <c r="B29" s="100"/>
      <c r="C29" s="101" t="s">
        <v>97</v>
      </c>
      <c r="D29" s="102"/>
      <c r="E29" s="102"/>
      <c r="F29" s="100"/>
      <c r="G29" s="103"/>
      <c r="H29" s="186"/>
      <c r="I29" s="195">
        <v>0.51</v>
      </c>
      <c r="J29" s="107">
        <v>0.49</v>
      </c>
      <c r="K29" s="107"/>
      <c r="L29" s="107"/>
      <c r="M29" s="187"/>
      <c r="N29" s="169">
        <f t="shared" si="0"/>
        <v>1</v>
      </c>
      <c r="O29" s="144">
        <v>1</v>
      </c>
      <c r="P29" s="145">
        <v>15</v>
      </c>
      <c r="Q29" s="113">
        <v>15</v>
      </c>
      <c r="R29" s="113"/>
      <c r="S29" s="113"/>
      <c r="T29" s="146"/>
      <c r="U29" s="148">
        <f t="shared" si="1"/>
        <v>15</v>
      </c>
      <c r="V29" s="149">
        <f t="shared" si="2"/>
        <v>15</v>
      </c>
      <c r="W29" s="189"/>
      <c r="X29" s="199"/>
      <c r="Y29" s="151"/>
      <c r="Z29" s="190"/>
      <c r="AA29" s="153"/>
      <c r="AB29" s="154">
        <f t="shared" si="3"/>
        <v>0</v>
      </c>
      <c r="AC29" s="149">
        <f t="shared" si="4"/>
        <v>0</v>
      </c>
      <c r="AD29" s="125">
        <v>2</v>
      </c>
      <c r="AE29" s="148">
        <f t="shared" si="5"/>
        <v>2</v>
      </c>
      <c r="AF29" s="156"/>
      <c r="AG29" s="156"/>
      <c r="AH29" s="113">
        <f t="shared" si="6"/>
        <v>17</v>
      </c>
      <c r="AI29" s="157">
        <v>65</v>
      </c>
      <c r="AJ29" s="113">
        <f t="shared" si="7"/>
        <v>82</v>
      </c>
      <c r="AK29" s="113">
        <f t="shared" si="8"/>
        <v>82</v>
      </c>
      <c r="AL29" s="158">
        <f t="shared" si="9"/>
        <v>1.02</v>
      </c>
      <c r="AM29" s="159"/>
      <c r="AN29" s="160">
        <f t="shared" si="10"/>
        <v>1</v>
      </c>
      <c r="AO29" s="160">
        <f t="shared" si="10"/>
        <v>2</v>
      </c>
      <c r="AP29" s="133"/>
      <c r="AQ29" s="134"/>
      <c r="AR29" s="161"/>
      <c r="AS29" s="161"/>
      <c r="AT29" s="161"/>
      <c r="AU29" s="161"/>
      <c r="AV29" s="162"/>
      <c r="AW29" s="137">
        <f t="shared" si="11"/>
        <v>0</v>
      </c>
      <c r="AX29" s="137">
        <f t="shared" si="12"/>
        <v>0</v>
      </c>
    </row>
    <row r="30" ht="46.5" customHeight="1" spans="1:50" s="97" customFormat="1" x14ac:dyDescent="0.25">
      <c r="A30" s="100"/>
      <c r="B30" s="100"/>
      <c r="C30" s="102"/>
      <c r="D30" s="102"/>
      <c r="E30" s="198"/>
      <c r="F30" s="100"/>
      <c r="G30" s="103"/>
      <c r="H30" s="186"/>
      <c r="I30" s="195">
        <v>0.51</v>
      </c>
      <c r="J30" s="107">
        <v>0.49</v>
      </c>
      <c r="K30" s="107"/>
      <c r="L30" s="107"/>
      <c r="M30" s="187"/>
      <c r="N30" s="169">
        <f t="shared" si="0"/>
        <v>1</v>
      </c>
      <c r="O30" s="144">
        <v>1</v>
      </c>
      <c r="P30" s="145">
        <v>15</v>
      </c>
      <c r="Q30" s="113">
        <v>15</v>
      </c>
      <c r="R30" s="113"/>
      <c r="S30" s="113"/>
      <c r="T30" s="146"/>
      <c r="U30" s="148">
        <f t="shared" si="1"/>
        <v>15</v>
      </c>
      <c r="V30" s="149">
        <f t="shared" si="2"/>
        <v>15</v>
      </c>
      <c r="W30" s="189"/>
      <c r="X30" s="199"/>
      <c r="Y30" s="151"/>
      <c r="Z30" s="190"/>
      <c r="AA30" s="153"/>
      <c r="AB30" s="154">
        <f t="shared" si="3"/>
        <v>0</v>
      </c>
      <c r="AC30" s="149">
        <f t="shared" si="4"/>
        <v>0</v>
      </c>
      <c r="AD30" s="125">
        <v>2</v>
      </c>
      <c r="AE30" s="148">
        <f t="shared" si="5"/>
        <v>2</v>
      </c>
      <c r="AF30" s="156"/>
      <c r="AG30" s="156"/>
      <c r="AH30" s="113">
        <f t="shared" si="6"/>
        <v>17</v>
      </c>
      <c r="AI30" s="157">
        <v>65</v>
      </c>
      <c r="AJ30" s="113">
        <f t="shared" si="7"/>
        <v>82</v>
      </c>
      <c r="AK30" s="113">
        <f t="shared" si="8"/>
        <v>82</v>
      </c>
      <c r="AL30" s="158">
        <f t="shared" si="9"/>
        <v>1.02</v>
      </c>
      <c r="AM30" s="159"/>
      <c r="AN30" s="160">
        <f t="shared" si="10"/>
        <v>1</v>
      </c>
      <c r="AO30" s="160">
        <f t="shared" si="10"/>
        <v>2</v>
      </c>
      <c r="AP30" s="133"/>
      <c r="AQ30" s="134"/>
      <c r="AR30" s="161"/>
      <c r="AS30" s="161"/>
      <c r="AT30" s="161"/>
      <c r="AU30" s="161"/>
      <c r="AV30" s="162"/>
      <c r="AW30" s="137">
        <f t="shared" si="11"/>
        <v>0</v>
      </c>
      <c r="AX30" s="137">
        <f t="shared" si="12"/>
        <v>0</v>
      </c>
    </row>
    <row r="31" ht="46.5" customHeight="1" spans="1:50" s="97" customFormat="1" x14ac:dyDescent="0.25">
      <c r="A31" s="100"/>
      <c r="B31" s="100"/>
      <c r="C31" s="100"/>
      <c r="D31" s="102"/>
      <c r="E31" s="102"/>
      <c r="F31" s="100"/>
      <c r="G31" s="103"/>
      <c r="H31" s="186"/>
      <c r="I31" s="195">
        <v>0.51</v>
      </c>
      <c r="J31" s="107">
        <v>0.49</v>
      </c>
      <c r="K31" s="107"/>
      <c r="L31" s="107"/>
      <c r="M31" s="187"/>
      <c r="N31" s="169">
        <f t="shared" si="0"/>
        <v>1</v>
      </c>
      <c r="O31" s="144">
        <v>1</v>
      </c>
      <c r="P31" s="145">
        <v>15</v>
      </c>
      <c r="Q31" s="113">
        <v>15</v>
      </c>
      <c r="R31" s="113"/>
      <c r="S31" s="113"/>
      <c r="T31" s="146"/>
      <c r="U31" s="148">
        <f t="shared" si="1"/>
        <v>15</v>
      </c>
      <c r="V31" s="149">
        <f t="shared" si="2"/>
        <v>15</v>
      </c>
      <c r="W31" s="189"/>
      <c r="X31" s="199"/>
      <c r="Y31" s="151"/>
      <c r="Z31" s="190"/>
      <c r="AA31" s="153"/>
      <c r="AB31" s="154">
        <f t="shared" si="3"/>
        <v>0</v>
      </c>
      <c r="AC31" s="149">
        <f t="shared" si="4"/>
        <v>0</v>
      </c>
      <c r="AD31" s="125">
        <v>2</v>
      </c>
      <c r="AE31" s="148">
        <f t="shared" si="5"/>
        <v>2</v>
      </c>
      <c r="AF31" s="156"/>
      <c r="AG31" s="156"/>
      <c r="AH31" s="113">
        <f t="shared" si="6"/>
        <v>17</v>
      </c>
      <c r="AI31" s="157">
        <v>65</v>
      </c>
      <c r="AJ31" s="113">
        <f t="shared" si="7"/>
        <v>82</v>
      </c>
      <c r="AK31" s="113">
        <f t="shared" si="8"/>
        <v>82</v>
      </c>
      <c r="AL31" s="158">
        <f t="shared" si="9"/>
        <v>1.02</v>
      </c>
      <c r="AM31" s="159"/>
      <c r="AN31" s="160">
        <f t="shared" si="10"/>
        <v>1</v>
      </c>
      <c r="AO31" s="160">
        <f t="shared" si="10"/>
        <v>2</v>
      </c>
      <c r="AP31" s="133"/>
      <c r="AQ31" s="134"/>
      <c r="AR31" s="161"/>
      <c r="AS31" s="161"/>
      <c r="AT31" s="161"/>
      <c r="AU31" s="161"/>
      <c r="AV31" s="162"/>
      <c r="AW31" s="137">
        <f t="shared" si="11"/>
        <v>0</v>
      </c>
      <c r="AX31" s="137">
        <f t="shared" si="12"/>
        <v>0</v>
      </c>
    </row>
    <row r="32" ht="46.5" customHeight="1" spans="1:50" s="97" customFormat="1" x14ac:dyDescent="0.25">
      <c r="A32" s="100"/>
      <c r="B32" s="100"/>
      <c r="C32" s="100" t="s">
        <v>76</v>
      </c>
      <c r="D32" s="174"/>
      <c r="E32" s="100"/>
      <c r="F32" s="100"/>
      <c r="G32" s="103"/>
      <c r="H32" s="186"/>
      <c r="I32" s="195">
        <v>0.51</v>
      </c>
      <c r="J32" s="107">
        <v>0.49</v>
      </c>
      <c r="K32" s="107"/>
      <c r="L32" s="107"/>
      <c r="M32" s="187"/>
      <c r="N32" s="169">
        <f t="shared" si="0"/>
        <v>1</v>
      </c>
      <c r="O32" s="144">
        <v>1</v>
      </c>
      <c r="P32" s="145">
        <v>15</v>
      </c>
      <c r="Q32" s="113">
        <v>15</v>
      </c>
      <c r="R32" s="113"/>
      <c r="S32" s="113"/>
      <c r="T32" s="146"/>
      <c r="U32" s="148">
        <f t="shared" si="1"/>
        <v>15</v>
      </c>
      <c r="V32" s="149">
        <f t="shared" si="2"/>
        <v>15</v>
      </c>
      <c r="W32" s="189"/>
      <c r="X32" s="199"/>
      <c r="Y32" s="151"/>
      <c r="Z32" s="190"/>
      <c r="AA32" s="153"/>
      <c r="AB32" s="154">
        <f t="shared" si="3"/>
        <v>0</v>
      </c>
      <c r="AC32" s="149">
        <f t="shared" si="4"/>
        <v>0</v>
      </c>
      <c r="AD32" s="125">
        <v>2</v>
      </c>
      <c r="AE32" s="148">
        <f t="shared" si="5"/>
        <v>2</v>
      </c>
      <c r="AF32" s="156"/>
      <c r="AG32" s="156"/>
      <c r="AH32" s="113">
        <f t="shared" si="6"/>
        <v>17</v>
      </c>
      <c r="AI32" s="157">
        <v>65</v>
      </c>
      <c r="AJ32" s="113">
        <f t="shared" si="7"/>
        <v>82</v>
      </c>
      <c r="AK32" s="113">
        <f t="shared" si="8"/>
        <v>82</v>
      </c>
      <c r="AL32" s="158">
        <f t="shared" si="9"/>
        <v>1.02</v>
      </c>
      <c r="AM32" s="159"/>
      <c r="AN32" s="160">
        <f t="shared" si="10"/>
        <v>1</v>
      </c>
      <c r="AO32" s="160">
        <f t="shared" si="10"/>
        <v>2</v>
      </c>
      <c r="AP32" s="133"/>
      <c r="AQ32" s="134"/>
      <c r="AR32" s="161"/>
      <c r="AS32" s="161"/>
      <c r="AT32" s="161"/>
      <c r="AU32" s="161"/>
      <c r="AV32" s="162"/>
      <c r="AW32" s="137">
        <f t="shared" si="11"/>
        <v>0</v>
      </c>
      <c r="AX32" s="137">
        <f t="shared" si="12"/>
        <v>0</v>
      </c>
    </row>
    <row r="33" ht="46.5" customHeight="1" spans="1:50" s="97" customFormat="1" x14ac:dyDescent="0.25">
      <c r="A33" s="100"/>
      <c r="B33" s="100"/>
      <c r="C33" s="101" t="s">
        <v>77</v>
      </c>
      <c r="D33" s="101" t="s">
        <v>78</v>
      </c>
      <c r="E33" s="101" t="s">
        <v>79</v>
      </c>
      <c r="F33" s="100"/>
      <c r="G33" s="103"/>
      <c r="H33" s="186"/>
      <c r="I33" s="195">
        <v>0.51</v>
      </c>
      <c r="J33" s="107">
        <v>0.49</v>
      </c>
      <c r="K33" s="107"/>
      <c r="L33" s="107"/>
      <c r="M33" s="187"/>
      <c r="N33" s="169">
        <f t="shared" si="0"/>
        <v>1</v>
      </c>
      <c r="O33" s="144">
        <v>1</v>
      </c>
      <c r="P33" s="145">
        <v>15</v>
      </c>
      <c r="Q33" s="113">
        <v>15</v>
      </c>
      <c r="R33" s="113"/>
      <c r="S33" s="113"/>
      <c r="T33" s="146"/>
      <c r="U33" s="148">
        <f t="shared" si="1"/>
        <v>15</v>
      </c>
      <c r="V33" s="149">
        <f t="shared" si="2"/>
        <v>15</v>
      </c>
      <c r="W33" s="189"/>
      <c r="X33" s="199"/>
      <c r="Y33" s="151"/>
      <c r="Z33" s="190"/>
      <c r="AA33" s="153"/>
      <c r="AB33" s="154">
        <f t="shared" si="3"/>
        <v>0</v>
      </c>
      <c r="AC33" s="149">
        <f t="shared" si="4"/>
        <v>0</v>
      </c>
      <c r="AD33" s="125">
        <v>2</v>
      </c>
      <c r="AE33" s="148">
        <f t="shared" si="5"/>
        <v>2</v>
      </c>
      <c r="AF33" s="156"/>
      <c r="AG33" s="156"/>
      <c r="AH33" s="113">
        <f t="shared" si="6"/>
        <v>17</v>
      </c>
      <c r="AI33" s="157">
        <v>65</v>
      </c>
      <c r="AJ33" s="113">
        <f t="shared" si="7"/>
        <v>82</v>
      </c>
      <c r="AK33" s="113">
        <f t="shared" si="8"/>
        <v>82</v>
      </c>
      <c r="AL33" s="158">
        <f t="shared" si="9"/>
        <v>1.02</v>
      </c>
      <c r="AM33" s="159"/>
      <c r="AN33" s="160">
        <f t="shared" si="10"/>
        <v>1</v>
      </c>
      <c r="AO33" s="160">
        <f t="shared" si="10"/>
        <v>2</v>
      </c>
      <c r="AP33" s="133"/>
      <c r="AQ33" s="134"/>
      <c r="AR33" s="161"/>
      <c r="AS33" s="161"/>
      <c r="AT33" s="161"/>
      <c r="AU33" s="161"/>
      <c r="AV33" s="162"/>
      <c r="AW33" s="137">
        <f t="shared" si="11"/>
        <v>0</v>
      </c>
      <c r="AX33" s="137">
        <f t="shared" si="12"/>
        <v>0</v>
      </c>
    </row>
    <row r="34" ht="46.5" customHeight="1" spans="1:50" s="97" customFormat="1" x14ac:dyDescent="0.25">
      <c r="A34" s="100"/>
      <c r="B34" s="100"/>
      <c r="C34" s="100" t="s">
        <v>80</v>
      </c>
      <c r="D34" s="200" t="s">
        <v>81</v>
      </c>
      <c r="E34" s="174"/>
      <c r="F34" s="100"/>
      <c r="G34" s="103"/>
      <c r="H34" s="186"/>
      <c r="I34" s="195">
        <v>0.51</v>
      </c>
      <c r="J34" s="107">
        <v>0.49</v>
      </c>
      <c r="K34" s="107"/>
      <c r="L34" s="107"/>
      <c r="M34" s="187"/>
      <c r="N34" s="169">
        <f t="shared" si="0"/>
        <v>1</v>
      </c>
      <c r="O34" s="144">
        <v>1</v>
      </c>
      <c r="P34" s="145">
        <v>15</v>
      </c>
      <c r="Q34" s="113">
        <v>15</v>
      </c>
      <c r="R34" s="113"/>
      <c r="S34" s="113"/>
      <c r="T34" s="146"/>
      <c r="U34" s="148">
        <f t="shared" si="1"/>
        <v>15</v>
      </c>
      <c r="V34" s="149">
        <f t="shared" si="2"/>
        <v>15</v>
      </c>
      <c r="W34" s="189"/>
      <c r="X34" s="199"/>
      <c r="Y34" s="151"/>
      <c r="Z34" s="190"/>
      <c r="AA34" s="153"/>
      <c r="AB34" s="154">
        <f t="shared" si="3"/>
        <v>0</v>
      </c>
      <c r="AC34" s="149">
        <f t="shared" si="4"/>
        <v>0</v>
      </c>
      <c r="AD34" s="125">
        <v>2</v>
      </c>
      <c r="AE34" s="148">
        <f t="shared" si="5"/>
        <v>2</v>
      </c>
      <c r="AF34" s="156"/>
      <c r="AG34" s="156"/>
      <c r="AH34" s="113">
        <f t="shared" si="6"/>
        <v>17</v>
      </c>
      <c r="AI34" s="157">
        <v>65</v>
      </c>
      <c r="AJ34" s="113">
        <f t="shared" si="7"/>
        <v>82</v>
      </c>
      <c r="AK34" s="113">
        <f t="shared" si="8"/>
        <v>82</v>
      </c>
      <c r="AL34" s="158">
        <f t="shared" si="9"/>
        <v>1.02</v>
      </c>
      <c r="AM34" s="159"/>
      <c r="AN34" s="160">
        <f t="shared" si="10"/>
        <v>1</v>
      </c>
      <c r="AO34" s="160">
        <f t="shared" si="10"/>
        <v>2</v>
      </c>
      <c r="AP34" s="133"/>
      <c r="AQ34" s="134"/>
      <c r="AR34" s="161"/>
      <c r="AS34" s="161"/>
      <c r="AT34" s="161"/>
      <c r="AU34" s="161"/>
      <c r="AV34" s="162"/>
      <c r="AW34" s="137">
        <f t="shared" si="11"/>
        <v>0</v>
      </c>
      <c r="AX34" s="137">
        <f t="shared" si="12"/>
        <v>0</v>
      </c>
    </row>
    <row r="35" ht="46.5" customHeight="1" spans="1:50" s="97" customFormat="1" x14ac:dyDescent="0.25">
      <c r="A35" s="100"/>
      <c r="B35" s="100"/>
      <c r="C35" s="101"/>
      <c r="D35" s="201" t="s">
        <v>82</v>
      </c>
      <c r="E35" s="200" t="s">
        <v>81</v>
      </c>
      <c r="F35" s="100"/>
      <c r="G35" s="103"/>
      <c r="H35" s="186"/>
      <c r="I35" s="195">
        <v>0.51</v>
      </c>
      <c r="J35" s="107">
        <v>0.49</v>
      </c>
      <c r="K35" s="107"/>
      <c r="L35" s="107"/>
      <c r="M35" s="187"/>
      <c r="N35" s="169">
        <f t="shared" si="0"/>
        <v>1</v>
      </c>
      <c r="O35" s="144">
        <v>1</v>
      </c>
      <c r="P35" s="145">
        <v>15</v>
      </c>
      <c r="Q35" s="113">
        <v>15</v>
      </c>
      <c r="R35" s="113"/>
      <c r="S35" s="113"/>
      <c r="T35" s="146"/>
      <c r="U35" s="148">
        <f t="shared" si="1"/>
        <v>15</v>
      </c>
      <c r="V35" s="149">
        <f t="shared" si="2"/>
        <v>15</v>
      </c>
      <c r="W35" s="189"/>
      <c r="X35" s="199"/>
      <c r="Y35" s="151"/>
      <c r="Z35" s="190"/>
      <c r="AA35" s="153"/>
      <c r="AB35" s="154">
        <f t="shared" si="3"/>
        <v>0</v>
      </c>
      <c r="AC35" s="149">
        <f t="shared" si="4"/>
        <v>0</v>
      </c>
      <c r="AD35" s="125">
        <v>2</v>
      </c>
      <c r="AE35" s="148">
        <f t="shared" si="5"/>
        <v>2</v>
      </c>
      <c r="AF35" s="156"/>
      <c r="AG35" s="156"/>
      <c r="AH35" s="113">
        <f t="shared" si="6"/>
        <v>17</v>
      </c>
      <c r="AI35" s="157">
        <v>65</v>
      </c>
      <c r="AJ35" s="113">
        <f t="shared" si="7"/>
        <v>82</v>
      </c>
      <c r="AK35" s="113">
        <f t="shared" si="8"/>
        <v>82</v>
      </c>
      <c r="AL35" s="158">
        <f t="shared" si="9"/>
        <v>1.02</v>
      </c>
      <c r="AM35" s="159"/>
      <c r="AN35" s="160">
        <f t="shared" si="10"/>
        <v>1</v>
      </c>
      <c r="AO35" s="160">
        <f t="shared" si="10"/>
        <v>2</v>
      </c>
      <c r="AP35" s="133"/>
      <c r="AQ35" s="134"/>
      <c r="AR35" s="161"/>
      <c r="AS35" s="161"/>
      <c r="AT35" s="161"/>
      <c r="AU35" s="161"/>
      <c r="AV35" s="162"/>
      <c r="AW35" s="137">
        <f t="shared" si="11"/>
        <v>0</v>
      </c>
      <c r="AX35" s="137">
        <f t="shared" si="12"/>
        <v>0</v>
      </c>
    </row>
    <row r="36" ht="46.5" customHeight="1" spans="1:50" s="97" customFormat="1" x14ac:dyDescent="0.25">
      <c r="A36" s="100"/>
      <c r="B36" s="100"/>
      <c r="C36" s="100"/>
      <c r="D36" s="100"/>
      <c r="E36" s="100"/>
      <c r="F36" s="100"/>
      <c r="G36" s="103"/>
      <c r="H36" s="186"/>
      <c r="I36" s="195">
        <v>0.51</v>
      </c>
      <c r="J36" s="107">
        <v>0.49</v>
      </c>
      <c r="K36" s="107"/>
      <c r="L36" s="107"/>
      <c r="M36" s="187"/>
      <c r="N36" s="169">
        <f t="shared" si="0"/>
        <v>1</v>
      </c>
      <c r="O36" s="144">
        <v>1</v>
      </c>
      <c r="P36" s="145">
        <v>15</v>
      </c>
      <c r="Q36" s="113">
        <v>15</v>
      </c>
      <c r="R36" s="113"/>
      <c r="S36" s="113"/>
      <c r="T36" s="146"/>
      <c r="U36" s="148">
        <f t="shared" si="1"/>
        <v>15</v>
      </c>
      <c r="V36" s="149">
        <f t="shared" si="2"/>
        <v>15</v>
      </c>
      <c r="W36" s="189"/>
      <c r="X36" s="199"/>
      <c r="Y36" s="151"/>
      <c r="Z36" s="190"/>
      <c r="AA36" s="153"/>
      <c r="AB36" s="154">
        <f t="shared" si="3"/>
        <v>0</v>
      </c>
      <c r="AC36" s="149">
        <f t="shared" si="4"/>
        <v>0</v>
      </c>
      <c r="AD36" s="125">
        <v>2</v>
      </c>
      <c r="AE36" s="148">
        <f t="shared" si="5"/>
        <v>2</v>
      </c>
      <c r="AF36" s="156"/>
      <c r="AG36" s="156"/>
      <c r="AH36" s="113">
        <f t="shared" si="6"/>
        <v>17</v>
      </c>
      <c r="AI36" s="157">
        <v>65</v>
      </c>
      <c r="AJ36" s="113">
        <f t="shared" si="7"/>
        <v>82</v>
      </c>
      <c r="AK36" s="113">
        <f t="shared" si="8"/>
        <v>82</v>
      </c>
      <c r="AL36" s="158">
        <f t="shared" si="9"/>
        <v>1.02</v>
      </c>
      <c r="AM36" s="159"/>
      <c r="AN36" s="160">
        <f t="shared" si="10"/>
        <v>1</v>
      </c>
      <c r="AO36" s="160">
        <f t="shared" si="10"/>
        <v>2</v>
      </c>
      <c r="AP36" s="133"/>
      <c r="AQ36" s="134"/>
      <c r="AR36" s="161"/>
      <c r="AS36" s="161"/>
      <c r="AT36" s="161"/>
      <c r="AU36" s="161"/>
      <c r="AV36" s="162"/>
      <c r="AW36" s="137">
        <f t="shared" si="11"/>
        <v>0</v>
      </c>
      <c r="AX36" s="137">
        <f t="shared" si="12"/>
        <v>0</v>
      </c>
    </row>
    <row r="37" ht="46.5" customHeight="1" spans="1:50" s="97" customFormat="1" x14ac:dyDescent="0.25">
      <c r="A37" s="100"/>
      <c r="B37" s="100"/>
      <c r="C37" s="100"/>
      <c r="D37" s="100"/>
      <c r="E37" s="100"/>
      <c r="F37" s="100"/>
      <c r="G37" s="103"/>
      <c r="H37" s="186"/>
      <c r="I37" s="195">
        <v>0.51</v>
      </c>
      <c r="J37" s="107">
        <v>0.49</v>
      </c>
      <c r="K37" s="107"/>
      <c r="L37" s="107"/>
      <c r="M37" s="187"/>
      <c r="N37" s="169">
        <f t="shared" si="0"/>
        <v>1</v>
      </c>
      <c r="O37" s="144">
        <v>1</v>
      </c>
      <c r="P37" s="145">
        <v>15</v>
      </c>
      <c r="Q37" s="113">
        <v>15</v>
      </c>
      <c r="R37" s="113"/>
      <c r="S37" s="113"/>
      <c r="T37" s="146"/>
      <c r="U37" s="148">
        <f t="shared" si="1"/>
        <v>15</v>
      </c>
      <c r="V37" s="149">
        <f t="shared" si="2"/>
        <v>15</v>
      </c>
      <c r="W37" s="189"/>
      <c r="X37" s="199"/>
      <c r="Y37" s="151"/>
      <c r="Z37" s="190"/>
      <c r="AA37" s="153"/>
      <c r="AB37" s="154">
        <f t="shared" si="3"/>
        <v>0</v>
      </c>
      <c r="AC37" s="149">
        <f t="shared" si="4"/>
        <v>0</v>
      </c>
      <c r="AD37" s="125">
        <v>2</v>
      </c>
      <c r="AE37" s="148">
        <f t="shared" si="5"/>
        <v>2</v>
      </c>
      <c r="AF37" s="156"/>
      <c r="AG37" s="156"/>
      <c r="AH37" s="113">
        <f t="shared" si="6"/>
        <v>17</v>
      </c>
      <c r="AI37" s="157">
        <v>65</v>
      </c>
      <c r="AJ37" s="113">
        <f t="shared" si="7"/>
        <v>82</v>
      </c>
      <c r="AK37" s="113">
        <f t="shared" si="8"/>
        <v>82</v>
      </c>
      <c r="AL37" s="158">
        <f t="shared" si="9"/>
        <v>1.02</v>
      </c>
      <c r="AM37" s="159"/>
      <c r="AN37" s="160">
        <f t="shared" ref="AN37:AO56" si="13">100%+AM37</f>
        <v>1</v>
      </c>
      <c r="AO37" s="160">
        <f t="shared" si="13"/>
        <v>2</v>
      </c>
      <c r="AP37" s="133"/>
      <c r="AQ37" s="134"/>
      <c r="AR37" s="161"/>
      <c r="AS37" s="161"/>
      <c r="AT37" s="161"/>
      <c r="AU37" s="161"/>
      <c r="AV37" s="162"/>
      <c r="AW37" s="137">
        <f t="shared" si="11"/>
        <v>0</v>
      </c>
      <c r="AX37" s="137">
        <f t="shared" si="12"/>
        <v>0</v>
      </c>
    </row>
    <row r="38" ht="46.5" customHeight="1" spans="1:50" s="97" customFormat="1" x14ac:dyDescent="0.25">
      <c r="A38" s="100"/>
      <c r="B38" s="100"/>
      <c r="C38" s="100"/>
      <c r="D38" s="100"/>
      <c r="E38" s="100"/>
      <c r="F38" s="100"/>
      <c r="G38" s="103"/>
      <c r="H38" s="186"/>
      <c r="I38" s="195">
        <v>0.51</v>
      </c>
      <c r="J38" s="107">
        <v>0.49</v>
      </c>
      <c r="K38" s="107"/>
      <c r="L38" s="107"/>
      <c r="M38" s="187"/>
      <c r="N38" s="169">
        <f t="shared" si="0"/>
        <v>1</v>
      </c>
      <c r="O38" s="144">
        <v>1</v>
      </c>
      <c r="P38" s="145">
        <v>15</v>
      </c>
      <c r="Q38" s="113">
        <v>15</v>
      </c>
      <c r="R38" s="113"/>
      <c r="S38" s="113"/>
      <c r="T38" s="146"/>
      <c r="U38" s="148">
        <f t="shared" si="1"/>
        <v>15</v>
      </c>
      <c r="V38" s="149">
        <f t="shared" si="2"/>
        <v>15</v>
      </c>
      <c r="W38" s="189"/>
      <c r="X38" s="199"/>
      <c r="Y38" s="151"/>
      <c r="Z38" s="190"/>
      <c r="AA38" s="153"/>
      <c r="AB38" s="154">
        <f t="shared" si="3"/>
        <v>0</v>
      </c>
      <c r="AC38" s="149">
        <f t="shared" si="4"/>
        <v>0</v>
      </c>
      <c r="AD38" s="125">
        <v>2</v>
      </c>
      <c r="AE38" s="148">
        <f t="shared" si="5"/>
        <v>2</v>
      </c>
      <c r="AF38" s="156"/>
      <c r="AG38" s="156"/>
      <c r="AH38" s="113">
        <f t="shared" si="6"/>
        <v>17</v>
      </c>
      <c r="AI38" s="157">
        <v>65</v>
      </c>
      <c r="AJ38" s="113">
        <f t="shared" si="7"/>
        <v>82</v>
      </c>
      <c r="AK38" s="113">
        <f t="shared" si="8"/>
        <v>82</v>
      </c>
      <c r="AL38" s="158">
        <f t="shared" si="9"/>
        <v>1.02</v>
      </c>
      <c r="AM38" s="159"/>
      <c r="AN38" s="160">
        <f t="shared" si="13"/>
        <v>1</v>
      </c>
      <c r="AO38" s="160">
        <f t="shared" si="13"/>
        <v>2</v>
      </c>
      <c r="AP38" s="133"/>
      <c r="AQ38" s="134"/>
      <c r="AR38" s="161"/>
      <c r="AS38" s="161"/>
      <c r="AT38" s="161"/>
      <c r="AU38" s="161"/>
      <c r="AV38" s="162"/>
      <c r="AW38" s="137">
        <f t="shared" si="11"/>
        <v>0</v>
      </c>
      <c r="AX38" s="137">
        <f t="shared" si="12"/>
        <v>0</v>
      </c>
    </row>
    <row r="39" ht="46.5" customHeight="1" spans="1:50" s="97" customFormat="1" x14ac:dyDescent="0.25">
      <c r="A39" s="100"/>
      <c r="B39" s="100"/>
      <c r="C39" s="100"/>
      <c r="D39" s="100"/>
      <c r="E39" s="100"/>
      <c r="F39" s="100"/>
      <c r="G39" s="103"/>
      <c r="H39" s="186"/>
      <c r="I39" s="195">
        <v>0.51</v>
      </c>
      <c r="J39" s="107">
        <v>0.49</v>
      </c>
      <c r="K39" s="107"/>
      <c r="L39" s="107"/>
      <c r="M39" s="187"/>
      <c r="N39" s="169">
        <f t="shared" si="0"/>
        <v>1</v>
      </c>
      <c r="O39" s="144">
        <v>1</v>
      </c>
      <c r="P39" s="145">
        <v>15</v>
      </c>
      <c r="Q39" s="113">
        <v>15</v>
      </c>
      <c r="R39" s="113"/>
      <c r="S39" s="113"/>
      <c r="T39" s="146"/>
      <c r="U39" s="148">
        <f t="shared" si="1"/>
        <v>15</v>
      </c>
      <c r="V39" s="149">
        <f t="shared" si="2"/>
        <v>15</v>
      </c>
      <c r="W39" s="189"/>
      <c r="X39" s="199"/>
      <c r="Y39" s="151"/>
      <c r="Z39" s="190"/>
      <c r="AA39" s="153"/>
      <c r="AB39" s="154">
        <f t="shared" si="3"/>
        <v>0</v>
      </c>
      <c r="AC39" s="149">
        <f t="shared" si="4"/>
        <v>0</v>
      </c>
      <c r="AD39" s="125">
        <v>2</v>
      </c>
      <c r="AE39" s="148">
        <f t="shared" si="5"/>
        <v>2</v>
      </c>
      <c r="AF39" s="156"/>
      <c r="AG39" s="156"/>
      <c r="AH39" s="113">
        <f t="shared" si="6"/>
        <v>17</v>
      </c>
      <c r="AI39" s="157">
        <v>65</v>
      </c>
      <c r="AJ39" s="113">
        <f t="shared" si="7"/>
        <v>82</v>
      </c>
      <c r="AK39" s="113">
        <f t="shared" si="8"/>
        <v>82</v>
      </c>
      <c r="AL39" s="158">
        <f t="shared" si="9"/>
        <v>1.02</v>
      </c>
      <c r="AM39" s="159"/>
      <c r="AN39" s="160">
        <f t="shared" si="13"/>
        <v>1</v>
      </c>
      <c r="AO39" s="160">
        <f t="shared" si="13"/>
        <v>2</v>
      </c>
      <c r="AP39" s="133"/>
      <c r="AQ39" s="134"/>
      <c r="AR39" s="161"/>
      <c r="AS39" s="161"/>
      <c r="AT39" s="161"/>
      <c r="AU39" s="161"/>
      <c r="AV39" s="162"/>
      <c r="AW39" s="137">
        <f t="shared" si="11"/>
        <v>0</v>
      </c>
      <c r="AX39" s="137">
        <f t="shared" si="12"/>
        <v>0</v>
      </c>
    </row>
    <row r="40" ht="46.5" customHeight="1" spans="1:50" s="97" customFormat="1" x14ac:dyDescent="0.25">
      <c r="A40" s="100"/>
      <c r="B40" s="100"/>
      <c r="C40" s="100"/>
      <c r="D40" s="100"/>
      <c r="E40" s="100"/>
      <c r="F40" s="100"/>
      <c r="G40" s="103"/>
      <c r="H40" s="186"/>
      <c r="I40" s="195">
        <v>0.51</v>
      </c>
      <c r="J40" s="107">
        <v>0.49</v>
      </c>
      <c r="K40" s="107"/>
      <c r="L40" s="107"/>
      <c r="M40" s="187"/>
      <c r="N40" s="169">
        <f t="shared" si="0"/>
        <v>1</v>
      </c>
      <c r="O40" s="144">
        <v>1</v>
      </c>
      <c r="P40" s="145">
        <v>15</v>
      </c>
      <c r="Q40" s="113">
        <v>15</v>
      </c>
      <c r="R40" s="113"/>
      <c r="S40" s="113"/>
      <c r="T40" s="146"/>
      <c r="U40" s="148">
        <f t="shared" si="1"/>
        <v>15</v>
      </c>
      <c r="V40" s="149">
        <f t="shared" si="2"/>
        <v>15</v>
      </c>
      <c r="W40" s="189"/>
      <c r="X40" s="199"/>
      <c r="Y40" s="151"/>
      <c r="Z40" s="190"/>
      <c r="AA40" s="153"/>
      <c r="AB40" s="154">
        <f t="shared" si="3"/>
        <v>0</v>
      </c>
      <c r="AC40" s="149">
        <f t="shared" si="4"/>
        <v>0</v>
      </c>
      <c r="AD40" s="125">
        <v>2</v>
      </c>
      <c r="AE40" s="148">
        <f t="shared" si="5"/>
        <v>2</v>
      </c>
      <c r="AF40" s="156"/>
      <c r="AG40" s="156"/>
      <c r="AH40" s="113">
        <f t="shared" si="6"/>
        <v>17</v>
      </c>
      <c r="AI40" s="157">
        <v>65</v>
      </c>
      <c r="AJ40" s="113">
        <f t="shared" si="7"/>
        <v>82</v>
      </c>
      <c r="AK40" s="113">
        <f t="shared" si="8"/>
        <v>82</v>
      </c>
      <c r="AL40" s="158">
        <f t="shared" si="9"/>
        <v>1.02</v>
      </c>
      <c r="AM40" s="159"/>
      <c r="AN40" s="160">
        <f t="shared" si="13"/>
        <v>1</v>
      </c>
      <c r="AO40" s="160">
        <f t="shared" si="13"/>
        <v>2</v>
      </c>
      <c r="AP40" s="133"/>
      <c r="AQ40" s="134"/>
      <c r="AR40" s="161"/>
      <c r="AS40" s="161"/>
      <c r="AT40" s="161"/>
      <c r="AU40" s="161"/>
      <c r="AV40" s="162"/>
      <c r="AW40" s="137">
        <f t="shared" si="11"/>
        <v>0</v>
      </c>
      <c r="AX40" s="137">
        <f t="shared" si="12"/>
        <v>0</v>
      </c>
    </row>
    <row r="41" ht="46.5" customHeight="1" spans="1:50" s="97" customFormat="1" x14ac:dyDescent="0.25">
      <c r="A41" s="100"/>
      <c r="B41" s="100"/>
      <c r="C41" s="100"/>
      <c r="D41" s="100"/>
      <c r="E41" s="100"/>
      <c r="F41" s="100"/>
      <c r="G41" s="103"/>
      <c r="H41" s="186"/>
      <c r="I41" s="195">
        <v>0.51</v>
      </c>
      <c r="J41" s="107">
        <v>0.49</v>
      </c>
      <c r="K41" s="107"/>
      <c r="L41" s="107"/>
      <c r="M41" s="187"/>
      <c r="N41" s="169">
        <f t="shared" si="0"/>
        <v>1</v>
      </c>
      <c r="O41" s="144">
        <v>1</v>
      </c>
      <c r="P41" s="145">
        <v>15</v>
      </c>
      <c r="Q41" s="113">
        <v>15</v>
      </c>
      <c r="R41" s="113"/>
      <c r="S41" s="113"/>
      <c r="T41" s="146"/>
      <c r="U41" s="148">
        <f t="shared" si="1"/>
        <v>15</v>
      </c>
      <c r="V41" s="149">
        <f t="shared" si="2"/>
        <v>15</v>
      </c>
      <c r="W41" s="189"/>
      <c r="X41" s="199"/>
      <c r="Y41" s="151"/>
      <c r="Z41" s="190"/>
      <c r="AA41" s="153"/>
      <c r="AB41" s="154">
        <f t="shared" si="3"/>
        <v>0</v>
      </c>
      <c r="AC41" s="149">
        <f t="shared" si="4"/>
        <v>0</v>
      </c>
      <c r="AD41" s="125">
        <v>2</v>
      </c>
      <c r="AE41" s="148">
        <f t="shared" si="5"/>
        <v>2</v>
      </c>
      <c r="AF41" s="156"/>
      <c r="AG41" s="156"/>
      <c r="AH41" s="113">
        <f t="shared" si="6"/>
        <v>17</v>
      </c>
      <c r="AI41" s="157">
        <v>65</v>
      </c>
      <c r="AJ41" s="113">
        <f t="shared" si="7"/>
        <v>82</v>
      </c>
      <c r="AK41" s="113">
        <f t="shared" si="8"/>
        <v>82</v>
      </c>
      <c r="AL41" s="158">
        <f t="shared" si="9"/>
        <v>1.02</v>
      </c>
      <c r="AM41" s="159"/>
      <c r="AN41" s="160">
        <f t="shared" si="13"/>
        <v>1</v>
      </c>
      <c r="AO41" s="160">
        <f t="shared" si="13"/>
        <v>2</v>
      </c>
      <c r="AP41" s="133"/>
      <c r="AQ41" s="134"/>
      <c r="AR41" s="161"/>
      <c r="AS41" s="161"/>
      <c r="AT41" s="161"/>
      <c r="AU41" s="161"/>
      <c r="AV41" s="162"/>
      <c r="AW41" s="137">
        <f t="shared" si="11"/>
        <v>0</v>
      </c>
      <c r="AX41" s="137">
        <f t="shared" si="12"/>
        <v>0</v>
      </c>
    </row>
    <row r="42" ht="46.5" customHeight="1" spans="1:50" s="97" customFormat="1" x14ac:dyDescent="0.25">
      <c r="A42" s="100"/>
      <c r="B42" s="100"/>
      <c r="C42" s="100"/>
      <c r="D42" s="100"/>
      <c r="E42" s="100"/>
      <c r="F42" s="100"/>
      <c r="G42" s="103"/>
      <c r="H42" s="186"/>
      <c r="I42" s="195">
        <v>0.51</v>
      </c>
      <c r="J42" s="107">
        <v>0.49</v>
      </c>
      <c r="K42" s="107"/>
      <c r="L42" s="107"/>
      <c r="M42" s="187"/>
      <c r="N42" s="169">
        <f t="shared" si="0"/>
        <v>1</v>
      </c>
      <c r="O42" s="144">
        <v>1</v>
      </c>
      <c r="P42" s="145">
        <v>15</v>
      </c>
      <c r="Q42" s="113">
        <v>15</v>
      </c>
      <c r="R42" s="113"/>
      <c r="S42" s="113"/>
      <c r="T42" s="146"/>
      <c r="U42" s="148">
        <f t="shared" si="1"/>
        <v>15</v>
      </c>
      <c r="V42" s="149">
        <f t="shared" si="2"/>
        <v>15</v>
      </c>
      <c r="W42" s="189"/>
      <c r="X42" s="199"/>
      <c r="Y42" s="151"/>
      <c r="Z42" s="190"/>
      <c r="AA42" s="153"/>
      <c r="AB42" s="154">
        <f t="shared" si="3"/>
        <v>0</v>
      </c>
      <c r="AC42" s="149">
        <f t="shared" si="4"/>
        <v>0</v>
      </c>
      <c r="AD42" s="125">
        <v>2</v>
      </c>
      <c r="AE42" s="148">
        <f t="shared" si="5"/>
        <v>2</v>
      </c>
      <c r="AF42" s="156"/>
      <c r="AG42" s="156"/>
      <c r="AH42" s="113">
        <f t="shared" si="6"/>
        <v>17</v>
      </c>
      <c r="AI42" s="157">
        <v>65</v>
      </c>
      <c r="AJ42" s="113">
        <f t="shared" si="7"/>
        <v>82</v>
      </c>
      <c r="AK42" s="113">
        <f t="shared" si="8"/>
        <v>82</v>
      </c>
      <c r="AL42" s="158">
        <f t="shared" si="9"/>
        <v>1.02</v>
      </c>
      <c r="AM42" s="159"/>
      <c r="AN42" s="160">
        <f t="shared" si="13"/>
        <v>1</v>
      </c>
      <c r="AO42" s="160">
        <f t="shared" si="13"/>
        <v>2</v>
      </c>
      <c r="AP42" s="133"/>
      <c r="AQ42" s="134"/>
      <c r="AR42" s="161"/>
      <c r="AS42" s="161"/>
      <c r="AT42" s="161"/>
      <c r="AU42" s="161"/>
      <c r="AV42" s="162"/>
      <c r="AW42" s="137">
        <f t="shared" si="11"/>
        <v>0</v>
      </c>
      <c r="AX42" s="137">
        <f t="shared" si="12"/>
        <v>0</v>
      </c>
    </row>
    <row r="43" ht="46.5" customHeight="1" spans="1:50" s="97" customFormat="1" x14ac:dyDescent="0.25">
      <c r="A43" s="100"/>
      <c r="B43" s="100"/>
      <c r="C43" s="100"/>
      <c r="D43" s="100"/>
      <c r="E43" s="100"/>
      <c r="F43" s="100"/>
      <c r="G43" s="103"/>
      <c r="H43" s="186"/>
      <c r="I43" s="195">
        <v>0.51</v>
      </c>
      <c r="J43" s="107">
        <v>0.49</v>
      </c>
      <c r="K43" s="107"/>
      <c r="L43" s="107"/>
      <c r="M43" s="187"/>
      <c r="N43" s="169">
        <f t="shared" si="0"/>
        <v>1</v>
      </c>
      <c r="O43" s="144">
        <v>1</v>
      </c>
      <c r="P43" s="145">
        <v>15</v>
      </c>
      <c r="Q43" s="113">
        <v>15</v>
      </c>
      <c r="R43" s="113"/>
      <c r="S43" s="113"/>
      <c r="T43" s="146"/>
      <c r="U43" s="148">
        <f t="shared" si="1"/>
        <v>15</v>
      </c>
      <c r="V43" s="149">
        <f t="shared" si="2"/>
        <v>15</v>
      </c>
      <c r="W43" s="189"/>
      <c r="X43" s="199"/>
      <c r="Y43" s="151"/>
      <c r="Z43" s="190"/>
      <c r="AA43" s="153"/>
      <c r="AB43" s="154">
        <f t="shared" si="3"/>
        <v>0</v>
      </c>
      <c r="AC43" s="149">
        <f t="shared" si="4"/>
        <v>0</v>
      </c>
      <c r="AD43" s="125">
        <v>2</v>
      </c>
      <c r="AE43" s="148">
        <f t="shared" si="5"/>
        <v>2</v>
      </c>
      <c r="AF43" s="156"/>
      <c r="AG43" s="156"/>
      <c r="AH43" s="113">
        <f t="shared" si="6"/>
        <v>17</v>
      </c>
      <c r="AI43" s="157">
        <v>65</v>
      </c>
      <c r="AJ43" s="113">
        <f t="shared" si="7"/>
        <v>82</v>
      </c>
      <c r="AK43" s="113">
        <f t="shared" si="8"/>
        <v>82</v>
      </c>
      <c r="AL43" s="158">
        <f t="shared" si="9"/>
        <v>1.02</v>
      </c>
      <c r="AM43" s="159"/>
      <c r="AN43" s="160">
        <f t="shared" si="13"/>
        <v>1</v>
      </c>
      <c r="AO43" s="160">
        <f t="shared" si="13"/>
        <v>2</v>
      </c>
      <c r="AP43" s="133"/>
      <c r="AQ43" s="134"/>
      <c r="AR43" s="161"/>
      <c r="AS43" s="161"/>
      <c r="AT43" s="161"/>
      <c r="AU43" s="161"/>
      <c r="AV43" s="162"/>
      <c r="AW43" s="137">
        <f t="shared" si="11"/>
        <v>0</v>
      </c>
      <c r="AX43" s="137">
        <f t="shared" si="12"/>
        <v>0</v>
      </c>
    </row>
    <row r="44" ht="46.5" customHeight="1" spans="1:50" s="97" customFormat="1" x14ac:dyDescent="0.25">
      <c r="A44" s="100"/>
      <c r="B44" s="100"/>
      <c r="C44" s="100"/>
      <c r="D44" s="100"/>
      <c r="E44" s="100"/>
      <c r="F44" s="100"/>
      <c r="G44" s="103"/>
      <c r="H44" s="186"/>
      <c r="I44" s="195">
        <v>0.51</v>
      </c>
      <c r="J44" s="107">
        <v>0.49</v>
      </c>
      <c r="K44" s="107"/>
      <c r="L44" s="107"/>
      <c r="M44" s="187"/>
      <c r="N44" s="169">
        <f t="shared" si="0"/>
        <v>1</v>
      </c>
      <c r="O44" s="144">
        <v>1</v>
      </c>
      <c r="P44" s="145">
        <v>15</v>
      </c>
      <c r="Q44" s="113">
        <v>15</v>
      </c>
      <c r="R44" s="113"/>
      <c r="S44" s="113"/>
      <c r="T44" s="146"/>
      <c r="U44" s="148">
        <f t="shared" si="1"/>
        <v>15</v>
      </c>
      <c r="V44" s="149">
        <f t="shared" si="2"/>
        <v>15</v>
      </c>
      <c r="W44" s="189"/>
      <c r="X44" s="199"/>
      <c r="Y44" s="151"/>
      <c r="Z44" s="190"/>
      <c r="AA44" s="153"/>
      <c r="AB44" s="154">
        <f t="shared" si="3"/>
        <v>0</v>
      </c>
      <c r="AC44" s="149">
        <f t="shared" si="4"/>
        <v>0</v>
      </c>
      <c r="AD44" s="125">
        <v>2</v>
      </c>
      <c r="AE44" s="148">
        <f t="shared" si="5"/>
        <v>2</v>
      </c>
      <c r="AF44" s="156"/>
      <c r="AG44" s="156"/>
      <c r="AH44" s="113">
        <f t="shared" si="6"/>
        <v>17</v>
      </c>
      <c r="AI44" s="157">
        <v>65</v>
      </c>
      <c r="AJ44" s="113">
        <f t="shared" si="7"/>
        <v>82</v>
      </c>
      <c r="AK44" s="113">
        <f t="shared" si="8"/>
        <v>82</v>
      </c>
      <c r="AL44" s="158">
        <f t="shared" si="9"/>
        <v>1.02</v>
      </c>
      <c r="AM44" s="159"/>
      <c r="AN44" s="160">
        <f t="shared" si="13"/>
        <v>1</v>
      </c>
      <c r="AO44" s="160">
        <f t="shared" si="13"/>
        <v>2</v>
      </c>
      <c r="AP44" s="133"/>
      <c r="AQ44" s="134"/>
      <c r="AR44" s="161"/>
      <c r="AS44" s="161"/>
      <c r="AT44" s="161"/>
      <c r="AU44" s="161"/>
      <c r="AV44" s="162"/>
      <c r="AW44" s="137">
        <f t="shared" si="11"/>
        <v>0</v>
      </c>
      <c r="AX44" s="137">
        <f t="shared" si="12"/>
        <v>0</v>
      </c>
    </row>
    <row r="45" ht="46.5" customHeight="1" spans="1:50" s="97" customFormat="1" x14ac:dyDescent="0.25">
      <c r="A45" s="100"/>
      <c r="B45" s="100"/>
      <c r="C45" s="100"/>
      <c r="D45" s="100"/>
      <c r="E45" s="100"/>
      <c r="F45" s="100"/>
      <c r="G45" s="103"/>
      <c r="H45" s="186"/>
      <c r="I45" s="195">
        <v>0.51</v>
      </c>
      <c r="J45" s="107">
        <v>0.49</v>
      </c>
      <c r="K45" s="107"/>
      <c r="L45" s="107"/>
      <c r="M45" s="187"/>
      <c r="N45" s="169">
        <f t="shared" si="0"/>
        <v>1</v>
      </c>
      <c r="O45" s="144">
        <v>1</v>
      </c>
      <c r="P45" s="145">
        <v>15</v>
      </c>
      <c r="Q45" s="113">
        <v>15</v>
      </c>
      <c r="R45" s="113"/>
      <c r="S45" s="113"/>
      <c r="T45" s="146"/>
      <c r="U45" s="148">
        <f t="shared" si="1"/>
        <v>15</v>
      </c>
      <c r="V45" s="149">
        <f t="shared" si="2"/>
        <v>15</v>
      </c>
      <c r="W45" s="189"/>
      <c r="X45" s="199"/>
      <c r="Y45" s="151"/>
      <c r="Z45" s="190"/>
      <c r="AA45" s="153"/>
      <c r="AB45" s="154">
        <f t="shared" si="3"/>
        <v>0</v>
      </c>
      <c r="AC45" s="149">
        <f t="shared" si="4"/>
        <v>0</v>
      </c>
      <c r="AD45" s="125">
        <v>2</v>
      </c>
      <c r="AE45" s="148">
        <f t="shared" si="5"/>
        <v>2</v>
      </c>
      <c r="AF45" s="156"/>
      <c r="AG45" s="156"/>
      <c r="AH45" s="113">
        <f t="shared" si="6"/>
        <v>17</v>
      </c>
      <c r="AI45" s="157">
        <v>65</v>
      </c>
      <c r="AJ45" s="113">
        <f t="shared" si="7"/>
        <v>82</v>
      </c>
      <c r="AK45" s="113">
        <f t="shared" si="8"/>
        <v>82</v>
      </c>
      <c r="AL45" s="158">
        <f t="shared" si="9"/>
        <v>1.02</v>
      </c>
      <c r="AM45" s="159"/>
      <c r="AN45" s="160">
        <f t="shared" si="13"/>
        <v>1</v>
      </c>
      <c r="AO45" s="160">
        <f t="shared" si="13"/>
        <v>2</v>
      </c>
      <c r="AP45" s="133"/>
      <c r="AQ45" s="134"/>
      <c r="AR45" s="161"/>
      <c r="AS45" s="161"/>
      <c r="AT45" s="161"/>
      <c r="AU45" s="161"/>
      <c r="AV45" s="162"/>
      <c r="AW45" s="137">
        <f t="shared" si="11"/>
        <v>0</v>
      </c>
      <c r="AX45" s="137">
        <f t="shared" si="12"/>
        <v>0</v>
      </c>
    </row>
    <row r="46" ht="46.5" customHeight="1" spans="1:50" s="97" customFormat="1" x14ac:dyDescent="0.25">
      <c r="A46" s="100"/>
      <c r="B46" s="100"/>
      <c r="C46" s="100"/>
      <c r="D46" s="100"/>
      <c r="E46" s="100"/>
      <c r="F46" s="100"/>
      <c r="G46" s="103"/>
      <c r="H46" s="186"/>
      <c r="I46" s="195">
        <v>0.51</v>
      </c>
      <c r="J46" s="107">
        <v>0.49</v>
      </c>
      <c r="K46" s="107"/>
      <c r="L46" s="107"/>
      <c r="M46" s="187"/>
      <c r="N46" s="169">
        <f t="shared" si="0"/>
        <v>1</v>
      </c>
      <c r="O46" s="144">
        <v>1</v>
      </c>
      <c r="P46" s="145">
        <v>15</v>
      </c>
      <c r="Q46" s="113">
        <v>15</v>
      </c>
      <c r="R46" s="113"/>
      <c r="S46" s="113"/>
      <c r="T46" s="146"/>
      <c r="U46" s="148">
        <f t="shared" si="1"/>
        <v>15</v>
      </c>
      <c r="V46" s="149">
        <f t="shared" si="2"/>
        <v>15</v>
      </c>
      <c r="W46" s="189"/>
      <c r="X46" s="199"/>
      <c r="Y46" s="151"/>
      <c r="Z46" s="190"/>
      <c r="AA46" s="153"/>
      <c r="AB46" s="154">
        <f t="shared" si="3"/>
        <v>0</v>
      </c>
      <c r="AC46" s="149">
        <f t="shared" si="4"/>
        <v>0</v>
      </c>
      <c r="AD46" s="125">
        <v>2</v>
      </c>
      <c r="AE46" s="148">
        <f t="shared" si="5"/>
        <v>2</v>
      </c>
      <c r="AF46" s="156"/>
      <c r="AG46" s="156"/>
      <c r="AH46" s="113">
        <f t="shared" si="6"/>
        <v>17</v>
      </c>
      <c r="AI46" s="157">
        <v>65</v>
      </c>
      <c r="AJ46" s="113">
        <f t="shared" si="7"/>
        <v>82</v>
      </c>
      <c r="AK46" s="113">
        <f t="shared" si="8"/>
        <v>82</v>
      </c>
      <c r="AL46" s="158">
        <f t="shared" si="9"/>
        <v>1.02</v>
      </c>
      <c r="AM46" s="159"/>
      <c r="AN46" s="160">
        <f t="shared" si="13"/>
        <v>1</v>
      </c>
      <c r="AO46" s="160">
        <f t="shared" si="13"/>
        <v>2</v>
      </c>
      <c r="AP46" s="133"/>
      <c r="AQ46" s="134"/>
      <c r="AR46" s="161"/>
      <c r="AS46" s="161"/>
      <c r="AT46" s="161"/>
      <c r="AU46" s="161"/>
      <c r="AV46" s="162"/>
      <c r="AW46" s="137">
        <f t="shared" si="11"/>
        <v>0</v>
      </c>
      <c r="AX46" s="137">
        <f t="shared" si="12"/>
        <v>0</v>
      </c>
    </row>
    <row r="47" ht="46.5" customHeight="1" spans="1:50" s="97" customFormat="1" x14ac:dyDescent="0.25">
      <c r="A47" s="100"/>
      <c r="B47" s="100"/>
      <c r="C47" s="100"/>
      <c r="D47" s="100"/>
      <c r="E47" s="100"/>
      <c r="F47" s="100"/>
      <c r="G47" s="103"/>
      <c r="H47" s="186"/>
      <c r="I47" s="195">
        <v>0.51</v>
      </c>
      <c r="J47" s="107">
        <v>0.49</v>
      </c>
      <c r="K47" s="107"/>
      <c r="L47" s="107"/>
      <c r="M47" s="187"/>
      <c r="N47" s="169">
        <f t="shared" si="0"/>
        <v>1</v>
      </c>
      <c r="O47" s="144">
        <v>1</v>
      </c>
      <c r="P47" s="145">
        <v>15</v>
      </c>
      <c r="Q47" s="113">
        <v>15</v>
      </c>
      <c r="R47" s="113"/>
      <c r="S47" s="113"/>
      <c r="T47" s="146"/>
      <c r="U47" s="148">
        <f t="shared" si="1"/>
        <v>15</v>
      </c>
      <c r="V47" s="149">
        <f t="shared" si="2"/>
        <v>15</v>
      </c>
      <c r="W47" s="189"/>
      <c r="X47" s="199"/>
      <c r="Y47" s="151"/>
      <c r="Z47" s="190"/>
      <c r="AA47" s="153"/>
      <c r="AB47" s="154">
        <f t="shared" si="3"/>
        <v>0</v>
      </c>
      <c r="AC47" s="149">
        <f t="shared" si="4"/>
        <v>0</v>
      </c>
      <c r="AD47" s="125">
        <v>2</v>
      </c>
      <c r="AE47" s="148">
        <f t="shared" si="5"/>
        <v>2</v>
      </c>
      <c r="AF47" s="156"/>
      <c r="AG47" s="156"/>
      <c r="AH47" s="113">
        <f t="shared" si="6"/>
        <v>17</v>
      </c>
      <c r="AI47" s="157">
        <v>65</v>
      </c>
      <c r="AJ47" s="113">
        <f t="shared" si="7"/>
        <v>82</v>
      </c>
      <c r="AK47" s="113">
        <f t="shared" si="8"/>
        <v>82</v>
      </c>
      <c r="AL47" s="158">
        <f t="shared" si="9"/>
        <v>1.02</v>
      </c>
      <c r="AM47" s="159"/>
      <c r="AN47" s="160">
        <f t="shared" si="13"/>
        <v>1</v>
      </c>
      <c r="AO47" s="160">
        <f t="shared" si="13"/>
        <v>2</v>
      </c>
      <c r="AP47" s="133"/>
      <c r="AQ47" s="134"/>
      <c r="AR47" s="161"/>
      <c r="AS47" s="161"/>
      <c r="AT47" s="161"/>
      <c r="AU47" s="161"/>
      <c r="AV47" s="162"/>
      <c r="AW47" s="137">
        <f t="shared" si="11"/>
        <v>0</v>
      </c>
      <c r="AX47" s="137">
        <f t="shared" si="12"/>
        <v>0</v>
      </c>
    </row>
    <row r="48" ht="46.5" customHeight="1" spans="1:50" s="97" customFormat="1" x14ac:dyDescent="0.25">
      <c r="A48" s="100"/>
      <c r="B48" s="100"/>
      <c r="C48" s="100"/>
      <c r="D48" s="100"/>
      <c r="E48" s="100"/>
      <c r="F48" s="100"/>
      <c r="G48" s="103"/>
      <c r="H48" s="186"/>
      <c r="I48" s="195">
        <v>0.51</v>
      </c>
      <c r="J48" s="107">
        <v>0.49</v>
      </c>
      <c r="K48" s="107"/>
      <c r="L48" s="107"/>
      <c r="M48" s="187"/>
      <c r="N48" s="169">
        <f t="shared" si="0"/>
        <v>1</v>
      </c>
      <c r="O48" s="144">
        <v>1</v>
      </c>
      <c r="P48" s="145">
        <v>15</v>
      </c>
      <c r="Q48" s="113">
        <v>15</v>
      </c>
      <c r="R48" s="113"/>
      <c r="S48" s="113"/>
      <c r="T48" s="146"/>
      <c r="U48" s="148">
        <f t="shared" si="1"/>
        <v>15</v>
      </c>
      <c r="V48" s="149">
        <f t="shared" si="2"/>
        <v>15</v>
      </c>
      <c r="W48" s="189"/>
      <c r="X48" s="199"/>
      <c r="Y48" s="151"/>
      <c r="Z48" s="190"/>
      <c r="AA48" s="153"/>
      <c r="AB48" s="154">
        <f t="shared" si="3"/>
        <v>0</v>
      </c>
      <c r="AC48" s="149">
        <f t="shared" si="4"/>
        <v>0</v>
      </c>
      <c r="AD48" s="125">
        <v>2</v>
      </c>
      <c r="AE48" s="148">
        <f t="shared" si="5"/>
        <v>2</v>
      </c>
      <c r="AF48" s="156"/>
      <c r="AG48" s="156"/>
      <c r="AH48" s="113">
        <f t="shared" si="6"/>
        <v>17</v>
      </c>
      <c r="AI48" s="157">
        <v>65</v>
      </c>
      <c r="AJ48" s="113">
        <f t="shared" si="7"/>
        <v>82</v>
      </c>
      <c r="AK48" s="113">
        <f t="shared" si="8"/>
        <v>82</v>
      </c>
      <c r="AL48" s="158">
        <f t="shared" si="9"/>
        <v>1.02</v>
      </c>
      <c r="AM48" s="159"/>
      <c r="AN48" s="160">
        <f t="shared" si="13"/>
        <v>1</v>
      </c>
      <c r="AO48" s="160">
        <f t="shared" si="13"/>
        <v>2</v>
      </c>
      <c r="AP48" s="133"/>
      <c r="AQ48" s="134"/>
      <c r="AR48" s="161"/>
      <c r="AS48" s="161"/>
      <c r="AT48" s="161"/>
      <c r="AU48" s="161"/>
      <c r="AV48" s="162"/>
      <c r="AW48" s="137">
        <f t="shared" si="11"/>
        <v>0</v>
      </c>
      <c r="AX48" s="137">
        <f t="shared" si="12"/>
        <v>0</v>
      </c>
    </row>
    <row r="49" ht="46.5" customHeight="1" spans="1:50" s="97" customFormat="1" x14ac:dyDescent="0.25">
      <c r="A49" s="100"/>
      <c r="B49" s="100"/>
      <c r="C49" s="100"/>
      <c r="D49" s="100"/>
      <c r="E49" s="100"/>
      <c r="F49" s="100"/>
      <c r="G49" s="103"/>
      <c r="H49" s="186"/>
      <c r="I49" s="195">
        <v>0.51</v>
      </c>
      <c r="J49" s="107">
        <v>0.49</v>
      </c>
      <c r="K49" s="107"/>
      <c r="L49" s="107"/>
      <c r="M49" s="187"/>
      <c r="N49" s="169">
        <f t="shared" ref="N49:N112" si="14">SUM(I49:M49)</f>
        <v>1</v>
      </c>
      <c r="O49" s="144">
        <v>1</v>
      </c>
      <c r="P49" s="145">
        <v>15</v>
      </c>
      <c r="Q49" s="113">
        <v>15</v>
      </c>
      <c r="R49" s="113"/>
      <c r="S49" s="113"/>
      <c r="T49" s="146"/>
      <c r="U49" s="148">
        <f t="shared" si="1"/>
        <v>15</v>
      </c>
      <c r="V49" s="149">
        <f t="shared" si="2"/>
        <v>15</v>
      </c>
      <c r="W49" s="189"/>
      <c r="X49" s="199"/>
      <c r="Y49" s="151"/>
      <c r="Z49" s="190"/>
      <c r="AA49" s="153"/>
      <c r="AB49" s="154">
        <f t="shared" si="3"/>
        <v>0</v>
      </c>
      <c r="AC49" s="149">
        <f t="shared" si="4"/>
        <v>0</v>
      </c>
      <c r="AD49" s="125">
        <v>2</v>
      </c>
      <c r="AE49" s="148">
        <f t="shared" si="5"/>
        <v>2</v>
      </c>
      <c r="AF49" s="156"/>
      <c r="AG49" s="156"/>
      <c r="AH49" s="113">
        <f t="shared" si="6"/>
        <v>17</v>
      </c>
      <c r="AI49" s="157">
        <v>65</v>
      </c>
      <c r="AJ49" s="113">
        <f t="shared" si="7"/>
        <v>82</v>
      </c>
      <c r="AK49" s="113">
        <f t="shared" si="8"/>
        <v>82</v>
      </c>
      <c r="AL49" s="158">
        <f t="shared" si="9"/>
        <v>1.02</v>
      </c>
      <c r="AM49" s="159"/>
      <c r="AN49" s="160">
        <f t="shared" si="13"/>
        <v>1</v>
      </c>
      <c r="AO49" s="160">
        <f t="shared" si="13"/>
        <v>2</v>
      </c>
      <c r="AP49" s="133"/>
      <c r="AQ49" s="134"/>
      <c r="AR49" s="161"/>
      <c r="AS49" s="161"/>
      <c r="AT49" s="161"/>
      <c r="AU49" s="161"/>
      <c r="AV49" s="162"/>
      <c r="AW49" s="137">
        <f t="shared" si="11"/>
        <v>0</v>
      </c>
      <c r="AX49" s="137">
        <f t="shared" si="12"/>
        <v>0</v>
      </c>
    </row>
    <row r="50" ht="46.5" customHeight="1" spans="1:50" s="97" customFormat="1" x14ac:dyDescent="0.25">
      <c r="A50" s="100"/>
      <c r="B50" s="100"/>
      <c r="C50" s="100"/>
      <c r="D50" s="100"/>
      <c r="E50" s="100"/>
      <c r="F50" s="100"/>
      <c r="G50" s="103"/>
      <c r="H50" s="186"/>
      <c r="I50" s="195">
        <v>0.51</v>
      </c>
      <c r="J50" s="107">
        <v>0.49</v>
      </c>
      <c r="K50" s="107"/>
      <c r="L50" s="107"/>
      <c r="M50" s="187"/>
      <c r="N50" s="169">
        <f t="shared" si="14"/>
        <v>1</v>
      </c>
      <c r="O50" s="144">
        <v>1</v>
      </c>
      <c r="P50" s="145">
        <v>15</v>
      </c>
      <c r="Q50" s="113">
        <v>15</v>
      </c>
      <c r="R50" s="113"/>
      <c r="S50" s="113"/>
      <c r="T50" s="146"/>
      <c r="U50" s="148">
        <f t="shared" si="1"/>
        <v>15</v>
      </c>
      <c r="V50" s="149">
        <f t="shared" si="2"/>
        <v>15</v>
      </c>
      <c r="W50" s="189"/>
      <c r="X50" s="199"/>
      <c r="Y50" s="151"/>
      <c r="Z50" s="190"/>
      <c r="AA50" s="153"/>
      <c r="AB50" s="154">
        <f t="shared" si="3"/>
        <v>0</v>
      </c>
      <c r="AC50" s="149">
        <f t="shared" si="4"/>
        <v>0</v>
      </c>
      <c r="AD50" s="125">
        <v>2</v>
      </c>
      <c r="AE50" s="148">
        <f t="shared" si="5"/>
        <v>2</v>
      </c>
      <c r="AF50" s="156"/>
      <c r="AG50" s="156"/>
      <c r="AH50" s="113">
        <f t="shared" si="6"/>
        <v>17</v>
      </c>
      <c r="AI50" s="157">
        <v>65</v>
      </c>
      <c r="AJ50" s="113">
        <f t="shared" si="7"/>
        <v>82</v>
      </c>
      <c r="AK50" s="113">
        <f t="shared" si="8"/>
        <v>82</v>
      </c>
      <c r="AL50" s="158">
        <f t="shared" si="9"/>
        <v>1.02</v>
      </c>
      <c r="AM50" s="159"/>
      <c r="AN50" s="160">
        <f t="shared" si="13"/>
        <v>1</v>
      </c>
      <c r="AO50" s="160">
        <f t="shared" si="13"/>
        <v>2</v>
      </c>
      <c r="AP50" s="133"/>
      <c r="AQ50" s="134"/>
      <c r="AR50" s="161"/>
      <c r="AS50" s="161"/>
      <c r="AT50" s="161"/>
      <c r="AU50" s="161"/>
      <c r="AV50" s="162"/>
      <c r="AW50" s="137">
        <f t="shared" si="11"/>
        <v>0</v>
      </c>
      <c r="AX50" s="137">
        <f t="shared" si="12"/>
        <v>0</v>
      </c>
    </row>
    <row r="51" ht="46.5" customHeight="1" spans="1:50" s="97" customFormat="1" x14ac:dyDescent="0.25">
      <c r="A51" s="100"/>
      <c r="B51" s="100"/>
      <c r="C51" s="100"/>
      <c r="D51" s="100"/>
      <c r="E51" s="100"/>
      <c r="F51" s="100"/>
      <c r="G51" s="103"/>
      <c r="H51" s="186"/>
      <c r="I51" s="195">
        <v>0.51</v>
      </c>
      <c r="J51" s="107">
        <v>0.49</v>
      </c>
      <c r="K51" s="107"/>
      <c r="L51" s="107"/>
      <c r="M51" s="187"/>
      <c r="N51" s="169">
        <f t="shared" si="14"/>
        <v>1</v>
      </c>
      <c r="O51" s="144">
        <v>1</v>
      </c>
      <c r="P51" s="145">
        <v>15</v>
      </c>
      <c r="Q51" s="113">
        <v>15</v>
      </c>
      <c r="R51" s="113"/>
      <c r="S51" s="113"/>
      <c r="T51" s="146"/>
      <c r="U51" s="148">
        <f t="shared" si="1"/>
        <v>15</v>
      </c>
      <c r="V51" s="149">
        <f t="shared" si="2"/>
        <v>15</v>
      </c>
      <c r="W51" s="189"/>
      <c r="X51" s="199"/>
      <c r="Y51" s="151"/>
      <c r="Z51" s="190"/>
      <c r="AA51" s="153"/>
      <c r="AB51" s="154">
        <f t="shared" si="3"/>
        <v>0</v>
      </c>
      <c r="AC51" s="149">
        <f t="shared" si="4"/>
        <v>0</v>
      </c>
      <c r="AD51" s="125">
        <v>2</v>
      </c>
      <c r="AE51" s="148">
        <f t="shared" si="5"/>
        <v>2</v>
      </c>
      <c r="AF51" s="156"/>
      <c r="AG51" s="156"/>
      <c r="AH51" s="113">
        <f t="shared" si="6"/>
        <v>17</v>
      </c>
      <c r="AI51" s="157">
        <v>65</v>
      </c>
      <c r="AJ51" s="113">
        <f t="shared" si="7"/>
        <v>82</v>
      </c>
      <c r="AK51" s="113">
        <f t="shared" si="8"/>
        <v>82</v>
      </c>
      <c r="AL51" s="158">
        <f t="shared" si="9"/>
        <v>1.02</v>
      </c>
      <c r="AM51" s="159"/>
      <c r="AN51" s="160">
        <f t="shared" si="13"/>
        <v>1</v>
      </c>
      <c r="AO51" s="160">
        <f t="shared" si="13"/>
        <v>2</v>
      </c>
      <c r="AP51" s="133"/>
      <c r="AQ51" s="134"/>
      <c r="AR51" s="161"/>
      <c r="AS51" s="161"/>
      <c r="AT51" s="161"/>
      <c r="AU51" s="161"/>
      <c r="AV51" s="162"/>
      <c r="AW51" s="137">
        <f t="shared" si="11"/>
        <v>0</v>
      </c>
      <c r="AX51" s="137">
        <f t="shared" si="12"/>
        <v>0</v>
      </c>
    </row>
    <row r="52" ht="46.5" customHeight="1" spans="1:50" s="97" customFormat="1" x14ac:dyDescent="0.25">
      <c r="A52" s="100"/>
      <c r="B52" s="100"/>
      <c r="C52" s="100"/>
      <c r="D52" s="100"/>
      <c r="E52" s="100"/>
      <c r="F52" s="100"/>
      <c r="G52" s="103"/>
      <c r="H52" s="186"/>
      <c r="I52" s="195">
        <v>0.51</v>
      </c>
      <c r="J52" s="107">
        <v>0.49</v>
      </c>
      <c r="K52" s="107"/>
      <c r="L52" s="107"/>
      <c r="M52" s="187"/>
      <c r="N52" s="169">
        <f t="shared" si="14"/>
        <v>1</v>
      </c>
      <c r="O52" s="144">
        <v>1</v>
      </c>
      <c r="P52" s="145">
        <v>15</v>
      </c>
      <c r="Q52" s="113">
        <v>15</v>
      </c>
      <c r="R52" s="113"/>
      <c r="S52" s="113"/>
      <c r="T52" s="146"/>
      <c r="U52" s="148">
        <f t="shared" si="1"/>
        <v>15</v>
      </c>
      <c r="V52" s="149">
        <f t="shared" si="2"/>
        <v>15</v>
      </c>
      <c r="W52" s="189"/>
      <c r="X52" s="199"/>
      <c r="Y52" s="151"/>
      <c r="Z52" s="190"/>
      <c r="AA52" s="153"/>
      <c r="AB52" s="154">
        <f t="shared" si="3"/>
        <v>0</v>
      </c>
      <c r="AC52" s="149">
        <f t="shared" si="4"/>
        <v>0</v>
      </c>
      <c r="AD52" s="125">
        <v>2</v>
      </c>
      <c r="AE52" s="148">
        <f t="shared" si="5"/>
        <v>2</v>
      </c>
      <c r="AF52" s="156"/>
      <c r="AG52" s="156"/>
      <c r="AH52" s="113">
        <f t="shared" si="6"/>
        <v>17</v>
      </c>
      <c r="AI52" s="157">
        <v>65</v>
      </c>
      <c r="AJ52" s="113">
        <f t="shared" si="7"/>
        <v>82</v>
      </c>
      <c r="AK52" s="113">
        <f t="shared" si="8"/>
        <v>82</v>
      </c>
      <c r="AL52" s="158">
        <f t="shared" si="9"/>
        <v>1.02</v>
      </c>
      <c r="AM52" s="159"/>
      <c r="AN52" s="160">
        <f t="shared" si="13"/>
        <v>1</v>
      </c>
      <c r="AO52" s="160">
        <f t="shared" si="13"/>
        <v>2</v>
      </c>
      <c r="AP52" s="133"/>
      <c r="AQ52" s="134"/>
      <c r="AR52" s="161"/>
      <c r="AS52" s="161"/>
      <c r="AT52" s="161"/>
      <c r="AU52" s="161"/>
      <c r="AV52" s="162"/>
      <c r="AW52" s="137">
        <f t="shared" si="11"/>
        <v>0</v>
      </c>
      <c r="AX52" s="137">
        <f t="shared" si="12"/>
        <v>0</v>
      </c>
    </row>
    <row r="53" ht="46.5" customHeight="1" spans="1:50" s="97" customFormat="1" x14ac:dyDescent="0.25">
      <c r="A53" s="100"/>
      <c r="B53" s="100"/>
      <c r="C53" s="100"/>
      <c r="D53" s="100"/>
      <c r="E53" s="100"/>
      <c r="F53" s="100"/>
      <c r="G53" s="103"/>
      <c r="H53" s="186"/>
      <c r="I53" s="195">
        <v>0.51</v>
      </c>
      <c r="J53" s="107">
        <v>0.49</v>
      </c>
      <c r="K53" s="107"/>
      <c r="L53" s="107"/>
      <c r="M53" s="187"/>
      <c r="N53" s="169">
        <f t="shared" si="14"/>
        <v>1</v>
      </c>
      <c r="O53" s="144">
        <v>1</v>
      </c>
      <c r="P53" s="145">
        <v>15</v>
      </c>
      <c r="Q53" s="113">
        <v>15</v>
      </c>
      <c r="R53" s="113"/>
      <c r="S53" s="113"/>
      <c r="T53" s="146"/>
      <c r="U53" s="148">
        <f t="shared" si="1"/>
        <v>15</v>
      </c>
      <c r="V53" s="149">
        <f t="shared" si="2"/>
        <v>15</v>
      </c>
      <c r="W53" s="189"/>
      <c r="X53" s="199"/>
      <c r="Y53" s="151"/>
      <c r="Z53" s="190"/>
      <c r="AA53" s="153"/>
      <c r="AB53" s="154">
        <f t="shared" si="3"/>
        <v>0</v>
      </c>
      <c r="AC53" s="149">
        <f t="shared" si="4"/>
        <v>0</v>
      </c>
      <c r="AD53" s="125">
        <v>2</v>
      </c>
      <c r="AE53" s="148">
        <f t="shared" si="5"/>
        <v>2</v>
      </c>
      <c r="AF53" s="156"/>
      <c r="AG53" s="156"/>
      <c r="AH53" s="113">
        <f t="shared" si="6"/>
        <v>17</v>
      </c>
      <c r="AI53" s="157">
        <v>65</v>
      </c>
      <c r="AJ53" s="113">
        <f t="shared" si="7"/>
        <v>82</v>
      </c>
      <c r="AK53" s="113">
        <f t="shared" si="8"/>
        <v>82</v>
      </c>
      <c r="AL53" s="158">
        <f t="shared" si="9"/>
        <v>1.02</v>
      </c>
      <c r="AM53" s="159"/>
      <c r="AN53" s="160">
        <f t="shared" si="13"/>
        <v>1</v>
      </c>
      <c r="AO53" s="160">
        <f t="shared" si="13"/>
        <v>2</v>
      </c>
      <c r="AP53" s="133"/>
      <c r="AQ53" s="134"/>
      <c r="AR53" s="161"/>
      <c r="AS53" s="161"/>
      <c r="AT53" s="161"/>
      <c r="AU53" s="161"/>
      <c r="AV53" s="162"/>
      <c r="AW53" s="137">
        <f t="shared" si="11"/>
        <v>0</v>
      </c>
      <c r="AX53" s="137">
        <f t="shared" si="12"/>
        <v>0</v>
      </c>
    </row>
    <row r="54" ht="46.5" customHeight="1" spans="1:50" s="97" customFormat="1" x14ac:dyDescent="0.25">
      <c r="A54" s="100"/>
      <c r="B54" s="100"/>
      <c r="C54" s="100"/>
      <c r="D54" s="100"/>
      <c r="E54" s="100"/>
      <c r="F54" s="100"/>
      <c r="G54" s="103"/>
      <c r="H54" s="186"/>
      <c r="I54" s="195">
        <v>0.51</v>
      </c>
      <c r="J54" s="107">
        <v>0.49</v>
      </c>
      <c r="K54" s="107"/>
      <c r="L54" s="107"/>
      <c r="M54" s="187"/>
      <c r="N54" s="169">
        <f t="shared" si="14"/>
        <v>1</v>
      </c>
      <c r="O54" s="144">
        <v>1</v>
      </c>
      <c r="P54" s="145">
        <v>15</v>
      </c>
      <c r="Q54" s="113">
        <v>15</v>
      </c>
      <c r="R54" s="113"/>
      <c r="S54" s="113"/>
      <c r="T54" s="146"/>
      <c r="U54" s="148">
        <f t="shared" si="1"/>
        <v>15</v>
      </c>
      <c r="V54" s="149">
        <f t="shared" si="2"/>
        <v>15</v>
      </c>
      <c r="W54" s="189"/>
      <c r="X54" s="199"/>
      <c r="Y54" s="151"/>
      <c r="Z54" s="190"/>
      <c r="AA54" s="153"/>
      <c r="AB54" s="154">
        <f t="shared" si="3"/>
        <v>0</v>
      </c>
      <c r="AC54" s="149">
        <f t="shared" si="4"/>
        <v>0</v>
      </c>
      <c r="AD54" s="125">
        <v>2</v>
      </c>
      <c r="AE54" s="148">
        <f t="shared" si="5"/>
        <v>2</v>
      </c>
      <c r="AF54" s="156"/>
      <c r="AG54" s="156"/>
      <c r="AH54" s="113">
        <f t="shared" si="6"/>
        <v>17</v>
      </c>
      <c r="AI54" s="157">
        <v>65</v>
      </c>
      <c r="AJ54" s="113">
        <f t="shared" si="7"/>
        <v>82</v>
      </c>
      <c r="AK54" s="113">
        <f t="shared" si="8"/>
        <v>82</v>
      </c>
      <c r="AL54" s="158">
        <f t="shared" si="9"/>
        <v>1.02</v>
      </c>
      <c r="AM54" s="159"/>
      <c r="AN54" s="160">
        <f t="shared" si="13"/>
        <v>1</v>
      </c>
      <c r="AO54" s="160">
        <f t="shared" si="13"/>
        <v>2</v>
      </c>
      <c r="AP54" s="133"/>
      <c r="AQ54" s="134"/>
      <c r="AR54" s="161"/>
      <c r="AS54" s="161"/>
      <c r="AT54" s="161"/>
      <c r="AU54" s="161"/>
      <c r="AV54" s="162"/>
      <c r="AW54" s="137">
        <f t="shared" si="11"/>
        <v>0</v>
      </c>
      <c r="AX54" s="137">
        <f t="shared" si="12"/>
        <v>0</v>
      </c>
    </row>
    <row r="55" ht="46.5" customHeight="1" spans="1:50" s="97" customFormat="1" x14ac:dyDescent="0.25">
      <c r="A55" s="100"/>
      <c r="B55" s="100"/>
      <c r="C55" s="100"/>
      <c r="D55" s="100"/>
      <c r="E55" s="100"/>
      <c r="F55" s="100"/>
      <c r="G55" s="103"/>
      <c r="H55" s="186"/>
      <c r="I55" s="195">
        <v>0.51</v>
      </c>
      <c r="J55" s="107">
        <v>0.49</v>
      </c>
      <c r="K55" s="107"/>
      <c r="L55" s="107"/>
      <c r="M55" s="187"/>
      <c r="N55" s="169">
        <f t="shared" si="14"/>
        <v>1</v>
      </c>
      <c r="O55" s="144">
        <v>1</v>
      </c>
      <c r="P55" s="145">
        <v>15</v>
      </c>
      <c r="Q55" s="113">
        <v>15</v>
      </c>
      <c r="R55" s="113"/>
      <c r="S55" s="113"/>
      <c r="T55" s="146"/>
      <c r="U55" s="148">
        <f t="shared" si="1"/>
        <v>15</v>
      </c>
      <c r="V55" s="149">
        <f t="shared" si="2"/>
        <v>15</v>
      </c>
      <c r="W55" s="189"/>
      <c r="X55" s="199"/>
      <c r="Y55" s="151"/>
      <c r="Z55" s="190"/>
      <c r="AA55" s="153"/>
      <c r="AB55" s="154">
        <f t="shared" si="3"/>
        <v>0</v>
      </c>
      <c r="AC55" s="149">
        <f t="shared" si="4"/>
        <v>0</v>
      </c>
      <c r="AD55" s="125">
        <v>2</v>
      </c>
      <c r="AE55" s="148">
        <f t="shared" si="5"/>
        <v>2</v>
      </c>
      <c r="AF55" s="156"/>
      <c r="AG55" s="156"/>
      <c r="AH55" s="113">
        <f t="shared" si="6"/>
        <v>17</v>
      </c>
      <c r="AI55" s="157">
        <v>65</v>
      </c>
      <c r="AJ55" s="113">
        <f t="shared" si="7"/>
        <v>82</v>
      </c>
      <c r="AK55" s="113">
        <f t="shared" si="8"/>
        <v>82</v>
      </c>
      <c r="AL55" s="158">
        <f t="shared" si="9"/>
        <v>1.02</v>
      </c>
      <c r="AM55" s="159"/>
      <c r="AN55" s="160">
        <f t="shared" si="13"/>
        <v>1</v>
      </c>
      <c r="AO55" s="160">
        <f t="shared" si="13"/>
        <v>2</v>
      </c>
      <c r="AP55" s="133"/>
      <c r="AQ55" s="134"/>
      <c r="AR55" s="161"/>
      <c r="AS55" s="161"/>
      <c r="AT55" s="161"/>
      <c r="AU55" s="161"/>
      <c r="AV55" s="162"/>
      <c r="AW55" s="137">
        <f t="shared" si="11"/>
        <v>0</v>
      </c>
      <c r="AX55" s="137">
        <f t="shared" si="12"/>
        <v>0</v>
      </c>
    </row>
    <row r="56" ht="46.5" customHeight="1" spans="1:50" s="97" customFormat="1" x14ac:dyDescent="0.25">
      <c r="A56" s="100"/>
      <c r="B56" s="100"/>
      <c r="C56" s="100"/>
      <c r="D56" s="100"/>
      <c r="E56" s="100"/>
      <c r="F56" s="100"/>
      <c r="G56" s="103"/>
      <c r="H56" s="186"/>
      <c r="I56" s="195">
        <v>0.51</v>
      </c>
      <c r="J56" s="107">
        <v>0.49</v>
      </c>
      <c r="K56" s="107"/>
      <c r="L56" s="107"/>
      <c r="M56" s="187"/>
      <c r="N56" s="169">
        <f t="shared" si="14"/>
        <v>1</v>
      </c>
      <c r="O56" s="144">
        <v>1</v>
      </c>
      <c r="P56" s="145">
        <v>15</v>
      </c>
      <c r="Q56" s="113">
        <v>15</v>
      </c>
      <c r="R56" s="113"/>
      <c r="S56" s="113"/>
      <c r="T56" s="146"/>
      <c r="U56" s="148">
        <f t="shared" si="1"/>
        <v>15</v>
      </c>
      <c r="V56" s="149">
        <f t="shared" si="2"/>
        <v>15</v>
      </c>
      <c r="W56" s="189"/>
      <c r="X56" s="199"/>
      <c r="Y56" s="151"/>
      <c r="Z56" s="190"/>
      <c r="AA56" s="153"/>
      <c r="AB56" s="154">
        <f t="shared" si="3"/>
        <v>0</v>
      </c>
      <c r="AC56" s="149">
        <f t="shared" si="4"/>
        <v>0</v>
      </c>
      <c r="AD56" s="125">
        <v>2</v>
      </c>
      <c r="AE56" s="148">
        <f t="shared" si="5"/>
        <v>2</v>
      </c>
      <c r="AF56" s="156"/>
      <c r="AG56" s="156"/>
      <c r="AH56" s="113">
        <f t="shared" si="6"/>
        <v>17</v>
      </c>
      <c r="AI56" s="157">
        <v>65</v>
      </c>
      <c r="AJ56" s="113">
        <f t="shared" si="7"/>
        <v>82</v>
      </c>
      <c r="AK56" s="113">
        <f t="shared" si="8"/>
        <v>82</v>
      </c>
      <c r="AL56" s="158">
        <f t="shared" si="9"/>
        <v>1.02</v>
      </c>
      <c r="AM56" s="159"/>
      <c r="AN56" s="160">
        <f t="shared" si="13"/>
        <v>1</v>
      </c>
      <c r="AO56" s="160">
        <f t="shared" si="13"/>
        <v>2</v>
      </c>
      <c r="AP56" s="133"/>
      <c r="AQ56" s="134"/>
      <c r="AR56" s="161"/>
      <c r="AS56" s="161"/>
      <c r="AT56" s="161"/>
      <c r="AU56" s="161"/>
      <c r="AV56" s="162"/>
      <c r="AW56" s="137">
        <f t="shared" si="11"/>
        <v>0</v>
      </c>
      <c r="AX56" s="137">
        <f t="shared" si="12"/>
        <v>0</v>
      </c>
    </row>
    <row r="57" ht="46.5" customHeight="1" spans="1:50" s="97" customFormat="1" x14ac:dyDescent="0.25">
      <c r="A57" s="100"/>
      <c r="B57" s="100"/>
      <c r="C57" s="100"/>
      <c r="D57" s="100"/>
      <c r="E57" s="100"/>
      <c r="F57" s="100"/>
      <c r="G57" s="103"/>
      <c r="H57" s="186"/>
      <c r="I57" s="195">
        <v>0.51</v>
      </c>
      <c r="J57" s="107">
        <v>0.49</v>
      </c>
      <c r="K57" s="107"/>
      <c r="L57" s="107"/>
      <c r="M57" s="187"/>
      <c r="N57" s="169">
        <f t="shared" si="14"/>
        <v>1</v>
      </c>
      <c r="O57" s="144">
        <v>1</v>
      </c>
      <c r="P57" s="145">
        <v>15</v>
      </c>
      <c r="Q57" s="113">
        <v>15</v>
      </c>
      <c r="R57" s="113"/>
      <c r="S57" s="113"/>
      <c r="T57" s="146"/>
      <c r="U57" s="148">
        <f t="shared" si="1"/>
        <v>15</v>
      </c>
      <c r="V57" s="149">
        <f t="shared" si="2"/>
        <v>15</v>
      </c>
      <c r="W57" s="189"/>
      <c r="X57" s="199"/>
      <c r="Y57" s="151"/>
      <c r="Z57" s="190"/>
      <c r="AA57" s="153"/>
      <c r="AB57" s="154">
        <f t="shared" si="3"/>
        <v>0</v>
      </c>
      <c r="AC57" s="149">
        <f t="shared" si="4"/>
        <v>0</v>
      </c>
      <c r="AD57" s="125">
        <v>2</v>
      </c>
      <c r="AE57" s="148">
        <f t="shared" si="5"/>
        <v>2</v>
      </c>
      <c r="AF57" s="156"/>
      <c r="AG57" s="156"/>
      <c r="AH57" s="113">
        <f t="shared" si="6"/>
        <v>17</v>
      </c>
      <c r="AI57" s="157">
        <v>65</v>
      </c>
      <c r="AJ57" s="113">
        <f t="shared" si="7"/>
        <v>82</v>
      </c>
      <c r="AK57" s="113">
        <f t="shared" si="8"/>
        <v>82</v>
      </c>
      <c r="AL57" s="158">
        <f t="shared" si="9"/>
        <v>1.02</v>
      </c>
      <c r="AM57" s="159"/>
      <c r="AN57" s="160">
        <f t="shared" ref="AN57:AO76" si="15">100%+AM57</f>
        <v>1</v>
      </c>
      <c r="AO57" s="160">
        <f t="shared" si="15"/>
        <v>2</v>
      </c>
      <c r="AP57" s="133"/>
      <c r="AQ57" s="134"/>
      <c r="AR57" s="161"/>
      <c r="AS57" s="161"/>
      <c r="AT57" s="161"/>
      <c r="AU57" s="161"/>
      <c r="AV57" s="162"/>
      <c r="AW57" s="137">
        <f t="shared" si="11"/>
        <v>0</v>
      </c>
      <c r="AX57" s="137">
        <f t="shared" si="12"/>
        <v>0</v>
      </c>
    </row>
    <row r="58" ht="46.5" customHeight="1" spans="1:50" s="97" customFormat="1" x14ac:dyDescent="0.25">
      <c r="A58" s="100"/>
      <c r="B58" s="100"/>
      <c r="C58" s="100"/>
      <c r="D58" s="100"/>
      <c r="E58" s="100"/>
      <c r="F58" s="100"/>
      <c r="G58" s="103"/>
      <c r="H58" s="186"/>
      <c r="I58" s="195">
        <v>0.51</v>
      </c>
      <c r="J58" s="107">
        <v>0.49</v>
      </c>
      <c r="K58" s="107"/>
      <c r="L58" s="107"/>
      <c r="M58" s="187"/>
      <c r="N58" s="169">
        <f t="shared" si="14"/>
        <v>1</v>
      </c>
      <c r="O58" s="144">
        <v>1</v>
      </c>
      <c r="P58" s="145">
        <v>15</v>
      </c>
      <c r="Q58" s="113">
        <v>15</v>
      </c>
      <c r="R58" s="113"/>
      <c r="S58" s="113"/>
      <c r="T58" s="146"/>
      <c r="U58" s="148">
        <f t="shared" si="1"/>
        <v>15</v>
      </c>
      <c r="V58" s="149">
        <f t="shared" si="2"/>
        <v>15</v>
      </c>
      <c r="W58" s="189"/>
      <c r="X58" s="199"/>
      <c r="Y58" s="151"/>
      <c r="Z58" s="190"/>
      <c r="AA58" s="153"/>
      <c r="AB58" s="154">
        <f t="shared" si="3"/>
        <v>0</v>
      </c>
      <c r="AC58" s="149">
        <f t="shared" si="4"/>
        <v>0</v>
      </c>
      <c r="AD58" s="125">
        <v>2</v>
      </c>
      <c r="AE58" s="148">
        <f t="shared" si="5"/>
        <v>2</v>
      </c>
      <c r="AF58" s="156"/>
      <c r="AG58" s="156"/>
      <c r="AH58" s="113">
        <f t="shared" si="6"/>
        <v>17</v>
      </c>
      <c r="AI58" s="157">
        <v>65</v>
      </c>
      <c r="AJ58" s="113">
        <f t="shared" si="7"/>
        <v>82</v>
      </c>
      <c r="AK58" s="113">
        <f t="shared" si="8"/>
        <v>82</v>
      </c>
      <c r="AL58" s="158">
        <f t="shared" si="9"/>
        <v>1.02</v>
      </c>
      <c r="AM58" s="159"/>
      <c r="AN58" s="160">
        <f t="shared" si="15"/>
        <v>1</v>
      </c>
      <c r="AO58" s="160">
        <f t="shared" si="15"/>
        <v>2</v>
      </c>
      <c r="AP58" s="133"/>
      <c r="AQ58" s="134"/>
      <c r="AR58" s="161"/>
      <c r="AS58" s="161"/>
      <c r="AT58" s="161"/>
      <c r="AU58" s="161"/>
      <c r="AV58" s="162"/>
      <c r="AW58" s="137">
        <f t="shared" si="11"/>
        <v>0</v>
      </c>
      <c r="AX58" s="137">
        <f t="shared" si="12"/>
        <v>0</v>
      </c>
    </row>
    <row r="59" ht="46.5" customHeight="1" spans="1:50" s="97" customFormat="1" x14ac:dyDescent="0.25">
      <c r="A59" s="100"/>
      <c r="B59" s="100"/>
      <c r="C59" s="100"/>
      <c r="D59" s="100"/>
      <c r="E59" s="100"/>
      <c r="F59" s="100"/>
      <c r="G59" s="103"/>
      <c r="H59" s="186"/>
      <c r="I59" s="195">
        <v>0.51</v>
      </c>
      <c r="J59" s="107">
        <v>0.49</v>
      </c>
      <c r="K59" s="107"/>
      <c r="L59" s="107"/>
      <c r="M59" s="187"/>
      <c r="N59" s="169">
        <f t="shared" si="14"/>
        <v>1</v>
      </c>
      <c r="O59" s="144">
        <v>1</v>
      </c>
      <c r="P59" s="145">
        <v>15</v>
      </c>
      <c r="Q59" s="113">
        <v>15</v>
      </c>
      <c r="R59" s="113"/>
      <c r="S59" s="113"/>
      <c r="T59" s="146"/>
      <c r="U59" s="148">
        <f t="shared" si="1"/>
        <v>15</v>
      </c>
      <c r="V59" s="149">
        <f t="shared" si="2"/>
        <v>15</v>
      </c>
      <c r="W59" s="189"/>
      <c r="X59" s="199"/>
      <c r="Y59" s="151"/>
      <c r="Z59" s="190"/>
      <c r="AA59" s="153"/>
      <c r="AB59" s="154">
        <f t="shared" si="3"/>
        <v>0</v>
      </c>
      <c r="AC59" s="149">
        <f t="shared" si="4"/>
        <v>0</v>
      </c>
      <c r="AD59" s="125">
        <v>2</v>
      </c>
      <c r="AE59" s="148">
        <f t="shared" si="5"/>
        <v>2</v>
      </c>
      <c r="AF59" s="156"/>
      <c r="AG59" s="156"/>
      <c r="AH59" s="113">
        <f t="shared" si="6"/>
        <v>17</v>
      </c>
      <c r="AI59" s="157">
        <v>65</v>
      </c>
      <c r="AJ59" s="113">
        <f t="shared" si="7"/>
        <v>82</v>
      </c>
      <c r="AK59" s="113">
        <f t="shared" si="8"/>
        <v>82</v>
      </c>
      <c r="AL59" s="158">
        <f t="shared" si="9"/>
        <v>1.02</v>
      </c>
      <c r="AM59" s="159"/>
      <c r="AN59" s="160">
        <f t="shared" si="15"/>
        <v>1</v>
      </c>
      <c r="AO59" s="160">
        <f t="shared" si="15"/>
        <v>2</v>
      </c>
      <c r="AP59" s="133"/>
      <c r="AQ59" s="134"/>
      <c r="AR59" s="161"/>
      <c r="AS59" s="161"/>
      <c r="AT59" s="161"/>
      <c r="AU59" s="161"/>
      <c r="AV59" s="162"/>
      <c r="AW59" s="137">
        <f t="shared" si="11"/>
        <v>0</v>
      </c>
      <c r="AX59" s="137">
        <f t="shared" si="12"/>
        <v>0</v>
      </c>
    </row>
    <row r="60" ht="46.5" customHeight="1" spans="1:50" s="97" customFormat="1" x14ac:dyDescent="0.25">
      <c r="A60" s="100"/>
      <c r="B60" s="100"/>
      <c r="C60" s="100"/>
      <c r="D60" s="100"/>
      <c r="E60" s="100"/>
      <c r="F60" s="100"/>
      <c r="G60" s="103"/>
      <c r="H60" s="186"/>
      <c r="I60" s="195">
        <v>0.51</v>
      </c>
      <c r="J60" s="107">
        <v>0.49</v>
      </c>
      <c r="K60" s="107"/>
      <c r="L60" s="107"/>
      <c r="M60" s="187"/>
      <c r="N60" s="169">
        <f t="shared" si="14"/>
        <v>1</v>
      </c>
      <c r="O60" s="144">
        <v>1</v>
      </c>
      <c r="P60" s="145">
        <v>15</v>
      </c>
      <c r="Q60" s="113">
        <v>15</v>
      </c>
      <c r="R60" s="113"/>
      <c r="S60" s="113"/>
      <c r="T60" s="146"/>
      <c r="U60" s="148">
        <f t="shared" si="1"/>
        <v>15</v>
      </c>
      <c r="V60" s="149">
        <f t="shared" si="2"/>
        <v>15</v>
      </c>
      <c r="W60" s="189"/>
      <c r="X60" s="199"/>
      <c r="Y60" s="151"/>
      <c r="Z60" s="190"/>
      <c r="AA60" s="153"/>
      <c r="AB60" s="154">
        <f t="shared" si="3"/>
        <v>0</v>
      </c>
      <c r="AC60" s="149">
        <f t="shared" si="4"/>
        <v>0</v>
      </c>
      <c r="AD60" s="125">
        <v>2</v>
      </c>
      <c r="AE60" s="148">
        <f t="shared" si="5"/>
        <v>2</v>
      </c>
      <c r="AF60" s="156"/>
      <c r="AG60" s="156"/>
      <c r="AH60" s="113">
        <f t="shared" si="6"/>
        <v>17</v>
      </c>
      <c r="AI60" s="157">
        <v>65</v>
      </c>
      <c r="AJ60" s="113">
        <f t="shared" si="7"/>
        <v>82</v>
      </c>
      <c r="AK60" s="113">
        <f t="shared" si="8"/>
        <v>82</v>
      </c>
      <c r="AL60" s="158">
        <f t="shared" si="9"/>
        <v>1.02</v>
      </c>
      <c r="AM60" s="159"/>
      <c r="AN60" s="160">
        <f t="shared" si="15"/>
        <v>1</v>
      </c>
      <c r="AO60" s="160">
        <f t="shared" si="15"/>
        <v>2</v>
      </c>
      <c r="AP60" s="133"/>
      <c r="AQ60" s="134"/>
      <c r="AR60" s="161"/>
      <c r="AS60" s="161"/>
      <c r="AT60" s="161"/>
      <c r="AU60" s="161"/>
      <c r="AV60" s="162"/>
      <c r="AW60" s="137">
        <f t="shared" si="11"/>
        <v>0</v>
      </c>
      <c r="AX60" s="137">
        <f t="shared" si="12"/>
        <v>0</v>
      </c>
    </row>
    <row r="61" ht="46.5" customHeight="1" spans="1:50" s="97" customFormat="1" x14ac:dyDescent="0.25">
      <c r="A61" s="100"/>
      <c r="B61" s="100"/>
      <c r="C61" s="100"/>
      <c r="D61" s="100"/>
      <c r="E61" s="100"/>
      <c r="F61" s="100"/>
      <c r="G61" s="103"/>
      <c r="H61" s="186"/>
      <c r="I61" s="195">
        <v>0.51</v>
      </c>
      <c r="J61" s="107">
        <v>0.49</v>
      </c>
      <c r="K61" s="107"/>
      <c r="L61" s="107"/>
      <c r="M61" s="187"/>
      <c r="N61" s="169">
        <f t="shared" si="14"/>
        <v>1</v>
      </c>
      <c r="O61" s="144">
        <v>1</v>
      </c>
      <c r="P61" s="145">
        <v>15</v>
      </c>
      <c r="Q61" s="113">
        <v>15</v>
      </c>
      <c r="R61" s="113"/>
      <c r="S61" s="113"/>
      <c r="T61" s="146"/>
      <c r="U61" s="148">
        <f t="shared" si="1"/>
        <v>15</v>
      </c>
      <c r="V61" s="149">
        <f t="shared" si="2"/>
        <v>15</v>
      </c>
      <c r="W61" s="189"/>
      <c r="X61" s="199"/>
      <c r="Y61" s="151"/>
      <c r="Z61" s="190"/>
      <c r="AA61" s="153"/>
      <c r="AB61" s="154">
        <f t="shared" si="3"/>
        <v>0</v>
      </c>
      <c r="AC61" s="149">
        <f t="shared" si="4"/>
        <v>0</v>
      </c>
      <c r="AD61" s="125">
        <v>2</v>
      </c>
      <c r="AE61" s="148">
        <f t="shared" si="5"/>
        <v>2</v>
      </c>
      <c r="AF61" s="156"/>
      <c r="AG61" s="156"/>
      <c r="AH61" s="113">
        <f t="shared" si="6"/>
        <v>17</v>
      </c>
      <c r="AI61" s="157">
        <v>65</v>
      </c>
      <c r="AJ61" s="113">
        <f t="shared" si="7"/>
        <v>82</v>
      </c>
      <c r="AK61" s="113">
        <f t="shared" si="8"/>
        <v>82</v>
      </c>
      <c r="AL61" s="158">
        <f t="shared" si="9"/>
        <v>1.02</v>
      </c>
      <c r="AM61" s="159"/>
      <c r="AN61" s="160">
        <f t="shared" si="15"/>
        <v>1</v>
      </c>
      <c r="AO61" s="160">
        <f t="shared" si="15"/>
        <v>2</v>
      </c>
      <c r="AP61" s="133"/>
      <c r="AQ61" s="134"/>
      <c r="AR61" s="161"/>
      <c r="AS61" s="161"/>
      <c r="AT61" s="161"/>
      <c r="AU61" s="161"/>
      <c r="AV61" s="162"/>
      <c r="AW61" s="137">
        <f t="shared" si="11"/>
        <v>0</v>
      </c>
      <c r="AX61" s="137">
        <f t="shared" si="12"/>
        <v>0</v>
      </c>
    </row>
    <row r="62" ht="46.5" customHeight="1" spans="1:50" s="97" customFormat="1" x14ac:dyDescent="0.25">
      <c r="A62" s="100"/>
      <c r="B62" s="100"/>
      <c r="C62" s="100"/>
      <c r="D62" s="100"/>
      <c r="E62" s="100"/>
      <c r="F62" s="100"/>
      <c r="G62" s="103"/>
      <c r="H62" s="186"/>
      <c r="I62" s="195">
        <v>0.51</v>
      </c>
      <c r="J62" s="107">
        <v>0.49</v>
      </c>
      <c r="K62" s="107"/>
      <c r="L62" s="107"/>
      <c r="M62" s="187"/>
      <c r="N62" s="169">
        <f t="shared" si="14"/>
        <v>1</v>
      </c>
      <c r="O62" s="144">
        <v>1</v>
      </c>
      <c r="P62" s="145">
        <v>15</v>
      </c>
      <c r="Q62" s="113">
        <v>15</v>
      </c>
      <c r="R62" s="113"/>
      <c r="S62" s="113"/>
      <c r="T62" s="146"/>
      <c r="U62" s="148">
        <f t="shared" si="1"/>
        <v>15</v>
      </c>
      <c r="V62" s="149">
        <f t="shared" si="2"/>
        <v>15</v>
      </c>
      <c r="W62" s="189"/>
      <c r="X62" s="199"/>
      <c r="Y62" s="151"/>
      <c r="Z62" s="190"/>
      <c r="AA62" s="153"/>
      <c r="AB62" s="154">
        <f t="shared" si="3"/>
        <v>0</v>
      </c>
      <c r="AC62" s="149">
        <f t="shared" si="4"/>
        <v>0</v>
      </c>
      <c r="AD62" s="125">
        <v>2</v>
      </c>
      <c r="AE62" s="148">
        <f t="shared" si="5"/>
        <v>2</v>
      </c>
      <c r="AF62" s="156"/>
      <c r="AG62" s="156"/>
      <c r="AH62" s="113">
        <f t="shared" si="6"/>
        <v>17</v>
      </c>
      <c r="AI62" s="157">
        <v>65</v>
      </c>
      <c r="AJ62" s="113">
        <f t="shared" si="7"/>
        <v>82</v>
      </c>
      <c r="AK62" s="113">
        <f t="shared" si="8"/>
        <v>82</v>
      </c>
      <c r="AL62" s="158">
        <f t="shared" si="9"/>
        <v>1.02</v>
      </c>
      <c r="AM62" s="159"/>
      <c r="AN62" s="160">
        <f t="shared" si="15"/>
        <v>1</v>
      </c>
      <c r="AO62" s="160">
        <f t="shared" si="15"/>
        <v>2</v>
      </c>
      <c r="AP62" s="133"/>
      <c r="AQ62" s="134"/>
      <c r="AR62" s="161"/>
      <c r="AS62" s="161"/>
      <c r="AT62" s="161"/>
      <c r="AU62" s="161"/>
      <c r="AV62" s="162"/>
      <c r="AW62" s="137">
        <f t="shared" si="11"/>
        <v>0</v>
      </c>
      <c r="AX62" s="137">
        <f t="shared" si="12"/>
        <v>0</v>
      </c>
    </row>
    <row r="63" ht="46.5" customHeight="1" spans="1:50" s="97" customFormat="1" x14ac:dyDescent="0.25">
      <c r="A63" s="100"/>
      <c r="B63" s="100"/>
      <c r="C63" s="100"/>
      <c r="D63" s="100"/>
      <c r="E63" s="100"/>
      <c r="F63" s="100"/>
      <c r="G63" s="103"/>
      <c r="H63" s="186"/>
      <c r="I63" s="195">
        <v>0.51</v>
      </c>
      <c r="J63" s="107">
        <v>0.49</v>
      </c>
      <c r="K63" s="107"/>
      <c r="L63" s="107"/>
      <c r="M63" s="187"/>
      <c r="N63" s="169">
        <f t="shared" si="14"/>
        <v>1</v>
      </c>
      <c r="O63" s="144">
        <v>1</v>
      </c>
      <c r="P63" s="145">
        <v>15</v>
      </c>
      <c r="Q63" s="113">
        <v>15</v>
      </c>
      <c r="R63" s="113"/>
      <c r="S63" s="113"/>
      <c r="T63" s="146"/>
      <c r="U63" s="148">
        <f t="shared" si="1"/>
        <v>15</v>
      </c>
      <c r="V63" s="149">
        <f t="shared" si="2"/>
        <v>15</v>
      </c>
      <c r="W63" s="189"/>
      <c r="X63" s="199"/>
      <c r="Y63" s="151"/>
      <c r="Z63" s="190"/>
      <c r="AA63" s="153"/>
      <c r="AB63" s="154">
        <f t="shared" si="3"/>
        <v>0</v>
      </c>
      <c r="AC63" s="149">
        <f t="shared" si="4"/>
        <v>0</v>
      </c>
      <c r="AD63" s="125">
        <v>2</v>
      </c>
      <c r="AE63" s="148">
        <f t="shared" si="5"/>
        <v>2</v>
      </c>
      <c r="AF63" s="156"/>
      <c r="AG63" s="156"/>
      <c r="AH63" s="113">
        <f t="shared" si="6"/>
        <v>17</v>
      </c>
      <c r="AI63" s="157">
        <v>65</v>
      </c>
      <c r="AJ63" s="113">
        <f t="shared" si="7"/>
        <v>82</v>
      </c>
      <c r="AK63" s="113">
        <f t="shared" si="8"/>
        <v>82</v>
      </c>
      <c r="AL63" s="158">
        <f t="shared" si="9"/>
        <v>1.02</v>
      </c>
      <c r="AM63" s="159"/>
      <c r="AN63" s="160">
        <f t="shared" si="15"/>
        <v>1</v>
      </c>
      <c r="AO63" s="160">
        <f t="shared" si="15"/>
        <v>2</v>
      </c>
      <c r="AP63" s="133"/>
      <c r="AQ63" s="134"/>
      <c r="AR63" s="161"/>
      <c r="AS63" s="161"/>
      <c r="AT63" s="161"/>
      <c r="AU63" s="161"/>
      <c r="AV63" s="162"/>
      <c r="AW63" s="137">
        <f t="shared" si="11"/>
        <v>0</v>
      </c>
      <c r="AX63" s="137">
        <f t="shared" si="12"/>
        <v>0</v>
      </c>
    </row>
    <row r="64" ht="46.5" customHeight="1" spans="1:50" s="97" customFormat="1" x14ac:dyDescent="0.25">
      <c r="A64" s="100"/>
      <c r="B64" s="100"/>
      <c r="C64" s="100"/>
      <c r="D64" s="100"/>
      <c r="E64" s="100"/>
      <c r="F64" s="100"/>
      <c r="G64" s="103"/>
      <c r="H64" s="186"/>
      <c r="I64" s="195">
        <v>0.51</v>
      </c>
      <c r="J64" s="107">
        <v>0.49</v>
      </c>
      <c r="K64" s="107"/>
      <c r="L64" s="107"/>
      <c r="M64" s="187"/>
      <c r="N64" s="169">
        <f t="shared" si="14"/>
        <v>1</v>
      </c>
      <c r="O64" s="144">
        <v>1</v>
      </c>
      <c r="P64" s="145">
        <v>15</v>
      </c>
      <c r="Q64" s="113">
        <v>15</v>
      </c>
      <c r="R64" s="113"/>
      <c r="S64" s="113"/>
      <c r="T64" s="146"/>
      <c r="U64" s="148">
        <f t="shared" si="1"/>
        <v>15</v>
      </c>
      <c r="V64" s="149">
        <f t="shared" si="2"/>
        <v>15</v>
      </c>
      <c r="W64" s="189"/>
      <c r="X64" s="199"/>
      <c r="Y64" s="151"/>
      <c r="Z64" s="190"/>
      <c r="AA64" s="153"/>
      <c r="AB64" s="154">
        <f t="shared" si="3"/>
        <v>0</v>
      </c>
      <c r="AC64" s="149">
        <f t="shared" si="4"/>
        <v>0</v>
      </c>
      <c r="AD64" s="125">
        <v>2</v>
      </c>
      <c r="AE64" s="148">
        <f t="shared" si="5"/>
        <v>2</v>
      </c>
      <c r="AF64" s="156"/>
      <c r="AG64" s="156"/>
      <c r="AH64" s="113">
        <f t="shared" si="6"/>
        <v>17</v>
      </c>
      <c r="AI64" s="157">
        <v>65</v>
      </c>
      <c r="AJ64" s="113">
        <f t="shared" si="7"/>
        <v>82</v>
      </c>
      <c r="AK64" s="113">
        <f t="shared" si="8"/>
        <v>82</v>
      </c>
      <c r="AL64" s="158">
        <f t="shared" si="9"/>
        <v>1.02</v>
      </c>
      <c r="AM64" s="159"/>
      <c r="AN64" s="160">
        <f t="shared" si="15"/>
        <v>1</v>
      </c>
      <c r="AO64" s="160">
        <f t="shared" si="15"/>
        <v>2</v>
      </c>
      <c r="AP64" s="133"/>
      <c r="AQ64" s="134"/>
      <c r="AR64" s="161"/>
      <c r="AS64" s="161"/>
      <c r="AT64" s="161"/>
      <c r="AU64" s="161"/>
      <c r="AV64" s="162"/>
      <c r="AW64" s="137">
        <f t="shared" si="11"/>
        <v>0</v>
      </c>
      <c r="AX64" s="137">
        <f t="shared" si="12"/>
        <v>0</v>
      </c>
    </row>
    <row r="65" ht="46.5" customHeight="1" spans="1:50" s="97" customFormat="1" x14ac:dyDescent="0.25">
      <c r="A65" s="100"/>
      <c r="B65" s="100"/>
      <c r="C65" s="100"/>
      <c r="D65" s="100"/>
      <c r="E65" s="100"/>
      <c r="F65" s="100"/>
      <c r="G65" s="103"/>
      <c r="H65" s="186"/>
      <c r="I65" s="195">
        <v>0.51</v>
      </c>
      <c r="J65" s="107">
        <v>0.49</v>
      </c>
      <c r="K65" s="107"/>
      <c r="L65" s="107"/>
      <c r="M65" s="187"/>
      <c r="N65" s="169">
        <f t="shared" si="14"/>
        <v>1</v>
      </c>
      <c r="O65" s="144">
        <v>1</v>
      </c>
      <c r="P65" s="145">
        <v>15</v>
      </c>
      <c r="Q65" s="113">
        <v>15</v>
      </c>
      <c r="R65" s="113"/>
      <c r="S65" s="113"/>
      <c r="T65" s="146"/>
      <c r="U65" s="148">
        <f t="shared" si="1"/>
        <v>15</v>
      </c>
      <c r="V65" s="149">
        <f t="shared" si="2"/>
        <v>15</v>
      </c>
      <c r="W65" s="189"/>
      <c r="X65" s="199"/>
      <c r="Y65" s="151"/>
      <c r="Z65" s="190"/>
      <c r="AA65" s="153"/>
      <c r="AB65" s="154">
        <f t="shared" si="3"/>
        <v>0</v>
      </c>
      <c r="AC65" s="149">
        <f t="shared" si="4"/>
        <v>0</v>
      </c>
      <c r="AD65" s="125">
        <v>2</v>
      </c>
      <c r="AE65" s="148">
        <f t="shared" si="5"/>
        <v>2</v>
      </c>
      <c r="AF65" s="156"/>
      <c r="AG65" s="156"/>
      <c r="AH65" s="113">
        <f t="shared" si="6"/>
        <v>17</v>
      </c>
      <c r="AI65" s="157">
        <v>65</v>
      </c>
      <c r="AJ65" s="113">
        <f t="shared" si="7"/>
        <v>82</v>
      </c>
      <c r="AK65" s="113">
        <f t="shared" si="8"/>
        <v>82</v>
      </c>
      <c r="AL65" s="158">
        <f t="shared" si="9"/>
        <v>1.02</v>
      </c>
      <c r="AM65" s="159"/>
      <c r="AN65" s="160">
        <f t="shared" si="15"/>
        <v>1</v>
      </c>
      <c r="AO65" s="160">
        <f t="shared" si="15"/>
        <v>2</v>
      </c>
      <c r="AP65" s="133"/>
      <c r="AQ65" s="134"/>
      <c r="AR65" s="161"/>
      <c r="AS65" s="161"/>
      <c r="AT65" s="161"/>
      <c r="AU65" s="161"/>
      <c r="AV65" s="162"/>
      <c r="AW65" s="137">
        <f t="shared" si="11"/>
        <v>0</v>
      </c>
      <c r="AX65" s="137">
        <f t="shared" si="12"/>
        <v>0</v>
      </c>
    </row>
    <row r="66" ht="46.5" customHeight="1" spans="1:50" s="97" customFormat="1" x14ac:dyDescent="0.25">
      <c r="A66" s="100"/>
      <c r="B66" s="100"/>
      <c r="C66" s="100"/>
      <c r="D66" s="100"/>
      <c r="E66" s="100"/>
      <c r="F66" s="100"/>
      <c r="G66" s="103"/>
      <c r="H66" s="186"/>
      <c r="I66" s="195">
        <v>0.51</v>
      </c>
      <c r="J66" s="107">
        <v>0.49</v>
      </c>
      <c r="K66" s="107"/>
      <c r="L66" s="107"/>
      <c r="M66" s="187"/>
      <c r="N66" s="169">
        <f t="shared" si="14"/>
        <v>1</v>
      </c>
      <c r="O66" s="144">
        <v>1</v>
      </c>
      <c r="P66" s="145">
        <v>15</v>
      </c>
      <c r="Q66" s="113">
        <v>15</v>
      </c>
      <c r="R66" s="113"/>
      <c r="S66" s="113"/>
      <c r="T66" s="146"/>
      <c r="U66" s="148">
        <f t="shared" si="1"/>
        <v>15</v>
      </c>
      <c r="V66" s="149">
        <f t="shared" si="2"/>
        <v>15</v>
      </c>
      <c r="W66" s="189"/>
      <c r="X66" s="199"/>
      <c r="Y66" s="151"/>
      <c r="Z66" s="190"/>
      <c r="AA66" s="153"/>
      <c r="AB66" s="154">
        <f t="shared" si="3"/>
        <v>0</v>
      </c>
      <c r="AC66" s="149">
        <f t="shared" si="4"/>
        <v>0</v>
      </c>
      <c r="AD66" s="125">
        <v>2</v>
      </c>
      <c r="AE66" s="148">
        <f t="shared" si="5"/>
        <v>2</v>
      </c>
      <c r="AF66" s="156"/>
      <c r="AG66" s="156"/>
      <c r="AH66" s="113">
        <f t="shared" si="6"/>
        <v>17</v>
      </c>
      <c r="AI66" s="157">
        <v>65</v>
      </c>
      <c r="AJ66" s="113">
        <f t="shared" si="7"/>
        <v>82</v>
      </c>
      <c r="AK66" s="113">
        <f t="shared" si="8"/>
        <v>82</v>
      </c>
      <c r="AL66" s="158">
        <f t="shared" si="9"/>
        <v>1.02</v>
      </c>
      <c r="AM66" s="159"/>
      <c r="AN66" s="160">
        <f t="shared" si="15"/>
        <v>1</v>
      </c>
      <c r="AO66" s="160">
        <f t="shared" si="15"/>
        <v>2</v>
      </c>
      <c r="AP66" s="133"/>
      <c r="AQ66" s="134"/>
      <c r="AR66" s="161"/>
      <c r="AS66" s="161"/>
      <c r="AT66" s="161"/>
      <c r="AU66" s="161"/>
      <c r="AV66" s="162"/>
      <c r="AW66" s="137">
        <f t="shared" si="11"/>
        <v>0</v>
      </c>
      <c r="AX66" s="137">
        <f t="shared" si="12"/>
        <v>0</v>
      </c>
    </row>
    <row r="67" ht="46.5" customHeight="1" spans="1:50" s="97" customFormat="1" x14ac:dyDescent="0.25">
      <c r="A67" s="100"/>
      <c r="B67" s="100"/>
      <c r="C67" s="100"/>
      <c r="D67" s="100"/>
      <c r="E67" s="100"/>
      <c r="F67" s="100"/>
      <c r="G67" s="103"/>
      <c r="H67" s="186"/>
      <c r="I67" s="195">
        <v>0.51</v>
      </c>
      <c r="J67" s="107">
        <v>0.49</v>
      </c>
      <c r="K67" s="107"/>
      <c r="L67" s="107"/>
      <c r="M67" s="187"/>
      <c r="N67" s="169">
        <f t="shared" si="14"/>
        <v>1</v>
      </c>
      <c r="O67" s="144">
        <v>1</v>
      </c>
      <c r="P67" s="145">
        <v>15</v>
      </c>
      <c r="Q67" s="113">
        <v>15</v>
      </c>
      <c r="R67" s="113"/>
      <c r="S67" s="113"/>
      <c r="T67" s="146"/>
      <c r="U67" s="148">
        <f t="shared" si="1"/>
        <v>15</v>
      </c>
      <c r="V67" s="149">
        <f t="shared" si="2"/>
        <v>15</v>
      </c>
      <c r="W67" s="189"/>
      <c r="X67" s="199"/>
      <c r="Y67" s="151"/>
      <c r="Z67" s="190"/>
      <c r="AA67" s="153"/>
      <c r="AB67" s="154">
        <f t="shared" si="3"/>
        <v>0</v>
      </c>
      <c r="AC67" s="149">
        <f t="shared" si="4"/>
        <v>0</v>
      </c>
      <c r="AD67" s="125">
        <v>2</v>
      </c>
      <c r="AE67" s="148">
        <f t="shared" si="5"/>
        <v>2</v>
      </c>
      <c r="AF67" s="156"/>
      <c r="AG67" s="156"/>
      <c r="AH67" s="113">
        <f t="shared" si="6"/>
        <v>17</v>
      </c>
      <c r="AI67" s="157">
        <v>65</v>
      </c>
      <c r="AJ67" s="113">
        <f t="shared" si="7"/>
        <v>82</v>
      </c>
      <c r="AK67" s="113">
        <f t="shared" si="8"/>
        <v>82</v>
      </c>
      <c r="AL67" s="158">
        <f t="shared" si="9"/>
        <v>1.02</v>
      </c>
      <c r="AM67" s="159"/>
      <c r="AN67" s="160">
        <f t="shared" si="15"/>
        <v>1</v>
      </c>
      <c r="AO67" s="160">
        <f t="shared" si="15"/>
        <v>2</v>
      </c>
      <c r="AP67" s="133"/>
      <c r="AQ67" s="134"/>
      <c r="AR67" s="161"/>
      <c r="AS67" s="161"/>
      <c r="AT67" s="161"/>
      <c r="AU67" s="161"/>
      <c r="AV67" s="162"/>
      <c r="AW67" s="137">
        <f t="shared" si="11"/>
        <v>0</v>
      </c>
      <c r="AX67" s="137">
        <f t="shared" si="12"/>
        <v>0</v>
      </c>
    </row>
    <row r="68" ht="46.5" customHeight="1" spans="1:50" s="97" customFormat="1" x14ac:dyDescent="0.25">
      <c r="A68" s="100"/>
      <c r="B68" s="100"/>
      <c r="C68" s="100"/>
      <c r="D68" s="100"/>
      <c r="E68" s="100"/>
      <c r="F68" s="100"/>
      <c r="G68" s="103"/>
      <c r="H68" s="186"/>
      <c r="I68" s="195">
        <v>0.51</v>
      </c>
      <c r="J68" s="107">
        <v>0.49</v>
      </c>
      <c r="K68" s="107"/>
      <c r="L68" s="107"/>
      <c r="M68" s="187"/>
      <c r="N68" s="169">
        <f t="shared" si="14"/>
        <v>1</v>
      </c>
      <c r="O68" s="144">
        <v>1</v>
      </c>
      <c r="P68" s="145">
        <v>15</v>
      </c>
      <c r="Q68" s="113">
        <v>15</v>
      </c>
      <c r="R68" s="113"/>
      <c r="S68" s="113"/>
      <c r="T68" s="146"/>
      <c r="U68" s="148">
        <f t="shared" si="1"/>
        <v>15</v>
      </c>
      <c r="V68" s="149">
        <f t="shared" si="2"/>
        <v>15</v>
      </c>
      <c r="W68" s="189"/>
      <c r="X68" s="199"/>
      <c r="Y68" s="151"/>
      <c r="Z68" s="190"/>
      <c r="AA68" s="153"/>
      <c r="AB68" s="154">
        <f t="shared" si="3"/>
        <v>0</v>
      </c>
      <c r="AC68" s="149">
        <f t="shared" si="4"/>
        <v>0</v>
      </c>
      <c r="AD68" s="125">
        <v>2</v>
      </c>
      <c r="AE68" s="148">
        <f t="shared" si="5"/>
        <v>2</v>
      </c>
      <c r="AF68" s="156"/>
      <c r="AG68" s="156"/>
      <c r="AH68" s="113">
        <f t="shared" si="6"/>
        <v>17</v>
      </c>
      <c r="AI68" s="157">
        <v>65</v>
      </c>
      <c r="AJ68" s="113">
        <f t="shared" si="7"/>
        <v>82</v>
      </c>
      <c r="AK68" s="113">
        <f t="shared" si="8"/>
        <v>82</v>
      </c>
      <c r="AL68" s="158">
        <f t="shared" si="9"/>
        <v>1.02</v>
      </c>
      <c r="AM68" s="159"/>
      <c r="AN68" s="160">
        <f t="shared" si="15"/>
        <v>1</v>
      </c>
      <c r="AO68" s="160">
        <f t="shared" si="15"/>
        <v>2</v>
      </c>
      <c r="AP68" s="133"/>
      <c r="AQ68" s="134"/>
      <c r="AR68" s="161"/>
      <c r="AS68" s="161"/>
      <c r="AT68" s="161"/>
      <c r="AU68" s="161"/>
      <c r="AV68" s="162"/>
      <c r="AW68" s="137">
        <f t="shared" si="11"/>
        <v>0</v>
      </c>
      <c r="AX68" s="137">
        <f t="shared" si="12"/>
        <v>0</v>
      </c>
    </row>
    <row r="69" ht="46.5" customHeight="1" spans="1:50" s="97" customFormat="1" x14ac:dyDescent="0.25">
      <c r="A69" s="100"/>
      <c r="B69" s="100"/>
      <c r="C69" s="100"/>
      <c r="D69" s="100"/>
      <c r="E69" s="100"/>
      <c r="F69" s="100"/>
      <c r="G69" s="103"/>
      <c r="H69" s="186"/>
      <c r="I69" s="195">
        <v>0.51</v>
      </c>
      <c r="J69" s="107">
        <v>0.49</v>
      </c>
      <c r="K69" s="107"/>
      <c r="L69" s="107"/>
      <c r="M69" s="187"/>
      <c r="N69" s="169">
        <f t="shared" si="14"/>
        <v>1</v>
      </c>
      <c r="O69" s="144">
        <v>1</v>
      </c>
      <c r="P69" s="145">
        <v>15</v>
      </c>
      <c r="Q69" s="113">
        <v>15</v>
      </c>
      <c r="R69" s="113"/>
      <c r="S69" s="113"/>
      <c r="T69" s="146"/>
      <c r="U69" s="148">
        <f t="shared" si="1"/>
        <v>15</v>
      </c>
      <c r="V69" s="149">
        <f t="shared" si="2"/>
        <v>15</v>
      </c>
      <c r="W69" s="189"/>
      <c r="X69" s="199"/>
      <c r="Y69" s="151"/>
      <c r="Z69" s="190"/>
      <c r="AA69" s="153"/>
      <c r="AB69" s="154">
        <f t="shared" si="3"/>
        <v>0</v>
      </c>
      <c r="AC69" s="149">
        <f t="shared" si="4"/>
        <v>0</v>
      </c>
      <c r="AD69" s="125">
        <v>2</v>
      </c>
      <c r="AE69" s="148">
        <f t="shared" si="5"/>
        <v>2</v>
      </c>
      <c r="AF69" s="156"/>
      <c r="AG69" s="156"/>
      <c r="AH69" s="113">
        <f t="shared" si="6"/>
        <v>17</v>
      </c>
      <c r="AI69" s="157">
        <v>65</v>
      </c>
      <c r="AJ69" s="113">
        <f t="shared" si="7"/>
        <v>82</v>
      </c>
      <c r="AK69" s="113">
        <f t="shared" si="8"/>
        <v>82</v>
      </c>
      <c r="AL69" s="158">
        <f t="shared" si="9"/>
        <v>1.02</v>
      </c>
      <c r="AM69" s="159"/>
      <c r="AN69" s="160">
        <f t="shared" si="15"/>
        <v>1</v>
      </c>
      <c r="AO69" s="160">
        <f t="shared" si="15"/>
        <v>2</v>
      </c>
      <c r="AP69" s="133"/>
      <c r="AQ69" s="134"/>
      <c r="AR69" s="161"/>
      <c r="AS69" s="161"/>
      <c r="AT69" s="161"/>
      <c r="AU69" s="161"/>
      <c r="AV69" s="162"/>
      <c r="AW69" s="137">
        <f t="shared" si="11"/>
        <v>0</v>
      </c>
      <c r="AX69" s="137">
        <f t="shared" si="12"/>
        <v>0</v>
      </c>
    </row>
    <row r="70" ht="46.5" customHeight="1" spans="1:50" s="97" customFormat="1" x14ac:dyDescent="0.25">
      <c r="A70" s="100"/>
      <c r="B70" s="100"/>
      <c r="C70" s="100"/>
      <c r="D70" s="100"/>
      <c r="E70" s="100"/>
      <c r="F70" s="100"/>
      <c r="G70" s="103"/>
      <c r="H70" s="186"/>
      <c r="I70" s="195">
        <v>0.51</v>
      </c>
      <c r="J70" s="107">
        <v>0.49</v>
      </c>
      <c r="K70" s="107"/>
      <c r="L70" s="107"/>
      <c r="M70" s="187"/>
      <c r="N70" s="169">
        <f t="shared" si="14"/>
        <v>1</v>
      </c>
      <c r="O70" s="144">
        <v>1</v>
      </c>
      <c r="P70" s="145">
        <v>15</v>
      </c>
      <c r="Q70" s="113">
        <v>15</v>
      </c>
      <c r="R70" s="113"/>
      <c r="S70" s="113"/>
      <c r="T70" s="146"/>
      <c r="U70" s="148">
        <f t="shared" si="1"/>
        <v>15</v>
      </c>
      <c r="V70" s="149">
        <f t="shared" si="2"/>
        <v>15</v>
      </c>
      <c r="W70" s="189"/>
      <c r="X70" s="199"/>
      <c r="Y70" s="151"/>
      <c r="Z70" s="190"/>
      <c r="AA70" s="153"/>
      <c r="AB70" s="154">
        <f t="shared" si="3"/>
        <v>0</v>
      </c>
      <c r="AC70" s="149">
        <f t="shared" si="4"/>
        <v>0</v>
      </c>
      <c r="AD70" s="125">
        <v>2</v>
      </c>
      <c r="AE70" s="148">
        <f t="shared" si="5"/>
        <v>2</v>
      </c>
      <c r="AF70" s="156"/>
      <c r="AG70" s="156"/>
      <c r="AH70" s="113">
        <f t="shared" si="6"/>
        <v>17</v>
      </c>
      <c r="AI70" s="157">
        <v>65</v>
      </c>
      <c r="AJ70" s="113">
        <f t="shared" si="7"/>
        <v>82</v>
      </c>
      <c r="AK70" s="113">
        <f t="shared" si="8"/>
        <v>82</v>
      </c>
      <c r="AL70" s="158">
        <f t="shared" si="9"/>
        <v>1.02</v>
      </c>
      <c r="AM70" s="159"/>
      <c r="AN70" s="160">
        <f t="shared" si="15"/>
        <v>1</v>
      </c>
      <c r="AO70" s="160">
        <f t="shared" si="15"/>
        <v>2</v>
      </c>
      <c r="AP70" s="133"/>
      <c r="AQ70" s="134"/>
      <c r="AR70" s="161"/>
      <c r="AS70" s="161"/>
      <c r="AT70" s="161"/>
      <c r="AU70" s="161"/>
      <c r="AV70" s="162"/>
      <c r="AW70" s="137">
        <f t="shared" si="11"/>
        <v>0</v>
      </c>
      <c r="AX70" s="137">
        <f t="shared" si="12"/>
        <v>0</v>
      </c>
    </row>
    <row r="71" ht="46.5" customHeight="1" spans="1:50" s="97" customFormat="1" x14ac:dyDescent="0.25">
      <c r="A71" s="100"/>
      <c r="B71" s="100"/>
      <c r="C71" s="100"/>
      <c r="D71" s="100"/>
      <c r="E71" s="100"/>
      <c r="F71" s="100"/>
      <c r="G71" s="103"/>
      <c r="H71" s="186"/>
      <c r="I71" s="195">
        <v>0.51</v>
      </c>
      <c r="J71" s="107">
        <v>0.49</v>
      </c>
      <c r="K71" s="107"/>
      <c r="L71" s="107"/>
      <c r="M71" s="187"/>
      <c r="N71" s="169">
        <f t="shared" si="14"/>
        <v>1</v>
      </c>
      <c r="O71" s="144">
        <v>1</v>
      </c>
      <c r="P71" s="145">
        <v>15</v>
      </c>
      <c r="Q71" s="113">
        <v>15</v>
      </c>
      <c r="R71" s="113"/>
      <c r="S71" s="113"/>
      <c r="T71" s="146"/>
      <c r="U71" s="148">
        <f t="shared" si="1"/>
        <v>15</v>
      </c>
      <c r="V71" s="149">
        <f t="shared" si="2"/>
        <v>15</v>
      </c>
      <c r="W71" s="189"/>
      <c r="X71" s="199"/>
      <c r="Y71" s="151"/>
      <c r="Z71" s="190"/>
      <c r="AA71" s="153"/>
      <c r="AB71" s="154">
        <f t="shared" si="3"/>
        <v>0</v>
      </c>
      <c r="AC71" s="149">
        <f t="shared" si="4"/>
        <v>0</v>
      </c>
      <c r="AD71" s="125">
        <v>2</v>
      </c>
      <c r="AE71" s="148">
        <f t="shared" si="5"/>
        <v>2</v>
      </c>
      <c r="AF71" s="156"/>
      <c r="AG71" s="156"/>
      <c r="AH71" s="113">
        <f t="shared" si="6"/>
        <v>17</v>
      </c>
      <c r="AI71" s="157">
        <v>65</v>
      </c>
      <c r="AJ71" s="113">
        <f t="shared" si="7"/>
        <v>82</v>
      </c>
      <c r="AK71" s="113">
        <f t="shared" si="8"/>
        <v>82</v>
      </c>
      <c r="AL71" s="158">
        <f t="shared" si="9"/>
        <v>1.02</v>
      </c>
      <c r="AM71" s="159"/>
      <c r="AN71" s="160">
        <f t="shared" si="15"/>
        <v>1</v>
      </c>
      <c r="AO71" s="160">
        <f t="shared" si="15"/>
        <v>2</v>
      </c>
      <c r="AP71" s="133"/>
      <c r="AQ71" s="134"/>
      <c r="AR71" s="161"/>
      <c r="AS71" s="161"/>
      <c r="AT71" s="161"/>
      <c r="AU71" s="161"/>
      <c r="AV71" s="162"/>
      <c r="AW71" s="137">
        <f t="shared" si="11"/>
        <v>0</v>
      </c>
      <c r="AX71" s="137">
        <f t="shared" si="12"/>
        <v>0</v>
      </c>
    </row>
    <row r="72" ht="46.5" customHeight="1" spans="1:50" s="97" customFormat="1" x14ac:dyDescent="0.25">
      <c r="A72" s="100"/>
      <c r="B72" s="100"/>
      <c r="C72" s="100"/>
      <c r="D72" s="100"/>
      <c r="E72" s="100"/>
      <c r="F72" s="100"/>
      <c r="G72" s="103"/>
      <c r="H72" s="186"/>
      <c r="I72" s="195">
        <v>0.51</v>
      </c>
      <c r="J72" s="107">
        <v>0.49</v>
      </c>
      <c r="K72" s="107"/>
      <c r="L72" s="107"/>
      <c r="M72" s="187"/>
      <c r="N72" s="169">
        <f t="shared" si="14"/>
        <v>1</v>
      </c>
      <c r="O72" s="144">
        <v>1</v>
      </c>
      <c r="P72" s="145">
        <v>15</v>
      </c>
      <c r="Q72" s="113">
        <v>15</v>
      </c>
      <c r="R72" s="113"/>
      <c r="S72" s="113"/>
      <c r="T72" s="146"/>
      <c r="U72" s="148">
        <f t="shared" si="1"/>
        <v>15</v>
      </c>
      <c r="V72" s="149">
        <f t="shared" si="2"/>
        <v>15</v>
      </c>
      <c r="W72" s="189"/>
      <c r="X72" s="199"/>
      <c r="Y72" s="151"/>
      <c r="Z72" s="190"/>
      <c r="AA72" s="153"/>
      <c r="AB72" s="154">
        <f t="shared" si="3"/>
        <v>0</v>
      </c>
      <c r="AC72" s="149">
        <f t="shared" si="4"/>
        <v>0</v>
      </c>
      <c r="AD72" s="125">
        <v>2</v>
      </c>
      <c r="AE72" s="148">
        <f t="shared" si="5"/>
        <v>2</v>
      </c>
      <c r="AF72" s="156"/>
      <c r="AG72" s="156"/>
      <c r="AH72" s="113">
        <f t="shared" si="6"/>
        <v>17</v>
      </c>
      <c r="AI72" s="157">
        <v>65</v>
      </c>
      <c r="AJ72" s="113">
        <f t="shared" si="7"/>
        <v>82</v>
      </c>
      <c r="AK72" s="113">
        <f t="shared" si="8"/>
        <v>82</v>
      </c>
      <c r="AL72" s="158">
        <f t="shared" si="9"/>
        <v>1.02</v>
      </c>
      <c r="AM72" s="159"/>
      <c r="AN72" s="160">
        <f t="shared" si="15"/>
        <v>1</v>
      </c>
      <c r="AO72" s="160">
        <f t="shared" si="15"/>
        <v>2</v>
      </c>
      <c r="AP72" s="133"/>
      <c r="AQ72" s="134"/>
      <c r="AR72" s="161"/>
      <c r="AS72" s="161"/>
      <c r="AT72" s="161"/>
      <c r="AU72" s="161"/>
      <c r="AV72" s="162"/>
      <c r="AW72" s="137">
        <f t="shared" si="11"/>
        <v>0</v>
      </c>
      <c r="AX72" s="137">
        <f t="shared" si="12"/>
        <v>0</v>
      </c>
    </row>
    <row r="73" ht="46.5" customHeight="1" spans="1:50" s="97" customFormat="1" x14ac:dyDescent="0.25">
      <c r="A73" s="100"/>
      <c r="B73" s="100"/>
      <c r="C73" s="100"/>
      <c r="D73" s="100"/>
      <c r="E73" s="100"/>
      <c r="F73" s="100"/>
      <c r="G73" s="103"/>
      <c r="H73" s="186"/>
      <c r="I73" s="195">
        <v>0.51</v>
      </c>
      <c r="J73" s="107">
        <v>0.49</v>
      </c>
      <c r="K73" s="107"/>
      <c r="L73" s="107"/>
      <c r="M73" s="187"/>
      <c r="N73" s="169">
        <f t="shared" si="14"/>
        <v>1</v>
      </c>
      <c r="O73" s="144">
        <v>1</v>
      </c>
      <c r="P73" s="145">
        <v>15</v>
      </c>
      <c r="Q73" s="113">
        <v>15</v>
      </c>
      <c r="R73" s="113"/>
      <c r="S73" s="113"/>
      <c r="T73" s="146"/>
      <c r="U73" s="148">
        <f t="shared" si="1"/>
        <v>15</v>
      </c>
      <c r="V73" s="149">
        <f t="shared" si="2"/>
        <v>15</v>
      </c>
      <c r="W73" s="189"/>
      <c r="X73" s="199"/>
      <c r="Y73" s="151"/>
      <c r="Z73" s="190"/>
      <c r="AA73" s="153"/>
      <c r="AB73" s="154">
        <f t="shared" si="3"/>
        <v>0</v>
      </c>
      <c r="AC73" s="149">
        <f t="shared" si="4"/>
        <v>0</v>
      </c>
      <c r="AD73" s="125">
        <v>2</v>
      </c>
      <c r="AE73" s="148">
        <f t="shared" si="5"/>
        <v>2</v>
      </c>
      <c r="AF73" s="156"/>
      <c r="AG73" s="156"/>
      <c r="AH73" s="113">
        <f t="shared" si="6"/>
        <v>17</v>
      </c>
      <c r="AI73" s="157">
        <v>65</v>
      </c>
      <c r="AJ73" s="113">
        <f t="shared" si="7"/>
        <v>82</v>
      </c>
      <c r="AK73" s="113">
        <f t="shared" si="8"/>
        <v>82</v>
      </c>
      <c r="AL73" s="158">
        <f t="shared" si="9"/>
        <v>1.02</v>
      </c>
      <c r="AM73" s="159"/>
      <c r="AN73" s="160">
        <f t="shared" si="15"/>
        <v>1</v>
      </c>
      <c r="AO73" s="160">
        <f t="shared" si="15"/>
        <v>2</v>
      </c>
      <c r="AP73" s="133"/>
      <c r="AQ73" s="134"/>
      <c r="AR73" s="161"/>
      <c r="AS73" s="161"/>
      <c r="AT73" s="161"/>
      <c r="AU73" s="161"/>
      <c r="AV73" s="162"/>
      <c r="AW73" s="137">
        <f t="shared" si="11"/>
        <v>0</v>
      </c>
      <c r="AX73" s="137">
        <f t="shared" si="12"/>
        <v>0</v>
      </c>
    </row>
    <row r="74" ht="46.5" customHeight="1" spans="1:50" s="97" customFormat="1" x14ac:dyDescent="0.25">
      <c r="A74" s="100"/>
      <c r="B74" s="100"/>
      <c r="C74" s="100"/>
      <c r="D74" s="100"/>
      <c r="E74" s="100"/>
      <c r="F74" s="100"/>
      <c r="G74" s="103"/>
      <c r="H74" s="186"/>
      <c r="I74" s="195">
        <v>0.51</v>
      </c>
      <c r="J74" s="107">
        <v>0.49</v>
      </c>
      <c r="K74" s="107"/>
      <c r="L74" s="107"/>
      <c r="M74" s="187"/>
      <c r="N74" s="169">
        <f t="shared" si="14"/>
        <v>1</v>
      </c>
      <c r="O74" s="144">
        <v>1</v>
      </c>
      <c r="P74" s="145">
        <v>15</v>
      </c>
      <c r="Q74" s="113">
        <v>15</v>
      </c>
      <c r="R74" s="113"/>
      <c r="S74" s="113"/>
      <c r="T74" s="146"/>
      <c r="U74" s="148">
        <f t="shared" si="1"/>
        <v>15</v>
      </c>
      <c r="V74" s="149">
        <f t="shared" si="2"/>
        <v>15</v>
      </c>
      <c r="W74" s="189"/>
      <c r="X74" s="199"/>
      <c r="Y74" s="151"/>
      <c r="Z74" s="190"/>
      <c r="AA74" s="153"/>
      <c r="AB74" s="154">
        <f t="shared" si="3"/>
        <v>0</v>
      </c>
      <c r="AC74" s="149">
        <f t="shared" si="4"/>
        <v>0</v>
      </c>
      <c r="AD74" s="125">
        <v>2</v>
      </c>
      <c r="AE74" s="148">
        <f t="shared" si="5"/>
        <v>2</v>
      </c>
      <c r="AF74" s="156"/>
      <c r="AG74" s="156"/>
      <c r="AH74" s="113">
        <f t="shared" si="6"/>
        <v>17</v>
      </c>
      <c r="AI74" s="157">
        <v>65</v>
      </c>
      <c r="AJ74" s="113">
        <f t="shared" si="7"/>
        <v>82</v>
      </c>
      <c r="AK74" s="113">
        <f t="shared" si="8"/>
        <v>82</v>
      </c>
      <c r="AL74" s="158">
        <f t="shared" si="9"/>
        <v>1.02</v>
      </c>
      <c r="AM74" s="159"/>
      <c r="AN74" s="160">
        <f t="shared" si="15"/>
        <v>1</v>
      </c>
      <c r="AO74" s="160">
        <f t="shared" si="15"/>
        <v>2</v>
      </c>
      <c r="AP74" s="133"/>
      <c r="AQ74" s="134"/>
      <c r="AR74" s="161"/>
      <c r="AS74" s="161"/>
      <c r="AT74" s="161"/>
      <c r="AU74" s="161"/>
      <c r="AV74" s="162"/>
      <c r="AW74" s="137">
        <f t="shared" si="11"/>
        <v>0</v>
      </c>
      <c r="AX74" s="137">
        <f t="shared" si="12"/>
        <v>0</v>
      </c>
    </row>
    <row r="75" ht="46.5" customHeight="1" spans="1:50" s="97" customFormat="1" x14ac:dyDescent="0.25">
      <c r="A75" s="100"/>
      <c r="B75" s="100"/>
      <c r="C75" s="100"/>
      <c r="D75" s="100"/>
      <c r="E75" s="100"/>
      <c r="F75" s="100"/>
      <c r="G75" s="103"/>
      <c r="H75" s="186"/>
      <c r="I75" s="195">
        <v>0.51</v>
      </c>
      <c r="J75" s="107">
        <v>0.49</v>
      </c>
      <c r="K75" s="107"/>
      <c r="L75" s="107"/>
      <c r="M75" s="187"/>
      <c r="N75" s="169">
        <f t="shared" si="14"/>
        <v>1</v>
      </c>
      <c r="O75" s="144">
        <v>1</v>
      </c>
      <c r="P75" s="145">
        <v>15</v>
      </c>
      <c r="Q75" s="113">
        <v>15</v>
      </c>
      <c r="R75" s="113"/>
      <c r="S75" s="113"/>
      <c r="T75" s="146"/>
      <c r="U75" s="148">
        <f t="shared" si="1"/>
        <v>15</v>
      </c>
      <c r="V75" s="149">
        <f t="shared" si="2"/>
        <v>15</v>
      </c>
      <c r="W75" s="189"/>
      <c r="X75" s="199"/>
      <c r="Y75" s="151"/>
      <c r="Z75" s="190"/>
      <c r="AA75" s="153"/>
      <c r="AB75" s="154">
        <f t="shared" si="3"/>
        <v>0</v>
      </c>
      <c r="AC75" s="149">
        <f t="shared" si="4"/>
        <v>0</v>
      </c>
      <c r="AD75" s="125">
        <v>2</v>
      </c>
      <c r="AE75" s="148">
        <f t="shared" si="5"/>
        <v>2</v>
      </c>
      <c r="AF75" s="156"/>
      <c r="AG75" s="156"/>
      <c r="AH75" s="113">
        <f t="shared" si="6"/>
        <v>17</v>
      </c>
      <c r="AI75" s="157">
        <v>65</v>
      </c>
      <c r="AJ75" s="113">
        <f t="shared" si="7"/>
        <v>82</v>
      </c>
      <c r="AK75" s="113">
        <f t="shared" si="8"/>
        <v>82</v>
      </c>
      <c r="AL75" s="158">
        <f t="shared" si="9"/>
        <v>1.02</v>
      </c>
      <c r="AM75" s="159"/>
      <c r="AN75" s="160">
        <f t="shared" si="15"/>
        <v>1</v>
      </c>
      <c r="AO75" s="160">
        <f t="shared" si="15"/>
        <v>2</v>
      </c>
      <c r="AP75" s="133"/>
      <c r="AQ75" s="134"/>
      <c r="AR75" s="161"/>
      <c r="AS75" s="161"/>
      <c r="AT75" s="161"/>
      <c r="AU75" s="161"/>
      <c r="AV75" s="162"/>
      <c r="AW75" s="137">
        <f t="shared" si="11"/>
        <v>0</v>
      </c>
      <c r="AX75" s="137">
        <f t="shared" si="12"/>
        <v>0</v>
      </c>
    </row>
    <row r="76" ht="46.5" customHeight="1" spans="1:50" s="97" customFormat="1" x14ac:dyDescent="0.25">
      <c r="A76" s="100"/>
      <c r="B76" s="100"/>
      <c r="C76" s="100"/>
      <c r="D76" s="100"/>
      <c r="E76" s="100"/>
      <c r="F76" s="100"/>
      <c r="G76" s="103"/>
      <c r="H76" s="186"/>
      <c r="I76" s="195">
        <v>0.51</v>
      </c>
      <c r="J76" s="107">
        <v>0.49</v>
      </c>
      <c r="K76" s="107"/>
      <c r="L76" s="107"/>
      <c r="M76" s="187"/>
      <c r="N76" s="169">
        <f t="shared" si="14"/>
        <v>1</v>
      </c>
      <c r="O76" s="144">
        <v>1</v>
      </c>
      <c r="P76" s="145">
        <v>15</v>
      </c>
      <c r="Q76" s="113">
        <v>15</v>
      </c>
      <c r="R76" s="113"/>
      <c r="S76" s="113"/>
      <c r="T76" s="146"/>
      <c r="U76" s="148">
        <f t="shared" si="1"/>
        <v>15</v>
      </c>
      <c r="V76" s="149">
        <f t="shared" si="2"/>
        <v>15</v>
      </c>
      <c r="W76" s="189"/>
      <c r="X76" s="199"/>
      <c r="Y76" s="151"/>
      <c r="Z76" s="190"/>
      <c r="AA76" s="153"/>
      <c r="AB76" s="154">
        <f t="shared" si="3"/>
        <v>0</v>
      </c>
      <c r="AC76" s="149">
        <f t="shared" si="4"/>
        <v>0</v>
      </c>
      <c r="AD76" s="125">
        <v>2</v>
      </c>
      <c r="AE76" s="148">
        <f t="shared" si="5"/>
        <v>2</v>
      </c>
      <c r="AF76" s="156"/>
      <c r="AG76" s="156"/>
      <c r="AH76" s="113">
        <f t="shared" si="6"/>
        <v>17</v>
      </c>
      <c r="AI76" s="157">
        <v>65</v>
      </c>
      <c r="AJ76" s="113">
        <f t="shared" si="7"/>
        <v>82</v>
      </c>
      <c r="AK76" s="113">
        <f t="shared" si="8"/>
        <v>82</v>
      </c>
      <c r="AL76" s="158">
        <f t="shared" si="9"/>
        <v>1.02</v>
      </c>
      <c r="AM76" s="159"/>
      <c r="AN76" s="160">
        <f t="shared" si="15"/>
        <v>1</v>
      </c>
      <c r="AO76" s="160">
        <f t="shared" si="15"/>
        <v>2</v>
      </c>
      <c r="AP76" s="133"/>
      <c r="AQ76" s="134"/>
      <c r="AR76" s="161"/>
      <c r="AS76" s="161"/>
      <c r="AT76" s="161"/>
      <c r="AU76" s="161"/>
      <c r="AV76" s="162"/>
      <c r="AW76" s="137">
        <f t="shared" si="11"/>
        <v>0</v>
      </c>
      <c r="AX76" s="137">
        <f t="shared" si="12"/>
        <v>0</v>
      </c>
    </row>
    <row r="77" ht="46.5" customHeight="1" spans="1:50" s="97" customFormat="1" x14ac:dyDescent="0.25">
      <c r="A77" s="100"/>
      <c r="B77" s="100"/>
      <c r="C77" s="100"/>
      <c r="D77" s="100"/>
      <c r="E77" s="100"/>
      <c r="F77" s="100"/>
      <c r="G77" s="103"/>
      <c r="H77" s="186"/>
      <c r="I77" s="195">
        <v>0.51</v>
      </c>
      <c r="J77" s="107">
        <v>0.49</v>
      </c>
      <c r="K77" s="107"/>
      <c r="L77" s="107"/>
      <c r="M77" s="187"/>
      <c r="N77" s="169">
        <f t="shared" si="14"/>
        <v>1</v>
      </c>
      <c r="O77" s="144">
        <v>1</v>
      </c>
      <c r="P77" s="145">
        <v>15</v>
      </c>
      <c r="Q77" s="113">
        <v>15</v>
      </c>
      <c r="R77" s="113"/>
      <c r="S77" s="113"/>
      <c r="T77" s="146"/>
      <c r="U77" s="148">
        <f t="shared" si="1"/>
        <v>15</v>
      </c>
      <c r="V77" s="149">
        <f t="shared" si="2"/>
        <v>15</v>
      </c>
      <c r="W77" s="189"/>
      <c r="X77" s="199"/>
      <c r="Y77" s="151"/>
      <c r="Z77" s="190"/>
      <c r="AA77" s="153"/>
      <c r="AB77" s="154">
        <f t="shared" si="3"/>
        <v>0</v>
      </c>
      <c r="AC77" s="149">
        <f t="shared" si="4"/>
        <v>0</v>
      </c>
      <c r="AD77" s="125">
        <v>2</v>
      </c>
      <c r="AE77" s="148">
        <f t="shared" si="5"/>
        <v>2</v>
      </c>
      <c r="AF77" s="156"/>
      <c r="AG77" s="156"/>
      <c r="AH77" s="113">
        <f t="shared" si="6"/>
        <v>17</v>
      </c>
      <c r="AI77" s="157">
        <v>65</v>
      </c>
      <c r="AJ77" s="113">
        <f t="shared" si="7"/>
        <v>82</v>
      </c>
      <c r="AK77" s="113">
        <f t="shared" si="8"/>
        <v>82</v>
      </c>
      <c r="AL77" s="158">
        <f t="shared" si="9"/>
        <v>1.02</v>
      </c>
      <c r="AM77" s="159"/>
      <c r="AN77" s="160">
        <f t="shared" ref="AN77:AO96" si="16">100%+AM77</f>
        <v>1</v>
      </c>
      <c r="AO77" s="160">
        <f t="shared" si="16"/>
        <v>2</v>
      </c>
      <c r="AP77" s="133"/>
      <c r="AQ77" s="134"/>
      <c r="AR77" s="161"/>
      <c r="AS77" s="161"/>
      <c r="AT77" s="161"/>
      <c r="AU77" s="161"/>
      <c r="AV77" s="162"/>
      <c r="AW77" s="137">
        <f t="shared" si="11"/>
        <v>0</v>
      </c>
      <c r="AX77" s="137">
        <f t="shared" si="12"/>
        <v>0</v>
      </c>
    </row>
    <row r="78" ht="46.5" customHeight="1" spans="1:50" s="97" customFormat="1" x14ac:dyDescent="0.25">
      <c r="A78" s="100"/>
      <c r="B78" s="100"/>
      <c r="C78" s="100"/>
      <c r="D78" s="100"/>
      <c r="E78" s="100"/>
      <c r="F78" s="100"/>
      <c r="G78" s="103"/>
      <c r="H78" s="186"/>
      <c r="I78" s="195">
        <v>0.51</v>
      </c>
      <c r="J78" s="107">
        <v>0.49</v>
      </c>
      <c r="K78" s="107"/>
      <c r="L78" s="107"/>
      <c r="M78" s="187"/>
      <c r="N78" s="169">
        <f t="shared" si="14"/>
        <v>1</v>
      </c>
      <c r="O78" s="144">
        <v>1</v>
      </c>
      <c r="P78" s="145">
        <v>15</v>
      </c>
      <c r="Q78" s="113">
        <v>15</v>
      </c>
      <c r="R78" s="113"/>
      <c r="S78" s="113"/>
      <c r="T78" s="146"/>
      <c r="U78" s="148">
        <f t="shared" si="1"/>
        <v>15</v>
      </c>
      <c r="V78" s="149">
        <f t="shared" si="2"/>
        <v>15</v>
      </c>
      <c r="W78" s="189"/>
      <c r="X78" s="199"/>
      <c r="Y78" s="151"/>
      <c r="Z78" s="190"/>
      <c r="AA78" s="153"/>
      <c r="AB78" s="154">
        <f t="shared" si="3"/>
        <v>0</v>
      </c>
      <c r="AC78" s="149">
        <f t="shared" si="4"/>
        <v>0</v>
      </c>
      <c r="AD78" s="125">
        <v>2</v>
      </c>
      <c r="AE78" s="148">
        <f t="shared" si="5"/>
        <v>2</v>
      </c>
      <c r="AF78" s="156"/>
      <c r="AG78" s="156"/>
      <c r="AH78" s="113">
        <f t="shared" si="6"/>
        <v>17</v>
      </c>
      <c r="AI78" s="157">
        <v>65</v>
      </c>
      <c r="AJ78" s="113">
        <f t="shared" si="7"/>
        <v>82</v>
      </c>
      <c r="AK78" s="113">
        <f t="shared" si="8"/>
        <v>82</v>
      </c>
      <c r="AL78" s="158">
        <f t="shared" si="9"/>
        <v>1.02</v>
      </c>
      <c r="AM78" s="159"/>
      <c r="AN78" s="160">
        <f t="shared" si="16"/>
        <v>1</v>
      </c>
      <c r="AO78" s="160">
        <f t="shared" si="16"/>
        <v>2</v>
      </c>
      <c r="AP78" s="133"/>
      <c r="AQ78" s="134"/>
      <c r="AR78" s="161"/>
      <c r="AS78" s="161"/>
      <c r="AT78" s="161"/>
      <c r="AU78" s="161"/>
      <c r="AV78" s="162"/>
      <c r="AW78" s="137">
        <f t="shared" si="11"/>
        <v>0</v>
      </c>
      <c r="AX78" s="137">
        <f t="shared" si="12"/>
        <v>0</v>
      </c>
    </row>
    <row r="79" ht="46.5" customHeight="1" spans="1:50" s="97" customFormat="1" x14ac:dyDescent="0.25">
      <c r="A79" s="100"/>
      <c r="B79" s="100"/>
      <c r="C79" s="100"/>
      <c r="D79" s="100"/>
      <c r="E79" s="100"/>
      <c r="F79" s="100"/>
      <c r="G79" s="103"/>
      <c r="H79" s="186"/>
      <c r="I79" s="195">
        <v>0.51</v>
      </c>
      <c r="J79" s="107">
        <v>0.49</v>
      </c>
      <c r="K79" s="107"/>
      <c r="L79" s="107"/>
      <c r="M79" s="187"/>
      <c r="N79" s="169">
        <f t="shared" si="14"/>
        <v>1</v>
      </c>
      <c r="O79" s="144">
        <v>1</v>
      </c>
      <c r="P79" s="145">
        <v>15</v>
      </c>
      <c r="Q79" s="113">
        <v>15</v>
      </c>
      <c r="R79" s="113"/>
      <c r="S79" s="113"/>
      <c r="T79" s="146"/>
      <c r="U79" s="148">
        <f t="shared" si="1"/>
        <v>15</v>
      </c>
      <c r="V79" s="149">
        <f t="shared" si="2"/>
        <v>15</v>
      </c>
      <c r="W79" s="189"/>
      <c r="X79" s="199"/>
      <c r="Y79" s="151"/>
      <c r="Z79" s="190"/>
      <c r="AA79" s="153"/>
      <c r="AB79" s="154">
        <f t="shared" si="3"/>
        <v>0</v>
      </c>
      <c r="AC79" s="149">
        <f t="shared" si="4"/>
        <v>0</v>
      </c>
      <c r="AD79" s="125">
        <v>2</v>
      </c>
      <c r="AE79" s="148">
        <f t="shared" si="5"/>
        <v>2</v>
      </c>
      <c r="AF79" s="156"/>
      <c r="AG79" s="156"/>
      <c r="AH79" s="113">
        <f t="shared" si="6"/>
        <v>17</v>
      </c>
      <c r="AI79" s="157">
        <v>65</v>
      </c>
      <c r="AJ79" s="113">
        <f t="shared" si="7"/>
        <v>82</v>
      </c>
      <c r="AK79" s="113">
        <f t="shared" si="8"/>
        <v>82</v>
      </c>
      <c r="AL79" s="158">
        <f t="shared" si="9"/>
        <v>1.02</v>
      </c>
      <c r="AM79" s="159"/>
      <c r="AN79" s="160">
        <f t="shared" si="16"/>
        <v>1</v>
      </c>
      <c r="AO79" s="160">
        <f t="shared" si="16"/>
        <v>2</v>
      </c>
      <c r="AP79" s="133"/>
      <c r="AQ79" s="134"/>
      <c r="AR79" s="161"/>
      <c r="AS79" s="161"/>
      <c r="AT79" s="161"/>
      <c r="AU79" s="161"/>
      <c r="AV79" s="162"/>
      <c r="AW79" s="137">
        <f t="shared" si="11"/>
        <v>0</v>
      </c>
      <c r="AX79" s="137">
        <f t="shared" si="12"/>
        <v>0</v>
      </c>
    </row>
    <row r="80" ht="46.5" customHeight="1" spans="1:50" s="97" customFormat="1" x14ac:dyDescent="0.25">
      <c r="A80" s="100"/>
      <c r="B80" s="100"/>
      <c r="C80" s="100"/>
      <c r="D80" s="100"/>
      <c r="E80" s="100"/>
      <c r="F80" s="100"/>
      <c r="G80" s="103"/>
      <c r="H80" s="186"/>
      <c r="I80" s="195">
        <v>0.51</v>
      </c>
      <c r="J80" s="107">
        <v>0.49</v>
      </c>
      <c r="K80" s="107"/>
      <c r="L80" s="107"/>
      <c r="M80" s="187"/>
      <c r="N80" s="169">
        <f t="shared" si="14"/>
        <v>1</v>
      </c>
      <c r="O80" s="144">
        <v>1</v>
      </c>
      <c r="P80" s="145">
        <v>15</v>
      </c>
      <c r="Q80" s="113">
        <v>15</v>
      </c>
      <c r="R80" s="113"/>
      <c r="S80" s="113"/>
      <c r="T80" s="146"/>
      <c r="U80" s="148">
        <f t="shared" si="1"/>
        <v>15</v>
      </c>
      <c r="V80" s="149">
        <f t="shared" si="2"/>
        <v>15</v>
      </c>
      <c r="W80" s="189"/>
      <c r="X80" s="199"/>
      <c r="Y80" s="151"/>
      <c r="Z80" s="190"/>
      <c r="AA80" s="153"/>
      <c r="AB80" s="154">
        <f t="shared" si="3"/>
        <v>0</v>
      </c>
      <c r="AC80" s="149">
        <f t="shared" si="4"/>
        <v>0</v>
      </c>
      <c r="AD80" s="125">
        <v>2</v>
      </c>
      <c r="AE80" s="148">
        <f t="shared" si="5"/>
        <v>2</v>
      </c>
      <c r="AF80" s="156"/>
      <c r="AG80" s="156"/>
      <c r="AH80" s="113">
        <f t="shared" si="6"/>
        <v>17</v>
      </c>
      <c r="AI80" s="157">
        <v>65</v>
      </c>
      <c r="AJ80" s="113">
        <f t="shared" si="7"/>
        <v>82</v>
      </c>
      <c r="AK80" s="113">
        <f t="shared" si="8"/>
        <v>82</v>
      </c>
      <c r="AL80" s="158">
        <f t="shared" si="9"/>
        <v>1.02</v>
      </c>
      <c r="AM80" s="159"/>
      <c r="AN80" s="160">
        <f t="shared" si="16"/>
        <v>1</v>
      </c>
      <c r="AO80" s="160">
        <f t="shared" si="16"/>
        <v>2</v>
      </c>
      <c r="AP80" s="133"/>
      <c r="AQ80" s="134"/>
      <c r="AR80" s="161"/>
      <c r="AS80" s="161"/>
      <c r="AT80" s="161"/>
      <c r="AU80" s="161"/>
      <c r="AV80" s="162"/>
      <c r="AW80" s="137">
        <f t="shared" si="11"/>
        <v>0</v>
      </c>
      <c r="AX80" s="137">
        <f t="shared" si="12"/>
        <v>0</v>
      </c>
    </row>
    <row r="81" ht="46.5" customHeight="1" spans="1:50" s="97" customFormat="1" x14ac:dyDescent="0.25">
      <c r="A81" s="100"/>
      <c r="B81" s="100"/>
      <c r="C81" s="100"/>
      <c r="D81" s="100"/>
      <c r="E81" s="100"/>
      <c r="F81" s="100"/>
      <c r="G81" s="103"/>
      <c r="H81" s="186"/>
      <c r="I81" s="195">
        <v>0.51</v>
      </c>
      <c r="J81" s="107">
        <v>0.49</v>
      </c>
      <c r="K81" s="107"/>
      <c r="L81" s="107"/>
      <c r="M81" s="187"/>
      <c r="N81" s="169">
        <f t="shared" si="14"/>
        <v>1</v>
      </c>
      <c r="O81" s="144">
        <v>1</v>
      </c>
      <c r="P81" s="145">
        <v>15</v>
      </c>
      <c r="Q81" s="113">
        <v>15</v>
      </c>
      <c r="R81" s="113"/>
      <c r="S81" s="113"/>
      <c r="T81" s="146"/>
      <c r="U81" s="148">
        <f t="shared" ref="U81:U142" si="17">ROUND(((P81*I81)+(Q81*J81)+(R81*K81)+(S81*L81)+(T81*M81))*O81,2)</f>
        <v>15</v>
      </c>
      <c r="V81" s="149">
        <f t="shared" ref="V81:V142" si="18">IF(U81&gt;=15,15,U81)</f>
        <v>15</v>
      </c>
      <c r="W81" s="189"/>
      <c r="X81" s="199"/>
      <c r="Y81" s="151"/>
      <c r="Z81" s="190"/>
      <c r="AA81" s="153"/>
      <c r="AB81" s="154">
        <f t="shared" ref="AB81:AB142" si="19">ROUND((((W81*I81)+(X81*J81)+(Y81*K81)+(Z81*L81)+(AA81*M81))/$I$2),2)*13</f>
        <v>0</v>
      </c>
      <c r="AC81" s="149">
        <f t="shared" ref="AC81:AC142" si="20">IF(AB81&gt;=13,13,AB81)</f>
        <v>0</v>
      </c>
      <c r="AD81" s="125">
        <v>2</v>
      </c>
      <c r="AE81" s="148">
        <f t="shared" ref="AE81:AE142" si="21">IF((AC81+AD81)&gt;=15,15,(AC81+AD81))</f>
        <v>2</v>
      </c>
      <c r="AF81" s="156"/>
      <c r="AG81" s="156"/>
      <c r="AH81" s="113">
        <f t="shared" ref="AH81:AH142" si="22">IF((V81+AE81+AF81)&gt;=30,30,(V81+AE81+AF81))</f>
        <v>17</v>
      </c>
      <c r="AI81" s="157">
        <v>65</v>
      </c>
      <c r="AJ81" s="113">
        <f t="shared" ref="AJ81:AJ142" si="23">V81+AE81+AF81+AI81+AG81</f>
        <v>82</v>
      </c>
      <c r="AK81" s="113">
        <f t="shared" ref="AK81:AK142" si="24">IF(AH81+AI81+AG81&gt;=95,95,AH81+AI81+AG81)</f>
        <v>82</v>
      </c>
      <c r="AL81" s="158">
        <f t="shared" ref="AL81:AL142" si="25">-((50-((176+(45+(50-AH81)))))/200)</f>
        <v>1.02</v>
      </c>
      <c r="AM81" s="159"/>
      <c r="AN81" s="160">
        <f t="shared" si="16"/>
        <v>1</v>
      </c>
      <c r="AO81" s="160">
        <f t="shared" si="16"/>
        <v>2</v>
      </c>
      <c r="AP81" s="133"/>
      <c r="AQ81" s="134"/>
      <c r="AR81" s="161"/>
      <c r="AS81" s="161"/>
      <c r="AT81" s="161"/>
      <c r="AU81" s="161"/>
      <c r="AV81" s="162"/>
      <c r="AW81" s="137">
        <f t="shared" ref="AW81:AW142" si="26">AR81+AS81+AT81+AU81+AV81</f>
        <v>0</v>
      </c>
      <c r="AX81" s="137">
        <f t="shared" ref="AX81:AX142" si="27">(AR81*I81)+(AS81*J81)+(AT81*K81)+(AU81*L81)+(AV81*M81)</f>
        <v>0</v>
      </c>
    </row>
    <row r="82" ht="46.5" customHeight="1" spans="1:50" s="97" customFormat="1" x14ac:dyDescent="0.25">
      <c r="A82" s="100"/>
      <c r="B82" s="100"/>
      <c r="C82" s="100"/>
      <c r="D82" s="100"/>
      <c r="E82" s="100"/>
      <c r="F82" s="100"/>
      <c r="G82" s="103"/>
      <c r="H82" s="186"/>
      <c r="I82" s="195">
        <v>0.51</v>
      </c>
      <c r="J82" s="107">
        <v>0.49</v>
      </c>
      <c r="K82" s="107"/>
      <c r="L82" s="107"/>
      <c r="M82" s="187"/>
      <c r="N82" s="169">
        <f t="shared" si="14"/>
        <v>1</v>
      </c>
      <c r="O82" s="144">
        <v>1</v>
      </c>
      <c r="P82" s="145">
        <v>15</v>
      </c>
      <c r="Q82" s="113">
        <v>15</v>
      </c>
      <c r="R82" s="113"/>
      <c r="S82" s="113"/>
      <c r="T82" s="146"/>
      <c r="U82" s="148">
        <f t="shared" si="17"/>
        <v>15</v>
      </c>
      <c r="V82" s="149">
        <f t="shared" si="18"/>
        <v>15</v>
      </c>
      <c r="W82" s="189"/>
      <c r="X82" s="199"/>
      <c r="Y82" s="151"/>
      <c r="Z82" s="190"/>
      <c r="AA82" s="153"/>
      <c r="AB82" s="154">
        <f t="shared" si="19"/>
        <v>0</v>
      </c>
      <c r="AC82" s="149">
        <f t="shared" si="20"/>
        <v>0</v>
      </c>
      <c r="AD82" s="125">
        <v>2</v>
      </c>
      <c r="AE82" s="148">
        <f t="shared" si="21"/>
        <v>2</v>
      </c>
      <c r="AF82" s="156"/>
      <c r="AG82" s="156"/>
      <c r="AH82" s="113">
        <f t="shared" si="22"/>
        <v>17</v>
      </c>
      <c r="AI82" s="157">
        <v>65</v>
      </c>
      <c r="AJ82" s="113">
        <f t="shared" si="23"/>
        <v>82</v>
      </c>
      <c r="AK82" s="113">
        <f t="shared" si="24"/>
        <v>82</v>
      </c>
      <c r="AL82" s="158">
        <f t="shared" si="25"/>
        <v>1.02</v>
      </c>
      <c r="AM82" s="159"/>
      <c r="AN82" s="160">
        <f t="shared" si="16"/>
        <v>1</v>
      </c>
      <c r="AO82" s="160">
        <f t="shared" si="16"/>
        <v>2</v>
      </c>
      <c r="AP82" s="133"/>
      <c r="AQ82" s="134"/>
      <c r="AR82" s="161"/>
      <c r="AS82" s="161"/>
      <c r="AT82" s="161"/>
      <c r="AU82" s="161"/>
      <c r="AV82" s="162"/>
      <c r="AW82" s="137">
        <f t="shared" si="26"/>
        <v>0</v>
      </c>
      <c r="AX82" s="137">
        <f t="shared" si="27"/>
        <v>0</v>
      </c>
    </row>
    <row r="83" ht="46.5" customHeight="1" spans="1:50" s="97" customFormat="1" x14ac:dyDescent="0.25">
      <c r="A83" s="100"/>
      <c r="B83" s="100"/>
      <c r="C83" s="100"/>
      <c r="D83" s="100"/>
      <c r="E83" s="100"/>
      <c r="F83" s="100"/>
      <c r="G83" s="103"/>
      <c r="H83" s="186"/>
      <c r="I83" s="195">
        <v>0.51</v>
      </c>
      <c r="J83" s="107">
        <v>0.49</v>
      </c>
      <c r="K83" s="107"/>
      <c r="L83" s="107"/>
      <c r="M83" s="187"/>
      <c r="N83" s="169">
        <f t="shared" si="14"/>
        <v>1</v>
      </c>
      <c r="O83" s="144">
        <v>1</v>
      </c>
      <c r="P83" s="145">
        <v>15</v>
      </c>
      <c r="Q83" s="113">
        <v>15</v>
      </c>
      <c r="R83" s="113"/>
      <c r="S83" s="113"/>
      <c r="T83" s="146"/>
      <c r="U83" s="148">
        <f t="shared" si="17"/>
        <v>15</v>
      </c>
      <c r="V83" s="149">
        <f t="shared" si="18"/>
        <v>15</v>
      </c>
      <c r="W83" s="189"/>
      <c r="X83" s="199"/>
      <c r="Y83" s="151"/>
      <c r="Z83" s="190"/>
      <c r="AA83" s="153"/>
      <c r="AB83" s="154">
        <f t="shared" si="19"/>
        <v>0</v>
      </c>
      <c r="AC83" s="149">
        <f t="shared" si="20"/>
        <v>0</v>
      </c>
      <c r="AD83" s="125">
        <v>2</v>
      </c>
      <c r="AE83" s="148">
        <f t="shared" si="21"/>
        <v>2</v>
      </c>
      <c r="AF83" s="156"/>
      <c r="AG83" s="156"/>
      <c r="AH83" s="113">
        <f t="shared" si="22"/>
        <v>17</v>
      </c>
      <c r="AI83" s="157">
        <v>65</v>
      </c>
      <c r="AJ83" s="113">
        <f t="shared" si="23"/>
        <v>82</v>
      </c>
      <c r="AK83" s="113">
        <f t="shared" si="24"/>
        <v>82</v>
      </c>
      <c r="AL83" s="158">
        <f t="shared" si="25"/>
        <v>1.02</v>
      </c>
      <c r="AM83" s="159"/>
      <c r="AN83" s="160">
        <f t="shared" si="16"/>
        <v>1</v>
      </c>
      <c r="AO83" s="160">
        <f t="shared" si="16"/>
        <v>2</v>
      </c>
      <c r="AP83" s="133"/>
      <c r="AQ83" s="134"/>
      <c r="AR83" s="161"/>
      <c r="AS83" s="161"/>
      <c r="AT83" s="161"/>
      <c r="AU83" s="161"/>
      <c r="AV83" s="162"/>
      <c r="AW83" s="137">
        <f t="shared" si="26"/>
        <v>0</v>
      </c>
      <c r="AX83" s="137">
        <f t="shared" si="27"/>
        <v>0</v>
      </c>
    </row>
    <row r="84" ht="46.5" customHeight="1" spans="1:50" s="97" customFormat="1" x14ac:dyDescent="0.25">
      <c r="A84" s="100"/>
      <c r="B84" s="100"/>
      <c r="C84" s="100"/>
      <c r="D84" s="100"/>
      <c r="E84" s="100"/>
      <c r="F84" s="100"/>
      <c r="G84" s="103"/>
      <c r="H84" s="186"/>
      <c r="I84" s="195">
        <v>0.51</v>
      </c>
      <c r="J84" s="107">
        <v>0.49</v>
      </c>
      <c r="K84" s="107"/>
      <c r="L84" s="107"/>
      <c r="M84" s="187"/>
      <c r="N84" s="169">
        <f t="shared" si="14"/>
        <v>1</v>
      </c>
      <c r="O84" s="144">
        <v>1</v>
      </c>
      <c r="P84" s="145">
        <v>15</v>
      </c>
      <c r="Q84" s="113">
        <v>15</v>
      </c>
      <c r="R84" s="113"/>
      <c r="S84" s="113"/>
      <c r="T84" s="146"/>
      <c r="U84" s="148">
        <f t="shared" si="17"/>
        <v>15</v>
      </c>
      <c r="V84" s="149">
        <f t="shared" si="18"/>
        <v>15</v>
      </c>
      <c r="W84" s="189"/>
      <c r="X84" s="199"/>
      <c r="Y84" s="151"/>
      <c r="Z84" s="190"/>
      <c r="AA84" s="153"/>
      <c r="AB84" s="154">
        <f t="shared" si="19"/>
        <v>0</v>
      </c>
      <c r="AC84" s="149">
        <f t="shared" si="20"/>
        <v>0</v>
      </c>
      <c r="AD84" s="125">
        <v>2</v>
      </c>
      <c r="AE84" s="148">
        <f t="shared" si="21"/>
        <v>2</v>
      </c>
      <c r="AF84" s="156"/>
      <c r="AG84" s="156"/>
      <c r="AH84" s="113">
        <f t="shared" si="22"/>
        <v>17</v>
      </c>
      <c r="AI84" s="157">
        <v>65</v>
      </c>
      <c r="AJ84" s="113">
        <f t="shared" si="23"/>
        <v>82</v>
      </c>
      <c r="AK84" s="113">
        <f t="shared" si="24"/>
        <v>82</v>
      </c>
      <c r="AL84" s="158">
        <f t="shared" si="25"/>
        <v>1.02</v>
      </c>
      <c r="AM84" s="159"/>
      <c r="AN84" s="160">
        <f t="shared" si="16"/>
        <v>1</v>
      </c>
      <c r="AO84" s="160">
        <f t="shared" si="16"/>
        <v>2</v>
      </c>
      <c r="AP84" s="133"/>
      <c r="AQ84" s="134"/>
      <c r="AR84" s="161"/>
      <c r="AS84" s="161"/>
      <c r="AT84" s="161"/>
      <c r="AU84" s="161"/>
      <c r="AV84" s="162"/>
      <c r="AW84" s="137">
        <f t="shared" si="26"/>
        <v>0</v>
      </c>
      <c r="AX84" s="137">
        <f t="shared" si="27"/>
        <v>0</v>
      </c>
    </row>
    <row r="85" ht="46.5" customHeight="1" spans="1:50" s="97" customFormat="1" x14ac:dyDescent="0.25">
      <c r="A85" s="100"/>
      <c r="B85" s="100"/>
      <c r="C85" s="100"/>
      <c r="D85" s="100"/>
      <c r="E85" s="100"/>
      <c r="F85" s="100"/>
      <c r="G85" s="103"/>
      <c r="H85" s="186"/>
      <c r="I85" s="195">
        <v>0.51</v>
      </c>
      <c r="J85" s="107">
        <v>0.49</v>
      </c>
      <c r="K85" s="107"/>
      <c r="L85" s="107"/>
      <c r="M85" s="187"/>
      <c r="N85" s="169">
        <f t="shared" si="14"/>
        <v>1</v>
      </c>
      <c r="O85" s="144">
        <v>1</v>
      </c>
      <c r="P85" s="145">
        <v>15</v>
      </c>
      <c r="Q85" s="113">
        <v>15</v>
      </c>
      <c r="R85" s="113"/>
      <c r="S85" s="113"/>
      <c r="T85" s="146"/>
      <c r="U85" s="148">
        <f t="shared" si="17"/>
        <v>15</v>
      </c>
      <c r="V85" s="149">
        <f t="shared" si="18"/>
        <v>15</v>
      </c>
      <c r="W85" s="189"/>
      <c r="X85" s="199"/>
      <c r="Y85" s="151"/>
      <c r="Z85" s="190"/>
      <c r="AA85" s="153"/>
      <c r="AB85" s="154">
        <f t="shared" si="19"/>
        <v>0</v>
      </c>
      <c r="AC85" s="149">
        <f t="shared" si="20"/>
        <v>0</v>
      </c>
      <c r="AD85" s="125">
        <v>2</v>
      </c>
      <c r="AE85" s="148">
        <f t="shared" si="21"/>
        <v>2</v>
      </c>
      <c r="AF85" s="156"/>
      <c r="AG85" s="156"/>
      <c r="AH85" s="113">
        <f t="shared" si="22"/>
        <v>17</v>
      </c>
      <c r="AI85" s="157">
        <v>65</v>
      </c>
      <c r="AJ85" s="113">
        <f t="shared" si="23"/>
        <v>82</v>
      </c>
      <c r="AK85" s="113">
        <f t="shared" si="24"/>
        <v>82</v>
      </c>
      <c r="AL85" s="158">
        <f t="shared" si="25"/>
        <v>1.02</v>
      </c>
      <c r="AM85" s="159"/>
      <c r="AN85" s="160">
        <f t="shared" si="16"/>
        <v>1</v>
      </c>
      <c r="AO85" s="160">
        <f t="shared" si="16"/>
        <v>2</v>
      </c>
      <c r="AP85" s="133"/>
      <c r="AQ85" s="134"/>
      <c r="AR85" s="161"/>
      <c r="AS85" s="161"/>
      <c r="AT85" s="161"/>
      <c r="AU85" s="161"/>
      <c r="AV85" s="162"/>
      <c r="AW85" s="137">
        <f t="shared" si="26"/>
        <v>0</v>
      </c>
      <c r="AX85" s="137">
        <f t="shared" si="27"/>
        <v>0</v>
      </c>
    </row>
    <row r="86" ht="46.5" customHeight="1" spans="1:50" s="97" customFormat="1" x14ac:dyDescent="0.25">
      <c r="A86" s="100"/>
      <c r="B86" s="100"/>
      <c r="C86" s="100"/>
      <c r="D86" s="100"/>
      <c r="E86" s="100"/>
      <c r="F86" s="100"/>
      <c r="G86" s="103"/>
      <c r="H86" s="186"/>
      <c r="I86" s="195">
        <v>0.51</v>
      </c>
      <c r="J86" s="107">
        <v>0.49</v>
      </c>
      <c r="K86" s="107"/>
      <c r="L86" s="107"/>
      <c r="M86" s="187"/>
      <c r="N86" s="169">
        <f t="shared" si="14"/>
        <v>1</v>
      </c>
      <c r="O86" s="144">
        <v>1</v>
      </c>
      <c r="P86" s="145">
        <v>15</v>
      </c>
      <c r="Q86" s="113">
        <v>15</v>
      </c>
      <c r="R86" s="113"/>
      <c r="S86" s="113"/>
      <c r="T86" s="146"/>
      <c r="U86" s="148">
        <f t="shared" si="17"/>
        <v>15</v>
      </c>
      <c r="V86" s="149">
        <f t="shared" si="18"/>
        <v>15</v>
      </c>
      <c r="W86" s="189"/>
      <c r="X86" s="199"/>
      <c r="Y86" s="151"/>
      <c r="Z86" s="190"/>
      <c r="AA86" s="153"/>
      <c r="AB86" s="154">
        <f t="shared" si="19"/>
        <v>0</v>
      </c>
      <c r="AC86" s="149">
        <f t="shared" si="20"/>
        <v>0</v>
      </c>
      <c r="AD86" s="125">
        <v>2</v>
      </c>
      <c r="AE86" s="148">
        <f t="shared" si="21"/>
        <v>2</v>
      </c>
      <c r="AF86" s="156"/>
      <c r="AG86" s="156"/>
      <c r="AH86" s="113">
        <f t="shared" si="22"/>
        <v>17</v>
      </c>
      <c r="AI86" s="157">
        <v>65</v>
      </c>
      <c r="AJ86" s="113">
        <f t="shared" si="23"/>
        <v>82</v>
      </c>
      <c r="AK86" s="113">
        <f t="shared" si="24"/>
        <v>82</v>
      </c>
      <c r="AL86" s="158">
        <f t="shared" si="25"/>
        <v>1.02</v>
      </c>
      <c r="AM86" s="159"/>
      <c r="AN86" s="160">
        <f t="shared" si="16"/>
        <v>1</v>
      </c>
      <c r="AO86" s="160">
        <f t="shared" si="16"/>
        <v>2</v>
      </c>
      <c r="AP86" s="133"/>
      <c r="AQ86" s="134"/>
      <c r="AR86" s="161"/>
      <c r="AS86" s="161"/>
      <c r="AT86" s="161"/>
      <c r="AU86" s="161"/>
      <c r="AV86" s="162"/>
      <c r="AW86" s="137">
        <f t="shared" si="26"/>
        <v>0</v>
      </c>
      <c r="AX86" s="137">
        <f t="shared" si="27"/>
        <v>0</v>
      </c>
    </row>
    <row r="87" ht="46.5" customHeight="1" spans="1:50" s="97" customFormat="1" x14ac:dyDescent="0.25">
      <c r="A87" s="100"/>
      <c r="B87" s="100"/>
      <c r="C87" s="100"/>
      <c r="D87" s="100"/>
      <c r="E87" s="100"/>
      <c r="F87" s="100"/>
      <c r="G87" s="103"/>
      <c r="H87" s="186"/>
      <c r="I87" s="195">
        <v>0.51</v>
      </c>
      <c r="J87" s="107">
        <v>0.49</v>
      </c>
      <c r="K87" s="107"/>
      <c r="L87" s="107"/>
      <c r="M87" s="187"/>
      <c r="N87" s="169">
        <f t="shared" si="14"/>
        <v>1</v>
      </c>
      <c r="O87" s="144">
        <v>1</v>
      </c>
      <c r="P87" s="145">
        <v>15</v>
      </c>
      <c r="Q87" s="113">
        <v>15</v>
      </c>
      <c r="R87" s="113"/>
      <c r="S87" s="113"/>
      <c r="T87" s="146"/>
      <c r="U87" s="148">
        <f t="shared" si="17"/>
        <v>15</v>
      </c>
      <c r="V87" s="149">
        <f t="shared" si="18"/>
        <v>15</v>
      </c>
      <c r="W87" s="189"/>
      <c r="X87" s="199"/>
      <c r="Y87" s="151"/>
      <c r="Z87" s="190"/>
      <c r="AA87" s="153"/>
      <c r="AB87" s="154">
        <f t="shared" si="19"/>
        <v>0</v>
      </c>
      <c r="AC87" s="149">
        <f t="shared" si="20"/>
        <v>0</v>
      </c>
      <c r="AD87" s="125">
        <v>2</v>
      </c>
      <c r="AE87" s="148">
        <f t="shared" si="21"/>
        <v>2</v>
      </c>
      <c r="AF87" s="156"/>
      <c r="AG87" s="156"/>
      <c r="AH87" s="113">
        <f t="shared" si="22"/>
        <v>17</v>
      </c>
      <c r="AI87" s="157">
        <v>65</v>
      </c>
      <c r="AJ87" s="113">
        <f t="shared" si="23"/>
        <v>82</v>
      </c>
      <c r="AK87" s="113">
        <f t="shared" si="24"/>
        <v>82</v>
      </c>
      <c r="AL87" s="158">
        <f t="shared" si="25"/>
        <v>1.02</v>
      </c>
      <c r="AM87" s="159"/>
      <c r="AN87" s="160">
        <f t="shared" si="16"/>
        <v>1</v>
      </c>
      <c r="AO87" s="160">
        <f t="shared" si="16"/>
        <v>2</v>
      </c>
      <c r="AP87" s="133"/>
      <c r="AQ87" s="134"/>
      <c r="AR87" s="161"/>
      <c r="AS87" s="161"/>
      <c r="AT87" s="161"/>
      <c r="AU87" s="161"/>
      <c r="AV87" s="162"/>
      <c r="AW87" s="137">
        <f t="shared" si="26"/>
        <v>0</v>
      </c>
      <c r="AX87" s="137">
        <f t="shared" si="27"/>
        <v>0</v>
      </c>
    </row>
    <row r="88" ht="46.5" customHeight="1" spans="1:50" s="97" customFormat="1" x14ac:dyDescent="0.25">
      <c r="A88" s="100"/>
      <c r="B88" s="100"/>
      <c r="C88" s="100"/>
      <c r="D88" s="100"/>
      <c r="E88" s="100"/>
      <c r="F88" s="100"/>
      <c r="G88" s="103"/>
      <c r="H88" s="186"/>
      <c r="I88" s="195">
        <v>0.51</v>
      </c>
      <c r="J88" s="107">
        <v>0.49</v>
      </c>
      <c r="K88" s="107"/>
      <c r="L88" s="107"/>
      <c r="M88" s="187"/>
      <c r="N88" s="169">
        <f t="shared" si="14"/>
        <v>1</v>
      </c>
      <c r="O88" s="144">
        <v>1</v>
      </c>
      <c r="P88" s="145">
        <v>15</v>
      </c>
      <c r="Q88" s="113">
        <v>15</v>
      </c>
      <c r="R88" s="113"/>
      <c r="S88" s="113"/>
      <c r="T88" s="146"/>
      <c r="U88" s="148">
        <f t="shared" si="17"/>
        <v>15</v>
      </c>
      <c r="V88" s="149">
        <f t="shared" si="18"/>
        <v>15</v>
      </c>
      <c r="W88" s="189"/>
      <c r="X88" s="199"/>
      <c r="Y88" s="151"/>
      <c r="Z88" s="190"/>
      <c r="AA88" s="153"/>
      <c r="AB88" s="154">
        <f t="shared" si="19"/>
        <v>0</v>
      </c>
      <c r="AC88" s="149">
        <f t="shared" si="20"/>
        <v>0</v>
      </c>
      <c r="AD88" s="125">
        <v>2</v>
      </c>
      <c r="AE88" s="148">
        <f t="shared" si="21"/>
        <v>2</v>
      </c>
      <c r="AF88" s="156"/>
      <c r="AG88" s="156"/>
      <c r="AH88" s="113">
        <f t="shared" si="22"/>
        <v>17</v>
      </c>
      <c r="AI88" s="157">
        <v>65</v>
      </c>
      <c r="AJ88" s="113">
        <f t="shared" si="23"/>
        <v>82</v>
      </c>
      <c r="AK88" s="113">
        <f t="shared" si="24"/>
        <v>82</v>
      </c>
      <c r="AL88" s="158">
        <f t="shared" si="25"/>
        <v>1.02</v>
      </c>
      <c r="AM88" s="159"/>
      <c r="AN88" s="160">
        <f t="shared" si="16"/>
        <v>1</v>
      </c>
      <c r="AO88" s="160">
        <f t="shared" si="16"/>
        <v>2</v>
      </c>
      <c r="AP88" s="133"/>
      <c r="AQ88" s="134"/>
      <c r="AR88" s="161"/>
      <c r="AS88" s="161"/>
      <c r="AT88" s="161"/>
      <c r="AU88" s="161"/>
      <c r="AV88" s="162"/>
      <c r="AW88" s="137">
        <f t="shared" si="26"/>
        <v>0</v>
      </c>
      <c r="AX88" s="137">
        <f t="shared" si="27"/>
        <v>0</v>
      </c>
    </row>
    <row r="89" ht="46.5" customHeight="1" spans="1:50" s="97" customFormat="1" x14ac:dyDescent="0.25">
      <c r="A89" s="100"/>
      <c r="B89" s="100"/>
      <c r="C89" s="100"/>
      <c r="D89" s="100"/>
      <c r="E89" s="100"/>
      <c r="F89" s="100"/>
      <c r="G89" s="103"/>
      <c r="H89" s="186"/>
      <c r="I89" s="195">
        <v>0.51</v>
      </c>
      <c r="J89" s="107">
        <v>0.49</v>
      </c>
      <c r="K89" s="107"/>
      <c r="L89" s="107"/>
      <c r="M89" s="187"/>
      <c r="N89" s="169">
        <f t="shared" si="14"/>
        <v>1</v>
      </c>
      <c r="O89" s="144">
        <v>1</v>
      </c>
      <c r="P89" s="145">
        <v>15</v>
      </c>
      <c r="Q89" s="113">
        <v>15</v>
      </c>
      <c r="R89" s="113"/>
      <c r="S89" s="113"/>
      <c r="T89" s="146"/>
      <c r="U89" s="148">
        <f t="shared" si="17"/>
        <v>15</v>
      </c>
      <c r="V89" s="149">
        <f t="shared" si="18"/>
        <v>15</v>
      </c>
      <c r="W89" s="189"/>
      <c r="X89" s="199"/>
      <c r="Y89" s="151"/>
      <c r="Z89" s="190"/>
      <c r="AA89" s="153"/>
      <c r="AB89" s="154">
        <f t="shared" si="19"/>
        <v>0</v>
      </c>
      <c r="AC89" s="149">
        <f t="shared" si="20"/>
        <v>0</v>
      </c>
      <c r="AD89" s="125">
        <v>2</v>
      </c>
      <c r="AE89" s="148">
        <f t="shared" si="21"/>
        <v>2</v>
      </c>
      <c r="AF89" s="156"/>
      <c r="AG89" s="156"/>
      <c r="AH89" s="113">
        <f t="shared" si="22"/>
        <v>17</v>
      </c>
      <c r="AI89" s="157">
        <v>65</v>
      </c>
      <c r="AJ89" s="113">
        <f t="shared" si="23"/>
        <v>82</v>
      </c>
      <c r="AK89" s="113">
        <f t="shared" si="24"/>
        <v>82</v>
      </c>
      <c r="AL89" s="158">
        <f t="shared" si="25"/>
        <v>1.02</v>
      </c>
      <c r="AM89" s="159"/>
      <c r="AN89" s="160">
        <f t="shared" si="16"/>
        <v>1</v>
      </c>
      <c r="AO89" s="160">
        <f t="shared" si="16"/>
        <v>2</v>
      </c>
      <c r="AP89" s="133"/>
      <c r="AQ89" s="134"/>
      <c r="AR89" s="161"/>
      <c r="AS89" s="161"/>
      <c r="AT89" s="161"/>
      <c r="AU89" s="161"/>
      <c r="AV89" s="162"/>
      <c r="AW89" s="137">
        <f t="shared" si="26"/>
        <v>0</v>
      </c>
      <c r="AX89" s="137">
        <f t="shared" si="27"/>
        <v>0</v>
      </c>
    </row>
    <row r="90" ht="46.5" customHeight="1" spans="1:50" s="97" customFormat="1" x14ac:dyDescent="0.25">
      <c r="A90" s="100"/>
      <c r="B90" s="100"/>
      <c r="C90" s="100"/>
      <c r="D90" s="100"/>
      <c r="E90" s="100"/>
      <c r="F90" s="100"/>
      <c r="G90" s="103"/>
      <c r="H90" s="186"/>
      <c r="I90" s="195">
        <v>0.51</v>
      </c>
      <c r="J90" s="107">
        <v>0.49</v>
      </c>
      <c r="K90" s="107"/>
      <c r="L90" s="107"/>
      <c r="M90" s="187"/>
      <c r="N90" s="169">
        <f t="shared" si="14"/>
        <v>1</v>
      </c>
      <c r="O90" s="144">
        <v>1</v>
      </c>
      <c r="P90" s="145">
        <v>15</v>
      </c>
      <c r="Q90" s="113">
        <v>15</v>
      </c>
      <c r="R90" s="113"/>
      <c r="S90" s="113"/>
      <c r="T90" s="146"/>
      <c r="U90" s="148">
        <f t="shared" si="17"/>
        <v>15</v>
      </c>
      <c r="V90" s="149">
        <f t="shared" si="18"/>
        <v>15</v>
      </c>
      <c r="W90" s="189"/>
      <c r="X90" s="199"/>
      <c r="Y90" s="151"/>
      <c r="Z90" s="190"/>
      <c r="AA90" s="153"/>
      <c r="AB90" s="154">
        <f t="shared" si="19"/>
        <v>0</v>
      </c>
      <c r="AC90" s="149">
        <f t="shared" si="20"/>
        <v>0</v>
      </c>
      <c r="AD90" s="125">
        <v>2</v>
      </c>
      <c r="AE90" s="148">
        <f t="shared" si="21"/>
        <v>2</v>
      </c>
      <c r="AF90" s="156"/>
      <c r="AG90" s="156"/>
      <c r="AH90" s="113">
        <f t="shared" si="22"/>
        <v>17</v>
      </c>
      <c r="AI90" s="157">
        <v>65</v>
      </c>
      <c r="AJ90" s="113">
        <f t="shared" si="23"/>
        <v>82</v>
      </c>
      <c r="AK90" s="113">
        <f t="shared" si="24"/>
        <v>82</v>
      </c>
      <c r="AL90" s="158">
        <f t="shared" si="25"/>
        <v>1.02</v>
      </c>
      <c r="AM90" s="159"/>
      <c r="AN90" s="160">
        <f t="shared" si="16"/>
        <v>1</v>
      </c>
      <c r="AO90" s="160">
        <f t="shared" si="16"/>
        <v>2</v>
      </c>
      <c r="AP90" s="133"/>
      <c r="AQ90" s="134"/>
      <c r="AR90" s="161"/>
      <c r="AS90" s="161"/>
      <c r="AT90" s="161"/>
      <c r="AU90" s="161"/>
      <c r="AV90" s="162"/>
      <c r="AW90" s="137">
        <f t="shared" si="26"/>
        <v>0</v>
      </c>
      <c r="AX90" s="137">
        <f t="shared" si="27"/>
        <v>0</v>
      </c>
    </row>
    <row r="91" ht="46.5" customHeight="1" spans="1:50" s="97" customFormat="1" x14ac:dyDescent="0.25">
      <c r="A91" s="100"/>
      <c r="B91" s="100"/>
      <c r="C91" s="100"/>
      <c r="D91" s="100"/>
      <c r="E91" s="100"/>
      <c r="F91" s="100"/>
      <c r="G91" s="103"/>
      <c r="H91" s="186"/>
      <c r="I91" s="195">
        <v>0.51</v>
      </c>
      <c r="J91" s="107">
        <v>0.49</v>
      </c>
      <c r="K91" s="107"/>
      <c r="L91" s="107"/>
      <c r="M91" s="187"/>
      <c r="N91" s="169">
        <f t="shared" si="14"/>
        <v>1</v>
      </c>
      <c r="O91" s="144">
        <v>1</v>
      </c>
      <c r="P91" s="145">
        <v>15</v>
      </c>
      <c r="Q91" s="113">
        <v>15</v>
      </c>
      <c r="R91" s="113"/>
      <c r="S91" s="113"/>
      <c r="T91" s="146"/>
      <c r="U91" s="148">
        <f t="shared" si="17"/>
        <v>15</v>
      </c>
      <c r="V91" s="149">
        <f t="shared" si="18"/>
        <v>15</v>
      </c>
      <c r="W91" s="189"/>
      <c r="X91" s="199"/>
      <c r="Y91" s="151"/>
      <c r="Z91" s="190"/>
      <c r="AA91" s="153"/>
      <c r="AB91" s="154">
        <f t="shared" si="19"/>
        <v>0</v>
      </c>
      <c r="AC91" s="149">
        <f t="shared" si="20"/>
        <v>0</v>
      </c>
      <c r="AD91" s="125">
        <v>2</v>
      </c>
      <c r="AE91" s="148">
        <f t="shared" si="21"/>
        <v>2</v>
      </c>
      <c r="AF91" s="156"/>
      <c r="AG91" s="156"/>
      <c r="AH91" s="113">
        <f t="shared" si="22"/>
        <v>17</v>
      </c>
      <c r="AI91" s="157">
        <v>65</v>
      </c>
      <c r="AJ91" s="113">
        <f t="shared" si="23"/>
        <v>82</v>
      </c>
      <c r="AK91" s="113">
        <f t="shared" si="24"/>
        <v>82</v>
      </c>
      <c r="AL91" s="158">
        <f t="shared" si="25"/>
        <v>1.02</v>
      </c>
      <c r="AM91" s="159"/>
      <c r="AN91" s="160">
        <f t="shared" si="16"/>
        <v>1</v>
      </c>
      <c r="AO91" s="160">
        <f t="shared" si="16"/>
        <v>2</v>
      </c>
      <c r="AP91" s="133"/>
      <c r="AQ91" s="134"/>
      <c r="AR91" s="161"/>
      <c r="AS91" s="161"/>
      <c r="AT91" s="161"/>
      <c r="AU91" s="161"/>
      <c r="AV91" s="162"/>
      <c r="AW91" s="137">
        <f t="shared" si="26"/>
        <v>0</v>
      </c>
      <c r="AX91" s="137">
        <f t="shared" si="27"/>
        <v>0</v>
      </c>
    </row>
    <row r="92" ht="46.5" customHeight="1" spans="1:50" s="97" customFormat="1" x14ac:dyDescent="0.25">
      <c r="A92" s="100"/>
      <c r="B92" s="100"/>
      <c r="C92" s="100"/>
      <c r="D92" s="100"/>
      <c r="E92" s="100"/>
      <c r="F92" s="100"/>
      <c r="G92" s="103"/>
      <c r="H92" s="186"/>
      <c r="I92" s="195">
        <v>0.51</v>
      </c>
      <c r="J92" s="107">
        <v>0.49</v>
      </c>
      <c r="K92" s="107"/>
      <c r="L92" s="107"/>
      <c r="M92" s="187"/>
      <c r="N92" s="169">
        <f t="shared" si="14"/>
        <v>1</v>
      </c>
      <c r="O92" s="144">
        <v>1</v>
      </c>
      <c r="P92" s="145">
        <v>15</v>
      </c>
      <c r="Q92" s="113">
        <v>15</v>
      </c>
      <c r="R92" s="113"/>
      <c r="S92" s="113"/>
      <c r="T92" s="146"/>
      <c r="U92" s="148">
        <f t="shared" si="17"/>
        <v>15</v>
      </c>
      <c r="V92" s="149">
        <f t="shared" si="18"/>
        <v>15</v>
      </c>
      <c r="W92" s="189"/>
      <c r="X92" s="199"/>
      <c r="Y92" s="151"/>
      <c r="Z92" s="190"/>
      <c r="AA92" s="153"/>
      <c r="AB92" s="154">
        <f t="shared" si="19"/>
        <v>0</v>
      </c>
      <c r="AC92" s="149">
        <f t="shared" si="20"/>
        <v>0</v>
      </c>
      <c r="AD92" s="125">
        <v>2</v>
      </c>
      <c r="AE92" s="148">
        <f t="shared" si="21"/>
        <v>2</v>
      </c>
      <c r="AF92" s="156"/>
      <c r="AG92" s="156"/>
      <c r="AH92" s="113">
        <f t="shared" si="22"/>
        <v>17</v>
      </c>
      <c r="AI92" s="157">
        <v>65</v>
      </c>
      <c r="AJ92" s="113">
        <f t="shared" si="23"/>
        <v>82</v>
      </c>
      <c r="AK92" s="113">
        <f t="shared" si="24"/>
        <v>82</v>
      </c>
      <c r="AL92" s="158">
        <f t="shared" si="25"/>
        <v>1.02</v>
      </c>
      <c r="AM92" s="159"/>
      <c r="AN92" s="160">
        <f t="shared" si="16"/>
        <v>1</v>
      </c>
      <c r="AO92" s="160">
        <f t="shared" si="16"/>
        <v>2</v>
      </c>
      <c r="AP92" s="133"/>
      <c r="AQ92" s="134"/>
      <c r="AR92" s="161"/>
      <c r="AS92" s="161"/>
      <c r="AT92" s="161"/>
      <c r="AU92" s="161"/>
      <c r="AV92" s="162"/>
      <c r="AW92" s="137">
        <f t="shared" si="26"/>
        <v>0</v>
      </c>
      <c r="AX92" s="137">
        <f t="shared" si="27"/>
        <v>0</v>
      </c>
    </row>
    <row r="93" ht="46.5" customHeight="1" spans="1:50" s="97" customFormat="1" x14ac:dyDescent="0.25">
      <c r="A93" s="100"/>
      <c r="B93" s="100"/>
      <c r="C93" s="100"/>
      <c r="D93" s="100"/>
      <c r="E93" s="100"/>
      <c r="F93" s="100"/>
      <c r="G93" s="103"/>
      <c r="H93" s="186"/>
      <c r="I93" s="195">
        <v>0.51</v>
      </c>
      <c r="J93" s="107">
        <v>0.49</v>
      </c>
      <c r="K93" s="107"/>
      <c r="L93" s="107"/>
      <c r="M93" s="187"/>
      <c r="N93" s="169">
        <f t="shared" si="14"/>
        <v>1</v>
      </c>
      <c r="O93" s="144">
        <v>1</v>
      </c>
      <c r="P93" s="145">
        <v>15</v>
      </c>
      <c r="Q93" s="113">
        <v>15</v>
      </c>
      <c r="R93" s="113"/>
      <c r="S93" s="113"/>
      <c r="T93" s="146"/>
      <c r="U93" s="148">
        <f t="shared" si="17"/>
        <v>15</v>
      </c>
      <c r="V93" s="149">
        <f t="shared" si="18"/>
        <v>15</v>
      </c>
      <c r="W93" s="189"/>
      <c r="X93" s="199"/>
      <c r="Y93" s="151"/>
      <c r="Z93" s="190"/>
      <c r="AA93" s="153"/>
      <c r="AB93" s="154">
        <f t="shared" si="19"/>
        <v>0</v>
      </c>
      <c r="AC93" s="149">
        <f t="shared" si="20"/>
        <v>0</v>
      </c>
      <c r="AD93" s="125">
        <v>2</v>
      </c>
      <c r="AE93" s="148">
        <f t="shared" si="21"/>
        <v>2</v>
      </c>
      <c r="AF93" s="156"/>
      <c r="AG93" s="156"/>
      <c r="AH93" s="113">
        <f t="shared" si="22"/>
        <v>17</v>
      </c>
      <c r="AI93" s="157">
        <v>65</v>
      </c>
      <c r="AJ93" s="113">
        <f t="shared" si="23"/>
        <v>82</v>
      </c>
      <c r="AK93" s="113">
        <f t="shared" si="24"/>
        <v>82</v>
      </c>
      <c r="AL93" s="158">
        <f t="shared" si="25"/>
        <v>1.02</v>
      </c>
      <c r="AM93" s="159"/>
      <c r="AN93" s="160">
        <f t="shared" si="16"/>
        <v>1</v>
      </c>
      <c r="AO93" s="160">
        <f t="shared" si="16"/>
        <v>2</v>
      </c>
      <c r="AP93" s="133"/>
      <c r="AQ93" s="134"/>
      <c r="AR93" s="161"/>
      <c r="AS93" s="161"/>
      <c r="AT93" s="161"/>
      <c r="AU93" s="161"/>
      <c r="AV93" s="162"/>
      <c r="AW93" s="137">
        <f t="shared" si="26"/>
        <v>0</v>
      </c>
      <c r="AX93" s="137">
        <f t="shared" si="27"/>
        <v>0</v>
      </c>
    </row>
    <row r="94" ht="46.5" customHeight="1" spans="1:50" s="97" customFormat="1" x14ac:dyDescent="0.25">
      <c r="A94" s="100"/>
      <c r="B94" s="100"/>
      <c r="C94" s="100"/>
      <c r="D94" s="100"/>
      <c r="E94" s="100"/>
      <c r="F94" s="100"/>
      <c r="G94" s="103"/>
      <c r="H94" s="186"/>
      <c r="I94" s="195">
        <v>0.51</v>
      </c>
      <c r="J94" s="107">
        <v>0.49</v>
      </c>
      <c r="K94" s="107"/>
      <c r="L94" s="107"/>
      <c r="M94" s="187"/>
      <c r="N94" s="169">
        <f t="shared" si="14"/>
        <v>1</v>
      </c>
      <c r="O94" s="144">
        <v>1</v>
      </c>
      <c r="P94" s="145">
        <v>15</v>
      </c>
      <c r="Q94" s="113">
        <v>15</v>
      </c>
      <c r="R94" s="113"/>
      <c r="S94" s="113"/>
      <c r="T94" s="146"/>
      <c r="U94" s="148">
        <f t="shared" si="17"/>
        <v>15</v>
      </c>
      <c r="V94" s="149">
        <f t="shared" si="18"/>
        <v>15</v>
      </c>
      <c r="W94" s="189"/>
      <c r="X94" s="199"/>
      <c r="Y94" s="151"/>
      <c r="Z94" s="190"/>
      <c r="AA94" s="153"/>
      <c r="AB94" s="154">
        <f t="shared" si="19"/>
        <v>0</v>
      </c>
      <c r="AC94" s="149">
        <f t="shared" si="20"/>
        <v>0</v>
      </c>
      <c r="AD94" s="125">
        <v>2</v>
      </c>
      <c r="AE94" s="148">
        <f t="shared" si="21"/>
        <v>2</v>
      </c>
      <c r="AF94" s="156"/>
      <c r="AG94" s="156"/>
      <c r="AH94" s="113">
        <f t="shared" si="22"/>
        <v>17</v>
      </c>
      <c r="AI94" s="157">
        <v>65</v>
      </c>
      <c r="AJ94" s="113">
        <f t="shared" si="23"/>
        <v>82</v>
      </c>
      <c r="AK94" s="113">
        <f t="shared" si="24"/>
        <v>82</v>
      </c>
      <c r="AL94" s="158">
        <f t="shared" si="25"/>
        <v>1.02</v>
      </c>
      <c r="AM94" s="159"/>
      <c r="AN94" s="160">
        <f t="shared" si="16"/>
        <v>1</v>
      </c>
      <c r="AO94" s="160">
        <f t="shared" si="16"/>
        <v>2</v>
      </c>
      <c r="AP94" s="133"/>
      <c r="AQ94" s="134"/>
      <c r="AR94" s="161"/>
      <c r="AS94" s="161"/>
      <c r="AT94" s="161"/>
      <c r="AU94" s="161"/>
      <c r="AV94" s="162"/>
      <c r="AW94" s="137">
        <f t="shared" si="26"/>
        <v>0</v>
      </c>
      <c r="AX94" s="137">
        <f t="shared" si="27"/>
        <v>0</v>
      </c>
    </row>
    <row r="95" ht="46.5" customHeight="1" spans="1:50" s="97" customFormat="1" x14ac:dyDescent="0.25">
      <c r="A95" s="100"/>
      <c r="B95" s="100"/>
      <c r="C95" s="100"/>
      <c r="D95" s="100"/>
      <c r="E95" s="100"/>
      <c r="F95" s="100"/>
      <c r="G95" s="103"/>
      <c r="H95" s="186"/>
      <c r="I95" s="195">
        <v>0.51</v>
      </c>
      <c r="J95" s="107">
        <v>0.49</v>
      </c>
      <c r="K95" s="107"/>
      <c r="L95" s="107"/>
      <c r="M95" s="187"/>
      <c r="N95" s="169">
        <f t="shared" si="14"/>
        <v>1</v>
      </c>
      <c r="O95" s="144">
        <v>1</v>
      </c>
      <c r="P95" s="145">
        <v>15</v>
      </c>
      <c r="Q95" s="113">
        <v>15</v>
      </c>
      <c r="R95" s="113"/>
      <c r="S95" s="113"/>
      <c r="T95" s="146"/>
      <c r="U95" s="148">
        <f t="shared" si="17"/>
        <v>15</v>
      </c>
      <c r="V95" s="149">
        <f t="shared" si="18"/>
        <v>15</v>
      </c>
      <c r="W95" s="189"/>
      <c r="X95" s="199"/>
      <c r="Y95" s="151"/>
      <c r="Z95" s="190"/>
      <c r="AA95" s="153"/>
      <c r="AB95" s="154">
        <f t="shared" si="19"/>
        <v>0</v>
      </c>
      <c r="AC95" s="149">
        <f t="shared" si="20"/>
        <v>0</v>
      </c>
      <c r="AD95" s="125">
        <v>2</v>
      </c>
      <c r="AE95" s="148">
        <f t="shared" si="21"/>
        <v>2</v>
      </c>
      <c r="AF95" s="156"/>
      <c r="AG95" s="156"/>
      <c r="AH95" s="113">
        <f t="shared" si="22"/>
        <v>17</v>
      </c>
      <c r="AI95" s="157">
        <v>65</v>
      </c>
      <c r="AJ95" s="113">
        <f t="shared" si="23"/>
        <v>82</v>
      </c>
      <c r="AK95" s="113">
        <f t="shared" si="24"/>
        <v>82</v>
      </c>
      <c r="AL95" s="158">
        <f t="shared" si="25"/>
        <v>1.02</v>
      </c>
      <c r="AM95" s="159"/>
      <c r="AN95" s="160">
        <f t="shared" si="16"/>
        <v>1</v>
      </c>
      <c r="AO95" s="160">
        <f t="shared" si="16"/>
        <v>2</v>
      </c>
      <c r="AP95" s="133"/>
      <c r="AQ95" s="134"/>
      <c r="AR95" s="161"/>
      <c r="AS95" s="161"/>
      <c r="AT95" s="161"/>
      <c r="AU95" s="161"/>
      <c r="AV95" s="162"/>
      <c r="AW95" s="137">
        <f t="shared" si="26"/>
        <v>0</v>
      </c>
      <c r="AX95" s="137">
        <f t="shared" si="27"/>
        <v>0</v>
      </c>
    </row>
    <row r="96" ht="46.5" customHeight="1" spans="1:50" s="97" customFormat="1" x14ac:dyDescent="0.25">
      <c r="A96" s="100"/>
      <c r="B96" s="100"/>
      <c r="C96" s="100"/>
      <c r="D96" s="100"/>
      <c r="E96" s="100"/>
      <c r="F96" s="100"/>
      <c r="G96" s="103"/>
      <c r="H96" s="186"/>
      <c r="I96" s="195">
        <v>0.51</v>
      </c>
      <c r="J96" s="107">
        <v>0.49</v>
      </c>
      <c r="K96" s="107"/>
      <c r="L96" s="107"/>
      <c r="M96" s="187"/>
      <c r="N96" s="169">
        <f t="shared" si="14"/>
        <v>1</v>
      </c>
      <c r="O96" s="144">
        <v>1</v>
      </c>
      <c r="P96" s="145">
        <v>15</v>
      </c>
      <c r="Q96" s="113">
        <v>15</v>
      </c>
      <c r="R96" s="113"/>
      <c r="S96" s="113"/>
      <c r="T96" s="146"/>
      <c r="U96" s="148">
        <f t="shared" si="17"/>
        <v>15</v>
      </c>
      <c r="V96" s="149">
        <f t="shared" si="18"/>
        <v>15</v>
      </c>
      <c r="W96" s="189"/>
      <c r="X96" s="199"/>
      <c r="Y96" s="151"/>
      <c r="Z96" s="190"/>
      <c r="AA96" s="153"/>
      <c r="AB96" s="154">
        <f t="shared" si="19"/>
        <v>0</v>
      </c>
      <c r="AC96" s="149">
        <f t="shared" si="20"/>
        <v>0</v>
      </c>
      <c r="AD96" s="125">
        <v>2</v>
      </c>
      <c r="AE96" s="148">
        <f t="shared" si="21"/>
        <v>2</v>
      </c>
      <c r="AF96" s="156"/>
      <c r="AG96" s="156"/>
      <c r="AH96" s="113">
        <f t="shared" si="22"/>
        <v>17</v>
      </c>
      <c r="AI96" s="157">
        <v>65</v>
      </c>
      <c r="AJ96" s="113">
        <f t="shared" si="23"/>
        <v>82</v>
      </c>
      <c r="AK96" s="113">
        <f t="shared" si="24"/>
        <v>82</v>
      </c>
      <c r="AL96" s="158">
        <f t="shared" si="25"/>
        <v>1.02</v>
      </c>
      <c r="AM96" s="159"/>
      <c r="AN96" s="160">
        <f t="shared" si="16"/>
        <v>1</v>
      </c>
      <c r="AO96" s="160">
        <f t="shared" si="16"/>
        <v>2</v>
      </c>
      <c r="AP96" s="133"/>
      <c r="AQ96" s="134"/>
      <c r="AR96" s="161"/>
      <c r="AS96" s="161"/>
      <c r="AT96" s="161"/>
      <c r="AU96" s="161"/>
      <c r="AV96" s="162"/>
      <c r="AW96" s="137">
        <f t="shared" si="26"/>
        <v>0</v>
      </c>
      <c r="AX96" s="137">
        <f t="shared" si="27"/>
        <v>0</v>
      </c>
    </row>
    <row r="97" ht="46.5" customHeight="1" spans="1:50" s="97" customFormat="1" x14ac:dyDescent="0.25">
      <c r="A97" s="100"/>
      <c r="B97" s="100"/>
      <c r="C97" s="100"/>
      <c r="D97" s="100"/>
      <c r="E97" s="100"/>
      <c r="F97" s="100"/>
      <c r="G97" s="103"/>
      <c r="H97" s="186"/>
      <c r="I97" s="195">
        <v>0.51</v>
      </c>
      <c r="J97" s="107">
        <v>0.49</v>
      </c>
      <c r="K97" s="107"/>
      <c r="L97" s="107"/>
      <c r="M97" s="187"/>
      <c r="N97" s="169">
        <f t="shared" si="14"/>
        <v>1</v>
      </c>
      <c r="O97" s="144">
        <v>1</v>
      </c>
      <c r="P97" s="145">
        <v>15</v>
      </c>
      <c r="Q97" s="113">
        <v>15</v>
      </c>
      <c r="R97" s="113"/>
      <c r="S97" s="113"/>
      <c r="T97" s="146"/>
      <c r="U97" s="148">
        <f t="shared" si="17"/>
        <v>15</v>
      </c>
      <c r="V97" s="149">
        <f t="shared" si="18"/>
        <v>15</v>
      </c>
      <c r="W97" s="189"/>
      <c r="X97" s="199"/>
      <c r="Y97" s="151"/>
      <c r="Z97" s="190"/>
      <c r="AA97" s="153"/>
      <c r="AB97" s="154">
        <f t="shared" si="19"/>
        <v>0</v>
      </c>
      <c r="AC97" s="149">
        <f t="shared" si="20"/>
        <v>0</v>
      </c>
      <c r="AD97" s="125">
        <v>2</v>
      </c>
      <c r="AE97" s="148">
        <f t="shared" si="21"/>
        <v>2</v>
      </c>
      <c r="AF97" s="156"/>
      <c r="AG97" s="156"/>
      <c r="AH97" s="113">
        <f t="shared" si="22"/>
        <v>17</v>
      </c>
      <c r="AI97" s="157">
        <v>65</v>
      </c>
      <c r="AJ97" s="113">
        <f t="shared" si="23"/>
        <v>82</v>
      </c>
      <c r="AK97" s="113">
        <f t="shared" si="24"/>
        <v>82</v>
      </c>
      <c r="AL97" s="158">
        <f t="shared" si="25"/>
        <v>1.02</v>
      </c>
      <c r="AM97" s="159"/>
      <c r="AN97" s="160">
        <f t="shared" ref="AN97:AO116" si="28">100%+AM97</f>
        <v>1</v>
      </c>
      <c r="AO97" s="160">
        <f t="shared" si="28"/>
        <v>2</v>
      </c>
      <c r="AP97" s="133"/>
      <c r="AQ97" s="134"/>
      <c r="AR97" s="161"/>
      <c r="AS97" s="161"/>
      <c r="AT97" s="161"/>
      <c r="AU97" s="161"/>
      <c r="AV97" s="162"/>
      <c r="AW97" s="137">
        <f t="shared" si="26"/>
        <v>0</v>
      </c>
      <c r="AX97" s="137">
        <f t="shared" si="27"/>
        <v>0</v>
      </c>
    </row>
    <row r="98" ht="46.5" customHeight="1" spans="1:50" s="97" customFormat="1" x14ac:dyDescent="0.25">
      <c r="A98" s="100"/>
      <c r="B98" s="100"/>
      <c r="C98" s="100"/>
      <c r="D98" s="100"/>
      <c r="E98" s="100"/>
      <c r="F98" s="100"/>
      <c r="G98" s="103"/>
      <c r="H98" s="186"/>
      <c r="I98" s="195">
        <v>0.51</v>
      </c>
      <c r="J98" s="107">
        <v>0.49</v>
      </c>
      <c r="K98" s="107"/>
      <c r="L98" s="107"/>
      <c r="M98" s="187"/>
      <c r="N98" s="169">
        <f t="shared" si="14"/>
        <v>1</v>
      </c>
      <c r="O98" s="144">
        <v>1</v>
      </c>
      <c r="P98" s="145">
        <v>15</v>
      </c>
      <c r="Q98" s="113">
        <v>15</v>
      </c>
      <c r="R98" s="113"/>
      <c r="S98" s="113"/>
      <c r="T98" s="146"/>
      <c r="U98" s="148">
        <f t="shared" si="17"/>
        <v>15</v>
      </c>
      <c r="V98" s="149">
        <f t="shared" si="18"/>
        <v>15</v>
      </c>
      <c r="W98" s="189"/>
      <c r="X98" s="199"/>
      <c r="Y98" s="151"/>
      <c r="Z98" s="190"/>
      <c r="AA98" s="153"/>
      <c r="AB98" s="154">
        <f t="shared" si="19"/>
        <v>0</v>
      </c>
      <c r="AC98" s="149">
        <f t="shared" si="20"/>
        <v>0</v>
      </c>
      <c r="AD98" s="125">
        <v>2</v>
      </c>
      <c r="AE98" s="148">
        <f t="shared" si="21"/>
        <v>2</v>
      </c>
      <c r="AF98" s="156"/>
      <c r="AG98" s="156"/>
      <c r="AH98" s="113">
        <f t="shared" si="22"/>
        <v>17</v>
      </c>
      <c r="AI98" s="157">
        <v>65</v>
      </c>
      <c r="AJ98" s="113">
        <f t="shared" si="23"/>
        <v>82</v>
      </c>
      <c r="AK98" s="113">
        <f t="shared" si="24"/>
        <v>82</v>
      </c>
      <c r="AL98" s="158">
        <f t="shared" si="25"/>
        <v>1.02</v>
      </c>
      <c r="AM98" s="159"/>
      <c r="AN98" s="160">
        <f t="shared" si="28"/>
        <v>1</v>
      </c>
      <c r="AO98" s="160">
        <f t="shared" si="28"/>
        <v>2</v>
      </c>
      <c r="AP98" s="133"/>
      <c r="AQ98" s="134"/>
      <c r="AR98" s="161"/>
      <c r="AS98" s="161"/>
      <c r="AT98" s="161"/>
      <c r="AU98" s="161"/>
      <c r="AV98" s="162"/>
      <c r="AW98" s="137">
        <f t="shared" si="26"/>
        <v>0</v>
      </c>
      <c r="AX98" s="137">
        <f t="shared" si="27"/>
        <v>0</v>
      </c>
    </row>
    <row r="99" ht="46.5" customHeight="1" spans="1:50" s="97" customFormat="1" x14ac:dyDescent="0.25">
      <c r="A99" s="100"/>
      <c r="B99" s="100"/>
      <c r="C99" s="100"/>
      <c r="D99" s="100"/>
      <c r="E99" s="100"/>
      <c r="F99" s="100"/>
      <c r="G99" s="103"/>
      <c r="H99" s="186"/>
      <c r="I99" s="195">
        <v>0.51</v>
      </c>
      <c r="J99" s="107">
        <v>0.49</v>
      </c>
      <c r="K99" s="107"/>
      <c r="L99" s="107"/>
      <c r="M99" s="187"/>
      <c r="N99" s="169">
        <f t="shared" si="14"/>
        <v>1</v>
      </c>
      <c r="O99" s="144">
        <v>1</v>
      </c>
      <c r="P99" s="145">
        <v>15</v>
      </c>
      <c r="Q99" s="113">
        <v>15</v>
      </c>
      <c r="R99" s="113"/>
      <c r="S99" s="113"/>
      <c r="T99" s="146"/>
      <c r="U99" s="148">
        <f t="shared" si="17"/>
        <v>15</v>
      </c>
      <c r="V99" s="149">
        <f t="shared" si="18"/>
        <v>15</v>
      </c>
      <c r="W99" s="189"/>
      <c r="X99" s="199"/>
      <c r="Y99" s="151"/>
      <c r="Z99" s="190"/>
      <c r="AA99" s="153"/>
      <c r="AB99" s="154">
        <f t="shared" si="19"/>
        <v>0</v>
      </c>
      <c r="AC99" s="149">
        <f t="shared" si="20"/>
        <v>0</v>
      </c>
      <c r="AD99" s="125">
        <v>2</v>
      </c>
      <c r="AE99" s="148">
        <f t="shared" si="21"/>
        <v>2</v>
      </c>
      <c r="AF99" s="156"/>
      <c r="AG99" s="156"/>
      <c r="AH99" s="113">
        <f t="shared" si="22"/>
        <v>17</v>
      </c>
      <c r="AI99" s="157">
        <v>65</v>
      </c>
      <c r="AJ99" s="113">
        <f t="shared" si="23"/>
        <v>82</v>
      </c>
      <c r="AK99" s="113">
        <f t="shared" si="24"/>
        <v>82</v>
      </c>
      <c r="AL99" s="158">
        <f t="shared" si="25"/>
        <v>1.02</v>
      </c>
      <c r="AM99" s="159"/>
      <c r="AN99" s="160">
        <f t="shared" si="28"/>
        <v>1</v>
      </c>
      <c r="AO99" s="160">
        <f t="shared" si="28"/>
        <v>2</v>
      </c>
      <c r="AP99" s="133"/>
      <c r="AQ99" s="134"/>
      <c r="AR99" s="161"/>
      <c r="AS99" s="161"/>
      <c r="AT99" s="161"/>
      <c r="AU99" s="161"/>
      <c r="AV99" s="162"/>
      <c r="AW99" s="137">
        <f t="shared" si="26"/>
        <v>0</v>
      </c>
      <c r="AX99" s="137">
        <f t="shared" si="27"/>
        <v>0</v>
      </c>
    </row>
    <row r="100" ht="46.5" customHeight="1" spans="1:50" s="97" customFormat="1" x14ac:dyDescent="0.25">
      <c r="A100" s="100"/>
      <c r="B100" s="100"/>
      <c r="C100" s="100"/>
      <c r="D100" s="100"/>
      <c r="E100" s="100"/>
      <c r="F100" s="100"/>
      <c r="G100" s="103"/>
      <c r="H100" s="186"/>
      <c r="I100" s="195">
        <v>0.51</v>
      </c>
      <c r="J100" s="107">
        <v>0.49</v>
      </c>
      <c r="K100" s="107"/>
      <c r="L100" s="107"/>
      <c r="M100" s="187"/>
      <c r="N100" s="169">
        <f t="shared" si="14"/>
        <v>1</v>
      </c>
      <c r="O100" s="144">
        <v>1</v>
      </c>
      <c r="P100" s="145">
        <v>15</v>
      </c>
      <c r="Q100" s="113">
        <v>15</v>
      </c>
      <c r="R100" s="113"/>
      <c r="S100" s="113"/>
      <c r="T100" s="146"/>
      <c r="U100" s="148">
        <f t="shared" si="17"/>
        <v>15</v>
      </c>
      <c r="V100" s="149">
        <f t="shared" si="18"/>
        <v>15</v>
      </c>
      <c r="W100" s="189"/>
      <c r="X100" s="199"/>
      <c r="Y100" s="151"/>
      <c r="Z100" s="190"/>
      <c r="AA100" s="153"/>
      <c r="AB100" s="154">
        <f t="shared" si="19"/>
        <v>0</v>
      </c>
      <c r="AC100" s="149">
        <f t="shared" si="20"/>
        <v>0</v>
      </c>
      <c r="AD100" s="125">
        <v>2</v>
      </c>
      <c r="AE100" s="148">
        <f t="shared" si="21"/>
        <v>2</v>
      </c>
      <c r="AF100" s="156"/>
      <c r="AG100" s="156"/>
      <c r="AH100" s="113">
        <f t="shared" si="22"/>
        <v>17</v>
      </c>
      <c r="AI100" s="157">
        <v>65</v>
      </c>
      <c r="AJ100" s="113">
        <f t="shared" si="23"/>
        <v>82</v>
      </c>
      <c r="AK100" s="113">
        <f t="shared" si="24"/>
        <v>82</v>
      </c>
      <c r="AL100" s="158">
        <f t="shared" si="25"/>
        <v>1.02</v>
      </c>
      <c r="AM100" s="159"/>
      <c r="AN100" s="160">
        <f t="shared" si="28"/>
        <v>1</v>
      </c>
      <c r="AO100" s="160">
        <f t="shared" si="28"/>
        <v>2</v>
      </c>
      <c r="AP100" s="133"/>
      <c r="AQ100" s="134"/>
      <c r="AR100" s="161"/>
      <c r="AS100" s="161"/>
      <c r="AT100" s="161"/>
      <c r="AU100" s="161"/>
      <c r="AV100" s="162"/>
      <c r="AW100" s="137">
        <f t="shared" si="26"/>
        <v>0</v>
      </c>
      <c r="AX100" s="137">
        <f t="shared" si="27"/>
        <v>0</v>
      </c>
    </row>
    <row r="101" ht="46.5" customHeight="1" spans="1:50" s="97" customFormat="1" x14ac:dyDescent="0.25">
      <c r="A101" s="100"/>
      <c r="B101" s="100"/>
      <c r="C101" s="100"/>
      <c r="D101" s="100"/>
      <c r="E101" s="100"/>
      <c r="F101" s="100"/>
      <c r="G101" s="103"/>
      <c r="H101" s="186"/>
      <c r="I101" s="195">
        <v>0.51</v>
      </c>
      <c r="J101" s="107">
        <v>0.49</v>
      </c>
      <c r="K101" s="107"/>
      <c r="L101" s="107"/>
      <c r="M101" s="187"/>
      <c r="N101" s="169">
        <f t="shared" si="14"/>
        <v>1</v>
      </c>
      <c r="O101" s="144">
        <v>1</v>
      </c>
      <c r="P101" s="145">
        <v>15</v>
      </c>
      <c r="Q101" s="113">
        <v>15</v>
      </c>
      <c r="R101" s="113"/>
      <c r="S101" s="113"/>
      <c r="T101" s="146"/>
      <c r="U101" s="148">
        <f t="shared" si="17"/>
        <v>15</v>
      </c>
      <c r="V101" s="149">
        <f t="shared" si="18"/>
        <v>15</v>
      </c>
      <c r="W101" s="189"/>
      <c r="X101" s="199"/>
      <c r="Y101" s="151"/>
      <c r="Z101" s="190"/>
      <c r="AA101" s="153"/>
      <c r="AB101" s="154">
        <f t="shared" si="19"/>
        <v>0</v>
      </c>
      <c r="AC101" s="149">
        <f t="shared" si="20"/>
        <v>0</v>
      </c>
      <c r="AD101" s="125">
        <v>2</v>
      </c>
      <c r="AE101" s="148">
        <f t="shared" si="21"/>
        <v>2</v>
      </c>
      <c r="AF101" s="156"/>
      <c r="AG101" s="156"/>
      <c r="AH101" s="113">
        <f t="shared" si="22"/>
        <v>17</v>
      </c>
      <c r="AI101" s="157">
        <v>65</v>
      </c>
      <c r="AJ101" s="113">
        <f t="shared" si="23"/>
        <v>82</v>
      </c>
      <c r="AK101" s="113">
        <f t="shared" si="24"/>
        <v>82</v>
      </c>
      <c r="AL101" s="158">
        <f t="shared" si="25"/>
        <v>1.02</v>
      </c>
      <c r="AM101" s="159"/>
      <c r="AN101" s="160">
        <f t="shared" si="28"/>
        <v>1</v>
      </c>
      <c r="AO101" s="160">
        <f t="shared" si="28"/>
        <v>2</v>
      </c>
      <c r="AP101" s="133"/>
      <c r="AQ101" s="134"/>
      <c r="AR101" s="161"/>
      <c r="AS101" s="161"/>
      <c r="AT101" s="161"/>
      <c r="AU101" s="161"/>
      <c r="AV101" s="162"/>
      <c r="AW101" s="137">
        <f t="shared" si="26"/>
        <v>0</v>
      </c>
      <c r="AX101" s="137">
        <f t="shared" si="27"/>
        <v>0</v>
      </c>
    </row>
    <row r="102" ht="46.5" customHeight="1" spans="1:50" s="97" customFormat="1" x14ac:dyDescent="0.25">
      <c r="A102" s="100"/>
      <c r="B102" s="100"/>
      <c r="C102" s="100"/>
      <c r="D102" s="100"/>
      <c r="E102" s="100"/>
      <c r="F102" s="100"/>
      <c r="G102" s="103"/>
      <c r="H102" s="186"/>
      <c r="I102" s="195">
        <v>0.51</v>
      </c>
      <c r="J102" s="107">
        <v>0.49</v>
      </c>
      <c r="K102" s="107"/>
      <c r="L102" s="107"/>
      <c r="M102" s="187"/>
      <c r="N102" s="169">
        <f t="shared" si="14"/>
        <v>1</v>
      </c>
      <c r="O102" s="144">
        <v>1</v>
      </c>
      <c r="P102" s="145">
        <v>15</v>
      </c>
      <c r="Q102" s="113">
        <v>15</v>
      </c>
      <c r="R102" s="113"/>
      <c r="S102" s="113"/>
      <c r="T102" s="146"/>
      <c r="U102" s="148">
        <f t="shared" si="17"/>
        <v>15</v>
      </c>
      <c r="V102" s="149">
        <f t="shared" si="18"/>
        <v>15</v>
      </c>
      <c r="W102" s="189"/>
      <c r="X102" s="199"/>
      <c r="Y102" s="151"/>
      <c r="Z102" s="190"/>
      <c r="AA102" s="153"/>
      <c r="AB102" s="154">
        <f t="shared" si="19"/>
        <v>0</v>
      </c>
      <c r="AC102" s="149">
        <f t="shared" si="20"/>
        <v>0</v>
      </c>
      <c r="AD102" s="125">
        <v>2</v>
      </c>
      <c r="AE102" s="148">
        <f t="shared" si="21"/>
        <v>2</v>
      </c>
      <c r="AF102" s="156"/>
      <c r="AG102" s="156"/>
      <c r="AH102" s="113">
        <f t="shared" si="22"/>
        <v>17</v>
      </c>
      <c r="AI102" s="157">
        <v>65</v>
      </c>
      <c r="AJ102" s="113">
        <f t="shared" si="23"/>
        <v>82</v>
      </c>
      <c r="AK102" s="113">
        <f t="shared" si="24"/>
        <v>82</v>
      </c>
      <c r="AL102" s="158">
        <f t="shared" si="25"/>
        <v>1.02</v>
      </c>
      <c r="AM102" s="159"/>
      <c r="AN102" s="160">
        <f t="shared" si="28"/>
        <v>1</v>
      </c>
      <c r="AO102" s="160">
        <f t="shared" si="28"/>
        <v>2</v>
      </c>
      <c r="AP102" s="133"/>
      <c r="AQ102" s="134"/>
      <c r="AR102" s="161"/>
      <c r="AS102" s="161"/>
      <c r="AT102" s="161"/>
      <c r="AU102" s="161"/>
      <c r="AV102" s="162"/>
      <c r="AW102" s="137">
        <f t="shared" si="26"/>
        <v>0</v>
      </c>
      <c r="AX102" s="137">
        <f t="shared" si="27"/>
        <v>0</v>
      </c>
    </row>
    <row r="103" ht="46.5" customHeight="1" spans="1:50" s="97" customFormat="1" x14ac:dyDescent="0.25">
      <c r="A103" s="100"/>
      <c r="B103" s="100"/>
      <c r="C103" s="100"/>
      <c r="D103" s="100"/>
      <c r="E103" s="100"/>
      <c r="F103" s="100"/>
      <c r="G103" s="103"/>
      <c r="H103" s="186"/>
      <c r="I103" s="195">
        <v>0.51</v>
      </c>
      <c r="J103" s="107">
        <v>0.49</v>
      </c>
      <c r="K103" s="107"/>
      <c r="L103" s="107"/>
      <c r="M103" s="187"/>
      <c r="N103" s="169">
        <f t="shared" si="14"/>
        <v>1</v>
      </c>
      <c r="O103" s="144">
        <v>1</v>
      </c>
      <c r="P103" s="145">
        <v>15</v>
      </c>
      <c r="Q103" s="113">
        <v>15</v>
      </c>
      <c r="R103" s="113"/>
      <c r="S103" s="113"/>
      <c r="T103" s="146"/>
      <c r="U103" s="148">
        <f t="shared" si="17"/>
        <v>15</v>
      </c>
      <c r="V103" s="149">
        <f t="shared" si="18"/>
        <v>15</v>
      </c>
      <c r="W103" s="189"/>
      <c r="X103" s="199"/>
      <c r="Y103" s="151"/>
      <c r="Z103" s="190"/>
      <c r="AA103" s="153"/>
      <c r="AB103" s="154">
        <f t="shared" si="19"/>
        <v>0</v>
      </c>
      <c r="AC103" s="149">
        <f t="shared" si="20"/>
        <v>0</v>
      </c>
      <c r="AD103" s="125">
        <v>2</v>
      </c>
      <c r="AE103" s="148">
        <f t="shared" si="21"/>
        <v>2</v>
      </c>
      <c r="AF103" s="156"/>
      <c r="AG103" s="156"/>
      <c r="AH103" s="113">
        <f t="shared" si="22"/>
        <v>17</v>
      </c>
      <c r="AI103" s="157">
        <v>65</v>
      </c>
      <c r="AJ103" s="113">
        <f t="shared" si="23"/>
        <v>82</v>
      </c>
      <c r="AK103" s="113">
        <f t="shared" si="24"/>
        <v>82</v>
      </c>
      <c r="AL103" s="158">
        <f t="shared" si="25"/>
        <v>1.02</v>
      </c>
      <c r="AM103" s="159"/>
      <c r="AN103" s="160">
        <f t="shared" si="28"/>
        <v>1</v>
      </c>
      <c r="AO103" s="160">
        <f t="shared" si="28"/>
        <v>2</v>
      </c>
      <c r="AP103" s="133"/>
      <c r="AQ103" s="134"/>
      <c r="AR103" s="161"/>
      <c r="AS103" s="161"/>
      <c r="AT103" s="161"/>
      <c r="AU103" s="161"/>
      <c r="AV103" s="162"/>
      <c r="AW103" s="137">
        <f t="shared" si="26"/>
        <v>0</v>
      </c>
      <c r="AX103" s="137">
        <f t="shared" si="27"/>
        <v>0</v>
      </c>
    </row>
    <row r="104" ht="64.5" customHeight="1" spans="1:50" s="56" customFormat="1" x14ac:dyDescent="0.25">
      <c r="A104" s="100"/>
      <c r="B104" s="100"/>
      <c r="C104" s="100"/>
      <c r="D104" s="100"/>
      <c r="E104" s="100"/>
      <c r="F104" s="100"/>
      <c r="G104" s="103"/>
      <c r="H104" s="186"/>
      <c r="I104" s="195">
        <v>0.51</v>
      </c>
      <c r="J104" s="107">
        <v>0.49</v>
      </c>
      <c r="K104" s="107"/>
      <c r="L104" s="107"/>
      <c r="M104" s="187"/>
      <c r="N104" s="169">
        <f t="shared" si="14"/>
        <v>1</v>
      </c>
      <c r="O104" s="144">
        <v>1</v>
      </c>
      <c r="P104" s="145">
        <v>15</v>
      </c>
      <c r="Q104" s="113">
        <v>15</v>
      </c>
      <c r="R104" s="113"/>
      <c r="S104" s="113"/>
      <c r="T104" s="146"/>
      <c r="U104" s="148">
        <f t="shared" si="17"/>
        <v>15</v>
      </c>
      <c r="V104" s="149">
        <f t="shared" si="18"/>
        <v>15</v>
      </c>
      <c r="W104" s="189"/>
      <c r="X104" s="199"/>
      <c r="Y104" s="151"/>
      <c r="Z104" s="190"/>
      <c r="AA104" s="153"/>
      <c r="AB104" s="154">
        <f t="shared" si="19"/>
        <v>0</v>
      </c>
      <c r="AC104" s="149">
        <f t="shared" si="20"/>
        <v>0</v>
      </c>
      <c r="AD104" s="125">
        <v>2</v>
      </c>
      <c r="AE104" s="148">
        <f t="shared" si="21"/>
        <v>2</v>
      </c>
      <c r="AF104" s="156"/>
      <c r="AG104" s="156"/>
      <c r="AH104" s="113">
        <f t="shared" si="22"/>
        <v>17</v>
      </c>
      <c r="AI104" s="157">
        <v>65</v>
      </c>
      <c r="AJ104" s="113">
        <f t="shared" si="23"/>
        <v>82</v>
      </c>
      <c r="AK104" s="113">
        <f t="shared" si="24"/>
        <v>82</v>
      </c>
      <c r="AL104" s="158">
        <f t="shared" si="25"/>
        <v>1.02</v>
      </c>
      <c r="AM104" s="159"/>
      <c r="AN104" s="160">
        <f t="shared" si="28"/>
        <v>1</v>
      </c>
      <c r="AO104" s="160">
        <f t="shared" si="28"/>
        <v>2</v>
      </c>
      <c r="AP104" s="133"/>
      <c r="AQ104" s="134"/>
      <c r="AR104" s="161"/>
      <c r="AS104" s="161"/>
      <c r="AT104" s="161"/>
      <c r="AU104" s="161"/>
      <c r="AV104" s="162"/>
      <c r="AW104" s="137">
        <f t="shared" si="26"/>
        <v>0</v>
      </c>
      <c r="AX104" s="137">
        <f t="shared" si="27"/>
        <v>0</v>
      </c>
    </row>
    <row r="105" ht="46.5" customHeight="1" spans="1:50" s="97" customFormat="1" x14ac:dyDescent="0.25">
      <c r="A105" s="100"/>
      <c r="B105" s="100"/>
      <c r="C105" s="100"/>
      <c r="D105" s="100"/>
      <c r="E105" s="100"/>
      <c r="F105" s="100"/>
      <c r="G105" s="103"/>
      <c r="H105" s="186"/>
      <c r="I105" s="195">
        <v>0.51</v>
      </c>
      <c r="J105" s="107">
        <v>0.49</v>
      </c>
      <c r="K105" s="107"/>
      <c r="L105" s="107"/>
      <c r="M105" s="187"/>
      <c r="N105" s="169">
        <f t="shared" si="14"/>
        <v>1</v>
      </c>
      <c r="O105" s="144">
        <v>1</v>
      </c>
      <c r="P105" s="145">
        <v>15</v>
      </c>
      <c r="Q105" s="113">
        <v>15</v>
      </c>
      <c r="R105" s="113"/>
      <c r="S105" s="113"/>
      <c r="T105" s="146"/>
      <c r="U105" s="148">
        <f t="shared" si="17"/>
        <v>15</v>
      </c>
      <c r="V105" s="149">
        <f t="shared" si="18"/>
        <v>15</v>
      </c>
      <c r="W105" s="189"/>
      <c r="X105" s="199"/>
      <c r="Y105" s="151"/>
      <c r="Z105" s="190"/>
      <c r="AA105" s="153"/>
      <c r="AB105" s="154">
        <f t="shared" si="19"/>
        <v>0</v>
      </c>
      <c r="AC105" s="149">
        <f t="shared" si="20"/>
        <v>0</v>
      </c>
      <c r="AD105" s="125">
        <v>2</v>
      </c>
      <c r="AE105" s="148">
        <f t="shared" si="21"/>
        <v>2</v>
      </c>
      <c r="AF105" s="156"/>
      <c r="AG105" s="156"/>
      <c r="AH105" s="113">
        <f t="shared" si="22"/>
        <v>17</v>
      </c>
      <c r="AI105" s="157">
        <v>65</v>
      </c>
      <c r="AJ105" s="113">
        <f t="shared" si="23"/>
        <v>82</v>
      </c>
      <c r="AK105" s="113">
        <f t="shared" si="24"/>
        <v>82</v>
      </c>
      <c r="AL105" s="158">
        <f t="shared" si="25"/>
        <v>1.02</v>
      </c>
      <c r="AM105" s="159"/>
      <c r="AN105" s="160">
        <f t="shared" si="28"/>
        <v>1</v>
      </c>
      <c r="AO105" s="160">
        <f t="shared" si="28"/>
        <v>2</v>
      </c>
      <c r="AP105" s="133"/>
      <c r="AQ105" s="134"/>
      <c r="AR105" s="161"/>
      <c r="AS105" s="161"/>
      <c r="AT105" s="161"/>
      <c r="AU105" s="161"/>
      <c r="AV105" s="162"/>
      <c r="AW105" s="137">
        <f t="shared" si="26"/>
        <v>0</v>
      </c>
      <c r="AX105" s="137">
        <f t="shared" si="27"/>
        <v>0</v>
      </c>
    </row>
    <row r="106" ht="46.5" customHeight="1" spans="1:50" s="97" customFormat="1" x14ac:dyDescent="0.25">
      <c r="A106" s="100"/>
      <c r="B106" s="100"/>
      <c r="C106" s="100"/>
      <c r="D106" s="100"/>
      <c r="E106" s="100"/>
      <c r="F106" s="100"/>
      <c r="G106" s="103"/>
      <c r="H106" s="186"/>
      <c r="I106" s="195">
        <v>0.51</v>
      </c>
      <c r="J106" s="107">
        <v>0.49</v>
      </c>
      <c r="K106" s="107"/>
      <c r="L106" s="107"/>
      <c r="M106" s="187"/>
      <c r="N106" s="169">
        <f t="shared" si="14"/>
        <v>1</v>
      </c>
      <c r="O106" s="144">
        <v>1</v>
      </c>
      <c r="P106" s="145">
        <v>15</v>
      </c>
      <c r="Q106" s="113">
        <v>15</v>
      </c>
      <c r="R106" s="113"/>
      <c r="S106" s="113"/>
      <c r="T106" s="146"/>
      <c r="U106" s="148">
        <f t="shared" si="17"/>
        <v>15</v>
      </c>
      <c r="V106" s="149">
        <f t="shared" si="18"/>
        <v>15</v>
      </c>
      <c r="W106" s="189"/>
      <c r="X106" s="199"/>
      <c r="Y106" s="151"/>
      <c r="Z106" s="190"/>
      <c r="AA106" s="153"/>
      <c r="AB106" s="154">
        <f t="shared" si="19"/>
        <v>0</v>
      </c>
      <c r="AC106" s="149">
        <f t="shared" si="20"/>
        <v>0</v>
      </c>
      <c r="AD106" s="125">
        <v>2</v>
      </c>
      <c r="AE106" s="148">
        <f t="shared" si="21"/>
        <v>2</v>
      </c>
      <c r="AF106" s="156"/>
      <c r="AG106" s="156"/>
      <c r="AH106" s="113">
        <f t="shared" si="22"/>
        <v>17</v>
      </c>
      <c r="AI106" s="157">
        <v>65</v>
      </c>
      <c r="AJ106" s="113">
        <f t="shared" si="23"/>
        <v>82</v>
      </c>
      <c r="AK106" s="113">
        <f t="shared" si="24"/>
        <v>82</v>
      </c>
      <c r="AL106" s="158">
        <f t="shared" si="25"/>
        <v>1.02</v>
      </c>
      <c r="AM106" s="159"/>
      <c r="AN106" s="160">
        <f t="shared" si="28"/>
        <v>1</v>
      </c>
      <c r="AO106" s="160">
        <f t="shared" si="28"/>
        <v>2</v>
      </c>
      <c r="AP106" s="133"/>
      <c r="AQ106" s="134"/>
      <c r="AR106" s="161"/>
      <c r="AS106" s="161"/>
      <c r="AT106" s="161"/>
      <c r="AU106" s="161"/>
      <c r="AV106" s="162"/>
      <c r="AW106" s="137">
        <f t="shared" si="26"/>
        <v>0</v>
      </c>
      <c r="AX106" s="137">
        <f t="shared" si="27"/>
        <v>0</v>
      </c>
    </row>
    <row r="107" ht="46.5" customHeight="1" spans="1:50" s="97" customFormat="1" x14ac:dyDescent="0.25">
      <c r="A107" s="100"/>
      <c r="B107" s="100"/>
      <c r="C107" s="100"/>
      <c r="D107" s="100"/>
      <c r="E107" s="100"/>
      <c r="F107" s="100"/>
      <c r="G107" s="103"/>
      <c r="H107" s="186"/>
      <c r="I107" s="195">
        <v>0.51</v>
      </c>
      <c r="J107" s="107">
        <v>0.49</v>
      </c>
      <c r="K107" s="107"/>
      <c r="L107" s="107"/>
      <c r="M107" s="187"/>
      <c r="N107" s="169">
        <f t="shared" si="14"/>
        <v>1</v>
      </c>
      <c r="O107" s="144">
        <v>1</v>
      </c>
      <c r="P107" s="145">
        <v>15</v>
      </c>
      <c r="Q107" s="113">
        <v>15</v>
      </c>
      <c r="R107" s="113"/>
      <c r="S107" s="113"/>
      <c r="T107" s="146"/>
      <c r="U107" s="148">
        <f t="shared" si="17"/>
        <v>15</v>
      </c>
      <c r="V107" s="149">
        <f t="shared" si="18"/>
        <v>15</v>
      </c>
      <c r="W107" s="189"/>
      <c r="X107" s="199"/>
      <c r="Y107" s="151"/>
      <c r="Z107" s="190"/>
      <c r="AA107" s="153"/>
      <c r="AB107" s="154">
        <f t="shared" si="19"/>
        <v>0</v>
      </c>
      <c r="AC107" s="149">
        <f t="shared" si="20"/>
        <v>0</v>
      </c>
      <c r="AD107" s="125">
        <v>2</v>
      </c>
      <c r="AE107" s="148">
        <f t="shared" si="21"/>
        <v>2</v>
      </c>
      <c r="AF107" s="156"/>
      <c r="AG107" s="156"/>
      <c r="AH107" s="113">
        <f t="shared" si="22"/>
        <v>17</v>
      </c>
      <c r="AI107" s="157">
        <v>65</v>
      </c>
      <c r="AJ107" s="113">
        <f t="shared" si="23"/>
        <v>82</v>
      </c>
      <c r="AK107" s="113">
        <f t="shared" si="24"/>
        <v>82</v>
      </c>
      <c r="AL107" s="158">
        <f t="shared" si="25"/>
        <v>1.02</v>
      </c>
      <c r="AM107" s="159"/>
      <c r="AN107" s="160">
        <f t="shared" si="28"/>
        <v>1</v>
      </c>
      <c r="AO107" s="160">
        <f t="shared" si="28"/>
        <v>2</v>
      </c>
      <c r="AP107" s="133"/>
      <c r="AQ107" s="134"/>
      <c r="AR107" s="161"/>
      <c r="AS107" s="161"/>
      <c r="AT107" s="161"/>
      <c r="AU107" s="161"/>
      <c r="AV107" s="162"/>
      <c r="AW107" s="137">
        <f t="shared" si="26"/>
        <v>0</v>
      </c>
      <c r="AX107" s="137">
        <f t="shared" si="27"/>
        <v>0</v>
      </c>
    </row>
    <row r="108" ht="47.25" customHeight="1" spans="1:50" s="97" customFormat="1" x14ac:dyDescent="0.25">
      <c r="A108" s="100"/>
      <c r="B108" s="100"/>
      <c r="C108" s="100"/>
      <c r="D108" s="100"/>
      <c r="E108" s="100"/>
      <c r="F108" s="100"/>
      <c r="G108" s="103"/>
      <c r="H108" s="186"/>
      <c r="I108" s="195">
        <v>0.51</v>
      </c>
      <c r="J108" s="107">
        <v>0.49</v>
      </c>
      <c r="K108" s="107"/>
      <c r="L108" s="107"/>
      <c r="M108" s="187"/>
      <c r="N108" s="169">
        <f t="shared" si="14"/>
        <v>1</v>
      </c>
      <c r="O108" s="144">
        <v>1</v>
      </c>
      <c r="P108" s="145">
        <v>15</v>
      </c>
      <c r="Q108" s="113">
        <v>15</v>
      </c>
      <c r="R108" s="113"/>
      <c r="S108" s="113"/>
      <c r="T108" s="146"/>
      <c r="U108" s="148">
        <f t="shared" si="17"/>
        <v>15</v>
      </c>
      <c r="V108" s="149">
        <f t="shared" si="18"/>
        <v>15</v>
      </c>
      <c r="W108" s="189"/>
      <c r="X108" s="199"/>
      <c r="Y108" s="151"/>
      <c r="Z108" s="190"/>
      <c r="AA108" s="153"/>
      <c r="AB108" s="154">
        <f t="shared" si="19"/>
        <v>0</v>
      </c>
      <c r="AC108" s="149">
        <f t="shared" si="20"/>
        <v>0</v>
      </c>
      <c r="AD108" s="125">
        <v>2</v>
      </c>
      <c r="AE108" s="148">
        <f t="shared" si="21"/>
        <v>2</v>
      </c>
      <c r="AF108" s="156"/>
      <c r="AG108" s="156"/>
      <c r="AH108" s="113">
        <f t="shared" si="22"/>
        <v>17</v>
      </c>
      <c r="AI108" s="157">
        <v>65</v>
      </c>
      <c r="AJ108" s="113">
        <f t="shared" si="23"/>
        <v>82</v>
      </c>
      <c r="AK108" s="113">
        <f t="shared" si="24"/>
        <v>82</v>
      </c>
      <c r="AL108" s="158">
        <f t="shared" si="25"/>
        <v>1.02</v>
      </c>
      <c r="AM108" s="159"/>
      <c r="AN108" s="160">
        <f t="shared" si="28"/>
        <v>1</v>
      </c>
      <c r="AO108" s="160">
        <f t="shared" si="28"/>
        <v>2</v>
      </c>
      <c r="AP108" s="133"/>
      <c r="AQ108" s="134"/>
      <c r="AR108" s="161"/>
      <c r="AS108" s="161"/>
      <c r="AT108" s="161"/>
      <c r="AU108" s="161"/>
      <c r="AV108" s="162"/>
      <c r="AW108" s="137">
        <f t="shared" si="26"/>
        <v>0</v>
      </c>
      <c r="AX108" s="137">
        <f t="shared" si="27"/>
        <v>0</v>
      </c>
    </row>
    <row r="109" ht="46.5" customHeight="1" spans="1:50" s="97" customFormat="1" x14ac:dyDescent="0.25">
      <c r="A109" s="100"/>
      <c r="B109" s="100"/>
      <c r="C109" s="100"/>
      <c r="D109" s="100"/>
      <c r="E109" s="100"/>
      <c r="F109" s="100"/>
      <c r="G109" s="103"/>
      <c r="H109" s="186"/>
      <c r="I109" s="195">
        <v>0.51</v>
      </c>
      <c r="J109" s="107">
        <v>0.49</v>
      </c>
      <c r="K109" s="107"/>
      <c r="L109" s="107"/>
      <c r="M109" s="187"/>
      <c r="N109" s="169">
        <f t="shared" si="14"/>
        <v>1</v>
      </c>
      <c r="O109" s="144">
        <v>1</v>
      </c>
      <c r="P109" s="145">
        <v>15</v>
      </c>
      <c r="Q109" s="113">
        <v>15</v>
      </c>
      <c r="R109" s="113"/>
      <c r="S109" s="113"/>
      <c r="T109" s="146"/>
      <c r="U109" s="148">
        <f t="shared" si="17"/>
        <v>15</v>
      </c>
      <c r="V109" s="149">
        <f t="shared" si="18"/>
        <v>15</v>
      </c>
      <c r="W109" s="189"/>
      <c r="X109" s="199"/>
      <c r="Y109" s="151"/>
      <c r="Z109" s="190"/>
      <c r="AA109" s="153"/>
      <c r="AB109" s="154">
        <f t="shared" si="19"/>
        <v>0</v>
      </c>
      <c r="AC109" s="149">
        <f t="shared" si="20"/>
        <v>0</v>
      </c>
      <c r="AD109" s="125">
        <v>2</v>
      </c>
      <c r="AE109" s="148">
        <f t="shared" si="21"/>
        <v>2</v>
      </c>
      <c r="AF109" s="156"/>
      <c r="AG109" s="156"/>
      <c r="AH109" s="113">
        <f t="shared" si="22"/>
        <v>17</v>
      </c>
      <c r="AI109" s="157">
        <v>65</v>
      </c>
      <c r="AJ109" s="113">
        <f t="shared" si="23"/>
        <v>82</v>
      </c>
      <c r="AK109" s="113">
        <f t="shared" si="24"/>
        <v>82</v>
      </c>
      <c r="AL109" s="158">
        <f t="shared" si="25"/>
        <v>1.02</v>
      </c>
      <c r="AM109" s="159"/>
      <c r="AN109" s="160">
        <f t="shared" si="28"/>
        <v>1</v>
      </c>
      <c r="AO109" s="160">
        <f t="shared" si="28"/>
        <v>2</v>
      </c>
      <c r="AP109" s="133"/>
      <c r="AQ109" s="134"/>
      <c r="AR109" s="161"/>
      <c r="AS109" s="161"/>
      <c r="AT109" s="161"/>
      <c r="AU109" s="161"/>
      <c r="AV109" s="162"/>
      <c r="AW109" s="137">
        <f t="shared" si="26"/>
        <v>0</v>
      </c>
      <c r="AX109" s="137">
        <f t="shared" si="27"/>
        <v>0</v>
      </c>
    </row>
    <row r="110" ht="46.5" customHeight="1" spans="1:50" s="97" customFormat="1" x14ac:dyDescent="0.25">
      <c r="A110" s="100"/>
      <c r="B110" s="100"/>
      <c r="C110" s="100"/>
      <c r="D110" s="100"/>
      <c r="E110" s="100"/>
      <c r="F110" s="100"/>
      <c r="G110" s="103"/>
      <c r="H110" s="186"/>
      <c r="I110" s="195">
        <v>0.51</v>
      </c>
      <c r="J110" s="107">
        <v>0.49</v>
      </c>
      <c r="K110" s="107"/>
      <c r="L110" s="107"/>
      <c r="M110" s="187"/>
      <c r="N110" s="169">
        <f t="shared" si="14"/>
        <v>1</v>
      </c>
      <c r="O110" s="144">
        <v>1</v>
      </c>
      <c r="P110" s="145">
        <v>15</v>
      </c>
      <c r="Q110" s="113">
        <v>15</v>
      </c>
      <c r="R110" s="113"/>
      <c r="S110" s="113"/>
      <c r="T110" s="146"/>
      <c r="U110" s="148">
        <f t="shared" si="17"/>
        <v>15</v>
      </c>
      <c r="V110" s="149">
        <f t="shared" si="18"/>
        <v>15</v>
      </c>
      <c r="W110" s="189"/>
      <c r="X110" s="199"/>
      <c r="Y110" s="151"/>
      <c r="Z110" s="190"/>
      <c r="AA110" s="153"/>
      <c r="AB110" s="154">
        <f t="shared" si="19"/>
        <v>0</v>
      </c>
      <c r="AC110" s="149">
        <f t="shared" si="20"/>
        <v>0</v>
      </c>
      <c r="AD110" s="125">
        <v>2</v>
      </c>
      <c r="AE110" s="148">
        <f t="shared" si="21"/>
        <v>2</v>
      </c>
      <c r="AF110" s="156"/>
      <c r="AG110" s="156"/>
      <c r="AH110" s="113">
        <f t="shared" si="22"/>
        <v>17</v>
      </c>
      <c r="AI110" s="157">
        <v>65</v>
      </c>
      <c r="AJ110" s="113">
        <f t="shared" si="23"/>
        <v>82</v>
      </c>
      <c r="AK110" s="113">
        <f t="shared" si="24"/>
        <v>82</v>
      </c>
      <c r="AL110" s="158">
        <f t="shared" si="25"/>
        <v>1.02</v>
      </c>
      <c r="AM110" s="159"/>
      <c r="AN110" s="160">
        <f t="shared" si="28"/>
        <v>1</v>
      </c>
      <c r="AO110" s="160">
        <f t="shared" si="28"/>
        <v>2</v>
      </c>
      <c r="AP110" s="133"/>
      <c r="AQ110" s="134"/>
      <c r="AR110" s="161"/>
      <c r="AS110" s="161"/>
      <c r="AT110" s="161"/>
      <c r="AU110" s="161"/>
      <c r="AV110" s="162"/>
      <c r="AW110" s="137">
        <f t="shared" si="26"/>
        <v>0</v>
      </c>
      <c r="AX110" s="137">
        <f t="shared" si="27"/>
        <v>0</v>
      </c>
    </row>
    <row r="111" ht="46.5" customHeight="1" spans="1:50" s="97" customFormat="1" x14ac:dyDescent="0.25">
      <c r="A111" s="100"/>
      <c r="B111" s="100"/>
      <c r="C111" s="100"/>
      <c r="D111" s="100"/>
      <c r="E111" s="100"/>
      <c r="F111" s="100"/>
      <c r="G111" s="103"/>
      <c r="H111" s="186"/>
      <c r="I111" s="195">
        <v>0.51</v>
      </c>
      <c r="J111" s="107">
        <v>0.49</v>
      </c>
      <c r="K111" s="107"/>
      <c r="L111" s="107"/>
      <c r="M111" s="187"/>
      <c r="N111" s="169">
        <f t="shared" si="14"/>
        <v>1</v>
      </c>
      <c r="O111" s="144">
        <v>1</v>
      </c>
      <c r="P111" s="145">
        <v>15</v>
      </c>
      <c r="Q111" s="113">
        <v>15</v>
      </c>
      <c r="R111" s="113"/>
      <c r="S111" s="113"/>
      <c r="T111" s="146"/>
      <c r="U111" s="148">
        <f t="shared" si="17"/>
        <v>15</v>
      </c>
      <c r="V111" s="149">
        <f t="shared" si="18"/>
        <v>15</v>
      </c>
      <c r="W111" s="189"/>
      <c r="X111" s="199"/>
      <c r="Y111" s="151"/>
      <c r="Z111" s="190"/>
      <c r="AA111" s="153"/>
      <c r="AB111" s="154">
        <f t="shared" si="19"/>
        <v>0</v>
      </c>
      <c r="AC111" s="149">
        <f t="shared" si="20"/>
        <v>0</v>
      </c>
      <c r="AD111" s="125">
        <v>2</v>
      </c>
      <c r="AE111" s="148">
        <f t="shared" si="21"/>
        <v>2</v>
      </c>
      <c r="AF111" s="156"/>
      <c r="AG111" s="156"/>
      <c r="AH111" s="113">
        <f t="shared" si="22"/>
        <v>17</v>
      </c>
      <c r="AI111" s="157">
        <v>65</v>
      </c>
      <c r="AJ111" s="113">
        <f t="shared" si="23"/>
        <v>82</v>
      </c>
      <c r="AK111" s="113">
        <f t="shared" si="24"/>
        <v>82</v>
      </c>
      <c r="AL111" s="158">
        <f t="shared" si="25"/>
        <v>1.02</v>
      </c>
      <c r="AM111" s="159"/>
      <c r="AN111" s="160">
        <f t="shared" si="28"/>
        <v>1</v>
      </c>
      <c r="AO111" s="160">
        <f t="shared" si="28"/>
        <v>2</v>
      </c>
      <c r="AP111" s="133"/>
      <c r="AQ111" s="134"/>
      <c r="AR111" s="161"/>
      <c r="AS111" s="161"/>
      <c r="AT111" s="161"/>
      <c r="AU111" s="161"/>
      <c r="AV111" s="162"/>
      <c r="AW111" s="137">
        <f t="shared" si="26"/>
        <v>0</v>
      </c>
      <c r="AX111" s="137">
        <f t="shared" si="27"/>
        <v>0</v>
      </c>
    </row>
    <row r="112" ht="46.5" customHeight="1" spans="1:50" s="97" customFormat="1" x14ac:dyDescent="0.25">
      <c r="A112" s="100"/>
      <c r="B112" s="100"/>
      <c r="C112" s="100"/>
      <c r="D112" s="100"/>
      <c r="E112" s="100"/>
      <c r="F112" s="100"/>
      <c r="G112" s="103"/>
      <c r="H112" s="186"/>
      <c r="I112" s="195">
        <v>0.51</v>
      </c>
      <c r="J112" s="107">
        <v>0.49</v>
      </c>
      <c r="K112" s="107"/>
      <c r="L112" s="107"/>
      <c r="M112" s="187"/>
      <c r="N112" s="169">
        <f t="shared" si="14"/>
        <v>1</v>
      </c>
      <c r="O112" s="144">
        <v>1</v>
      </c>
      <c r="P112" s="145">
        <v>15</v>
      </c>
      <c r="Q112" s="113">
        <v>15</v>
      </c>
      <c r="R112" s="113"/>
      <c r="S112" s="113"/>
      <c r="T112" s="146"/>
      <c r="U112" s="148">
        <f t="shared" si="17"/>
        <v>15</v>
      </c>
      <c r="V112" s="149">
        <f t="shared" si="18"/>
        <v>15</v>
      </c>
      <c r="W112" s="189"/>
      <c r="X112" s="199"/>
      <c r="Y112" s="151"/>
      <c r="Z112" s="190"/>
      <c r="AA112" s="153"/>
      <c r="AB112" s="154">
        <f t="shared" si="19"/>
        <v>0</v>
      </c>
      <c r="AC112" s="149">
        <f t="shared" si="20"/>
        <v>0</v>
      </c>
      <c r="AD112" s="125">
        <v>2</v>
      </c>
      <c r="AE112" s="148">
        <f t="shared" si="21"/>
        <v>2</v>
      </c>
      <c r="AF112" s="156"/>
      <c r="AG112" s="156"/>
      <c r="AH112" s="113">
        <f t="shared" si="22"/>
        <v>17</v>
      </c>
      <c r="AI112" s="157">
        <v>65</v>
      </c>
      <c r="AJ112" s="113">
        <f t="shared" si="23"/>
        <v>82</v>
      </c>
      <c r="AK112" s="113">
        <f t="shared" si="24"/>
        <v>82</v>
      </c>
      <c r="AL112" s="158">
        <f t="shared" si="25"/>
        <v>1.02</v>
      </c>
      <c r="AM112" s="159"/>
      <c r="AN112" s="160">
        <f t="shared" si="28"/>
        <v>1</v>
      </c>
      <c r="AO112" s="160">
        <f t="shared" si="28"/>
        <v>2</v>
      </c>
      <c r="AP112" s="133"/>
      <c r="AQ112" s="134"/>
      <c r="AR112" s="161"/>
      <c r="AS112" s="161"/>
      <c r="AT112" s="161"/>
      <c r="AU112" s="161"/>
      <c r="AV112" s="162"/>
      <c r="AW112" s="137">
        <f t="shared" si="26"/>
        <v>0</v>
      </c>
      <c r="AX112" s="137">
        <f t="shared" si="27"/>
        <v>0</v>
      </c>
    </row>
    <row r="113" ht="47.25" customHeight="1" spans="1:50" s="56" customFormat="1" x14ac:dyDescent="0.25">
      <c r="A113" s="100"/>
      <c r="B113" s="100"/>
      <c r="C113" s="100"/>
      <c r="D113" s="100"/>
      <c r="E113" s="100"/>
      <c r="F113" s="100"/>
      <c r="G113" s="103"/>
      <c r="H113" s="186"/>
      <c r="I113" s="195">
        <v>0.51</v>
      </c>
      <c r="J113" s="107">
        <v>0.49</v>
      </c>
      <c r="K113" s="107"/>
      <c r="L113" s="107"/>
      <c r="M113" s="187"/>
      <c r="N113" s="169">
        <f t="shared" ref="N113:N142" si="29">SUM(I113:M113)</f>
        <v>1</v>
      </c>
      <c r="O113" s="144">
        <v>1</v>
      </c>
      <c r="P113" s="145">
        <v>15</v>
      </c>
      <c r="Q113" s="113">
        <v>15</v>
      </c>
      <c r="R113" s="113"/>
      <c r="S113" s="113"/>
      <c r="T113" s="146"/>
      <c r="U113" s="148">
        <f t="shared" si="17"/>
        <v>15</v>
      </c>
      <c r="V113" s="149">
        <f t="shared" si="18"/>
        <v>15</v>
      </c>
      <c r="W113" s="189"/>
      <c r="X113" s="199"/>
      <c r="Y113" s="151"/>
      <c r="Z113" s="190"/>
      <c r="AA113" s="153"/>
      <c r="AB113" s="154">
        <f t="shared" si="19"/>
        <v>0</v>
      </c>
      <c r="AC113" s="149">
        <f t="shared" si="20"/>
        <v>0</v>
      </c>
      <c r="AD113" s="125">
        <v>2</v>
      </c>
      <c r="AE113" s="148">
        <f t="shared" si="21"/>
        <v>2</v>
      </c>
      <c r="AF113" s="156"/>
      <c r="AG113" s="156"/>
      <c r="AH113" s="113">
        <f t="shared" si="22"/>
        <v>17</v>
      </c>
      <c r="AI113" s="157">
        <v>65</v>
      </c>
      <c r="AJ113" s="113">
        <f t="shared" si="23"/>
        <v>82</v>
      </c>
      <c r="AK113" s="113">
        <f t="shared" si="24"/>
        <v>82</v>
      </c>
      <c r="AL113" s="158">
        <f t="shared" si="25"/>
        <v>1.02</v>
      </c>
      <c r="AM113" s="159"/>
      <c r="AN113" s="160">
        <f t="shared" si="28"/>
        <v>1</v>
      </c>
      <c r="AO113" s="160">
        <f t="shared" si="28"/>
        <v>2</v>
      </c>
      <c r="AP113" s="133"/>
      <c r="AQ113" s="134"/>
      <c r="AR113" s="161"/>
      <c r="AS113" s="161"/>
      <c r="AT113" s="161"/>
      <c r="AU113" s="161"/>
      <c r="AV113" s="162"/>
      <c r="AW113" s="137">
        <f t="shared" si="26"/>
        <v>0</v>
      </c>
      <c r="AX113" s="137">
        <f t="shared" si="27"/>
        <v>0</v>
      </c>
    </row>
    <row r="114" ht="57" customHeight="1" spans="1:50" s="97" customFormat="1" x14ac:dyDescent="0.25">
      <c r="A114" s="100"/>
      <c r="B114" s="100"/>
      <c r="C114" s="100"/>
      <c r="D114" s="100"/>
      <c r="E114" s="100"/>
      <c r="F114" s="100"/>
      <c r="G114" s="103"/>
      <c r="H114" s="186"/>
      <c r="I114" s="195">
        <v>0.51</v>
      </c>
      <c r="J114" s="107">
        <v>0.49</v>
      </c>
      <c r="K114" s="107"/>
      <c r="L114" s="107"/>
      <c r="M114" s="187"/>
      <c r="N114" s="169">
        <f t="shared" si="29"/>
        <v>1</v>
      </c>
      <c r="O114" s="144">
        <v>1</v>
      </c>
      <c r="P114" s="145">
        <v>15</v>
      </c>
      <c r="Q114" s="113">
        <v>15</v>
      </c>
      <c r="R114" s="113"/>
      <c r="S114" s="113"/>
      <c r="T114" s="146"/>
      <c r="U114" s="148">
        <f t="shared" si="17"/>
        <v>15</v>
      </c>
      <c r="V114" s="149">
        <f t="shared" si="18"/>
        <v>15</v>
      </c>
      <c r="W114" s="189"/>
      <c r="X114" s="199"/>
      <c r="Y114" s="151"/>
      <c r="Z114" s="190"/>
      <c r="AA114" s="153"/>
      <c r="AB114" s="154">
        <f t="shared" si="19"/>
        <v>0</v>
      </c>
      <c r="AC114" s="149">
        <f t="shared" si="20"/>
        <v>0</v>
      </c>
      <c r="AD114" s="125">
        <v>2</v>
      </c>
      <c r="AE114" s="148">
        <f t="shared" si="21"/>
        <v>2</v>
      </c>
      <c r="AF114" s="156"/>
      <c r="AG114" s="156"/>
      <c r="AH114" s="113">
        <f t="shared" si="22"/>
        <v>17</v>
      </c>
      <c r="AI114" s="157">
        <v>65</v>
      </c>
      <c r="AJ114" s="113">
        <f t="shared" si="23"/>
        <v>82</v>
      </c>
      <c r="AK114" s="113">
        <f t="shared" si="24"/>
        <v>82</v>
      </c>
      <c r="AL114" s="158">
        <f t="shared" si="25"/>
        <v>1.02</v>
      </c>
      <c r="AM114" s="159"/>
      <c r="AN114" s="160">
        <f t="shared" si="28"/>
        <v>1</v>
      </c>
      <c r="AO114" s="160">
        <f t="shared" si="28"/>
        <v>2</v>
      </c>
      <c r="AP114" s="133"/>
      <c r="AQ114" s="134"/>
      <c r="AR114" s="161"/>
      <c r="AS114" s="161"/>
      <c r="AT114" s="161"/>
      <c r="AU114" s="161"/>
      <c r="AV114" s="162"/>
      <c r="AW114" s="137">
        <f t="shared" si="26"/>
        <v>0</v>
      </c>
      <c r="AX114" s="137">
        <f t="shared" si="27"/>
        <v>0</v>
      </c>
    </row>
    <row r="115" ht="46.5" customHeight="1" spans="1:50" s="97" customFormat="1" x14ac:dyDescent="0.25">
      <c r="A115" s="100"/>
      <c r="B115" s="100"/>
      <c r="C115" s="100"/>
      <c r="D115" s="100"/>
      <c r="E115" s="100"/>
      <c r="F115" s="100"/>
      <c r="G115" s="103"/>
      <c r="H115" s="186"/>
      <c r="I115" s="195">
        <v>0.51</v>
      </c>
      <c r="J115" s="107">
        <v>0.49</v>
      </c>
      <c r="K115" s="107"/>
      <c r="L115" s="107"/>
      <c r="M115" s="187"/>
      <c r="N115" s="169">
        <f t="shared" si="29"/>
        <v>1</v>
      </c>
      <c r="O115" s="144">
        <v>1</v>
      </c>
      <c r="P115" s="145">
        <v>15</v>
      </c>
      <c r="Q115" s="113">
        <v>15</v>
      </c>
      <c r="R115" s="113"/>
      <c r="S115" s="113"/>
      <c r="T115" s="146"/>
      <c r="U115" s="148">
        <f t="shared" si="17"/>
        <v>15</v>
      </c>
      <c r="V115" s="149">
        <f t="shared" si="18"/>
        <v>15</v>
      </c>
      <c r="W115" s="189"/>
      <c r="X115" s="199"/>
      <c r="Y115" s="151"/>
      <c r="Z115" s="190"/>
      <c r="AA115" s="153"/>
      <c r="AB115" s="154">
        <f t="shared" si="19"/>
        <v>0</v>
      </c>
      <c r="AC115" s="149">
        <f t="shared" si="20"/>
        <v>0</v>
      </c>
      <c r="AD115" s="125">
        <v>2</v>
      </c>
      <c r="AE115" s="148">
        <f t="shared" si="21"/>
        <v>2</v>
      </c>
      <c r="AF115" s="156"/>
      <c r="AG115" s="156"/>
      <c r="AH115" s="113">
        <f t="shared" si="22"/>
        <v>17</v>
      </c>
      <c r="AI115" s="157">
        <v>65</v>
      </c>
      <c r="AJ115" s="113">
        <f t="shared" si="23"/>
        <v>82</v>
      </c>
      <c r="AK115" s="113">
        <f t="shared" si="24"/>
        <v>82</v>
      </c>
      <c r="AL115" s="158">
        <f t="shared" si="25"/>
        <v>1.02</v>
      </c>
      <c r="AM115" s="159"/>
      <c r="AN115" s="160">
        <f t="shared" si="28"/>
        <v>1</v>
      </c>
      <c r="AO115" s="160">
        <f t="shared" si="28"/>
        <v>2</v>
      </c>
      <c r="AP115" s="133"/>
      <c r="AQ115" s="134"/>
      <c r="AR115" s="161"/>
      <c r="AS115" s="161"/>
      <c r="AT115" s="161"/>
      <c r="AU115" s="161"/>
      <c r="AV115" s="162"/>
      <c r="AW115" s="137">
        <f t="shared" si="26"/>
        <v>0</v>
      </c>
      <c r="AX115" s="137">
        <f t="shared" si="27"/>
        <v>0</v>
      </c>
    </row>
    <row r="116" ht="47.25" customHeight="1" spans="1:50" s="56" customFormat="1" x14ac:dyDescent="0.25">
      <c r="A116" s="100"/>
      <c r="B116" s="100"/>
      <c r="C116" s="100"/>
      <c r="D116" s="100"/>
      <c r="E116" s="100"/>
      <c r="F116" s="100"/>
      <c r="G116" s="103"/>
      <c r="H116" s="186"/>
      <c r="I116" s="195">
        <v>0.51</v>
      </c>
      <c r="J116" s="107">
        <v>0.49</v>
      </c>
      <c r="K116" s="107"/>
      <c r="L116" s="107"/>
      <c r="M116" s="187"/>
      <c r="N116" s="169">
        <f t="shared" si="29"/>
        <v>1</v>
      </c>
      <c r="O116" s="144">
        <v>1</v>
      </c>
      <c r="P116" s="145">
        <v>15</v>
      </c>
      <c r="Q116" s="113">
        <v>15</v>
      </c>
      <c r="R116" s="113"/>
      <c r="S116" s="113"/>
      <c r="T116" s="146"/>
      <c r="U116" s="148">
        <f t="shared" si="17"/>
        <v>15</v>
      </c>
      <c r="V116" s="149">
        <f t="shared" si="18"/>
        <v>15</v>
      </c>
      <c r="W116" s="189"/>
      <c r="X116" s="199"/>
      <c r="Y116" s="151"/>
      <c r="Z116" s="190"/>
      <c r="AA116" s="153"/>
      <c r="AB116" s="154">
        <f t="shared" si="19"/>
        <v>0</v>
      </c>
      <c r="AC116" s="149">
        <f t="shared" si="20"/>
        <v>0</v>
      </c>
      <c r="AD116" s="125">
        <v>2</v>
      </c>
      <c r="AE116" s="148">
        <f t="shared" si="21"/>
        <v>2</v>
      </c>
      <c r="AF116" s="156"/>
      <c r="AG116" s="156"/>
      <c r="AH116" s="113">
        <f t="shared" si="22"/>
        <v>17</v>
      </c>
      <c r="AI116" s="157">
        <v>65</v>
      </c>
      <c r="AJ116" s="113">
        <f t="shared" si="23"/>
        <v>82</v>
      </c>
      <c r="AK116" s="113">
        <f t="shared" si="24"/>
        <v>82</v>
      </c>
      <c r="AL116" s="158">
        <f t="shared" si="25"/>
        <v>1.02</v>
      </c>
      <c r="AM116" s="159"/>
      <c r="AN116" s="160">
        <f t="shared" si="28"/>
        <v>1</v>
      </c>
      <c r="AO116" s="160">
        <f t="shared" si="28"/>
        <v>2</v>
      </c>
      <c r="AP116" s="133"/>
      <c r="AQ116" s="134"/>
      <c r="AR116" s="161"/>
      <c r="AS116" s="161"/>
      <c r="AT116" s="161"/>
      <c r="AU116" s="161"/>
      <c r="AV116" s="162"/>
      <c r="AW116" s="137">
        <f t="shared" si="26"/>
        <v>0</v>
      </c>
      <c r="AX116" s="137">
        <f t="shared" si="27"/>
        <v>0</v>
      </c>
    </row>
    <row r="117" ht="46.5" customHeight="1" spans="1:50" s="97" customFormat="1" x14ac:dyDescent="0.25">
      <c r="A117" s="100"/>
      <c r="B117" s="100"/>
      <c r="C117" s="100"/>
      <c r="D117" s="100"/>
      <c r="E117" s="100"/>
      <c r="F117" s="100"/>
      <c r="G117" s="103"/>
      <c r="H117" s="186"/>
      <c r="I117" s="195">
        <v>0.51</v>
      </c>
      <c r="J117" s="107">
        <v>0.49</v>
      </c>
      <c r="K117" s="107"/>
      <c r="L117" s="107"/>
      <c r="M117" s="187"/>
      <c r="N117" s="169">
        <f t="shared" si="29"/>
        <v>1</v>
      </c>
      <c r="O117" s="144">
        <v>1</v>
      </c>
      <c r="P117" s="145">
        <v>15</v>
      </c>
      <c r="Q117" s="113">
        <v>15</v>
      </c>
      <c r="R117" s="113"/>
      <c r="S117" s="113"/>
      <c r="T117" s="146"/>
      <c r="U117" s="148">
        <f t="shared" si="17"/>
        <v>15</v>
      </c>
      <c r="V117" s="149">
        <f t="shared" si="18"/>
        <v>15</v>
      </c>
      <c r="W117" s="189"/>
      <c r="X117" s="199"/>
      <c r="Y117" s="151"/>
      <c r="Z117" s="190"/>
      <c r="AA117" s="153"/>
      <c r="AB117" s="154">
        <f t="shared" si="19"/>
        <v>0</v>
      </c>
      <c r="AC117" s="149">
        <f t="shared" si="20"/>
        <v>0</v>
      </c>
      <c r="AD117" s="125">
        <v>2</v>
      </c>
      <c r="AE117" s="148">
        <f t="shared" si="21"/>
        <v>2</v>
      </c>
      <c r="AF117" s="156"/>
      <c r="AG117" s="156"/>
      <c r="AH117" s="113">
        <f t="shared" si="22"/>
        <v>17</v>
      </c>
      <c r="AI117" s="157">
        <v>65</v>
      </c>
      <c r="AJ117" s="113">
        <f t="shared" si="23"/>
        <v>82</v>
      </c>
      <c r="AK117" s="113">
        <f t="shared" si="24"/>
        <v>82</v>
      </c>
      <c r="AL117" s="158">
        <f t="shared" si="25"/>
        <v>1.02</v>
      </c>
      <c r="AM117" s="159"/>
      <c r="AN117" s="160">
        <f t="shared" ref="AN117:AO136" si="30">100%+AM117</f>
        <v>1</v>
      </c>
      <c r="AO117" s="160">
        <f t="shared" si="30"/>
        <v>2</v>
      </c>
      <c r="AP117" s="133"/>
      <c r="AQ117" s="134"/>
      <c r="AR117" s="161"/>
      <c r="AS117" s="161"/>
      <c r="AT117" s="161"/>
      <c r="AU117" s="161"/>
      <c r="AV117" s="162"/>
      <c r="AW117" s="137">
        <f t="shared" si="26"/>
        <v>0</v>
      </c>
      <c r="AX117" s="137">
        <f t="shared" si="27"/>
        <v>0</v>
      </c>
    </row>
    <row r="118" ht="46.5" customHeight="1" spans="1:50" s="97" customFormat="1" x14ac:dyDescent="0.25">
      <c r="A118" s="100"/>
      <c r="B118" s="100"/>
      <c r="C118" s="100"/>
      <c r="D118" s="100"/>
      <c r="E118" s="100"/>
      <c r="F118" s="100"/>
      <c r="G118" s="103"/>
      <c r="H118" s="186"/>
      <c r="I118" s="195">
        <v>0.51</v>
      </c>
      <c r="J118" s="107">
        <v>0.49</v>
      </c>
      <c r="K118" s="107"/>
      <c r="L118" s="107"/>
      <c r="M118" s="187"/>
      <c r="N118" s="169">
        <f t="shared" si="29"/>
        <v>1</v>
      </c>
      <c r="O118" s="144">
        <v>1</v>
      </c>
      <c r="P118" s="145">
        <v>15</v>
      </c>
      <c r="Q118" s="113">
        <v>15</v>
      </c>
      <c r="R118" s="113"/>
      <c r="S118" s="113"/>
      <c r="T118" s="146"/>
      <c r="U118" s="148">
        <f t="shared" si="17"/>
        <v>15</v>
      </c>
      <c r="V118" s="149">
        <f t="shared" si="18"/>
        <v>15</v>
      </c>
      <c r="W118" s="189"/>
      <c r="X118" s="199"/>
      <c r="Y118" s="151"/>
      <c r="Z118" s="190"/>
      <c r="AA118" s="153"/>
      <c r="AB118" s="154">
        <f t="shared" si="19"/>
        <v>0</v>
      </c>
      <c r="AC118" s="149">
        <f t="shared" si="20"/>
        <v>0</v>
      </c>
      <c r="AD118" s="125">
        <v>2</v>
      </c>
      <c r="AE118" s="148">
        <f t="shared" si="21"/>
        <v>2</v>
      </c>
      <c r="AF118" s="156"/>
      <c r="AG118" s="156"/>
      <c r="AH118" s="113">
        <f t="shared" si="22"/>
        <v>17</v>
      </c>
      <c r="AI118" s="157">
        <v>65</v>
      </c>
      <c r="AJ118" s="113">
        <f t="shared" si="23"/>
        <v>82</v>
      </c>
      <c r="AK118" s="113">
        <f t="shared" si="24"/>
        <v>82</v>
      </c>
      <c r="AL118" s="158">
        <f t="shared" si="25"/>
        <v>1.02</v>
      </c>
      <c r="AM118" s="159"/>
      <c r="AN118" s="160">
        <f t="shared" si="30"/>
        <v>1</v>
      </c>
      <c r="AO118" s="160">
        <f t="shared" si="30"/>
        <v>2</v>
      </c>
      <c r="AP118" s="133"/>
      <c r="AQ118" s="134"/>
      <c r="AR118" s="161"/>
      <c r="AS118" s="161"/>
      <c r="AT118" s="161"/>
      <c r="AU118" s="161"/>
      <c r="AV118" s="162"/>
      <c r="AW118" s="137">
        <f t="shared" si="26"/>
        <v>0</v>
      </c>
      <c r="AX118" s="137">
        <f t="shared" si="27"/>
        <v>0</v>
      </c>
    </row>
    <row r="119" ht="46.5" customHeight="1" spans="1:50" s="97" customFormat="1" x14ac:dyDescent="0.25">
      <c r="A119" s="100"/>
      <c r="B119" s="100"/>
      <c r="C119" s="100"/>
      <c r="D119" s="100"/>
      <c r="E119" s="100"/>
      <c r="F119" s="100"/>
      <c r="G119" s="103"/>
      <c r="H119" s="186"/>
      <c r="I119" s="195">
        <v>0.51</v>
      </c>
      <c r="J119" s="107">
        <v>0.49</v>
      </c>
      <c r="K119" s="107"/>
      <c r="L119" s="107"/>
      <c r="M119" s="187"/>
      <c r="N119" s="169">
        <f t="shared" si="29"/>
        <v>1</v>
      </c>
      <c r="O119" s="144">
        <v>1</v>
      </c>
      <c r="P119" s="145">
        <v>15</v>
      </c>
      <c r="Q119" s="113">
        <v>15</v>
      </c>
      <c r="R119" s="113"/>
      <c r="S119" s="113"/>
      <c r="T119" s="146"/>
      <c r="U119" s="148">
        <f t="shared" si="17"/>
        <v>15</v>
      </c>
      <c r="V119" s="149">
        <f t="shared" si="18"/>
        <v>15</v>
      </c>
      <c r="W119" s="189"/>
      <c r="X119" s="199"/>
      <c r="Y119" s="151"/>
      <c r="Z119" s="190"/>
      <c r="AA119" s="153"/>
      <c r="AB119" s="154">
        <f t="shared" si="19"/>
        <v>0</v>
      </c>
      <c r="AC119" s="149">
        <f t="shared" si="20"/>
        <v>0</v>
      </c>
      <c r="AD119" s="125">
        <v>2</v>
      </c>
      <c r="AE119" s="148">
        <f t="shared" si="21"/>
        <v>2</v>
      </c>
      <c r="AF119" s="156"/>
      <c r="AG119" s="156"/>
      <c r="AH119" s="113">
        <f t="shared" si="22"/>
        <v>17</v>
      </c>
      <c r="AI119" s="157">
        <v>65</v>
      </c>
      <c r="AJ119" s="113">
        <f t="shared" si="23"/>
        <v>82</v>
      </c>
      <c r="AK119" s="113">
        <f t="shared" si="24"/>
        <v>82</v>
      </c>
      <c r="AL119" s="158">
        <f t="shared" si="25"/>
        <v>1.02</v>
      </c>
      <c r="AM119" s="159"/>
      <c r="AN119" s="160">
        <f t="shared" si="30"/>
        <v>1</v>
      </c>
      <c r="AO119" s="160">
        <f t="shared" si="30"/>
        <v>2</v>
      </c>
      <c r="AP119" s="133"/>
      <c r="AQ119" s="134"/>
      <c r="AR119" s="161"/>
      <c r="AS119" s="161"/>
      <c r="AT119" s="161"/>
      <c r="AU119" s="161"/>
      <c r="AV119" s="162"/>
      <c r="AW119" s="137">
        <f t="shared" si="26"/>
        <v>0</v>
      </c>
      <c r="AX119" s="137">
        <f t="shared" si="27"/>
        <v>0</v>
      </c>
    </row>
    <row r="120" ht="53.25" customHeight="1" spans="1:50" s="97" customFormat="1" x14ac:dyDescent="0.25">
      <c r="A120" s="100"/>
      <c r="B120" s="100"/>
      <c r="C120" s="100"/>
      <c r="D120" s="100"/>
      <c r="E120" s="100"/>
      <c r="F120" s="100"/>
      <c r="G120" s="103"/>
      <c r="H120" s="186"/>
      <c r="I120" s="195">
        <v>0.51</v>
      </c>
      <c r="J120" s="107">
        <v>0.49</v>
      </c>
      <c r="K120" s="107"/>
      <c r="L120" s="107"/>
      <c r="M120" s="187"/>
      <c r="N120" s="169">
        <f t="shared" si="29"/>
        <v>1</v>
      </c>
      <c r="O120" s="144">
        <v>1</v>
      </c>
      <c r="P120" s="145">
        <v>15</v>
      </c>
      <c r="Q120" s="113">
        <v>15</v>
      </c>
      <c r="R120" s="113"/>
      <c r="S120" s="113"/>
      <c r="T120" s="146"/>
      <c r="U120" s="148">
        <f t="shared" si="17"/>
        <v>15</v>
      </c>
      <c r="V120" s="149">
        <f t="shared" si="18"/>
        <v>15</v>
      </c>
      <c r="W120" s="189"/>
      <c r="X120" s="199"/>
      <c r="Y120" s="151"/>
      <c r="Z120" s="190"/>
      <c r="AA120" s="153"/>
      <c r="AB120" s="154">
        <f t="shared" si="19"/>
        <v>0</v>
      </c>
      <c r="AC120" s="149">
        <f t="shared" si="20"/>
        <v>0</v>
      </c>
      <c r="AD120" s="125">
        <v>2</v>
      </c>
      <c r="AE120" s="148">
        <f t="shared" si="21"/>
        <v>2</v>
      </c>
      <c r="AF120" s="156"/>
      <c r="AG120" s="156"/>
      <c r="AH120" s="113">
        <f t="shared" si="22"/>
        <v>17</v>
      </c>
      <c r="AI120" s="157">
        <v>65</v>
      </c>
      <c r="AJ120" s="113">
        <f t="shared" si="23"/>
        <v>82</v>
      </c>
      <c r="AK120" s="113">
        <f t="shared" si="24"/>
        <v>82</v>
      </c>
      <c r="AL120" s="158">
        <f t="shared" si="25"/>
        <v>1.02</v>
      </c>
      <c r="AM120" s="159"/>
      <c r="AN120" s="160">
        <f t="shared" si="30"/>
        <v>1</v>
      </c>
      <c r="AO120" s="160">
        <f t="shared" si="30"/>
        <v>2</v>
      </c>
      <c r="AP120" s="133"/>
      <c r="AQ120" s="134"/>
      <c r="AR120" s="161"/>
      <c r="AS120" s="161"/>
      <c r="AT120" s="161"/>
      <c r="AU120" s="161"/>
      <c r="AV120" s="162"/>
      <c r="AW120" s="137">
        <f t="shared" si="26"/>
        <v>0</v>
      </c>
      <c r="AX120" s="137">
        <f t="shared" si="27"/>
        <v>0</v>
      </c>
    </row>
    <row r="121" ht="46.5" customHeight="1" spans="1:50" s="97" customFormat="1" x14ac:dyDescent="0.25">
      <c r="A121" s="100"/>
      <c r="B121" s="100"/>
      <c r="C121" s="100"/>
      <c r="D121" s="100"/>
      <c r="E121" s="100"/>
      <c r="F121" s="100"/>
      <c r="G121" s="103"/>
      <c r="H121" s="186"/>
      <c r="I121" s="195">
        <v>0.51</v>
      </c>
      <c r="J121" s="107">
        <v>0.49</v>
      </c>
      <c r="K121" s="107"/>
      <c r="L121" s="107"/>
      <c r="M121" s="187"/>
      <c r="N121" s="169">
        <f t="shared" si="29"/>
        <v>1</v>
      </c>
      <c r="O121" s="144">
        <v>1</v>
      </c>
      <c r="P121" s="145">
        <v>15</v>
      </c>
      <c r="Q121" s="113">
        <v>15</v>
      </c>
      <c r="R121" s="113"/>
      <c r="S121" s="113"/>
      <c r="T121" s="146"/>
      <c r="U121" s="148">
        <f t="shared" si="17"/>
        <v>15</v>
      </c>
      <c r="V121" s="149">
        <f t="shared" si="18"/>
        <v>15</v>
      </c>
      <c r="W121" s="189"/>
      <c r="X121" s="199"/>
      <c r="Y121" s="151"/>
      <c r="Z121" s="190"/>
      <c r="AA121" s="153"/>
      <c r="AB121" s="154">
        <f t="shared" si="19"/>
        <v>0</v>
      </c>
      <c r="AC121" s="149">
        <f t="shared" si="20"/>
        <v>0</v>
      </c>
      <c r="AD121" s="125">
        <v>2</v>
      </c>
      <c r="AE121" s="148">
        <f t="shared" si="21"/>
        <v>2</v>
      </c>
      <c r="AF121" s="156"/>
      <c r="AG121" s="156"/>
      <c r="AH121" s="113">
        <f t="shared" si="22"/>
        <v>17</v>
      </c>
      <c r="AI121" s="157">
        <v>65</v>
      </c>
      <c r="AJ121" s="113">
        <f t="shared" si="23"/>
        <v>82</v>
      </c>
      <c r="AK121" s="113">
        <f t="shared" si="24"/>
        <v>82</v>
      </c>
      <c r="AL121" s="158">
        <f t="shared" si="25"/>
        <v>1.02</v>
      </c>
      <c r="AM121" s="159"/>
      <c r="AN121" s="160">
        <f t="shared" si="30"/>
        <v>1</v>
      </c>
      <c r="AO121" s="160">
        <f t="shared" si="30"/>
        <v>2</v>
      </c>
      <c r="AP121" s="133"/>
      <c r="AQ121" s="134"/>
      <c r="AR121" s="161"/>
      <c r="AS121" s="161"/>
      <c r="AT121" s="161"/>
      <c r="AU121" s="161"/>
      <c r="AV121" s="162"/>
      <c r="AW121" s="137">
        <f t="shared" si="26"/>
        <v>0</v>
      </c>
      <c r="AX121" s="137">
        <f t="shared" si="27"/>
        <v>0</v>
      </c>
    </row>
    <row r="122" ht="46.5" customHeight="1" spans="1:50" s="97" customFormat="1" x14ac:dyDescent="0.25">
      <c r="A122" s="100"/>
      <c r="B122" s="100"/>
      <c r="C122" s="100"/>
      <c r="D122" s="100"/>
      <c r="E122" s="100"/>
      <c r="F122" s="100"/>
      <c r="G122" s="103"/>
      <c r="H122" s="186"/>
      <c r="I122" s="195">
        <v>0.51</v>
      </c>
      <c r="J122" s="107">
        <v>0.49</v>
      </c>
      <c r="K122" s="107"/>
      <c r="L122" s="107"/>
      <c r="M122" s="187"/>
      <c r="N122" s="169">
        <f t="shared" si="29"/>
        <v>1</v>
      </c>
      <c r="O122" s="144">
        <v>1</v>
      </c>
      <c r="P122" s="145">
        <v>15</v>
      </c>
      <c r="Q122" s="113">
        <v>15</v>
      </c>
      <c r="R122" s="113"/>
      <c r="S122" s="113"/>
      <c r="T122" s="146"/>
      <c r="U122" s="148">
        <f t="shared" si="17"/>
        <v>15</v>
      </c>
      <c r="V122" s="149">
        <f t="shared" si="18"/>
        <v>15</v>
      </c>
      <c r="W122" s="189"/>
      <c r="X122" s="199"/>
      <c r="Y122" s="151"/>
      <c r="Z122" s="190"/>
      <c r="AA122" s="153"/>
      <c r="AB122" s="154">
        <f t="shared" si="19"/>
        <v>0</v>
      </c>
      <c r="AC122" s="149">
        <f t="shared" si="20"/>
        <v>0</v>
      </c>
      <c r="AD122" s="125">
        <v>2</v>
      </c>
      <c r="AE122" s="148">
        <f t="shared" si="21"/>
        <v>2</v>
      </c>
      <c r="AF122" s="156"/>
      <c r="AG122" s="156"/>
      <c r="AH122" s="113">
        <f t="shared" si="22"/>
        <v>17</v>
      </c>
      <c r="AI122" s="157">
        <v>65</v>
      </c>
      <c r="AJ122" s="113">
        <f t="shared" si="23"/>
        <v>82</v>
      </c>
      <c r="AK122" s="113">
        <f t="shared" si="24"/>
        <v>82</v>
      </c>
      <c r="AL122" s="158">
        <f t="shared" si="25"/>
        <v>1.02</v>
      </c>
      <c r="AM122" s="159"/>
      <c r="AN122" s="160">
        <f t="shared" si="30"/>
        <v>1</v>
      </c>
      <c r="AO122" s="160">
        <f t="shared" si="30"/>
        <v>2</v>
      </c>
      <c r="AP122" s="133"/>
      <c r="AQ122" s="134"/>
      <c r="AR122" s="161"/>
      <c r="AS122" s="161"/>
      <c r="AT122" s="161"/>
      <c r="AU122" s="161"/>
      <c r="AV122" s="162"/>
      <c r="AW122" s="137">
        <f t="shared" si="26"/>
        <v>0</v>
      </c>
      <c r="AX122" s="137">
        <f t="shared" si="27"/>
        <v>0</v>
      </c>
    </row>
    <row r="123" ht="46.5" customHeight="1" spans="1:50" s="97" customFormat="1" x14ac:dyDescent="0.25">
      <c r="A123" s="100"/>
      <c r="B123" s="100"/>
      <c r="C123" s="100"/>
      <c r="D123" s="100"/>
      <c r="E123" s="100"/>
      <c r="F123" s="100"/>
      <c r="G123" s="103"/>
      <c r="H123" s="186"/>
      <c r="I123" s="195">
        <v>0.51</v>
      </c>
      <c r="J123" s="107">
        <v>0.49</v>
      </c>
      <c r="K123" s="107"/>
      <c r="L123" s="107"/>
      <c r="M123" s="187"/>
      <c r="N123" s="169">
        <f t="shared" si="29"/>
        <v>1</v>
      </c>
      <c r="O123" s="144">
        <v>1</v>
      </c>
      <c r="P123" s="145">
        <v>15</v>
      </c>
      <c r="Q123" s="113">
        <v>15</v>
      </c>
      <c r="R123" s="113"/>
      <c r="S123" s="113"/>
      <c r="T123" s="146"/>
      <c r="U123" s="148">
        <f t="shared" si="17"/>
        <v>15</v>
      </c>
      <c r="V123" s="149">
        <f t="shared" si="18"/>
        <v>15</v>
      </c>
      <c r="W123" s="189"/>
      <c r="X123" s="199"/>
      <c r="Y123" s="151"/>
      <c r="Z123" s="190"/>
      <c r="AA123" s="153"/>
      <c r="AB123" s="154">
        <f t="shared" si="19"/>
        <v>0</v>
      </c>
      <c r="AC123" s="149">
        <f t="shared" si="20"/>
        <v>0</v>
      </c>
      <c r="AD123" s="125">
        <v>2</v>
      </c>
      <c r="AE123" s="148">
        <f t="shared" si="21"/>
        <v>2</v>
      </c>
      <c r="AF123" s="156"/>
      <c r="AG123" s="156"/>
      <c r="AH123" s="113">
        <f t="shared" si="22"/>
        <v>17</v>
      </c>
      <c r="AI123" s="157">
        <v>65</v>
      </c>
      <c r="AJ123" s="113">
        <f t="shared" si="23"/>
        <v>82</v>
      </c>
      <c r="AK123" s="113">
        <f t="shared" si="24"/>
        <v>82</v>
      </c>
      <c r="AL123" s="158">
        <f t="shared" si="25"/>
        <v>1.02</v>
      </c>
      <c r="AM123" s="159"/>
      <c r="AN123" s="160">
        <f t="shared" si="30"/>
        <v>1</v>
      </c>
      <c r="AO123" s="160">
        <f t="shared" si="30"/>
        <v>2</v>
      </c>
      <c r="AP123" s="133"/>
      <c r="AQ123" s="134"/>
      <c r="AR123" s="161"/>
      <c r="AS123" s="161"/>
      <c r="AT123" s="161"/>
      <c r="AU123" s="161"/>
      <c r="AV123" s="162"/>
      <c r="AW123" s="137">
        <f t="shared" si="26"/>
        <v>0</v>
      </c>
      <c r="AX123" s="137">
        <f t="shared" si="27"/>
        <v>0</v>
      </c>
    </row>
    <row r="124" ht="47.25" customHeight="1" spans="1:50" s="56" customFormat="1" x14ac:dyDescent="0.25">
      <c r="A124" s="100"/>
      <c r="B124" s="100"/>
      <c r="C124" s="100"/>
      <c r="D124" s="100"/>
      <c r="E124" s="100"/>
      <c r="F124" s="100"/>
      <c r="G124" s="103"/>
      <c r="H124" s="186"/>
      <c r="I124" s="195">
        <v>0.51</v>
      </c>
      <c r="J124" s="107">
        <v>0.49</v>
      </c>
      <c r="K124" s="107"/>
      <c r="L124" s="107"/>
      <c r="M124" s="187"/>
      <c r="N124" s="169">
        <f t="shared" si="29"/>
        <v>1</v>
      </c>
      <c r="O124" s="144">
        <v>1</v>
      </c>
      <c r="P124" s="145">
        <v>15</v>
      </c>
      <c r="Q124" s="113">
        <v>15</v>
      </c>
      <c r="R124" s="113"/>
      <c r="S124" s="113"/>
      <c r="T124" s="146"/>
      <c r="U124" s="148">
        <f t="shared" si="17"/>
        <v>15</v>
      </c>
      <c r="V124" s="149">
        <f t="shared" si="18"/>
        <v>15</v>
      </c>
      <c r="W124" s="189"/>
      <c r="X124" s="199"/>
      <c r="Y124" s="151"/>
      <c r="Z124" s="190"/>
      <c r="AA124" s="153"/>
      <c r="AB124" s="154">
        <f t="shared" si="19"/>
        <v>0</v>
      </c>
      <c r="AC124" s="149">
        <f t="shared" si="20"/>
        <v>0</v>
      </c>
      <c r="AD124" s="125">
        <v>2</v>
      </c>
      <c r="AE124" s="148">
        <f t="shared" si="21"/>
        <v>2</v>
      </c>
      <c r="AF124" s="156"/>
      <c r="AG124" s="156"/>
      <c r="AH124" s="113">
        <f t="shared" si="22"/>
        <v>17</v>
      </c>
      <c r="AI124" s="157">
        <v>65</v>
      </c>
      <c r="AJ124" s="113">
        <f t="shared" si="23"/>
        <v>82</v>
      </c>
      <c r="AK124" s="113">
        <f t="shared" si="24"/>
        <v>82</v>
      </c>
      <c r="AL124" s="158">
        <f t="shared" si="25"/>
        <v>1.02</v>
      </c>
      <c r="AM124" s="159"/>
      <c r="AN124" s="160">
        <f t="shared" si="30"/>
        <v>1</v>
      </c>
      <c r="AO124" s="160">
        <f t="shared" si="30"/>
        <v>2</v>
      </c>
      <c r="AP124" s="133"/>
      <c r="AQ124" s="134"/>
      <c r="AR124" s="161"/>
      <c r="AS124" s="161"/>
      <c r="AT124" s="161"/>
      <c r="AU124" s="161"/>
      <c r="AV124" s="162"/>
      <c r="AW124" s="137">
        <f t="shared" si="26"/>
        <v>0</v>
      </c>
      <c r="AX124" s="137">
        <f t="shared" si="27"/>
        <v>0</v>
      </c>
    </row>
    <row r="125" ht="47.25" customHeight="1" spans="1:50" s="56" customFormat="1" x14ac:dyDescent="0.25">
      <c r="A125" s="100"/>
      <c r="B125" s="100"/>
      <c r="C125" s="100"/>
      <c r="D125" s="100"/>
      <c r="E125" s="100"/>
      <c r="F125" s="100"/>
      <c r="G125" s="103"/>
      <c r="H125" s="186"/>
      <c r="I125" s="195">
        <v>0.51</v>
      </c>
      <c r="J125" s="107">
        <v>0.49</v>
      </c>
      <c r="K125" s="107"/>
      <c r="L125" s="107"/>
      <c r="M125" s="187"/>
      <c r="N125" s="169">
        <f t="shared" si="29"/>
        <v>1</v>
      </c>
      <c r="O125" s="144">
        <v>1</v>
      </c>
      <c r="P125" s="145">
        <v>15</v>
      </c>
      <c r="Q125" s="113">
        <v>15</v>
      </c>
      <c r="R125" s="113"/>
      <c r="S125" s="113"/>
      <c r="T125" s="146"/>
      <c r="U125" s="148">
        <f t="shared" si="17"/>
        <v>15</v>
      </c>
      <c r="V125" s="149">
        <f t="shared" si="18"/>
        <v>15</v>
      </c>
      <c r="W125" s="189"/>
      <c r="X125" s="199"/>
      <c r="Y125" s="151"/>
      <c r="Z125" s="190"/>
      <c r="AA125" s="153"/>
      <c r="AB125" s="154">
        <f t="shared" si="19"/>
        <v>0</v>
      </c>
      <c r="AC125" s="149">
        <f t="shared" si="20"/>
        <v>0</v>
      </c>
      <c r="AD125" s="125">
        <v>2</v>
      </c>
      <c r="AE125" s="148">
        <f t="shared" si="21"/>
        <v>2</v>
      </c>
      <c r="AF125" s="156"/>
      <c r="AG125" s="156"/>
      <c r="AH125" s="113">
        <f t="shared" si="22"/>
        <v>17</v>
      </c>
      <c r="AI125" s="157">
        <v>65</v>
      </c>
      <c r="AJ125" s="113">
        <f t="shared" si="23"/>
        <v>82</v>
      </c>
      <c r="AK125" s="113">
        <f t="shared" si="24"/>
        <v>82</v>
      </c>
      <c r="AL125" s="158">
        <f t="shared" si="25"/>
        <v>1.02</v>
      </c>
      <c r="AM125" s="159"/>
      <c r="AN125" s="160">
        <f t="shared" si="30"/>
        <v>1</v>
      </c>
      <c r="AO125" s="160">
        <f t="shared" si="30"/>
        <v>2</v>
      </c>
      <c r="AP125" s="133"/>
      <c r="AQ125" s="134"/>
      <c r="AR125" s="161"/>
      <c r="AS125" s="161"/>
      <c r="AT125" s="161"/>
      <c r="AU125" s="161"/>
      <c r="AV125" s="162"/>
      <c r="AW125" s="137">
        <f t="shared" si="26"/>
        <v>0</v>
      </c>
      <c r="AX125" s="137">
        <f t="shared" si="27"/>
        <v>0</v>
      </c>
    </row>
    <row r="126" ht="46.5" customHeight="1" spans="1:50" s="97" customFormat="1" x14ac:dyDescent="0.25">
      <c r="A126" s="100"/>
      <c r="B126" s="100"/>
      <c r="C126" s="100"/>
      <c r="D126" s="100"/>
      <c r="E126" s="100"/>
      <c r="F126" s="100"/>
      <c r="G126" s="103"/>
      <c r="H126" s="186"/>
      <c r="I126" s="195">
        <v>0.51</v>
      </c>
      <c r="J126" s="107">
        <v>0.49</v>
      </c>
      <c r="K126" s="107"/>
      <c r="L126" s="107"/>
      <c r="M126" s="187"/>
      <c r="N126" s="169">
        <f t="shared" si="29"/>
        <v>1</v>
      </c>
      <c r="O126" s="144">
        <v>1</v>
      </c>
      <c r="P126" s="145">
        <v>15</v>
      </c>
      <c r="Q126" s="113">
        <v>15</v>
      </c>
      <c r="R126" s="113"/>
      <c r="S126" s="113"/>
      <c r="T126" s="146"/>
      <c r="U126" s="148">
        <f t="shared" si="17"/>
        <v>15</v>
      </c>
      <c r="V126" s="149">
        <f t="shared" si="18"/>
        <v>15</v>
      </c>
      <c r="W126" s="189"/>
      <c r="X126" s="199"/>
      <c r="Y126" s="151"/>
      <c r="Z126" s="190"/>
      <c r="AA126" s="153"/>
      <c r="AB126" s="154">
        <f t="shared" si="19"/>
        <v>0</v>
      </c>
      <c r="AC126" s="149">
        <f t="shared" si="20"/>
        <v>0</v>
      </c>
      <c r="AD126" s="125">
        <v>2</v>
      </c>
      <c r="AE126" s="148">
        <f t="shared" si="21"/>
        <v>2</v>
      </c>
      <c r="AF126" s="156"/>
      <c r="AG126" s="156"/>
      <c r="AH126" s="113">
        <f t="shared" si="22"/>
        <v>17</v>
      </c>
      <c r="AI126" s="157">
        <v>65</v>
      </c>
      <c r="AJ126" s="113">
        <f t="shared" si="23"/>
        <v>82</v>
      </c>
      <c r="AK126" s="113">
        <f t="shared" si="24"/>
        <v>82</v>
      </c>
      <c r="AL126" s="158">
        <f t="shared" si="25"/>
        <v>1.02</v>
      </c>
      <c r="AM126" s="159"/>
      <c r="AN126" s="160">
        <f t="shared" si="30"/>
        <v>1</v>
      </c>
      <c r="AO126" s="160">
        <f t="shared" si="30"/>
        <v>2</v>
      </c>
      <c r="AP126" s="133"/>
      <c r="AQ126" s="134"/>
      <c r="AR126" s="161"/>
      <c r="AS126" s="161"/>
      <c r="AT126" s="161"/>
      <c r="AU126" s="161"/>
      <c r="AV126" s="162"/>
      <c r="AW126" s="137">
        <f t="shared" si="26"/>
        <v>0</v>
      </c>
      <c r="AX126" s="137">
        <f t="shared" si="27"/>
        <v>0</v>
      </c>
    </row>
    <row r="127" ht="47.25" customHeight="1" spans="1:50" s="56" customFormat="1" x14ac:dyDescent="0.25">
      <c r="A127" s="100"/>
      <c r="B127" s="100"/>
      <c r="C127" s="100"/>
      <c r="D127" s="100"/>
      <c r="E127" s="100"/>
      <c r="F127" s="100"/>
      <c r="G127" s="103"/>
      <c r="H127" s="186"/>
      <c r="I127" s="195">
        <v>0.51</v>
      </c>
      <c r="J127" s="107">
        <v>0.49</v>
      </c>
      <c r="K127" s="107"/>
      <c r="L127" s="107"/>
      <c r="M127" s="187"/>
      <c r="N127" s="169">
        <f t="shared" si="29"/>
        <v>1</v>
      </c>
      <c r="O127" s="144">
        <v>1</v>
      </c>
      <c r="P127" s="145">
        <v>15</v>
      </c>
      <c r="Q127" s="113">
        <v>15</v>
      </c>
      <c r="R127" s="113"/>
      <c r="S127" s="113"/>
      <c r="T127" s="146"/>
      <c r="U127" s="148">
        <f t="shared" si="17"/>
        <v>15</v>
      </c>
      <c r="V127" s="149">
        <f t="shared" si="18"/>
        <v>15</v>
      </c>
      <c r="W127" s="189"/>
      <c r="X127" s="199"/>
      <c r="Y127" s="151"/>
      <c r="Z127" s="190"/>
      <c r="AA127" s="153"/>
      <c r="AB127" s="154">
        <f t="shared" si="19"/>
        <v>0</v>
      </c>
      <c r="AC127" s="149">
        <f t="shared" si="20"/>
        <v>0</v>
      </c>
      <c r="AD127" s="125">
        <v>2</v>
      </c>
      <c r="AE127" s="148">
        <f t="shared" si="21"/>
        <v>2</v>
      </c>
      <c r="AF127" s="156"/>
      <c r="AG127" s="156"/>
      <c r="AH127" s="113">
        <f t="shared" si="22"/>
        <v>17</v>
      </c>
      <c r="AI127" s="157">
        <v>65</v>
      </c>
      <c r="AJ127" s="113">
        <f t="shared" si="23"/>
        <v>82</v>
      </c>
      <c r="AK127" s="113">
        <f t="shared" si="24"/>
        <v>82</v>
      </c>
      <c r="AL127" s="158">
        <f t="shared" si="25"/>
        <v>1.02</v>
      </c>
      <c r="AM127" s="159"/>
      <c r="AN127" s="160">
        <f t="shared" si="30"/>
        <v>1</v>
      </c>
      <c r="AO127" s="160">
        <f t="shared" si="30"/>
        <v>2</v>
      </c>
      <c r="AP127" s="133"/>
      <c r="AQ127" s="134"/>
      <c r="AR127" s="161"/>
      <c r="AS127" s="161"/>
      <c r="AT127" s="161"/>
      <c r="AU127" s="161"/>
      <c r="AV127" s="162"/>
      <c r="AW127" s="137">
        <f t="shared" si="26"/>
        <v>0</v>
      </c>
      <c r="AX127" s="137">
        <f t="shared" si="27"/>
        <v>0</v>
      </c>
    </row>
    <row r="128" ht="47.25" customHeight="1" spans="1:50" s="97" customFormat="1" x14ac:dyDescent="0.25">
      <c r="A128" s="100"/>
      <c r="B128" s="100"/>
      <c r="C128" s="100"/>
      <c r="D128" s="100"/>
      <c r="E128" s="100"/>
      <c r="F128" s="100"/>
      <c r="G128" s="103"/>
      <c r="H128" s="186"/>
      <c r="I128" s="195">
        <v>0.51</v>
      </c>
      <c r="J128" s="107">
        <v>0.49</v>
      </c>
      <c r="K128" s="107"/>
      <c r="L128" s="107"/>
      <c r="M128" s="187"/>
      <c r="N128" s="169">
        <f t="shared" si="29"/>
        <v>1</v>
      </c>
      <c r="O128" s="144">
        <v>1</v>
      </c>
      <c r="P128" s="145">
        <v>15</v>
      </c>
      <c r="Q128" s="113">
        <v>15</v>
      </c>
      <c r="R128" s="113"/>
      <c r="S128" s="113"/>
      <c r="T128" s="146"/>
      <c r="U128" s="148">
        <f t="shared" si="17"/>
        <v>15</v>
      </c>
      <c r="V128" s="149">
        <f t="shared" si="18"/>
        <v>15</v>
      </c>
      <c r="W128" s="189"/>
      <c r="X128" s="199"/>
      <c r="Y128" s="151"/>
      <c r="Z128" s="190"/>
      <c r="AA128" s="153"/>
      <c r="AB128" s="154">
        <f t="shared" si="19"/>
        <v>0</v>
      </c>
      <c r="AC128" s="149">
        <f t="shared" si="20"/>
        <v>0</v>
      </c>
      <c r="AD128" s="125">
        <v>2</v>
      </c>
      <c r="AE128" s="148">
        <f t="shared" si="21"/>
        <v>2</v>
      </c>
      <c r="AF128" s="156"/>
      <c r="AG128" s="156"/>
      <c r="AH128" s="113">
        <f t="shared" si="22"/>
        <v>17</v>
      </c>
      <c r="AI128" s="157">
        <v>65</v>
      </c>
      <c r="AJ128" s="113">
        <f t="shared" si="23"/>
        <v>82</v>
      </c>
      <c r="AK128" s="113">
        <f t="shared" si="24"/>
        <v>82</v>
      </c>
      <c r="AL128" s="158">
        <f t="shared" si="25"/>
        <v>1.02</v>
      </c>
      <c r="AM128" s="159"/>
      <c r="AN128" s="160">
        <f t="shared" si="30"/>
        <v>1</v>
      </c>
      <c r="AO128" s="160">
        <f t="shared" si="30"/>
        <v>2</v>
      </c>
      <c r="AP128" s="133"/>
      <c r="AQ128" s="134"/>
      <c r="AR128" s="161"/>
      <c r="AS128" s="161"/>
      <c r="AT128" s="161"/>
      <c r="AU128" s="161"/>
      <c r="AV128" s="162"/>
      <c r="AW128" s="137">
        <f t="shared" si="26"/>
        <v>0</v>
      </c>
      <c r="AX128" s="137">
        <f t="shared" si="27"/>
        <v>0</v>
      </c>
    </row>
    <row r="129" ht="47.25" customHeight="1" spans="1:50" s="97" customFormat="1" x14ac:dyDescent="0.25">
      <c r="A129" s="100"/>
      <c r="B129" s="100"/>
      <c r="C129" s="100"/>
      <c r="D129" s="100"/>
      <c r="E129" s="100"/>
      <c r="F129" s="100"/>
      <c r="G129" s="103"/>
      <c r="H129" s="186"/>
      <c r="I129" s="195">
        <v>0.51</v>
      </c>
      <c r="J129" s="107">
        <v>0.49</v>
      </c>
      <c r="K129" s="107"/>
      <c r="L129" s="107"/>
      <c r="M129" s="187"/>
      <c r="N129" s="169">
        <f t="shared" si="29"/>
        <v>1</v>
      </c>
      <c r="O129" s="144">
        <v>1</v>
      </c>
      <c r="P129" s="145">
        <v>15</v>
      </c>
      <c r="Q129" s="113">
        <v>15</v>
      </c>
      <c r="R129" s="113"/>
      <c r="S129" s="113"/>
      <c r="T129" s="146"/>
      <c r="U129" s="148">
        <f t="shared" si="17"/>
        <v>15</v>
      </c>
      <c r="V129" s="149">
        <f t="shared" si="18"/>
        <v>15</v>
      </c>
      <c r="W129" s="189"/>
      <c r="X129" s="199"/>
      <c r="Y129" s="151"/>
      <c r="Z129" s="190"/>
      <c r="AA129" s="153"/>
      <c r="AB129" s="154">
        <f t="shared" si="19"/>
        <v>0</v>
      </c>
      <c r="AC129" s="149">
        <f t="shared" si="20"/>
        <v>0</v>
      </c>
      <c r="AD129" s="125">
        <v>2</v>
      </c>
      <c r="AE129" s="148">
        <f t="shared" si="21"/>
        <v>2</v>
      </c>
      <c r="AF129" s="156"/>
      <c r="AG129" s="156"/>
      <c r="AH129" s="113">
        <f t="shared" si="22"/>
        <v>17</v>
      </c>
      <c r="AI129" s="157">
        <v>65</v>
      </c>
      <c r="AJ129" s="113">
        <f t="shared" si="23"/>
        <v>82</v>
      </c>
      <c r="AK129" s="113">
        <f t="shared" si="24"/>
        <v>82</v>
      </c>
      <c r="AL129" s="158">
        <f t="shared" si="25"/>
        <v>1.02</v>
      </c>
      <c r="AM129" s="159"/>
      <c r="AN129" s="160">
        <f t="shared" si="30"/>
        <v>1</v>
      </c>
      <c r="AO129" s="160">
        <f t="shared" si="30"/>
        <v>2</v>
      </c>
      <c r="AP129" s="133"/>
      <c r="AQ129" s="134"/>
      <c r="AR129" s="161"/>
      <c r="AS129" s="161"/>
      <c r="AT129" s="161"/>
      <c r="AU129" s="161"/>
      <c r="AV129" s="162"/>
      <c r="AW129" s="137">
        <f t="shared" si="26"/>
        <v>0</v>
      </c>
      <c r="AX129" s="137">
        <f t="shared" si="27"/>
        <v>0</v>
      </c>
    </row>
    <row r="130" ht="46.5" customHeight="1" spans="1:50" s="97" customFormat="1" x14ac:dyDescent="0.25">
      <c r="A130" s="100"/>
      <c r="B130" s="100"/>
      <c r="C130" s="100"/>
      <c r="D130" s="100"/>
      <c r="E130" s="100"/>
      <c r="F130" s="100"/>
      <c r="G130" s="103"/>
      <c r="H130" s="186"/>
      <c r="I130" s="195">
        <v>0.51</v>
      </c>
      <c r="J130" s="107">
        <v>0.49</v>
      </c>
      <c r="K130" s="107"/>
      <c r="L130" s="107"/>
      <c r="M130" s="187"/>
      <c r="N130" s="169">
        <f t="shared" si="29"/>
        <v>1</v>
      </c>
      <c r="O130" s="144">
        <v>1</v>
      </c>
      <c r="P130" s="145">
        <v>15</v>
      </c>
      <c r="Q130" s="113">
        <v>15</v>
      </c>
      <c r="R130" s="113"/>
      <c r="S130" s="113"/>
      <c r="T130" s="146"/>
      <c r="U130" s="148">
        <f t="shared" si="17"/>
        <v>15</v>
      </c>
      <c r="V130" s="149">
        <f t="shared" si="18"/>
        <v>15</v>
      </c>
      <c r="W130" s="189"/>
      <c r="X130" s="199"/>
      <c r="Y130" s="151"/>
      <c r="Z130" s="190"/>
      <c r="AA130" s="153"/>
      <c r="AB130" s="154">
        <f t="shared" si="19"/>
        <v>0</v>
      </c>
      <c r="AC130" s="149">
        <f t="shared" si="20"/>
        <v>0</v>
      </c>
      <c r="AD130" s="125">
        <v>2</v>
      </c>
      <c r="AE130" s="148">
        <f t="shared" si="21"/>
        <v>2</v>
      </c>
      <c r="AF130" s="156"/>
      <c r="AG130" s="156"/>
      <c r="AH130" s="113">
        <f t="shared" si="22"/>
        <v>17</v>
      </c>
      <c r="AI130" s="157">
        <v>65</v>
      </c>
      <c r="AJ130" s="113">
        <f t="shared" si="23"/>
        <v>82</v>
      </c>
      <c r="AK130" s="113">
        <f t="shared" si="24"/>
        <v>82</v>
      </c>
      <c r="AL130" s="158">
        <f t="shared" si="25"/>
        <v>1.02</v>
      </c>
      <c r="AM130" s="159"/>
      <c r="AN130" s="160">
        <f t="shared" si="30"/>
        <v>1</v>
      </c>
      <c r="AO130" s="160">
        <f t="shared" si="30"/>
        <v>2</v>
      </c>
      <c r="AP130" s="133"/>
      <c r="AQ130" s="134"/>
      <c r="AR130" s="161"/>
      <c r="AS130" s="161"/>
      <c r="AT130" s="161"/>
      <c r="AU130" s="161"/>
      <c r="AV130" s="162"/>
      <c r="AW130" s="137">
        <f t="shared" si="26"/>
        <v>0</v>
      </c>
      <c r="AX130" s="137">
        <f t="shared" si="27"/>
        <v>0</v>
      </c>
    </row>
    <row r="131" ht="46.5" customHeight="1" spans="1:50" s="97" customFormat="1" x14ac:dyDescent="0.25">
      <c r="A131" s="100"/>
      <c r="B131" s="100"/>
      <c r="C131" s="100"/>
      <c r="D131" s="100"/>
      <c r="E131" s="100"/>
      <c r="F131" s="100"/>
      <c r="G131" s="103"/>
      <c r="H131" s="186"/>
      <c r="I131" s="195">
        <v>0.51</v>
      </c>
      <c r="J131" s="107">
        <v>0.49</v>
      </c>
      <c r="K131" s="107"/>
      <c r="L131" s="107"/>
      <c r="M131" s="187"/>
      <c r="N131" s="169">
        <f t="shared" si="29"/>
        <v>1</v>
      </c>
      <c r="O131" s="144">
        <v>1</v>
      </c>
      <c r="P131" s="145">
        <v>15</v>
      </c>
      <c r="Q131" s="113">
        <v>15</v>
      </c>
      <c r="R131" s="113"/>
      <c r="S131" s="113"/>
      <c r="T131" s="146"/>
      <c r="U131" s="148">
        <f t="shared" si="17"/>
        <v>15</v>
      </c>
      <c r="V131" s="149">
        <f t="shared" si="18"/>
        <v>15</v>
      </c>
      <c r="W131" s="189"/>
      <c r="X131" s="199"/>
      <c r="Y131" s="151"/>
      <c r="Z131" s="190"/>
      <c r="AA131" s="153"/>
      <c r="AB131" s="154">
        <f t="shared" si="19"/>
        <v>0</v>
      </c>
      <c r="AC131" s="149">
        <f t="shared" si="20"/>
        <v>0</v>
      </c>
      <c r="AD131" s="125">
        <v>2</v>
      </c>
      <c r="AE131" s="148">
        <f t="shared" si="21"/>
        <v>2</v>
      </c>
      <c r="AF131" s="156"/>
      <c r="AG131" s="156"/>
      <c r="AH131" s="113">
        <f t="shared" si="22"/>
        <v>17</v>
      </c>
      <c r="AI131" s="157">
        <v>65</v>
      </c>
      <c r="AJ131" s="113">
        <f t="shared" si="23"/>
        <v>82</v>
      </c>
      <c r="AK131" s="113">
        <f t="shared" si="24"/>
        <v>82</v>
      </c>
      <c r="AL131" s="158">
        <f t="shared" si="25"/>
        <v>1.02</v>
      </c>
      <c r="AM131" s="159"/>
      <c r="AN131" s="160">
        <f t="shared" si="30"/>
        <v>1</v>
      </c>
      <c r="AO131" s="160">
        <f t="shared" si="30"/>
        <v>2</v>
      </c>
      <c r="AP131" s="133"/>
      <c r="AQ131" s="134"/>
      <c r="AR131" s="161"/>
      <c r="AS131" s="161"/>
      <c r="AT131" s="161"/>
      <c r="AU131" s="161"/>
      <c r="AV131" s="162"/>
      <c r="AW131" s="137">
        <f t="shared" si="26"/>
        <v>0</v>
      </c>
      <c r="AX131" s="137">
        <f t="shared" si="27"/>
        <v>0</v>
      </c>
    </row>
    <row r="132" ht="47.25" customHeight="1" spans="1:50" s="56" customFormat="1" x14ac:dyDescent="0.25">
      <c r="A132" s="100"/>
      <c r="B132" s="100"/>
      <c r="C132" s="100"/>
      <c r="D132" s="100"/>
      <c r="E132" s="100"/>
      <c r="F132" s="100"/>
      <c r="G132" s="103"/>
      <c r="H132" s="186"/>
      <c r="I132" s="195">
        <v>0.51</v>
      </c>
      <c r="J132" s="107">
        <v>0.49</v>
      </c>
      <c r="K132" s="107"/>
      <c r="L132" s="107"/>
      <c r="M132" s="187"/>
      <c r="N132" s="169">
        <f t="shared" si="29"/>
        <v>1</v>
      </c>
      <c r="O132" s="144">
        <v>1</v>
      </c>
      <c r="P132" s="145">
        <v>15</v>
      </c>
      <c r="Q132" s="113">
        <v>15</v>
      </c>
      <c r="R132" s="113"/>
      <c r="S132" s="113"/>
      <c r="T132" s="146"/>
      <c r="U132" s="148">
        <f t="shared" si="17"/>
        <v>15</v>
      </c>
      <c r="V132" s="149">
        <f t="shared" si="18"/>
        <v>15</v>
      </c>
      <c r="W132" s="189"/>
      <c r="X132" s="199"/>
      <c r="Y132" s="151"/>
      <c r="Z132" s="190"/>
      <c r="AA132" s="153"/>
      <c r="AB132" s="154">
        <f t="shared" si="19"/>
        <v>0</v>
      </c>
      <c r="AC132" s="149">
        <f t="shared" si="20"/>
        <v>0</v>
      </c>
      <c r="AD132" s="125">
        <v>2</v>
      </c>
      <c r="AE132" s="148">
        <f t="shared" si="21"/>
        <v>2</v>
      </c>
      <c r="AF132" s="156"/>
      <c r="AG132" s="156"/>
      <c r="AH132" s="113">
        <f t="shared" si="22"/>
        <v>17</v>
      </c>
      <c r="AI132" s="157">
        <v>65</v>
      </c>
      <c r="AJ132" s="113">
        <f t="shared" si="23"/>
        <v>82</v>
      </c>
      <c r="AK132" s="113">
        <f t="shared" si="24"/>
        <v>82</v>
      </c>
      <c r="AL132" s="158">
        <f t="shared" si="25"/>
        <v>1.02</v>
      </c>
      <c r="AM132" s="159"/>
      <c r="AN132" s="160">
        <f t="shared" si="30"/>
        <v>1</v>
      </c>
      <c r="AO132" s="160">
        <f t="shared" si="30"/>
        <v>2</v>
      </c>
      <c r="AP132" s="133"/>
      <c r="AQ132" s="134"/>
      <c r="AR132" s="161"/>
      <c r="AS132" s="161"/>
      <c r="AT132" s="161"/>
      <c r="AU132" s="161"/>
      <c r="AV132" s="162"/>
      <c r="AW132" s="137">
        <f t="shared" si="26"/>
        <v>0</v>
      </c>
      <c r="AX132" s="137">
        <f t="shared" si="27"/>
        <v>0</v>
      </c>
    </row>
    <row r="133" ht="46.5" customHeight="1" spans="1:50" s="97" customFormat="1" x14ac:dyDescent="0.25">
      <c r="A133" s="100"/>
      <c r="B133" s="100"/>
      <c r="C133" s="100"/>
      <c r="D133" s="100"/>
      <c r="E133" s="100"/>
      <c r="F133" s="100"/>
      <c r="G133" s="103"/>
      <c r="H133" s="186"/>
      <c r="I133" s="195">
        <v>0.51</v>
      </c>
      <c r="J133" s="107">
        <v>0.49</v>
      </c>
      <c r="K133" s="107"/>
      <c r="L133" s="107"/>
      <c r="M133" s="187"/>
      <c r="N133" s="169">
        <f t="shared" si="29"/>
        <v>1</v>
      </c>
      <c r="O133" s="144">
        <v>1</v>
      </c>
      <c r="P133" s="145">
        <v>15</v>
      </c>
      <c r="Q133" s="113">
        <v>15</v>
      </c>
      <c r="R133" s="113"/>
      <c r="S133" s="113"/>
      <c r="T133" s="146"/>
      <c r="U133" s="148">
        <f t="shared" si="17"/>
        <v>15</v>
      </c>
      <c r="V133" s="149">
        <f t="shared" si="18"/>
        <v>15</v>
      </c>
      <c r="W133" s="189"/>
      <c r="X133" s="199"/>
      <c r="Y133" s="151"/>
      <c r="Z133" s="190"/>
      <c r="AA133" s="153"/>
      <c r="AB133" s="154">
        <f t="shared" si="19"/>
        <v>0</v>
      </c>
      <c r="AC133" s="149">
        <f t="shared" si="20"/>
        <v>0</v>
      </c>
      <c r="AD133" s="125">
        <v>2</v>
      </c>
      <c r="AE133" s="148">
        <f t="shared" si="21"/>
        <v>2</v>
      </c>
      <c r="AF133" s="156"/>
      <c r="AG133" s="156"/>
      <c r="AH133" s="113">
        <f t="shared" si="22"/>
        <v>17</v>
      </c>
      <c r="AI133" s="157">
        <v>65</v>
      </c>
      <c r="AJ133" s="113">
        <f t="shared" si="23"/>
        <v>82</v>
      </c>
      <c r="AK133" s="113">
        <f t="shared" si="24"/>
        <v>82</v>
      </c>
      <c r="AL133" s="158">
        <f t="shared" si="25"/>
        <v>1.02</v>
      </c>
      <c r="AM133" s="159"/>
      <c r="AN133" s="160">
        <f t="shared" si="30"/>
        <v>1</v>
      </c>
      <c r="AO133" s="160">
        <f t="shared" si="30"/>
        <v>2</v>
      </c>
      <c r="AP133" s="133"/>
      <c r="AQ133" s="134"/>
      <c r="AR133" s="161"/>
      <c r="AS133" s="161"/>
      <c r="AT133" s="161"/>
      <c r="AU133" s="161"/>
      <c r="AV133" s="162"/>
      <c r="AW133" s="137">
        <f t="shared" si="26"/>
        <v>0</v>
      </c>
      <c r="AX133" s="137">
        <f t="shared" si="27"/>
        <v>0</v>
      </c>
    </row>
    <row r="134" ht="47.25" customHeight="1" spans="1:50" s="56" customFormat="1" x14ac:dyDescent="0.25">
      <c r="A134" s="100"/>
      <c r="B134" s="100"/>
      <c r="C134" s="100"/>
      <c r="D134" s="100"/>
      <c r="E134" s="100"/>
      <c r="F134" s="100"/>
      <c r="G134" s="103"/>
      <c r="H134" s="186"/>
      <c r="I134" s="195">
        <v>0.51</v>
      </c>
      <c r="J134" s="107">
        <v>0.49</v>
      </c>
      <c r="K134" s="107"/>
      <c r="L134" s="107"/>
      <c r="M134" s="187"/>
      <c r="N134" s="169">
        <f t="shared" si="29"/>
        <v>1</v>
      </c>
      <c r="O134" s="144">
        <v>1</v>
      </c>
      <c r="P134" s="145">
        <v>15</v>
      </c>
      <c r="Q134" s="113">
        <v>15</v>
      </c>
      <c r="R134" s="113"/>
      <c r="S134" s="113"/>
      <c r="T134" s="146"/>
      <c r="U134" s="148">
        <f t="shared" si="17"/>
        <v>15</v>
      </c>
      <c r="V134" s="149">
        <f t="shared" si="18"/>
        <v>15</v>
      </c>
      <c r="W134" s="189"/>
      <c r="X134" s="199"/>
      <c r="Y134" s="151"/>
      <c r="Z134" s="190"/>
      <c r="AA134" s="153"/>
      <c r="AB134" s="154">
        <f t="shared" si="19"/>
        <v>0</v>
      </c>
      <c r="AC134" s="149">
        <f t="shared" si="20"/>
        <v>0</v>
      </c>
      <c r="AD134" s="125">
        <v>2</v>
      </c>
      <c r="AE134" s="148">
        <f t="shared" si="21"/>
        <v>2</v>
      </c>
      <c r="AF134" s="156"/>
      <c r="AG134" s="156"/>
      <c r="AH134" s="113">
        <f t="shared" si="22"/>
        <v>17</v>
      </c>
      <c r="AI134" s="157">
        <v>65</v>
      </c>
      <c r="AJ134" s="113">
        <f t="shared" si="23"/>
        <v>82</v>
      </c>
      <c r="AK134" s="113">
        <f t="shared" si="24"/>
        <v>82</v>
      </c>
      <c r="AL134" s="158">
        <f t="shared" si="25"/>
        <v>1.02</v>
      </c>
      <c r="AM134" s="159"/>
      <c r="AN134" s="160">
        <f t="shared" si="30"/>
        <v>1</v>
      </c>
      <c r="AO134" s="160">
        <f t="shared" si="30"/>
        <v>2</v>
      </c>
      <c r="AP134" s="133"/>
      <c r="AQ134" s="134"/>
      <c r="AR134" s="161"/>
      <c r="AS134" s="161"/>
      <c r="AT134" s="161"/>
      <c r="AU134" s="161"/>
      <c r="AV134" s="162"/>
      <c r="AW134" s="137">
        <f t="shared" si="26"/>
        <v>0</v>
      </c>
      <c r="AX134" s="137">
        <f t="shared" si="27"/>
        <v>0</v>
      </c>
    </row>
    <row r="135" ht="46.5" customHeight="1" spans="1:50" s="97" customFormat="1" x14ac:dyDescent="0.25">
      <c r="A135" s="100"/>
      <c r="B135" s="100"/>
      <c r="C135" s="100"/>
      <c r="D135" s="100"/>
      <c r="E135" s="100"/>
      <c r="F135" s="100"/>
      <c r="G135" s="103"/>
      <c r="H135" s="186"/>
      <c r="I135" s="195">
        <v>0.51</v>
      </c>
      <c r="J135" s="107">
        <v>0.49</v>
      </c>
      <c r="K135" s="107"/>
      <c r="L135" s="107"/>
      <c r="M135" s="187"/>
      <c r="N135" s="169">
        <f t="shared" si="29"/>
        <v>1</v>
      </c>
      <c r="O135" s="144">
        <v>1</v>
      </c>
      <c r="P135" s="145">
        <v>15</v>
      </c>
      <c r="Q135" s="113">
        <v>15</v>
      </c>
      <c r="R135" s="113"/>
      <c r="S135" s="113"/>
      <c r="T135" s="146"/>
      <c r="U135" s="148">
        <f t="shared" si="17"/>
        <v>15</v>
      </c>
      <c r="V135" s="149">
        <f t="shared" si="18"/>
        <v>15</v>
      </c>
      <c r="W135" s="189"/>
      <c r="X135" s="199"/>
      <c r="Y135" s="151"/>
      <c r="Z135" s="190"/>
      <c r="AA135" s="153"/>
      <c r="AB135" s="154">
        <f t="shared" si="19"/>
        <v>0</v>
      </c>
      <c r="AC135" s="149">
        <f t="shared" si="20"/>
        <v>0</v>
      </c>
      <c r="AD135" s="125">
        <v>2</v>
      </c>
      <c r="AE135" s="148">
        <f t="shared" si="21"/>
        <v>2</v>
      </c>
      <c r="AF135" s="156"/>
      <c r="AG135" s="156"/>
      <c r="AH135" s="113">
        <f t="shared" si="22"/>
        <v>17</v>
      </c>
      <c r="AI135" s="157">
        <v>65</v>
      </c>
      <c r="AJ135" s="113">
        <f t="shared" si="23"/>
        <v>82</v>
      </c>
      <c r="AK135" s="113">
        <f t="shared" si="24"/>
        <v>82</v>
      </c>
      <c r="AL135" s="158">
        <f t="shared" si="25"/>
        <v>1.02</v>
      </c>
      <c r="AM135" s="159"/>
      <c r="AN135" s="160">
        <f t="shared" si="30"/>
        <v>1</v>
      </c>
      <c r="AO135" s="160">
        <f t="shared" si="30"/>
        <v>2</v>
      </c>
      <c r="AP135" s="133"/>
      <c r="AQ135" s="134"/>
      <c r="AR135" s="161"/>
      <c r="AS135" s="161"/>
      <c r="AT135" s="161"/>
      <c r="AU135" s="161"/>
      <c r="AV135" s="162"/>
      <c r="AW135" s="137">
        <f t="shared" si="26"/>
        <v>0</v>
      </c>
      <c r="AX135" s="137">
        <f t="shared" si="27"/>
        <v>0</v>
      </c>
    </row>
    <row r="136" ht="46.5" customHeight="1" spans="1:50" s="97" customFormat="1" x14ac:dyDescent="0.25">
      <c r="A136" s="100"/>
      <c r="B136" s="100"/>
      <c r="C136" s="100"/>
      <c r="D136" s="100"/>
      <c r="E136" s="100"/>
      <c r="F136" s="100"/>
      <c r="G136" s="103"/>
      <c r="H136" s="186"/>
      <c r="I136" s="195">
        <v>0.51</v>
      </c>
      <c r="J136" s="107">
        <v>0.49</v>
      </c>
      <c r="K136" s="107"/>
      <c r="L136" s="107"/>
      <c r="M136" s="187"/>
      <c r="N136" s="169">
        <f t="shared" si="29"/>
        <v>1</v>
      </c>
      <c r="O136" s="144">
        <v>1</v>
      </c>
      <c r="P136" s="145">
        <v>15</v>
      </c>
      <c r="Q136" s="113">
        <v>15</v>
      </c>
      <c r="R136" s="113"/>
      <c r="S136" s="113"/>
      <c r="T136" s="146"/>
      <c r="U136" s="148">
        <f t="shared" si="17"/>
        <v>15</v>
      </c>
      <c r="V136" s="149">
        <f t="shared" si="18"/>
        <v>15</v>
      </c>
      <c r="W136" s="189"/>
      <c r="X136" s="199"/>
      <c r="Y136" s="151"/>
      <c r="Z136" s="190"/>
      <c r="AA136" s="153"/>
      <c r="AB136" s="154">
        <f t="shared" si="19"/>
        <v>0</v>
      </c>
      <c r="AC136" s="149">
        <f t="shared" si="20"/>
        <v>0</v>
      </c>
      <c r="AD136" s="125">
        <v>2</v>
      </c>
      <c r="AE136" s="148">
        <f t="shared" si="21"/>
        <v>2</v>
      </c>
      <c r="AF136" s="156"/>
      <c r="AG136" s="156"/>
      <c r="AH136" s="113">
        <f t="shared" si="22"/>
        <v>17</v>
      </c>
      <c r="AI136" s="157">
        <v>65</v>
      </c>
      <c r="AJ136" s="113">
        <f t="shared" si="23"/>
        <v>82</v>
      </c>
      <c r="AK136" s="113">
        <f t="shared" si="24"/>
        <v>82</v>
      </c>
      <c r="AL136" s="158">
        <f t="shared" si="25"/>
        <v>1.02</v>
      </c>
      <c r="AM136" s="159"/>
      <c r="AN136" s="160">
        <f t="shared" si="30"/>
        <v>1</v>
      </c>
      <c r="AO136" s="160">
        <f t="shared" si="30"/>
        <v>2</v>
      </c>
      <c r="AP136" s="133"/>
      <c r="AQ136" s="134"/>
      <c r="AR136" s="161"/>
      <c r="AS136" s="161"/>
      <c r="AT136" s="161"/>
      <c r="AU136" s="161"/>
      <c r="AV136" s="162"/>
      <c r="AW136" s="137">
        <f t="shared" si="26"/>
        <v>0</v>
      </c>
      <c r="AX136" s="137">
        <f t="shared" si="27"/>
        <v>0</v>
      </c>
    </row>
    <row r="137" ht="47.25" customHeight="1" spans="1:50" s="97" customFormat="1" x14ac:dyDescent="0.25">
      <c r="A137" s="100"/>
      <c r="B137" s="100"/>
      <c r="C137" s="100"/>
      <c r="D137" s="100"/>
      <c r="E137" s="100"/>
      <c r="F137" s="100"/>
      <c r="G137" s="103"/>
      <c r="H137" s="186"/>
      <c r="I137" s="195">
        <v>0.51</v>
      </c>
      <c r="J137" s="107">
        <v>0.49</v>
      </c>
      <c r="K137" s="107"/>
      <c r="L137" s="107"/>
      <c r="M137" s="187"/>
      <c r="N137" s="169">
        <f t="shared" si="29"/>
        <v>1</v>
      </c>
      <c r="O137" s="144">
        <v>1</v>
      </c>
      <c r="P137" s="145">
        <v>15</v>
      </c>
      <c r="Q137" s="113">
        <v>15</v>
      </c>
      <c r="R137" s="113"/>
      <c r="S137" s="113"/>
      <c r="T137" s="146"/>
      <c r="U137" s="148">
        <f t="shared" si="17"/>
        <v>15</v>
      </c>
      <c r="V137" s="149">
        <f t="shared" si="18"/>
        <v>15</v>
      </c>
      <c r="W137" s="189"/>
      <c r="X137" s="199"/>
      <c r="Y137" s="151"/>
      <c r="Z137" s="190"/>
      <c r="AA137" s="153"/>
      <c r="AB137" s="154">
        <f t="shared" si="19"/>
        <v>0</v>
      </c>
      <c r="AC137" s="149">
        <f t="shared" si="20"/>
        <v>0</v>
      </c>
      <c r="AD137" s="125">
        <v>2</v>
      </c>
      <c r="AE137" s="148">
        <f t="shared" si="21"/>
        <v>2</v>
      </c>
      <c r="AF137" s="156"/>
      <c r="AG137" s="156"/>
      <c r="AH137" s="113">
        <f t="shared" si="22"/>
        <v>17</v>
      </c>
      <c r="AI137" s="157">
        <v>65</v>
      </c>
      <c r="AJ137" s="113">
        <f t="shared" si="23"/>
        <v>82</v>
      </c>
      <c r="AK137" s="113">
        <f t="shared" si="24"/>
        <v>82</v>
      </c>
      <c r="AL137" s="158">
        <f t="shared" si="25"/>
        <v>1.02</v>
      </c>
      <c r="AM137" s="159"/>
      <c r="AN137" s="160">
        <f t="shared" ref="AN137:AO142" si="31">100%+AM137</f>
        <v>1</v>
      </c>
      <c r="AO137" s="160">
        <f t="shared" si="31"/>
        <v>2</v>
      </c>
      <c r="AP137" s="133"/>
      <c r="AQ137" s="134"/>
      <c r="AR137" s="161"/>
      <c r="AS137" s="161"/>
      <c r="AT137" s="161"/>
      <c r="AU137" s="161"/>
      <c r="AV137" s="162"/>
      <c r="AW137" s="137">
        <f t="shared" si="26"/>
        <v>0</v>
      </c>
      <c r="AX137" s="137">
        <f t="shared" si="27"/>
        <v>0</v>
      </c>
    </row>
    <row r="138" ht="47.25" customHeight="1" spans="1:50" s="56" customFormat="1" x14ac:dyDescent="0.25">
      <c r="A138" s="100"/>
      <c r="B138" s="100"/>
      <c r="C138" s="100"/>
      <c r="D138" s="100"/>
      <c r="E138" s="100"/>
      <c r="F138" s="100"/>
      <c r="G138" s="103"/>
      <c r="H138" s="186"/>
      <c r="I138" s="195">
        <v>0.51</v>
      </c>
      <c r="J138" s="107">
        <v>0.49</v>
      </c>
      <c r="K138" s="107"/>
      <c r="L138" s="107"/>
      <c r="M138" s="187"/>
      <c r="N138" s="169">
        <f t="shared" si="29"/>
        <v>1</v>
      </c>
      <c r="O138" s="144">
        <v>1</v>
      </c>
      <c r="P138" s="145">
        <v>15</v>
      </c>
      <c r="Q138" s="113">
        <v>15</v>
      </c>
      <c r="R138" s="113"/>
      <c r="S138" s="113"/>
      <c r="T138" s="146"/>
      <c r="U138" s="148">
        <f t="shared" si="17"/>
        <v>15</v>
      </c>
      <c r="V138" s="149">
        <f t="shared" si="18"/>
        <v>15</v>
      </c>
      <c r="W138" s="189"/>
      <c r="X138" s="199"/>
      <c r="Y138" s="151"/>
      <c r="Z138" s="190"/>
      <c r="AA138" s="153"/>
      <c r="AB138" s="154">
        <f t="shared" si="19"/>
        <v>0</v>
      </c>
      <c r="AC138" s="149">
        <f t="shared" si="20"/>
        <v>0</v>
      </c>
      <c r="AD138" s="125">
        <v>2</v>
      </c>
      <c r="AE138" s="148">
        <f t="shared" si="21"/>
        <v>2</v>
      </c>
      <c r="AF138" s="156"/>
      <c r="AG138" s="156"/>
      <c r="AH138" s="113">
        <f t="shared" si="22"/>
        <v>17</v>
      </c>
      <c r="AI138" s="157">
        <v>65</v>
      </c>
      <c r="AJ138" s="113">
        <f t="shared" si="23"/>
        <v>82</v>
      </c>
      <c r="AK138" s="113">
        <f t="shared" si="24"/>
        <v>82</v>
      </c>
      <c r="AL138" s="158">
        <f t="shared" si="25"/>
        <v>1.02</v>
      </c>
      <c r="AM138" s="159"/>
      <c r="AN138" s="160">
        <f t="shared" si="31"/>
        <v>1</v>
      </c>
      <c r="AO138" s="160">
        <f t="shared" si="31"/>
        <v>2</v>
      </c>
      <c r="AP138" s="133"/>
      <c r="AQ138" s="134"/>
      <c r="AR138" s="161"/>
      <c r="AS138" s="161"/>
      <c r="AT138" s="161"/>
      <c r="AU138" s="161"/>
      <c r="AV138" s="162"/>
      <c r="AW138" s="137">
        <f t="shared" si="26"/>
        <v>0</v>
      </c>
      <c r="AX138" s="137">
        <f t="shared" si="27"/>
        <v>0</v>
      </c>
    </row>
    <row r="139" ht="46.5" customHeight="1" spans="1:50" s="97" customFormat="1" x14ac:dyDescent="0.25">
      <c r="A139" s="100"/>
      <c r="B139" s="100"/>
      <c r="C139" s="100"/>
      <c r="D139" s="100"/>
      <c r="E139" s="100"/>
      <c r="F139" s="100"/>
      <c r="G139" s="103"/>
      <c r="H139" s="186"/>
      <c r="I139" s="195">
        <v>0.51</v>
      </c>
      <c r="J139" s="107">
        <v>0.49</v>
      </c>
      <c r="K139" s="107"/>
      <c r="L139" s="107"/>
      <c r="M139" s="187"/>
      <c r="N139" s="169">
        <f t="shared" si="29"/>
        <v>1</v>
      </c>
      <c r="O139" s="144">
        <v>1</v>
      </c>
      <c r="P139" s="145">
        <v>15</v>
      </c>
      <c r="Q139" s="113">
        <v>15</v>
      </c>
      <c r="R139" s="113"/>
      <c r="S139" s="113"/>
      <c r="T139" s="146"/>
      <c r="U139" s="148">
        <f t="shared" si="17"/>
        <v>15</v>
      </c>
      <c r="V139" s="149">
        <f t="shared" si="18"/>
        <v>15</v>
      </c>
      <c r="W139" s="189"/>
      <c r="X139" s="199"/>
      <c r="Y139" s="151"/>
      <c r="Z139" s="190"/>
      <c r="AA139" s="153"/>
      <c r="AB139" s="154">
        <f t="shared" si="19"/>
        <v>0</v>
      </c>
      <c r="AC139" s="149">
        <f t="shared" si="20"/>
        <v>0</v>
      </c>
      <c r="AD139" s="125">
        <v>2</v>
      </c>
      <c r="AE139" s="148">
        <f t="shared" si="21"/>
        <v>2</v>
      </c>
      <c r="AF139" s="156"/>
      <c r="AG139" s="156"/>
      <c r="AH139" s="113">
        <f t="shared" si="22"/>
        <v>17</v>
      </c>
      <c r="AI139" s="157">
        <v>65</v>
      </c>
      <c r="AJ139" s="113">
        <f t="shared" si="23"/>
        <v>82</v>
      </c>
      <c r="AK139" s="113">
        <f t="shared" si="24"/>
        <v>82</v>
      </c>
      <c r="AL139" s="158">
        <f t="shared" si="25"/>
        <v>1.02</v>
      </c>
      <c r="AM139" s="159"/>
      <c r="AN139" s="160">
        <f t="shared" si="31"/>
        <v>1</v>
      </c>
      <c r="AO139" s="160">
        <f t="shared" si="31"/>
        <v>2</v>
      </c>
      <c r="AP139" s="133"/>
      <c r="AQ139" s="134"/>
      <c r="AR139" s="161"/>
      <c r="AS139" s="161"/>
      <c r="AT139" s="161"/>
      <c r="AU139" s="161"/>
      <c r="AV139" s="162"/>
      <c r="AW139" s="137">
        <f t="shared" si="26"/>
        <v>0</v>
      </c>
      <c r="AX139" s="137">
        <f t="shared" si="27"/>
        <v>0</v>
      </c>
    </row>
    <row r="140" ht="47.25" customHeight="1" spans="1:50" s="56" customFormat="1" x14ac:dyDescent="0.25">
      <c r="A140" s="100"/>
      <c r="B140" s="100"/>
      <c r="C140" s="100"/>
      <c r="D140" s="100"/>
      <c r="E140" s="100"/>
      <c r="F140" s="100"/>
      <c r="G140" s="103"/>
      <c r="H140" s="186"/>
      <c r="I140" s="195">
        <v>0.51</v>
      </c>
      <c r="J140" s="107">
        <v>0.49</v>
      </c>
      <c r="K140" s="107"/>
      <c r="L140" s="107"/>
      <c r="M140" s="187"/>
      <c r="N140" s="169">
        <f t="shared" si="29"/>
        <v>1</v>
      </c>
      <c r="O140" s="144">
        <v>1</v>
      </c>
      <c r="P140" s="145">
        <v>15</v>
      </c>
      <c r="Q140" s="113">
        <v>15</v>
      </c>
      <c r="R140" s="113"/>
      <c r="S140" s="113"/>
      <c r="T140" s="146"/>
      <c r="U140" s="148">
        <f t="shared" si="17"/>
        <v>15</v>
      </c>
      <c r="V140" s="149">
        <f t="shared" si="18"/>
        <v>15</v>
      </c>
      <c r="W140" s="189"/>
      <c r="X140" s="199"/>
      <c r="Y140" s="151"/>
      <c r="Z140" s="190"/>
      <c r="AA140" s="153"/>
      <c r="AB140" s="154">
        <f t="shared" si="19"/>
        <v>0</v>
      </c>
      <c r="AC140" s="149">
        <f t="shared" si="20"/>
        <v>0</v>
      </c>
      <c r="AD140" s="125">
        <v>2</v>
      </c>
      <c r="AE140" s="148">
        <f t="shared" si="21"/>
        <v>2</v>
      </c>
      <c r="AF140" s="156"/>
      <c r="AG140" s="156"/>
      <c r="AH140" s="113">
        <f t="shared" si="22"/>
        <v>17</v>
      </c>
      <c r="AI140" s="157">
        <v>65</v>
      </c>
      <c r="AJ140" s="113">
        <f t="shared" si="23"/>
        <v>82</v>
      </c>
      <c r="AK140" s="113">
        <f t="shared" si="24"/>
        <v>82</v>
      </c>
      <c r="AL140" s="158">
        <f t="shared" si="25"/>
        <v>1.02</v>
      </c>
      <c r="AM140" s="159"/>
      <c r="AN140" s="160">
        <f t="shared" si="31"/>
        <v>1</v>
      </c>
      <c r="AO140" s="160">
        <f t="shared" si="31"/>
        <v>2</v>
      </c>
      <c r="AP140" s="133"/>
      <c r="AQ140" s="134"/>
      <c r="AR140" s="161"/>
      <c r="AS140" s="161"/>
      <c r="AT140" s="161"/>
      <c r="AU140" s="161"/>
      <c r="AV140" s="162"/>
      <c r="AW140" s="137">
        <f t="shared" si="26"/>
        <v>0</v>
      </c>
      <c r="AX140" s="137">
        <f t="shared" si="27"/>
        <v>0</v>
      </c>
    </row>
    <row r="141" ht="47.25" customHeight="1" spans="1:50" s="97" customFormat="1" x14ac:dyDescent="0.25">
      <c r="A141" s="100"/>
      <c r="B141" s="100"/>
      <c r="C141" s="100"/>
      <c r="D141" s="100"/>
      <c r="E141" s="100"/>
      <c r="F141" s="100"/>
      <c r="G141" s="103"/>
      <c r="H141" s="186"/>
      <c r="I141" s="195">
        <v>0.51</v>
      </c>
      <c r="J141" s="107">
        <v>0.49</v>
      </c>
      <c r="K141" s="107"/>
      <c r="L141" s="107"/>
      <c r="M141" s="187"/>
      <c r="N141" s="169">
        <f t="shared" si="29"/>
        <v>1</v>
      </c>
      <c r="O141" s="144">
        <v>1</v>
      </c>
      <c r="P141" s="145">
        <v>15</v>
      </c>
      <c r="Q141" s="113">
        <v>15</v>
      </c>
      <c r="R141" s="113"/>
      <c r="S141" s="113"/>
      <c r="T141" s="146"/>
      <c r="U141" s="148">
        <f t="shared" si="17"/>
        <v>15</v>
      </c>
      <c r="V141" s="149">
        <f t="shared" si="18"/>
        <v>15</v>
      </c>
      <c r="W141" s="189"/>
      <c r="X141" s="199"/>
      <c r="Y141" s="151"/>
      <c r="Z141" s="190"/>
      <c r="AA141" s="153"/>
      <c r="AB141" s="154">
        <f t="shared" si="19"/>
        <v>0</v>
      </c>
      <c r="AC141" s="149">
        <f t="shared" si="20"/>
        <v>0</v>
      </c>
      <c r="AD141" s="125">
        <v>2</v>
      </c>
      <c r="AE141" s="148">
        <f t="shared" si="21"/>
        <v>2</v>
      </c>
      <c r="AF141" s="156"/>
      <c r="AG141" s="156"/>
      <c r="AH141" s="113">
        <f t="shared" si="22"/>
        <v>17</v>
      </c>
      <c r="AI141" s="157">
        <v>65</v>
      </c>
      <c r="AJ141" s="113">
        <f t="shared" si="23"/>
        <v>82</v>
      </c>
      <c r="AK141" s="113">
        <f t="shared" si="24"/>
        <v>82</v>
      </c>
      <c r="AL141" s="158">
        <f t="shared" si="25"/>
        <v>1.02</v>
      </c>
      <c r="AM141" s="159"/>
      <c r="AN141" s="160">
        <f t="shared" si="31"/>
        <v>1</v>
      </c>
      <c r="AO141" s="160">
        <f t="shared" si="31"/>
        <v>2</v>
      </c>
      <c r="AP141" s="133"/>
      <c r="AQ141" s="134"/>
      <c r="AR141" s="161"/>
      <c r="AS141" s="161"/>
      <c r="AT141" s="161"/>
      <c r="AU141" s="161"/>
      <c r="AV141" s="162"/>
      <c r="AW141" s="137">
        <f t="shared" si="26"/>
        <v>0</v>
      </c>
      <c r="AX141" s="137">
        <f t="shared" si="27"/>
        <v>0</v>
      </c>
    </row>
    <row r="142" ht="46.5" customHeight="1" spans="1:50" s="97" customFormat="1" x14ac:dyDescent="0.25">
      <c r="A142" s="100"/>
      <c r="B142" s="100"/>
      <c r="C142" s="100"/>
      <c r="D142" s="100"/>
      <c r="E142" s="100"/>
      <c r="F142" s="100"/>
      <c r="G142" s="103"/>
      <c r="H142" s="186"/>
      <c r="I142" s="195">
        <v>0.51</v>
      </c>
      <c r="J142" s="107">
        <v>0.49</v>
      </c>
      <c r="K142" s="107"/>
      <c r="L142" s="107"/>
      <c r="M142" s="187"/>
      <c r="N142" s="169">
        <f t="shared" si="29"/>
        <v>1</v>
      </c>
      <c r="O142" s="144">
        <v>1</v>
      </c>
      <c r="P142" s="145">
        <v>15</v>
      </c>
      <c r="Q142" s="113">
        <v>15</v>
      </c>
      <c r="R142" s="113"/>
      <c r="S142" s="113"/>
      <c r="T142" s="146"/>
      <c r="U142" s="148">
        <f t="shared" si="17"/>
        <v>15</v>
      </c>
      <c r="V142" s="149">
        <f t="shared" si="18"/>
        <v>15</v>
      </c>
      <c r="W142" s="189"/>
      <c r="X142" s="199"/>
      <c r="Y142" s="151"/>
      <c r="Z142" s="190"/>
      <c r="AA142" s="153"/>
      <c r="AB142" s="154">
        <f t="shared" si="19"/>
        <v>0</v>
      </c>
      <c r="AC142" s="149">
        <f t="shared" si="20"/>
        <v>0</v>
      </c>
      <c r="AD142" s="125">
        <v>2</v>
      </c>
      <c r="AE142" s="148">
        <f t="shared" si="21"/>
        <v>2</v>
      </c>
      <c r="AF142" s="156"/>
      <c r="AG142" s="156"/>
      <c r="AH142" s="113">
        <f t="shared" si="22"/>
        <v>17</v>
      </c>
      <c r="AI142" s="157">
        <v>65</v>
      </c>
      <c r="AJ142" s="113">
        <f t="shared" si="23"/>
        <v>82</v>
      </c>
      <c r="AK142" s="113">
        <f t="shared" si="24"/>
        <v>82</v>
      </c>
      <c r="AL142" s="158">
        <f t="shared" si="25"/>
        <v>1.02</v>
      </c>
      <c r="AM142" s="159"/>
      <c r="AN142" s="160">
        <f t="shared" si="31"/>
        <v>1</v>
      </c>
      <c r="AO142" s="160">
        <f t="shared" si="31"/>
        <v>2</v>
      </c>
      <c r="AP142" s="133"/>
      <c r="AQ142" s="134"/>
      <c r="AR142" s="161"/>
      <c r="AS142" s="161"/>
      <c r="AT142" s="161"/>
      <c r="AU142" s="161"/>
      <c r="AV142" s="162"/>
      <c r="AW142" s="137">
        <f t="shared" si="26"/>
        <v>0</v>
      </c>
      <c r="AX142" s="137">
        <f t="shared" si="27"/>
        <v>0</v>
      </c>
    </row>
  </sheetData>
  <mergeCells count="51">
    <mergeCell ref="D1:E1"/>
    <mergeCell ref="F1:G1"/>
    <mergeCell ref="I1:J1"/>
    <mergeCell ref="Y1:Z1"/>
    <mergeCell ref="AA1:AC1"/>
    <mergeCell ref="AD1:AE1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AG2:AH2"/>
    <mergeCell ref="AI2:AK2"/>
    <mergeCell ref="AS2:AT2"/>
    <mergeCell ref="C3:H3"/>
    <mergeCell ref="I3:M3"/>
    <mergeCell ref="P3:U3"/>
    <mergeCell ref="W3:AE3"/>
    <mergeCell ref="A3:A4"/>
    <mergeCell ref="B3:B4"/>
    <mergeCell ref="N3:N4"/>
    <mergeCell ref="O3:O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6:H6"/>
    <mergeCell ref="A8:H8"/>
    <mergeCell ref="A10:H10"/>
    <mergeCell ref="A12:H12"/>
    <mergeCell ref="A14:H14"/>
    <mergeCell ref="A16:H16"/>
    <mergeCell ref="A18:H18"/>
    <mergeCell ref="A20:H20"/>
    <mergeCell ref="A22:H22"/>
    <mergeCell ref="A24:H24"/>
    <mergeCell ref="A26:H26"/>
  </mergeCells>
  <pageMargins left="0.7" right="0.7" top="0.75" bottom="0.75" header="0.3" footer="0.3"/>
  <pageSetup paperSize="9" orientation="portrait" horizontalDpi="4294967295" verticalDpi="4294967295" scale="40" fitToWidth="1" fitToHeight="1" firstPageNumber="1" useFirstPageNumber="1" copies="1"/>
</worksheet>
</file>

<file path=xl/worksheets/sheet8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"/>
  <sheetViews>
    <sheetView workbookViewId="0" zoomScale="80" zoomScaleNormal="80">
      <selection activeCell="J16" sqref="J16"/>
    </sheetView>
  </sheetViews>
  <sheetFormatPr defaultRowHeight="13.5" outlineLevelRow="0" outlineLevelCol="0" x14ac:dyDescent="0.15" defaultColWidth="8.88671875" customHeight="1"/>
  <cols>
    <col min="1" max="1" width="5.33203125" style="1" customWidth="1"/>
    <col min="2" max="2" width="5.109375" style="2" customWidth="1"/>
    <col min="3" max="3" width="8.33203125" style="3" customWidth="1"/>
    <col min="4" max="7" width="8.33203125" style="1" customWidth="1"/>
    <col min="8" max="13" width="8.109375" style="1" customWidth="1"/>
    <col min="14" max="15" width="5.88671875" style="1" customWidth="1"/>
    <col min="16" max="21" width="7.5546875" style="1" customWidth="1"/>
    <col min="22" max="22" width="7.6640625" style="4" hidden="1" customWidth="1"/>
    <col min="23" max="27" width="8.33203125" style="1" customWidth="1"/>
    <col min="28" max="28" width="7.6640625" style="1" customWidth="1"/>
    <col min="29" max="29" width="7.6640625" style="4" hidden="1" customWidth="1"/>
    <col min="30" max="31" width="7.6640625" style="4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 customWidth="1"/>
    <col min="49" max="50" width="15.109375" style="1" customWidth="1"/>
    <col min="51" max="16384" width="8.88671875" style="1" customWidth="1"/>
  </cols>
  <sheetData>
    <row r="1" ht="32.25" customHeight="1" spans="3:42" x14ac:dyDescent="0.25">
      <c r="C1" s="5" t="s">
        <v>0</v>
      </c>
      <c r="D1" s="6">
        <v>1174047000</v>
      </c>
      <c r="E1" s="7"/>
      <c r="F1" s="6"/>
      <c r="G1" s="7"/>
      <c r="H1" s="8" t="s">
        <v>1</v>
      </c>
      <c r="I1" s="9">
        <v>1570536200</v>
      </c>
      <c r="J1" s="9"/>
      <c r="K1" s="220" t="s">
        <v>98</v>
      </c>
      <c r="L1" s="11"/>
      <c r="M1" s="11"/>
      <c r="N1" s="12"/>
      <c r="O1" s="12"/>
      <c r="P1" s="12"/>
      <c r="Q1" s="12"/>
      <c r="R1" s="12"/>
      <c r="S1" s="12"/>
      <c r="T1" s="12"/>
      <c r="U1" s="12"/>
      <c r="V1" s="12"/>
      <c r="W1" s="12"/>
      <c r="X1" s="13"/>
      <c r="Y1" s="14" t="s">
        <v>3</v>
      </c>
      <c r="Z1" s="14"/>
      <c r="AA1" s="15" t="s">
        <v>4</v>
      </c>
      <c r="AB1" s="16"/>
      <c r="AC1" s="17"/>
      <c r="AD1" s="18" t="s">
        <v>5</v>
      </c>
      <c r="AE1" s="19"/>
      <c r="AF1" s="20"/>
      <c r="AG1" s="21" t="s">
        <v>6</v>
      </c>
      <c r="AH1" s="22"/>
      <c r="AI1" s="23">
        <v>1174047000</v>
      </c>
      <c r="AJ1" s="24"/>
      <c r="AK1" s="24"/>
      <c r="AL1" s="25" t="s">
        <v>7</v>
      </c>
      <c r="AM1" s="26"/>
      <c r="AN1" s="26"/>
      <c r="AO1" s="26"/>
      <c r="AP1" s="12"/>
    </row>
    <row r="2" ht="29.25" customHeight="1" spans="1:49" s="27" customFormat="1" x14ac:dyDescent="0.25">
      <c r="A2" s="20"/>
      <c r="B2" s="28"/>
      <c r="C2" s="29" t="s">
        <v>8</v>
      </c>
      <c r="D2" s="30">
        <v>1291451000</v>
      </c>
      <c r="E2" s="31"/>
      <c r="F2" s="32"/>
      <c r="G2" s="33"/>
      <c r="H2" s="5" t="s">
        <v>9</v>
      </c>
      <c r="I2" s="34">
        <f>D2*1</f>
        <v>1291451000</v>
      </c>
      <c r="J2" s="32"/>
      <c r="K2" s="35" t="s">
        <v>10</v>
      </c>
      <c r="L2" s="36" t="s">
        <v>11</v>
      </c>
      <c r="M2" s="37">
        <v>45898.45833333333</v>
      </c>
      <c r="N2" s="37"/>
      <c r="O2" s="37"/>
      <c r="P2" s="37"/>
      <c r="Q2" s="38" t="s">
        <v>99</v>
      </c>
      <c r="R2" s="38"/>
      <c r="S2" s="38"/>
      <c r="T2" s="39"/>
      <c r="U2" s="40"/>
      <c r="V2" s="40"/>
      <c r="W2" s="41"/>
      <c r="X2" s="42"/>
      <c r="Y2" s="43">
        <v>1842992000</v>
      </c>
      <c r="Z2" s="43"/>
      <c r="AA2" s="44">
        <f>I1</f>
        <v>1570536200</v>
      </c>
      <c r="AB2" s="45"/>
      <c r="AC2" s="46"/>
      <c r="AD2" s="47">
        <f>TRUNC(Y2/AA2,4)</f>
        <v>1.1734</v>
      </c>
      <c r="AE2" s="48"/>
      <c r="AF2" s="49"/>
      <c r="AG2" s="21" t="s">
        <v>13</v>
      </c>
      <c r="AH2" s="22"/>
      <c r="AI2" s="23"/>
      <c r="AJ2" s="24"/>
      <c r="AK2" s="24"/>
      <c r="AL2" s="50"/>
      <c r="AM2" s="50"/>
      <c r="AN2" s="51" t="s">
        <v>14</v>
      </c>
      <c r="AP2" s="1"/>
      <c r="AQ2" s="1"/>
      <c r="AR2" s="52" t="s">
        <v>15</v>
      </c>
      <c r="AS2" s="53">
        <f>AI1</f>
        <v>1174047000</v>
      </c>
      <c r="AT2" s="54"/>
      <c r="AW2" s="55"/>
    </row>
    <row r="3" ht="24.95" customHeight="1" spans="1:50" s="56" customFormat="1" x14ac:dyDescent="0.25">
      <c r="A3" s="57" t="s">
        <v>16</v>
      </c>
      <c r="B3" s="58" t="s">
        <v>17</v>
      </c>
      <c r="C3" s="59" t="s">
        <v>18</v>
      </c>
      <c r="D3" s="60"/>
      <c r="E3" s="60"/>
      <c r="F3" s="60"/>
      <c r="G3" s="60"/>
      <c r="H3" s="61"/>
      <c r="I3" s="59" t="s">
        <v>19</v>
      </c>
      <c r="J3" s="60"/>
      <c r="K3" s="60"/>
      <c r="L3" s="60"/>
      <c r="M3" s="61"/>
      <c r="N3" s="62" t="s">
        <v>20</v>
      </c>
      <c r="O3" s="63" t="s">
        <v>21</v>
      </c>
      <c r="P3" s="59" t="s">
        <v>22</v>
      </c>
      <c r="Q3" s="60"/>
      <c r="R3" s="64"/>
      <c r="S3" s="64"/>
      <c r="T3" s="60"/>
      <c r="U3" s="61"/>
      <c r="V3" s="65"/>
      <c r="W3" s="59" t="s">
        <v>23</v>
      </c>
      <c r="X3" s="60"/>
      <c r="Y3" s="60"/>
      <c r="Z3" s="60"/>
      <c r="AA3" s="60"/>
      <c r="AB3" s="60"/>
      <c r="AC3" s="60"/>
      <c r="AD3" s="60"/>
      <c r="AE3" s="61"/>
      <c r="AF3" s="60"/>
      <c r="AG3" s="60"/>
      <c r="AH3" s="60"/>
      <c r="AI3" s="60"/>
      <c r="AJ3" s="60"/>
      <c r="AK3" s="61"/>
      <c r="AL3" s="66" t="s">
        <v>24</v>
      </c>
      <c r="AM3" s="67" t="s">
        <v>25</v>
      </c>
      <c r="AN3" s="68" t="s">
        <v>26</v>
      </c>
      <c r="AO3" s="69" t="s">
        <v>27</v>
      </c>
      <c r="AP3" s="70" t="s">
        <v>28</v>
      </c>
      <c r="AQ3" s="65" t="s">
        <v>29</v>
      </c>
      <c r="AR3" s="67" t="s">
        <v>30</v>
      </c>
      <c r="AS3" s="65" t="s">
        <v>31</v>
      </c>
      <c r="AT3" s="65" t="s">
        <v>32</v>
      </c>
      <c r="AU3" s="65" t="s">
        <v>33</v>
      </c>
      <c r="AV3" s="71" t="s">
        <v>34</v>
      </c>
      <c r="AW3" s="65" t="s">
        <v>35</v>
      </c>
      <c r="AX3" s="65" t="s">
        <v>36</v>
      </c>
    </row>
    <row r="4" ht="39.75" customHeight="1" spans="1:50" s="56" customFormat="1" x14ac:dyDescent="0.25">
      <c r="A4" s="72"/>
      <c r="B4" s="73"/>
      <c r="C4" s="74" t="s">
        <v>37</v>
      </c>
      <c r="D4" s="75" t="s">
        <v>38</v>
      </c>
      <c r="E4" s="76" t="s">
        <v>39</v>
      </c>
      <c r="F4" s="76" t="s">
        <v>40</v>
      </c>
      <c r="G4" s="77" t="s">
        <v>41</v>
      </c>
      <c r="H4" s="65" t="s">
        <v>100</v>
      </c>
      <c r="I4" s="78" t="s">
        <v>37</v>
      </c>
      <c r="J4" s="79" t="s">
        <v>38</v>
      </c>
      <c r="K4" s="75" t="s">
        <v>39</v>
      </c>
      <c r="L4" s="75" t="s">
        <v>40</v>
      </c>
      <c r="M4" s="80" t="s">
        <v>41</v>
      </c>
      <c r="N4" s="81"/>
      <c r="O4" s="82"/>
      <c r="P4" s="78" t="s">
        <v>37</v>
      </c>
      <c r="Q4" s="79" t="s">
        <v>38</v>
      </c>
      <c r="R4" s="75" t="s">
        <v>39</v>
      </c>
      <c r="S4" s="75" t="s">
        <v>40</v>
      </c>
      <c r="T4" s="80" t="s">
        <v>41</v>
      </c>
      <c r="U4" s="83" t="s">
        <v>42</v>
      </c>
      <c r="V4" s="84" t="s">
        <v>43</v>
      </c>
      <c r="W4" s="85" t="s">
        <v>37</v>
      </c>
      <c r="X4" s="79" t="s">
        <v>38</v>
      </c>
      <c r="Y4" s="79" t="s">
        <v>39</v>
      </c>
      <c r="Z4" s="79" t="s">
        <v>40</v>
      </c>
      <c r="AA4" s="80" t="s">
        <v>41</v>
      </c>
      <c r="AB4" s="86" t="s">
        <v>44</v>
      </c>
      <c r="AC4" s="87" t="s">
        <v>45</v>
      </c>
      <c r="AD4" s="88" t="s">
        <v>46</v>
      </c>
      <c r="AE4" s="88" t="s">
        <v>47</v>
      </c>
      <c r="AF4" s="89" t="s">
        <v>48</v>
      </c>
      <c r="AG4" s="89" t="s">
        <v>49</v>
      </c>
      <c r="AH4" s="90" t="s">
        <v>50</v>
      </c>
      <c r="AI4" s="91" t="s">
        <v>51</v>
      </c>
      <c r="AJ4" s="91"/>
      <c r="AK4" s="91" t="s">
        <v>52</v>
      </c>
      <c r="AL4" s="92"/>
      <c r="AM4" s="93"/>
      <c r="AN4" s="94"/>
      <c r="AO4" s="95"/>
      <c r="AP4" s="70"/>
      <c r="AQ4" s="65"/>
      <c r="AR4" s="93"/>
      <c r="AS4" s="65"/>
      <c r="AT4" s="65"/>
      <c r="AU4" s="65"/>
      <c r="AV4" s="96"/>
      <c r="AW4" s="65"/>
      <c r="AX4" s="65"/>
    </row>
    <row r="5" ht="46.5" customHeight="1" spans="1:50" s="97" customFormat="1" x14ac:dyDescent="0.25">
      <c r="A5" s="98">
        <v>1</v>
      </c>
      <c r="B5" s="163" t="s">
        <v>53</v>
      </c>
      <c r="C5" s="102" t="s">
        <v>63</v>
      </c>
      <c r="D5" s="101" t="s">
        <v>101</v>
      </c>
      <c r="E5" s="163"/>
      <c r="F5" s="102"/>
      <c r="G5" s="103"/>
      <c r="H5" s="104"/>
      <c r="I5" s="166">
        <v>0.51</v>
      </c>
      <c r="J5" s="107">
        <v>0.49</v>
      </c>
      <c r="K5" s="107"/>
      <c r="L5" s="108"/>
      <c r="M5" s="109"/>
      <c r="N5" s="110">
        <f>SUM(I5:M5)</f>
        <v>1</v>
      </c>
      <c r="O5" s="111">
        <v>1</v>
      </c>
      <c r="P5" s="112">
        <v>15</v>
      </c>
      <c r="Q5" s="218">
        <v>13.4</v>
      </c>
      <c r="R5" s="112"/>
      <c r="S5" s="114"/>
      <c r="T5" s="115"/>
      <c r="U5" s="116">
        <f>ROUND(((P5*I5)+(Q5*J5)+(R5*K5)+(S5*L5)+(T5*M5))*O5,2)</f>
        <v>14.22</v>
      </c>
      <c r="V5" s="117">
        <f>IF(U5&gt;=15,15,U5)</f>
        <v>14.22</v>
      </c>
      <c r="W5" s="120">
        <v>57539030000</v>
      </c>
      <c r="X5" s="221">
        <v>3070576000</v>
      </c>
      <c r="Y5" s="120"/>
      <c r="Z5" s="121"/>
      <c r="AA5" s="122"/>
      <c r="AB5" s="123">
        <f>ROUND((((W5*I5)+(X5*J5)+(Y5*K5)+(Z5*L5)+(AA5*M5))/$I$2),2)*13</f>
        <v>310.57</v>
      </c>
      <c r="AC5" s="124">
        <f>IF(AB5&gt;=13,13,AB5)</f>
        <v>13</v>
      </c>
      <c r="AD5" s="125">
        <v>2</v>
      </c>
      <c r="AE5" s="116">
        <f>IF((AC5+AD5)&gt;=15,15,(AC5+AD5))</f>
        <v>15</v>
      </c>
      <c r="AF5" s="126">
        <f>1.5*I5</f>
        <v>0.765</v>
      </c>
      <c r="AG5" s="127">
        <v>1.08</v>
      </c>
      <c r="AH5" s="128">
        <f>IF((V5+AE5+AF5)&gt;=30,30,(V5+AE5+AF5))</f>
        <v>29.985</v>
      </c>
      <c r="AI5" s="129">
        <v>65</v>
      </c>
      <c r="AJ5" s="128">
        <f>V5+AE5+AF5+AI5+AG5</f>
        <v>96.065</v>
      </c>
      <c r="AK5" s="128">
        <f>IF(AH5+AI5+AG5&gt;=95,95,AH5+AI5+AG5)</f>
        <v>95</v>
      </c>
      <c r="AL5" s="130">
        <f>-((50-((176+(45+(50-AH5)))))/200)</f>
        <v>0.9550749999999999</v>
      </c>
      <c r="AM5" s="131"/>
      <c r="AN5" s="132">
        <f>100%+AM5</f>
        <v>1</v>
      </c>
      <c r="AO5" s="132">
        <f>100%+AN5</f>
        <v>2</v>
      </c>
      <c r="AP5" s="133"/>
      <c r="AQ5" s="134"/>
      <c r="AR5" s="135"/>
      <c r="AS5" s="135"/>
      <c r="AT5" s="135"/>
      <c r="AU5" s="135"/>
      <c r="AV5" s="136"/>
      <c r="AW5" s="137">
        <f>AR5+AS5+AT5+AU5+AV5</f>
        <v>0</v>
      </c>
      <c r="AX5" s="137">
        <f>(AR5*I5)+(AS5*J5)+(AT5*K5)+(AU5*L5)+(AV5*M5)</f>
        <v>0</v>
      </c>
    </row>
    <row r="6" ht="21.95" customHeight="1" spans="1:50" s="97" customFormat="1" x14ac:dyDescent="0.25">
      <c r="A6" s="138" t="s">
        <v>56</v>
      </c>
      <c r="B6" s="139"/>
      <c r="C6" s="139"/>
      <c r="D6" s="139"/>
      <c r="E6" s="139"/>
      <c r="F6" s="139"/>
      <c r="G6" s="139"/>
      <c r="H6" s="140"/>
      <c r="I6" s="222">
        <v>85</v>
      </c>
      <c r="J6" s="142">
        <v>85</v>
      </c>
      <c r="K6" s="142"/>
      <c r="L6" s="142"/>
      <c r="M6" s="142"/>
      <c r="N6" s="143">
        <f>I6*I5+J6*J5+K6*K5+L6*L5+M6*M5</f>
        <v>85</v>
      </c>
      <c r="O6" s="144"/>
      <c r="P6" s="145"/>
      <c r="Q6" s="113"/>
      <c r="R6" s="113"/>
      <c r="S6" s="146"/>
      <c r="T6" s="147"/>
      <c r="U6" s="148"/>
      <c r="V6" s="149"/>
      <c r="W6" s="150"/>
      <c r="X6" s="151"/>
      <c r="Y6" s="152"/>
      <c r="Z6" s="151"/>
      <c r="AA6" s="153"/>
      <c r="AB6" s="154"/>
      <c r="AC6" s="149"/>
      <c r="AD6" s="148"/>
      <c r="AE6" s="148"/>
      <c r="AF6" s="155"/>
      <c r="AG6" s="156"/>
      <c r="AH6" s="113"/>
      <c r="AI6" s="157"/>
      <c r="AJ6" s="113"/>
      <c r="AK6" s="113"/>
      <c r="AL6" s="158"/>
      <c r="AM6" s="159"/>
      <c r="AN6" s="160"/>
      <c r="AO6" s="160"/>
      <c r="AP6" s="133"/>
      <c r="AQ6" s="134"/>
      <c r="AR6" s="161"/>
      <c r="AS6" s="161"/>
      <c r="AT6" s="161"/>
      <c r="AU6" s="161"/>
      <c r="AV6" s="162"/>
      <c r="AW6" s="137"/>
      <c r="AX6" s="137"/>
    </row>
    <row r="7" ht="46.5" customHeight="1" spans="1:50" s="97" customFormat="1" x14ac:dyDescent="0.25">
      <c r="A7" s="98">
        <v>2</v>
      </c>
      <c r="B7" s="223" t="s">
        <v>102</v>
      </c>
      <c r="C7" s="102" t="s">
        <v>54</v>
      </c>
      <c r="D7" s="101" t="s">
        <v>103</v>
      </c>
      <c r="E7" s="102"/>
      <c r="F7" s="163"/>
      <c r="G7" s="164"/>
      <c r="H7" s="165"/>
      <c r="I7" s="166">
        <v>0.51</v>
      </c>
      <c r="J7" s="107">
        <v>0.49</v>
      </c>
      <c r="K7" s="107"/>
      <c r="L7" s="167"/>
      <c r="M7" s="168"/>
      <c r="N7" s="169">
        <f>SUM(I7:M7)</f>
        <v>1</v>
      </c>
      <c r="O7" s="144">
        <v>1</v>
      </c>
      <c r="P7" s="112">
        <v>15</v>
      </c>
      <c r="Q7" s="218">
        <v>13.4</v>
      </c>
      <c r="R7" s="112"/>
      <c r="S7" s="113"/>
      <c r="T7" s="147"/>
      <c r="U7" s="148">
        <f>ROUND(((P7*I7)+(Q7*J7)+(R7*K7)+(S7*L7)+(T7*M7))*O7,2)</f>
        <v>14.22</v>
      </c>
      <c r="V7" s="149">
        <f>IF(U7&gt;=15,15,U7)</f>
        <v>14.22</v>
      </c>
      <c r="W7" s="120">
        <v>59183685000</v>
      </c>
      <c r="X7" s="120">
        <v>3074157000</v>
      </c>
      <c r="Y7" s="120"/>
      <c r="Z7" s="151"/>
      <c r="AA7" s="153"/>
      <c r="AB7" s="154">
        <f>ROUND((((W7*I7)+(X7*J7)+(Y7*K7)+(Z7*L7)+(AA7*M7))/$I$2),2)*13</f>
        <v>319.02</v>
      </c>
      <c r="AC7" s="149">
        <f>IF(AB7&gt;=13,13,AB7)</f>
        <v>13</v>
      </c>
      <c r="AD7" s="125">
        <v>2</v>
      </c>
      <c r="AE7" s="148">
        <f>IF((AC7+AD7)&gt;=15,15,(AC7+AD7))</f>
        <v>15</v>
      </c>
      <c r="AF7" s="155">
        <f>1.5*I7</f>
        <v>0.765</v>
      </c>
      <c r="AG7" s="127">
        <v>1.08</v>
      </c>
      <c r="AH7" s="113">
        <f>IF((V7+AE7+AF7)&gt;=30,30,(V7+AE7+AF7))</f>
        <v>29.985</v>
      </c>
      <c r="AI7" s="157">
        <v>65</v>
      </c>
      <c r="AJ7" s="113">
        <f>V7+AE7+AF7+AI7+AG7</f>
        <v>96.065</v>
      </c>
      <c r="AK7" s="113">
        <f>IF(AH7+AI7+AG7&gt;=95,95,AH7+AI7+AG7)</f>
        <v>95</v>
      </c>
      <c r="AL7" s="158">
        <f>-((50-((176+(45+(50-AH7)))))/200)</f>
        <v>0.9550749999999999</v>
      </c>
      <c r="AM7" s="159"/>
      <c r="AN7" s="160">
        <f>100%+AM7</f>
        <v>1</v>
      </c>
      <c r="AO7" s="160">
        <f>100%+AN7</f>
        <v>2</v>
      </c>
      <c r="AP7" s="133"/>
      <c r="AQ7" s="134"/>
      <c r="AR7" s="161"/>
      <c r="AS7" s="161"/>
      <c r="AT7" s="161"/>
      <c r="AU7" s="161"/>
      <c r="AV7" s="162"/>
      <c r="AW7" s="137">
        <f>AR7+AS7+AT7+AU7+AV7</f>
        <v>0</v>
      </c>
      <c r="AX7" s="137">
        <f>(AR7*I7)+(AS7*J7)+(AT7*K7)+(AU7*L7)+(AV7*M7)</f>
        <v>0</v>
      </c>
    </row>
    <row r="8" ht="21.95" customHeight="1" spans="1:50" s="97" customFormat="1" x14ac:dyDescent="0.25">
      <c r="A8" s="138" t="s">
        <v>56</v>
      </c>
      <c r="B8" s="139"/>
      <c r="C8" s="139"/>
      <c r="D8" s="139"/>
      <c r="E8" s="139"/>
      <c r="F8" s="139"/>
      <c r="G8" s="139"/>
      <c r="H8" s="140"/>
      <c r="I8" s="222">
        <v>85</v>
      </c>
      <c r="J8" s="142">
        <v>85</v>
      </c>
      <c r="K8" s="142"/>
      <c r="L8" s="142"/>
      <c r="M8" s="142"/>
      <c r="N8" s="170">
        <f>I8*I7+J8*J7+K8*K7+L8*L7+M8*M7</f>
        <v>85</v>
      </c>
      <c r="O8" s="144"/>
      <c r="P8" s="145"/>
      <c r="Q8" s="113"/>
      <c r="R8" s="113"/>
      <c r="S8" s="146"/>
      <c r="T8" s="147"/>
      <c r="U8" s="148"/>
      <c r="V8" s="149"/>
      <c r="W8" s="150"/>
      <c r="X8" s="151"/>
      <c r="Y8" s="152"/>
      <c r="Z8" s="151"/>
      <c r="AA8" s="153"/>
      <c r="AB8" s="154"/>
      <c r="AC8" s="149"/>
      <c r="AD8" s="148"/>
      <c r="AE8" s="148"/>
      <c r="AF8" s="155"/>
      <c r="AG8" s="156"/>
      <c r="AH8" s="113"/>
      <c r="AI8" s="157"/>
      <c r="AJ8" s="113"/>
      <c r="AK8" s="113"/>
      <c r="AL8" s="158"/>
      <c r="AM8" s="159"/>
      <c r="AN8" s="160"/>
      <c r="AO8" s="160"/>
      <c r="AP8" s="133"/>
      <c r="AQ8" s="134"/>
      <c r="AR8" s="161"/>
      <c r="AS8" s="161"/>
      <c r="AT8" s="161"/>
      <c r="AU8" s="161"/>
      <c r="AV8" s="162"/>
      <c r="AW8" s="137"/>
      <c r="AX8" s="137"/>
    </row>
    <row r="9" ht="46.5" customHeight="1" spans="1:50" s="97" customFormat="1" x14ac:dyDescent="0.25">
      <c r="A9" s="98"/>
      <c r="B9" s="163"/>
      <c r="C9" s="102"/>
      <c r="D9" s="102"/>
      <c r="E9" s="163"/>
      <c r="F9" s="163"/>
      <c r="G9" s="103"/>
      <c r="H9" s="171"/>
      <c r="I9" s="166">
        <v>1</v>
      </c>
      <c r="J9" s="107"/>
      <c r="K9" s="107"/>
      <c r="L9" s="167"/>
      <c r="M9" s="168"/>
      <c r="N9" s="169">
        <f>SUM(I9:M9)</f>
        <v>1</v>
      </c>
      <c r="O9" s="144">
        <v>1</v>
      </c>
      <c r="P9" s="112">
        <v>15</v>
      </c>
      <c r="Q9" s="112">
        <v>15</v>
      </c>
      <c r="R9" s="112">
        <v>15</v>
      </c>
      <c r="S9" s="146"/>
      <c r="T9" s="147"/>
      <c r="U9" s="148">
        <f>ROUND(((P9*I9)+(Q9*J9)+(R9*K9)+(S9*L9)+(T9*M9))*O9,2)</f>
        <v>15</v>
      </c>
      <c r="V9" s="149">
        <f>IF(U9&gt;=15,15,U9)</f>
        <v>15</v>
      </c>
      <c r="W9" s="120"/>
      <c r="X9" s="120"/>
      <c r="Y9" s="120"/>
      <c r="Z9" s="151"/>
      <c r="AA9" s="153"/>
      <c r="AB9" s="154">
        <f>ROUND((((W9*I9)+(X9*J9)+(Y9*K9)+(Z9*L9)+(AA9*M9))/$I$2),2)*13</f>
        <v>0</v>
      </c>
      <c r="AC9" s="149">
        <f>IF(AB9&gt;=13,13,AB9)</f>
        <v>0</v>
      </c>
      <c r="AD9" s="125">
        <v>2</v>
      </c>
      <c r="AE9" s="148">
        <f>IF((AC9+AD9)&gt;=15,15,(AC9+AD9))</f>
        <v>2</v>
      </c>
      <c r="AF9" s="155"/>
      <c r="AG9" s="127"/>
      <c r="AH9" s="113">
        <f>IF((V9+AE9+AF9)&gt;=30,30,(V9+AE9+AF9))</f>
        <v>17</v>
      </c>
      <c r="AI9" s="157">
        <v>65</v>
      </c>
      <c r="AJ9" s="113">
        <f>V9+AE9+AF9+AI9+AG9</f>
        <v>82</v>
      </c>
      <c r="AK9" s="113">
        <f>IF(AH9+AI9+AG9&gt;=95,95,AH9+AI9+AG9)</f>
        <v>82</v>
      </c>
      <c r="AL9" s="158">
        <f>-((50-((176+(45+(50-AH9)))))/200)</f>
        <v>1.02</v>
      </c>
      <c r="AM9" s="159"/>
      <c r="AN9" s="160">
        <f>100%+AM9</f>
        <v>1</v>
      </c>
      <c r="AO9" s="160">
        <f>100%+AN9</f>
        <v>2</v>
      </c>
      <c r="AP9" s="133"/>
      <c r="AQ9" s="134"/>
      <c r="AR9" s="161"/>
      <c r="AS9" s="161"/>
      <c r="AT9" s="161"/>
      <c r="AU9" s="161"/>
      <c r="AV9" s="162"/>
      <c r="AW9" s="172">
        <f>AR9+AS9+AT9+AU9+AV9</f>
        <v>0</v>
      </c>
      <c r="AX9" s="172">
        <f>(AR9*I9)+(AS9*J9)+(AT9*K9)+(AU9*L9)+(AV9*M9)</f>
        <v>0</v>
      </c>
    </row>
    <row r="10" ht="21.95" customHeight="1" spans="1:50" s="97" customFormat="1" x14ac:dyDescent="0.25">
      <c r="A10" s="138" t="s">
        <v>56</v>
      </c>
      <c r="B10" s="139"/>
      <c r="C10" s="139"/>
      <c r="D10" s="139"/>
      <c r="E10" s="139"/>
      <c r="F10" s="139"/>
      <c r="G10" s="139"/>
      <c r="H10" s="140"/>
      <c r="I10" s="222">
        <v>85</v>
      </c>
      <c r="J10" s="142">
        <v>85</v>
      </c>
      <c r="K10" s="142">
        <v>85</v>
      </c>
      <c r="L10" s="142"/>
      <c r="M10" s="142"/>
      <c r="N10" s="170">
        <f>I10*I9+J10*J9+K10*K9+L10*L9+M10*M9</f>
        <v>85</v>
      </c>
      <c r="O10" s="144"/>
      <c r="P10" s="145"/>
      <c r="Q10" s="113"/>
      <c r="R10" s="113"/>
      <c r="S10" s="146"/>
      <c r="T10" s="147"/>
      <c r="U10" s="148"/>
      <c r="V10" s="149"/>
      <c r="W10" s="150"/>
      <c r="X10" s="151"/>
      <c r="Y10" s="152"/>
      <c r="Z10" s="151"/>
      <c r="AA10" s="153"/>
      <c r="AB10" s="154"/>
      <c r="AC10" s="149"/>
      <c r="AD10" s="148"/>
      <c r="AE10" s="148"/>
      <c r="AF10" s="155"/>
      <c r="AG10" s="156"/>
      <c r="AH10" s="113"/>
      <c r="AI10" s="157"/>
      <c r="AJ10" s="113"/>
      <c r="AK10" s="113"/>
      <c r="AL10" s="158"/>
      <c r="AM10" s="159"/>
      <c r="AN10" s="160"/>
      <c r="AO10" s="160"/>
      <c r="AP10" s="133"/>
      <c r="AQ10" s="134"/>
      <c r="AR10" s="161"/>
      <c r="AS10" s="161"/>
      <c r="AT10" s="161"/>
      <c r="AU10" s="161"/>
      <c r="AV10" s="162"/>
      <c r="AW10" s="137"/>
      <c r="AX10" s="137"/>
    </row>
    <row r="11" ht="46.5" customHeight="1" spans="1:50" s="97" customFormat="1" x14ac:dyDescent="0.25">
      <c r="A11" s="98"/>
      <c r="B11" s="196"/>
      <c r="C11" s="102" t="s">
        <v>104</v>
      </c>
      <c r="D11" s="102"/>
      <c r="E11" s="163"/>
      <c r="F11" s="163"/>
      <c r="G11" s="103"/>
      <c r="H11" s="171"/>
      <c r="I11" s="166">
        <v>0.51</v>
      </c>
      <c r="J11" s="107">
        <v>0.49</v>
      </c>
      <c r="K11" s="107"/>
      <c r="L11" s="176"/>
      <c r="M11" s="168"/>
      <c r="N11" s="169">
        <f t="shared" ref="N11:N42" si="0">SUM(I11:M11)</f>
        <v>1</v>
      </c>
      <c r="O11" s="144">
        <v>1</v>
      </c>
      <c r="P11" s="112">
        <v>15</v>
      </c>
      <c r="Q11" s="112">
        <v>15</v>
      </c>
      <c r="R11" s="156">
        <v>15</v>
      </c>
      <c r="S11" s="113"/>
      <c r="T11" s="147"/>
      <c r="U11" s="148">
        <f t="shared" ref="U11:U74" si="1">ROUND(((P11*I11)+(Q11*J11)+(R11*K11)+(S11*L11)+(T11*M11))*O11,2)</f>
        <v>15</v>
      </c>
      <c r="V11" s="149">
        <f t="shared" ref="V11:V74" si="2">IF(U11&gt;=15,15,U11)</f>
        <v>15</v>
      </c>
      <c r="W11" s="119"/>
      <c r="X11" s="120"/>
      <c r="Y11" s="120"/>
      <c r="Z11" s="151"/>
      <c r="AA11" s="153"/>
      <c r="AB11" s="154">
        <f t="shared" ref="AB11:AB74" si="3">ROUND((((W11*I11)+(X11*J11)+(Y11*K11)+(Z11*L11)+(AA11*M11))/$I$2),2)*13</f>
        <v>0</v>
      </c>
      <c r="AC11" s="149">
        <f t="shared" ref="AC11:AC74" si="4">IF(AB11&gt;=13,13,AB11)</f>
        <v>0</v>
      </c>
      <c r="AD11" s="125">
        <v>2</v>
      </c>
      <c r="AE11" s="148">
        <f t="shared" ref="AE11:AE74" si="5">IF((AC11+AD11)&gt;=15,15,(AC11+AD11))</f>
        <v>2</v>
      </c>
      <c r="AF11" s="155"/>
      <c r="AG11" s="127"/>
      <c r="AH11" s="113">
        <f t="shared" ref="AH11:AH74" si="6">IF((V11+AE11+AF11)&gt;=30,30,(V11+AE11+AF11))</f>
        <v>17</v>
      </c>
      <c r="AI11" s="157">
        <v>65</v>
      </c>
      <c r="AJ11" s="113">
        <f t="shared" ref="AJ11:AJ74" si="7">V11+AE11+AF11+AI11+AG11</f>
        <v>82</v>
      </c>
      <c r="AK11" s="113">
        <f t="shared" ref="AK11:AK74" si="8">IF(AH11+AI11+AG11&gt;=95,95,AH11+AI11+AG11)</f>
        <v>82</v>
      </c>
      <c r="AL11" s="158">
        <f t="shared" ref="AL11:AL74" si="9">-((50-((176+(45+(50-AH11)))))/200)</f>
        <v>1.02</v>
      </c>
      <c r="AM11" s="159"/>
      <c r="AN11" s="160">
        <f t="shared" ref="AN11:AO30" si="10">100%+AM11</f>
        <v>1</v>
      </c>
      <c r="AO11" s="160">
        <f t="shared" si="10"/>
        <v>2</v>
      </c>
      <c r="AP11" s="133"/>
      <c r="AQ11" s="134"/>
      <c r="AR11" s="161"/>
      <c r="AS11" s="161"/>
      <c r="AT11" s="161"/>
      <c r="AU11" s="161"/>
      <c r="AV11" s="162"/>
      <c r="AW11" s="137">
        <f t="shared" ref="AW11:AW74" si="11">AR11+AS11+AT11+AU11+AV11</f>
        <v>0</v>
      </c>
      <c r="AX11" s="137">
        <f t="shared" ref="AX11:AX74" si="12">(AR11*I11)+(AS11*J11)+(AT11*K11)+(AU11*L11)+(AV11*M11)</f>
        <v>0</v>
      </c>
    </row>
    <row r="12" ht="46.5" customHeight="1" spans="1:50" s="97" customFormat="1" x14ac:dyDescent="0.25">
      <c r="A12" s="98"/>
      <c r="B12" s="196"/>
      <c r="C12" s="102" t="s">
        <v>54</v>
      </c>
      <c r="D12" s="102"/>
      <c r="E12" s="163"/>
      <c r="F12" s="163"/>
      <c r="G12" s="103"/>
      <c r="H12" s="182"/>
      <c r="I12" s="166">
        <v>0.51</v>
      </c>
      <c r="J12" s="107">
        <v>0.49</v>
      </c>
      <c r="K12" s="107"/>
      <c r="L12" s="167"/>
      <c r="M12" s="168"/>
      <c r="N12" s="169">
        <f t="shared" si="0"/>
        <v>1</v>
      </c>
      <c r="O12" s="144">
        <v>1</v>
      </c>
      <c r="P12" s="112">
        <v>15</v>
      </c>
      <c r="Q12" s="112">
        <v>15</v>
      </c>
      <c r="R12" s="112"/>
      <c r="S12" s="146"/>
      <c r="T12" s="147"/>
      <c r="U12" s="148">
        <f t="shared" si="1"/>
        <v>15</v>
      </c>
      <c r="V12" s="149">
        <f t="shared" si="2"/>
        <v>15</v>
      </c>
      <c r="W12" s="179"/>
      <c r="X12" s="120"/>
      <c r="Y12" s="183"/>
      <c r="Z12" s="151"/>
      <c r="AA12" s="153"/>
      <c r="AB12" s="154">
        <f t="shared" si="3"/>
        <v>0</v>
      </c>
      <c r="AC12" s="149">
        <f t="shared" si="4"/>
        <v>0</v>
      </c>
      <c r="AD12" s="125">
        <v>2</v>
      </c>
      <c r="AE12" s="148">
        <f t="shared" si="5"/>
        <v>2</v>
      </c>
      <c r="AF12" s="155"/>
      <c r="AG12" s="127"/>
      <c r="AH12" s="113">
        <f t="shared" si="6"/>
        <v>17</v>
      </c>
      <c r="AI12" s="157">
        <v>65</v>
      </c>
      <c r="AJ12" s="113">
        <f t="shared" si="7"/>
        <v>82</v>
      </c>
      <c r="AK12" s="113">
        <f t="shared" si="8"/>
        <v>82</v>
      </c>
      <c r="AL12" s="158">
        <f t="shared" si="9"/>
        <v>1.02</v>
      </c>
      <c r="AM12" s="159"/>
      <c r="AN12" s="160">
        <f t="shared" si="10"/>
        <v>1</v>
      </c>
      <c r="AO12" s="160">
        <f t="shared" si="10"/>
        <v>2</v>
      </c>
      <c r="AP12" s="133"/>
      <c r="AQ12" s="134"/>
      <c r="AR12" s="161"/>
      <c r="AS12" s="161"/>
      <c r="AT12" s="161"/>
      <c r="AU12" s="161"/>
      <c r="AV12" s="162"/>
      <c r="AW12" s="137">
        <f t="shared" si="11"/>
        <v>0</v>
      </c>
      <c r="AX12" s="137">
        <f t="shared" si="12"/>
        <v>0</v>
      </c>
    </row>
    <row r="13" ht="46.5" customHeight="1" spans="1:50" s="97" customFormat="1" x14ac:dyDescent="0.25">
      <c r="A13" s="98"/>
      <c r="B13" s="196"/>
      <c r="C13" s="102" t="s">
        <v>66</v>
      </c>
      <c r="D13" s="102"/>
      <c r="E13" s="224"/>
      <c r="F13" s="163"/>
      <c r="G13" s="103"/>
      <c r="H13" s="182"/>
      <c r="I13" s="166">
        <v>0.51</v>
      </c>
      <c r="J13" s="107">
        <v>0.49</v>
      </c>
      <c r="K13" s="107"/>
      <c r="L13" s="167"/>
      <c r="M13" s="168"/>
      <c r="N13" s="169">
        <f t="shared" si="0"/>
        <v>1</v>
      </c>
      <c r="O13" s="144">
        <v>1</v>
      </c>
      <c r="P13" s="112">
        <v>15</v>
      </c>
      <c r="Q13" s="112">
        <v>15</v>
      </c>
      <c r="R13" s="156"/>
      <c r="S13" s="146"/>
      <c r="T13" s="147"/>
      <c r="U13" s="148">
        <f t="shared" si="1"/>
        <v>15</v>
      </c>
      <c r="V13" s="149">
        <f t="shared" si="2"/>
        <v>15</v>
      </c>
      <c r="W13" s="120"/>
      <c r="X13" s="120"/>
      <c r="Y13" s="183"/>
      <c r="Z13" s="151"/>
      <c r="AA13" s="153"/>
      <c r="AB13" s="154">
        <f t="shared" si="3"/>
        <v>0</v>
      </c>
      <c r="AC13" s="149">
        <f t="shared" si="4"/>
        <v>0</v>
      </c>
      <c r="AD13" s="125">
        <v>2</v>
      </c>
      <c r="AE13" s="148">
        <f t="shared" si="5"/>
        <v>2</v>
      </c>
      <c r="AF13" s="155"/>
      <c r="AG13" s="127"/>
      <c r="AH13" s="113">
        <f t="shared" si="6"/>
        <v>17</v>
      </c>
      <c r="AI13" s="157">
        <v>65</v>
      </c>
      <c r="AJ13" s="113">
        <f t="shared" si="7"/>
        <v>82</v>
      </c>
      <c r="AK13" s="113">
        <f t="shared" si="8"/>
        <v>82</v>
      </c>
      <c r="AL13" s="158">
        <f t="shared" si="9"/>
        <v>1.02</v>
      </c>
      <c r="AM13" s="159"/>
      <c r="AN13" s="160">
        <f t="shared" si="10"/>
        <v>1</v>
      </c>
      <c r="AO13" s="160">
        <f t="shared" si="10"/>
        <v>2</v>
      </c>
      <c r="AP13" s="133"/>
      <c r="AQ13" s="134"/>
      <c r="AR13" s="161"/>
      <c r="AS13" s="161"/>
      <c r="AT13" s="161"/>
      <c r="AU13" s="161"/>
      <c r="AV13" s="162"/>
      <c r="AW13" s="137">
        <f t="shared" si="11"/>
        <v>0</v>
      </c>
      <c r="AX13" s="137">
        <f t="shared" si="12"/>
        <v>0</v>
      </c>
    </row>
    <row r="14" ht="46.5" customHeight="1" spans="1:50" s="97" customFormat="1" x14ac:dyDescent="0.25">
      <c r="A14" s="98"/>
      <c r="B14" s="196"/>
      <c r="C14" s="102" t="s">
        <v>57</v>
      </c>
      <c r="D14" s="101" t="s">
        <v>105</v>
      </c>
      <c r="E14" s="101" t="s">
        <v>106</v>
      </c>
      <c r="F14" s="224"/>
      <c r="G14" s="103"/>
      <c r="H14" s="182"/>
      <c r="I14" s="166">
        <v>0.51</v>
      </c>
      <c r="J14" s="107">
        <v>0.49</v>
      </c>
      <c r="K14" s="107"/>
      <c r="L14" s="167"/>
      <c r="M14" s="168"/>
      <c r="N14" s="169">
        <f t="shared" si="0"/>
        <v>1</v>
      </c>
      <c r="O14" s="144">
        <v>1</v>
      </c>
      <c r="P14" s="112">
        <v>15</v>
      </c>
      <c r="Q14" s="112">
        <v>15</v>
      </c>
      <c r="R14" s="113"/>
      <c r="S14" s="146"/>
      <c r="T14" s="147"/>
      <c r="U14" s="148">
        <f t="shared" si="1"/>
        <v>15</v>
      </c>
      <c r="V14" s="149">
        <f t="shared" si="2"/>
        <v>15</v>
      </c>
      <c r="W14" s="120"/>
      <c r="X14" s="120"/>
      <c r="Y14" s="120"/>
      <c r="Z14" s="151"/>
      <c r="AA14" s="153"/>
      <c r="AB14" s="154">
        <f t="shared" si="3"/>
        <v>0</v>
      </c>
      <c r="AC14" s="149">
        <f t="shared" si="4"/>
        <v>0</v>
      </c>
      <c r="AD14" s="125">
        <v>2</v>
      </c>
      <c r="AE14" s="148">
        <f t="shared" si="5"/>
        <v>2</v>
      </c>
      <c r="AF14" s="155"/>
      <c r="AG14" s="127"/>
      <c r="AH14" s="113">
        <f t="shared" si="6"/>
        <v>17</v>
      </c>
      <c r="AI14" s="157">
        <v>65</v>
      </c>
      <c r="AJ14" s="113">
        <f t="shared" si="7"/>
        <v>82</v>
      </c>
      <c r="AK14" s="113">
        <f t="shared" si="8"/>
        <v>82</v>
      </c>
      <c r="AL14" s="158">
        <f t="shared" si="9"/>
        <v>1.02</v>
      </c>
      <c r="AM14" s="159"/>
      <c r="AN14" s="160">
        <f t="shared" si="10"/>
        <v>1</v>
      </c>
      <c r="AO14" s="160">
        <f t="shared" si="10"/>
        <v>2</v>
      </c>
      <c r="AP14" s="133"/>
      <c r="AQ14" s="134"/>
      <c r="AR14" s="161"/>
      <c r="AS14" s="161"/>
      <c r="AT14" s="161"/>
      <c r="AU14" s="161"/>
      <c r="AV14" s="162"/>
      <c r="AW14" s="137">
        <f t="shared" si="11"/>
        <v>0</v>
      </c>
      <c r="AX14" s="137">
        <f t="shared" si="12"/>
        <v>0</v>
      </c>
    </row>
    <row r="15" ht="46.5" customHeight="1" spans="1:50" s="97" customFormat="1" x14ac:dyDescent="0.25">
      <c r="A15" s="98"/>
      <c r="B15" s="196"/>
      <c r="C15" s="102" t="s">
        <v>59</v>
      </c>
      <c r="D15" s="224"/>
      <c r="E15" s="224"/>
      <c r="F15" s="224"/>
      <c r="G15" s="103"/>
      <c r="H15" s="182"/>
      <c r="I15" s="166">
        <v>0.51</v>
      </c>
      <c r="J15" s="107">
        <v>0.49</v>
      </c>
      <c r="K15" s="107"/>
      <c r="L15" s="167"/>
      <c r="M15" s="168"/>
      <c r="N15" s="169">
        <f t="shared" si="0"/>
        <v>1</v>
      </c>
      <c r="O15" s="144">
        <v>1</v>
      </c>
      <c r="P15" s="112">
        <v>15</v>
      </c>
      <c r="Q15" s="112">
        <v>15</v>
      </c>
      <c r="R15" s="113"/>
      <c r="S15" s="146"/>
      <c r="T15" s="147"/>
      <c r="U15" s="148">
        <f t="shared" si="1"/>
        <v>15</v>
      </c>
      <c r="V15" s="149">
        <f t="shared" si="2"/>
        <v>15</v>
      </c>
      <c r="W15" s="120"/>
      <c r="X15" s="120"/>
      <c r="Y15" s="120"/>
      <c r="Z15" s="151"/>
      <c r="AA15" s="153"/>
      <c r="AB15" s="154">
        <f t="shared" si="3"/>
        <v>0</v>
      </c>
      <c r="AC15" s="149">
        <f t="shared" si="4"/>
        <v>0</v>
      </c>
      <c r="AD15" s="125">
        <v>2</v>
      </c>
      <c r="AE15" s="148">
        <f t="shared" si="5"/>
        <v>2</v>
      </c>
      <c r="AF15" s="156"/>
      <c r="AG15" s="127"/>
      <c r="AH15" s="113">
        <f t="shared" si="6"/>
        <v>17</v>
      </c>
      <c r="AI15" s="157">
        <v>65</v>
      </c>
      <c r="AJ15" s="113">
        <f t="shared" si="7"/>
        <v>82</v>
      </c>
      <c r="AK15" s="113">
        <f t="shared" si="8"/>
        <v>82</v>
      </c>
      <c r="AL15" s="158">
        <f t="shared" si="9"/>
        <v>1.02</v>
      </c>
      <c r="AM15" s="159"/>
      <c r="AN15" s="160">
        <f t="shared" si="10"/>
        <v>1</v>
      </c>
      <c r="AO15" s="160">
        <f t="shared" si="10"/>
        <v>2</v>
      </c>
      <c r="AP15" s="133"/>
      <c r="AQ15" s="134"/>
      <c r="AR15" s="161"/>
      <c r="AS15" s="161"/>
      <c r="AT15" s="161"/>
      <c r="AU15" s="161"/>
      <c r="AV15" s="162"/>
      <c r="AW15" s="137">
        <f t="shared" si="11"/>
        <v>0</v>
      </c>
      <c r="AX15" s="137">
        <f t="shared" si="12"/>
        <v>0</v>
      </c>
    </row>
    <row r="16" ht="46.5" customHeight="1" spans="1:50" s="97" customFormat="1" x14ac:dyDescent="0.25">
      <c r="A16" s="98"/>
      <c r="B16" s="99"/>
      <c r="C16" s="102"/>
      <c r="D16" s="100"/>
      <c r="E16" s="224"/>
      <c r="F16" s="100"/>
      <c r="G16" s="103"/>
      <c r="H16" s="186"/>
      <c r="I16" s="166">
        <v>0.51</v>
      </c>
      <c r="J16" s="107">
        <v>0.49</v>
      </c>
      <c r="K16" s="107"/>
      <c r="L16" s="167"/>
      <c r="M16" s="168"/>
      <c r="N16" s="169">
        <f t="shared" si="0"/>
        <v>1</v>
      </c>
      <c r="O16" s="144">
        <v>1</v>
      </c>
      <c r="P16" s="112">
        <v>15</v>
      </c>
      <c r="Q16" s="112">
        <v>15</v>
      </c>
      <c r="R16" s="113"/>
      <c r="S16" s="146"/>
      <c r="T16" s="147"/>
      <c r="U16" s="148">
        <f t="shared" si="1"/>
        <v>15</v>
      </c>
      <c r="V16" s="149">
        <f t="shared" si="2"/>
        <v>15</v>
      </c>
      <c r="W16" s="183"/>
      <c r="X16" s="183"/>
      <c r="Y16" s="183"/>
      <c r="Z16" s="151"/>
      <c r="AA16" s="153"/>
      <c r="AB16" s="154">
        <f t="shared" si="3"/>
        <v>0</v>
      </c>
      <c r="AC16" s="149">
        <f t="shared" si="4"/>
        <v>0</v>
      </c>
      <c r="AD16" s="125">
        <v>2</v>
      </c>
      <c r="AE16" s="148">
        <f t="shared" si="5"/>
        <v>2</v>
      </c>
      <c r="AF16" s="156"/>
      <c r="AG16" s="127"/>
      <c r="AH16" s="113">
        <f t="shared" si="6"/>
        <v>17</v>
      </c>
      <c r="AI16" s="157">
        <v>65</v>
      </c>
      <c r="AJ16" s="113">
        <f t="shared" si="7"/>
        <v>82</v>
      </c>
      <c r="AK16" s="113">
        <f t="shared" si="8"/>
        <v>82</v>
      </c>
      <c r="AL16" s="158">
        <f t="shared" si="9"/>
        <v>1.02</v>
      </c>
      <c r="AM16" s="159"/>
      <c r="AN16" s="160">
        <f t="shared" si="10"/>
        <v>1</v>
      </c>
      <c r="AO16" s="160">
        <f t="shared" si="10"/>
        <v>2</v>
      </c>
      <c r="AP16" s="133"/>
      <c r="AQ16" s="134"/>
      <c r="AR16" s="161"/>
      <c r="AS16" s="161"/>
      <c r="AT16" s="161"/>
      <c r="AU16" s="161"/>
      <c r="AV16" s="162"/>
      <c r="AW16" s="137">
        <f t="shared" si="11"/>
        <v>0</v>
      </c>
      <c r="AX16" s="137">
        <f t="shared" si="12"/>
        <v>0</v>
      </c>
    </row>
    <row r="17" ht="46.5" customHeight="1" spans="1:50" s="97" customFormat="1" x14ac:dyDescent="0.25">
      <c r="A17" s="98"/>
      <c r="B17" s="99"/>
      <c r="C17" s="102"/>
      <c r="D17" s="102"/>
      <c r="E17" s="224"/>
      <c r="F17" s="224"/>
      <c r="G17" s="103"/>
      <c r="H17" s="186"/>
      <c r="I17" s="166">
        <v>0.51</v>
      </c>
      <c r="J17" s="107">
        <v>0.49</v>
      </c>
      <c r="K17" s="107"/>
      <c r="L17" s="107"/>
      <c r="M17" s="187"/>
      <c r="N17" s="169">
        <f t="shared" si="0"/>
        <v>1</v>
      </c>
      <c r="O17" s="144">
        <v>1</v>
      </c>
      <c r="P17" s="112">
        <v>15</v>
      </c>
      <c r="Q17" s="112">
        <v>15</v>
      </c>
      <c r="R17" s="113"/>
      <c r="S17" s="113"/>
      <c r="T17" s="146"/>
      <c r="U17" s="148">
        <f t="shared" si="1"/>
        <v>15</v>
      </c>
      <c r="V17" s="149">
        <f t="shared" si="2"/>
        <v>15</v>
      </c>
      <c r="W17" s="188"/>
      <c r="X17" s="161"/>
      <c r="Y17" s="189"/>
      <c r="Z17" s="190"/>
      <c r="AA17" s="153"/>
      <c r="AB17" s="154">
        <f t="shared" si="3"/>
        <v>0</v>
      </c>
      <c r="AC17" s="149">
        <f t="shared" si="4"/>
        <v>0</v>
      </c>
      <c r="AD17" s="125">
        <v>2</v>
      </c>
      <c r="AE17" s="148">
        <f t="shared" si="5"/>
        <v>2</v>
      </c>
      <c r="AF17" s="156"/>
      <c r="AG17" s="156"/>
      <c r="AH17" s="113">
        <f t="shared" si="6"/>
        <v>17</v>
      </c>
      <c r="AI17" s="157">
        <v>65</v>
      </c>
      <c r="AJ17" s="113">
        <f t="shared" si="7"/>
        <v>82</v>
      </c>
      <c r="AK17" s="113">
        <f t="shared" si="8"/>
        <v>82</v>
      </c>
      <c r="AL17" s="158">
        <f t="shared" si="9"/>
        <v>1.02</v>
      </c>
      <c r="AM17" s="159"/>
      <c r="AN17" s="160">
        <f t="shared" si="10"/>
        <v>1</v>
      </c>
      <c r="AO17" s="160">
        <f t="shared" si="10"/>
        <v>2</v>
      </c>
      <c r="AP17" s="133"/>
      <c r="AQ17" s="134"/>
      <c r="AR17" s="161"/>
      <c r="AS17" s="161"/>
      <c r="AT17" s="161"/>
      <c r="AU17" s="161"/>
      <c r="AV17" s="162"/>
      <c r="AW17" s="137">
        <f t="shared" si="11"/>
        <v>0</v>
      </c>
      <c r="AX17" s="137">
        <f t="shared" si="12"/>
        <v>0</v>
      </c>
    </row>
    <row r="18" ht="46.5" customHeight="1" spans="1:50" s="97" customFormat="1" x14ac:dyDescent="0.25">
      <c r="A18" s="98"/>
      <c r="B18" s="102"/>
      <c r="C18" s="102"/>
      <c r="D18" s="100"/>
      <c r="E18" s="100"/>
      <c r="F18" s="224"/>
      <c r="G18" s="103"/>
      <c r="H18" s="186"/>
      <c r="I18" s="166">
        <v>0.51</v>
      </c>
      <c r="J18" s="107">
        <v>0.49</v>
      </c>
      <c r="K18" s="191"/>
      <c r="L18" s="107"/>
      <c r="M18" s="187"/>
      <c r="N18" s="169">
        <f t="shared" si="0"/>
        <v>1</v>
      </c>
      <c r="O18" s="144">
        <v>1</v>
      </c>
      <c r="P18" s="112">
        <v>15</v>
      </c>
      <c r="Q18" s="112">
        <v>15</v>
      </c>
      <c r="R18" s="113"/>
      <c r="S18" s="113"/>
      <c r="T18" s="146"/>
      <c r="U18" s="148">
        <f t="shared" si="1"/>
        <v>15</v>
      </c>
      <c r="V18" s="149">
        <f t="shared" si="2"/>
        <v>15</v>
      </c>
      <c r="W18" s="192"/>
      <c r="X18" s="120"/>
      <c r="Y18" s="120"/>
      <c r="Z18" s="190"/>
      <c r="AA18" s="153"/>
      <c r="AB18" s="154">
        <f t="shared" si="3"/>
        <v>0</v>
      </c>
      <c r="AC18" s="149">
        <f t="shared" si="4"/>
        <v>0</v>
      </c>
      <c r="AD18" s="125">
        <v>2</v>
      </c>
      <c r="AE18" s="148">
        <f t="shared" si="5"/>
        <v>2</v>
      </c>
      <c r="AF18" s="156"/>
      <c r="AG18" s="156"/>
      <c r="AH18" s="113">
        <f t="shared" si="6"/>
        <v>17</v>
      </c>
      <c r="AI18" s="157">
        <v>65</v>
      </c>
      <c r="AJ18" s="113">
        <f t="shared" si="7"/>
        <v>82</v>
      </c>
      <c r="AK18" s="113">
        <f t="shared" si="8"/>
        <v>82</v>
      </c>
      <c r="AL18" s="158">
        <f t="shared" si="9"/>
        <v>1.02</v>
      </c>
      <c r="AM18" s="159"/>
      <c r="AN18" s="160">
        <f t="shared" si="10"/>
        <v>1</v>
      </c>
      <c r="AO18" s="160">
        <f t="shared" si="10"/>
        <v>2</v>
      </c>
      <c r="AP18" s="133"/>
      <c r="AQ18" s="134"/>
      <c r="AR18" s="161"/>
      <c r="AS18" s="161"/>
      <c r="AT18" s="161"/>
      <c r="AU18" s="161"/>
      <c r="AV18" s="162"/>
      <c r="AW18" s="137">
        <f t="shared" si="11"/>
        <v>0</v>
      </c>
      <c r="AX18" s="137">
        <f t="shared" si="12"/>
        <v>0</v>
      </c>
    </row>
    <row r="19" ht="46.5" customHeight="1" spans="1:50" s="97" customFormat="1" x14ac:dyDescent="0.25">
      <c r="A19" s="98"/>
      <c r="B19" s="102"/>
      <c r="C19" s="102"/>
      <c r="D19" s="102"/>
      <c r="E19" s="100"/>
      <c r="F19" s="100"/>
      <c r="G19" s="103"/>
      <c r="H19" s="186"/>
      <c r="I19" s="166">
        <v>0.51</v>
      </c>
      <c r="J19" s="107">
        <v>0.49</v>
      </c>
      <c r="K19" s="107"/>
      <c r="L19" s="107"/>
      <c r="M19" s="187"/>
      <c r="N19" s="169">
        <f t="shared" si="0"/>
        <v>1</v>
      </c>
      <c r="O19" s="144">
        <v>1</v>
      </c>
      <c r="P19" s="145">
        <v>15</v>
      </c>
      <c r="Q19" s="113">
        <v>15</v>
      </c>
      <c r="R19" s="113"/>
      <c r="S19" s="113"/>
      <c r="T19" s="146"/>
      <c r="U19" s="148">
        <f t="shared" si="1"/>
        <v>15</v>
      </c>
      <c r="V19" s="149">
        <f t="shared" si="2"/>
        <v>15</v>
      </c>
      <c r="W19" s="192"/>
      <c r="X19" s="183"/>
      <c r="Y19" s="120"/>
      <c r="Z19" s="190"/>
      <c r="AA19" s="153"/>
      <c r="AB19" s="154">
        <f t="shared" si="3"/>
        <v>0</v>
      </c>
      <c r="AC19" s="149">
        <f t="shared" si="4"/>
        <v>0</v>
      </c>
      <c r="AD19" s="125">
        <v>2</v>
      </c>
      <c r="AE19" s="148">
        <f t="shared" si="5"/>
        <v>2</v>
      </c>
      <c r="AF19" s="156"/>
      <c r="AG19" s="156"/>
      <c r="AH19" s="113">
        <f t="shared" si="6"/>
        <v>17</v>
      </c>
      <c r="AI19" s="157">
        <v>65</v>
      </c>
      <c r="AJ19" s="113">
        <f t="shared" si="7"/>
        <v>82</v>
      </c>
      <c r="AK19" s="113">
        <f t="shared" si="8"/>
        <v>82</v>
      </c>
      <c r="AL19" s="158">
        <f t="shared" si="9"/>
        <v>1.02</v>
      </c>
      <c r="AM19" s="159"/>
      <c r="AN19" s="160">
        <f t="shared" si="10"/>
        <v>1</v>
      </c>
      <c r="AO19" s="160">
        <f t="shared" si="10"/>
        <v>2</v>
      </c>
      <c r="AP19" s="133"/>
      <c r="AQ19" s="134"/>
      <c r="AR19" s="161"/>
      <c r="AS19" s="161"/>
      <c r="AT19" s="161"/>
      <c r="AU19" s="161"/>
      <c r="AV19" s="162"/>
      <c r="AW19" s="137">
        <f t="shared" si="11"/>
        <v>0</v>
      </c>
      <c r="AX19" s="137">
        <f t="shared" si="12"/>
        <v>0</v>
      </c>
    </row>
    <row r="20" ht="46.5" customHeight="1" spans="1:50" s="97" customFormat="1" x14ac:dyDescent="0.25">
      <c r="A20" s="98"/>
      <c r="B20" s="102"/>
      <c r="C20" s="102"/>
      <c r="D20" s="102"/>
      <c r="E20" s="102"/>
      <c r="F20" s="100"/>
      <c r="G20" s="103"/>
      <c r="H20" s="186"/>
      <c r="I20" s="195">
        <v>0.51</v>
      </c>
      <c r="J20" s="107">
        <v>0.49</v>
      </c>
      <c r="K20" s="107"/>
      <c r="L20" s="107"/>
      <c r="M20" s="187"/>
      <c r="N20" s="169">
        <f t="shared" si="0"/>
        <v>1</v>
      </c>
      <c r="O20" s="144">
        <v>1</v>
      </c>
      <c r="P20" s="145">
        <v>15</v>
      </c>
      <c r="Q20" s="113">
        <v>15</v>
      </c>
      <c r="R20" s="113"/>
      <c r="S20" s="113"/>
      <c r="T20" s="146"/>
      <c r="U20" s="148">
        <f t="shared" si="1"/>
        <v>15</v>
      </c>
      <c r="V20" s="149">
        <f t="shared" si="2"/>
        <v>15</v>
      </c>
      <c r="W20" s="192"/>
      <c r="X20" s="183"/>
      <c r="Y20" s="183"/>
      <c r="Z20" s="190"/>
      <c r="AA20" s="153"/>
      <c r="AB20" s="154">
        <f t="shared" si="3"/>
        <v>0</v>
      </c>
      <c r="AC20" s="149">
        <f t="shared" si="4"/>
        <v>0</v>
      </c>
      <c r="AD20" s="125">
        <v>2</v>
      </c>
      <c r="AE20" s="148">
        <f t="shared" si="5"/>
        <v>2</v>
      </c>
      <c r="AF20" s="156"/>
      <c r="AG20" s="156"/>
      <c r="AH20" s="113">
        <f t="shared" si="6"/>
        <v>17</v>
      </c>
      <c r="AI20" s="157">
        <v>65</v>
      </c>
      <c r="AJ20" s="113">
        <f t="shared" si="7"/>
        <v>82</v>
      </c>
      <c r="AK20" s="113">
        <f t="shared" si="8"/>
        <v>82</v>
      </c>
      <c r="AL20" s="158">
        <f t="shared" si="9"/>
        <v>1.02</v>
      </c>
      <c r="AM20" s="159"/>
      <c r="AN20" s="160">
        <f t="shared" si="10"/>
        <v>1</v>
      </c>
      <c r="AO20" s="160">
        <f t="shared" si="10"/>
        <v>2</v>
      </c>
      <c r="AP20" s="133"/>
      <c r="AQ20" s="134"/>
      <c r="AR20" s="161"/>
      <c r="AS20" s="161"/>
      <c r="AT20" s="161"/>
      <c r="AU20" s="161"/>
      <c r="AV20" s="162"/>
      <c r="AW20" s="137">
        <f t="shared" si="11"/>
        <v>0</v>
      </c>
      <c r="AX20" s="137">
        <f t="shared" si="12"/>
        <v>0</v>
      </c>
    </row>
    <row r="21" ht="46.5" customHeight="1" spans="1:50" s="97" customFormat="1" x14ac:dyDescent="0.25">
      <c r="A21" s="98"/>
      <c r="B21" s="196"/>
      <c r="C21" s="100"/>
      <c r="D21" s="102"/>
      <c r="E21" s="100"/>
      <c r="F21" s="100"/>
      <c r="G21" s="103"/>
      <c r="H21" s="186"/>
      <c r="I21" s="195">
        <v>0.51</v>
      </c>
      <c r="J21" s="107">
        <v>0.49</v>
      </c>
      <c r="K21" s="107"/>
      <c r="L21" s="107"/>
      <c r="M21" s="187"/>
      <c r="N21" s="169">
        <f t="shared" si="0"/>
        <v>1</v>
      </c>
      <c r="O21" s="144">
        <v>1</v>
      </c>
      <c r="P21" s="145">
        <v>15</v>
      </c>
      <c r="Q21" s="113">
        <v>15</v>
      </c>
      <c r="R21" s="156"/>
      <c r="S21" s="113"/>
      <c r="T21" s="146"/>
      <c r="U21" s="148">
        <f t="shared" si="1"/>
        <v>15</v>
      </c>
      <c r="V21" s="149">
        <f t="shared" si="2"/>
        <v>15</v>
      </c>
      <c r="W21" s="197"/>
      <c r="X21" s="120"/>
      <c r="Y21" s="183"/>
      <c r="Z21" s="190"/>
      <c r="AA21" s="153"/>
      <c r="AB21" s="154">
        <f t="shared" si="3"/>
        <v>0</v>
      </c>
      <c r="AC21" s="149">
        <f t="shared" si="4"/>
        <v>0</v>
      </c>
      <c r="AD21" s="125">
        <v>2</v>
      </c>
      <c r="AE21" s="148">
        <f t="shared" si="5"/>
        <v>2</v>
      </c>
      <c r="AF21" s="156"/>
      <c r="AG21" s="156"/>
      <c r="AH21" s="113">
        <f t="shared" si="6"/>
        <v>17</v>
      </c>
      <c r="AI21" s="157">
        <v>65</v>
      </c>
      <c r="AJ21" s="113">
        <f t="shared" si="7"/>
        <v>82</v>
      </c>
      <c r="AK21" s="113">
        <f t="shared" si="8"/>
        <v>82</v>
      </c>
      <c r="AL21" s="158">
        <f t="shared" si="9"/>
        <v>1.02</v>
      </c>
      <c r="AM21" s="159"/>
      <c r="AN21" s="160">
        <f t="shared" si="10"/>
        <v>1</v>
      </c>
      <c r="AO21" s="160">
        <f t="shared" si="10"/>
        <v>2</v>
      </c>
      <c r="AP21" s="133"/>
      <c r="AQ21" s="134"/>
      <c r="AR21" s="161"/>
      <c r="AS21" s="161"/>
      <c r="AT21" s="161"/>
      <c r="AU21" s="161"/>
      <c r="AV21" s="162"/>
      <c r="AW21" s="137">
        <f t="shared" si="11"/>
        <v>0</v>
      </c>
      <c r="AX21" s="137">
        <f t="shared" si="12"/>
        <v>0</v>
      </c>
    </row>
    <row r="22" ht="46.5" customHeight="1" spans="1:50" s="97" customFormat="1" x14ac:dyDescent="0.25">
      <c r="A22" s="100"/>
      <c r="B22" s="100"/>
      <c r="C22" s="100"/>
      <c r="D22" s="100"/>
      <c r="E22" s="100"/>
      <c r="F22" s="100"/>
      <c r="G22" s="103"/>
      <c r="H22" s="186"/>
      <c r="I22" s="195">
        <v>0.51</v>
      </c>
      <c r="J22" s="107">
        <v>0.49</v>
      </c>
      <c r="K22" s="107"/>
      <c r="L22" s="107"/>
      <c r="M22" s="187"/>
      <c r="N22" s="169">
        <f t="shared" si="0"/>
        <v>1</v>
      </c>
      <c r="O22" s="144">
        <v>1</v>
      </c>
      <c r="P22" s="145">
        <v>15</v>
      </c>
      <c r="Q22" s="113">
        <v>15</v>
      </c>
      <c r="R22" s="113"/>
      <c r="S22" s="113"/>
      <c r="T22" s="146"/>
      <c r="U22" s="148">
        <f t="shared" si="1"/>
        <v>15</v>
      </c>
      <c r="V22" s="149">
        <f t="shared" si="2"/>
        <v>15</v>
      </c>
      <c r="W22" s="189"/>
      <c r="X22" s="199"/>
      <c r="Y22" s="151"/>
      <c r="Z22" s="190"/>
      <c r="AA22" s="153"/>
      <c r="AB22" s="154">
        <f t="shared" si="3"/>
        <v>0</v>
      </c>
      <c r="AC22" s="149">
        <f t="shared" si="4"/>
        <v>0</v>
      </c>
      <c r="AD22" s="125">
        <v>2</v>
      </c>
      <c r="AE22" s="148">
        <f t="shared" si="5"/>
        <v>2</v>
      </c>
      <c r="AF22" s="156"/>
      <c r="AG22" s="156"/>
      <c r="AH22" s="113">
        <f t="shared" si="6"/>
        <v>17</v>
      </c>
      <c r="AI22" s="157">
        <v>65</v>
      </c>
      <c r="AJ22" s="113">
        <f t="shared" si="7"/>
        <v>82</v>
      </c>
      <c r="AK22" s="113">
        <f t="shared" si="8"/>
        <v>82</v>
      </c>
      <c r="AL22" s="158">
        <f t="shared" si="9"/>
        <v>1.02</v>
      </c>
      <c r="AM22" s="159"/>
      <c r="AN22" s="160">
        <f t="shared" si="10"/>
        <v>1</v>
      </c>
      <c r="AO22" s="160">
        <f t="shared" si="10"/>
        <v>2</v>
      </c>
      <c r="AP22" s="133"/>
      <c r="AQ22" s="134"/>
      <c r="AR22" s="161"/>
      <c r="AS22" s="161"/>
      <c r="AT22" s="161"/>
      <c r="AU22" s="161"/>
      <c r="AV22" s="162"/>
      <c r="AW22" s="137">
        <f t="shared" si="11"/>
        <v>0</v>
      </c>
      <c r="AX22" s="137">
        <f t="shared" si="12"/>
        <v>0</v>
      </c>
    </row>
    <row r="23" ht="46.5" customHeight="1" spans="1:50" s="97" customFormat="1" x14ac:dyDescent="0.25">
      <c r="A23" s="100"/>
      <c r="B23" s="100"/>
      <c r="C23" s="100"/>
      <c r="D23" s="100"/>
      <c r="E23" s="100"/>
      <c r="F23" s="100"/>
      <c r="G23" s="103"/>
      <c r="H23" s="186"/>
      <c r="I23" s="195">
        <v>0.51</v>
      </c>
      <c r="J23" s="107">
        <v>0.49</v>
      </c>
      <c r="K23" s="107"/>
      <c r="L23" s="107"/>
      <c r="M23" s="187"/>
      <c r="N23" s="169">
        <f t="shared" si="0"/>
        <v>1</v>
      </c>
      <c r="O23" s="144">
        <v>1</v>
      </c>
      <c r="P23" s="145">
        <v>15</v>
      </c>
      <c r="Q23" s="113">
        <v>15</v>
      </c>
      <c r="R23" s="113"/>
      <c r="S23" s="113"/>
      <c r="T23" s="146"/>
      <c r="U23" s="148">
        <f t="shared" si="1"/>
        <v>15</v>
      </c>
      <c r="V23" s="149">
        <f t="shared" si="2"/>
        <v>15</v>
      </c>
      <c r="W23" s="189"/>
      <c r="X23" s="199"/>
      <c r="Y23" s="151"/>
      <c r="Z23" s="190"/>
      <c r="AA23" s="153"/>
      <c r="AB23" s="154">
        <f t="shared" si="3"/>
        <v>0</v>
      </c>
      <c r="AC23" s="149">
        <f t="shared" si="4"/>
        <v>0</v>
      </c>
      <c r="AD23" s="125">
        <v>2</v>
      </c>
      <c r="AE23" s="148">
        <f t="shared" si="5"/>
        <v>2</v>
      </c>
      <c r="AF23" s="156"/>
      <c r="AG23" s="156"/>
      <c r="AH23" s="113">
        <f t="shared" si="6"/>
        <v>17</v>
      </c>
      <c r="AI23" s="157">
        <v>65</v>
      </c>
      <c r="AJ23" s="113">
        <f t="shared" si="7"/>
        <v>82</v>
      </c>
      <c r="AK23" s="113">
        <f t="shared" si="8"/>
        <v>82</v>
      </c>
      <c r="AL23" s="158">
        <f t="shared" si="9"/>
        <v>1.02</v>
      </c>
      <c r="AM23" s="159"/>
      <c r="AN23" s="160">
        <f t="shared" si="10"/>
        <v>1</v>
      </c>
      <c r="AO23" s="160">
        <f t="shared" si="10"/>
        <v>2</v>
      </c>
      <c r="AP23" s="133"/>
      <c r="AQ23" s="134"/>
      <c r="AR23" s="161"/>
      <c r="AS23" s="161"/>
      <c r="AT23" s="161"/>
      <c r="AU23" s="161"/>
      <c r="AV23" s="162"/>
      <c r="AW23" s="137">
        <f t="shared" si="11"/>
        <v>0</v>
      </c>
      <c r="AX23" s="137">
        <f t="shared" si="12"/>
        <v>0</v>
      </c>
    </row>
    <row r="24" ht="46.5" customHeight="1" spans="1:50" s="97" customFormat="1" x14ac:dyDescent="0.25">
      <c r="A24" s="100"/>
      <c r="B24" s="100"/>
      <c r="C24" s="100"/>
      <c r="D24" s="100"/>
      <c r="E24" s="100"/>
      <c r="F24" s="100"/>
      <c r="G24" s="103"/>
      <c r="H24" s="186"/>
      <c r="I24" s="195">
        <v>0.51</v>
      </c>
      <c r="J24" s="107">
        <v>0.49</v>
      </c>
      <c r="K24" s="107"/>
      <c r="L24" s="107"/>
      <c r="M24" s="187"/>
      <c r="N24" s="169">
        <f t="shared" si="0"/>
        <v>1</v>
      </c>
      <c r="O24" s="144">
        <v>1</v>
      </c>
      <c r="P24" s="145">
        <v>15</v>
      </c>
      <c r="Q24" s="113">
        <v>15</v>
      </c>
      <c r="R24" s="113"/>
      <c r="S24" s="113"/>
      <c r="T24" s="146"/>
      <c r="U24" s="148">
        <f t="shared" si="1"/>
        <v>15</v>
      </c>
      <c r="V24" s="149">
        <f t="shared" si="2"/>
        <v>15</v>
      </c>
      <c r="W24" s="189"/>
      <c r="X24" s="199"/>
      <c r="Y24" s="151"/>
      <c r="Z24" s="190"/>
      <c r="AA24" s="153"/>
      <c r="AB24" s="154">
        <f t="shared" si="3"/>
        <v>0</v>
      </c>
      <c r="AC24" s="149">
        <f t="shared" si="4"/>
        <v>0</v>
      </c>
      <c r="AD24" s="125">
        <v>2</v>
      </c>
      <c r="AE24" s="148">
        <f t="shared" si="5"/>
        <v>2</v>
      </c>
      <c r="AF24" s="156"/>
      <c r="AG24" s="156"/>
      <c r="AH24" s="113">
        <f t="shared" si="6"/>
        <v>17</v>
      </c>
      <c r="AI24" s="157">
        <v>65</v>
      </c>
      <c r="AJ24" s="113">
        <f t="shared" si="7"/>
        <v>82</v>
      </c>
      <c r="AK24" s="113">
        <f t="shared" si="8"/>
        <v>82</v>
      </c>
      <c r="AL24" s="158">
        <f t="shared" si="9"/>
        <v>1.02</v>
      </c>
      <c r="AM24" s="159"/>
      <c r="AN24" s="160">
        <f t="shared" si="10"/>
        <v>1</v>
      </c>
      <c r="AO24" s="160">
        <f t="shared" si="10"/>
        <v>2</v>
      </c>
      <c r="AP24" s="133"/>
      <c r="AQ24" s="134"/>
      <c r="AR24" s="161"/>
      <c r="AS24" s="161"/>
      <c r="AT24" s="161"/>
      <c r="AU24" s="161"/>
      <c r="AV24" s="162"/>
      <c r="AW24" s="137">
        <f t="shared" si="11"/>
        <v>0</v>
      </c>
      <c r="AX24" s="137">
        <f t="shared" si="12"/>
        <v>0</v>
      </c>
    </row>
    <row r="25" ht="46.5" customHeight="1" spans="1:50" s="97" customFormat="1" x14ac:dyDescent="0.25">
      <c r="A25" s="100"/>
      <c r="B25" s="100"/>
      <c r="C25" s="100"/>
      <c r="D25" s="100"/>
      <c r="E25" s="100"/>
      <c r="F25" s="100"/>
      <c r="G25" s="103"/>
      <c r="H25" s="186"/>
      <c r="I25" s="195">
        <v>0.51</v>
      </c>
      <c r="J25" s="107">
        <v>0.49</v>
      </c>
      <c r="K25" s="107"/>
      <c r="L25" s="107"/>
      <c r="M25" s="187"/>
      <c r="N25" s="169">
        <f t="shared" si="0"/>
        <v>1</v>
      </c>
      <c r="O25" s="144">
        <v>1</v>
      </c>
      <c r="P25" s="145">
        <v>15</v>
      </c>
      <c r="Q25" s="113">
        <v>15</v>
      </c>
      <c r="R25" s="113"/>
      <c r="S25" s="113"/>
      <c r="T25" s="146"/>
      <c r="U25" s="148">
        <f t="shared" si="1"/>
        <v>15</v>
      </c>
      <c r="V25" s="149">
        <f t="shared" si="2"/>
        <v>15</v>
      </c>
      <c r="W25" s="189"/>
      <c r="X25" s="199"/>
      <c r="Y25" s="151"/>
      <c r="Z25" s="190"/>
      <c r="AA25" s="153"/>
      <c r="AB25" s="154">
        <f t="shared" si="3"/>
        <v>0</v>
      </c>
      <c r="AC25" s="149">
        <f t="shared" si="4"/>
        <v>0</v>
      </c>
      <c r="AD25" s="125">
        <v>2</v>
      </c>
      <c r="AE25" s="148">
        <f t="shared" si="5"/>
        <v>2</v>
      </c>
      <c r="AF25" s="156"/>
      <c r="AG25" s="156"/>
      <c r="AH25" s="113">
        <f t="shared" si="6"/>
        <v>17</v>
      </c>
      <c r="AI25" s="157">
        <v>65</v>
      </c>
      <c r="AJ25" s="113">
        <f t="shared" si="7"/>
        <v>82</v>
      </c>
      <c r="AK25" s="113">
        <f t="shared" si="8"/>
        <v>82</v>
      </c>
      <c r="AL25" s="158">
        <f t="shared" si="9"/>
        <v>1.02</v>
      </c>
      <c r="AM25" s="159"/>
      <c r="AN25" s="160">
        <f t="shared" si="10"/>
        <v>1</v>
      </c>
      <c r="AO25" s="160">
        <f t="shared" si="10"/>
        <v>2</v>
      </c>
      <c r="AP25" s="133"/>
      <c r="AQ25" s="134"/>
      <c r="AR25" s="161"/>
      <c r="AS25" s="161"/>
      <c r="AT25" s="161"/>
      <c r="AU25" s="161"/>
      <c r="AV25" s="162"/>
      <c r="AW25" s="137">
        <f t="shared" si="11"/>
        <v>0</v>
      </c>
      <c r="AX25" s="137">
        <f t="shared" si="12"/>
        <v>0</v>
      </c>
    </row>
    <row r="26" ht="46.5" customHeight="1" spans="1:50" s="97" customFormat="1" x14ac:dyDescent="0.25">
      <c r="A26" s="100"/>
      <c r="B26" s="100"/>
      <c r="C26" s="100"/>
      <c r="D26" s="100"/>
      <c r="E26" s="100"/>
      <c r="F26" s="100"/>
      <c r="G26" s="103"/>
      <c r="H26" s="186"/>
      <c r="I26" s="195">
        <v>0.51</v>
      </c>
      <c r="J26" s="107">
        <v>0.49</v>
      </c>
      <c r="K26" s="107"/>
      <c r="L26" s="107"/>
      <c r="M26" s="187"/>
      <c r="N26" s="169">
        <f t="shared" si="0"/>
        <v>1</v>
      </c>
      <c r="O26" s="144">
        <v>1</v>
      </c>
      <c r="P26" s="145">
        <v>15</v>
      </c>
      <c r="Q26" s="113">
        <v>15</v>
      </c>
      <c r="R26" s="113"/>
      <c r="S26" s="113"/>
      <c r="T26" s="146"/>
      <c r="U26" s="148">
        <f t="shared" si="1"/>
        <v>15</v>
      </c>
      <c r="V26" s="149">
        <f t="shared" si="2"/>
        <v>15</v>
      </c>
      <c r="W26" s="189"/>
      <c r="X26" s="199"/>
      <c r="Y26" s="151"/>
      <c r="Z26" s="190"/>
      <c r="AA26" s="153"/>
      <c r="AB26" s="154">
        <f t="shared" si="3"/>
        <v>0</v>
      </c>
      <c r="AC26" s="149">
        <f t="shared" si="4"/>
        <v>0</v>
      </c>
      <c r="AD26" s="125">
        <v>2</v>
      </c>
      <c r="AE26" s="148">
        <f t="shared" si="5"/>
        <v>2</v>
      </c>
      <c r="AF26" s="156"/>
      <c r="AG26" s="156"/>
      <c r="AH26" s="113">
        <f t="shared" si="6"/>
        <v>17</v>
      </c>
      <c r="AI26" s="157">
        <v>65</v>
      </c>
      <c r="AJ26" s="113">
        <f t="shared" si="7"/>
        <v>82</v>
      </c>
      <c r="AK26" s="113">
        <f t="shared" si="8"/>
        <v>82</v>
      </c>
      <c r="AL26" s="158">
        <f t="shared" si="9"/>
        <v>1.02</v>
      </c>
      <c r="AM26" s="159"/>
      <c r="AN26" s="160">
        <f t="shared" si="10"/>
        <v>1</v>
      </c>
      <c r="AO26" s="160">
        <f t="shared" si="10"/>
        <v>2</v>
      </c>
      <c r="AP26" s="133"/>
      <c r="AQ26" s="134"/>
      <c r="AR26" s="161"/>
      <c r="AS26" s="161"/>
      <c r="AT26" s="161"/>
      <c r="AU26" s="161"/>
      <c r="AV26" s="162"/>
      <c r="AW26" s="137">
        <f t="shared" si="11"/>
        <v>0</v>
      </c>
      <c r="AX26" s="137">
        <f t="shared" si="12"/>
        <v>0</v>
      </c>
    </row>
    <row r="27" ht="46.5" customHeight="1" spans="1:50" s="97" customFormat="1" x14ac:dyDescent="0.25">
      <c r="A27" s="100"/>
      <c r="B27" s="100"/>
      <c r="C27" s="100"/>
      <c r="D27" s="100"/>
      <c r="E27" s="100"/>
      <c r="F27" s="100"/>
      <c r="G27" s="103"/>
      <c r="H27" s="186"/>
      <c r="I27" s="195">
        <v>0.51</v>
      </c>
      <c r="J27" s="107">
        <v>0.49</v>
      </c>
      <c r="K27" s="107"/>
      <c r="L27" s="107"/>
      <c r="M27" s="187"/>
      <c r="N27" s="169">
        <f t="shared" si="0"/>
        <v>1</v>
      </c>
      <c r="O27" s="144">
        <v>1</v>
      </c>
      <c r="P27" s="145">
        <v>15</v>
      </c>
      <c r="Q27" s="113">
        <v>15</v>
      </c>
      <c r="R27" s="113"/>
      <c r="S27" s="113"/>
      <c r="T27" s="146"/>
      <c r="U27" s="148">
        <f t="shared" si="1"/>
        <v>15</v>
      </c>
      <c r="V27" s="149">
        <f t="shared" si="2"/>
        <v>15</v>
      </c>
      <c r="W27" s="189"/>
      <c r="X27" s="199"/>
      <c r="Y27" s="151"/>
      <c r="Z27" s="190"/>
      <c r="AA27" s="153"/>
      <c r="AB27" s="154">
        <f t="shared" si="3"/>
        <v>0</v>
      </c>
      <c r="AC27" s="149">
        <f t="shared" si="4"/>
        <v>0</v>
      </c>
      <c r="AD27" s="125">
        <v>2</v>
      </c>
      <c r="AE27" s="148">
        <f t="shared" si="5"/>
        <v>2</v>
      </c>
      <c r="AF27" s="156"/>
      <c r="AG27" s="156"/>
      <c r="AH27" s="113">
        <f t="shared" si="6"/>
        <v>17</v>
      </c>
      <c r="AI27" s="157">
        <v>65</v>
      </c>
      <c r="AJ27" s="113">
        <f t="shared" si="7"/>
        <v>82</v>
      </c>
      <c r="AK27" s="113">
        <f t="shared" si="8"/>
        <v>82</v>
      </c>
      <c r="AL27" s="158">
        <f t="shared" si="9"/>
        <v>1.02</v>
      </c>
      <c r="AM27" s="159"/>
      <c r="AN27" s="160">
        <f t="shared" si="10"/>
        <v>1</v>
      </c>
      <c r="AO27" s="160">
        <f t="shared" si="10"/>
        <v>2</v>
      </c>
      <c r="AP27" s="133"/>
      <c r="AQ27" s="134"/>
      <c r="AR27" s="161"/>
      <c r="AS27" s="161"/>
      <c r="AT27" s="161"/>
      <c r="AU27" s="161"/>
      <c r="AV27" s="162"/>
      <c r="AW27" s="137">
        <f t="shared" si="11"/>
        <v>0</v>
      </c>
      <c r="AX27" s="137">
        <f t="shared" si="12"/>
        <v>0</v>
      </c>
    </row>
    <row r="28" ht="46.5" customHeight="1" spans="1:50" s="97" customFormat="1" x14ac:dyDescent="0.25">
      <c r="A28" s="100"/>
      <c r="B28" s="100"/>
      <c r="C28" s="100"/>
      <c r="D28" s="100"/>
      <c r="E28" s="100"/>
      <c r="F28" s="100"/>
      <c r="G28" s="103"/>
      <c r="H28" s="186"/>
      <c r="I28" s="195">
        <v>0.51</v>
      </c>
      <c r="J28" s="107">
        <v>0.49</v>
      </c>
      <c r="K28" s="107"/>
      <c r="L28" s="107"/>
      <c r="M28" s="187"/>
      <c r="N28" s="169">
        <f t="shared" si="0"/>
        <v>1</v>
      </c>
      <c r="O28" s="144">
        <v>1</v>
      </c>
      <c r="P28" s="145">
        <v>15</v>
      </c>
      <c r="Q28" s="113">
        <v>15</v>
      </c>
      <c r="R28" s="113"/>
      <c r="S28" s="113"/>
      <c r="T28" s="146"/>
      <c r="U28" s="148">
        <f t="shared" si="1"/>
        <v>15</v>
      </c>
      <c r="V28" s="149">
        <f t="shared" si="2"/>
        <v>15</v>
      </c>
      <c r="W28" s="189"/>
      <c r="X28" s="199"/>
      <c r="Y28" s="151"/>
      <c r="Z28" s="190"/>
      <c r="AA28" s="153"/>
      <c r="AB28" s="154">
        <f t="shared" si="3"/>
        <v>0</v>
      </c>
      <c r="AC28" s="149">
        <f t="shared" si="4"/>
        <v>0</v>
      </c>
      <c r="AD28" s="125">
        <v>2</v>
      </c>
      <c r="AE28" s="148">
        <f t="shared" si="5"/>
        <v>2</v>
      </c>
      <c r="AF28" s="156"/>
      <c r="AG28" s="156"/>
      <c r="AH28" s="113">
        <f t="shared" si="6"/>
        <v>17</v>
      </c>
      <c r="AI28" s="157">
        <v>65</v>
      </c>
      <c r="AJ28" s="113">
        <f t="shared" si="7"/>
        <v>82</v>
      </c>
      <c r="AK28" s="113">
        <f t="shared" si="8"/>
        <v>82</v>
      </c>
      <c r="AL28" s="158">
        <f t="shared" si="9"/>
        <v>1.02</v>
      </c>
      <c r="AM28" s="159"/>
      <c r="AN28" s="160">
        <f t="shared" si="10"/>
        <v>1</v>
      </c>
      <c r="AO28" s="160">
        <f t="shared" si="10"/>
        <v>2</v>
      </c>
      <c r="AP28" s="133"/>
      <c r="AQ28" s="134"/>
      <c r="AR28" s="161"/>
      <c r="AS28" s="161"/>
      <c r="AT28" s="161"/>
      <c r="AU28" s="161"/>
      <c r="AV28" s="162"/>
      <c r="AW28" s="137">
        <f t="shared" si="11"/>
        <v>0</v>
      </c>
      <c r="AX28" s="137">
        <f t="shared" si="12"/>
        <v>0</v>
      </c>
    </row>
    <row r="29" ht="46.5" customHeight="1" spans="1:50" s="97" customFormat="1" x14ac:dyDescent="0.25">
      <c r="A29" s="100"/>
      <c r="B29" s="100"/>
      <c r="C29" s="100"/>
      <c r="D29" s="100"/>
      <c r="E29" s="100"/>
      <c r="F29" s="100"/>
      <c r="G29" s="103"/>
      <c r="H29" s="186"/>
      <c r="I29" s="195">
        <v>0.51</v>
      </c>
      <c r="J29" s="107">
        <v>0.49</v>
      </c>
      <c r="K29" s="107"/>
      <c r="L29" s="107"/>
      <c r="M29" s="187"/>
      <c r="N29" s="169">
        <f t="shared" si="0"/>
        <v>1</v>
      </c>
      <c r="O29" s="144">
        <v>1</v>
      </c>
      <c r="P29" s="145">
        <v>15</v>
      </c>
      <c r="Q29" s="113">
        <v>15</v>
      </c>
      <c r="R29" s="113"/>
      <c r="S29" s="113"/>
      <c r="T29" s="146"/>
      <c r="U29" s="148">
        <f t="shared" si="1"/>
        <v>15</v>
      </c>
      <c r="V29" s="149">
        <f t="shared" si="2"/>
        <v>15</v>
      </c>
      <c r="W29" s="189"/>
      <c r="X29" s="199"/>
      <c r="Y29" s="151"/>
      <c r="Z29" s="190"/>
      <c r="AA29" s="153"/>
      <c r="AB29" s="154">
        <f t="shared" si="3"/>
        <v>0</v>
      </c>
      <c r="AC29" s="149">
        <f t="shared" si="4"/>
        <v>0</v>
      </c>
      <c r="AD29" s="125">
        <v>2</v>
      </c>
      <c r="AE29" s="148">
        <f t="shared" si="5"/>
        <v>2</v>
      </c>
      <c r="AF29" s="156"/>
      <c r="AG29" s="156"/>
      <c r="AH29" s="113">
        <f t="shared" si="6"/>
        <v>17</v>
      </c>
      <c r="AI29" s="157">
        <v>65</v>
      </c>
      <c r="AJ29" s="113">
        <f t="shared" si="7"/>
        <v>82</v>
      </c>
      <c r="AK29" s="113">
        <f t="shared" si="8"/>
        <v>82</v>
      </c>
      <c r="AL29" s="158">
        <f t="shared" si="9"/>
        <v>1.02</v>
      </c>
      <c r="AM29" s="159"/>
      <c r="AN29" s="160">
        <f t="shared" si="10"/>
        <v>1</v>
      </c>
      <c r="AO29" s="160">
        <f t="shared" si="10"/>
        <v>2</v>
      </c>
      <c r="AP29" s="133"/>
      <c r="AQ29" s="134"/>
      <c r="AR29" s="161"/>
      <c r="AS29" s="161"/>
      <c r="AT29" s="161"/>
      <c r="AU29" s="161"/>
      <c r="AV29" s="162"/>
      <c r="AW29" s="137">
        <f t="shared" si="11"/>
        <v>0</v>
      </c>
      <c r="AX29" s="137">
        <f t="shared" si="12"/>
        <v>0</v>
      </c>
    </row>
    <row r="30" ht="46.5" customHeight="1" spans="1:50" s="97" customFormat="1" x14ac:dyDescent="0.25">
      <c r="A30" s="100"/>
      <c r="B30" s="100"/>
      <c r="C30" s="100"/>
      <c r="D30" s="100"/>
      <c r="E30" s="100"/>
      <c r="F30" s="100"/>
      <c r="G30" s="103"/>
      <c r="H30" s="186"/>
      <c r="I30" s="195">
        <v>0.51</v>
      </c>
      <c r="J30" s="107">
        <v>0.49</v>
      </c>
      <c r="K30" s="107"/>
      <c r="L30" s="107"/>
      <c r="M30" s="187"/>
      <c r="N30" s="169">
        <f t="shared" si="0"/>
        <v>1</v>
      </c>
      <c r="O30" s="144">
        <v>1</v>
      </c>
      <c r="P30" s="145">
        <v>15</v>
      </c>
      <c r="Q30" s="113">
        <v>15</v>
      </c>
      <c r="R30" s="113"/>
      <c r="S30" s="113"/>
      <c r="T30" s="146"/>
      <c r="U30" s="148">
        <f t="shared" si="1"/>
        <v>15</v>
      </c>
      <c r="V30" s="149">
        <f t="shared" si="2"/>
        <v>15</v>
      </c>
      <c r="W30" s="189"/>
      <c r="X30" s="199"/>
      <c r="Y30" s="151"/>
      <c r="Z30" s="190"/>
      <c r="AA30" s="153"/>
      <c r="AB30" s="154">
        <f t="shared" si="3"/>
        <v>0</v>
      </c>
      <c r="AC30" s="149">
        <f t="shared" si="4"/>
        <v>0</v>
      </c>
      <c r="AD30" s="125">
        <v>2</v>
      </c>
      <c r="AE30" s="148">
        <f t="shared" si="5"/>
        <v>2</v>
      </c>
      <c r="AF30" s="156"/>
      <c r="AG30" s="156"/>
      <c r="AH30" s="113">
        <f t="shared" si="6"/>
        <v>17</v>
      </c>
      <c r="AI30" s="157">
        <v>65</v>
      </c>
      <c r="AJ30" s="113">
        <f t="shared" si="7"/>
        <v>82</v>
      </c>
      <c r="AK30" s="113">
        <f t="shared" si="8"/>
        <v>82</v>
      </c>
      <c r="AL30" s="158">
        <f t="shared" si="9"/>
        <v>1.02</v>
      </c>
      <c r="AM30" s="159"/>
      <c r="AN30" s="160">
        <f t="shared" si="10"/>
        <v>1</v>
      </c>
      <c r="AO30" s="160">
        <f t="shared" si="10"/>
        <v>2</v>
      </c>
      <c r="AP30" s="133"/>
      <c r="AQ30" s="134"/>
      <c r="AR30" s="161"/>
      <c r="AS30" s="161"/>
      <c r="AT30" s="161"/>
      <c r="AU30" s="161"/>
      <c r="AV30" s="162"/>
      <c r="AW30" s="137">
        <f t="shared" si="11"/>
        <v>0</v>
      </c>
      <c r="AX30" s="137">
        <f t="shared" si="12"/>
        <v>0</v>
      </c>
    </row>
    <row r="31" ht="46.5" customHeight="1" spans="1:50" s="97" customFormat="1" x14ac:dyDescent="0.25">
      <c r="A31" s="100"/>
      <c r="B31" s="100"/>
      <c r="C31" s="100"/>
      <c r="D31" s="100"/>
      <c r="E31" s="100"/>
      <c r="F31" s="100"/>
      <c r="G31" s="103"/>
      <c r="H31" s="186"/>
      <c r="I31" s="195">
        <v>0.51</v>
      </c>
      <c r="J31" s="107">
        <v>0.49</v>
      </c>
      <c r="K31" s="107"/>
      <c r="L31" s="107"/>
      <c r="M31" s="187"/>
      <c r="N31" s="169">
        <f t="shared" si="0"/>
        <v>1</v>
      </c>
      <c r="O31" s="144">
        <v>1</v>
      </c>
      <c r="P31" s="145">
        <v>15</v>
      </c>
      <c r="Q31" s="113">
        <v>15</v>
      </c>
      <c r="R31" s="113"/>
      <c r="S31" s="113"/>
      <c r="T31" s="146"/>
      <c r="U31" s="148">
        <f t="shared" si="1"/>
        <v>15</v>
      </c>
      <c r="V31" s="149">
        <f t="shared" si="2"/>
        <v>15</v>
      </c>
      <c r="W31" s="189"/>
      <c r="X31" s="199"/>
      <c r="Y31" s="151"/>
      <c r="Z31" s="190"/>
      <c r="AA31" s="153"/>
      <c r="AB31" s="154">
        <f t="shared" si="3"/>
        <v>0</v>
      </c>
      <c r="AC31" s="149">
        <f t="shared" si="4"/>
        <v>0</v>
      </c>
      <c r="AD31" s="125">
        <v>2</v>
      </c>
      <c r="AE31" s="148">
        <f t="shared" si="5"/>
        <v>2</v>
      </c>
      <c r="AF31" s="156"/>
      <c r="AG31" s="156"/>
      <c r="AH31" s="113">
        <f t="shared" si="6"/>
        <v>17</v>
      </c>
      <c r="AI31" s="157">
        <v>65</v>
      </c>
      <c r="AJ31" s="113">
        <f t="shared" si="7"/>
        <v>82</v>
      </c>
      <c r="AK31" s="113">
        <f t="shared" si="8"/>
        <v>82</v>
      </c>
      <c r="AL31" s="158">
        <f t="shared" si="9"/>
        <v>1.02</v>
      </c>
      <c r="AM31" s="159"/>
      <c r="AN31" s="160">
        <f t="shared" ref="AN31:AO50" si="13">100%+AM31</f>
        <v>1</v>
      </c>
      <c r="AO31" s="160">
        <f t="shared" si="13"/>
        <v>2</v>
      </c>
      <c r="AP31" s="133"/>
      <c r="AQ31" s="134"/>
      <c r="AR31" s="161"/>
      <c r="AS31" s="161"/>
      <c r="AT31" s="161"/>
      <c r="AU31" s="161"/>
      <c r="AV31" s="162"/>
      <c r="AW31" s="137">
        <f t="shared" si="11"/>
        <v>0</v>
      </c>
      <c r="AX31" s="137">
        <f t="shared" si="12"/>
        <v>0</v>
      </c>
    </row>
    <row r="32" ht="46.5" customHeight="1" spans="1:50" s="97" customFormat="1" x14ac:dyDescent="0.25">
      <c r="A32" s="100"/>
      <c r="B32" s="100"/>
      <c r="C32" s="100"/>
      <c r="D32" s="100"/>
      <c r="E32" s="100"/>
      <c r="F32" s="100"/>
      <c r="G32" s="103"/>
      <c r="H32" s="186"/>
      <c r="I32" s="195">
        <v>0.51</v>
      </c>
      <c r="J32" s="107">
        <v>0.49</v>
      </c>
      <c r="K32" s="107"/>
      <c r="L32" s="107"/>
      <c r="M32" s="187"/>
      <c r="N32" s="169">
        <f t="shared" si="0"/>
        <v>1</v>
      </c>
      <c r="O32" s="144">
        <v>1</v>
      </c>
      <c r="P32" s="145">
        <v>15</v>
      </c>
      <c r="Q32" s="113">
        <v>15</v>
      </c>
      <c r="R32" s="113"/>
      <c r="S32" s="113"/>
      <c r="T32" s="146"/>
      <c r="U32" s="148">
        <f t="shared" si="1"/>
        <v>15</v>
      </c>
      <c r="V32" s="149">
        <f t="shared" si="2"/>
        <v>15</v>
      </c>
      <c r="W32" s="189"/>
      <c r="X32" s="199"/>
      <c r="Y32" s="151"/>
      <c r="Z32" s="190"/>
      <c r="AA32" s="153"/>
      <c r="AB32" s="154">
        <f t="shared" si="3"/>
        <v>0</v>
      </c>
      <c r="AC32" s="149">
        <f t="shared" si="4"/>
        <v>0</v>
      </c>
      <c r="AD32" s="125">
        <v>2</v>
      </c>
      <c r="AE32" s="148">
        <f t="shared" si="5"/>
        <v>2</v>
      </c>
      <c r="AF32" s="156"/>
      <c r="AG32" s="156"/>
      <c r="AH32" s="113">
        <f t="shared" si="6"/>
        <v>17</v>
      </c>
      <c r="AI32" s="157">
        <v>65</v>
      </c>
      <c r="AJ32" s="113">
        <f t="shared" si="7"/>
        <v>82</v>
      </c>
      <c r="AK32" s="113">
        <f t="shared" si="8"/>
        <v>82</v>
      </c>
      <c r="AL32" s="158">
        <f t="shared" si="9"/>
        <v>1.02</v>
      </c>
      <c r="AM32" s="159"/>
      <c r="AN32" s="160">
        <f t="shared" si="13"/>
        <v>1</v>
      </c>
      <c r="AO32" s="160">
        <f t="shared" si="13"/>
        <v>2</v>
      </c>
      <c r="AP32" s="133"/>
      <c r="AQ32" s="134"/>
      <c r="AR32" s="161"/>
      <c r="AS32" s="161"/>
      <c r="AT32" s="161"/>
      <c r="AU32" s="161"/>
      <c r="AV32" s="162"/>
      <c r="AW32" s="137">
        <f t="shared" si="11"/>
        <v>0</v>
      </c>
      <c r="AX32" s="137">
        <f t="shared" si="12"/>
        <v>0</v>
      </c>
    </row>
    <row r="33" ht="46.5" customHeight="1" spans="1:50" s="97" customFormat="1" x14ac:dyDescent="0.25">
      <c r="A33" s="100"/>
      <c r="B33" s="100"/>
      <c r="C33" s="100"/>
      <c r="D33" s="100"/>
      <c r="E33" s="100"/>
      <c r="F33" s="100"/>
      <c r="G33" s="103"/>
      <c r="H33" s="186"/>
      <c r="I33" s="195">
        <v>0.51</v>
      </c>
      <c r="J33" s="107">
        <v>0.49</v>
      </c>
      <c r="K33" s="107"/>
      <c r="L33" s="107"/>
      <c r="M33" s="187"/>
      <c r="N33" s="169">
        <f t="shared" si="0"/>
        <v>1</v>
      </c>
      <c r="O33" s="144">
        <v>1</v>
      </c>
      <c r="P33" s="145">
        <v>15</v>
      </c>
      <c r="Q33" s="113">
        <v>15</v>
      </c>
      <c r="R33" s="113"/>
      <c r="S33" s="113"/>
      <c r="T33" s="146"/>
      <c r="U33" s="148">
        <f t="shared" si="1"/>
        <v>15</v>
      </c>
      <c r="V33" s="149">
        <f t="shared" si="2"/>
        <v>15</v>
      </c>
      <c r="W33" s="189"/>
      <c r="X33" s="199"/>
      <c r="Y33" s="151"/>
      <c r="Z33" s="190"/>
      <c r="AA33" s="153"/>
      <c r="AB33" s="154">
        <f t="shared" si="3"/>
        <v>0</v>
      </c>
      <c r="AC33" s="149">
        <f t="shared" si="4"/>
        <v>0</v>
      </c>
      <c r="AD33" s="125">
        <v>2</v>
      </c>
      <c r="AE33" s="148">
        <f t="shared" si="5"/>
        <v>2</v>
      </c>
      <c r="AF33" s="156"/>
      <c r="AG33" s="156"/>
      <c r="AH33" s="113">
        <f t="shared" si="6"/>
        <v>17</v>
      </c>
      <c r="AI33" s="157">
        <v>65</v>
      </c>
      <c r="AJ33" s="113">
        <f t="shared" si="7"/>
        <v>82</v>
      </c>
      <c r="AK33" s="113">
        <f t="shared" si="8"/>
        <v>82</v>
      </c>
      <c r="AL33" s="158">
        <f t="shared" si="9"/>
        <v>1.02</v>
      </c>
      <c r="AM33" s="159"/>
      <c r="AN33" s="160">
        <f t="shared" si="13"/>
        <v>1</v>
      </c>
      <c r="AO33" s="160">
        <f t="shared" si="13"/>
        <v>2</v>
      </c>
      <c r="AP33" s="133"/>
      <c r="AQ33" s="134"/>
      <c r="AR33" s="161"/>
      <c r="AS33" s="161"/>
      <c r="AT33" s="161"/>
      <c r="AU33" s="161"/>
      <c r="AV33" s="162"/>
      <c r="AW33" s="137">
        <f t="shared" si="11"/>
        <v>0</v>
      </c>
      <c r="AX33" s="137">
        <f t="shared" si="12"/>
        <v>0</v>
      </c>
    </row>
    <row r="34" ht="46.5" customHeight="1" spans="1:50" s="97" customFormat="1" x14ac:dyDescent="0.25">
      <c r="A34" s="100"/>
      <c r="B34" s="100"/>
      <c r="C34" s="100"/>
      <c r="D34" s="100"/>
      <c r="E34" s="100"/>
      <c r="F34" s="100"/>
      <c r="G34" s="103"/>
      <c r="H34" s="186"/>
      <c r="I34" s="195">
        <v>0.51</v>
      </c>
      <c r="J34" s="107">
        <v>0.49</v>
      </c>
      <c r="K34" s="107"/>
      <c r="L34" s="107"/>
      <c r="M34" s="187"/>
      <c r="N34" s="169">
        <f t="shared" si="0"/>
        <v>1</v>
      </c>
      <c r="O34" s="144">
        <v>1</v>
      </c>
      <c r="P34" s="145">
        <v>15</v>
      </c>
      <c r="Q34" s="113">
        <v>15</v>
      </c>
      <c r="R34" s="113"/>
      <c r="S34" s="113"/>
      <c r="T34" s="146"/>
      <c r="U34" s="148">
        <f t="shared" si="1"/>
        <v>15</v>
      </c>
      <c r="V34" s="149">
        <f t="shared" si="2"/>
        <v>15</v>
      </c>
      <c r="W34" s="189"/>
      <c r="X34" s="199"/>
      <c r="Y34" s="151"/>
      <c r="Z34" s="190"/>
      <c r="AA34" s="153"/>
      <c r="AB34" s="154">
        <f t="shared" si="3"/>
        <v>0</v>
      </c>
      <c r="AC34" s="149">
        <f t="shared" si="4"/>
        <v>0</v>
      </c>
      <c r="AD34" s="125">
        <v>2</v>
      </c>
      <c r="AE34" s="148">
        <f t="shared" si="5"/>
        <v>2</v>
      </c>
      <c r="AF34" s="156"/>
      <c r="AG34" s="156"/>
      <c r="AH34" s="113">
        <f t="shared" si="6"/>
        <v>17</v>
      </c>
      <c r="AI34" s="157">
        <v>65</v>
      </c>
      <c r="AJ34" s="113">
        <f t="shared" si="7"/>
        <v>82</v>
      </c>
      <c r="AK34" s="113">
        <f t="shared" si="8"/>
        <v>82</v>
      </c>
      <c r="AL34" s="158">
        <f t="shared" si="9"/>
        <v>1.02</v>
      </c>
      <c r="AM34" s="159"/>
      <c r="AN34" s="160">
        <f t="shared" si="13"/>
        <v>1</v>
      </c>
      <c r="AO34" s="160">
        <f t="shared" si="13"/>
        <v>2</v>
      </c>
      <c r="AP34" s="133"/>
      <c r="AQ34" s="134"/>
      <c r="AR34" s="161"/>
      <c r="AS34" s="161"/>
      <c r="AT34" s="161"/>
      <c r="AU34" s="161"/>
      <c r="AV34" s="162"/>
      <c r="AW34" s="137">
        <f t="shared" si="11"/>
        <v>0</v>
      </c>
      <c r="AX34" s="137">
        <f t="shared" si="12"/>
        <v>0</v>
      </c>
    </row>
    <row r="35" ht="46.5" customHeight="1" spans="1:50" s="97" customFormat="1" x14ac:dyDescent="0.25">
      <c r="A35" s="100"/>
      <c r="B35" s="100"/>
      <c r="C35" s="100"/>
      <c r="D35" s="100"/>
      <c r="E35" s="100"/>
      <c r="F35" s="100"/>
      <c r="G35" s="103"/>
      <c r="H35" s="186"/>
      <c r="I35" s="195">
        <v>0.51</v>
      </c>
      <c r="J35" s="107">
        <v>0.49</v>
      </c>
      <c r="K35" s="107"/>
      <c r="L35" s="107"/>
      <c r="M35" s="187"/>
      <c r="N35" s="169">
        <f t="shared" si="0"/>
        <v>1</v>
      </c>
      <c r="O35" s="144">
        <v>1</v>
      </c>
      <c r="P35" s="145">
        <v>15</v>
      </c>
      <c r="Q35" s="113">
        <v>15</v>
      </c>
      <c r="R35" s="113"/>
      <c r="S35" s="113"/>
      <c r="T35" s="146"/>
      <c r="U35" s="148">
        <f t="shared" si="1"/>
        <v>15</v>
      </c>
      <c r="V35" s="149">
        <f t="shared" si="2"/>
        <v>15</v>
      </c>
      <c r="W35" s="189"/>
      <c r="X35" s="199"/>
      <c r="Y35" s="151"/>
      <c r="Z35" s="190"/>
      <c r="AA35" s="153"/>
      <c r="AB35" s="154">
        <f t="shared" si="3"/>
        <v>0</v>
      </c>
      <c r="AC35" s="149">
        <f t="shared" si="4"/>
        <v>0</v>
      </c>
      <c r="AD35" s="125">
        <v>2</v>
      </c>
      <c r="AE35" s="148">
        <f t="shared" si="5"/>
        <v>2</v>
      </c>
      <c r="AF35" s="156"/>
      <c r="AG35" s="156"/>
      <c r="AH35" s="113">
        <f t="shared" si="6"/>
        <v>17</v>
      </c>
      <c r="AI35" s="157">
        <v>65</v>
      </c>
      <c r="AJ35" s="113">
        <f t="shared" si="7"/>
        <v>82</v>
      </c>
      <c r="AK35" s="113">
        <f t="shared" si="8"/>
        <v>82</v>
      </c>
      <c r="AL35" s="158">
        <f t="shared" si="9"/>
        <v>1.02</v>
      </c>
      <c r="AM35" s="159"/>
      <c r="AN35" s="160">
        <f t="shared" si="13"/>
        <v>1</v>
      </c>
      <c r="AO35" s="160">
        <f t="shared" si="13"/>
        <v>2</v>
      </c>
      <c r="AP35" s="133"/>
      <c r="AQ35" s="134"/>
      <c r="AR35" s="161"/>
      <c r="AS35" s="161"/>
      <c r="AT35" s="161"/>
      <c r="AU35" s="161"/>
      <c r="AV35" s="162"/>
      <c r="AW35" s="137">
        <f t="shared" si="11"/>
        <v>0</v>
      </c>
      <c r="AX35" s="137">
        <f t="shared" si="12"/>
        <v>0</v>
      </c>
    </row>
    <row r="36" ht="46.5" customHeight="1" spans="1:50" s="97" customFormat="1" x14ac:dyDescent="0.25">
      <c r="A36" s="100"/>
      <c r="B36" s="100"/>
      <c r="C36" s="100"/>
      <c r="D36" s="100"/>
      <c r="E36" s="100"/>
      <c r="F36" s="100"/>
      <c r="G36" s="103"/>
      <c r="H36" s="186"/>
      <c r="I36" s="195">
        <v>0.51</v>
      </c>
      <c r="J36" s="107">
        <v>0.49</v>
      </c>
      <c r="K36" s="107"/>
      <c r="L36" s="107"/>
      <c r="M36" s="187"/>
      <c r="N36" s="169">
        <f t="shared" si="0"/>
        <v>1</v>
      </c>
      <c r="O36" s="144">
        <v>1</v>
      </c>
      <c r="P36" s="145">
        <v>15</v>
      </c>
      <c r="Q36" s="113">
        <v>15</v>
      </c>
      <c r="R36" s="113"/>
      <c r="S36" s="113"/>
      <c r="T36" s="146"/>
      <c r="U36" s="148">
        <f t="shared" si="1"/>
        <v>15</v>
      </c>
      <c r="V36" s="149">
        <f t="shared" si="2"/>
        <v>15</v>
      </c>
      <c r="W36" s="189"/>
      <c r="X36" s="199"/>
      <c r="Y36" s="151"/>
      <c r="Z36" s="190"/>
      <c r="AA36" s="153"/>
      <c r="AB36" s="154">
        <f t="shared" si="3"/>
        <v>0</v>
      </c>
      <c r="AC36" s="149">
        <f t="shared" si="4"/>
        <v>0</v>
      </c>
      <c r="AD36" s="125">
        <v>2</v>
      </c>
      <c r="AE36" s="148">
        <f t="shared" si="5"/>
        <v>2</v>
      </c>
      <c r="AF36" s="156"/>
      <c r="AG36" s="156"/>
      <c r="AH36" s="113">
        <f t="shared" si="6"/>
        <v>17</v>
      </c>
      <c r="AI36" s="157">
        <v>65</v>
      </c>
      <c r="AJ36" s="113">
        <f t="shared" si="7"/>
        <v>82</v>
      </c>
      <c r="AK36" s="113">
        <f t="shared" si="8"/>
        <v>82</v>
      </c>
      <c r="AL36" s="158">
        <f t="shared" si="9"/>
        <v>1.02</v>
      </c>
      <c r="AM36" s="159"/>
      <c r="AN36" s="160">
        <f t="shared" si="13"/>
        <v>1</v>
      </c>
      <c r="AO36" s="160">
        <f t="shared" si="13"/>
        <v>2</v>
      </c>
      <c r="AP36" s="133"/>
      <c r="AQ36" s="134"/>
      <c r="AR36" s="161"/>
      <c r="AS36" s="161"/>
      <c r="AT36" s="161"/>
      <c r="AU36" s="161"/>
      <c r="AV36" s="162"/>
      <c r="AW36" s="137">
        <f t="shared" si="11"/>
        <v>0</v>
      </c>
      <c r="AX36" s="137">
        <f t="shared" si="12"/>
        <v>0</v>
      </c>
    </row>
    <row r="37" ht="46.5" customHeight="1" spans="1:50" s="97" customFormat="1" x14ac:dyDescent="0.25">
      <c r="A37" s="100"/>
      <c r="B37" s="100"/>
      <c r="C37" s="100"/>
      <c r="D37" s="100"/>
      <c r="E37" s="100"/>
      <c r="F37" s="100"/>
      <c r="G37" s="103"/>
      <c r="H37" s="186"/>
      <c r="I37" s="195">
        <v>0.51</v>
      </c>
      <c r="J37" s="107">
        <v>0.49</v>
      </c>
      <c r="K37" s="107"/>
      <c r="L37" s="107"/>
      <c r="M37" s="187"/>
      <c r="N37" s="169">
        <f t="shared" si="0"/>
        <v>1</v>
      </c>
      <c r="O37" s="144">
        <v>1</v>
      </c>
      <c r="P37" s="145">
        <v>15</v>
      </c>
      <c r="Q37" s="113">
        <v>15</v>
      </c>
      <c r="R37" s="113"/>
      <c r="S37" s="113"/>
      <c r="T37" s="146"/>
      <c r="U37" s="148">
        <f t="shared" si="1"/>
        <v>15</v>
      </c>
      <c r="V37" s="149">
        <f t="shared" si="2"/>
        <v>15</v>
      </c>
      <c r="W37" s="189"/>
      <c r="X37" s="199"/>
      <c r="Y37" s="151"/>
      <c r="Z37" s="190"/>
      <c r="AA37" s="153"/>
      <c r="AB37" s="154">
        <f t="shared" si="3"/>
        <v>0</v>
      </c>
      <c r="AC37" s="149">
        <f t="shared" si="4"/>
        <v>0</v>
      </c>
      <c r="AD37" s="125">
        <v>2</v>
      </c>
      <c r="AE37" s="148">
        <f t="shared" si="5"/>
        <v>2</v>
      </c>
      <c r="AF37" s="156"/>
      <c r="AG37" s="156"/>
      <c r="AH37" s="113">
        <f t="shared" si="6"/>
        <v>17</v>
      </c>
      <c r="AI37" s="157">
        <v>65</v>
      </c>
      <c r="AJ37" s="113">
        <f t="shared" si="7"/>
        <v>82</v>
      </c>
      <c r="AK37" s="113">
        <f t="shared" si="8"/>
        <v>82</v>
      </c>
      <c r="AL37" s="158">
        <f t="shared" si="9"/>
        <v>1.02</v>
      </c>
      <c r="AM37" s="159"/>
      <c r="AN37" s="160">
        <f t="shared" si="13"/>
        <v>1</v>
      </c>
      <c r="AO37" s="160">
        <f t="shared" si="13"/>
        <v>2</v>
      </c>
      <c r="AP37" s="133"/>
      <c r="AQ37" s="134"/>
      <c r="AR37" s="161"/>
      <c r="AS37" s="161"/>
      <c r="AT37" s="161"/>
      <c r="AU37" s="161"/>
      <c r="AV37" s="162"/>
      <c r="AW37" s="137">
        <f t="shared" si="11"/>
        <v>0</v>
      </c>
      <c r="AX37" s="137">
        <f t="shared" si="12"/>
        <v>0</v>
      </c>
    </row>
    <row r="38" ht="46.5" customHeight="1" spans="1:50" s="97" customFormat="1" x14ac:dyDescent="0.25">
      <c r="A38" s="100"/>
      <c r="B38" s="100"/>
      <c r="C38" s="100"/>
      <c r="D38" s="100"/>
      <c r="E38" s="100"/>
      <c r="F38" s="100"/>
      <c r="G38" s="103"/>
      <c r="H38" s="186"/>
      <c r="I38" s="195">
        <v>0.51</v>
      </c>
      <c r="J38" s="107">
        <v>0.49</v>
      </c>
      <c r="K38" s="107"/>
      <c r="L38" s="107"/>
      <c r="M38" s="187"/>
      <c r="N38" s="169">
        <f t="shared" si="0"/>
        <v>1</v>
      </c>
      <c r="O38" s="144">
        <v>1</v>
      </c>
      <c r="P38" s="145">
        <v>15</v>
      </c>
      <c r="Q38" s="113">
        <v>15</v>
      </c>
      <c r="R38" s="113"/>
      <c r="S38" s="113"/>
      <c r="T38" s="146"/>
      <c r="U38" s="148">
        <f t="shared" si="1"/>
        <v>15</v>
      </c>
      <c r="V38" s="149">
        <f t="shared" si="2"/>
        <v>15</v>
      </c>
      <c r="W38" s="189"/>
      <c r="X38" s="199"/>
      <c r="Y38" s="151"/>
      <c r="Z38" s="190"/>
      <c r="AA38" s="153"/>
      <c r="AB38" s="154">
        <f t="shared" si="3"/>
        <v>0</v>
      </c>
      <c r="AC38" s="149">
        <f t="shared" si="4"/>
        <v>0</v>
      </c>
      <c r="AD38" s="125">
        <v>2</v>
      </c>
      <c r="AE38" s="148">
        <f t="shared" si="5"/>
        <v>2</v>
      </c>
      <c r="AF38" s="156"/>
      <c r="AG38" s="156"/>
      <c r="AH38" s="113">
        <f t="shared" si="6"/>
        <v>17</v>
      </c>
      <c r="AI38" s="157">
        <v>65</v>
      </c>
      <c r="AJ38" s="113">
        <f t="shared" si="7"/>
        <v>82</v>
      </c>
      <c r="AK38" s="113">
        <f t="shared" si="8"/>
        <v>82</v>
      </c>
      <c r="AL38" s="158">
        <f t="shared" si="9"/>
        <v>1.02</v>
      </c>
      <c r="AM38" s="159"/>
      <c r="AN38" s="160">
        <f t="shared" si="13"/>
        <v>1</v>
      </c>
      <c r="AO38" s="160">
        <f t="shared" si="13"/>
        <v>2</v>
      </c>
      <c r="AP38" s="133"/>
      <c r="AQ38" s="134"/>
      <c r="AR38" s="161"/>
      <c r="AS38" s="161"/>
      <c r="AT38" s="161"/>
      <c r="AU38" s="161"/>
      <c r="AV38" s="162"/>
      <c r="AW38" s="137">
        <f t="shared" si="11"/>
        <v>0</v>
      </c>
      <c r="AX38" s="137">
        <f t="shared" si="12"/>
        <v>0</v>
      </c>
    </row>
    <row r="39" ht="46.5" customHeight="1" spans="1:50" s="97" customFormat="1" x14ac:dyDescent="0.25">
      <c r="A39" s="100"/>
      <c r="B39" s="100"/>
      <c r="C39" s="100"/>
      <c r="D39" s="100"/>
      <c r="E39" s="100"/>
      <c r="F39" s="100"/>
      <c r="G39" s="103"/>
      <c r="H39" s="186"/>
      <c r="I39" s="195">
        <v>0.51</v>
      </c>
      <c r="J39" s="107">
        <v>0.49</v>
      </c>
      <c r="K39" s="107"/>
      <c r="L39" s="107"/>
      <c r="M39" s="187"/>
      <c r="N39" s="169">
        <f t="shared" si="0"/>
        <v>1</v>
      </c>
      <c r="O39" s="144">
        <v>1</v>
      </c>
      <c r="P39" s="145">
        <v>15</v>
      </c>
      <c r="Q39" s="113">
        <v>15</v>
      </c>
      <c r="R39" s="113"/>
      <c r="S39" s="113"/>
      <c r="T39" s="146"/>
      <c r="U39" s="148">
        <f t="shared" si="1"/>
        <v>15</v>
      </c>
      <c r="V39" s="149">
        <f t="shared" si="2"/>
        <v>15</v>
      </c>
      <c r="W39" s="189"/>
      <c r="X39" s="199"/>
      <c r="Y39" s="151"/>
      <c r="Z39" s="190"/>
      <c r="AA39" s="153"/>
      <c r="AB39" s="154">
        <f t="shared" si="3"/>
        <v>0</v>
      </c>
      <c r="AC39" s="149">
        <f t="shared" si="4"/>
        <v>0</v>
      </c>
      <c r="AD39" s="125">
        <v>2</v>
      </c>
      <c r="AE39" s="148">
        <f t="shared" si="5"/>
        <v>2</v>
      </c>
      <c r="AF39" s="156"/>
      <c r="AG39" s="156"/>
      <c r="AH39" s="113">
        <f t="shared" si="6"/>
        <v>17</v>
      </c>
      <c r="AI39" s="157">
        <v>65</v>
      </c>
      <c r="AJ39" s="113">
        <f t="shared" si="7"/>
        <v>82</v>
      </c>
      <c r="AK39" s="113">
        <f t="shared" si="8"/>
        <v>82</v>
      </c>
      <c r="AL39" s="158">
        <f t="shared" si="9"/>
        <v>1.02</v>
      </c>
      <c r="AM39" s="159"/>
      <c r="AN39" s="160">
        <f t="shared" si="13"/>
        <v>1</v>
      </c>
      <c r="AO39" s="160">
        <f t="shared" si="13"/>
        <v>2</v>
      </c>
      <c r="AP39" s="133"/>
      <c r="AQ39" s="134"/>
      <c r="AR39" s="161"/>
      <c r="AS39" s="161"/>
      <c r="AT39" s="161"/>
      <c r="AU39" s="161"/>
      <c r="AV39" s="162"/>
      <c r="AW39" s="137">
        <f t="shared" si="11"/>
        <v>0</v>
      </c>
      <c r="AX39" s="137">
        <f t="shared" si="12"/>
        <v>0</v>
      </c>
    </row>
    <row r="40" ht="46.5" customHeight="1" spans="1:50" s="97" customFormat="1" x14ac:dyDescent="0.25">
      <c r="A40" s="100"/>
      <c r="B40" s="100"/>
      <c r="C40" s="100"/>
      <c r="D40" s="100"/>
      <c r="E40" s="100"/>
      <c r="F40" s="100"/>
      <c r="G40" s="103"/>
      <c r="H40" s="186"/>
      <c r="I40" s="195">
        <v>0.51</v>
      </c>
      <c r="J40" s="107">
        <v>0.49</v>
      </c>
      <c r="K40" s="107"/>
      <c r="L40" s="107"/>
      <c r="M40" s="187"/>
      <c r="N40" s="169">
        <f t="shared" si="0"/>
        <v>1</v>
      </c>
      <c r="O40" s="144">
        <v>1</v>
      </c>
      <c r="P40" s="145">
        <v>15</v>
      </c>
      <c r="Q40" s="113">
        <v>15</v>
      </c>
      <c r="R40" s="113"/>
      <c r="S40" s="113"/>
      <c r="T40" s="146"/>
      <c r="U40" s="148">
        <f t="shared" si="1"/>
        <v>15</v>
      </c>
      <c r="V40" s="149">
        <f t="shared" si="2"/>
        <v>15</v>
      </c>
      <c r="W40" s="189"/>
      <c r="X40" s="199"/>
      <c r="Y40" s="151"/>
      <c r="Z40" s="190"/>
      <c r="AA40" s="153"/>
      <c r="AB40" s="154">
        <f t="shared" si="3"/>
        <v>0</v>
      </c>
      <c r="AC40" s="149">
        <f t="shared" si="4"/>
        <v>0</v>
      </c>
      <c r="AD40" s="125">
        <v>2</v>
      </c>
      <c r="AE40" s="148">
        <f t="shared" si="5"/>
        <v>2</v>
      </c>
      <c r="AF40" s="156"/>
      <c r="AG40" s="156"/>
      <c r="AH40" s="113">
        <f t="shared" si="6"/>
        <v>17</v>
      </c>
      <c r="AI40" s="157">
        <v>65</v>
      </c>
      <c r="AJ40" s="113">
        <f t="shared" si="7"/>
        <v>82</v>
      </c>
      <c r="AK40" s="113">
        <f t="shared" si="8"/>
        <v>82</v>
      </c>
      <c r="AL40" s="158">
        <f t="shared" si="9"/>
        <v>1.02</v>
      </c>
      <c r="AM40" s="159"/>
      <c r="AN40" s="160">
        <f t="shared" si="13"/>
        <v>1</v>
      </c>
      <c r="AO40" s="160">
        <f t="shared" si="13"/>
        <v>2</v>
      </c>
      <c r="AP40" s="133"/>
      <c r="AQ40" s="134"/>
      <c r="AR40" s="161"/>
      <c r="AS40" s="161"/>
      <c r="AT40" s="161"/>
      <c r="AU40" s="161"/>
      <c r="AV40" s="162"/>
      <c r="AW40" s="137">
        <f t="shared" si="11"/>
        <v>0</v>
      </c>
      <c r="AX40" s="137">
        <f t="shared" si="12"/>
        <v>0</v>
      </c>
    </row>
    <row r="41" ht="46.5" customHeight="1" spans="1:50" s="97" customFormat="1" x14ac:dyDescent="0.25">
      <c r="A41" s="100"/>
      <c r="B41" s="100"/>
      <c r="C41" s="100"/>
      <c r="D41" s="100"/>
      <c r="E41" s="100"/>
      <c r="F41" s="100"/>
      <c r="G41" s="103"/>
      <c r="H41" s="186"/>
      <c r="I41" s="195">
        <v>0.51</v>
      </c>
      <c r="J41" s="107">
        <v>0.49</v>
      </c>
      <c r="K41" s="107"/>
      <c r="L41" s="107"/>
      <c r="M41" s="187"/>
      <c r="N41" s="169">
        <f t="shared" si="0"/>
        <v>1</v>
      </c>
      <c r="O41" s="144">
        <v>1</v>
      </c>
      <c r="P41" s="145">
        <v>15</v>
      </c>
      <c r="Q41" s="113">
        <v>15</v>
      </c>
      <c r="R41" s="113"/>
      <c r="S41" s="113"/>
      <c r="T41" s="146"/>
      <c r="U41" s="148">
        <f t="shared" si="1"/>
        <v>15</v>
      </c>
      <c r="V41" s="149">
        <f t="shared" si="2"/>
        <v>15</v>
      </c>
      <c r="W41" s="189"/>
      <c r="X41" s="199"/>
      <c r="Y41" s="151"/>
      <c r="Z41" s="190"/>
      <c r="AA41" s="153"/>
      <c r="AB41" s="154">
        <f t="shared" si="3"/>
        <v>0</v>
      </c>
      <c r="AC41" s="149">
        <f t="shared" si="4"/>
        <v>0</v>
      </c>
      <c r="AD41" s="125">
        <v>2</v>
      </c>
      <c r="AE41" s="148">
        <f t="shared" si="5"/>
        <v>2</v>
      </c>
      <c r="AF41" s="156"/>
      <c r="AG41" s="156"/>
      <c r="AH41" s="113">
        <f t="shared" si="6"/>
        <v>17</v>
      </c>
      <c r="AI41" s="157">
        <v>65</v>
      </c>
      <c r="AJ41" s="113">
        <f t="shared" si="7"/>
        <v>82</v>
      </c>
      <c r="AK41" s="113">
        <f t="shared" si="8"/>
        <v>82</v>
      </c>
      <c r="AL41" s="158">
        <f t="shared" si="9"/>
        <v>1.02</v>
      </c>
      <c r="AM41" s="159"/>
      <c r="AN41" s="160">
        <f t="shared" si="13"/>
        <v>1</v>
      </c>
      <c r="AO41" s="160">
        <f t="shared" si="13"/>
        <v>2</v>
      </c>
      <c r="AP41" s="133"/>
      <c r="AQ41" s="134"/>
      <c r="AR41" s="161"/>
      <c r="AS41" s="161"/>
      <c r="AT41" s="161"/>
      <c r="AU41" s="161"/>
      <c r="AV41" s="162"/>
      <c r="AW41" s="137">
        <f t="shared" si="11"/>
        <v>0</v>
      </c>
      <c r="AX41" s="137">
        <f t="shared" si="12"/>
        <v>0</v>
      </c>
    </row>
    <row r="42" ht="46.5" customHeight="1" spans="1:50" s="97" customFormat="1" x14ac:dyDescent="0.25">
      <c r="A42" s="100"/>
      <c r="B42" s="100"/>
      <c r="C42" s="100"/>
      <c r="D42" s="100"/>
      <c r="E42" s="100"/>
      <c r="F42" s="100"/>
      <c r="G42" s="103"/>
      <c r="H42" s="186"/>
      <c r="I42" s="195">
        <v>0.51</v>
      </c>
      <c r="J42" s="107">
        <v>0.49</v>
      </c>
      <c r="K42" s="107"/>
      <c r="L42" s="107"/>
      <c r="M42" s="187"/>
      <c r="N42" s="169">
        <f t="shared" si="0"/>
        <v>1</v>
      </c>
      <c r="O42" s="144">
        <v>1</v>
      </c>
      <c r="P42" s="145">
        <v>15</v>
      </c>
      <c r="Q42" s="113">
        <v>15</v>
      </c>
      <c r="R42" s="113"/>
      <c r="S42" s="113"/>
      <c r="T42" s="146"/>
      <c r="U42" s="148">
        <f t="shared" si="1"/>
        <v>15</v>
      </c>
      <c r="V42" s="149">
        <f t="shared" si="2"/>
        <v>15</v>
      </c>
      <c r="W42" s="189"/>
      <c r="X42" s="199"/>
      <c r="Y42" s="151"/>
      <c r="Z42" s="190"/>
      <c r="AA42" s="153"/>
      <c r="AB42" s="154">
        <f t="shared" si="3"/>
        <v>0</v>
      </c>
      <c r="AC42" s="149">
        <f t="shared" si="4"/>
        <v>0</v>
      </c>
      <c r="AD42" s="125">
        <v>2</v>
      </c>
      <c r="AE42" s="148">
        <f t="shared" si="5"/>
        <v>2</v>
      </c>
      <c r="AF42" s="156"/>
      <c r="AG42" s="156"/>
      <c r="AH42" s="113">
        <f t="shared" si="6"/>
        <v>17</v>
      </c>
      <c r="AI42" s="157">
        <v>65</v>
      </c>
      <c r="AJ42" s="113">
        <f t="shared" si="7"/>
        <v>82</v>
      </c>
      <c r="AK42" s="113">
        <f t="shared" si="8"/>
        <v>82</v>
      </c>
      <c r="AL42" s="158">
        <f t="shared" si="9"/>
        <v>1.02</v>
      </c>
      <c r="AM42" s="159"/>
      <c r="AN42" s="160">
        <f t="shared" si="13"/>
        <v>1</v>
      </c>
      <c r="AO42" s="160">
        <f t="shared" si="13"/>
        <v>2</v>
      </c>
      <c r="AP42" s="133"/>
      <c r="AQ42" s="134"/>
      <c r="AR42" s="161"/>
      <c r="AS42" s="161"/>
      <c r="AT42" s="161"/>
      <c r="AU42" s="161"/>
      <c r="AV42" s="162"/>
      <c r="AW42" s="137">
        <f t="shared" si="11"/>
        <v>0</v>
      </c>
      <c r="AX42" s="137">
        <f t="shared" si="12"/>
        <v>0</v>
      </c>
    </row>
    <row r="43" ht="46.5" customHeight="1" spans="1:50" s="97" customFormat="1" x14ac:dyDescent="0.25">
      <c r="A43" s="100"/>
      <c r="B43" s="100"/>
      <c r="C43" s="100"/>
      <c r="D43" s="100"/>
      <c r="E43" s="100"/>
      <c r="F43" s="100"/>
      <c r="G43" s="103"/>
      <c r="H43" s="186"/>
      <c r="I43" s="195">
        <v>0.51</v>
      </c>
      <c r="J43" s="107">
        <v>0.49</v>
      </c>
      <c r="K43" s="107"/>
      <c r="L43" s="107"/>
      <c r="M43" s="187"/>
      <c r="N43" s="169">
        <f t="shared" ref="N43:N106" si="14">SUM(I43:M43)</f>
        <v>1</v>
      </c>
      <c r="O43" s="144">
        <v>1</v>
      </c>
      <c r="P43" s="145">
        <v>15</v>
      </c>
      <c r="Q43" s="113">
        <v>15</v>
      </c>
      <c r="R43" s="113"/>
      <c r="S43" s="113"/>
      <c r="T43" s="146"/>
      <c r="U43" s="148">
        <f t="shared" si="1"/>
        <v>15</v>
      </c>
      <c r="V43" s="149">
        <f t="shared" si="2"/>
        <v>15</v>
      </c>
      <c r="W43" s="189"/>
      <c r="X43" s="199"/>
      <c r="Y43" s="151"/>
      <c r="Z43" s="190"/>
      <c r="AA43" s="153"/>
      <c r="AB43" s="154">
        <f t="shared" si="3"/>
        <v>0</v>
      </c>
      <c r="AC43" s="149">
        <f t="shared" si="4"/>
        <v>0</v>
      </c>
      <c r="AD43" s="125">
        <v>2</v>
      </c>
      <c r="AE43" s="148">
        <f t="shared" si="5"/>
        <v>2</v>
      </c>
      <c r="AF43" s="156"/>
      <c r="AG43" s="156"/>
      <c r="AH43" s="113">
        <f t="shared" si="6"/>
        <v>17</v>
      </c>
      <c r="AI43" s="157">
        <v>65</v>
      </c>
      <c r="AJ43" s="113">
        <f t="shared" si="7"/>
        <v>82</v>
      </c>
      <c r="AK43" s="113">
        <f t="shared" si="8"/>
        <v>82</v>
      </c>
      <c r="AL43" s="158">
        <f t="shared" si="9"/>
        <v>1.02</v>
      </c>
      <c r="AM43" s="159"/>
      <c r="AN43" s="160">
        <f t="shared" si="13"/>
        <v>1</v>
      </c>
      <c r="AO43" s="160">
        <f t="shared" si="13"/>
        <v>2</v>
      </c>
      <c r="AP43" s="133"/>
      <c r="AQ43" s="134"/>
      <c r="AR43" s="161"/>
      <c r="AS43" s="161"/>
      <c r="AT43" s="161"/>
      <c r="AU43" s="161"/>
      <c r="AV43" s="162"/>
      <c r="AW43" s="137">
        <f t="shared" si="11"/>
        <v>0</v>
      </c>
      <c r="AX43" s="137">
        <f t="shared" si="12"/>
        <v>0</v>
      </c>
    </row>
    <row r="44" ht="46.5" customHeight="1" spans="1:50" s="97" customFormat="1" x14ac:dyDescent="0.25">
      <c r="A44" s="100"/>
      <c r="B44" s="100"/>
      <c r="C44" s="100"/>
      <c r="D44" s="100"/>
      <c r="E44" s="100"/>
      <c r="F44" s="100"/>
      <c r="G44" s="103"/>
      <c r="H44" s="186"/>
      <c r="I44" s="195">
        <v>0.51</v>
      </c>
      <c r="J44" s="107">
        <v>0.49</v>
      </c>
      <c r="K44" s="107"/>
      <c r="L44" s="107"/>
      <c r="M44" s="187"/>
      <c r="N44" s="169">
        <f t="shared" si="14"/>
        <v>1</v>
      </c>
      <c r="O44" s="144">
        <v>1</v>
      </c>
      <c r="P44" s="145">
        <v>15</v>
      </c>
      <c r="Q44" s="113">
        <v>15</v>
      </c>
      <c r="R44" s="113"/>
      <c r="S44" s="113"/>
      <c r="T44" s="146"/>
      <c r="U44" s="148">
        <f t="shared" si="1"/>
        <v>15</v>
      </c>
      <c r="V44" s="149">
        <f t="shared" si="2"/>
        <v>15</v>
      </c>
      <c r="W44" s="189"/>
      <c r="X44" s="199"/>
      <c r="Y44" s="151"/>
      <c r="Z44" s="190"/>
      <c r="AA44" s="153"/>
      <c r="AB44" s="154">
        <f t="shared" si="3"/>
        <v>0</v>
      </c>
      <c r="AC44" s="149">
        <f t="shared" si="4"/>
        <v>0</v>
      </c>
      <c r="AD44" s="125">
        <v>2</v>
      </c>
      <c r="AE44" s="148">
        <f t="shared" si="5"/>
        <v>2</v>
      </c>
      <c r="AF44" s="156"/>
      <c r="AG44" s="156"/>
      <c r="AH44" s="113">
        <f t="shared" si="6"/>
        <v>17</v>
      </c>
      <c r="AI44" s="157">
        <v>65</v>
      </c>
      <c r="AJ44" s="113">
        <f t="shared" si="7"/>
        <v>82</v>
      </c>
      <c r="AK44" s="113">
        <f t="shared" si="8"/>
        <v>82</v>
      </c>
      <c r="AL44" s="158">
        <f t="shared" si="9"/>
        <v>1.02</v>
      </c>
      <c r="AM44" s="159"/>
      <c r="AN44" s="160">
        <f t="shared" si="13"/>
        <v>1</v>
      </c>
      <c r="AO44" s="160">
        <f t="shared" si="13"/>
        <v>2</v>
      </c>
      <c r="AP44" s="133"/>
      <c r="AQ44" s="134"/>
      <c r="AR44" s="161"/>
      <c r="AS44" s="161"/>
      <c r="AT44" s="161"/>
      <c r="AU44" s="161"/>
      <c r="AV44" s="162"/>
      <c r="AW44" s="137">
        <f t="shared" si="11"/>
        <v>0</v>
      </c>
      <c r="AX44" s="137">
        <f t="shared" si="12"/>
        <v>0</v>
      </c>
    </row>
    <row r="45" ht="46.5" customHeight="1" spans="1:50" s="97" customFormat="1" x14ac:dyDescent="0.25">
      <c r="A45" s="100"/>
      <c r="B45" s="100"/>
      <c r="C45" s="100"/>
      <c r="D45" s="100"/>
      <c r="E45" s="100"/>
      <c r="F45" s="100"/>
      <c r="G45" s="103"/>
      <c r="H45" s="186"/>
      <c r="I45" s="195">
        <v>0.51</v>
      </c>
      <c r="J45" s="107">
        <v>0.49</v>
      </c>
      <c r="K45" s="107"/>
      <c r="L45" s="107"/>
      <c r="M45" s="187"/>
      <c r="N45" s="169">
        <f t="shared" si="14"/>
        <v>1</v>
      </c>
      <c r="O45" s="144">
        <v>1</v>
      </c>
      <c r="P45" s="145">
        <v>15</v>
      </c>
      <c r="Q45" s="113">
        <v>15</v>
      </c>
      <c r="R45" s="113"/>
      <c r="S45" s="113"/>
      <c r="T45" s="146"/>
      <c r="U45" s="148">
        <f t="shared" si="1"/>
        <v>15</v>
      </c>
      <c r="V45" s="149">
        <f t="shared" si="2"/>
        <v>15</v>
      </c>
      <c r="W45" s="189"/>
      <c r="X45" s="199"/>
      <c r="Y45" s="151"/>
      <c r="Z45" s="190"/>
      <c r="AA45" s="153"/>
      <c r="AB45" s="154">
        <f t="shared" si="3"/>
        <v>0</v>
      </c>
      <c r="AC45" s="149">
        <f t="shared" si="4"/>
        <v>0</v>
      </c>
      <c r="AD45" s="125">
        <v>2</v>
      </c>
      <c r="AE45" s="148">
        <f t="shared" si="5"/>
        <v>2</v>
      </c>
      <c r="AF45" s="156"/>
      <c r="AG45" s="156"/>
      <c r="AH45" s="113">
        <f t="shared" si="6"/>
        <v>17</v>
      </c>
      <c r="AI45" s="157">
        <v>65</v>
      </c>
      <c r="AJ45" s="113">
        <f t="shared" si="7"/>
        <v>82</v>
      </c>
      <c r="AK45" s="113">
        <f t="shared" si="8"/>
        <v>82</v>
      </c>
      <c r="AL45" s="158">
        <f t="shared" si="9"/>
        <v>1.02</v>
      </c>
      <c r="AM45" s="159"/>
      <c r="AN45" s="160">
        <f t="shared" si="13"/>
        <v>1</v>
      </c>
      <c r="AO45" s="160">
        <f t="shared" si="13"/>
        <v>2</v>
      </c>
      <c r="AP45" s="133"/>
      <c r="AQ45" s="134"/>
      <c r="AR45" s="161"/>
      <c r="AS45" s="161"/>
      <c r="AT45" s="161"/>
      <c r="AU45" s="161"/>
      <c r="AV45" s="162"/>
      <c r="AW45" s="137">
        <f t="shared" si="11"/>
        <v>0</v>
      </c>
      <c r="AX45" s="137">
        <f t="shared" si="12"/>
        <v>0</v>
      </c>
    </row>
    <row r="46" ht="46.5" customHeight="1" spans="1:50" s="97" customFormat="1" x14ac:dyDescent="0.25">
      <c r="A46" s="100"/>
      <c r="B46" s="100"/>
      <c r="C46" s="100"/>
      <c r="D46" s="100"/>
      <c r="E46" s="100"/>
      <c r="F46" s="100"/>
      <c r="G46" s="103"/>
      <c r="H46" s="186"/>
      <c r="I46" s="195">
        <v>0.51</v>
      </c>
      <c r="J46" s="107">
        <v>0.49</v>
      </c>
      <c r="K46" s="107"/>
      <c r="L46" s="107"/>
      <c r="M46" s="187"/>
      <c r="N46" s="169">
        <f t="shared" si="14"/>
        <v>1</v>
      </c>
      <c r="O46" s="144">
        <v>1</v>
      </c>
      <c r="P46" s="145">
        <v>15</v>
      </c>
      <c r="Q46" s="113">
        <v>15</v>
      </c>
      <c r="R46" s="113"/>
      <c r="S46" s="113"/>
      <c r="T46" s="146"/>
      <c r="U46" s="148">
        <f t="shared" si="1"/>
        <v>15</v>
      </c>
      <c r="V46" s="149">
        <f t="shared" si="2"/>
        <v>15</v>
      </c>
      <c r="W46" s="189"/>
      <c r="X46" s="199"/>
      <c r="Y46" s="151"/>
      <c r="Z46" s="190"/>
      <c r="AA46" s="153"/>
      <c r="AB46" s="154">
        <f t="shared" si="3"/>
        <v>0</v>
      </c>
      <c r="AC46" s="149">
        <f t="shared" si="4"/>
        <v>0</v>
      </c>
      <c r="AD46" s="125">
        <v>2</v>
      </c>
      <c r="AE46" s="148">
        <f t="shared" si="5"/>
        <v>2</v>
      </c>
      <c r="AF46" s="156"/>
      <c r="AG46" s="156"/>
      <c r="AH46" s="113">
        <f t="shared" si="6"/>
        <v>17</v>
      </c>
      <c r="AI46" s="157">
        <v>65</v>
      </c>
      <c r="AJ46" s="113">
        <f t="shared" si="7"/>
        <v>82</v>
      </c>
      <c r="AK46" s="113">
        <f t="shared" si="8"/>
        <v>82</v>
      </c>
      <c r="AL46" s="158">
        <f t="shared" si="9"/>
        <v>1.02</v>
      </c>
      <c r="AM46" s="159"/>
      <c r="AN46" s="160">
        <f t="shared" si="13"/>
        <v>1</v>
      </c>
      <c r="AO46" s="160">
        <f t="shared" si="13"/>
        <v>2</v>
      </c>
      <c r="AP46" s="133"/>
      <c r="AQ46" s="134"/>
      <c r="AR46" s="161"/>
      <c r="AS46" s="161"/>
      <c r="AT46" s="161"/>
      <c r="AU46" s="161"/>
      <c r="AV46" s="162"/>
      <c r="AW46" s="137">
        <f t="shared" si="11"/>
        <v>0</v>
      </c>
      <c r="AX46" s="137">
        <f t="shared" si="12"/>
        <v>0</v>
      </c>
    </row>
    <row r="47" ht="46.5" customHeight="1" spans="1:50" s="97" customFormat="1" x14ac:dyDescent="0.25">
      <c r="A47" s="100"/>
      <c r="B47" s="100"/>
      <c r="C47" s="100"/>
      <c r="D47" s="100"/>
      <c r="E47" s="100"/>
      <c r="F47" s="100"/>
      <c r="G47" s="103"/>
      <c r="H47" s="186"/>
      <c r="I47" s="195">
        <v>0.51</v>
      </c>
      <c r="J47" s="107">
        <v>0.49</v>
      </c>
      <c r="K47" s="107"/>
      <c r="L47" s="107"/>
      <c r="M47" s="187"/>
      <c r="N47" s="169">
        <f t="shared" si="14"/>
        <v>1</v>
      </c>
      <c r="O47" s="144">
        <v>1</v>
      </c>
      <c r="P47" s="145">
        <v>15</v>
      </c>
      <c r="Q47" s="113">
        <v>15</v>
      </c>
      <c r="R47" s="113"/>
      <c r="S47" s="113"/>
      <c r="T47" s="146"/>
      <c r="U47" s="148">
        <f t="shared" si="1"/>
        <v>15</v>
      </c>
      <c r="V47" s="149">
        <f t="shared" si="2"/>
        <v>15</v>
      </c>
      <c r="W47" s="189"/>
      <c r="X47" s="199"/>
      <c r="Y47" s="151"/>
      <c r="Z47" s="190"/>
      <c r="AA47" s="153"/>
      <c r="AB47" s="154">
        <f t="shared" si="3"/>
        <v>0</v>
      </c>
      <c r="AC47" s="149">
        <f t="shared" si="4"/>
        <v>0</v>
      </c>
      <c r="AD47" s="125">
        <v>2</v>
      </c>
      <c r="AE47" s="148">
        <f t="shared" si="5"/>
        <v>2</v>
      </c>
      <c r="AF47" s="156"/>
      <c r="AG47" s="156"/>
      <c r="AH47" s="113">
        <f t="shared" si="6"/>
        <v>17</v>
      </c>
      <c r="AI47" s="157">
        <v>65</v>
      </c>
      <c r="AJ47" s="113">
        <f t="shared" si="7"/>
        <v>82</v>
      </c>
      <c r="AK47" s="113">
        <f t="shared" si="8"/>
        <v>82</v>
      </c>
      <c r="AL47" s="158">
        <f t="shared" si="9"/>
        <v>1.02</v>
      </c>
      <c r="AM47" s="159"/>
      <c r="AN47" s="160">
        <f t="shared" si="13"/>
        <v>1</v>
      </c>
      <c r="AO47" s="160">
        <f t="shared" si="13"/>
        <v>2</v>
      </c>
      <c r="AP47" s="133"/>
      <c r="AQ47" s="134"/>
      <c r="AR47" s="161"/>
      <c r="AS47" s="161"/>
      <c r="AT47" s="161"/>
      <c r="AU47" s="161"/>
      <c r="AV47" s="162"/>
      <c r="AW47" s="137">
        <f t="shared" si="11"/>
        <v>0</v>
      </c>
      <c r="AX47" s="137">
        <f t="shared" si="12"/>
        <v>0</v>
      </c>
    </row>
    <row r="48" ht="46.5" customHeight="1" spans="1:50" s="97" customFormat="1" x14ac:dyDescent="0.25">
      <c r="A48" s="100"/>
      <c r="B48" s="100"/>
      <c r="C48" s="100"/>
      <c r="D48" s="100"/>
      <c r="E48" s="100"/>
      <c r="F48" s="100"/>
      <c r="G48" s="103"/>
      <c r="H48" s="186"/>
      <c r="I48" s="195">
        <v>0.51</v>
      </c>
      <c r="J48" s="107">
        <v>0.49</v>
      </c>
      <c r="K48" s="107"/>
      <c r="L48" s="107"/>
      <c r="M48" s="187"/>
      <c r="N48" s="169">
        <f t="shared" si="14"/>
        <v>1</v>
      </c>
      <c r="O48" s="144">
        <v>1</v>
      </c>
      <c r="P48" s="145">
        <v>15</v>
      </c>
      <c r="Q48" s="113">
        <v>15</v>
      </c>
      <c r="R48" s="113"/>
      <c r="S48" s="113"/>
      <c r="T48" s="146"/>
      <c r="U48" s="148">
        <f t="shared" si="1"/>
        <v>15</v>
      </c>
      <c r="V48" s="149">
        <f t="shared" si="2"/>
        <v>15</v>
      </c>
      <c r="W48" s="189"/>
      <c r="X48" s="199"/>
      <c r="Y48" s="151"/>
      <c r="Z48" s="190"/>
      <c r="AA48" s="153"/>
      <c r="AB48" s="154">
        <f t="shared" si="3"/>
        <v>0</v>
      </c>
      <c r="AC48" s="149">
        <f t="shared" si="4"/>
        <v>0</v>
      </c>
      <c r="AD48" s="125">
        <v>2</v>
      </c>
      <c r="AE48" s="148">
        <f t="shared" si="5"/>
        <v>2</v>
      </c>
      <c r="AF48" s="156"/>
      <c r="AG48" s="156"/>
      <c r="AH48" s="113">
        <f t="shared" si="6"/>
        <v>17</v>
      </c>
      <c r="AI48" s="157">
        <v>65</v>
      </c>
      <c r="AJ48" s="113">
        <f t="shared" si="7"/>
        <v>82</v>
      </c>
      <c r="AK48" s="113">
        <f t="shared" si="8"/>
        <v>82</v>
      </c>
      <c r="AL48" s="158">
        <f t="shared" si="9"/>
        <v>1.02</v>
      </c>
      <c r="AM48" s="159"/>
      <c r="AN48" s="160">
        <f t="shared" si="13"/>
        <v>1</v>
      </c>
      <c r="AO48" s="160">
        <f t="shared" si="13"/>
        <v>2</v>
      </c>
      <c r="AP48" s="133"/>
      <c r="AQ48" s="134"/>
      <c r="AR48" s="161"/>
      <c r="AS48" s="161"/>
      <c r="AT48" s="161"/>
      <c r="AU48" s="161"/>
      <c r="AV48" s="162"/>
      <c r="AW48" s="137">
        <f t="shared" si="11"/>
        <v>0</v>
      </c>
      <c r="AX48" s="137">
        <f t="shared" si="12"/>
        <v>0</v>
      </c>
    </row>
    <row r="49" ht="46.5" customHeight="1" spans="1:50" s="97" customFormat="1" x14ac:dyDescent="0.25">
      <c r="A49" s="100"/>
      <c r="B49" s="100"/>
      <c r="C49" s="100"/>
      <c r="D49" s="100"/>
      <c r="E49" s="100"/>
      <c r="F49" s="100"/>
      <c r="G49" s="103"/>
      <c r="H49" s="186"/>
      <c r="I49" s="195">
        <v>0.51</v>
      </c>
      <c r="J49" s="107">
        <v>0.49</v>
      </c>
      <c r="K49" s="107"/>
      <c r="L49" s="107"/>
      <c r="M49" s="187"/>
      <c r="N49" s="169">
        <f t="shared" si="14"/>
        <v>1</v>
      </c>
      <c r="O49" s="144">
        <v>1</v>
      </c>
      <c r="P49" s="145">
        <v>15</v>
      </c>
      <c r="Q49" s="113">
        <v>15</v>
      </c>
      <c r="R49" s="113"/>
      <c r="S49" s="113"/>
      <c r="T49" s="146"/>
      <c r="U49" s="148">
        <f t="shared" si="1"/>
        <v>15</v>
      </c>
      <c r="V49" s="149">
        <f t="shared" si="2"/>
        <v>15</v>
      </c>
      <c r="W49" s="189"/>
      <c r="X49" s="199"/>
      <c r="Y49" s="151"/>
      <c r="Z49" s="190"/>
      <c r="AA49" s="153"/>
      <c r="AB49" s="154">
        <f t="shared" si="3"/>
        <v>0</v>
      </c>
      <c r="AC49" s="149">
        <f t="shared" si="4"/>
        <v>0</v>
      </c>
      <c r="AD49" s="125">
        <v>2</v>
      </c>
      <c r="AE49" s="148">
        <f t="shared" si="5"/>
        <v>2</v>
      </c>
      <c r="AF49" s="156"/>
      <c r="AG49" s="156"/>
      <c r="AH49" s="113">
        <f t="shared" si="6"/>
        <v>17</v>
      </c>
      <c r="AI49" s="157">
        <v>65</v>
      </c>
      <c r="AJ49" s="113">
        <f t="shared" si="7"/>
        <v>82</v>
      </c>
      <c r="AK49" s="113">
        <f t="shared" si="8"/>
        <v>82</v>
      </c>
      <c r="AL49" s="158">
        <f t="shared" si="9"/>
        <v>1.02</v>
      </c>
      <c r="AM49" s="159"/>
      <c r="AN49" s="160">
        <f t="shared" si="13"/>
        <v>1</v>
      </c>
      <c r="AO49" s="160">
        <f t="shared" si="13"/>
        <v>2</v>
      </c>
      <c r="AP49" s="133"/>
      <c r="AQ49" s="134"/>
      <c r="AR49" s="161"/>
      <c r="AS49" s="161"/>
      <c r="AT49" s="161"/>
      <c r="AU49" s="161"/>
      <c r="AV49" s="162"/>
      <c r="AW49" s="137">
        <f t="shared" si="11"/>
        <v>0</v>
      </c>
      <c r="AX49" s="137">
        <f t="shared" si="12"/>
        <v>0</v>
      </c>
    </row>
    <row r="50" ht="46.5" customHeight="1" spans="1:50" s="97" customFormat="1" x14ac:dyDescent="0.25">
      <c r="A50" s="100"/>
      <c r="B50" s="100"/>
      <c r="C50" s="100"/>
      <c r="D50" s="100"/>
      <c r="E50" s="100"/>
      <c r="F50" s="100"/>
      <c r="G50" s="103"/>
      <c r="H50" s="186"/>
      <c r="I50" s="195">
        <v>0.51</v>
      </c>
      <c r="J50" s="107">
        <v>0.49</v>
      </c>
      <c r="K50" s="107"/>
      <c r="L50" s="107"/>
      <c r="M50" s="187"/>
      <c r="N50" s="169">
        <f t="shared" si="14"/>
        <v>1</v>
      </c>
      <c r="O50" s="144">
        <v>1</v>
      </c>
      <c r="P50" s="145">
        <v>15</v>
      </c>
      <c r="Q50" s="113">
        <v>15</v>
      </c>
      <c r="R50" s="113"/>
      <c r="S50" s="113"/>
      <c r="T50" s="146"/>
      <c r="U50" s="148">
        <f t="shared" si="1"/>
        <v>15</v>
      </c>
      <c r="V50" s="149">
        <f t="shared" si="2"/>
        <v>15</v>
      </c>
      <c r="W50" s="189"/>
      <c r="X50" s="199"/>
      <c r="Y50" s="151"/>
      <c r="Z50" s="190"/>
      <c r="AA50" s="153"/>
      <c r="AB50" s="154">
        <f t="shared" si="3"/>
        <v>0</v>
      </c>
      <c r="AC50" s="149">
        <f t="shared" si="4"/>
        <v>0</v>
      </c>
      <c r="AD50" s="125">
        <v>2</v>
      </c>
      <c r="AE50" s="148">
        <f t="shared" si="5"/>
        <v>2</v>
      </c>
      <c r="AF50" s="156"/>
      <c r="AG50" s="156"/>
      <c r="AH50" s="113">
        <f t="shared" si="6"/>
        <v>17</v>
      </c>
      <c r="AI50" s="157">
        <v>65</v>
      </c>
      <c r="AJ50" s="113">
        <f t="shared" si="7"/>
        <v>82</v>
      </c>
      <c r="AK50" s="113">
        <f t="shared" si="8"/>
        <v>82</v>
      </c>
      <c r="AL50" s="158">
        <f t="shared" si="9"/>
        <v>1.02</v>
      </c>
      <c r="AM50" s="159"/>
      <c r="AN50" s="160">
        <f t="shared" si="13"/>
        <v>1</v>
      </c>
      <c r="AO50" s="160">
        <f t="shared" si="13"/>
        <v>2</v>
      </c>
      <c r="AP50" s="133"/>
      <c r="AQ50" s="134"/>
      <c r="AR50" s="161"/>
      <c r="AS50" s="161"/>
      <c r="AT50" s="161"/>
      <c r="AU50" s="161"/>
      <c r="AV50" s="162"/>
      <c r="AW50" s="137">
        <f t="shared" si="11"/>
        <v>0</v>
      </c>
      <c r="AX50" s="137">
        <f t="shared" si="12"/>
        <v>0</v>
      </c>
    </row>
    <row r="51" ht="46.5" customHeight="1" spans="1:50" s="97" customFormat="1" x14ac:dyDescent="0.25">
      <c r="A51" s="100"/>
      <c r="B51" s="100"/>
      <c r="C51" s="100"/>
      <c r="D51" s="100"/>
      <c r="E51" s="100"/>
      <c r="F51" s="100"/>
      <c r="G51" s="103"/>
      <c r="H51" s="186"/>
      <c r="I51" s="195">
        <v>0.51</v>
      </c>
      <c r="J51" s="107">
        <v>0.49</v>
      </c>
      <c r="K51" s="107"/>
      <c r="L51" s="107"/>
      <c r="M51" s="187"/>
      <c r="N51" s="169">
        <f t="shared" si="14"/>
        <v>1</v>
      </c>
      <c r="O51" s="144">
        <v>1</v>
      </c>
      <c r="P51" s="145">
        <v>15</v>
      </c>
      <c r="Q51" s="113">
        <v>15</v>
      </c>
      <c r="R51" s="113"/>
      <c r="S51" s="113"/>
      <c r="T51" s="146"/>
      <c r="U51" s="148">
        <f t="shared" si="1"/>
        <v>15</v>
      </c>
      <c r="V51" s="149">
        <f t="shared" si="2"/>
        <v>15</v>
      </c>
      <c r="W51" s="189"/>
      <c r="X51" s="199"/>
      <c r="Y51" s="151"/>
      <c r="Z51" s="190"/>
      <c r="AA51" s="153"/>
      <c r="AB51" s="154">
        <f t="shared" si="3"/>
        <v>0</v>
      </c>
      <c r="AC51" s="149">
        <f t="shared" si="4"/>
        <v>0</v>
      </c>
      <c r="AD51" s="125">
        <v>2</v>
      </c>
      <c r="AE51" s="148">
        <f t="shared" si="5"/>
        <v>2</v>
      </c>
      <c r="AF51" s="156"/>
      <c r="AG51" s="156"/>
      <c r="AH51" s="113">
        <f t="shared" si="6"/>
        <v>17</v>
      </c>
      <c r="AI51" s="157">
        <v>65</v>
      </c>
      <c r="AJ51" s="113">
        <f t="shared" si="7"/>
        <v>82</v>
      </c>
      <c r="AK51" s="113">
        <f t="shared" si="8"/>
        <v>82</v>
      </c>
      <c r="AL51" s="158">
        <f t="shared" si="9"/>
        <v>1.02</v>
      </c>
      <c r="AM51" s="159"/>
      <c r="AN51" s="160">
        <f t="shared" ref="AN51:AO70" si="15">100%+AM51</f>
        <v>1</v>
      </c>
      <c r="AO51" s="160">
        <f t="shared" si="15"/>
        <v>2</v>
      </c>
      <c r="AP51" s="133"/>
      <c r="AQ51" s="134"/>
      <c r="AR51" s="161"/>
      <c r="AS51" s="161"/>
      <c r="AT51" s="161"/>
      <c r="AU51" s="161"/>
      <c r="AV51" s="162"/>
      <c r="AW51" s="137">
        <f t="shared" si="11"/>
        <v>0</v>
      </c>
      <c r="AX51" s="137">
        <f t="shared" si="12"/>
        <v>0</v>
      </c>
    </row>
    <row r="52" ht="46.5" customHeight="1" spans="1:50" s="97" customFormat="1" x14ac:dyDescent="0.25">
      <c r="A52" s="100"/>
      <c r="B52" s="100"/>
      <c r="C52" s="100"/>
      <c r="D52" s="100"/>
      <c r="E52" s="100"/>
      <c r="F52" s="100"/>
      <c r="G52" s="103"/>
      <c r="H52" s="186"/>
      <c r="I52" s="195">
        <v>0.51</v>
      </c>
      <c r="J52" s="107">
        <v>0.49</v>
      </c>
      <c r="K52" s="107"/>
      <c r="L52" s="107"/>
      <c r="M52" s="187"/>
      <c r="N52" s="169">
        <f t="shared" si="14"/>
        <v>1</v>
      </c>
      <c r="O52" s="144">
        <v>1</v>
      </c>
      <c r="P52" s="145">
        <v>15</v>
      </c>
      <c r="Q52" s="113">
        <v>15</v>
      </c>
      <c r="R52" s="113"/>
      <c r="S52" s="113"/>
      <c r="T52" s="146"/>
      <c r="U52" s="148">
        <f t="shared" si="1"/>
        <v>15</v>
      </c>
      <c r="V52" s="149">
        <f t="shared" si="2"/>
        <v>15</v>
      </c>
      <c r="W52" s="189"/>
      <c r="X52" s="199"/>
      <c r="Y52" s="151"/>
      <c r="Z52" s="190"/>
      <c r="AA52" s="153"/>
      <c r="AB52" s="154">
        <f t="shared" si="3"/>
        <v>0</v>
      </c>
      <c r="AC52" s="149">
        <f t="shared" si="4"/>
        <v>0</v>
      </c>
      <c r="AD52" s="125">
        <v>2</v>
      </c>
      <c r="AE52" s="148">
        <f t="shared" si="5"/>
        <v>2</v>
      </c>
      <c r="AF52" s="156"/>
      <c r="AG52" s="156"/>
      <c r="AH52" s="113">
        <f t="shared" si="6"/>
        <v>17</v>
      </c>
      <c r="AI52" s="157">
        <v>65</v>
      </c>
      <c r="AJ52" s="113">
        <f t="shared" si="7"/>
        <v>82</v>
      </c>
      <c r="AK52" s="113">
        <f t="shared" si="8"/>
        <v>82</v>
      </c>
      <c r="AL52" s="158">
        <f t="shared" si="9"/>
        <v>1.02</v>
      </c>
      <c r="AM52" s="159"/>
      <c r="AN52" s="160">
        <f t="shared" si="15"/>
        <v>1</v>
      </c>
      <c r="AO52" s="160">
        <f t="shared" si="15"/>
        <v>2</v>
      </c>
      <c r="AP52" s="133"/>
      <c r="AQ52" s="134"/>
      <c r="AR52" s="161"/>
      <c r="AS52" s="161"/>
      <c r="AT52" s="161"/>
      <c r="AU52" s="161"/>
      <c r="AV52" s="162"/>
      <c r="AW52" s="137">
        <f t="shared" si="11"/>
        <v>0</v>
      </c>
      <c r="AX52" s="137">
        <f t="shared" si="12"/>
        <v>0</v>
      </c>
    </row>
    <row r="53" ht="46.5" customHeight="1" spans="1:50" s="97" customFormat="1" x14ac:dyDescent="0.25">
      <c r="A53" s="100"/>
      <c r="B53" s="100"/>
      <c r="C53" s="100"/>
      <c r="D53" s="100"/>
      <c r="E53" s="100"/>
      <c r="F53" s="100"/>
      <c r="G53" s="103"/>
      <c r="H53" s="186"/>
      <c r="I53" s="195">
        <v>0.51</v>
      </c>
      <c r="J53" s="107">
        <v>0.49</v>
      </c>
      <c r="K53" s="107"/>
      <c r="L53" s="107"/>
      <c r="M53" s="187"/>
      <c r="N53" s="169">
        <f t="shared" si="14"/>
        <v>1</v>
      </c>
      <c r="O53" s="144">
        <v>1</v>
      </c>
      <c r="P53" s="145">
        <v>15</v>
      </c>
      <c r="Q53" s="113">
        <v>15</v>
      </c>
      <c r="R53" s="113"/>
      <c r="S53" s="113"/>
      <c r="T53" s="146"/>
      <c r="U53" s="148">
        <f t="shared" si="1"/>
        <v>15</v>
      </c>
      <c r="V53" s="149">
        <f t="shared" si="2"/>
        <v>15</v>
      </c>
      <c r="W53" s="189"/>
      <c r="X53" s="199"/>
      <c r="Y53" s="151"/>
      <c r="Z53" s="190"/>
      <c r="AA53" s="153"/>
      <c r="AB53" s="154">
        <f t="shared" si="3"/>
        <v>0</v>
      </c>
      <c r="AC53" s="149">
        <f t="shared" si="4"/>
        <v>0</v>
      </c>
      <c r="AD53" s="125">
        <v>2</v>
      </c>
      <c r="AE53" s="148">
        <f t="shared" si="5"/>
        <v>2</v>
      </c>
      <c r="AF53" s="156"/>
      <c r="AG53" s="156"/>
      <c r="AH53" s="113">
        <f t="shared" si="6"/>
        <v>17</v>
      </c>
      <c r="AI53" s="157">
        <v>65</v>
      </c>
      <c r="AJ53" s="113">
        <f t="shared" si="7"/>
        <v>82</v>
      </c>
      <c r="AK53" s="113">
        <f t="shared" si="8"/>
        <v>82</v>
      </c>
      <c r="AL53" s="158">
        <f t="shared" si="9"/>
        <v>1.02</v>
      </c>
      <c r="AM53" s="159"/>
      <c r="AN53" s="160">
        <f t="shared" si="15"/>
        <v>1</v>
      </c>
      <c r="AO53" s="160">
        <f t="shared" si="15"/>
        <v>2</v>
      </c>
      <c r="AP53" s="133"/>
      <c r="AQ53" s="134"/>
      <c r="AR53" s="161"/>
      <c r="AS53" s="161"/>
      <c r="AT53" s="161"/>
      <c r="AU53" s="161"/>
      <c r="AV53" s="162"/>
      <c r="AW53" s="137">
        <f t="shared" si="11"/>
        <v>0</v>
      </c>
      <c r="AX53" s="137">
        <f t="shared" si="12"/>
        <v>0</v>
      </c>
    </row>
    <row r="54" ht="46.5" customHeight="1" spans="1:50" s="97" customFormat="1" x14ac:dyDescent="0.25">
      <c r="A54" s="100"/>
      <c r="B54" s="100"/>
      <c r="C54" s="100"/>
      <c r="D54" s="100"/>
      <c r="E54" s="100"/>
      <c r="F54" s="100"/>
      <c r="G54" s="103"/>
      <c r="H54" s="186"/>
      <c r="I54" s="195">
        <v>0.51</v>
      </c>
      <c r="J54" s="107">
        <v>0.49</v>
      </c>
      <c r="K54" s="107"/>
      <c r="L54" s="107"/>
      <c r="M54" s="187"/>
      <c r="N54" s="169">
        <f t="shared" si="14"/>
        <v>1</v>
      </c>
      <c r="O54" s="144">
        <v>1</v>
      </c>
      <c r="P54" s="145">
        <v>15</v>
      </c>
      <c r="Q54" s="113">
        <v>15</v>
      </c>
      <c r="R54" s="113"/>
      <c r="S54" s="113"/>
      <c r="T54" s="146"/>
      <c r="U54" s="148">
        <f t="shared" si="1"/>
        <v>15</v>
      </c>
      <c r="V54" s="149">
        <f t="shared" si="2"/>
        <v>15</v>
      </c>
      <c r="W54" s="189"/>
      <c r="X54" s="199"/>
      <c r="Y54" s="151"/>
      <c r="Z54" s="190"/>
      <c r="AA54" s="153"/>
      <c r="AB54" s="154">
        <f t="shared" si="3"/>
        <v>0</v>
      </c>
      <c r="AC54" s="149">
        <f t="shared" si="4"/>
        <v>0</v>
      </c>
      <c r="AD54" s="125">
        <v>2</v>
      </c>
      <c r="AE54" s="148">
        <f t="shared" si="5"/>
        <v>2</v>
      </c>
      <c r="AF54" s="156"/>
      <c r="AG54" s="156"/>
      <c r="AH54" s="113">
        <f t="shared" si="6"/>
        <v>17</v>
      </c>
      <c r="AI54" s="157">
        <v>65</v>
      </c>
      <c r="AJ54" s="113">
        <f t="shared" si="7"/>
        <v>82</v>
      </c>
      <c r="AK54" s="113">
        <f t="shared" si="8"/>
        <v>82</v>
      </c>
      <c r="AL54" s="158">
        <f t="shared" si="9"/>
        <v>1.02</v>
      </c>
      <c r="AM54" s="159"/>
      <c r="AN54" s="160">
        <f t="shared" si="15"/>
        <v>1</v>
      </c>
      <c r="AO54" s="160">
        <f t="shared" si="15"/>
        <v>2</v>
      </c>
      <c r="AP54" s="133"/>
      <c r="AQ54" s="134"/>
      <c r="AR54" s="161"/>
      <c r="AS54" s="161"/>
      <c r="AT54" s="161"/>
      <c r="AU54" s="161"/>
      <c r="AV54" s="162"/>
      <c r="AW54" s="137">
        <f t="shared" si="11"/>
        <v>0</v>
      </c>
      <c r="AX54" s="137">
        <f t="shared" si="12"/>
        <v>0</v>
      </c>
    </row>
    <row r="55" ht="46.5" customHeight="1" spans="1:50" s="97" customFormat="1" x14ac:dyDescent="0.25">
      <c r="A55" s="100"/>
      <c r="B55" s="100"/>
      <c r="C55" s="100"/>
      <c r="D55" s="100"/>
      <c r="E55" s="100"/>
      <c r="F55" s="100"/>
      <c r="G55" s="103"/>
      <c r="H55" s="186"/>
      <c r="I55" s="195">
        <v>0.51</v>
      </c>
      <c r="J55" s="107">
        <v>0.49</v>
      </c>
      <c r="K55" s="107"/>
      <c r="L55" s="107"/>
      <c r="M55" s="187"/>
      <c r="N55" s="169">
        <f t="shared" si="14"/>
        <v>1</v>
      </c>
      <c r="O55" s="144">
        <v>1</v>
      </c>
      <c r="P55" s="145">
        <v>15</v>
      </c>
      <c r="Q55" s="113">
        <v>15</v>
      </c>
      <c r="R55" s="113"/>
      <c r="S55" s="113"/>
      <c r="T55" s="146"/>
      <c r="U55" s="148">
        <f t="shared" si="1"/>
        <v>15</v>
      </c>
      <c r="V55" s="149">
        <f t="shared" si="2"/>
        <v>15</v>
      </c>
      <c r="W55" s="189"/>
      <c r="X55" s="199"/>
      <c r="Y55" s="151"/>
      <c r="Z55" s="190"/>
      <c r="AA55" s="153"/>
      <c r="AB55" s="154">
        <f t="shared" si="3"/>
        <v>0</v>
      </c>
      <c r="AC55" s="149">
        <f t="shared" si="4"/>
        <v>0</v>
      </c>
      <c r="AD55" s="125">
        <v>2</v>
      </c>
      <c r="AE55" s="148">
        <f t="shared" si="5"/>
        <v>2</v>
      </c>
      <c r="AF55" s="156"/>
      <c r="AG55" s="156"/>
      <c r="AH55" s="113">
        <f t="shared" si="6"/>
        <v>17</v>
      </c>
      <c r="AI55" s="157">
        <v>65</v>
      </c>
      <c r="AJ55" s="113">
        <f t="shared" si="7"/>
        <v>82</v>
      </c>
      <c r="AK55" s="113">
        <f t="shared" si="8"/>
        <v>82</v>
      </c>
      <c r="AL55" s="158">
        <f t="shared" si="9"/>
        <v>1.02</v>
      </c>
      <c r="AM55" s="159"/>
      <c r="AN55" s="160">
        <f t="shared" si="15"/>
        <v>1</v>
      </c>
      <c r="AO55" s="160">
        <f t="shared" si="15"/>
        <v>2</v>
      </c>
      <c r="AP55" s="133"/>
      <c r="AQ55" s="134"/>
      <c r="AR55" s="161"/>
      <c r="AS55" s="161"/>
      <c r="AT55" s="161"/>
      <c r="AU55" s="161"/>
      <c r="AV55" s="162"/>
      <c r="AW55" s="137">
        <f t="shared" si="11"/>
        <v>0</v>
      </c>
      <c r="AX55" s="137">
        <f t="shared" si="12"/>
        <v>0</v>
      </c>
    </row>
    <row r="56" ht="46.5" customHeight="1" spans="1:50" s="97" customFormat="1" x14ac:dyDescent="0.25">
      <c r="A56" s="100"/>
      <c r="B56" s="100"/>
      <c r="C56" s="100"/>
      <c r="D56" s="100"/>
      <c r="E56" s="100"/>
      <c r="F56" s="100"/>
      <c r="G56" s="103"/>
      <c r="H56" s="186"/>
      <c r="I56" s="195">
        <v>0.51</v>
      </c>
      <c r="J56" s="107">
        <v>0.49</v>
      </c>
      <c r="K56" s="107"/>
      <c r="L56" s="107"/>
      <c r="M56" s="187"/>
      <c r="N56" s="169">
        <f t="shared" si="14"/>
        <v>1</v>
      </c>
      <c r="O56" s="144">
        <v>1</v>
      </c>
      <c r="P56" s="145">
        <v>15</v>
      </c>
      <c r="Q56" s="113">
        <v>15</v>
      </c>
      <c r="R56" s="113"/>
      <c r="S56" s="113"/>
      <c r="T56" s="146"/>
      <c r="U56" s="148">
        <f t="shared" si="1"/>
        <v>15</v>
      </c>
      <c r="V56" s="149">
        <f t="shared" si="2"/>
        <v>15</v>
      </c>
      <c r="W56" s="189"/>
      <c r="X56" s="199"/>
      <c r="Y56" s="151"/>
      <c r="Z56" s="190"/>
      <c r="AA56" s="153"/>
      <c r="AB56" s="154">
        <f t="shared" si="3"/>
        <v>0</v>
      </c>
      <c r="AC56" s="149">
        <f t="shared" si="4"/>
        <v>0</v>
      </c>
      <c r="AD56" s="125">
        <v>2</v>
      </c>
      <c r="AE56" s="148">
        <f t="shared" si="5"/>
        <v>2</v>
      </c>
      <c r="AF56" s="156"/>
      <c r="AG56" s="156"/>
      <c r="AH56" s="113">
        <f t="shared" si="6"/>
        <v>17</v>
      </c>
      <c r="AI56" s="157">
        <v>65</v>
      </c>
      <c r="AJ56" s="113">
        <f t="shared" si="7"/>
        <v>82</v>
      </c>
      <c r="AK56" s="113">
        <f t="shared" si="8"/>
        <v>82</v>
      </c>
      <c r="AL56" s="158">
        <f t="shared" si="9"/>
        <v>1.02</v>
      </c>
      <c r="AM56" s="159"/>
      <c r="AN56" s="160">
        <f t="shared" si="15"/>
        <v>1</v>
      </c>
      <c r="AO56" s="160">
        <f t="shared" si="15"/>
        <v>2</v>
      </c>
      <c r="AP56" s="133"/>
      <c r="AQ56" s="134"/>
      <c r="AR56" s="161"/>
      <c r="AS56" s="161"/>
      <c r="AT56" s="161"/>
      <c r="AU56" s="161"/>
      <c r="AV56" s="162"/>
      <c r="AW56" s="137">
        <f t="shared" si="11"/>
        <v>0</v>
      </c>
      <c r="AX56" s="137">
        <f t="shared" si="12"/>
        <v>0</v>
      </c>
    </row>
    <row r="57" ht="46.5" customHeight="1" spans="1:50" s="97" customFormat="1" x14ac:dyDescent="0.25">
      <c r="A57" s="100"/>
      <c r="B57" s="100"/>
      <c r="C57" s="100"/>
      <c r="D57" s="100"/>
      <c r="E57" s="100"/>
      <c r="F57" s="100"/>
      <c r="G57" s="103"/>
      <c r="H57" s="186"/>
      <c r="I57" s="195">
        <v>0.51</v>
      </c>
      <c r="J57" s="107">
        <v>0.49</v>
      </c>
      <c r="K57" s="107"/>
      <c r="L57" s="107"/>
      <c r="M57" s="187"/>
      <c r="N57" s="169">
        <f t="shared" si="14"/>
        <v>1</v>
      </c>
      <c r="O57" s="144">
        <v>1</v>
      </c>
      <c r="P57" s="145">
        <v>15</v>
      </c>
      <c r="Q57" s="113">
        <v>15</v>
      </c>
      <c r="R57" s="113"/>
      <c r="S57" s="113"/>
      <c r="T57" s="146"/>
      <c r="U57" s="148">
        <f t="shared" si="1"/>
        <v>15</v>
      </c>
      <c r="V57" s="149">
        <f t="shared" si="2"/>
        <v>15</v>
      </c>
      <c r="W57" s="189"/>
      <c r="X57" s="199"/>
      <c r="Y57" s="151"/>
      <c r="Z57" s="190"/>
      <c r="AA57" s="153"/>
      <c r="AB57" s="154">
        <f t="shared" si="3"/>
        <v>0</v>
      </c>
      <c r="AC57" s="149">
        <f t="shared" si="4"/>
        <v>0</v>
      </c>
      <c r="AD57" s="125">
        <v>2</v>
      </c>
      <c r="AE57" s="148">
        <f t="shared" si="5"/>
        <v>2</v>
      </c>
      <c r="AF57" s="156"/>
      <c r="AG57" s="156"/>
      <c r="AH57" s="113">
        <f t="shared" si="6"/>
        <v>17</v>
      </c>
      <c r="AI57" s="157">
        <v>65</v>
      </c>
      <c r="AJ57" s="113">
        <f t="shared" si="7"/>
        <v>82</v>
      </c>
      <c r="AK57" s="113">
        <f t="shared" si="8"/>
        <v>82</v>
      </c>
      <c r="AL57" s="158">
        <f t="shared" si="9"/>
        <v>1.02</v>
      </c>
      <c r="AM57" s="159"/>
      <c r="AN57" s="160">
        <f t="shared" si="15"/>
        <v>1</v>
      </c>
      <c r="AO57" s="160">
        <f t="shared" si="15"/>
        <v>2</v>
      </c>
      <c r="AP57" s="133"/>
      <c r="AQ57" s="134"/>
      <c r="AR57" s="161"/>
      <c r="AS57" s="161"/>
      <c r="AT57" s="161"/>
      <c r="AU57" s="161"/>
      <c r="AV57" s="162"/>
      <c r="AW57" s="137">
        <f t="shared" si="11"/>
        <v>0</v>
      </c>
      <c r="AX57" s="137">
        <f t="shared" si="12"/>
        <v>0</v>
      </c>
    </row>
    <row r="58" ht="46.5" customHeight="1" spans="1:50" s="97" customFormat="1" x14ac:dyDescent="0.25">
      <c r="A58" s="100"/>
      <c r="B58" s="100"/>
      <c r="C58" s="100"/>
      <c r="D58" s="100"/>
      <c r="E58" s="100"/>
      <c r="F58" s="100"/>
      <c r="G58" s="103"/>
      <c r="H58" s="186"/>
      <c r="I58" s="195">
        <v>0.51</v>
      </c>
      <c r="J58" s="107">
        <v>0.49</v>
      </c>
      <c r="K58" s="107"/>
      <c r="L58" s="107"/>
      <c r="M58" s="187"/>
      <c r="N58" s="169">
        <f t="shared" si="14"/>
        <v>1</v>
      </c>
      <c r="O58" s="144">
        <v>1</v>
      </c>
      <c r="P58" s="145">
        <v>15</v>
      </c>
      <c r="Q58" s="113">
        <v>15</v>
      </c>
      <c r="R58" s="113"/>
      <c r="S58" s="113"/>
      <c r="T58" s="146"/>
      <c r="U58" s="148">
        <f t="shared" si="1"/>
        <v>15</v>
      </c>
      <c r="V58" s="149">
        <f t="shared" si="2"/>
        <v>15</v>
      </c>
      <c r="W58" s="189"/>
      <c r="X58" s="199"/>
      <c r="Y58" s="151"/>
      <c r="Z58" s="190"/>
      <c r="AA58" s="153"/>
      <c r="AB58" s="154">
        <f t="shared" si="3"/>
        <v>0</v>
      </c>
      <c r="AC58" s="149">
        <f t="shared" si="4"/>
        <v>0</v>
      </c>
      <c r="AD58" s="125">
        <v>2</v>
      </c>
      <c r="AE58" s="148">
        <f t="shared" si="5"/>
        <v>2</v>
      </c>
      <c r="AF58" s="156"/>
      <c r="AG58" s="156"/>
      <c r="AH58" s="113">
        <f t="shared" si="6"/>
        <v>17</v>
      </c>
      <c r="AI58" s="157">
        <v>65</v>
      </c>
      <c r="AJ58" s="113">
        <f t="shared" si="7"/>
        <v>82</v>
      </c>
      <c r="AK58" s="113">
        <f t="shared" si="8"/>
        <v>82</v>
      </c>
      <c r="AL58" s="158">
        <f t="shared" si="9"/>
        <v>1.02</v>
      </c>
      <c r="AM58" s="159"/>
      <c r="AN58" s="160">
        <f t="shared" si="15"/>
        <v>1</v>
      </c>
      <c r="AO58" s="160">
        <f t="shared" si="15"/>
        <v>2</v>
      </c>
      <c r="AP58" s="133"/>
      <c r="AQ58" s="134"/>
      <c r="AR58" s="161"/>
      <c r="AS58" s="161"/>
      <c r="AT58" s="161"/>
      <c r="AU58" s="161"/>
      <c r="AV58" s="162"/>
      <c r="AW58" s="137">
        <f t="shared" si="11"/>
        <v>0</v>
      </c>
      <c r="AX58" s="137">
        <f t="shared" si="12"/>
        <v>0</v>
      </c>
    </row>
    <row r="59" ht="46.5" customHeight="1" spans="1:50" s="97" customFormat="1" x14ac:dyDescent="0.25">
      <c r="A59" s="100"/>
      <c r="B59" s="100"/>
      <c r="C59" s="100"/>
      <c r="D59" s="100"/>
      <c r="E59" s="100"/>
      <c r="F59" s="100"/>
      <c r="G59" s="103"/>
      <c r="H59" s="186"/>
      <c r="I59" s="195">
        <v>0.51</v>
      </c>
      <c r="J59" s="107">
        <v>0.49</v>
      </c>
      <c r="K59" s="107"/>
      <c r="L59" s="107"/>
      <c r="M59" s="187"/>
      <c r="N59" s="169">
        <f t="shared" si="14"/>
        <v>1</v>
      </c>
      <c r="O59" s="144">
        <v>1</v>
      </c>
      <c r="P59" s="145">
        <v>15</v>
      </c>
      <c r="Q59" s="113">
        <v>15</v>
      </c>
      <c r="R59" s="113"/>
      <c r="S59" s="113"/>
      <c r="T59" s="146"/>
      <c r="U59" s="148">
        <f t="shared" si="1"/>
        <v>15</v>
      </c>
      <c r="V59" s="149">
        <f t="shared" si="2"/>
        <v>15</v>
      </c>
      <c r="W59" s="189"/>
      <c r="X59" s="199"/>
      <c r="Y59" s="151"/>
      <c r="Z59" s="190"/>
      <c r="AA59" s="153"/>
      <c r="AB59" s="154">
        <f t="shared" si="3"/>
        <v>0</v>
      </c>
      <c r="AC59" s="149">
        <f t="shared" si="4"/>
        <v>0</v>
      </c>
      <c r="AD59" s="125">
        <v>2</v>
      </c>
      <c r="AE59" s="148">
        <f t="shared" si="5"/>
        <v>2</v>
      </c>
      <c r="AF59" s="156"/>
      <c r="AG59" s="156"/>
      <c r="AH59" s="113">
        <f t="shared" si="6"/>
        <v>17</v>
      </c>
      <c r="AI59" s="157">
        <v>65</v>
      </c>
      <c r="AJ59" s="113">
        <f t="shared" si="7"/>
        <v>82</v>
      </c>
      <c r="AK59" s="113">
        <f t="shared" si="8"/>
        <v>82</v>
      </c>
      <c r="AL59" s="158">
        <f t="shared" si="9"/>
        <v>1.02</v>
      </c>
      <c r="AM59" s="159"/>
      <c r="AN59" s="160">
        <f t="shared" si="15"/>
        <v>1</v>
      </c>
      <c r="AO59" s="160">
        <f t="shared" si="15"/>
        <v>2</v>
      </c>
      <c r="AP59" s="133"/>
      <c r="AQ59" s="134"/>
      <c r="AR59" s="161"/>
      <c r="AS59" s="161"/>
      <c r="AT59" s="161"/>
      <c r="AU59" s="161"/>
      <c r="AV59" s="162"/>
      <c r="AW59" s="137">
        <f t="shared" si="11"/>
        <v>0</v>
      </c>
      <c r="AX59" s="137">
        <f t="shared" si="12"/>
        <v>0</v>
      </c>
    </row>
    <row r="60" ht="46.5" customHeight="1" spans="1:50" s="97" customFormat="1" x14ac:dyDescent="0.25">
      <c r="A60" s="100"/>
      <c r="B60" s="100"/>
      <c r="C60" s="100"/>
      <c r="D60" s="100"/>
      <c r="E60" s="100"/>
      <c r="F60" s="100"/>
      <c r="G60" s="103"/>
      <c r="H60" s="186"/>
      <c r="I60" s="195">
        <v>0.51</v>
      </c>
      <c r="J60" s="107">
        <v>0.49</v>
      </c>
      <c r="K60" s="107"/>
      <c r="L60" s="107"/>
      <c r="M60" s="187"/>
      <c r="N60" s="169">
        <f t="shared" si="14"/>
        <v>1</v>
      </c>
      <c r="O60" s="144">
        <v>1</v>
      </c>
      <c r="P60" s="145">
        <v>15</v>
      </c>
      <c r="Q60" s="113">
        <v>15</v>
      </c>
      <c r="R60" s="113"/>
      <c r="S60" s="113"/>
      <c r="T60" s="146"/>
      <c r="U60" s="148">
        <f t="shared" si="1"/>
        <v>15</v>
      </c>
      <c r="V60" s="149">
        <f t="shared" si="2"/>
        <v>15</v>
      </c>
      <c r="W60" s="189"/>
      <c r="X60" s="199"/>
      <c r="Y60" s="151"/>
      <c r="Z60" s="190"/>
      <c r="AA60" s="153"/>
      <c r="AB60" s="154">
        <f t="shared" si="3"/>
        <v>0</v>
      </c>
      <c r="AC60" s="149">
        <f t="shared" si="4"/>
        <v>0</v>
      </c>
      <c r="AD60" s="125">
        <v>2</v>
      </c>
      <c r="AE60" s="148">
        <f t="shared" si="5"/>
        <v>2</v>
      </c>
      <c r="AF60" s="156"/>
      <c r="AG60" s="156"/>
      <c r="AH60" s="113">
        <f t="shared" si="6"/>
        <v>17</v>
      </c>
      <c r="AI60" s="157">
        <v>65</v>
      </c>
      <c r="AJ60" s="113">
        <f t="shared" si="7"/>
        <v>82</v>
      </c>
      <c r="AK60" s="113">
        <f t="shared" si="8"/>
        <v>82</v>
      </c>
      <c r="AL60" s="158">
        <f t="shared" si="9"/>
        <v>1.02</v>
      </c>
      <c r="AM60" s="159"/>
      <c r="AN60" s="160">
        <f t="shared" si="15"/>
        <v>1</v>
      </c>
      <c r="AO60" s="160">
        <f t="shared" si="15"/>
        <v>2</v>
      </c>
      <c r="AP60" s="133"/>
      <c r="AQ60" s="134"/>
      <c r="AR60" s="161"/>
      <c r="AS60" s="161"/>
      <c r="AT60" s="161"/>
      <c r="AU60" s="161"/>
      <c r="AV60" s="162"/>
      <c r="AW60" s="137">
        <f t="shared" si="11"/>
        <v>0</v>
      </c>
      <c r="AX60" s="137">
        <f t="shared" si="12"/>
        <v>0</v>
      </c>
    </row>
    <row r="61" ht="46.5" customHeight="1" spans="1:50" s="97" customFormat="1" x14ac:dyDescent="0.25">
      <c r="A61" s="100"/>
      <c r="B61" s="100"/>
      <c r="C61" s="100"/>
      <c r="D61" s="100"/>
      <c r="E61" s="100"/>
      <c r="F61" s="100"/>
      <c r="G61" s="103"/>
      <c r="H61" s="186"/>
      <c r="I61" s="195">
        <v>0.51</v>
      </c>
      <c r="J61" s="107">
        <v>0.49</v>
      </c>
      <c r="K61" s="107"/>
      <c r="L61" s="107"/>
      <c r="M61" s="187"/>
      <c r="N61" s="169">
        <f t="shared" si="14"/>
        <v>1</v>
      </c>
      <c r="O61" s="144">
        <v>1</v>
      </c>
      <c r="P61" s="145">
        <v>15</v>
      </c>
      <c r="Q61" s="113">
        <v>15</v>
      </c>
      <c r="R61" s="113"/>
      <c r="S61" s="113"/>
      <c r="T61" s="146"/>
      <c r="U61" s="148">
        <f t="shared" si="1"/>
        <v>15</v>
      </c>
      <c r="V61" s="149">
        <f t="shared" si="2"/>
        <v>15</v>
      </c>
      <c r="W61" s="189"/>
      <c r="X61" s="199"/>
      <c r="Y61" s="151"/>
      <c r="Z61" s="190"/>
      <c r="AA61" s="153"/>
      <c r="AB61" s="154">
        <f t="shared" si="3"/>
        <v>0</v>
      </c>
      <c r="AC61" s="149">
        <f t="shared" si="4"/>
        <v>0</v>
      </c>
      <c r="AD61" s="125">
        <v>2</v>
      </c>
      <c r="AE61" s="148">
        <f t="shared" si="5"/>
        <v>2</v>
      </c>
      <c r="AF61" s="156"/>
      <c r="AG61" s="156"/>
      <c r="AH61" s="113">
        <f t="shared" si="6"/>
        <v>17</v>
      </c>
      <c r="AI61" s="157">
        <v>65</v>
      </c>
      <c r="AJ61" s="113">
        <f t="shared" si="7"/>
        <v>82</v>
      </c>
      <c r="AK61" s="113">
        <f t="shared" si="8"/>
        <v>82</v>
      </c>
      <c r="AL61" s="158">
        <f t="shared" si="9"/>
        <v>1.02</v>
      </c>
      <c r="AM61" s="159"/>
      <c r="AN61" s="160">
        <f t="shared" si="15"/>
        <v>1</v>
      </c>
      <c r="AO61" s="160">
        <f t="shared" si="15"/>
        <v>2</v>
      </c>
      <c r="AP61" s="133"/>
      <c r="AQ61" s="134"/>
      <c r="AR61" s="161"/>
      <c r="AS61" s="161"/>
      <c r="AT61" s="161"/>
      <c r="AU61" s="161"/>
      <c r="AV61" s="162"/>
      <c r="AW61" s="137">
        <f t="shared" si="11"/>
        <v>0</v>
      </c>
      <c r="AX61" s="137">
        <f t="shared" si="12"/>
        <v>0</v>
      </c>
    </row>
    <row r="62" ht="46.5" customHeight="1" spans="1:50" s="97" customFormat="1" x14ac:dyDescent="0.25">
      <c r="A62" s="100"/>
      <c r="B62" s="100"/>
      <c r="C62" s="100"/>
      <c r="D62" s="100"/>
      <c r="E62" s="100"/>
      <c r="F62" s="100"/>
      <c r="G62" s="103"/>
      <c r="H62" s="186"/>
      <c r="I62" s="195">
        <v>0.51</v>
      </c>
      <c r="J62" s="107">
        <v>0.49</v>
      </c>
      <c r="K62" s="107"/>
      <c r="L62" s="107"/>
      <c r="M62" s="187"/>
      <c r="N62" s="169">
        <f t="shared" si="14"/>
        <v>1</v>
      </c>
      <c r="O62" s="144">
        <v>1</v>
      </c>
      <c r="P62" s="145">
        <v>15</v>
      </c>
      <c r="Q62" s="113">
        <v>15</v>
      </c>
      <c r="R62" s="113"/>
      <c r="S62" s="113"/>
      <c r="T62" s="146"/>
      <c r="U62" s="148">
        <f t="shared" si="1"/>
        <v>15</v>
      </c>
      <c r="V62" s="149">
        <f t="shared" si="2"/>
        <v>15</v>
      </c>
      <c r="W62" s="189"/>
      <c r="X62" s="199"/>
      <c r="Y62" s="151"/>
      <c r="Z62" s="190"/>
      <c r="AA62" s="153"/>
      <c r="AB62" s="154">
        <f t="shared" si="3"/>
        <v>0</v>
      </c>
      <c r="AC62" s="149">
        <f t="shared" si="4"/>
        <v>0</v>
      </c>
      <c r="AD62" s="125">
        <v>2</v>
      </c>
      <c r="AE62" s="148">
        <f t="shared" si="5"/>
        <v>2</v>
      </c>
      <c r="AF62" s="156"/>
      <c r="AG62" s="156"/>
      <c r="AH62" s="113">
        <f t="shared" si="6"/>
        <v>17</v>
      </c>
      <c r="AI62" s="157">
        <v>65</v>
      </c>
      <c r="AJ62" s="113">
        <f t="shared" si="7"/>
        <v>82</v>
      </c>
      <c r="AK62" s="113">
        <f t="shared" si="8"/>
        <v>82</v>
      </c>
      <c r="AL62" s="158">
        <f t="shared" si="9"/>
        <v>1.02</v>
      </c>
      <c r="AM62" s="159"/>
      <c r="AN62" s="160">
        <f t="shared" si="15"/>
        <v>1</v>
      </c>
      <c r="AO62" s="160">
        <f t="shared" si="15"/>
        <v>2</v>
      </c>
      <c r="AP62" s="133"/>
      <c r="AQ62" s="134"/>
      <c r="AR62" s="161"/>
      <c r="AS62" s="161"/>
      <c r="AT62" s="161"/>
      <c r="AU62" s="161"/>
      <c r="AV62" s="162"/>
      <c r="AW62" s="137">
        <f t="shared" si="11"/>
        <v>0</v>
      </c>
      <c r="AX62" s="137">
        <f t="shared" si="12"/>
        <v>0</v>
      </c>
    </row>
    <row r="63" ht="46.5" customHeight="1" spans="1:50" s="97" customFormat="1" x14ac:dyDescent="0.25">
      <c r="A63" s="100"/>
      <c r="B63" s="100"/>
      <c r="C63" s="100"/>
      <c r="D63" s="100"/>
      <c r="E63" s="100"/>
      <c r="F63" s="100"/>
      <c r="G63" s="103"/>
      <c r="H63" s="186"/>
      <c r="I63" s="195">
        <v>0.51</v>
      </c>
      <c r="J63" s="107">
        <v>0.49</v>
      </c>
      <c r="K63" s="107"/>
      <c r="L63" s="107"/>
      <c r="M63" s="187"/>
      <c r="N63" s="169">
        <f t="shared" si="14"/>
        <v>1</v>
      </c>
      <c r="O63" s="144">
        <v>1</v>
      </c>
      <c r="P63" s="145">
        <v>15</v>
      </c>
      <c r="Q63" s="113">
        <v>15</v>
      </c>
      <c r="R63" s="113"/>
      <c r="S63" s="113"/>
      <c r="T63" s="146"/>
      <c r="U63" s="148">
        <f t="shared" si="1"/>
        <v>15</v>
      </c>
      <c r="V63" s="149">
        <f t="shared" si="2"/>
        <v>15</v>
      </c>
      <c r="W63" s="189"/>
      <c r="X63" s="199"/>
      <c r="Y63" s="151"/>
      <c r="Z63" s="190"/>
      <c r="AA63" s="153"/>
      <c r="AB63" s="154">
        <f t="shared" si="3"/>
        <v>0</v>
      </c>
      <c r="AC63" s="149">
        <f t="shared" si="4"/>
        <v>0</v>
      </c>
      <c r="AD63" s="125">
        <v>2</v>
      </c>
      <c r="AE63" s="148">
        <f t="shared" si="5"/>
        <v>2</v>
      </c>
      <c r="AF63" s="156"/>
      <c r="AG63" s="156"/>
      <c r="AH63" s="113">
        <f t="shared" si="6"/>
        <v>17</v>
      </c>
      <c r="AI63" s="157">
        <v>65</v>
      </c>
      <c r="AJ63" s="113">
        <f t="shared" si="7"/>
        <v>82</v>
      </c>
      <c r="AK63" s="113">
        <f t="shared" si="8"/>
        <v>82</v>
      </c>
      <c r="AL63" s="158">
        <f t="shared" si="9"/>
        <v>1.02</v>
      </c>
      <c r="AM63" s="159"/>
      <c r="AN63" s="160">
        <f t="shared" si="15"/>
        <v>1</v>
      </c>
      <c r="AO63" s="160">
        <f t="shared" si="15"/>
        <v>2</v>
      </c>
      <c r="AP63" s="133"/>
      <c r="AQ63" s="134"/>
      <c r="AR63" s="161"/>
      <c r="AS63" s="161"/>
      <c r="AT63" s="161"/>
      <c r="AU63" s="161"/>
      <c r="AV63" s="162"/>
      <c r="AW63" s="137">
        <f t="shared" si="11"/>
        <v>0</v>
      </c>
      <c r="AX63" s="137">
        <f t="shared" si="12"/>
        <v>0</v>
      </c>
    </row>
    <row r="64" ht="46.5" customHeight="1" spans="1:50" s="97" customFormat="1" x14ac:dyDescent="0.25">
      <c r="A64" s="100"/>
      <c r="B64" s="100"/>
      <c r="C64" s="100"/>
      <c r="D64" s="100"/>
      <c r="E64" s="100"/>
      <c r="F64" s="100"/>
      <c r="G64" s="103"/>
      <c r="H64" s="186"/>
      <c r="I64" s="195">
        <v>0.51</v>
      </c>
      <c r="J64" s="107">
        <v>0.49</v>
      </c>
      <c r="K64" s="107"/>
      <c r="L64" s="107"/>
      <c r="M64" s="187"/>
      <c r="N64" s="169">
        <f t="shared" si="14"/>
        <v>1</v>
      </c>
      <c r="O64" s="144">
        <v>1</v>
      </c>
      <c r="P64" s="145">
        <v>15</v>
      </c>
      <c r="Q64" s="113">
        <v>15</v>
      </c>
      <c r="R64" s="113"/>
      <c r="S64" s="113"/>
      <c r="T64" s="146"/>
      <c r="U64" s="148">
        <f t="shared" si="1"/>
        <v>15</v>
      </c>
      <c r="V64" s="149">
        <f t="shared" si="2"/>
        <v>15</v>
      </c>
      <c r="W64" s="189"/>
      <c r="X64" s="199"/>
      <c r="Y64" s="151"/>
      <c r="Z64" s="190"/>
      <c r="AA64" s="153"/>
      <c r="AB64" s="154">
        <f t="shared" si="3"/>
        <v>0</v>
      </c>
      <c r="AC64" s="149">
        <f t="shared" si="4"/>
        <v>0</v>
      </c>
      <c r="AD64" s="125">
        <v>2</v>
      </c>
      <c r="AE64" s="148">
        <f t="shared" si="5"/>
        <v>2</v>
      </c>
      <c r="AF64" s="156"/>
      <c r="AG64" s="156"/>
      <c r="AH64" s="113">
        <f t="shared" si="6"/>
        <v>17</v>
      </c>
      <c r="AI64" s="157">
        <v>65</v>
      </c>
      <c r="AJ64" s="113">
        <f t="shared" si="7"/>
        <v>82</v>
      </c>
      <c r="AK64" s="113">
        <f t="shared" si="8"/>
        <v>82</v>
      </c>
      <c r="AL64" s="158">
        <f t="shared" si="9"/>
        <v>1.02</v>
      </c>
      <c r="AM64" s="159"/>
      <c r="AN64" s="160">
        <f t="shared" si="15"/>
        <v>1</v>
      </c>
      <c r="AO64" s="160">
        <f t="shared" si="15"/>
        <v>2</v>
      </c>
      <c r="AP64" s="133"/>
      <c r="AQ64" s="134"/>
      <c r="AR64" s="161"/>
      <c r="AS64" s="161"/>
      <c r="AT64" s="161"/>
      <c r="AU64" s="161"/>
      <c r="AV64" s="162"/>
      <c r="AW64" s="137">
        <f t="shared" si="11"/>
        <v>0</v>
      </c>
      <c r="AX64" s="137">
        <f t="shared" si="12"/>
        <v>0</v>
      </c>
    </row>
    <row r="65" ht="46.5" customHeight="1" spans="1:50" s="97" customFormat="1" x14ac:dyDescent="0.25">
      <c r="A65" s="100"/>
      <c r="B65" s="100"/>
      <c r="C65" s="100"/>
      <c r="D65" s="100"/>
      <c r="E65" s="100"/>
      <c r="F65" s="100"/>
      <c r="G65" s="103"/>
      <c r="H65" s="186"/>
      <c r="I65" s="195">
        <v>0.51</v>
      </c>
      <c r="J65" s="107">
        <v>0.49</v>
      </c>
      <c r="K65" s="107"/>
      <c r="L65" s="107"/>
      <c r="M65" s="187"/>
      <c r="N65" s="169">
        <f t="shared" si="14"/>
        <v>1</v>
      </c>
      <c r="O65" s="144">
        <v>1</v>
      </c>
      <c r="P65" s="145">
        <v>15</v>
      </c>
      <c r="Q65" s="113">
        <v>15</v>
      </c>
      <c r="R65" s="113"/>
      <c r="S65" s="113"/>
      <c r="T65" s="146"/>
      <c r="U65" s="148">
        <f t="shared" si="1"/>
        <v>15</v>
      </c>
      <c r="V65" s="149">
        <f t="shared" si="2"/>
        <v>15</v>
      </c>
      <c r="W65" s="189"/>
      <c r="X65" s="199"/>
      <c r="Y65" s="151"/>
      <c r="Z65" s="190"/>
      <c r="AA65" s="153"/>
      <c r="AB65" s="154">
        <f t="shared" si="3"/>
        <v>0</v>
      </c>
      <c r="AC65" s="149">
        <f t="shared" si="4"/>
        <v>0</v>
      </c>
      <c r="AD65" s="125">
        <v>2</v>
      </c>
      <c r="AE65" s="148">
        <f t="shared" si="5"/>
        <v>2</v>
      </c>
      <c r="AF65" s="156"/>
      <c r="AG65" s="156"/>
      <c r="AH65" s="113">
        <f t="shared" si="6"/>
        <v>17</v>
      </c>
      <c r="AI65" s="157">
        <v>65</v>
      </c>
      <c r="AJ65" s="113">
        <f t="shared" si="7"/>
        <v>82</v>
      </c>
      <c r="AK65" s="113">
        <f t="shared" si="8"/>
        <v>82</v>
      </c>
      <c r="AL65" s="158">
        <f t="shared" si="9"/>
        <v>1.02</v>
      </c>
      <c r="AM65" s="159"/>
      <c r="AN65" s="160">
        <f t="shared" si="15"/>
        <v>1</v>
      </c>
      <c r="AO65" s="160">
        <f t="shared" si="15"/>
        <v>2</v>
      </c>
      <c r="AP65" s="133"/>
      <c r="AQ65" s="134"/>
      <c r="AR65" s="161"/>
      <c r="AS65" s="161"/>
      <c r="AT65" s="161"/>
      <c r="AU65" s="161"/>
      <c r="AV65" s="162"/>
      <c r="AW65" s="137">
        <f t="shared" si="11"/>
        <v>0</v>
      </c>
      <c r="AX65" s="137">
        <f t="shared" si="12"/>
        <v>0</v>
      </c>
    </row>
    <row r="66" ht="46.5" customHeight="1" spans="1:50" s="97" customFormat="1" x14ac:dyDescent="0.25">
      <c r="A66" s="100"/>
      <c r="B66" s="100"/>
      <c r="C66" s="100"/>
      <c r="D66" s="100"/>
      <c r="E66" s="100"/>
      <c r="F66" s="100"/>
      <c r="G66" s="103"/>
      <c r="H66" s="186"/>
      <c r="I66" s="195">
        <v>0.51</v>
      </c>
      <c r="J66" s="107">
        <v>0.49</v>
      </c>
      <c r="K66" s="107"/>
      <c r="L66" s="107"/>
      <c r="M66" s="187"/>
      <c r="N66" s="169">
        <f t="shared" si="14"/>
        <v>1</v>
      </c>
      <c r="O66" s="144">
        <v>1</v>
      </c>
      <c r="P66" s="145">
        <v>15</v>
      </c>
      <c r="Q66" s="113">
        <v>15</v>
      </c>
      <c r="R66" s="113"/>
      <c r="S66" s="113"/>
      <c r="T66" s="146"/>
      <c r="U66" s="148">
        <f t="shared" si="1"/>
        <v>15</v>
      </c>
      <c r="V66" s="149">
        <f t="shared" si="2"/>
        <v>15</v>
      </c>
      <c r="W66" s="189"/>
      <c r="X66" s="199"/>
      <c r="Y66" s="151"/>
      <c r="Z66" s="190"/>
      <c r="AA66" s="153"/>
      <c r="AB66" s="154">
        <f t="shared" si="3"/>
        <v>0</v>
      </c>
      <c r="AC66" s="149">
        <f t="shared" si="4"/>
        <v>0</v>
      </c>
      <c r="AD66" s="125">
        <v>2</v>
      </c>
      <c r="AE66" s="148">
        <f t="shared" si="5"/>
        <v>2</v>
      </c>
      <c r="AF66" s="156"/>
      <c r="AG66" s="156"/>
      <c r="AH66" s="113">
        <f t="shared" si="6"/>
        <v>17</v>
      </c>
      <c r="AI66" s="157">
        <v>65</v>
      </c>
      <c r="AJ66" s="113">
        <f t="shared" si="7"/>
        <v>82</v>
      </c>
      <c r="AK66" s="113">
        <f t="shared" si="8"/>
        <v>82</v>
      </c>
      <c r="AL66" s="158">
        <f t="shared" si="9"/>
        <v>1.02</v>
      </c>
      <c r="AM66" s="159"/>
      <c r="AN66" s="160">
        <f t="shared" si="15"/>
        <v>1</v>
      </c>
      <c r="AO66" s="160">
        <f t="shared" si="15"/>
        <v>2</v>
      </c>
      <c r="AP66" s="133"/>
      <c r="AQ66" s="134"/>
      <c r="AR66" s="161"/>
      <c r="AS66" s="161"/>
      <c r="AT66" s="161"/>
      <c r="AU66" s="161"/>
      <c r="AV66" s="162"/>
      <c r="AW66" s="137">
        <f t="shared" si="11"/>
        <v>0</v>
      </c>
      <c r="AX66" s="137">
        <f t="shared" si="12"/>
        <v>0</v>
      </c>
    </row>
    <row r="67" ht="46.5" customHeight="1" spans="1:50" s="97" customFormat="1" x14ac:dyDescent="0.25">
      <c r="A67" s="100"/>
      <c r="B67" s="100"/>
      <c r="C67" s="100"/>
      <c r="D67" s="100"/>
      <c r="E67" s="100"/>
      <c r="F67" s="100"/>
      <c r="G67" s="103"/>
      <c r="H67" s="186"/>
      <c r="I67" s="195">
        <v>0.51</v>
      </c>
      <c r="J67" s="107">
        <v>0.49</v>
      </c>
      <c r="K67" s="107"/>
      <c r="L67" s="107"/>
      <c r="M67" s="187"/>
      <c r="N67" s="169">
        <f t="shared" si="14"/>
        <v>1</v>
      </c>
      <c r="O67" s="144">
        <v>1</v>
      </c>
      <c r="P67" s="145">
        <v>15</v>
      </c>
      <c r="Q67" s="113">
        <v>15</v>
      </c>
      <c r="R67" s="113"/>
      <c r="S67" s="113"/>
      <c r="T67" s="146"/>
      <c r="U67" s="148">
        <f t="shared" si="1"/>
        <v>15</v>
      </c>
      <c r="V67" s="149">
        <f t="shared" si="2"/>
        <v>15</v>
      </c>
      <c r="W67" s="189"/>
      <c r="X67" s="199"/>
      <c r="Y67" s="151"/>
      <c r="Z67" s="190"/>
      <c r="AA67" s="153"/>
      <c r="AB67" s="154">
        <f t="shared" si="3"/>
        <v>0</v>
      </c>
      <c r="AC67" s="149">
        <f t="shared" si="4"/>
        <v>0</v>
      </c>
      <c r="AD67" s="125">
        <v>2</v>
      </c>
      <c r="AE67" s="148">
        <f t="shared" si="5"/>
        <v>2</v>
      </c>
      <c r="AF67" s="156"/>
      <c r="AG67" s="156"/>
      <c r="AH67" s="113">
        <f t="shared" si="6"/>
        <v>17</v>
      </c>
      <c r="AI67" s="157">
        <v>65</v>
      </c>
      <c r="AJ67" s="113">
        <f t="shared" si="7"/>
        <v>82</v>
      </c>
      <c r="AK67" s="113">
        <f t="shared" si="8"/>
        <v>82</v>
      </c>
      <c r="AL67" s="158">
        <f t="shared" si="9"/>
        <v>1.02</v>
      </c>
      <c r="AM67" s="159"/>
      <c r="AN67" s="160">
        <f t="shared" si="15"/>
        <v>1</v>
      </c>
      <c r="AO67" s="160">
        <f t="shared" si="15"/>
        <v>2</v>
      </c>
      <c r="AP67" s="133"/>
      <c r="AQ67" s="134"/>
      <c r="AR67" s="161"/>
      <c r="AS67" s="161"/>
      <c r="AT67" s="161"/>
      <c r="AU67" s="161"/>
      <c r="AV67" s="162"/>
      <c r="AW67" s="137">
        <f t="shared" si="11"/>
        <v>0</v>
      </c>
      <c r="AX67" s="137">
        <f t="shared" si="12"/>
        <v>0</v>
      </c>
    </row>
    <row r="68" ht="46.5" customHeight="1" spans="1:50" s="97" customFormat="1" x14ac:dyDescent="0.25">
      <c r="A68" s="100"/>
      <c r="B68" s="100"/>
      <c r="C68" s="100"/>
      <c r="D68" s="100"/>
      <c r="E68" s="100"/>
      <c r="F68" s="100"/>
      <c r="G68" s="103"/>
      <c r="H68" s="186"/>
      <c r="I68" s="195">
        <v>0.51</v>
      </c>
      <c r="J68" s="107">
        <v>0.49</v>
      </c>
      <c r="K68" s="107"/>
      <c r="L68" s="107"/>
      <c r="M68" s="187"/>
      <c r="N68" s="169">
        <f t="shared" si="14"/>
        <v>1</v>
      </c>
      <c r="O68" s="144">
        <v>1</v>
      </c>
      <c r="P68" s="145">
        <v>15</v>
      </c>
      <c r="Q68" s="113">
        <v>15</v>
      </c>
      <c r="R68" s="113"/>
      <c r="S68" s="113"/>
      <c r="T68" s="146"/>
      <c r="U68" s="148">
        <f t="shared" si="1"/>
        <v>15</v>
      </c>
      <c r="V68" s="149">
        <f t="shared" si="2"/>
        <v>15</v>
      </c>
      <c r="W68" s="189"/>
      <c r="X68" s="199"/>
      <c r="Y68" s="151"/>
      <c r="Z68" s="190"/>
      <c r="AA68" s="153"/>
      <c r="AB68" s="154">
        <f t="shared" si="3"/>
        <v>0</v>
      </c>
      <c r="AC68" s="149">
        <f t="shared" si="4"/>
        <v>0</v>
      </c>
      <c r="AD68" s="125">
        <v>2</v>
      </c>
      <c r="AE68" s="148">
        <f t="shared" si="5"/>
        <v>2</v>
      </c>
      <c r="AF68" s="156"/>
      <c r="AG68" s="156"/>
      <c r="AH68" s="113">
        <f t="shared" si="6"/>
        <v>17</v>
      </c>
      <c r="AI68" s="157">
        <v>65</v>
      </c>
      <c r="AJ68" s="113">
        <f t="shared" si="7"/>
        <v>82</v>
      </c>
      <c r="AK68" s="113">
        <f t="shared" si="8"/>
        <v>82</v>
      </c>
      <c r="AL68" s="158">
        <f t="shared" si="9"/>
        <v>1.02</v>
      </c>
      <c r="AM68" s="159"/>
      <c r="AN68" s="160">
        <f t="shared" si="15"/>
        <v>1</v>
      </c>
      <c r="AO68" s="160">
        <f t="shared" si="15"/>
        <v>2</v>
      </c>
      <c r="AP68" s="133"/>
      <c r="AQ68" s="134"/>
      <c r="AR68" s="161"/>
      <c r="AS68" s="161"/>
      <c r="AT68" s="161"/>
      <c r="AU68" s="161"/>
      <c r="AV68" s="162"/>
      <c r="AW68" s="137">
        <f t="shared" si="11"/>
        <v>0</v>
      </c>
      <c r="AX68" s="137">
        <f t="shared" si="12"/>
        <v>0</v>
      </c>
    </row>
    <row r="69" ht="46.5" customHeight="1" spans="1:50" s="97" customFormat="1" x14ac:dyDescent="0.25">
      <c r="A69" s="100"/>
      <c r="B69" s="100"/>
      <c r="C69" s="100"/>
      <c r="D69" s="100"/>
      <c r="E69" s="100"/>
      <c r="F69" s="100"/>
      <c r="G69" s="103"/>
      <c r="H69" s="186"/>
      <c r="I69" s="195">
        <v>0.51</v>
      </c>
      <c r="J69" s="107">
        <v>0.49</v>
      </c>
      <c r="K69" s="107"/>
      <c r="L69" s="107"/>
      <c r="M69" s="187"/>
      <c r="N69" s="169">
        <f t="shared" si="14"/>
        <v>1</v>
      </c>
      <c r="O69" s="144">
        <v>1</v>
      </c>
      <c r="P69" s="145">
        <v>15</v>
      </c>
      <c r="Q69" s="113">
        <v>15</v>
      </c>
      <c r="R69" s="113"/>
      <c r="S69" s="113"/>
      <c r="T69" s="146"/>
      <c r="U69" s="148">
        <f t="shared" si="1"/>
        <v>15</v>
      </c>
      <c r="V69" s="149">
        <f t="shared" si="2"/>
        <v>15</v>
      </c>
      <c r="W69" s="189"/>
      <c r="X69" s="199"/>
      <c r="Y69" s="151"/>
      <c r="Z69" s="190"/>
      <c r="AA69" s="153"/>
      <c r="AB69" s="154">
        <f t="shared" si="3"/>
        <v>0</v>
      </c>
      <c r="AC69" s="149">
        <f t="shared" si="4"/>
        <v>0</v>
      </c>
      <c r="AD69" s="125">
        <v>2</v>
      </c>
      <c r="AE69" s="148">
        <f t="shared" si="5"/>
        <v>2</v>
      </c>
      <c r="AF69" s="156"/>
      <c r="AG69" s="156"/>
      <c r="AH69" s="113">
        <f t="shared" si="6"/>
        <v>17</v>
      </c>
      <c r="AI69" s="157">
        <v>65</v>
      </c>
      <c r="AJ69" s="113">
        <f t="shared" si="7"/>
        <v>82</v>
      </c>
      <c r="AK69" s="113">
        <f t="shared" si="8"/>
        <v>82</v>
      </c>
      <c r="AL69" s="158">
        <f t="shared" si="9"/>
        <v>1.02</v>
      </c>
      <c r="AM69" s="159"/>
      <c r="AN69" s="160">
        <f t="shared" si="15"/>
        <v>1</v>
      </c>
      <c r="AO69" s="160">
        <f t="shared" si="15"/>
        <v>2</v>
      </c>
      <c r="AP69" s="133"/>
      <c r="AQ69" s="134"/>
      <c r="AR69" s="161"/>
      <c r="AS69" s="161"/>
      <c r="AT69" s="161"/>
      <c r="AU69" s="161"/>
      <c r="AV69" s="162"/>
      <c r="AW69" s="137">
        <f t="shared" si="11"/>
        <v>0</v>
      </c>
      <c r="AX69" s="137">
        <f t="shared" si="12"/>
        <v>0</v>
      </c>
    </row>
    <row r="70" ht="46.5" customHeight="1" spans="1:50" s="97" customFormat="1" x14ac:dyDescent="0.25">
      <c r="A70" s="100"/>
      <c r="B70" s="100"/>
      <c r="C70" s="100"/>
      <c r="D70" s="100"/>
      <c r="E70" s="100"/>
      <c r="F70" s="100"/>
      <c r="G70" s="103"/>
      <c r="H70" s="186"/>
      <c r="I70" s="195">
        <v>0.51</v>
      </c>
      <c r="J70" s="107">
        <v>0.49</v>
      </c>
      <c r="K70" s="107"/>
      <c r="L70" s="107"/>
      <c r="M70" s="187"/>
      <c r="N70" s="169">
        <f t="shared" si="14"/>
        <v>1</v>
      </c>
      <c r="O70" s="144">
        <v>1</v>
      </c>
      <c r="P70" s="145">
        <v>15</v>
      </c>
      <c r="Q70" s="113">
        <v>15</v>
      </c>
      <c r="R70" s="113"/>
      <c r="S70" s="113"/>
      <c r="T70" s="146"/>
      <c r="U70" s="148">
        <f t="shared" si="1"/>
        <v>15</v>
      </c>
      <c r="V70" s="149">
        <f t="shared" si="2"/>
        <v>15</v>
      </c>
      <c r="W70" s="189"/>
      <c r="X70" s="199"/>
      <c r="Y70" s="151"/>
      <c r="Z70" s="190"/>
      <c r="AA70" s="153"/>
      <c r="AB70" s="154">
        <f t="shared" si="3"/>
        <v>0</v>
      </c>
      <c r="AC70" s="149">
        <f t="shared" si="4"/>
        <v>0</v>
      </c>
      <c r="AD70" s="125">
        <v>2</v>
      </c>
      <c r="AE70" s="148">
        <f t="shared" si="5"/>
        <v>2</v>
      </c>
      <c r="AF70" s="156"/>
      <c r="AG70" s="156"/>
      <c r="AH70" s="113">
        <f t="shared" si="6"/>
        <v>17</v>
      </c>
      <c r="AI70" s="157">
        <v>65</v>
      </c>
      <c r="AJ70" s="113">
        <f t="shared" si="7"/>
        <v>82</v>
      </c>
      <c r="AK70" s="113">
        <f t="shared" si="8"/>
        <v>82</v>
      </c>
      <c r="AL70" s="158">
        <f t="shared" si="9"/>
        <v>1.02</v>
      </c>
      <c r="AM70" s="159"/>
      <c r="AN70" s="160">
        <f t="shared" si="15"/>
        <v>1</v>
      </c>
      <c r="AO70" s="160">
        <f t="shared" si="15"/>
        <v>2</v>
      </c>
      <c r="AP70" s="133"/>
      <c r="AQ70" s="134"/>
      <c r="AR70" s="161"/>
      <c r="AS70" s="161"/>
      <c r="AT70" s="161"/>
      <c r="AU70" s="161"/>
      <c r="AV70" s="162"/>
      <c r="AW70" s="137">
        <f t="shared" si="11"/>
        <v>0</v>
      </c>
      <c r="AX70" s="137">
        <f t="shared" si="12"/>
        <v>0</v>
      </c>
    </row>
    <row r="71" ht="46.5" customHeight="1" spans="1:50" s="97" customFormat="1" x14ac:dyDescent="0.25">
      <c r="A71" s="100"/>
      <c r="B71" s="100"/>
      <c r="C71" s="100"/>
      <c r="D71" s="100"/>
      <c r="E71" s="100"/>
      <c r="F71" s="100"/>
      <c r="G71" s="103"/>
      <c r="H71" s="186"/>
      <c r="I71" s="195">
        <v>0.51</v>
      </c>
      <c r="J71" s="107">
        <v>0.49</v>
      </c>
      <c r="K71" s="107"/>
      <c r="L71" s="107"/>
      <c r="M71" s="187"/>
      <c r="N71" s="169">
        <f t="shared" si="14"/>
        <v>1</v>
      </c>
      <c r="O71" s="144">
        <v>1</v>
      </c>
      <c r="P71" s="145">
        <v>15</v>
      </c>
      <c r="Q71" s="113">
        <v>15</v>
      </c>
      <c r="R71" s="113"/>
      <c r="S71" s="113"/>
      <c r="T71" s="146"/>
      <c r="U71" s="148">
        <f t="shared" si="1"/>
        <v>15</v>
      </c>
      <c r="V71" s="149">
        <f t="shared" si="2"/>
        <v>15</v>
      </c>
      <c r="W71" s="189"/>
      <c r="X71" s="199"/>
      <c r="Y71" s="151"/>
      <c r="Z71" s="190"/>
      <c r="AA71" s="153"/>
      <c r="AB71" s="154">
        <f t="shared" si="3"/>
        <v>0</v>
      </c>
      <c r="AC71" s="149">
        <f t="shared" si="4"/>
        <v>0</v>
      </c>
      <c r="AD71" s="125">
        <v>2</v>
      </c>
      <c r="AE71" s="148">
        <f t="shared" si="5"/>
        <v>2</v>
      </c>
      <c r="AF71" s="156"/>
      <c r="AG71" s="156"/>
      <c r="AH71" s="113">
        <f t="shared" si="6"/>
        <v>17</v>
      </c>
      <c r="AI71" s="157">
        <v>65</v>
      </c>
      <c r="AJ71" s="113">
        <f t="shared" si="7"/>
        <v>82</v>
      </c>
      <c r="AK71" s="113">
        <f t="shared" si="8"/>
        <v>82</v>
      </c>
      <c r="AL71" s="158">
        <f t="shared" si="9"/>
        <v>1.02</v>
      </c>
      <c r="AM71" s="159"/>
      <c r="AN71" s="160">
        <f t="shared" ref="AN71:AO90" si="16">100%+AM71</f>
        <v>1</v>
      </c>
      <c r="AO71" s="160">
        <f t="shared" si="16"/>
        <v>2</v>
      </c>
      <c r="AP71" s="133"/>
      <c r="AQ71" s="134"/>
      <c r="AR71" s="161"/>
      <c r="AS71" s="161"/>
      <c r="AT71" s="161"/>
      <c r="AU71" s="161"/>
      <c r="AV71" s="162"/>
      <c r="AW71" s="137">
        <f t="shared" si="11"/>
        <v>0</v>
      </c>
      <c r="AX71" s="137">
        <f t="shared" si="12"/>
        <v>0</v>
      </c>
    </row>
    <row r="72" ht="46.5" customHeight="1" spans="1:50" s="97" customFormat="1" x14ac:dyDescent="0.25">
      <c r="A72" s="100"/>
      <c r="B72" s="100"/>
      <c r="C72" s="100"/>
      <c r="D72" s="100"/>
      <c r="E72" s="100"/>
      <c r="F72" s="100"/>
      <c r="G72" s="103"/>
      <c r="H72" s="186"/>
      <c r="I72" s="195">
        <v>0.51</v>
      </c>
      <c r="J72" s="107">
        <v>0.49</v>
      </c>
      <c r="K72" s="107"/>
      <c r="L72" s="107"/>
      <c r="M72" s="187"/>
      <c r="N72" s="169">
        <f t="shared" si="14"/>
        <v>1</v>
      </c>
      <c r="O72" s="144">
        <v>1</v>
      </c>
      <c r="P72" s="145">
        <v>15</v>
      </c>
      <c r="Q72" s="113">
        <v>15</v>
      </c>
      <c r="R72" s="113"/>
      <c r="S72" s="113"/>
      <c r="T72" s="146"/>
      <c r="U72" s="148">
        <f t="shared" si="1"/>
        <v>15</v>
      </c>
      <c r="V72" s="149">
        <f t="shared" si="2"/>
        <v>15</v>
      </c>
      <c r="W72" s="189"/>
      <c r="X72" s="199"/>
      <c r="Y72" s="151"/>
      <c r="Z72" s="190"/>
      <c r="AA72" s="153"/>
      <c r="AB72" s="154">
        <f t="shared" si="3"/>
        <v>0</v>
      </c>
      <c r="AC72" s="149">
        <f t="shared" si="4"/>
        <v>0</v>
      </c>
      <c r="AD72" s="125">
        <v>2</v>
      </c>
      <c r="AE72" s="148">
        <f t="shared" si="5"/>
        <v>2</v>
      </c>
      <c r="AF72" s="156"/>
      <c r="AG72" s="156"/>
      <c r="AH72" s="113">
        <f t="shared" si="6"/>
        <v>17</v>
      </c>
      <c r="AI72" s="157">
        <v>65</v>
      </c>
      <c r="AJ72" s="113">
        <f t="shared" si="7"/>
        <v>82</v>
      </c>
      <c r="AK72" s="113">
        <f t="shared" si="8"/>
        <v>82</v>
      </c>
      <c r="AL72" s="158">
        <f t="shared" si="9"/>
        <v>1.02</v>
      </c>
      <c r="AM72" s="159"/>
      <c r="AN72" s="160">
        <f t="shared" si="16"/>
        <v>1</v>
      </c>
      <c r="AO72" s="160">
        <f t="shared" si="16"/>
        <v>2</v>
      </c>
      <c r="AP72" s="133"/>
      <c r="AQ72" s="134"/>
      <c r="AR72" s="161"/>
      <c r="AS72" s="161"/>
      <c r="AT72" s="161"/>
      <c r="AU72" s="161"/>
      <c r="AV72" s="162"/>
      <c r="AW72" s="137">
        <f t="shared" si="11"/>
        <v>0</v>
      </c>
      <c r="AX72" s="137">
        <f t="shared" si="12"/>
        <v>0</v>
      </c>
    </row>
    <row r="73" ht="46.5" customHeight="1" spans="1:50" s="97" customFormat="1" x14ac:dyDescent="0.25">
      <c r="A73" s="100"/>
      <c r="B73" s="100"/>
      <c r="C73" s="100"/>
      <c r="D73" s="100"/>
      <c r="E73" s="100"/>
      <c r="F73" s="100"/>
      <c r="G73" s="103"/>
      <c r="H73" s="186"/>
      <c r="I73" s="195">
        <v>0.51</v>
      </c>
      <c r="J73" s="107">
        <v>0.49</v>
      </c>
      <c r="K73" s="107"/>
      <c r="L73" s="107"/>
      <c r="M73" s="187"/>
      <c r="N73" s="169">
        <f t="shared" si="14"/>
        <v>1</v>
      </c>
      <c r="O73" s="144">
        <v>1</v>
      </c>
      <c r="P73" s="145">
        <v>15</v>
      </c>
      <c r="Q73" s="113">
        <v>15</v>
      </c>
      <c r="R73" s="113"/>
      <c r="S73" s="113"/>
      <c r="T73" s="146"/>
      <c r="U73" s="148">
        <f t="shared" si="1"/>
        <v>15</v>
      </c>
      <c r="V73" s="149">
        <f t="shared" si="2"/>
        <v>15</v>
      </c>
      <c r="W73" s="189"/>
      <c r="X73" s="199"/>
      <c r="Y73" s="151"/>
      <c r="Z73" s="190"/>
      <c r="AA73" s="153"/>
      <c r="AB73" s="154">
        <f t="shared" si="3"/>
        <v>0</v>
      </c>
      <c r="AC73" s="149">
        <f t="shared" si="4"/>
        <v>0</v>
      </c>
      <c r="AD73" s="125">
        <v>2</v>
      </c>
      <c r="AE73" s="148">
        <f t="shared" si="5"/>
        <v>2</v>
      </c>
      <c r="AF73" s="156"/>
      <c r="AG73" s="156"/>
      <c r="AH73" s="113">
        <f t="shared" si="6"/>
        <v>17</v>
      </c>
      <c r="AI73" s="157">
        <v>65</v>
      </c>
      <c r="AJ73" s="113">
        <f t="shared" si="7"/>
        <v>82</v>
      </c>
      <c r="AK73" s="113">
        <f t="shared" si="8"/>
        <v>82</v>
      </c>
      <c r="AL73" s="158">
        <f t="shared" si="9"/>
        <v>1.02</v>
      </c>
      <c r="AM73" s="159"/>
      <c r="AN73" s="160">
        <f t="shared" si="16"/>
        <v>1</v>
      </c>
      <c r="AO73" s="160">
        <f t="shared" si="16"/>
        <v>2</v>
      </c>
      <c r="AP73" s="133"/>
      <c r="AQ73" s="134"/>
      <c r="AR73" s="161"/>
      <c r="AS73" s="161"/>
      <c r="AT73" s="161"/>
      <c r="AU73" s="161"/>
      <c r="AV73" s="162"/>
      <c r="AW73" s="137">
        <f t="shared" si="11"/>
        <v>0</v>
      </c>
      <c r="AX73" s="137">
        <f t="shared" si="12"/>
        <v>0</v>
      </c>
    </row>
    <row r="74" ht="46.5" customHeight="1" spans="1:50" s="97" customFormat="1" x14ac:dyDescent="0.25">
      <c r="A74" s="100"/>
      <c r="B74" s="100"/>
      <c r="C74" s="100"/>
      <c r="D74" s="100"/>
      <c r="E74" s="100"/>
      <c r="F74" s="100"/>
      <c r="G74" s="103"/>
      <c r="H74" s="186"/>
      <c r="I74" s="195">
        <v>0.51</v>
      </c>
      <c r="J74" s="107">
        <v>0.49</v>
      </c>
      <c r="K74" s="107"/>
      <c r="L74" s="107"/>
      <c r="M74" s="187"/>
      <c r="N74" s="169">
        <f t="shared" si="14"/>
        <v>1</v>
      </c>
      <c r="O74" s="144">
        <v>1</v>
      </c>
      <c r="P74" s="145">
        <v>15</v>
      </c>
      <c r="Q74" s="113">
        <v>15</v>
      </c>
      <c r="R74" s="113"/>
      <c r="S74" s="113"/>
      <c r="T74" s="146"/>
      <c r="U74" s="148">
        <f t="shared" si="1"/>
        <v>15</v>
      </c>
      <c r="V74" s="149">
        <f t="shared" si="2"/>
        <v>15</v>
      </c>
      <c r="W74" s="189"/>
      <c r="X74" s="199"/>
      <c r="Y74" s="151"/>
      <c r="Z74" s="190"/>
      <c r="AA74" s="153"/>
      <c r="AB74" s="154">
        <f t="shared" si="3"/>
        <v>0</v>
      </c>
      <c r="AC74" s="149">
        <f t="shared" si="4"/>
        <v>0</v>
      </c>
      <c r="AD74" s="125">
        <v>2</v>
      </c>
      <c r="AE74" s="148">
        <f t="shared" si="5"/>
        <v>2</v>
      </c>
      <c r="AF74" s="156"/>
      <c r="AG74" s="156"/>
      <c r="AH74" s="113">
        <f t="shared" si="6"/>
        <v>17</v>
      </c>
      <c r="AI74" s="157">
        <v>65</v>
      </c>
      <c r="AJ74" s="113">
        <f t="shared" si="7"/>
        <v>82</v>
      </c>
      <c r="AK74" s="113">
        <f t="shared" si="8"/>
        <v>82</v>
      </c>
      <c r="AL74" s="158">
        <f t="shared" si="9"/>
        <v>1.02</v>
      </c>
      <c r="AM74" s="159"/>
      <c r="AN74" s="160">
        <f t="shared" si="16"/>
        <v>1</v>
      </c>
      <c r="AO74" s="160">
        <f t="shared" si="16"/>
        <v>2</v>
      </c>
      <c r="AP74" s="133"/>
      <c r="AQ74" s="134"/>
      <c r="AR74" s="161"/>
      <c r="AS74" s="161"/>
      <c r="AT74" s="161"/>
      <c r="AU74" s="161"/>
      <c r="AV74" s="162"/>
      <c r="AW74" s="137">
        <f t="shared" si="11"/>
        <v>0</v>
      </c>
      <c r="AX74" s="137">
        <f t="shared" si="12"/>
        <v>0</v>
      </c>
    </row>
    <row r="75" ht="46.5" customHeight="1" spans="1:50" s="97" customFormat="1" x14ac:dyDescent="0.25">
      <c r="A75" s="100"/>
      <c r="B75" s="100"/>
      <c r="C75" s="100"/>
      <c r="D75" s="100"/>
      <c r="E75" s="100"/>
      <c r="F75" s="100"/>
      <c r="G75" s="103"/>
      <c r="H75" s="186"/>
      <c r="I75" s="195">
        <v>0.51</v>
      </c>
      <c r="J75" s="107">
        <v>0.49</v>
      </c>
      <c r="K75" s="107"/>
      <c r="L75" s="107"/>
      <c r="M75" s="187"/>
      <c r="N75" s="169">
        <f t="shared" si="14"/>
        <v>1</v>
      </c>
      <c r="O75" s="144">
        <v>1</v>
      </c>
      <c r="P75" s="145">
        <v>15</v>
      </c>
      <c r="Q75" s="113">
        <v>15</v>
      </c>
      <c r="R75" s="113"/>
      <c r="S75" s="113"/>
      <c r="T75" s="146"/>
      <c r="U75" s="148">
        <f t="shared" ref="U75:U136" si="17">ROUND(((P75*I75)+(Q75*J75)+(R75*K75)+(S75*L75)+(T75*M75))*O75,2)</f>
        <v>15</v>
      </c>
      <c r="V75" s="149">
        <f t="shared" ref="V75:V136" si="18">IF(U75&gt;=15,15,U75)</f>
        <v>15</v>
      </c>
      <c r="W75" s="189"/>
      <c r="X75" s="199"/>
      <c r="Y75" s="151"/>
      <c r="Z75" s="190"/>
      <c r="AA75" s="153"/>
      <c r="AB75" s="154">
        <f t="shared" ref="AB75:AB136" si="19">ROUND((((W75*I75)+(X75*J75)+(Y75*K75)+(Z75*L75)+(AA75*M75))/$I$2),2)*13</f>
        <v>0</v>
      </c>
      <c r="AC75" s="149">
        <f t="shared" ref="AC75:AC136" si="20">IF(AB75&gt;=13,13,AB75)</f>
        <v>0</v>
      </c>
      <c r="AD75" s="125">
        <v>2</v>
      </c>
      <c r="AE75" s="148">
        <f t="shared" ref="AE75:AE136" si="21">IF((AC75+AD75)&gt;=15,15,(AC75+AD75))</f>
        <v>2</v>
      </c>
      <c r="AF75" s="156"/>
      <c r="AG75" s="156"/>
      <c r="AH75" s="113">
        <f t="shared" ref="AH75:AH136" si="22">IF((V75+AE75+AF75)&gt;=30,30,(V75+AE75+AF75))</f>
        <v>17</v>
      </c>
      <c r="AI75" s="157">
        <v>65</v>
      </c>
      <c r="AJ75" s="113">
        <f t="shared" ref="AJ75:AJ136" si="23">V75+AE75+AF75+AI75+AG75</f>
        <v>82</v>
      </c>
      <c r="AK75" s="113">
        <f t="shared" ref="AK75:AK136" si="24">IF(AH75+AI75+AG75&gt;=95,95,AH75+AI75+AG75)</f>
        <v>82</v>
      </c>
      <c r="AL75" s="158">
        <f t="shared" ref="AL75:AL136" si="25">-((50-((176+(45+(50-AH75)))))/200)</f>
        <v>1.02</v>
      </c>
      <c r="AM75" s="159"/>
      <c r="AN75" s="160">
        <f t="shared" si="16"/>
        <v>1</v>
      </c>
      <c r="AO75" s="160">
        <f t="shared" si="16"/>
        <v>2</v>
      </c>
      <c r="AP75" s="133"/>
      <c r="AQ75" s="134"/>
      <c r="AR75" s="161"/>
      <c r="AS75" s="161"/>
      <c r="AT75" s="161"/>
      <c r="AU75" s="161"/>
      <c r="AV75" s="162"/>
      <c r="AW75" s="137">
        <f t="shared" ref="AW75:AW136" si="26">AR75+AS75+AT75+AU75+AV75</f>
        <v>0</v>
      </c>
      <c r="AX75" s="137">
        <f t="shared" ref="AX75:AX136" si="27">(AR75*I75)+(AS75*J75)+(AT75*K75)+(AU75*L75)+(AV75*M75)</f>
        <v>0</v>
      </c>
    </row>
    <row r="76" ht="46.5" customHeight="1" spans="1:50" s="97" customFormat="1" x14ac:dyDescent="0.25">
      <c r="A76" s="100"/>
      <c r="B76" s="100"/>
      <c r="C76" s="100"/>
      <c r="D76" s="100"/>
      <c r="E76" s="100"/>
      <c r="F76" s="100"/>
      <c r="G76" s="103"/>
      <c r="H76" s="186"/>
      <c r="I76" s="195">
        <v>0.51</v>
      </c>
      <c r="J76" s="107">
        <v>0.49</v>
      </c>
      <c r="K76" s="107"/>
      <c r="L76" s="107"/>
      <c r="M76" s="187"/>
      <c r="N76" s="169">
        <f t="shared" si="14"/>
        <v>1</v>
      </c>
      <c r="O76" s="144">
        <v>1</v>
      </c>
      <c r="P76" s="145">
        <v>15</v>
      </c>
      <c r="Q76" s="113">
        <v>15</v>
      </c>
      <c r="R76" s="113"/>
      <c r="S76" s="113"/>
      <c r="T76" s="146"/>
      <c r="U76" s="148">
        <f t="shared" si="17"/>
        <v>15</v>
      </c>
      <c r="V76" s="149">
        <f t="shared" si="18"/>
        <v>15</v>
      </c>
      <c r="W76" s="189"/>
      <c r="X76" s="199"/>
      <c r="Y76" s="151"/>
      <c r="Z76" s="190"/>
      <c r="AA76" s="153"/>
      <c r="AB76" s="154">
        <f t="shared" si="19"/>
        <v>0</v>
      </c>
      <c r="AC76" s="149">
        <f t="shared" si="20"/>
        <v>0</v>
      </c>
      <c r="AD76" s="125">
        <v>2</v>
      </c>
      <c r="AE76" s="148">
        <f t="shared" si="21"/>
        <v>2</v>
      </c>
      <c r="AF76" s="156"/>
      <c r="AG76" s="156"/>
      <c r="AH76" s="113">
        <f t="shared" si="22"/>
        <v>17</v>
      </c>
      <c r="AI76" s="157">
        <v>65</v>
      </c>
      <c r="AJ76" s="113">
        <f t="shared" si="23"/>
        <v>82</v>
      </c>
      <c r="AK76" s="113">
        <f t="shared" si="24"/>
        <v>82</v>
      </c>
      <c r="AL76" s="158">
        <f t="shared" si="25"/>
        <v>1.02</v>
      </c>
      <c r="AM76" s="159"/>
      <c r="AN76" s="160">
        <f t="shared" si="16"/>
        <v>1</v>
      </c>
      <c r="AO76" s="160">
        <f t="shared" si="16"/>
        <v>2</v>
      </c>
      <c r="AP76" s="133"/>
      <c r="AQ76" s="134"/>
      <c r="AR76" s="161"/>
      <c r="AS76" s="161"/>
      <c r="AT76" s="161"/>
      <c r="AU76" s="161"/>
      <c r="AV76" s="162"/>
      <c r="AW76" s="137">
        <f t="shared" si="26"/>
        <v>0</v>
      </c>
      <c r="AX76" s="137">
        <f t="shared" si="27"/>
        <v>0</v>
      </c>
    </row>
    <row r="77" ht="46.5" customHeight="1" spans="1:50" s="97" customFormat="1" x14ac:dyDescent="0.25">
      <c r="A77" s="100"/>
      <c r="B77" s="100"/>
      <c r="C77" s="100"/>
      <c r="D77" s="100"/>
      <c r="E77" s="100"/>
      <c r="F77" s="100"/>
      <c r="G77" s="103"/>
      <c r="H77" s="186"/>
      <c r="I77" s="195">
        <v>0.51</v>
      </c>
      <c r="J77" s="107">
        <v>0.49</v>
      </c>
      <c r="K77" s="107"/>
      <c r="L77" s="107"/>
      <c r="M77" s="187"/>
      <c r="N77" s="169">
        <f t="shared" si="14"/>
        <v>1</v>
      </c>
      <c r="O77" s="144">
        <v>1</v>
      </c>
      <c r="P77" s="145">
        <v>15</v>
      </c>
      <c r="Q77" s="113">
        <v>15</v>
      </c>
      <c r="R77" s="113"/>
      <c r="S77" s="113"/>
      <c r="T77" s="146"/>
      <c r="U77" s="148">
        <f t="shared" si="17"/>
        <v>15</v>
      </c>
      <c r="V77" s="149">
        <f t="shared" si="18"/>
        <v>15</v>
      </c>
      <c r="W77" s="189"/>
      <c r="X77" s="199"/>
      <c r="Y77" s="151"/>
      <c r="Z77" s="190"/>
      <c r="AA77" s="153"/>
      <c r="AB77" s="154">
        <f t="shared" si="19"/>
        <v>0</v>
      </c>
      <c r="AC77" s="149">
        <f t="shared" si="20"/>
        <v>0</v>
      </c>
      <c r="AD77" s="125">
        <v>2</v>
      </c>
      <c r="AE77" s="148">
        <f t="shared" si="21"/>
        <v>2</v>
      </c>
      <c r="AF77" s="156"/>
      <c r="AG77" s="156"/>
      <c r="AH77" s="113">
        <f t="shared" si="22"/>
        <v>17</v>
      </c>
      <c r="AI77" s="157">
        <v>65</v>
      </c>
      <c r="AJ77" s="113">
        <f t="shared" si="23"/>
        <v>82</v>
      </c>
      <c r="AK77" s="113">
        <f t="shared" si="24"/>
        <v>82</v>
      </c>
      <c r="AL77" s="158">
        <f t="shared" si="25"/>
        <v>1.02</v>
      </c>
      <c r="AM77" s="159"/>
      <c r="AN77" s="160">
        <f t="shared" si="16"/>
        <v>1</v>
      </c>
      <c r="AO77" s="160">
        <f t="shared" si="16"/>
        <v>2</v>
      </c>
      <c r="AP77" s="133"/>
      <c r="AQ77" s="134"/>
      <c r="AR77" s="161"/>
      <c r="AS77" s="161"/>
      <c r="AT77" s="161"/>
      <c r="AU77" s="161"/>
      <c r="AV77" s="162"/>
      <c r="AW77" s="137">
        <f t="shared" si="26"/>
        <v>0</v>
      </c>
      <c r="AX77" s="137">
        <f t="shared" si="27"/>
        <v>0</v>
      </c>
    </row>
    <row r="78" ht="46.5" customHeight="1" spans="1:50" s="97" customFormat="1" x14ac:dyDescent="0.25">
      <c r="A78" s="100"/>
      <c r="B78" s="100"/>
      <c r="C78" s="100"/>
      <c r="D78" s="100"/>
      <c r="E78" s="100"/>
      <c r="F78" s="100"/>
      <c r="G78" s="103"/>
      <c r="H78" s="186"/>
      <c r="I78" s="195">
        <v>0.51</v>
      </c>
      <c r="J78" s="107">
        <v>0.49</v>
      </c>
      <c r="K78" s="107"/>
      <c r="L78" s="107"/>
      <c r="M78" s="187"/>
      <c r="N78" s="169">
        <f t="shared" si="14"/>
        <v>1</v>
      </c>
      <c r="O78" s="144">
        <v>1</v>
      </c>
      <c r="P78" s="145">
        <v>15</v>
      </c>
      <c r="Q78" s="113">
        <v>15</v>
      </c>
      <c r="R78" s="113"/>
      <c r="S78" s="113"/>
      <c r="T78" s="146"/>
      <c r="U78" s="148">
        <f t="shared" si="17"/>
        <v>15</v>
      </c>
      <c r="V78" s="149">
        <f t="shared" si="18"/>
        <v>15</v>
      </c>
      <c r="W78" s="189"/>
      <c r="X78" s="199"/>
      <c r="Y78" s="151"/>
      <c r="Z78" s="190"/>
      <c r="AA78" s="153"/>
      <c r="AB78" s="154">
        <f t="shared" si="19"/>
        <v>0</v>
      </c>
      <c r="AC78" s="149">
        <f t="shared" si="20"/>
        <v>0</v>
      </c>
      <c r="AD78" s="125">
        <v>2</v>
      </c>
      <c r="AE78" s="148">
        <f t="shared" si="21"/>
        <v>2</v>
      </c>
      <c r="AF78" s="156"/>
      <c r="AG78" s="156"/>
      <c r="AH78" s="113">
        <f t="shared" si="22"/>
        <v>17</v>
      </c>
      <c r="AI78" s="157">
        <v>65</v>
      </c>
      <c r="AJ78" s="113">
        <f t="shared" si="23"/>
        <v>82</v>
      </c>
      <c r="AK78" s="113">
        <f t="shared" si="24"/>
        <v>82</v>
      </c>
      <c r="AL78" s="158">
        <f t="shared" si="25"/>
        <v>1.02</v>
      </c>
      <c r="AM78" s="159"/>
      <c r="AN78" s="160">
        <f t="shared" si="16"/>
        <v>1</v>
      </c>
      <c r="AO78" s="160">
        <f t="shared" si="16"/>
        <v>2</v>
      </c>
      <c r="AP78" s="133"/>
      <c r="AQ78" s="134"/>
      <c r="AR78" s="161"/>
      <c r="AS78" s="161"/>
      <c r="AT78" s="161"/>
      <c r="AU78" s="161"/>
      <c r="AV78" s="162"/>
      <c r="AW78" s="137">
        <f t="shared" si="26"/>
        <v>0</v>
      </c>
      <c r="AX78" s="137">
        <f t="shared" si="27"/>
        <v>0</v>
      </c>
    </row>
    <row r="79" ht="46.5" customHeight="1" spans="1:50" s="97" customFormat="1" x14ac:dyDescent="0.25">
      <c r="A79" s="100"/>
      <c r="B79" s="100"/>
      <c r="C79" s="100"/>
      <c r="D79" s="100"/>
      <c r="E79" s="100"/>
      <c r="F79" s="100"/>
      <c r="G79" s="103"/>
      <c r="H79" s="186"/>
      <c r="I79" s="195">
        <v>0.51</v>
      </c>
      <c r="J79" s="107">
        <v>0.49</v>
      </c>
      <c r="K79" s="107"/>
      <c r="L79" s="107"/>
      <c r="M79" s="187"/>
      <c r="N79" s="169">
        <f t="shared" si="14"/>
        <v>1</v>
      </c>
      <c r="O79" s="144">
        <v>1</v>
      </c>
      <c r="P79" s="145">
        <v>15</v>
      </c>
      <c r="Q79" s="113">
        <v>15</v>
      </c>
      <c r="R79" s="113"/>
      <c r="S79" s="113"/>
      <c r="T79" s="146"/>
      <c r="U79" s="148">
        <f t="shared" si="17"/>
        <v>15</v>
      </c>
      <c r="V79" s="149">
        <f t="shared" si="18"/>
        <v>15</v>
      </c>
      <c r="W79" s="189"/>
      <c r="X79" s="199"/>
      <c r="Y79" s="151"/>
      <c r="Z79" s="190"/>
      <c r="AA79" s="153"/>
      <c r="AB79" s="154">
        <f t="shared" si="19"/>
        <v>0</v>
      </c>
      <c r="AC79" s="149">
        <f t="shared" si="20"/>
        <v>0</v>
      </c>
      <c r="AD79" s="125">
        <v>2</v>
      </c>
      <c r="AE79" s="148">
        <f t="shared" si="21"/>
        <v>2</v>
      </c>
      <c r="AF79" s="156"/>
      <c r="AG79" s="156"/>
      <c r="AH79" s="113">
        <f t="shared" si="22"/>
        <v>17</v>
      </c>
      <c r="AI79" s="157">
        <v>65</v>
      </c>
      <c r="AJ79" s="113">
        <f t="shared" si="23"/>
        <v>82</v>
      </c>
      <c r="AK79" s="113">
        <f t="shared" si="24"/>
        <v>82</v>
      </c>
      <c r="AL79" s="158">
        <f t="shared" si="25"/>
        <v>1.02</v>
      </c>
      <c r="AM79" s="159"/>
      <c r="AN79" s="160">
        <f t="shared" si="16"/>
        <v>1</v>
      </c>
      <c r="AO79" s="160">
        <f t="shared" si="16"/>
        <v>2</v>
      </c>
      <c r="AP79" s="133"/>
      <c r="AQ79" s="134"/>
      <c r="AR79" s="161"/>
      <c r="AS79" s="161"/>
      <c r="AT79" s="161"/>
      <c r="AU79" s="161"/>
      <c r="AV79" s="162"/>
      <c r="AW79" s="137">
        <f t="shared" si="26"/>
        <v>0</v>
      </c>
      <c r="AX79" s="137">
        <f t="shared" si="27"/>
        <v>0</v>
      </c>
    </row>
    <row r="80" ht="46.5" customHeight="1" spans="1:50" s="97" customFormat="1" x14ac:dyDescent="0.25">
      <c r="A80" s="100"/>
      <c r="B80" s="100"/>
      <c r="C80" s="100"/>
      <c r="D80" s="100"/>
      <c r="E80" s="100"/>
      <c r="F80" s="100"/>
      <c r="G80" s="103"/>
      <c r="H80" s="186"/>
      <c r="I80" s="195">
        <v>0.51</v>
      </c>
      <c r="J80" s="107">
        <v>0.49</v>
      </c>
      <c r="K80" s="107"/>
      <c r="L80" s="107"/>
      <c r="M80" s="187"/>
      <c r="N80" s="169">
        <f t="shared" si="14"/>
        <v>1</v>
      </c>
      <c r="O80" s="144">
        <v>1</v>
      </c>
      <c r="P80" s="145">
        <v>15</v>
      </c>
      <c r="Q80" s="113">
        <v>15</v>
      </c>
      <c r="R80" s="113"/>
      <c r="S80" s="113"/>
      <c r="T80" s="146"/>
      <c r="U80" s="148">
        <f t="shared" si="17"/>
        <v>15</v>
      </c>
      <c r="V80" s="149">
        <f t="shared" si="18"/>
        <v>15</v>
      </c>
      <c r="W80" s="189"/>
      <c r="X80" s="199"/>
      <c r="Y80" s="151"/>
      <c r="Z80" s="190"/>
      <c r="AA80" s="153"/>
      <c r="AB80" s="154">
        <f t="shared" si="19"/>
        <v>0</v>
      </c>
      <c r="AC80" s="149">
        <f t="shared" si="20"/>
        <v>0</v>
      </c>
      <c r="AD80" s="125">
        <v>2</v>
      </c>
      <c r="AE80" s="148">
        <f t="shared" si="21"/>
        <v>2</v>
      </c>
      <c r="AF80" s="156"/>
      <c r="AG80" s="156"/>
      <c r="AH80" s="113">
        <f t="shared" si="22"/>
        <v>17</v>
      </c>
      <c r="AI80" s="157">
        <v>65</v>
      </c>
      <c r="AJ80" s="113">
        <f t="shared" si="23"/>
        <v>82</v>
      </c>
      <c r="AK80" s="113">
        <f t="shared" si="24"/>
        <v>82</v>
      </c>
      <c r="AL80" s="158">
        <f t="shared" si="25"/>
        <v>1.02</v>
      </c>
      <c r="AM80" s="159"/>
      <c r="AN80" s="160">
        <f t="shared" si="16"/>
        <v>1</v>
      </c>
      <c r="AO80" s="160">
        <f t="shared" si="16"/>
        <v>2</v>
      </c>
      <c r="AP80" s="133"/>
      <c r="AQ80" s="134"/>
      <c r="AR80" s="161"/>
      <c r="AS80" s="161"/>
      <c r="AT80" s="161"/>
      <c r="AU80" s="161"/>
      <c r="AV80" s="162"/>
      <c r="AW80" s="137">
        <f t="shared" si="26"/>
        <v>0</v>
      </c>
      <c r="AX80" s="137">
        <f t="shared" si="27"/>
        <v>0</v>
      </c>
    </row>
    <row r="81" ht="46.5" customHeight="1" spans="1:50" s="97" customFormat="1" x14ac:dyDescent="0.25">
      <c r="A81" s="100"/>
      <c r="B81" s="100"/>
      <c r="C81" s="100"/>
      <c r="D81" s="100"/>
      <c r="E81" s="100"/>
      <c r="F81" s="100"/>
      <c r="G81" s="103"/>
      <c r="H81" s="186"/>
      <c r="I81" s="195">
        <v>0.51</v>
      </c>
      <c r="J81" s="107">
        <v>0.49</v>
      </c>
      <c r="K81" s="107"/>
      <c r="L81" s="107"/>
      <c r="M81" s="187"/>
      <c r="N81" s="169">
        <f t="shared" si="14"/>
        <v>1</v>
      </c>
      <c r="O81" s="144">
        <v>1</v>
      </c>
      <c r="P81" s="145">
        <v>15</v>
      </c>
      <c r="Q81" s="113">
        <v>15</v>
      </c>
      <c r="R81" s="113"/>
      <c r="S81" s="113"/>
      <c r="T81" s="146"/>
      <c r="U81" s="148">
        <f t="shared" si="17"/>
        <v>15</v>
      </c>
      <c r="V81" s="149">
        <f t="shared" si="18"/>
        <v>15</v>
      </c>
      <c r="W81" s="189"/>
      <c r="X81" s="199"/>
      <c r="Y81" s="151"/>
      <c r="Z81" s="190"/>
      <c r="AA81" s="153"/>
      <c r="AB81" s="154">
        <f t="shared" si="19"/>
        <v>0</v>
      </c>
      <c r="AC81" s="149">
        <f t="shared" si="20"/>
        <v>0</v>
      </c>
      <c r="AD81" s="125">
        <v>2</v>
      </c>
      <c r="AE81" s="148">
        <f t="shared" si="21"/>
        <v>2</v>
      </c>
      <c r="AF81" s="156"/>
      <c r="AG81" s="156"/>
      <c r="AH81" s="113">
        <f t="shared" si="22"/>
        <v>17</v>
      </c>
      <c r="AI81" s="157">
        <v>65</v>
      </c>
      <c r="AJ81" s="113">
        <f t="shared" si="23"/>
        <v>82</v>
      </c>
      <c r="AK81" s="113">
        <f t="shared" si="24"/>
        <v>82</v>
      </c>
      <c r="AL81" s="158">
        <f t="shared" si="25"/>
        <v>1.02</v>
      </c>
      <c r="AM81" s="159"/>
      <c r="AN81" s="160">
        <f t="shared" si="16"/>
        <v>1</v>
      </c>
      <c r="AO81" s="160">
        <f t="shared" si="16"/>
        <v>2</v>
      </c>
      <c r="AP81" s="133"/>
      <c r="AQ81" s="134"/>
      <c r="AR81" s="161"/>
      <c r="AS81" s="161"/>
      <c r="AT81" s="161"/>
      <c r="AU81" s="161"/>
      <c r="AV81" s="162"/>
      <c r="AW81" s="137">
        <f t="shared" si="26"/>
        <v>0</v>
      </c>
      <c r="AX81" s="137">
        <f t="shared" si="27"/>
        <v>0</v>
      </c>
    </row>
    <row r="82" ht="46.5" customHeight="1" spans="1:50" s="97" customFormat="1" x14ac:dyDescent="0.25">
      <c r="A82" s="100"/>
      <c r="B82" s="100"/>
      <c r="C82" s="100"/>
      <c r="D82" s="100"/>
      <c r="E82" s="100"/>
      <c r="F82" s="100"/>
      <c r="G82" s="103"/>
      <c r="H82" s="186"/>
      <c r="I82" s="195">
        <v>0.51</v>
      </c>
      <c r="J82" s="107">
        <v>0.49</v>
      </c>
      <c r="K82" s="107"/>
      <c r="L82" s="107"/>
      <c r="M82" s="187"/>
      <c r="N82" s="169">
        <f t="shared" si="14"/>
        <v>1</v>
      </c>
      <c r="O82" s="144">
        <v>1</v>
      </c>
      <c r="P82" s="145">
        <v>15</v>
      </c>
      <c r="Q82" s="113">
        <v>15</v>
      </c>
      <c r="R82" s="113"/>
      <c r="S82" s="113"/>
      <c r="T82" s="146"/>
      <c r="U82" s="148">
        <f t="shared" si="17"/>
        <v>15</v>
      </c>
      <c r="V82" s="149">
        <f t="shared" si="18"/>
        <v>15</v>
      </c>
      <c r="W82" s="189"/>
      <c r="X82" s="199"/>
      <c r="Y82" s="151"/>
      <c r="Z82" s="190"/>
      <c r="AA82" s="153"/>
      <c r="AB82" s="154">
        <f t="shared" si="19"/>
        <v>0</v>
      </c>
      <c r="AC82" s="149">
        <f t="shared" si="20"/>
        <v>0</v>
      </c>
      <c r="AD82" s="125">
        <v>2</v>
      </c>
      <c r="AE82" s="148">
        <f t="shared" si="21"/>
        <v>2</v>
      </c>
      <c r="AF82" s="156"/>
      <c r="AG82" s="156"/>
      <c r="AH82" s="113">
        <f t="shared" si="22"/>
        <v>17</v>
      </c>
      <c r="AI82" s="157">
        <v>65</v>
      </c>
      <c r="AJ82" s="113">
        <f t="shared" si="23"/>
        <v>82</v>
      </c>
      <c r="AK82" s="113">
        <f t="shared" si="24"/>
        <v>82</v>
      </c>
      <c r="AL82" s="158">
        <f t="shared" si="25"/>
        <v>1.02</v>
      </c>
      <c r="AM82" s="159"/>
      <c r="AN82" s="160">
        <f t="shared" si="16"/>
        <v>1</v>
      </c>
      <c r="AO82" s="160">
        <f t="shared" si="16"/>
        <v>2</v>
      </c>
      <c r="AP82" s="133"/>
      <c r="AQ82" s="134"/>
      <c r="AR82" s="161"/>
      <c r="AS82" s="161"/>
      <c r="AT82" s="161"/>
      <c r="AU82" s="161"/>
      <c r="AV82" s="162"/>
      <c r="AW82" s="137">
        <f t="shared" si="26"/>
        <v>0</v>
      </c>
      <c r="AX82" s="137">
        <f t="shared" si="27"/>
        <v>0</v>
      </c>
    </row>
    <row r="83" ht="46.5" customHeight="1" spans="1:50" s="97" customFormat="1" x14ac:dyDescent="0.25">
      <c r="A83" s="100"/>
      <c r="B83" s="100"/>
      <c r="C83" s="100"/>
      <c r="D83" s="100"/>
      <c r="E83" s="100"/>
      <c r="F83" s="100"/>
      <c r="G83" s="103"/>
      <c r="H83" s="186"/>
      <c r="I83" s="195">
        <v>0.51</v>
      </c>
      <c r="J83" s="107">
        <v>0.49</v>
      </c>
      <c r="K83" s="107"/>
      <c r="L83" s="107"/>
      <c r="M83" s="187"/>
      <c r="N83" s="169">
        <f t="shared" si="14"/>
        <v>1</v>
      </c>
      <c r="O83" s="144">
        <v>1</v>
      </c>
      <c r="P83" s="145">
        <v>15</v>
      </c>
      <c r="Q83" s="113">
        <v>15</v>
      </c>
      <c r="R83" s="113"/>
      <c r="S83" s="113"/>
      <c r="T83" s="146"/>
      <c r="U83" s="148">
        <f t="shared" si="17"/>
        <v>15</v>
      </c>
      <c r="V83" s="149">
        <f t="shared" si="18"/>
        <v>15</v>
      </c>
      <c r="W83" s="189"/>
      <c r="X83" s="199"/>
      <c r="Y83" s="151"/>
      <c r="Z83" s="190"/>
      <c r="AA83" s="153"/>
      <c r="AB83" s="154">
        <f t="shared" si="19"/>
        <v>0</v>
      </c>
      <c r="AC83" s="149">
        <f t="shared" si="20"/>
        <v>0</v>
      </c>
      <c r="AD83" s="125">
        <v>2</v>
      </c>
      <c r="AE83" s="148">
        <f t="shared" si="21"/>
        <v>2</v>
      </c>
      <c r="AF83" s="156"/>
      <c r="AG83" s="156"/>
      <c r="AH83" s="113">
        <f t="shared" si="22"/>
        <v>17</v>
      </c>
      <c r="AI83" s="157">
        <v>65</v>
      </c>
      <c r="AJ83" s="113">
        <f t="shared" si="23"/>
        <v>82</v>
      </c>
      <c r="AK83" s="113">
        <f t="shared" si="24"/>
        <v>82</v>
      </c>
      <c r="AL83" s="158">
        <f t="shared" si="25"/>
        <v>1.02</v>
      </c>
      <c r="AM83" s="159"/>
      <c r="AN83" s="160">
        <f t="shared" si="16"/>
        <v>1</v>
      </c>
      <c r="AO83" s="160">
        <f t="shared" si="16"/>
        <v>2</v>
      </c>
      <c r="AP83" s="133"/>
      <c r="AQ83" s="134"/>
      <c r="AR83" s="161"/>
      <c r="AS83" s="161"/>
      <c r="AT83" s="161"/>
      <c r="AU83" s="161"/>
      <c r="AV83" s="162"/>
      <c r="AW83" s="137">
        <f t="shared" si="26"/>
        <v>0</v>
      </c>
      <c r="AX83" s="137">
        <f t="shared" si="27"/>
        <v>0</v>
      </c>
    </row>
    <row r="84" ht="46.5" customHeight="1" spans="1:50" s="97" customFormat="1" x14ac:dyDescent="0.25">
      <c r="A84" s="100"/>
      <c r="B84" s="100"/>
      <c r="C84" s="100"/>
      <c r="D84" s="100"/>
      <c r="E84" s="100"/>
      <c r="F84" s="100"/>
      <c r="G84" s="103"/>
      <c r="H84" s="186"/>
      <c r="I84" s="195">
        <v>0.51</v>
      </c>
      <c r="J84" s="107">
        <v>0.49</v>
      </c>
      <c r="K84" s="107"/>
      <c r="L84" s="107"/>
      <c r="M84" s="187"/>
      <c r="N84" s="169">
        <f t="shared" si="14"/>
        <v>1</v>
      </c>
      <c r="O84" s="144">
        <v>1</v>
      </c>
      <c r="P84" s="145">
        <v>15</v>
      </c>
      <c r="Q84" s="113">
        <v>15</v>
      </c>
      <c r="R84" s="113"/>
      <c r="S84" s="113"/>
      <c r="T84" s="146"/>
      <c r="U84" s="148">
        <f t="shared" si="17"/>
        <v>15</v>
      </c>
      <c r="V84" s="149">
        <f t="shared" si="18"/>
        <v>15</v>
      </c>
      <c r="W84" s="189"/>
      <c r="X84" s="199"/>
      <c r="Y84" s="151"/>
      <c r="Z84" s="190"/>
      <c r="AA84" s="153"/>
      <c r="AB84" s="154">
        <f t="shared" si="19"/>
        <v>0</v>
      </c>
      <c r="AC84" s="149">
        <f t="shared" si="20"/>
        <v>0</v>
      </c>
      <c r="AD84" s="125">
        <v>2</v>
      </c>
      <c r="AE84" s="148">
        <f t="shared" si="21"/>
        <v>2</v>
      </c>
      <c r="AF84" s="156"/>
      <c r="AG84" s="156"/>
      <c r="AH84" s="113">
        <f t="shared" si="22"/>
        <v>17</v>
      </c>
      <c r="AI84" s="157">
        <v>65</v>
      </c>
      <c r="AJ84" s="113">
        <f t="shared" si="23"/>
        <v>82</v>
      </c>
      <c r="AK84" s="113">
        <f t="shared" si="24"/>
        <v>82</v>
      </c>
      <c r="AL84" s="158">
        <f t="shared" si="25"/>
        <v>1.02</v>
      </c>
      <c r="AM84" s="159"/>
      <c r="AN84" s="160">
        <f t="shared" si="16"/>
        <v>1</v>
      </c>
      <c r="AO84" s="160">
        <f t="shared" si="16"/>
        <v>2</v>
      </c>
      <c r="AP84" s="133"/>
      <c r="AQ84" s="134"/>
      <c r="AR84" s="161"/>
      <c r="AS84" s="161"/>
      <c r="AT84" s="161"/>
      <c r="AU84" s="161"/>
      <c r="AV84" s="162"/>
      <c r="AW84" s="137">
        <f t="shared" si="26"/>
        <v>0</v>
      </c>
      <c r="AX84" s="137">
        <f t="shared" si="27"/>
        <v>0</v>
      </c>
    </row>
    <row r="85" ht="46.5" customHeight="1" spans="1:50" s="97" customFormat="1" x14ac:dyDescent="0.25">
      <c r="A85" s="100"/>
      <c r="B85" s="100"/>
      <c r="C85" s="100"/>
      <c r="D85" s="100"/>
      <c r="E85" s="100"/>
      <c r="F85" s="100"/>
      <c r="G85" s="103"/>
      <c r="H85" s="186"/>
      <c r="I85" s="195">
        <v>0.51</v>
      </c>
      <c r="J85" s="107">
        <v>0.49</v>
      </c>
      <c r="K85" s="107"/>
      <c r="L85" s="107"/>
      <c r="M85" s="187"/>
      <c r="N85" s="169">
        <f t="shared" si="14"/>
        <v>1</v>
      </c>
      <c r="O85" s="144">
        <v>1</v>
      </c>
      <c r="P85" s="145">
        <v>15</v>
      </c>
      <c r="Q85" s="113">
        <v>15</v>
      </c>
      <c r="R85" s="113"/>
      <c r="S85" s="113"/>
      <c r="T85" s="146"/>
      <c r="U85" s="148">
        <f t="shared" si="17"/>
        <v>15</v>
      </c>
      <c r="V85" s="149">
        <f t="shared" si="18"/>
        <v>15</v>
      </c>
      <c r="W85" s="189"/>
      <c r="X85" s="199"/>
      <c r="Y85" s="151"/>
      <c r="Z85" s="190"/>
      <c r="AA85" s="153"/>
      <c r="AB85" s="154">
        <f t="shared" si="19"/>
        <v>0</v>
      </c>
      <c r="AC85" s="149">
        <f t="shared" si="20"/>
        <v>0</v>
      </c>
      <c r="AD85" s="125">
        <v>2</v>
      </c>
      <c r="AE85" s="148">
        <f t="shared" si="21"/>
        <v>2</v>
      </c>
      <c r="AF85" s="156"/>
      <c r="AG85" s="156"/>
      <c r="AH85" s="113">
        <f t="shared" si="22"/>
        <v>17</v>
      </c>
      <c r="AI85" s="157">
        <v>65</v>
      </c>
      <c r="AJ85" s="113">
        <f t="shared" si="23"/>
        <v>82</v>
      </c>
      <c r="AK85" s="113">
        <f t="shared" si="24"/>
        <v>82</v>
      </c>
      <c r="AL85" s="158">
        <f t="shared" si="25"/>
        <v>1.02</v>
      </c>
      <c r="AM85" s="159"/>
      <c r="AN85" s="160">
        <f t="shared" si="16"/>
        <v>1</v>
      </c>
      <c r="AO85" s="160">
        <f t="shared" si="16"/>
        <v>2</v>
      </c>
      <c r="AP85" s="133"/>
      <c r="AQ85" s="134"/>
      <c r="AR85" s="161"/>
      <c r="AS85" s="161"/>
      <c r="AT85" s="161"/>
      <c r="AU85" s="161"/>
      <c r="AV85" s="162"/>
      <c r="AW85" s="137">
        <f t="shared" si="26"/>
        <v>0</v>
      </c>
      <c r="AX85" s="137">
        <f t="shared" si="27"/>
        <v>0</v>
      </c>
    </row>
    <row r="86" ht="46.5" customHeight="1" spans="1:50" s="97" customFormat="1" x14ac:dyDescent="0.25">
      <c r="A86" s="100"/>
      <c r="B86" s="100"/>
      <c r="C86" s="100"/>
      <c r="D86" s="100"/>
      <c r="E86" s="100"/>
      <c r="F86" s="100"/>
      <c r="G86" s="103"/>
      <c r="H86" s="186"/>
      <c r="I86" s="195">
        <v>0.51</v>
      </c>
      <c r="J86" s="107">
        <v>0.49</v>
      </c>
      <c r="K86" s="107"/>
      <c r="L86" s="107"/>
      <c r="M86" s="187"/>
      <c r="N86" s="169">
        <f t="shared" si="14"/>
        <v>1</v>
      </c>
      <c r="O86" s="144">
        <v>1</v>
      </c>
      <c r="P86" s="145">
        <v>15</v>
      </c>
      <c r="Q86" s="113">
        <v>15</v>
      </c>
      <c r="R86" s="113"/>
      <c r="S86" s="113"/>
      <c r="T86" s="146"/>
      <c r="U86" s="148">
        <f t="shared" si="17"/>
        <v>15</v>
      </c>
      <c r="V86" s="149">
        <f t="shared" si="18"/>
        <v>15</v>
      </c>
      <c r="W86" s="189"/>
      <c r="X86" s="199"/>
      <c r="Y86" s="151"/>
      <c r="Z86" s="190"/>
      <c r="AA86" s="153"/>
      <c r="AB86" s="154">
        <f t="shared" si="19"/>
        <v>0</v>
      </c>
      <c r="AC86" s="149">
        <f t="shared" si="20"/>
        <v>0</v>
      </c>
      <c r="AD86" s="125">
        <v>2</v>
      </c>
      <c r="AE86" s="148">
        <f t="shared" si="21"/>
        <v>2</v>
      </c>
      <c r="AF86" s="156"/>
      <c r="AG86" s="156"/>
      <c r="AH86" s="113">
        <f t="shared" si="22"/>
        <v>17</v>
      </c>
      <c r="AI86" s="157">
        <v>65</v>
      </c>
      <c r="AJ86" s="113">
        <f t="shared" si="23"/>
        <v>82</v>
      </c>
      <c r="AK86" s="113">
        <f t="shared" si="24"/>
        <v>82</v>
      </c>
      <c r="AL86" s="158">
        <f t="shared" si="25"/>
        <v>1.02</v>
      </c>
      <c r="AM86" s="159"/>
      <c r="AN86" s="160">
        <f t="shared" si="16"/>
        <v>1</v>
      </c>
      <c r="AO86" s="160">
        <f t="shared" si="16"/>
        <v>2</v>
      </c>
      <c r="AP86" s="133"/>
      <c r="AQ86" s="134"/>
      <c r="AR86" s="161"/>
      <c r="AS86" s="161"/>
      <c r="AT86" s="161"/>
      <c r="AU86" s="161"/>
      <c r="AV86" s="162"/>
      <c r="AW86" s="137">
        <f t="shared" si="26"/>
        <v>0</v>
      </c>
      <c r="AX86" s="137">
        <f t="shared" si="27"/>
        <v>0</v>
      </c>
    </row>
    <row r="87" ht="46.5" customHeight="1" spans="1:50" s="97" customFormat="1" x14ac:dyDescent="0.25">
      <c r="A87" s="100"/>
      <c r="B87" s="100"/>
      <c r="C87" s="100"/>
      <c r="D87" s="100"/>
      <c r="E87" s="100"/>
      <c r="F87" s="100"/>
      <c r="G87" s="103"/>
      <c r="H87" s="186"/>
      <c r="I87" s="195">
        <v>0.51</v>
      </c>
      <c r="J87" s="107">
        <v>0.49</v>
      </c>
      <c r="K87" s="107"/>
      <c r="L87" s="107"/>
      <c r="M87" s="187"/>
      <c r="N87" s="169">
        <f t="shared" si="14"/>
        <v>1</v>
      </c>
      <c r="O87" s="144">
        <v>1</v>
      </c>
      <c r="P87" s="145">
        <v>15</v>
      </c>
      <c r="Q87" s="113">
        <v>15</v>
      </c>
      <c r="R87" s="113"/>
      <c r="S87" s="113"/>
      <c r="T87" s="146"/>
      <c r="U87" s="148">
        <f t="shared" si="17"/>
        <v>15</v>
      </c>
      <c r="V87" s="149">
        <f t="shared" si="18"/>
        <v>15</v>
      </c>
      <c r="W87" s="189"/>
      <c r="X87" s="199"/>
      <c r="Y87" s="151"/>
      <c r="Z87" s="190"/>
      <c r="AA87" s="153"/>
      <c r="AB87" s="154">
        <f t="shared" si="19"/>
        <v>0</v>
      </c>
      <c r="AC87" s="149">
        <f t="shared" si="20"/>
        <v>0</v>
      </c>
      <c r="AD87" s="125">
        <v>2</v>
      </c>
      <c r="AE87" s="148">
        <f t="shared" si="21"/>
        <v>2</v>
      </c>
      <c r="AF87" s="156"/>
      <c r="AG87" s="156"/>
      <c r="AH87" s="113">
        <f t="shared" si="22"/>
        <v>17</v>
      </c>
      <c r="AI87" s="157">
        <v>65</v>
      </c>
      <c r="AJ87" s="113">
        <f t="shared" si="23"/>
        <v>82</v>
      </c>
      <c r="AK87" s="113">
        <f t="shared" si="24"/>
        <v>82</v>
      </c>
      <c r="AL87" s="158">
        <f t="shared" si="25"/>
        <v>1.02</v>
      </c>
      <c r="AM87" s="159"/>
      <c r="AN87" s="160">
        <f t="shared" si="16"/>
        <v>1</v>
      </c>
      <c r="AO87" s="160">
        <f t="shared" si="16"/>
        <v>2</v>
      </c>
      <c r="AP87" s="133"/>
      <c r="AQ87" s="134"/>
      <c r="AR87" s="161"/>
      <c r="AS87" s="161"/>
      <c r="AT87" s="161"/>
      <c r="AU87" s="161"/>
      <c r="AV87" s="162"/>
      <c r="AW87" s="137">
        <f t="shared" si="26"/>
        <v>0</v>
      </c>
      <c r="AX87" s="137">
        <f t="shared" si="27"/>
        <v>0</v>
      </c>
    </row>
    <row r="88" ht="46.5" customHeight="1" spans="1:50" s="97" customFormat="1" x14ac:dyDescent="0.25">
      <c r="A88" s="100"/>
      <c r="B88" s="100"/>
      <c r="C88" s="100"/>
      <c r="D88" s="100"/>
      <c r="E88" s="100"/>
      <c r="F88" s="100"/>
      <c r="G88" s="103"/>
      <c r="H88" s="186"/>
      <c r="I88" s="195">
        <v>0.51</v>
      </c>
      <c r="J88" s="107">
        <v>0.49</v>
      </c>
      <c r="K88" s="107"/>
      <c r="L88" s="107"/>
      <c r="M88" s="187"/>
      <c r="N88" s="169">
        <f t="shared" si="14"/>
        <v>1</v>
      </c>
      <c r="O88" s="144">
        <v>1</v>
      </c>
      <c r="P88" s="145">
        <v>15</v>
      </c>
      <c r="Q88" s="113">
        <v>15</v>
      </c>
      <c r="R88" s="113"/>
      <c r="S88" s="113"/>
      <c r="T88" s="146"/>
      <c r="U88" s="148">
        <f t="shared" si="17"/>
        <v>15</v>
      </c>
      <c r="V88" s="149">
        <f t="shared" si="18"/>
        <v>15</v>
      </c>
      <c r="W88" s="189"/>
      <c r="X88" s="199"/>
      <c r="Y88" s="151"/>
      <c r="Z88" s="190"/>
      <c r="AA88" s="153"/>
      <c r="AB88" s="154">
        <f t="shared" si="19"/>
        <v>0</v>
      </c>
      <c r="AC88" s="149">
        <f t="shared" si="20"/>
        <v>0</v>
      </c>
      <c r="AD88" s="125">
        <v>2</v>
      </c>
      <c r="AE88" s="148">
        <f t="shared" si="21"/>
        <v>2</v>
      </c>
      <c r="AF88" s="156"/>
      <c r="AG88" s="156"/>
      <c r="AH88" s="113">
        <f t="shared" si="22"/>
        <v>17</v>
      </c>
      <c r="AI88" s="157">
        <v>65</v>
      </c>
      <c r="AJ88" s="113">
        <f t="shared" si="23"/>
        <v>82</v>
      </c>
      <c r="AK88" s="113">
        <f t="shared" si="24"/>
        <v>82</v>
      </c>
      <c r="AL88" s="158">
        <f t="shared" si="25"/>
        <v>1.02</v>
      </c>
      <c r="AM88" s="159"/>
      <c r="AN88" s="160">
        <f t="shared" si="16"/>
        <v>1</v>
      </c>
      <c r="AO88" s="160">
        <f t="shared" si="16"/>
        <v>2</v>
      </c>
      <c r="AP88" s="133"/>
      <c r="AQ88" s="134"/>
      <c r="AR88" s="161"/>
      <c r="AS88" s="161"/>
      <c r="AT88" s="161"/>
      <c r="AU88" s="161"/>
      <c r="AV88" s="162"/>
      <c r="AW88" s="137">
        <f t="shared" si="26"/>
        <v>0</v>
      </c>
      <c r="AX88" s="137">
        <f t="shared" si="27"/>
        <v>0</v>
      </c>
    </row>
    <row r="89" ht="46.5" customHeight="1" spans="1:50" s="97" customFormat="1" x14ac:dyDescent="0.25">
      <c r="A89" s="100"/>
      <c r="B89" s="100"/>
      <c r="C89" s="100"/>
      <c r="D89" s="100"/>
      <c r="E89" s="100"/>
      <c r="F89" s="100"/>
      <c r="G89" s="103"/>
      <c r="H89" s="186"/>
      <c r="I89" s="195">
        <v>0.51</v>
      </c>
      <c r="J89" s="107">
        <v>0.49</v>
      </c>
      <c r="K89" s="107"/>
      <c r="L89" s="107"/>
      <c r="M89" s="187"/>
      <c r="N89" s="169">
        <f t="shared" si="14"/>
        <v>1</v>
      </c>
      <c r="O89" s="144">
        <v>1</v>
      </c>
      <c r="P89" s="145">
        <v>15</v>
      </c>
      <c r="Q89" s="113">
        <v>15</v>
      </c>
      <c r="R89" s="113"/>
      <c r="S89" s="113"/>
      <c r="T89" s="146"/>
      <c r="U89" s="148">
        <f t="shared" si="17"/>
        <v>15</v>
      </c>
      <c r="V89" s="149">
        <f t="shared" si="18"/>
        <v>15</v>
      </c>
      <c r="W89" s="189"/>
      <c r="X89" s="199"/>
      <c r="Y89" s="151"/>
      <c r="Z89" s="190"/>
      <c r="AA89" s="153"/>
      <c r="AB89" s="154">
        <f t="shared" si="19"/>
        <v>0</v>
      </c>
      <c r="AC89" s="149">
        <f t="shared" si="20"/>
        <v>0</v>
      </c>
      <c r="AD89" s="125">
        <v>2</v>
      </c>
      <c r="AE89" s="148">
        <f t="shared" si="21"/>
        <v>2</v>
      </c>
      <c r="AF89" s="156"/>
      <c r="AG89" s="156"/>
      <c r="AH89" s="113">
        <f t="shared" si="22"/>
        <v>17</v>
      </c>
      <c r="AI89" s="157">
        <v>65</v>
      </c>
      <c r="AJ89" s="113">
        <f t="shared" si="23"/>
        <v>82</v>
      </c>
      <c r="AK89" s="113">
        <f t="shared" si="24"/>
        <v>82</v>
      </c>
      <c r="AL89" s="158">
        <f t="shared" si="25"/>
        <v>1.02</v>
      </c>
      <c r="AM89" s="159"/>
      <c r="AN89" s="160">
        <f t="shared" si="16"/>
        <v>1</v>
      </c>
      <c r="AO89" s="160">
        <f t="shared" si="16"/>
        <v>2</v>
      </c>
      <c r="AP89" s="133"/>
      <c r="AQ89" s="134"/>
      <c r="AR89" s="161"/>
      <c r="AS89" s="161"/>
      <c r="AT89" s="161"/>
      <c r="AU89" s="161"/>
      <c r="AV89" s="162"/>
      <c r="AW89" s="137">
        <f t="shared" si="26"/>
        <v>0</v>
      </c>
      <c r="AX89" s="137">
        <f t="shared" si="27"/>
        <v>0</v>
      </c>
    </row>
    <row r="90" ht="46.5" customHeight="1" spans="1:50" s="97" customFormat="1" x14ac:dyDescent="0.25">
      <c r="A90" s="100"/>
      <c r="B90" s="100"/>
      <c r="C90" s="100"/>
      <c r="D90" s="100"/>
      <c r="E90" s="100"/>
      <c r="F90" s="100"/>
      <c r="G90" s="103"/>
      <c r="H90" s="186"/>
      <c r="I90" s="195">
        <v>0.51</v>
      </c>
      <c r="J90" s="107">
        <v>0.49</v>
      </c>
      <c r="K90" s="107"/>
      <c r="L90" s="107"/>
      <c r="M90" s="187"/>
      <c r="N90" s="169">
        <f t="shared" si="14"/>
        <v>1</v>
      </c>
      <c r="O90" s="144">
        <v>1</v>
      </c>
      <c r="P90" s="145">
        <v>15</v>
      </c>
      <c r="Q90" s="113">
        <v>15</v>
      </c>
      <c r="R90" s="113"/>
      <c r="S90" s="113"/>
      <c r="T90" s="146"/>
      <c r="U90" s="148">
        <f t="shared" si="17"/>
        <v>15</v>
      </c>
      <c r="V90" s="149">
        <f t="shared" si="18"/>
        <v>15</v>
      </c>
      <c r="W90" s="189"/>
      <c r="X90" s="199"/>
      <c r="Y90" s="151"/>
      <c r="Z90" s="190"/>
      <c r="AA90" s="153"/>
      <c r="AB90" s="154">
        <f t="shared" si="19"/>
        <v>0</v>
      </c>
      <c r="AC90" s="149">
        <f t="shared" si="20"/>
        <v>0</v>
      </c>
      <c r="AD90" s="125">
        <v>2</v>
      </c>
      <c r="AE90" s="148">
        <f t="shared" si="21"/>
        <v>2</v>
      </c>
      <c r="AF90" s="156"/>
      <c r="AG90" s="156"/>
      <c r="AH90" s="113">
        <f t="shared" si="22"/>
        <v>17</v>
      </c>
      <c r="AI90" s="157">
        <v>65</v>
      </c>
      <c r="AJ90" s="113">
        <f t="shared" si="23"/>
        <v>82</v>
      </c>
      <c r="AK90" s="113">
        <f t="shared" si="24"/>
        <v>82</v>
      </c>
      <c r="AL90" s="158">
        <f t="shared" si="25"/>
        <v>1.02</v>
      </c>
      <c r="AM90" s="159"/>
      <c r="AN90" s="160">
        <f t="shared" si="16"/>
        <v>1</v>
      </c>
      <c r="AO90" s="160">
        <f t="shared" si="16"/>
        <v>2</v>
      </c>
      <c r="AP90" s="133"/>
      <c r="AQ90" s="134"/>
      <c r="AR90" s="161"/>
      <c r="AS90" s="161"/>
      <c r="AT90" s="161"/>
      <c r="AU90" s="161"/>
      <c r="AV90" s="162"/>
      <c r="AW90" s="137">
        <f t="shared" si="26"/>
        <v>0</v>
      </c>
      <c r="AX90" s="137">
        <f t="shared" si="27"/>
        <v>0</v>
      </c>
    </row>
    <row r="91" ht="46.5" customHeight="1" spans="1:50" s="97" customFormat="1" x14ac:dyDescent="0.25">
      <c r="A91" s="100"/>
      <c r="B91" s="100"/>
      <c r="C91" s="100"/>
      <c r="D91" s="100"/>
      <c r="E91" s="100"/>
      <c r="F91" s="100"/>
      <c r="G91" s="103"/>
      <c r="H91" s="186"/>
      <c r="I91" s="195">
        <v>0.51</v>
      </c>
      <c r="J91" s="107">
        <v>0.49</v>
      </c>
      <c r="K91" s="107"/>
      <c r="L91" s="107"/>
      <c r="M91" s="187"/>
      <c r="N91" s="169">
        <f t="shared" si="14"/>
        <v>1</v>
      </c>
      <c r="O91" s="144">
        <v>1</v>
      </c>
      <c r="P91" s="145">
        <v>15</v>
      </c>
      <c r="Q91" s="113">
        <v>15</v>
      </c>
      <c r="R91" s="113"/>
      <c r="S91" s="113"/>
      <c r="T91" s="146"/>
      <c r="U91" s="148">
        <f t="shared" si="17"/>
        <v>15</v>
      </c>
      <c r="V91" s="149">
        <f t="shared" si="18"/>
        <v>15</v>
      </c>
      <c r="W91" s="189"/>
      <c r="X91" s="199"/>
      <c r="Y91" s="151"/>
      <c r="Z91" s="190"/>
      <c r="AA91" s="153"/>
      <c r="AB91" s="154">
        <f t="shared" si="19"/>
        <v>0</v>
      </c>
      <c r="AC91" s="149">
        <f t="shared" si="20"/>
        <v>0</v>
      </c>
      <c r="AD91" s="125">
        <v>2</v>
      </c>
      <c r="AE91" s="148">
        <f t="shared" si="21"/>
        <v>2</v>
      </c>
      <c r="AF91" s="156"/>
      <c r="AG91" s="156"/>
      <c r="AH91" s="113">
        <f t="shared" si="22"/>
        <v>17</v>
      </c>
      <c r="AI91" s="157">
        <v>65</v>
      </c>
      <c r="AJ91" s="113">
        <f t="shared" si="23"/>
        <v>82</v>
      </c>
      <c r="AK91" s="113">
        <f t="shared" si="24"/>
        <v>82</v>
      </c>
      <c r="AL91" s="158">
        <f t="shared" si="25"/>
        <v>1.02</v>
      </c>
      <c r="AM91" s="159"/>
      <c r="AN91" s="160">
        <f t="shared" ref="AN91:AO110" si="28">100%+AM91</f>
        <v>1</v>
      </c>
      <c r="AO91" s="160">
        <f t="shared" si="28"/>
        <v>2</v>
      </c>
      <c r="AP91" s="133"/>
      <c r="AQ91" s="134"/>
      <c r="AR91" s="161"/>
      <c r="AS91" s="161"/>
      <c r="AT91" s="161"/>
      <c r="AU91" s="161"/>
      <c r="AV91" s="162"/>
      <c r="AW91" s="137">
        <f t="shared" si="26"/>
        <v>0</v>
      </c>
      <c r="AX91" s="137">
        <f t="shared" si="27"/>
        <v>0</v>
      </c>
    </row>
    <row r="92" ht="46.5" customHeight="1" spans="1:50" s="97" customFormat="1" x14ac:dyDescent="0.25">
      <c r="A92" s="100"/>
      <c r="B92" s="100"/>
      <c r="C92" s="100"/>
      <c r="D92" s="100"/>
      <c r="E92" s="100"/>
      <c r="F92" s="100"/>
      <c r="G92" s="103"/>
      <c r="H92" s="186"/>
      <c r="I92" s="195">
        <v>0.51</v>
      </c>
      <c r="J92" s="107">
        <v>0.49</v>
      </c>
      <c r="K92" s="107"/>
      <c r="L92" s="107"/>
      <c r="M92" s="187"/>
      <c r="N92" s="169">
        <f t="shared" si="14"/>
        <v>1</v>
      </c>
      <c r="O92" s="144">
        <v>1</v>
      </c>
      <c r="P92" s="145">
        <v>15</v>
      </c>
      <c r="Q92" s="113">
        <v>15</v>
      </c>
      <c r="R92" s="113"/>
      <c r="S92" s="113"/>
      <c r="T92" s="146"/>
      <c r="U92" s="148">
        <f t="shared" si="17"/>
        <v>15</v>
      </c>
      <c r="V92" s="149">
        <f t="shared" si="18"/>
        <v>15</v>
      </c>
      <c r="W92" s="189"/>
      <c r="X92" s="199"/>
      <c r="Y92" s="151"/>
      <c r="Z92" s="190"/>
      <c r="AA92" s="153"/>
      <c r="AB92" s="154">
        <f t="shared" si="19"/>
        <v>0</v>
      </c>
      <c r="AC92" s="149">
        <f t="shared" si="20"/>
        <v>0</v>
      </c>
      <c r="AD92" s="125">
        <v>2</v>
      </c>
      <c r="AE92" s="148">
        <f t="shared" si="21"/>
        <v>2</v>
      </c>
      <c r="AF92" s="156"/>
      <c r="AG92" s="156"/>
      <c r="AH92" s="113">
        <f t="shared" si="22"/>
        <v>17</v>
      </c>
      <c r="AI92" s="157">
        <v>65</v>
      </c>
      <c r="AJ92" s="113">
        <f t="shared" si="23"/>
        <v>82</v>
      </c>
      <c r="AK92" s="113">
        <f t="shared" si="24"/>
        <v>82</v>
      </c>
      <c r="AL92" s="158">
        <f t="shared" si="25"/>
        <v>1.02</v>
      </c>
      <c r="AM92" s="159"/>
      <c r="AN92" s="160">
        <f t="shared" si="28"/>
        <v>1</v>
      </c>
      <c r="AO92" s="160">
        <f t="shared" si="28"/>
        <v>2</v>
      </c>
      <c r="AP92" s="133"/>
      <c r="AQ92" s="134"/>
      <c r="AR92" s="161"/>
      <c r="AS92" s="161"/>
      <c r="AT92" s="161"/>
      <c r="AU92" s="161"/>
      <c r="AV92" s="162"/>
      <c r="AW92" s="137">
        <f t="shared" si="26"/>
        <v>0</v>
      </c>
      <c r="AX92" s="137">
        <f t="shared" si="27"/>
        <v>0</v>
      </c>
    </row>
    <row r="93" ht="46.5" customHeight="1" spans="1:50" s="97" customFormat="1" x14ac:dyDescent="0.25">
      <c r="A93" s="100"/>
      <c r="B93" s="100"/>
      <c r="C93" s="100"/>
      <c r="D93" s="100"/>
      <c r="E93" s="100"/>
      <c r="F93" s="100"/>
      <c r="G93" s="103"/>
      <c r="H93" s="186"/>
      <c r="I93" s="195">
        <v>0.51</v>
      </c>
      <c r="J93" s="107">
        <v>0.49</v>
      </c>
      <c r="K93" s="107"/>
      <c r="L93" s="107"/>
      <c r="M93" s="187"/>
      <c r="N93" s="169">
        <f t="shared" si="14"/>
        <v>1</v>
      </c>
      <c r="O93" s="144">
        <v>1</v>
      </c>
      <c r="P93" s="145">
        <v>15</v>
      </c>
      <c r="Q93" s="113">
        <v>15</v>
      </c>
      <c r="R93" s="113"/>
      <c r="S93" s="113"/>
      <c r="T93" s="146"/>
      <c r="U93" s="148">
        <f t="shared" si="17"/>
        <v>15</v>
      </c>
      <c r="V93" s="149">
        <f t="shared" si="18"/>
        <v>15</v>
      </c>
      <c r="W93" s="189"/>
      <c r="X93" s="199"/>
      <c r="Y93" s="151"/>
      <c r="Z93" s="190"/>
      <c r="AA93" s="153"/>
      <c r="AB93" s="154">
        <f t="shared" si="19"/>
        <v>0</v>
      </c>
      <c r="AC93" s="149">
        <f t="shared" si="20"/>
        <v>0</v>
      </c>
      <c r="AD93" s="125">
        <v>2</v>
      </c>
      <c r="AE93" s="148">
        <f t="shared" si="21"/>
        <v>2</v>
      </c>
      <c r="AF93" s="156"/>
      <c r="AG93" s="156"/>
      <c r="AH93" s="113">
        <f t="shared" si="22"/>
        <v>17</v>
      </c>
      <c r="AI93" s="157">
        <v>65</v>
      </c>
      <c r="AJ93" s="113">
        <f t="shared" si="23"/>
        <v>82</v>
      </c>
      <c r="AK93" s="113">
        <f t="shared" si="24"/>
        <v>82</v>
      </c>
      <c r="AL93" s="158">
        <f t="shared" si="25"/>
        <v>1.02</v>
      </c>
      <c r="AM93" s="159"/>
      <c r="AN93" s="160">
        <f t="shared" si="28"/>
        <v>1</v>
      </c>
      <c r="AO93" s="160">
        <f t="shared" si="28"/>
        <v>2</v>
      </c>
      <c r="AP93" s="133"/>
      <c r="AQ93" s="134"/>
      <c r="AR93" s="161"/>
      <c r="AS93" s="161"/>
      <c r="AT93" s="161"/>
      <c r="AU93" s="161"/>
      <c r="AV93" s="162"/>
      <c r="AW93" s="137">
        <f t="shared" si="26"/>
        <v>0</v>
      </c>
      <c r="AX93" s="137">
        <f t="shared" si="27"/>
        <v>0</v>
      </c>
    </row>
    <row r="94" ht="46.5" customHeight="1" spans="1:50" s="97" customFormat="1" x14ac:dyDescent="0.25">
      <c r="A94" s="100"/>
      <c r="B94" s="100"/>
      <c r="C94" s="100"/>
      <c r="D94" s="100"/>
      <c r="E94" s="100"/>
      <c r="F94" s="100"/>
      <c r="G94" s="103"/>
      <c r="H94" s="186"/>
      <c r="I94" s="195">
        <v>0.51</v>
      </c>
      <c r="J94" s="107">
        <v>0.49</v>
      </c>
      <c r="K94" s="107"/>
      <c r="L94" s="107"/>
      <c r="M94" s="187"/>
      <c r="N94" s="169">
        <f t="shared" si="14"/>
        <v>1</v>
      </c>
      <c r="O94" s="144">
        <v>1</v>
      </c>
      <c r="P94" s="145">
        <v>15</v>
      </c>
      <c r="Q94" s="113">
        <v>15</v>
      </c>
      <c r="R94" s="113"/>
      <c r="S94" s="113"/>
      <c r="T94" s="146"/>
      <c r="U94" s="148">
        <f t="shared" si="17"/>
        <v>15</v>
      </c>
      <c r="V94" s="149">
        <f t="shared" si="18"/>
        <v>15</v>
      </c>
      <c r="W94" s="189"/>
      <c r="X94" s="199"/>
      <c r="Y94" s="151"/>
      <c r="Z94" s="190"/>
      <c r="AA94" s="153"/>
      <c r="AB94" s="154">
        <f t="shared" si="19"/>
        <v>0</v>
      </c>
      <c r="AC94" s="149">
        <f t="shared" si="20"/>
        <v>0</v>
      </c>
      <c r="AD94" s="125">
        <v>2</v>
      </c>
      <c r="AE94" s="148">
        <f t="shared" si="21"/>
        <v>2</v>
      </c>
      <c r="AF94" s="156"/>
      <c r="AG94" s="156"/>
      <c r="AH94" s="113">
        <f t="shared" si="22"/>
        <v>17</v>
      </c>
      <c r="AI94" s="157">
        <v>65</v>
      </c>
      <c r="AJ94" s="113">
        <f t="shared" si="23"/>
        <v>82</v>
      </c>
      <c r="AK94" s="113">
        <f t="shared" si="24"/>
        <v>82</v>
      </c>
      <c r="AL94" s="158">
        <f t="shared" si="25"/>
        <v>1.02</v>
      </c>
      <c r="AM94" s="159"/>
      <c r="AN94" s="160">
        <f t="shared" si="28"/>
        <v>1</v>
      </c>
      <c r="AO94" s="160">
        <f t="shared" si="28"/>
        <v>2</v>
      </c>
      <c r="AP94" s="133"/>
      <c r="AQ94" s="134"/>
      <c r="AR94" s="161"/>
      <c r="AS94" s="161"/>
      <c r="AT94" s="161"/>
      <c r="AU94" s="161"/>
      <c r="AV94" s="162"/>
      <c r="AW94" s="137">
        <f t="shared" si="26"/>
        <v>0</v>
      </c>
      <c r="AX94" s="137">
        <f t="shared" si="27"/>
        <v>0</v>
      </c>
    </row>
    <row r="95" ht="46.5" customHeight="1" spans="1:50" s="97" customFormat="1" x14ac:dyDescent="0.25">
      <c r="A95" s="100"/>
      <c r="B95" s="100"/>
      <c r="C95" s="100"/>
      <c r="D95" s="100"/>
      <c r="E95" s="100"/>
      <c r="F95" s="100"/>
      <c r="G95" s="103"/>
      <c r="H95" s="186"/>
      <c r="I95" s="195">
        <v>0.51</v>
      </c>
      <c r="J95" s="107">
        <v>0.49</v>
      </c>
      <c r="K95" s="107"/>
      <c r="L95" s="107"/>
      <c r="M95" s="187"/>
      <c r="N95" s="169">
        <f t="shared" si="14"/>
        <v>1</v>
      </c>
      <c r="O95" s="144">
        <v>1</v>
      </c>
      <c r="P95" s="145">
        <v>15</v>
      </c>
      <c r="Q95" s="113">
        <v>15</v>
      </c>
      <c r="R95" s="113"/>
      <c r="S95" s="113"/>
      <c r="T95" s="146"/>
      <c r="U95" s="148">
        <f t="shared" si="17"/>
        <v>15</v>
      </c>
      <c r="V95" s="149">
        <f t="shared" si="18"/>
        <v>15</v>
      </c>
      <c r="W95" s="189"/>
      <c r="X95" s="199"/>
      <c r="Y95" s="151"/>
      <c r="Z95" s="190"/>
      <c r="AA95" s="153"/>
      <c r="AB95" s="154">
        <f t="shared" si="19"/>
        <v>0</v>
      </c>
      <c r="AC95" s="149">
        <f t="shared" si="20"/>
        <v>0</v>
      </c>
      <c r="AD95" s="125">
        <v>2</v>
      </c>
      <c r="AE95" s="148">
        <f t="shared" si="21"/>
        <v>2</v>
      </c>
      <c r="AF95" s="156"/>
      <c r="AG95" s="156"/>
      <c r="AH95" s="113">
        <f t="shared" si="22"/>
        <v>17</v>
      </c>
      <c r="AI95" s="157">
        <v>65</v>
      </c>
      <c r="AJ95" s="113">
        <f t="shared" si="23"/>
        <v>82</v>
      </c>
      <c r="AK95" s="113">
        <f t="shared" si="24"/>
        <v>82</v>
      </c>
      <c r="AL95" s="158">
        <f t="shared" si="25"/>
        <v>1.02</v>
      </c>
      <c r="AM95" s="159"/>
      <c r="AN95" s="160">
        <f t="shared" si="28"/>
        <v>1</v>
      </c>
      <c r="AO95" s="160">
        <f t="shared" si="28"/>
        <v>2</v>
      </c>
      <c r="AP95" s="133"/>
      <c r="AQ95" s="134"/>
      <c r="AR95" s="161"/>
      <c r="AS95" s="161"/>
      <c r="AT95" s="161"/>
      <c r="AU95" s="161"/>
      <c r="AV95" s="162"/>
      <c r="AW95" s="137">
        <f t="shared" si="26"/>
        <v>0</v>
      </c>
      <c r="AX95" s="137">
        <f t="shared" si="27"/>
        <v>0</v>
      </c>
    </row>
    <row r="96" ht="46.5" customHeight="1" spans="1:50" s="97" customFormat="1" x14ac:dyDescent="0.25">
      <c r="A96" s="100"/>
      <c r="B96" s="100"/>
      <c r="C96" s="100"/>
      <c r="D96" s="100"/>
      <c r="E96" s="100"/>
      <c r="F96" s="100"/>
      <c r="G96" s="103"/>
      <c r="H96" s="186"/>
      <c r="I96" s="195">
        <v>0.51</v>
      </c>
      <c r="J96" s="107">
        <v>0.49</v>
      </c>
      <c r="K96" s="107"/>
      <c r="L96" s="107"/>
      <c r="M96" s="187"/>
      <c r="N96" s="169">
        <f t="shared" si="14"/>
        <v>1</v>
      </c>
      <c r="O96" s="144">
        <v>1</v>
      </c>
      <c r="P96" s="145">
        <v>15</v>
      </c>
      <c r="Q96" s="113">
        <v>15</v>
      </c>
      <c r="R96" s="113"/>
      <c r="S96" s="113"/>
      <c r="T96" s="146"/>
      <c r="U96" s="148">
        <f t="shared" si="17"/>
        <v>15</v>
      </c>
      <c r="V96" s="149">
        <f t="shared" si="18"/>
        <v>15</v>
      </c>
      <c r="W96" s="189"/>
      <c r="X96" s="199"/>
      <c r="Y96" s="151"/>
      <c r="Z96" s="190"/>
      <c r="AA96" s="153"/>
      <c r="AB96" s="154">
        <f t="shared" si="19"/>
        <v>0</v>
      </c>
      <c r="AC96" s="149">
        <f t="shared" si="20"/>
        <v>0</v>
      </c>
      <c r="AD96" s="125">
        <v>2</v>
      </c>
      <c r="AE96" s="148">
        <f t="shared" si="21"/>
        <v>2</v>
      </c>
      <c r="AF96" s="156"/>
      <c r="AG96" s="156"/>
      <c r="AH96" s="113">
        <f t="shared" si="22"/>
        <v>17</v>
      </c>
      <c r="AI96" s="157">
        <v>65</v>
      </c>
      <c r="AJ96" s="113">
        <f t="shared" si="23"/>
        <v>82</v>
      </c>
      <c r="AK96" s="113">
        <f t="shared" si="24"/>
        <v>82</v>
      </c>
      <c r="AL96" s="158">
        <f t="shared" si="25"/>
        <v>1.02</v>
      </c>
      <c r="AM96" s="159"/>
      <c r="AN96" s="160">
        <f t="shared" si="28"/>
        <v>1</v>
      </c>
      <c r="AO96" s="160">
        <f t="shared" si="28"/>
        <v>2</v>
      </c>
      <c r="AP96" s="133"/>
      <c r="AQ96" s="134"/>
      <c r="AR96" s="161"/>
      <c r="AS96" s="161"/>
      <c r="AT96" s="161"/>
      <c r="AU96" s="161"/>
      <c r="AV96" s="162"/>
      <c r="AW96" s="137">
        <f t="shared" si="26"/>
        <v>0</v>
      </c>
      <c r="AX96" s="137">
        <f t="shared" si="27"/>
        <v>0</v>
      </c>
    </row>
    <row r="97" ht="46.5" customHeight="1" spans="1:50" s="97" customFormat="1" x14ac:dyDescent="0.25">
      <c r="A97" s="100"/>
      <c r="B97" s="100"/>
      <c r="C97" s="100"/>
      <c r="D97" s="100"/>
      <c r="E97" s="100"/>
      <c r="F97" s="100"/>
      <c r="G97" s="103"/>
      <c r="H97" s="186"/>
      <c r="I97" s="195">
        <v>0.51</v>
      </c>
      <c r="J97" s="107">
        <v>0.49</v>
      </c>
      <c r="K97" s="107"/>
      <c r="L97" s="107"/>
      <c r="M97" s="187"/>
      <c r="N97" s="169">
        <f t="shared" si="14"/>
        <v>1</v>
      </c>
      <c r="O97" s="144">
        <v>1</v>
      </c>
      <c r="P97" s="145">
        <v>15</v>
      </c>
      <c r="Q97" s="113">
        <v>15</v>
      </c>
      <c r="R97" s="113"/>
      <c r="S97" s="113"/>
      <c r="T97" s="146"/>
      <c r="U97" s="148">
        <f t="shared" si="17"/>
        <v>15</v>
      </c>
      <c r="V97" s="149">
        <f t="shared" si="18"/>
        <v>15</v>
      </c>
      <c r="W97" s="189"/>
      <c r="X97" s="199"/>
      <c r="Y97" s="151"/>
      <c r="Z97" s="190"/>
      <c r="AA97" s="153"/>
      <c r="AB97" s="154">
        <f t="shared" si="19"/>
        <v>0</v>
      </c>
      <c r="AC97" s="149">
        <f t="shared" si="20"/>
        <v>0</v>
      </c>
      <c r="AD97" s="125">
        <v>2</v>
      </c>
      <c r="AE97" s="148">
        <f t="shared" si="21"/>
        <v>2</v>
      </c>
      <c r="AF97" s="156"/>
      <c r="AG97" s="156"/>
      <c r="AH97" s="113">
        <f t="shared" si="22"/>
        <v>17</v>
      </c>
      <c r="AI97" s="157">
        <v>65</v>
      </c>
      <c r="AJ97" s="113">
        <f t="shared" si="23"/>
        <v>82</v>
      </c>
      <c r="AK97" s="113">
        <f t="shared" si="24"/>
        <v>82</v>
      </c>
      <c r="AL97" s="158">
        <f t="shared" si="25"/>
        <v>1.02</v>
      </c>
      <c r="AM97" s="159"/>
      <c r="AN97" s="160">
        <f t="shared" si="28"/>
        <v>1</v>
      </c>
      <c r="AO97" s="160">
        <f t="shared" si="28"/>
        <v>2</v>
      </c>
      <c r="AP97" s="133"/>
      <c r="AQ97" s="134"/>
      <c r="AR97" s="161"/>
      <c r="AS97" s="161"/>
      <c r="AT97" s="161"/>
      <c r="AU97" s="161"/>
      <c r="AV97" s="162"/>
      <c r="AW97" s="137">
        <f t="shared" si="26"/>
        <v>0</v>
      </c>
      <c r="AX97" s="137">
        <f t="shared" si="27"/>
        <v>0</v>
      </c>
    </row>
    <row r="98" ht="64.5" customHeight="1" spans="1:50" s="56" customFormat="1" x14ac:dyDescent="0.25">
      <c r="A98" s="100"/>
      <c r="B98" s="100"/>
      <c r="C98" s="100"/>
      <c r="D98" s="100"/>
      <c r="E98" s="100"/>
      <c r="F98" s="100"/>
      <c r="G98" s="103"/>
      <c r="H98" s="186"/>
      <c r="I98" s="195">
        <v>0.51</v>
      </c>
      <c r="J98" s="107">
        <v>0.49</v>
      </c>
      <c r="K98" s="107"/>
      <c r="L98" s="107"/>
      <c r="M98" s="187"/>
      <c r="N98" s="169">
        <f t="shared" si="14"/>
        <v>1</v>
      </c>
      <c r="O98" s="144">
        <v>1</v>
      </c>
      <c r="P98" s="145">
        <v>15</v>
      </c>
      <c r="Q98" s="113">
        <v>15</v>
      </c>
      <c r="R98" s="113"/>
      <c r="S98" s="113"/>
      <c r="T98" s="146"/>
      <c r="U98" s="148">
        <f t="shared" si="17"/>
        <v>15</v>
      </c>
      <c r="V98" s="149">
        <f t="shared" si="18"/>
        <v>15</v>
      </c>
      <c r="W98" s="189"/>
      <c r="X98" s="199"/>
      <c r="Y98" s="151"/>
      <c r="Z98" s="190"/>
      <c r="AA98" s="153"/>
      <c r="AB98" s="154">
        <f t="shared" si="19"/>
        <v>0</v>
      </c>
      <c r="AC98" s="149">
        <f t="shared" si="20"/>
        <v>0</v>
      </c>
      <c r="AD98" s="125">
        <v>2</v>
      </c>
      <c r="AE98" s="148">
        <f t="shared" si="21"/>
        <v>2</v>
      </c>
      <c r="AF98" s="156"/>
      <c r="AG98" s="156"/>
      <c r="AH98" s="113">
        <f t="shared" si="22"/>
        <v>17</v>
      </c>
      <c r="AI98" s="157">
        <v>65</v>
      </c>
      <c r="AJ98" s="113">
        <f t="shared" si="23"/>
        <v>82</v>
      </c>
      <c r="AK98" s="113">
        <f t="shared" si="24"/>
        <v>82</v>
      </c>
      <c r="AL98" s="158">
        <f t="shared" si="25"/>
        <v>1.02</v>
      </c>
      <c r="AM98" s="159"/>
      <c r="AN98" s="160">
        <f t="shared" si="28"/>
        <v>1</v>
      </c>
      <c r="AO98" s="160">
        <f t="shared" si="28"/>
        <v>2</v>
      </c>
      <c r="AP98" s="133"/>
      <c r="AQ98" s="134"/>
      <c r="AR98" s="161"/>
      <c r="AS98" s="161"/>
      <c r="AT98" s="161"/>
      <c r="AU98" s="161"/>
      <c r="AV98" s="162"/>
      <c r="AW98" s="137">
        <f t="shared" si="26"/>
        <v>0</v>
      </c>
      <c r="AX98" s="137">
        <f t="shared" si="27"/>
        <v>0</v>
      </c>
    </row>
    <row r="99" ht="46.5" customHeight="1" spans="1:50" s="97" customFormat="1" x14ac:dyDescent="0.25">
      <c r="A99" s="100"/>
      <c r="B99" s="100"/>
      <c r="C99" s="100"/>
      <c r="D99" s="100"/>
      <c r="E99" s="100"/>
      <c r="F99" s="100"/>
      <c r="G99" s="103"/>
      <c r="H99" s="186"/>
      <c r="I99" s="195">
        <v>0.51</v>
      </c>
      <c r="J99" s="107">
        <v>0.49</v>
      </c>
      <c r="K99" s="107"/>
      <c r="L99" s="107"/>
      <c r="M99" s="187"/>
      <c r="N99" s="169">
        <f t="shared" si="14"/>
        <v>1</v>
      </c>
      <c r="O99" s="144">
        <v>1</v>
      </c>
      <c r="P99" s="145">
        <v>15</v>
      </c>
      <c r="Q99" s="113">
        <v>15</v>
      </c>
      <c r="R99" s="113"/>
      <c r="S99" s="113"/>
      <c r="T99" s="146"/>
      <c r="U99" s="148">
        <f t="shared" si="17"/>
        <v>15</v>
      </c>
      <c r="V99" s="149">
        <f t="shared" si="18"/>
        <v>15</v>
      </c>
      <c r="W99" s="189"/>
      <c r="X99" s="199"/>
      <c r="Y99" s="151"/>
      <c r="Z99" s="190"/>
      <c r="AA99" s="153"/>
      <c r="AB99" s="154">
        <f t="shared" si="19"/>
        <v>0</v>
      </c>
      <c r="AC99" s="149">
        <f t="shared" si="20"/>
        <v>0</v>
      </c>
      <c r="AD99" s="125">
        <v>2</v>
      </c>
      <c r="AE99" s="148">
        <f t="shared" si="21"/>
        <v>2</v>
      </c>
      <c r="AF99" s="156"/>
      <c r="AG99" s="156"/>
      <c r="AH99" s="113">
        <f t="shared" si="22"/>
        <v>17</v>
      </c>
      <c r="AI99" s="157">
        <v>65</v>
      </c>
      <c r="AJ99" s="113">
        <f t="shared" si="23"/>
        <v>82</v>
      </c>
      <c r="AK99" s="113">
        <f t="shared" si="24"/>
        <v>82</v>
      </c>
      <c r="AL99" s="158">
        <f t="shared" si="25"/>
        <v>1.02</v>
      </c>
      <c r="AM99" s="159"/>
      <c r="AN99" s="160">
        <f t="shared" si="28"/>
        <v>1</v>
      </c>
      <c r="AO99" s="160">
        <f t="shared" si="28"/>
        <v>2</v>
      </c>
      <c r="AP99" s="133"/>
      <c r="AQ99" s="134"/>
      <c r="AR99" s="161"/>
      <c r="AS99" s="161"/>
      <c r="AT99" s="161"/>
      <c r="AU99" s="161"/>
      <c r="AV99" s="162"/>
      <c r="AW99" s="137">
        <f t="shared" si="26"/>
        <v>0</v>
      </c>
      <c r="AX99" s="137">
        <f t="shared" si="27"/>
        <v>0</v>
      </c>
    </row>
    <row r="100" ht="46.5" customHeight="1" spans="1:50" s="97" customFormat="1" x14ac:dyDescent="0.25">
      <c r="A100" s="100"/>
      <c r="B100" s="100"/>
      <c r="C100" s="100"/>
      <c r="D100" s="100"/>
      <c r="E100" s="100"/>
      <c r="F100" s="100"/>
      <c r="G100" s="103"/>
      <c r="H100" s="186"/>
      <c r="I100" s="195">
        <v>0.51</v>
      </c>
      <c r="J100" s="107">
        <v>0.49</v>
      </c>
      <c r="K100" s="107"/>
      <c r="L100" s="107"/>
      <c r="M100" s="187"/>
      <c r="N100" s="169">
        <f t="shared" si="14"/>
        <v>1</v>
      </c>
      <c r="O100" s="144">
        <v>1</v>
      </c>
      <c r="P100" s="145">
        <v>15</v>
      </c>
      <c r="Q100" s="113">
        <v>15</v>
      </c>
      <c r="R100" s="113"/>
      <c r="S100" s="113"/>
      <c r="T100" s="146"/>
      <c r="U100" s="148">
        <f t="shared" si="17"/>
        <v>15</v>
      </c>
      <c r="V100" s="149">
        <f t="shared" si="18"/>
        <v>15</v>
      </c>
      <c r="W100" s="189"/>
      <c r="X100" s="199"/>
      <c r="Y100" s="151"/>
      <c r="Z100" s="190"/>
      <c r="AA100" s="153"/>
      <c r="AB100" s="154">
        <f t="shared" si="19"/>
        <v>0</v>
      </c>
      <c r="AC100" s="149">
        <f t="shared" si="20"/>
        <v>0</v>
      </c>
      <c r="AD100" s="125">
        <v>2</v>
      </c>
      <c r="AE100" s="148">
        <f t="shared" si="21"/>
        <v>2</v>
      </c>
      <c r="AF100" s="156"/>
      <c r="AG100" s="156"/>
      <c r="AH100" s="113">
        <f t="shared" si="22"/>
        <v>17</v>
      </c>
      <c r="AI100" s="157">
        <v>65</v>
      </c>
      <c r="AJ100" s="113">
        <f t="shared" si="23"/>
        <v>82</v>
      </c>
      <c r="AK100" s="113">
        <f t="shared" si="24"/>
        <v>82</v>
      </c>
      <c r="AL100" s="158">
        <f t="shared" si="25"/>
        <v>1.02</v>
      </c>
      <c r="AM100" s="159"/>
      <c r="AN100" s="160">
        <f t="shared" si="28"/>
        <v>1</v>
      </c>
      <c r="AO100" s="160">
        <f t="shared" si="28"/>
        <v>2</v>
      </c>
      <c r="AP100" s="133"/>
      <c r="AQ100" s="134"/>
      <c r="AR100" s="161"/>
      <c r="AS100" s="161"/>
      <c r="AT100" s="161"/>
      <c r="AU100" s="161"/>
      <c r="AV100" s="162"/>
      <c r="AW100" s="137">
        <f t="shared" si="26"/>
        <v>0</v>
      </c>
      <c r="AX100" s="137">
        <f t="shared" si="27"/>
        <v>0</v>
      </c>
    </row>
    <row r="101" ht="46.5" customHeight="1" spans="1:50" s="97" customFormat="1" x14ac:dyDescent="0.25">
      <c r="A101" s="100"/>
      <c r="B101" s="100"/>
      <c r="C101" s="100"/>
      <c r="D101" s="100"/>
      <c r="E101" s="100"/>
      <c r="F101" s="100"/>
      <c r="G101" s="103"/>
      <c r="H101" s="186"/>
      <c r="I101" s="195">
        <v>0.51</v>
      </c>
      <c r="J101" s="107">
        <v>0.49</v>
      </c>
      <c r="K101" s="107"/>
      <c r="L101" s="107"/>
      <c r="M101" s="187"/>
      <c r="N101" s="169">
        <f t="shared" si="14"/>
        <v>1</v>
      </c>
      <c r="O101" s="144">
        <v>1</v>
      </c>
      <c r="P101" s="145">
        <v>15</v>
      </c>
      <c r="Q101" s="113">
        <v>15</v>
      </c>
      <c r="R101" s="113"/>
      <c r="S101" s="113"/>
      <c r="T101" s="146"/>
      <c r="U101" s="148">
        <f t="shared" si="17"/>
        <v>15</v>
      </c>
      <c r="V101" s="149">
        <f t="shared" si="18"/>
        <v>15</v>
      </c>
      <c r="W101" s="189"/>
      <c r="X101" s="199"/>
      <c r="Y101" s="151"/>
      <c r="Z101" s="190"/>
      <c r="AA101" s="153"/>
      <c r="AB101" s="154">
        <f t="shared" si="19"/>
        <v>0</v>
      </c>
      <c r="AC101" s="149">
        <f t="shared" si="20"/>
        <v>0</v>
      </c>
      <c r="AD101" s="125">
        <v>2</v>
      </c>
      <c r="AE101" s="148">
        <f t="shared" si="21"/>
        <v>2</v>
      </c>
      <c r="AF101" s="156"/>
      <c r="AG101" s="156"/>
      <c r="AH101" s="113">
        <f t="shared" si="22"/>
        <v>17</v>
      </c>
      <c r="AI101" s="157">
        <v>65</v>
      </c>
      <c r="AJ101" s="113">
        <f t="shared" si="23"/>
        <v>82</v>
      </c>
      <c r="AK101" s="113">
        <f t="shared" si="24"/>
        <v>82</v>
      </c>
      <c r="AL101" s="158">
        <f t="shared" si="25"/>
        <v>1.02</v>
      </c>
      <c r="AM101" s="159"/>
      <c r="AN101" s="160">
        <f t="shared" si="28"/>
        <v>1</v>
      </c>
      <c r="AO101" s="160">
        <f t="shared" si="28"/>
        <v>2</v>
      </c>
      <c r="AP101" s="133"/>
      <c r="AQ101" s="134"/>
      <c r="AR101" s="161"/>
      <c r="AS101" s="161"/>
      <c r="AT101" s="161"/>
      <c r="AU101" s="161"/>
      <c r="AV101" s="162"/>
      <c r="AW101" s="137">
        <f t="shared" si="26"/>
        <v>0</v>
      </c>
      <c r="AX101" s="137">
        <f t="shared" si="27"/>
        <v>0</v>
      </c>
    </row>
    <row r="102" ht="47.25" customHeight="1" spans="1:50" s="97" customFormat="1" x14ac:dyDescent="0.25">
      <c r="A102" s="100"/>
      <c r="B102" s="100"/>
      <c r="C102" s="100"/>
      <c r="D102" s="100"/>
      <c r="E102" s="100"/>
      <c r="F102" s="100"/>
      <c r="G102" s="103"/>
      <c r="H102" s="186"/>
      <c r="I102" s="195">
        <v>0.51</v>
      </c>
      <c r="J102" s="107">
        <v>0.49</v>
      </c>
      <c r="K102" s="107"/>
      <c r="L102" s="107"/>
      <c r="M102" s="187"/>
      <c r="N102" s="169">
        <f t="shared" si="14"/>
        <v>1</v>
      </c>
      <c r="O102" s="144">
        <v>1</v>
      </c>
      <c r="P102" s="145">
        <v>15</v>
      </c>
      <c r="Q102" s="113">
        <v>15</v>
      </c>
      <c r="R102" s="113"/>
      <c r="S102" s="113"/>
      <c r="T102" s="146"/>
      <c r="U102" s="148">
        <f t="shared" si="17"/>
        <v>15</v>
      </c>
      <c r="V102" s="149">
        <f t="shared" si="18"/>
        <v>15</v>
      </c>
      <c r="W102" s="189"/>
      <c r="X102" s="199"/>
      <c r="Y102" s="151"/>
      <c r="Z102" s="190"/>
      <c r="AA102" s="153"/>
      <c r="AB102" s="154">
        <f t="shared" si="19"/>
        <v>0</v>
      </c>
      <c r="AC102" s="149">
        <f t="shared" si="20"/>
        <v>0</v>
      </c>
      <c r="AD102" s="125">
        <v>2</v>
      </c>
      <c r="AE102" s="148">
        <f t="shared" si="21"/>
        <v>2</v>
      </c>
      <c r="AF102" s="156"/>
      <c r="AG102" s="156"/>
      <c r="AH102" s="113">
        <f t="shared" si="22"/>
        <v>17</v>
      </c>
      <c r="AI102" s="157">
        <v>65</v>
      </c>
      <c r="AJ102" s="113">
        <f t="shared" si="23"/>
        <v>82</v>
      </c>
      <c r="AK102" s="113">
        <f t="shared" si="24"/>
        <v>82</v>
      </c>
      <c r="AL102" s="158">
        <f t="shared" si="25"/>
        <v>1.02</v>
      </c>
      <c r="AM102" s="159"/>
      <c r="AN102" s="160">
        <f t="shared" si="28"/>
        <v>1</v>
      </c>
      <c r="AO102" s="160">
        <f t="shared" si="28"/>
        <v>2</v>
      </c>
      <c r="AP102" s="133"/>
      <c r="AQ102" s="134"/>
      <c r="AR102" s="161"/>
      <c r="AS102" s="161"/>
      <c r="AT102" s="161"/>
      <c r="AU102" s="161"/>
      <c r="AV102" s="162"/>
      <c r="AW102" s="137">
        <f t="shared" si="26"/>
        <v>0</v>
      </c>
      <c r="AX102" s="137">
        <f t="shared" si="27"/>
        <v>0</v>
      </c>
    </row>
    <row r="103" ht="46.5" customHeight="1" spans="1:50" s="97" customFormat="1" x14ac:dyDescent="0.25">
      <c r="A103" s="100"/>
      <c r="B103" s="100"/>
      <c r="C103" s="100"/>
      <c r="D103" s="100"/>
      <c r="E103" s="100"/>
      <c r="F103" s="100"/>
      <c r="G103" s="103"/>
      <c r="H103" s="186"/>
      <c r="I103" s="195">
        <v>0.51</v>
      </c>
      <c r="J103" s="107">
        <v>0.49</v>
      </c>
      <c r="K103" s="107"/>
      <c r="L103" s="107"/>
      <c r="M103" s="187"/>
      <c r="N103" s="169">
        <f t="shared" si="14"/>
        <v>1</v>
      </c>
      <c r="O103" s="144">
        <v>1</v>
      </c>
      <c r="P103" s="145">
        <v>15</v>
      </c>
      <c r="Q103" s="113">
        <v>15</v>
      </c>
      <c r="R103" s="113"/>
      <c r="S103" s="113"/>
      <c r="T103" s="146"/>
      <c r="U103" s="148">
        <f t="shared" si="17"/>
        <v>15</v>
      </c>
      <c r="V103" s="149">
        <f t="shared" si="18"/>
        <v>15</v>
      </c>
      <c r="W103" s="189"/>
      <c r="X103" s="199"/>
      <c r="Y103" s="151"/>
      <c r="Z103" s="190"/>
      <c r="AA103" s="153"/>
      <c r="AB103" s="154">
        <f t="shared" si="19"/>
        <v>0</v>
      </c>
      <c r="AC103" s="149">
        <f t="shared" si="20"/>
        <v>0</v>
      </c>
      <c r="AD103" s="125">
        <v>2</v>
      </c>
      <c r="AE103" s="148">
        <f t="shared" si="21"/>
        <v>2</v>
      </c>
      <c r="AF103" s="156"/>
      <c r="AG103" s="156"/>
      <c r="AH103" s="113">
        <f t="shared" si="22"/>
        <v>17</v>
      </c>
      <c r="AI103" s="157">
        <v>65</v>
      </c>
      <c r="AJ103" s="113">
        <f t="shared" si="23"/>
        <v>82</v>
      </c>
      <c r="AK103" s="113">
        <f t="shared" si="24"/>
        <v>82</v>
      </c>
      <c r="AL103" s="158">
        <f t="shared" si="25"/>
        <v>1.02</v>
      </c>
      <c r="AM103" s="159"/>
      <c r="AN103" s="160">
        <f t="shared" si="28"/>
        <v>1</v>
      </c>
      <c r="AO103" s="160">
        <f t="shared" si="28"/>
        <v>2</v>
      </c>
      <c r="AP103" s="133"/>
      <c r="AQ103" s="134"/>
      <c r="AR103" s="161"/>
      <c r="AS103" s="161"/>
      <c r="AT103" s="161"/>
      <c r="AU103" s="161"/>
      <c r="AV103" s="162"/>
      <c r="AW103" s="137">
        <f t="shared" si="26"/>
        <v>0</v>
      </c>
      <c r="AX103" s="137">
        <f t="shared" si="27"/>
        <v>0</v>
      </c>
    </row>
    <row r="104" ht="46.5" customHeight="1" spans="1:50" s="97" customFormat="1" x14ac:dyDescent="0.25">
      <c r="A104" s="100"/>
      <c r="B104" s="100"/>
      <c r="C104" s="100"/>
      <c r="D104" s="100"/>
      <c r="E104" s="100"/>
      <c r="F104" s="100"/>
      <c r="G104" s="103"/>
      <c r="H104" s="186"/>
      <c r="I104" s="195">
        <v>0.51</v>
      </c>
      <c r="J104" s="107">
        <v>0.49</v>
      </c>
      <c r="K104" s="107"/>
      <c r="L104" s="107"/>
      <c r="M104" s="187"/>
      <c r="N104" s="169">
        <f t="shared" si="14"/>
        <v>1</v>
      </c>
      <c r="O104" s="144">
        <v>1</v>
      </c>
      <c r="P104" s="145">
        <v>15</v>
      </c>
      <c r="Q104" s="113">
        <v>15</v>
      </c>
      <c r="R104" s="113"/>
      <c r="S104" s="113"/>
      <c r="T104" s="146"/>
      <c r="U104" s="148">
        <f t="shared" si="17"/>
        <v>15</v>
      </c>
      <c r="V104" s="149">
        <f t="shared" si="18"/>
        <v>15</v>
      </c>
      <c r="W104" s="189"/>
      <c r="X104" s="199"/>
      <c r="Y104" s="151"/>
      <c r="Z104" s="190"/>
      <c r="AA104" s="153"/>
      <c r="AB104" s="154">
        <f t="shared" si="19"/>
        <v>0</v>
      </c>
      <c r="AC104" s="149">
        <f t="shared" si="20"/>
        <v>0</v>
      </c>
      <c r="AD104" s="125">
        <v>2</v>
      </c>
      <c r="AE104" s="148">
        <f t="shared" si="21"/>
        <v>2</v>
      </c>
      <c r="AF104" s="156"/>
      <c r="AG104" s="156"/>
      <c r="AH104" s="113">
        <f t="shared" si="22"/>
        <v>17</v>
      </c>
      <c r="AI104" s="157">
        <v>65</v>
      </c>
      <c r="AJ104" s="113">
        <f t="shared" si="23"/>
        <v>82</v>
      </c>
      <c r="AK104" s="113">
        <f t="shared" si="24"/>
        <v>82</v>
      </c>
      <c r="AL104" s="158">
        <f t="shared" si="25"/>
        <v>1.02</v>
      </c>
      <c r="AM104" s="159"/>
      <c r="AN104" s="160">
        <f t="shared" si="28"/>
        <v>1</v>
      </c>
      <c r="AO104" s="160">
        <f t="shared" si="28"/>
        <v>2</v>
      </c>
      <c r="AP104" s="133"/>
      <c r="AQ104" s="134"/>
      <c r="AR104" s="161"/>
      <c r="AS104" s="161"/>
      <c r="AT104" s="161"/>
      <c r="AU104" s="161"/>
      <c r="AV104" s="162"/>
      <c r="AW104" s="137">
        <f t="shared" si="26"/>
        <v>0</v>
      </c>
      <c r="AX104" s="137">
        <f t="shared" si="27"/>
        <v>0</v>
      </c>
    </row>
    <row r="105" ht="46.5" customHeight="1" spans="1:50" s="97" customFormat="1" x14ac:dyDescent="0.25">
      <c r="A105" s="100"/>
      <c r="B105" s="100"/>
      <c r="C105" s="100"/>
      <c r="D105" s="100"/>
      <c r="E105" s="100"/>
      <c r="F105" s="100"/>
      <c r="G105" s="103"/>
      <c r="H105" s="186"/>
      <c r="I105" s="195">
        <v>0.51</v>
      </c>
      <c r="J105" s="107">
        <v>0.49</v>
      </c>
      <c r="K105" s="107"/>
      <c r="L105" s="107"/>
      <c r="M105" s="187"/>
      <c r="N105" s="169">
        <f t="shared" si="14"/>
        <v>1</v>
      </c>
      <c r="O105" s="144">
        <v>1</v>
      </c>
      <c r="P105" s="145">
        <v>15</v>
      </c>
      <c r="Q105" s="113">
        <v>15</v>
      </c>
      <c r="R105" s="113"/>
      <c r="S105" s="113"/>
      <c r="T105" s="146"/>
      <c r="U105" s="148">
        <f t="shared" si="17"/>
        <v>15</v>
      </c>
      <c r="V105" s="149">
        <f t="shared" si="18"/>
        <v>15</v>
      </c>
      <c r="W105" s="189"/>
      <c r="X105" s="199"/>
      <c r="Y105" s="151"/>
      <c r="Z105" s="190"/>
      <c r="AA105" s="153"/>
      <c r="AB105" s="154">
        <f t="shared" si="19"/>
        <v>0</v>
      </c>
      <c r="AC105" s="149">
        <f t="shared" si="20"/>
        <v>0</v>
      </c>
      <c r="AD105" s="125">
        <v>2</v>
      </c>
      <c r="AE105" s="148">
        <f t="shared" si="21"/>
        <v>2</v>
      </c>
      <c r="AF105" s="156"/>
      <c r="AG105" s="156"/>
      <c r="AH105" s="113">
        <f t="shared" si="22"/>
        <v>17</v>
      </c>
      <c r="AI105" s="157">
        <v>65</v>
      </c>
      <c r="AJ105" s="113">
        <f t="shared" si="23"/>
        <v>82</v>
      </c>
      <c r="AK105" s="113">
        <f t="shared" si="24"/>
        <v>82</v>
      </c>
      <c r="AL105" s="158">
        <f t="shared" si="25"/>
        <v>1.02</v>
      </c>
      <c r="AM105" s="159"/>
      <c r="AN105" s="160">
        <f t="shared" si="28"/>
        <v>1</v>
      </c>
      <c r="AO105" s="160">
        <f t="shared" si="28"/>
        <v>2</v>
      </c>
      <c r="AP105" s="133"/>
      <c r="AQ105" s="134"/>
      <c r="AR105" s="161"/>
      <c r="AS105" s="161"/>
      <c r="AT105" s="161"/>
      <c r="AU105" s="161"/>
      <c r="AV105" s="162"/>
      <c r="AW105" s="137">
        <f t="shared" si="26"/>
        <v>0</v>
      </c>
      <c r="AX105" s="137">
        <f t="shared" si="27"/>
        <v>0</v>
      </c>
    </row>
    <row r="106" ht="46.5" customHeight="1" spans="1:50" s="97" customFormat="1" x14ac:dyDescent="0.25">
      <c r="A106" s="100"/>
      <c r="B106" s="100"/>
      <c r="C106" s="100"/>
      <c r="D106" s="100"/>
      <c r="E106" s="100"/>
      <c r="F106" s="100"/>
      <c r="G106" s="103"/>
      <c r="H106" s="186"/>
      <c r="I106" s="195">
        <v>0.51</v>
      </c>
      <c r="J106" s="107">
        <v>0.49</v>
      </c>
      <c r="K106" s="107"/>
      <c r="L106" s="107"/>
      <c r="M106" s="187"/>
      <c r="N106" s="169">
        <f t="shared" si="14"/>
        <v>1</v>
      </c>
      <c r="O106" s="144">
        <v>1</v>
      </c>
      <c r="P106" s="145">
        <v>15</v>
      </c>
      <c r="Q106" s="113">
        <v>15</v>
      </c>
      <c r="R106" s="113"/>
      <c r="S106" s="113"/>
      <c r="T106" s="146"/>
      <c r="U106" s="148">
        <f t="shared" si="17"/>
        <v>15</v>
      </c>
      <c r="V106" s="149">
        <f t="shared" si="18"/>
        <v>15</v>
      </c>
      <c r="W106" s="189"/>
      <c r="X106" s="199"/>
      <c r="Y106" s="151"/>
      <c r="Z106" s="190"/>
      <c r="AA106" s="153"/>
      <c r="AB106" s="154">
        <f t="shared" si="19"/>
        <v>0</v>
      </c>
      <c r="AC106" s="149">
        <f t="shared" si="20"/>
        <v>0</v>
      </c>
      <c r="AD106" s="125">
        <v>2</v>
      </c>
      <c r="AE106" s="148">
        <f t="shared" si="21"/>
        <v>2</v>
      </c>
      <c r="AF106" s="156"/>
      <c r="AG106" s="156"/>
      <c r="AH106" s="113">
        <f t="shared" si="22"/>
        <v>17</v>
      </c>
      <c r="AI106" s="157">
        <v>65</v>
      </c>
      <c r="AJ106" s="113">
        <f t="shared" si="23"/>
        <v>82</v>
      </c>
      <c r="AK106" s="113">
        <f t="shared" si="24"/>
        <v>82</v>
      </c>
      <c r="AL106" s="158">
        <f t="shared" si="25"/>
        <v>1.02</v>
      </c>
      <c r="AM106" s="159"/>
      <c r="AN106" s="160">
        <f t="shared" si="28"/>
        <v>1</v>
      </c>
      <c r="AO106" s="160">
        <f t="shared" si="28"/>
        <v>2</v>
      </c>
      <c r="AP106" s="133"/>
      <c r="AQ106" s="134"/>
      <c r="AR106" s="161"/>
      <c r="AS106" s="161"/>
      <c r="AT106" s="161"/>
      <c r="AU106" s="161"/>
      <c r="AV106" s="162"/>
      <c r="AW106" s="137">
        <f t="shared" si="26"/>
        <v>0</v>
      </c>
      <c r="AX106" s="137">
        <f t="shared" si="27"/>
        <v>0</v>
      </c>
    </row>
    <row r="107" ht="47.25" customHeight="1" spans="1:50" s="56" customFormat="1" x14ac:dyDescent="0.25">
      <c r="A107" s="100"/>
      <c r="B107" s="100"/>
      <c r="C107" s="100"/>
      <c r="D107" s="100"/>
      <c r="E107" s="100"/>
      <c r="F107" s="100"/>
      <c r="G107" s="103"/>
      <c r="H107" s="186"/>
      <c r="I107" s="195">
        <v>0.51</v>
      </c>
      <c r="J107" s="107">
        <v>0.49</v>
      </c>
      <c r="K107" s="107"/>
      <c r="L107" s="107"/>
      <c r="M107" s="187"/>
      <c r="N107" s="169">
        <f t="shared" ref="N107:N136" si="29">SUM(I107:M107)</f>
        <v>1</v>
      </c>
      <c r="O107" s="144">
        <v>1</v>
      </c>
      <c r="P107" s="145">
        <v>15</v>
      </c>
      <c r="Q107" s="113">
        <v>15</v>
      </c>
      <c r="R107" s="113"/>
      <c r="S107" s="113"/>
      <c r="T107" s="146"/>
      <c r="U107" s="148">
        <f t="shared" si="17"/>
        <v>15</v>
      </c>
      <c r="V107" s="149">
        <f t="shared" si="18"/>
        <v>15</v>
      </c>
      <c r="W107" s="189"/>
      <c r="X107" s="199"/>
      <c r="Y107" s="151"/>
      <c r="Z107" s="190"/>
      <c r="AA107" s="153"/>
      <c r="AB107" s="154">
        <f t="shared" si="19"/>
        <v>0</v>
      </c>
      <c r="AC107" s="149">
        <f t="shared" si="20"/>
        <v>0</v>
      </c>
      <c r="AD107" s="125">
        <v>2</v>
      </c>
      <c r="AE107" s="148">
        <f t="shared" si="21"/>
        <v>2</v>
      </c>
      <c r="AF107" s="156"/>
      <c r="AG107" s="156"/>
      <c r="AH107" s="113">
        <f t="shared" si="22"/>
        <v>17</v>
      </c>
      <c r="AI107" s="157">
        <v>65</v>
      </c>
      <c r="AJ107" s="113">
        <f t="shared" si="23"/>
        <v>82</v>
      </c>
      <c r="AK107" s="113">
        <f t="shared" si="24"/>
        <v>82</v>
      </c>
      <c r="AL107" s="158">
        <f t="shared" si="25"/>
        <v>1.02</v>
      </c>
      <c r="AM107" s="159"/>
      <c r="AN107" s="160">
        <f t="shared" si="28"/>
        <v>1</v>
      </c>
      <c r="AO107" s="160">
        <f t="shared" si="28"/>
        <v>2</v>
      </c>
      <c r="AP107" s="133"/>
      <c r="AQ107" s="134"/>
      <c r="AR107" s="161"/>
      <c r="AS107" s="161"/>
      <c r="AT107" s="161"/>
      <c r="AU107" s="161"/>
      <c r="AV107" s="162"/>
      <c r="AW107" s="137">
        <f t="shared" si="26"/>
        <v>0</v>
      </c>
      <c r="AX107" s="137">
        <f t="shared" si="27"/>
        <v>0</v>
      </c>
    </row>
    <row r="108" ht="57" customHeight="1" spans="1:50" s="97" customFormat="1" x14ac:dyDescent="0.25">
      <c r="A108" s="100"/>
      <c r="B108" s="100"/>
      <c r="C108" s="100"/>
      <c r="D108" s="100"/>
      <c r="E108" s="100"/>
      <c r="F108" s="100"/>
      <c r="G108" s="103"/>
      <c r="H108" s="186"/>
      <c r="I108" s="195">
        <v>0.51</v>
      </c>
      <c r="J108" s="107">
        <v>0.49</v>
      </c>
      <c r="K108" s="107"/>
      <c r="L108" s="107"/>
      <c r="M108" s="187"/>
      <c r="N108" s="169">
        <f t="shared" si="29"/>
        <v>1</v>
      </c>
      <c r="O108" s="144">
        <v>1</v>
      </c>
      <c r="P108" s="145">
        <v>15</v>
      </c>
      <c r="Q108" s="113">
        <v>15</v>
      </c>
      <c r="R108" s="113"/>
      <c r="S108" s="113"/>
      <c r="T108" s="146"/>
      <c r="U108" s="148">
        <f t="shared" si="17"/>
        <v>15</v>
      </c>
      <c r="V108" s="149">
        <f t="shared" si="18"/>
        <v>15</v>
      </c>
      <c r="W108" s="189"/>
      <c r="X108" s="199"/>
      <c r="Y108" s="151"/>
      <c r="Z108" s="190"/>
      <c r="AA108" s="153"/>
      <c r="AB108" s="154">
        <f t="shared" si="19"/>
        <v>0</v>
      </c>
      <c r="AC108" s="149">
        <f t="shared" si="20"/>
        <v>0</v>
      </c>
      <c r="AD108" s="125">
        <v>2</v>
      </c>
      <c r="AE108" s="148">
        <f t="shared" si="21"/>
        <v>2</v>
      </c>
      <c r="AF108" s="156"/>
      <c r="AG108" s="156"/>
      <c r="AH108" s="113">
        <f t="shared" si="22"/>
        <v>17</v>
      </c>
      <c r="AI108" s="157">
        <v>65</v>
      </c>
      <c r="AJ108" s="113">
        <f t="shared" si="23"/>
        <v>82</v>
      </c>
      <c r="AK108" s="113">
        <f t="shared" si="24"/>
        <v>82</v>
      </c>
      <c r="AL108" s="158">
        <f t="shared" si="25"/>
        <v>1.02</v>
      </c>
      <c r="AM108" s="159"/>
      <c r="AN108" s="160">
        <f t="shared" si="28"/>
        <v>1</v>
      </c>
      <c r="AO108" s="160">
        <f t="shared" si="28"/>
        <v>2</v>
      </c>
      <c r="AP108" s="133"/>
      <c r="AQ108" s="134"/>
      <c r="AR108" s="161"/>
      <c r="AS108" s="161"/>
      <c r="AT108" s="161"/>
      <c r="AU108" s="161"/>
      <c r="AV108" s="162"/>
      <c r="AW108" s="137">
        <f t="shared" si="26"/>
        <v>0</v>
      </c>
      <c r="AX108" s="137">
        <f t="shared" si="27"/>
        <v>0</v>
      </c>
    </row>
    <row r="109" ht="46.5" customHeight="1" spans="1:50" s="97" customFormat="1" x14ac:dyDescent="0.25">
      <c r="A109" s="100"/>
      <c r="B109" s="100"/>
      <c r="C109" s="100"/>
      <c r="D109" s="100"/>
      <c r="E109" s="100"/>
      <c r="F109" s="100"/>
      <c r="G109" s="103"/>
      <c r="H109" s="186"/>
      <c r="I109" s="195">
        <v>0.51</v>
      </c>
      <c r="J109" s="107">
        <v>0.49</v>
      </c>
      <c r="K109" s="107"/>
      <c r="L109" s="107"/>
      <c r="M109" s="187"/>
      <c r="N109" s="169">
        <f t="shared" si="29"/>
        <v>1</v>
      </c>
      <c r="O109" s="144">
        <v>1</v>
      </c>
      <c r="P109" s="145">
        <v>15</v>
      </c>
      <c r="Q109" s="113">
        <v>15</v>
      </c>
      <c r="R109" s="113"/>
      <c r="S109" s="113"/>
      <c r="T109" s="146"/>
      <c r="U109" s="148">
        <f t="shared" si="17"/>
        <v>15</v>
      </c>
      <c r="V109" s="149">
        <f t="shared" si="18"/>
        <v>15</v>
      </c>
      <c r="W109" s="189"/>
      <c r="X109" s="199"/>
      <c r="Y109" s="151"/>
      <c r="Z109" s="190"/>
      <c r="AA109" s="153"/>
      <c r="AB109" s="154">
        <f t="shared" si="19"/>
        <v>0</v>
      </c>
      <c r="AC109" s="149">
        <f t="shared" si="20"/>
        <v>0</v>
      </c>
      <c r="AD109" s="125">
        <v>2</v>
      </c>
      <c r="AE109" s="148">
        <f t="shared" si="21"/>
        <v>2</v>
      </c>
      <c r="AF109" s="156"/>
      <c r="AG109" s="156"/>
      <c r="AH109" s="113">
        <f t="shared" si="22"/>
        <v>17</v>
      </c>
      <c r="AI109" s="157">
        <v>65</v>
      </c>
      <c r="AJ109" s="113">
        <f t="shared" si="23"/>
        <v>82</v>
      </c>
      <c r="AK109" s="113">
        <f t="shared" si="24"/>
        <v>82</v>
      </c>
      <c r="AL109" s="158">
        <f t="shared" si="25"/>
        <v>1.02</v>
      </c>
      <c r="AM109" s="159"/>
      <c r="AN109" s="160">
        <f t="shared" si="28"/>
        <v>1</v>
      </c>
      <c r="AO109" s="160">
        <f t="shared" si="28"/>
        <v>2</v>
      </c>
      <c r="AP109" s="133"/>
      <c r="AQ109" s="134"/>
      <c r="AR109" s="161"/>
      <c r="AS109" s="161"/>
      <c r="AT109" s="161"/>
      <c r="AU109" s="161"/>
      <c r="AV109" s="162"/>
      <c r="AW109" s="137">
        <f t="shared" si="26"/>
        <v>0</v>
      </c>
      <c r="AX109" s="137">
        <f t="shared" si="27"/>
        <v>0</v>
      </c>
    </row>
    <row r="110" ht="47.25" customHeight="1" spans="1:50" s="56" customFormat="1" x14ac:dyDescent="0.25">
      <c r="A110" s="100"/>
      <c r="B110" s="100"/>
      <c r="C110" s="100"/>
      <c r="D110" s="100"/>
      <c r="E110" s="100"/>
      <c r="F110" s="100"/>
      <c r="G110" s="103"/>
      <c r="H110" s="186"/>
      <c r="I110" s="195">
        <v>0.51</v>
      </c>
      <c r="J110" s="107">
        <v>0.49</v>
      </c>
      <c r="K110" s="107"/>
      <c r="L110" s="107"/>
      <c r="M110" s="187"/>
      <c r="N110" s="169">
        <f t="shared" si="29"/>
        <v>1</v>
      </c>
      <c r="O110" s="144">
        <v>1</v>
      </c>
      <c r="P110" s="145">
        <v>15</v>
      </c>
      <c r="Q110" s="113">
        <v>15</v>
      </c>
      <c r="R110" s="113"/>
      <c r="S110" s="113"/>
      <c r="T110" s="146"/>
      <c r="U110" s="148">
        <f t="shared" si="17"/>
        <v>15</v>
      </c>
      <c r="V110" s="149">
        <f t="shared" si="18"/>
        <v>15</v>
      </c>
      <c r="W110" s="189"/>
      <c r="X110" s="199"/>
      <c r="Y110" s="151"/>
      <c r="Z110" s="190"/>
      <c r="AA110" s="153"/>
      <c r="AB110" s="154">
        <f t="shared" si="19"/>
        <v>0</v>
      </c>
      <c r="AC110" s="149">
        <f t="shared" si="20"/>
        <v>0</v>
      </c>
      <c r="AD110" s="125">
        <v>2</v>
      </c>
      <c r="AE110" s="148">
        <f t="shared" si="21"/>
        <v>2</v>
      </c>
      <c r="AF110" s="156"/>
      <c r="AG110" s="156"/>
      <c r="AH110" s="113">
        <f t="shared" si="22"/>
        <v>17</v>
      </c>
      <c r="AI110" s="157">
        <v>65</v>
      </c>
      <c r="AJ110" s="113">
        <f t="shared" si="23"/>
        <v>82</v>
      </c>
      <c r="AK110" s="113">
        <f t="shared" si="24"/>
        <v>82</v>
      </c>
      <c r="AL110" s="158">
        <f t="shared" si="25"/>
        <v>1.02</v>
      </c>
      <c r="AM110" s="159"/>
      <c r="AN110" s="160">
        <f t="shared" si="28"/>
        <v>1</v>
      </c>
      <c r="AO110" s="160">
        <f t="shared" si="28"/>
        <v>2</v>
      </c>
      <c r="AP110" s="133"/>
      <c r="AQ110" s="134"/>
      <c r="AR110" s="161"/>
      <c r="AS110" s="161"/>
      <c r="AT110" s="161"/>
      <c r="AU110" s="161"/>
      <c r="AV110" s="162"/>
      <c r="AW110" s="137">
        <f t="shared" si="26"/>
        <v>0</v>
      </c>
      <c r="AX110" s="137">
        <f t="shared" si="27"/>
        <v>0</v>
      </c>
    </row>
    <row r="111" ht="46.5" customHeight="1" spans="1:50" s="97" customFormat="1" x14ac:dyDescent="0.25">
      <c r="A111" s="100"/>
      <c r="B111" s="100"/>
      <c r="C111" s="100"/>
      <c r="D111" s="100"/>
      <c r="E111" s="100"/>
      <c r="F111" s="100"/>
      <c r="G111" s="103"/>
      <c r="H111" s="186"/>
      <c r="I111" s="195">
        <v>0.51</v>
      </c>
      <c r="J111" s="107">
        <v>0.49</v>
      </c>
      <c r="K111" s="107"/>
      <c r="L111" s="107"/>
      <c r="M111" s="187"/>
      <c r="N111" s="169">
        <f t="shared" si="29"/>
        <v>1</v>
      </c>
      <c r="O111" s="144">
        <v>1</v>
      </c>
      <c r="P111" s="145">
        <v>15</v>
      </c>
      <c r="Q111" s="113">
        <v>15</v>
      </c>
      <c r="R111" s="113"/>
      <c r="S111" s="113"/>
      <c r="T111" s="146"/>
      <c r="U111" s="148">
        <f t="shared" si="17"/>
        <v>15</v>
      </c>
      <c r="V111" s="149">
        <f t="shared" si="18"/>
        <v>15</v>
      </c>
      <c r="W111" s="189"/>
      <c r="X111" s="199"/>
      <c r="Y111" s="151"/>
      <c r="Z111" s="190"/>
      <c r="AA111" s="153"/>
      <c r="AB111" s="154">
        <f t="shared" si="19"/>
        <v>0</v>
      </c>
      <c r="AC111" s="149">
        <f t="shared" si="20"/>
        <v>0</v>
      </c>
      <c r="AD111" s="125">
        <v>2</v>
      </c>
      <c r="AE111" s="148">
        <f t="shared" si="21"/>
        <v>2</v>
      </c>
      <c r="AF111" s="156"/>
      <c r="AG111" s="156"/>
      <c r="AH111" s="113">
        <f t="shared" si="22"/>
        <v>17</v>
      </c>
      <c r="AI111" s="157">
        <v>65</v>
      </c>
      <c r="AJ111" s="113">
        <f t="shared" si="23"/>
        <v>82</v>
      </c>
      <c r="AK111" s="113">
        <f t="shared" si="24"/>
        <v>82</v>
      </c>
      <c r="AL111" s="158">
        <f t="shared" si="25"/>
        <v>1.02</v>
      </c>
      <c r="AM111" s="159"/>
      <c r="AN111" s="160">
        <f t="shared" ref="AN111:AO130" si="30">100%+AM111</f>
        <v>1</v>
      </c>
      <c r="AO111" s="160">
        <f t="shared" si="30"/>
        <v>2</v>
      </c>
      <c r="AP111" s="133"/>
      <c r="AQ111" s="134"/>
      <c r="AR111" s="161"/>
      <c r="AS111" s="161"/>
      <c r="AT111" s="161"/>
      <c r="AU111" s="161"/>
      <c r="AV111" s="162"/>
      <c r="AW111" s="137">
        <f t="shared" si="26"/>
        <v>0</v>
      </c>
      <c r="AX111" s="137">
        <f t="shared" si="27"/>
        <v>0</v>
      </c>
    </row>
    <row r="112" ht="46.5" customHeight="1" spans="1:50" s="97" customFormat="1" x14ac:dyDescent="0.25">
      <c r="A112" s="100"/>
      <c r="B112" s="100"/>
      <c r="C112" s="100"/>
      <c r="D112" s="100"/>
      <c r="E112" s="100"/>
      <c r="F112" s="100"/>
      <c r="G112" s="103"/>
      <c r="H112" s="186"/>
      <c r="I112" s="195">
        <v>0.51</v>
      </c>
      <c r="J112" s="107">
        <v>0.49</v>
      </c>
      <c r="K112" s="107"/>
      <c r="L112" s="107"/>
      <c r="M112" s="187"/>
      <c r="N112" s="169">
        <f t="shared" si="29"/>
        <v>1</v>
      </c>
      <c r="O112" s="144">
        <v>1</v>
      </c>
      <c r="P112" s="145">
        <v>15</v>
      </c>
      <c r="Q112" s="113">
        <v>15</v>
      </c>
      <c r="R112" s="113"/>
      <c r="S112" s="113"/>
      <c r="T112" s="146"/>
      <c r="U112" s="148">
        <f t="shared" si="17"/>
        <v>15</v>
      </c>
      <c r="V112" s="149">
        <f t="shared" si="18"/>
        <v>15</v>
      </c>
      <c r="W112" s="189"/>
      <c r="X112" s="199"/>
      <c r="Y112" s="151"/>
      <c r="Z112" s="190"/>
      <c r="AA112" s="153"/>
      <c r="AB112" s="154">
        <f t="shared" si="19"/>
        <v>0</v>
      </c>
      <c r="AC112" s="149">
        <f t="shared" si="20"/>
        <v>0</v>
      </c>
      <c r="AD112" s="125">
        <v>2</v>
      </c>
      <c r="AE112" s="148">
        <f t="shared" si="21"/>
        <v>2</v>
      </c>
      <c r="AF112" s="156"/>
      <c r="AG112" s="156"/>
      <c r="AH112" s="113">
        <f t="shared" si="22"/>
        <v>17</v>
      </c>
      <c r="AI112" s="157">
        <v>65</v>
      </c>
      <c r="AJ112" s="113">
        <f t="shared" si="23"/>
        <v>82</v>
      </c>
      <c r="AK112" s="113">
        <f t="shared" si="24"/>
        <v>82</v>
      </c>
      <c r="AL112" s="158">
        <f t="shared" si="25"/>
        <v>1.02</v>
      </c>
      <c r="AM112" s="159"/>
      <c r="AN112" s="160">
        <f t="shared" si="30"/>
        <v>1</v>
      </c>
      <c r="AO112" s="160">
        <f t="shared" si="30"/>
        <v>2</v>
      </c>
      <c r="AP112" s="133"/>
      <c r="AQ112" s="134"/>
      <c r="AR112" s="161"/>
      <c r="AS112" s="161"/>
      <c r="AT112" s="161"/>
      <c r="AU112" s="161"/>
      <c r="AV112" s="162"/>
      <c r="AW112" s="137">
        <f t="shared" si="26"/>
        <v>0</v>
      </c>
      <c r="AX112" s="137">
        <f t="shared" si="27"/>
        <v>0</v>
      </c>
    </row>
    <row r="113" ht="46.5" customHeight="1" spans="1:50" s="97" customFormat="1" x14ac:dyDescent="0.25">
      <c r="A113" s="100"/>
      <c r="B113" s="100"/>
      <c r="C113" s="100"/>
      <c r="D113" s="100"/>
      <c r="E113" s="100"/>
      <c r="F113" s="100"/>
      <c r="G113" s="103"/>
      <c r="H113" s="186"/>
      <c r="I113" s="195">
        <v>0.51</v>
      </c>
      <c r="J113" s="107">
        <v>0.49</v>
      </c>
      <c r="K113" s="107"/>
      <c r="L113" s="107"/>
      <c r="M113" s="187"/>
      <c r="N113" s="169">
        <f t="shared" si="29"/>
        <v>1</v>
      </c>
      <c r="O113" s="144">
        <v>1</v>
      </c>
      <c r="P113" s="145">
        <v>15</v>
      </c>
      <c r="Q113" s="113">
        <v>15</v>
      </c>
      <c r="R113" s="113"/>
      <c r="S113" s="113"/>
      <c r="T113" s="146"/>
      <c r="U113" s="148">
        <f t="shared" si="17"/>
        <v>15</v>
      </c>
      <c r="V113" s="149">
        <f t="shared" si="18"/>
        <v>15</v>
      </c>
      <c r="W113" s="189"/>
      <c r="X113" s="199"/>
      <c r="Y113" s="151"/>
      <c r="Z113" s="190"/>
      <c r="AA113" s="153"/>
      <c r="AB113" s="154">
        <f t="shared" si="19"/>
        <v>0</v>
      </c>
      <c r="AC113" s="149">
        <f t="shared" si="20"/>
        <v>0</v>
      </c>
      <c r="AD113" s="125">
        <v>2</v>
      </c>
      <c r="AE113" s="148">
        <f t="shared" si="21"/>
        <v>2</v>
      </c>
      <c r="AF113" s="156"/>
      <c r="AG113" s="156"/>
      <c r="AH113" s="113">
        <f t="shared" si="22"/>
        <v>17</v>
      </c>
      <c r="AI113" s="157">
        <v>65</v>
      </c>
      <c r="AJ113" s="113">
        <f t="shared" si="23"/>
        <v>82</v>
      </c>
      <c r="AK113" s="113">
        <f t="shared" si="24"/>
        <v>82</v>
      </c>
      <c r="AL113" s="158">
        <f t="shared" si="25"/>
        <v>1.02</v>
      </c>
      <c r="AM113" s="159"/>
      <c r="AN113" s="160">
        <f t="shared" si="30"/>
        <v>1</v>
      </c>
      <c r="AO113" s="160">
        <f t="shared" si="30"/>
        <v>2</v>
      </c>
      <c r="AP113" s="133"/>
      <c r="AQ113" s="134"/>
      <c r="AR113" s="161"/>
      <c r="AS113" s="161"/>
      <c r="AT113" s="161"/>
      <c r="AU113" s="161"/>
      <c r="AV113" s="162"/>
      <c r="AW113" s="137">
        <f t="shared" si="26"/>
        <v>0</v>
      </c>
      <c r="AX113" s="137">
        <f t="shared" si="27"/>
        <v>0</v>
      </c>
    </row>
    <row r="114" ht="53.25" customHeight="1" spans="1:50" s="97" customFormat="1" x14ac:dyDescent="0.25">
      <c r="A114" s="100"/>
      <c r="B114" s="100"/>
      <c r="C114" s="100"/>
      <c r="D114" s="100"/>
      <c r="E114" s="100"/>
      <c r="F114" s="100"/>
      <c r="G114" s="103"/>
      <c r="H114" s="186"/>
      <c r="I114" s="195">
        <v>0.51</v>
      </c>
      <c r="J114" s="107">
        <v>0.49</v>
      </c>
      <c r="K114" s="107"/>
      <c r="L114" s="107"/>
      <c r="M114" s="187"/>
      <c r="N114" s="169">
        <f t="shared" si="29"/>
        <v>1</v>
      </c>
      <c r="O114" s="144">
        <v>1</v>
      </c>
      <c r="P114" s="145">
        <v>15</v>
      </c>
      <c r="Q114" s="113">
        <v>15</v>
      </c>
      <c r="R114" s="113"/>
      <c r="S114" s="113"/>
      <c r="T114" s="146"/>
      <c r="U114" s="148">
        <f t="shared" si="17"/>
        <v>15</v>
      </c>
      <c r="V114" s="149">
        <f t="shared" si="18"/>
        <v>15</v>
      </c>
      <c r="W114" s="189"/>
      <c r="X114" s="199"/>
      <c r="Y114" s="151"/>
      <c r="Z114" s="190"/>
      <c r="AA114" s="153"/>
      <c r="AB114" s="154">
        <f t="shared" si="19"/>
        <v>0</v>
      </c>
      <c r="AC114" s="149">
        <f t="shared" si="20"/>
        <v>0</v>
      </c>
      <c r="AD114" s="125">
        <v>2</v>
      </c>
      <c r="AE114" s="148">
        <f t="shared" si="21"/>
        <v>2</v>
      </c>
      <c r="AF114" s="156"/>
      <c r="AG114" s="156"/>
      <c r="AH114" s="113">
        <f t="shared" si="22"/>
        <v>17</v>
      </c>
      <c r="AI114" s="157">
        <v>65</v>
      </c>
      <c r="AJ114" s="113">
        <f t="shared" si="23"/>
        <v>82</v>
      </c>
      <c r="AK114" s="113">
        <f t="shared" si="24"/>
        <v>82</v>
      </c>
      <c r="AL114" s="158">
        <f t="shared" si="25"/>
        <v>1.02</v>
      </c>
      <c r="AM114" s="159"/>
      <c r="AN114" s="160">
        <f t="shared" si="30"/>
        <v>1</v>
      </c>
      <c r="AO114" s="160">
        <f t="shared" si="30"/>
        <v>2</v>
      </c>
      <c r="AP114" s="133"/>
      <c r="AQ114" s="134"/>
      <c r="AR114" s="161"/>
      <c r="AS114" s="161"/>
      <c r="AT114" s="161"/>
      <c r="AU114" s="161"/>
      <c r="AV114" s="162"/>
      <c r="AW114" s="137">
        <f t="shared" si="26"/>
        <v>0</v>
      </c>
      <c r="AX114" s="137">
        <f t="shared" si="27"/>
        <v>0</v>
      </c>
    </row>
    <row r="115" ht="46.5" customHeight="1" spans="1:50" s="97" customFormat="1" x14ac:dyDescent="0.25">
      <c r="A115" s="100"/>
      <c r="B115" s="100"/>
      <c r="C115" s="100"/>
      <c r="D115" s="100"/>
      <c r="E115" s="100"/>
      <c r="F115" s="100"/>
      <c r="G115" s="103"/>
      <c r="H115" s="186"/>
      <c r="I115" s="195">
        <v>0.51</v>
      </c>
      <c r="J115" s="107">
        <v>0.49</v>
      </c>
      <c r="K115" s="107"/>
      <c r="L115" s="107"/>
      <c r="M115" s="187"/>
      <c r="N115" s="169">
        <f t="shared" si="29"/>
        <v>1</v>
      </c>
      <c r="O115" s="144">
        <v>1</v>
      </c>
      <c r="P115" s="145">
        <v>15</v>
      </c>
      <c r="Q115" s="113">
        <v>15</v>
      </c>
      <c r="R115" s="113"/>
      <c r="S115" s="113"/>
      <c r="T115" s="146"/>
      <c r="U115" s="148">
        <f t="shared" si="17"/>
        <v>15</v>
      </c>
      <c r="V115" s="149">
        <f t="shared" si="18"/>
        <v>15</v>
      </c>
      <c r="W115" s="189"/>
      <c r="X115" s="199"/>
      <c r="Y115" s="151"/>
      <c r="Z115" s="190"/>
      <c r="AA115" s="153"/>
      <c r="AB115" s="154">
        <f t="shared" si="19"/>
        <v>0</v>
      </c>
      <c r="AC115" s="149">
        <f t="shared" si="20"/>
        <v>0</v>
      </c>
      <c r="AD115" s="125">
        <v>2</v>
      </c>
      <c r="AE115" s="148">
        <f t="shared" si="21"/>
        <v>2</v>
      </c>
      <c r="AF115" s="156"/>
      <c r="AG115" s="156"/>
      <c r="AH115" s="113">
        <f t="shared" si="22"/>
        <v>17</v>
      </c>
      <c r="AI115" s="157">
        <v>65</v>
      </c>
      <c r="AJ115" s="113">
        <f t="shared" si="23"/>
        <v>82</v>
      </c>
      <c r="AK115" s="113">
        <f t="shared" si="24"/>
        <v>82</v>
      </c>
      <c r="AL115" s="158">
        <f t="shared" si="25"/>
        <v>1.02</v>
      </c>
      <c r="AM115" s="159"/>
      <c r="AN115" s="160">
        <f t="shared" si="30"/>
        <v>1</v>
      </c>
      <c r="AO115" s="160">
        <f t="shared" si="30"/>
        <v>2</v>
      </c>
      <c r="AP115" s="133"/>
      <c r="AQ115" s="134"/>
      <c r="AR115" s="161"/>
      <c r="AS115" s="161"/>
      <c r="AT115" s="161"/>
      <c r="AU115" s="161"/>
      <c r="AV115" s="162"/>
      <c r="AW115" s="137">
        <f t="shared" si="26"/>
        <v>0</v>
      </c>
      <c r="AX115" s="137">
        <f t="shared" si="27"/>
        <v>0</v>
      </c>
    </row>
    <row r="116" ht="46.5" customHeight="1" spans="1:50" s="97" customFormat="1" x14ac:dyDescent="0.25">
      <c r="A116" s="100"/>
      <c r="B116" s="100"/>
      <c r="C116" s="100"/>
      <c r="D116" s="100"/>
      <c r="E116" s="100"/>
      <c r="F116" s="100"/>
      <c r="G116" s="103"/>
      <c r="H116" s="186"/>
      <c r="I116" s="195">
        <v>0.51</v>
      </c>
      <c r="J116" s="107">
        <v>0.49</v>
      </c>
      <c r="K116" s="107"/>
      <c r="L116" s="107"/>
      <c r="M116" s="187"/>
      <c r="N116" s="169">
        <f t="shared" si="29"/>
        <v>1</v>
      </c>
      <c r="O116" s="144">
        <v>1</v>
      </c>
      <c r="P116" s="145">
        <v>15</v>
      </c>
      <c r="Q116" s="113">
        <v>15</v>
      </c>
      <c r="R116" s="113"/>
      <c r="S116" s="113"/>
      <c r="T116" s="146"/>
      <c r="U116" s="148">
        <f t="shared" si="17"/>
        <v>15</v>
      </c>
      <c r="V116" s="149">
        <f t="shared" si="18"/>
        <v>15</v>
      </c>
      <c r="W116" s="189"/>
      <c r="X116" s="199"/>
      <c r="Y116" s="151"/>
      <c r="Z116" s="190"/>
      <c r="AA116" s="153"/>
      <c r="AB116" s="154">
        <f t="shared" si="19"/>
        <v>0</v>
      </c>
      <c r="AC116" s="149">
        <f t="shared" si="20"/>
        <v>0</v>
      </c>
      <c r="AD116" s="125">
        <v>2</v>
      </c>
      <c r="AE116" s="148">
        <f t="shared" si="21"/>
        <v>2</v>
      </c>
      <c r="AF116" s="156"/>
      <c r="AG116" s="156"/>
      <c r="AH116" s="113">
        <f t="shared" si="22"/>
        <v>17</v>
      </c>
      <c r="AI116" s="157">
        <v>65</v>
      </c>
      <c r="AJ116" s="113">
        <f t="shared" si="23"/>
        <v>82</v>
      </c>
      <c r="AK116" s="113">
        <f t="shared" si="24"/>
        <v>82</v>
      </c>
      <c r="AL116" s="158">
        <f t="shared" si="25"/>
        <v>1.02</v>
      </c>
      <c r="AM116" s="159"/>
      <c r="AN116" s="160">
        <f t="shared" si="30"/>
        <v>1</v>
      </c>
      <c r="AO116" s="160">
        <f t="shared" si="30"/>
        <v>2</v>
      </c>
      <c r="AP116" s="133"/>
      <c r="AQ116" s="134"/>
      <c r="AR116" s="161"/>
      <c r="AS116" s="161"/>
      <c r="AT116" s="161"/>
      <c r="AU116" s="161"/>
      <c r="AV116" s="162"/>
      <c r="AW116" s="137">
        <f t="shared" si="26"/>
        <v>0</v>
      </c>
      <c r="AX116" s="137">
        <f t="shared" si="27"/>
        <v>0</v>
      </c>
    </row>
    <row r="117" ht="46.5" customHeight="1" spans="1:50" s="97" customFormat="1" x14ac:dyDescent="0.25">
      <c r="A117" s="100"/>
      <c r="B117" s="100"/>
      <c r="C117" s="100"/>
      <c r="D117" s="100"/>
      <c r="E117" s="100"/>
      <c r="F117" s="100"/>
      <c r="G117" s="103"/>
      <c r="H117" s="186"/>
      <c r="I117" s="195">
        <v>0.51</v>
      </c>
      <c r="J117" s="107">
        <v>0.49</v>
      </c>
      <c r="K117" s="107"/>
      <c r="L117" s="107"/>
      <c r="M117" s="187"/>
      <c r="N117" s="169">
        <f t="shared" si="29"/>
        <v>1</v>
      </c>
      <c r="O117" s="144">
        <v>1</v>
      </c>
      <c r="P117" s="145">
        <v>15</v>
      </c>
      <c r="Q117" s="113">
        <v>15</v>
      </c>
      <c r="R117" s="113"/>
      <c r="S117" s="113"/>
      <c r="T117" s="146"/>
      <c r="U117" s="148">
        <f t="shared" si="17"/>
        <v>15</v>
      </c>
      <c r="V117" s="149">
        <f t="shared" si="18"/>
        <v>15</v>
      </c>
      <c r="W117" s="189"/>
      <c r="X117" s="199"/>
      <c r="Y117" s="151"/>
      <c r="Z117" s="190"/>
      <c r="AA117" s="153"/>
      <c r="AB117" s="154">
        <f t="shared" si="19"/>
        <v>0</v>
      </c>
      <c r="AC117" s="149">
        <f t="shared" si="20"/>
        <v>0</v>
      </c>
      <c r="AD117" s="125">
        <v>2</v>
      </c>
      <c r="AE117" s="148">
        <f t="shared" si="21"/>
        <v>2</v>
      </c>
      <c r="AF117" s="156"/>
      <c r="AG117" s="156"/>
      <c r="AH117" s="113">
        <f t="shared" si="22"/>
        <v>17</v>
      </c>
      <c r="AI117" s="157">
        <v>65</v>
      </c>
      <c r="AJ117" s="113">
        <f t="shared" si="23"/>
        <v>82</v>
      </c>
      <c r="AK117" s="113">
        <f t="shared" si="24"/>
        <v>82</v>
      </c>
      <c r="AL117" s="158">
        <f t="shared" si="25"/>
        <v>1.02</v>
      </c>
      <c r="AM117" s="159"/>
      <c r="AN117" s="160">
        <f t="shared" si="30"/>
        <v>1</v>
      </c>
      <c r="AO117" s="160">
        <f t="shared" si="30"/>
        <v>2</v>
      </c>
      <c r="AP117" s="133"/>
      <c r="AQ117" s="134"/>
      <c r="AR117" s="161"/>
      <c r="AS117" s="161"/>
      <c r="AT117" s="161"/>
      <c r="AU117" s="161"/>
      <c r="AV117" s="162"/>
      <c r="AW117" s="137">
        <f t="shared" si="26"/>
        <v>0</v>
      </c>
      <c r="AX117" s="137">
        <f t="shared" si="27"/>
        <v>0</v>
      </c>
    </row>
    <row r="118" ht="47.25" customHeight="1" spans="1:50" s="56" customFormat="1" x14ac:dyDescent="0.25">
      <c r="A118" s="100"/>
      <c r="B118" s="100"/>
      <c r="C118" s="100"/>
      <c r="D118" s="100"/>
      <c r="E118" s="100"/>
      <c r="F118" s="100"/>
      <c r="G118" s="103"/>
      <c r="H118" s="186"/>
      <c r="I118" s="195">
        <v>0.51</v>
      </c>
      <c r="J118" s="107">
        <v>0.49</v>
      </c>
      <c r="K118" s="107"/>
      <c r="L118" s="107"/>
      <c r="M118" s="187"/>
      <c r="N118" s="169">
        <f t="shared" si="29"/>
        <v>1</v>
      </c>
      <c r="O118" s="144">
        <v>1</v>
      </c>
      <c r="P118" s="145">
        <v>15</v>
      </c>
      <c r="Q118" s="113">
        <v>15</v>
      </c>
      <c r="R118" s="113"/>
      <c r="S118" s="113"/>
      <c r="T118" s="146"/>
      <c r="U118" s="148">
        <f t="shared" si="17"/>
        <v>15</v>
      </c>
      <c r="V118" s="149">
        <f t="shared" si="18"/>
        <v>15</v>
      </c>
      <c r="W118" s="189"/>
      <c r="X118" s="199"/>
      <c r="Y118" s="151"/>
      <c r="Z118" s="190"/>
      <c r="AA118" s="153"/>
      <c r="AB118" s="154">
        <f t="shared" si="19"/>
        <v>0</v>
      </c>
      <c r="AC118" s="149">
        <f t="shared" si="20"/>
        <v>0</v>
      </c>
      <c r="AD118" s="125">
        <v>2</v>
      </c>
      <c r="AE118" s="148">
        <f t="shared" si="21"/>
        <v>2</v>
      </c>
      <c r="AF118" s="156"/>
      <c r="AG118" s="156"/>
      <c r="AH118" s="113">
        <f t="shared" si="22"/>
        <v>17</v>
      </c>
      <c r="AI118" s="157">
        <v>65</v>
      </c>
      <c r="AJ118" s="113">
        <f t="shared" si="23"/>
        <v>82</v>
      </c>
      <c r="AK118" s="113">
        <f t="shared" si="24"/>
        <v>82</v>
      </c>
      <c r="AL118" s="158">
        <f t="shared" si="25"/>
        <v>1.02</v>
      </c>
      <c r="AM118" s="159"/>
      <c r="AN118" s="160">
        <f t="shared" si="30"/>
        <v>1</v>
      </c>
      <c r="AO118" s="160">
        <f t="shared" si="30"/>
        <v>2</v>
      </c>
      <c r="AP118" s="133"/>
      <c r="AQ118" s="134"/>
      <c r="AR118" s="161"/>
      <c r="AS118" s="161"/>
      <c r="AT118" s="161"/>
      <c r="AU118" s="161"/>
      <c r="AV118" s="162"/>
      <c r="AW118" s="137">
        <f t="shared" si="26"/>
        <v>0</v>
      </c>
      <c r="AX118" s="137">
        <f t="shared" si="27"/>
        <v>0</v>
      </c>
    </row>
    <row r="119" ht="47.25" customHeight="1" spans="1:50" s="56" customFormat="1" x14ac:dyDescent="0.25">
      <c r="A119" s="100"/>
      <c r="B119" s="100"/>
      <c r="C119" s="100"/>
      <c r="D119" s="100"/>
      <c r="E119" s="100"/>
      <c r="F119" s="100"/>
      <c r="G119" s="103"/>
      <c r="H119" s="186"/>
      <c r="I119" s="195">
        <v>0.51</v>
      </c>
      <c r="J119" s="107">
        <v>0.49</v>
      </c>
      <c r="K119" s="107"/>
      <c r="L119" s="107"/>
      <c r="M119" s="187"/>
      <c r="N119" s="169">
        <f t="shared" si="29"/>
        <v>1</v>
      </c>
      <c r="O119" s="144">
        <v>1</v>
      </c>
      <c r="P119" s="145">
        <v>15</v>
      </c>
      <c r="Q119" s="113">
        <v>15</v>
      </c>
      <c r="R119" s="113"/>
      <c r="S119" s="113"/>
      <c r="T119" s="146"/>
      <c r="U119" s="148">
        <f t="shared" si="17"/>
        <v>15</v>
      </c>
      <c r="V119" s="149">
        <f t="shared" si="18"/>
        <v>15</v>
      </c>
      <c r="W119" s="189"/>
      <c r="X119" s="199"/>
      <c r="Y119" s="151"/>
      <c r="Z119" s="190"/>
      <c r="AA119" s="153"/>
      <c r="AB119" s="154">
        <f t="shared" si="19"/>
        <v>0</v>
      </c>
      <c r="AC119" s="149">
        <f t="shared" si="20"/>
        <v>0</v>
      </c>
      <c r="AD119" s="125">
        <v>2</v>
      </c>
      <c r="AE119" s="148">
        <f t="shared" si="21"/>
        <v>2</v>
      </c>
      <c r="AF119" s="156"/>
      <c r="AG119" s="156"/>
      <c r="AH119" s="113">
        <f t="shared" si="22"/>
        <v>17</v>
      </c>
      <c r="AI119" s="157">
        <v>65</v>
      </c>
      <c r="AJ119" s="113">
        <f t="shared" si="23"/>
        <v>82</v>
      </c>
      <c r="AK119" s="113">
        <f t="shared" si="24"/>
        <v>82</v>
      </c>
      <c r="AL119" s="158">
        <f t="shared" si="25"/>
        <v>1.02</v>
      </c>
      <c r="AM119" s="159"/>
      <c r="AN119" s="160">
        <f t="shared" si="30"/>
        <v>1</v>
      </c>
      <c r="AO119" s="160">
        <f t="shared" si="30"/>
        <v>2</v>
      </c>
      <c r="AP119" s="133"/>
      <c r="AQ119" s="134"/>
      <c r="AR119" s="161"/>
      <c r="AS119" s="161"/>
      <c r="AT119" s="161"/>
      <c r="AU119" s="161"/>
      <c r="AV119" s="162"/>
      <c r="AW119" s="137">
        <f t="shared" si="26"/>
        <v>0</v>
      </c>
      <c r="AX119" s="137">
        <f t="shared" si="27"/>
        <v>0</v>
      </c>
    </row>
    <row r="120" ht="46.5" customHeight="1" spans="1:50" s="97" customFormat="1" x14ac:dyDescent="0.25">
      <c r="A120" s="100"/>
      <c r="B120" s="100"/>
      <c r="C120" s="100"/>
      <c r="D120" s="100"/>
      <c r="E120" s="100"/>
      <c r="F120" s="100"/>
      <c r="G120" s="103"/>
      <c r="H120" s="186"/>
      <c r="I120" s="195">
        <v>0.51</v>
      </c>
      <c r="J120" s="107">
        <v>0.49</v>
      </c>
      <c r="K120" s="107"/>
      <c r="L120" s="107"/>
      <c r="M120" s="187"/>
      <c r="N120" s="169">
        <f t="shared" si="29"/>
        <v>1</v>
      </c>
      <c r="O120" s="144">
        <v>1</v>
      </c>
      <c r="P120" s="145">
        <v>15</v>
      </c>
      <c r="Q120" s="113">
        <v>15</v>
      </c>
      <c r="R120" s="113"/>
      <c r="S120" s="113"/>
      <c r="T120" s="146"/>
      <c r="U120" s="148">
        <f t="shared" si="17"/>
        <v>15</v>
      </c>
      <c r="V120" s="149">
        <f t="shared" si="18"/>
        <v>15</v>
      </c>
      <c r="W120" s="189"/>
      <c r="X120" s="199"/>
      <c r="Y120" s="151"/>
      <c r="Z120" s="190"/>
      <c r="AA120" s="153"/>
      <c r="AB120" s="154">
        <f t="shared" si="19"/>
        <v>0</v>
      </c>
      <c r="AC120" s="149">
        <f t="shared" si="20"/>
        <v>0</v>
      </c>
      <c r="AD120" s="125">
        <v>2</v>
      </c>
      <c r="AE120" s="148">
        <f t="shared" si="21"/>
        <v>2</v>
      </c>
      <c r="AF120" s="156"/>
      <c r="AG120" s="156"/>
      <c r="AH120" s="113">
        <f t="shared" si="22"/>
        <v>17</v>
      </c>
      <c r="AI120" s="157">
        <v>65</v>
      </c>
      <c r="AJ120" s="113">
        <f t="shared" si="23"/>
        <v>82</v>
      </c>
      <c r="AK120" s="113">
        <f t="shared" si="24"/>
        <v>82</v>
      </c>
      <c r="AL120" s="158">
        <f t="shared" si="25"/>
        <v>1.02</v>
      </c>
      <c r="AM120" s="159"/>
      <c r="AN120" s="160">
        <f t="shared" si="30"/>
        <v>1</v>
      </c>
      <c r="AO120" s="160">
        <f t="shared" si="30"/>
        <v>2</v>
      </c>
      <c r="AP120" s="133"/>
      <c r="AQ120" s="134"/>
      <c r="AR120" s="161"/>
      <c r="AS120" s="161"/>
      <c r="AT120" s="161"/>
      <c r="AU120" s="161"/>
      <c r="AV120" s="162"/>
      <c r="AW120" s="137">
        <f t="shared" si="26"/>
        <v>0</v>
      </c>
      <c r="AX120" s="137">
        <f t="shared" si="27"/>
        <v>0</v>
      </c>
    </row>
    <row r="121" ht="47.25" customHeight="1" spans="1:50" s="56" customFormat="1" x14ac:dyDescent="0.25">
      <c r="A121" s="100"/>
      <c r="B121" s="100"/>
      <c r="C121" s="100"/>
      <c r="D121" s="100"/>
      <c r="E121" s="100"/>
      <c r="F121" s="100"/>
      <c r="G121" s="103"/>
      <c r="H121" s="186"/>
      <c r="I121" s="195">
        <v>0.51</v>
      </c>
      <c r="J121" s="107">
        <v>0.49</v>
      </c>
      <c r="K121" s="107"/>
      <c r="L121" s="107"/>
      <c r="M121" s="187"/>
      <c r="N121" s="169">
        <f t="shared" si="29"/>
        <v>1</v>
      </c>
      <c r="O121" s="144">
        <v>1</v>
      </c>
      <c r="P121" s="145">
        <v>15</v>
      </c>
      <c r="Q121" s="113">
        <v>15</v>
      </c>
      <c r="R121" s="113"/>
      <c r="S121" s="113"/>
      <c r="T121" s="146"/>
      <c r="U121" s="148">
        <f t="shared" si="17"/>
        <v>15</v>
      </c>
      <c r="V121" s="149">
        <f t="shared" si="18"/>
        <v>15</v>
      </c>
      <c r="W121" s="189"/>
      <c r="X121" s="199"/>
      <c r="Y121" s="151"/>
      <c r="Z121" s="190"/>
      <c r="AA121" s="153"/>
      <c r="AB121" s="154">
        <f t="shared" si="19"/>
        <v>0</v>
      </c>
      <c r="AC121" s="149">
        <f t="shared" si="20"/>
        <v>0</v>
      </c>
      <c r="AD121" s="125">
        <v>2</v>
      </c>
      <c r="AE121" s="148">
        <f t="shared" si="21"/>
        <v>2</v>
      </c>
      <c r="AF121" s="156"/>
      <c r="AG121" s="156"/>
      <c r="AH121" s="113">
        <f t="shared" si="22"/>
        <v>17</v>
      </c>
      <c r="AI121" s="157">
        <v>65</v>
      </c>
      <c r="AJ121" s="113">
        <f t="shared" si="23"/>
        <v>82</v>
      </c>
      <c r="AK121" s="113">
        <f t="shared" si="24"/>
        <v>82</v>
      </c>
      <c r="AL121" s="158">
        <f t="shared" si="25"/>
        <v>1.02</v>
      </c>
      <c r="AM121" s="159"/>
      <c r="AN121" s="160">
        <f t="shared" si="30"/>
        <v>1</v>
      </c>
      <c r="AO121" s="160">
        <f t="shared" si="30"/>
        <v>2</v>
      </c>
      <c r="AP121" s="133"/>
      <c r="AQ121" s="134"/>
      <c r="AR121" s="161"/>
      <c r="AS121" s="161"/>
      <c r="AT121" s="161"/>
      <c r="AU121" s="161"/>
      <c r="AV121" s="162"/>
      <c r="AW121" s="137">
        <f t="shared" si="26"/>
        <v>0</v>
      </c>
      <c r="AX121" s="137">
        <f t="shared" si="27"/>
        <v>0</v>
      </c>
    </row>
    <row r="122" ht="47.25" customHeight="1" spans="1:50" s="97" customFormat="1" x14ac:dyDescent="0.25">
      <c r="A122" s="100"/>
      <c r="B122" s="100"/>
      <c r="C122" s="100"/>
      <c r="D122" s="100"/>
      <c r="E122" s="100"/>
      <c r="F122" s="100"/>
      <c r="G122" s="103"/>
      <c r="H122" s="186"/>
      <c r="I122" s="195">
        <v>0.51</v>
      </c>
      <c r="J122" s="107">
        <v>0.49</v>
      </c>
      <c r="K122" s="107"/>
      <c r="L122" s="107"/>
      <c r="M122" s="187"/>
      <c r="N122" s="169">
        <f t="shared" si="29"/>
        <v>1</v>
      </c>
      <c r="O122" s="144">
        <v>1</v>
      </c>
      <c r="P122" s="145">
        <v>15</v>
      </c>
      <c r="Q122" s="113">
        <v>15</v>
      </c>
      <c r="R122" s="113"/>
      <c r="S122" s="113"/>
      <c r="T122" s="146"/>
      <c r="U122" s="148">
        <f t="shared" si="17"/>
        <v>15</v>
      </c>
      <c r="V122" s="149">
        <f t="shared" si="18"/>
        <v>15</v>
      </c>
      <c r="W122" s="189"/>
      <c r="X122" s="199"/>
      <c r="Y122" s="151"/>
      <c r="Z122" s="190"/>
      <c r="AA122" s="153"/>
      <c r="AB122" s="154">
        <f t="shared" si="19"/>
        <v>0</v>
      </c>
      <c r="AC122" s="149">
        <f t="shared" si="20"/>
        <v>0</v>
      </c>
      <c r="AD122" s="125">
        <v>2</v>
      </c>
      <c r="AE122" s="148">
        <f t="shared" si="21"/>
        <v>2</v>
      </c>
      <c r="AF122" s="156"/>
      <c r="AG122" s="156"/>
      <c r="AH122" s="113">
        <f t="shared" si="22"/>
        <v>17</v>
      </c>
      <c r="AI122" s="157">
        <v>65</v>
      </c>
      <c r="AJ122" s="113">
        <f t="shared" si="23"/>
        <v>82</v>
      </c>
      <c r="AK122" s="113">
        <f t="shared" si="24"/>
        <v>82</v>
      </c>
      <c r="AL122" s="158">
        <f t="shared" si="25"/>
        <v>1.02</v>
      </c>
      <c r="AM122" s="159"/>
      <c r="AN122" s="160">
        <f t="shared" si="30"/>
        <v>1</v>
      </c>
      <c r="AO122" s="160">
        <f t="shared" si="30"/>
        <v>2</v>
      </c>
      <c r="AP122" s="133"/>
      <c r="AQ122" s="134"/>
      <c r="AR122" s="161"/>
      <c r="AS122" s="161"/>
      <c r="AT122" s="161"/>
      <c r="AU122" s="161"/>
      <c r="AV122" s="162"/>
      <c r="AW122" s="137">
        <f t="shared" si="26"/>
        <v>0</v>
      </c>
      <c r="AX122" s="137">
        <f t="shared" si="27"/>
        <v>0</v>
      </c>
    </row>
    <row r="123" ht="47.25" customHeight="1" spans="1:50" s="97" customFormat="1" x14ac:dyDescent="0.25">
      <c r="A123" s="100"/>
      <c r="B123" s="100"/>
      <c r="C123" s="100"/>
      <c r="D123" s="100"/>
      <c r="E123" s="100"/>
      <c r="F123" s="100"/>
      <c r="G123" s="103"/>
      <c r="H123" s="186"/>
      <c r="I123" s="195">
        <v>0.51</v>
      </c>
      <c r="J123" s="107">
        <v>0.49</v>
      </c>
      <c r="K123" s="107"/>
      <c r="L123" s="107"/>
      <c r="M123" s="187"/>
      <c r="N123" s="169">
        <f t="shared" si="29"/>
        <v>1</v>
      </c>
      <c r="O123" s="144">
        <v>1</v>
      </c>
      <c r="P123" s="145">
        <v>15</v>
      </c>
      <c r="Q123" s="113">
        <v>15</v>
      </c>
      <c r="R123" s="113"/>
      <c r="S123" s="113"/>
      <c r="T123" s="146"/>
      <c r="U123" s="148">
        <f t="shared" si="17"/>
        <v>15</v>
      </c>
      <c r="V123" s="149">
        <f t="shared" si="18"/>
        <v>15</v>
      </c>
      <c r="W123" s="189"/>
      <c r="X123" s="199"/>
      <c r="Y123" s="151"/>
      <c r="Z123" s="190"/>
      <c r="AA123" s="153"/>
      <c r="AB123" s="154">
        <f t="shared" si="19"/>
        <v>0</v>
      </c>
      <c r="AC123" s="149">
        <f t="shared" si="20"/>
        <v>0</v>
      </c>
      <c r="AD123" s="125">
        <v>2</v>
      </c>
      <c r="AE123" s="148">
        <f t="shared" si="21"/>
        <v>2</v>
      </c>
      <c r="AF123" s="156"/>
      <c r="AG123" s="156"/>
      <c r="AH123" s="113">
        <f t="shared" si="22"/>
        <v>17</v>
      </c>
      <c r="AI123" s="157">
        <v>65</v>
      </c>
      <c r="AJ123" s="113">
        <f t="shared" si="23"/>
        <v>82</v>
      </c>
      <c r="AK123" s="113">
        <f t="shared" si="24"/>
        <v>82</v>
      </c>
      <c r="AL123" s="158">
        <f t="shared" si="25"/>
        <v>1.02</v>
      </c>
      <c r="AM123" s="159"/>
      <c r="AN123" s="160">
        <f t="shared" si="30"/>
        <v>1</v>
      </c>
      <c r="AO123" s="160">
        <f t="shared" si="30"/>
        <v>2</v>
      </c>
      <c r="AP123" s="133"/>
      <c r="AQ123" s="134"/>
      <c r="AR123" s="161"/>
      <c r="AS123" s="161"/>
      <c r="AT123" s="161"/>
      <c r="AU123" s="161"/>
      <c r="AV123" s="162"/>
      <c r="AW123" s="137">
        <f t="shared" si="26"/>
        <v>0</v>
      </c>
      <c r="AX123" s="137">
        <f t="shared" si="27"/>
        <v>0</v>
      </c>
    </row>
    <row r="124" ht="46.5" customHeight="1" spans="1:50" s="97" customFormat="1" x14ac:dyDescent="0.25">
      <c r="A124" s="100"/>
      <c r="B124" s="100"/>
      <c r="C124" s="100"/>
      <c r="D124" s="100"/>
      <c r="E124" s="100"/>
      <c r="F124" s="100"/>
      <c r="G124" s="103"/>
      <c r="H124" s="186"/>
      <c r="I124" s="195">
        <v>0.51</v>
      </c>
      <c r="J124" s="107">
        <v>0.49</v>
      </c>
      <c r="K124" s="107"/>
      <c r="L124" s="107"/>
      <c r="M124" s="187"/>
      <c r="N124" s="169">
        <f t="shared" si="29"/>
        <v>1</v>
      </c>
      <c r="O124" s="144">
        <v>1</v>
      </c>
      <c r="P124" s="145">
        <v>15</v>
      </c>
      <c r="Q124" s="113">
        <v>15</v>
      </c>
      <c r="R124" s="113"/>
      <c r="S124" s="113"/>
      <c r="T124" s="146"/>
      <c r="U124" s="148">
        <f t="shared" si="17"/>
        <v>15</v>
      </c>
      <c r="V124" s="149">
        <f t="shared" si="18"/>
        <v>15</v>
      </c>
      <c r="W124" s="189"/>
      <c r="X124" s="199"/>
      <c r="Y124" s="151"/>
      <c r="Z124" s="190"/>
      <c r="AA124" s="153"/>
      <c r="AB124" s="154">
        <f t="shared" si="19"/>
        <v>0</v>
      </c>
      <c r="AC124" s="149">
        <f t="shared" si="20"/>
        <v>0</v>
      </c>
      <c r="AD124" s="125">
        <v>2</v>
      </c>
      <c r="AE124" s="148">
        <f t="shared" si="21"/>
        <v>2</v>
      </c>
      <c r="AF124" s="156"/>
      <c r="AG124" s="156"/>
      <c r="AH124" s="113">
        <f t="shared" si="22"/>
        <v>17</v>
      </c>
      <c r="AI124" s="157">
        <v>65</v>
      </c>
      <c r="AJ124" s="113">
        <f t="shared" si="23"/>
        <v>82</v>
      </c>
      <c r="AK124" s="113">
        <f t="shared" si="24"/>
        <v>82</v>
      </c>
      <c r="AL124" s="158">
        <f t="shared" si="25"/>
        <v>1.02</v>
      </c>
      <c r="AM124" s="159"/>
      <c r="AN124" s="160">
        <f t="shared" si="30"/>
        <v>1</v>
      </c>
      <c r="AO124" s="160">
        <f t="shared" si="30"/>
        <v>2</v>
      </c>
      <c r="AP124" s="133"/>
      <c r="AQ124" s="134"/>
      <c r="AR124" s="161"/>
      <c r="AS124" s="161"/>
      <c r="AT124" s="161"/>
      <c r="AU124" s="161"/>
      <c r="AV124" s="162"/>
      <c r="AW124" s="137">
        <f t="shared" si="26"/>
        <v>0</v>
      </c>
      <c r="AX124" s="137">
        <f t="shared" si="27"/>
        <v>0</v>
      </c>
    </row>
    <row r="125" ht="46.5" customHeight="1" spans="1:50" s="97" customFormat="1" x14ac:dyDescent="0.25">
      <c r="A125" s="100"/>
      <c r="B125" s="100"/>
      <c r="C125" s="100"/>
      <c r="D125" s="100"/>
      <c r="E125" s="100"/>
      <c r="F125" s="100"/>
      <c r="G125" s="103"/>
      <c r="H125" s="186"/>
      <c r="I125" s="195">
        <v>0.51</v>
      </c>
      <c r="J125" s="107">
        <v>0.49</v>
      </c>
      <c r="K125" s="107"/>
      <c r="L125" s="107"/>
      <c r="M125" s="187"/>
      <c r="N125" s="169">
        <f t="shared" si="29"/>
        <v>1</v>
      </c>
      <c r="O125" s="144">
        <v>1</v>
      </c>
      <c r="P125" s="145">
        <v>15</v>
      </c>
      <c r="Q125" s="113">
        <v>15</v>
      </c>
      <c r="R125" s="113"/>
      <c r="S125" s="113"/>
      <c r="T125" s="146"/>
      <c r="U125" s="148">
        <f t="shared" si="17"/>
        <v>15</v>
      </c>
      <c r="V125" s="149">
        <f t="shared" si="18"/>
        <v>15</v>
      </c>
      <c r="W125" s="189"/>
      <c r="X125" s="199"/>
      <c r="Y125" s="151"/>
      <c r="Z125" s="190"/>
      <c r="AA125" s="153"/>
      <c r="AB125" s="154">
        <f t="shared" si="19"/>
        <v>0</v>
      </c>
      <c r="AC125" s="149">
        <f t="shared" si="20"/>
        <v>0</v>
      </c>
      <c r="AD125" s="125">
        <v>2</v>
      </c>
      <c r="AE125" s="148">
        <f t="shared" si="21"/>
        <v>2</v>
      </c>
      <c r="AF125" s="156"/>
      <c r="AG125" s="156"/>
      <c r="AH125" s="113">
        <f t="shared" si="22"/>
        <v>17</v>
      </c>
      <c r="AI125" s="157">
        <v>65</v>
      </c>
      <c r="AJ125" s="113">
        <f t="shared" si="23"/>
        <v>82</v>
      </c>
      <c r="AK125" s="113">
        <f t="shared" si="24"/>
        <v>82</v>
      </c>
      <c r="AL125" s="158">
        <f t="shared" si="25"/>
        <v>1.02</v>
      </c>
      <c r="AM125" s="159"/>
      <c r="AN125" s="160">
        <f t="shared" si="30"/>
        <v>1</v>
      </c>
      <c r="AO125" s="160">
        <f t="shared" si="30"/>
        <v>2</v>
      </c>
      <c r="AP125" s="133"/>
      <c r="AQ125" s="134"/>
      <c r="AR125" s="161"/>
      <c r="AS125" s="161"/>
      <c r="AT125" s="161"/>
      <c r="AU125" s="161"/>
      <c r="AV125" s="162"/>
      <c r="AW125" s="137">
        <f t="shared" si="26"/>
        <v>0</v>
      </c>
      <c r="AX125" s="137">
        <f t="shared" si="27"/>
        <v>0</v>
      </c>
    </row>
    <row r="126" ht="47.25" customHeight="1" spans="1:50" s="56" customFormat="1" x14ac:dyDescent="0.25">
      <c r="A126" s="100"/>
      <c r="B126" s="100"/>
      <c r="C126" s="100"/>
      <c r="D126" s="100"/>
      <c r="E126" s="100"/>
      <c r="F126" s="100"/>
      <c r="G126" s="103"/>
      <c r="H126" s="186"/>
      <c r="I126" s="195">
        <v>0.51</v>
      </c>
      <c r="J126" s="107">
        <v>0.49</v>
      </c>
      <c r="K126" s="107"/>
      <c r="L126" s="107"/>
      <c r="M126" s="187"/>
      <c r="N126" s="169">
        <f t="shared" si="29"/>
        <v>1</v>
      </c>
      <c r="O126" s="144">
        <v>1</v>
      </c>
      <c r="P126" s="145">
        <v>15</v>
      </c>
      <c r="Q126" s="113">
        <v>15</v>
      </c>
      <c r="R126" s="113"/>
      <c r="S126" s="113"/>
      <c r="T126" s="146"/>
      <c r="U126" s="148">
        <f t="shared" si="17"/>
        <v>15</v>
      </c>
      <c r="V126" s="149">
        <f t="shared" si="18"/>
        <v>15</v>
      </c>
      <c r="W126" s="189"/>
      <c r="X126" s="199"/>
      <c r="Y126" s="151"/>
      <c r="Z126" s="190"/>
      <c r="AA126" s="153"/>
      <c r="AB126" s="154">
        <f t="shared" si="19"/>
        <v>0</v>
      </c>
      <c r="AC126" s="149">
        <f t="shared" si="20"/>
        <v>0</v>
      </c>
      <c r="AD126" s="125">
        <v>2</v>
      </c>
      <c r="AE126" s="148">
        <f t="shared" si="21"/>
        <v>2</v>
      </c>
      <c r="AF126" s="156"/>
      <c r="AG126" s="156"/>
      <c r="AH126" s="113">
        <f t="shared" si="22"/>
        <v>17</v>
      </c>
      <c r="AI126" s="157">
        <v>65</v>
      </c>
      <c r="AJ126" s="113">
        <f t="shared" si="23"/>
        <v>82</v>
      </c>
      <c r="AK126" s="113">
        <f t="shared" si="24"/>
        <v>82</v>
      </c>
      <c r="AL126" s="158">
        <f t="shared" si="25"/>
        <v>1.02</v>
      </c>
      <c r="AM126" s="159"/>
      <c r="AN126" s="160">
        <f t="shared" si="30"/>
        <v>1</v>
      </c>
      <c r="AO126" s="160">
        <f t="shared" si="30"/>
        <v>2</v>
      </c>
      <c r="AP126" s="133"/>
      <c r="AQ126" s="134"/>
      <c r="AR126" s="161"/>
      <c r="AS126" s="161"/>
      <c r="AT126" s="161"/>
      <c r="AU126" s="161"/>
      <c r="AV126" s="162"/>
      <c r="AW126" s="137">
        <f t="shared" si="26"/>
        <v>0</v>
      </c>
      <c r="AX126" s="137">
        <f t="shared" si="27"/>
        <v>0</v>
      </c>
    </row>
    <row r="127" ht="46.5" customHeight="1" spans="1:50" s="97" customFormat="1" x14ac:dyDescent="0.25">
      <c r="A127" s="100"/>
      <c r="B127" s="100"/>
      <c r="C127" s="100"/>
      <c r="D127" s="100"/>
      <c r="E127" s="100"/>
      <c r="F127" s="100"/>
      <c r="G127" s="103"/>
      <c r="H127" s="186"/>
      <c r="I127" s="195">
        <v>0.51</v>
      </c>
      <c r="J127" s="107">
        <v>0.49</v>
      </c>
      <c r="K127" s="107"/>
      <c r="L127" s="107"/>
      <c r="M127" s="187"/>
      <c r="N127" s="169">
        <f t="shared" si="29"/>
        <v>1</v>
      </c>
      <c r="O127" s="144">
        <v>1</v>
      </c>
      <c r="P127" s="145">
        <v>15</v>
      </c>
      <c r="Q127" s="113">
        <v>15</v>
      </c>
      <c r="R127" s="113"/>
      <c r="S127" s="113"/>
      <c r="T127" s="146"/>
      <c r="U127" s="148">
        <f t="shared" si="17"/>
        <v>15</v>
      </c>
      <c r="V127" s="149">
        <f t="shared" si="18"/>
        <v>15</v>
      </c>
      <c r="W127" s="189"/>
      <c r="X127" s="199"/>
      <c r="Y127" s="151"/>
      <c r="Z127" s="190"/>
      <c r="AA127" s="153"/>
      <c r="AB127" s="154">
        <f t="shared" si="19"/>
        <v>0</v>
      </c>
      <c r="AC127" s="149">
        <f t="shared" si="20"/>
        <v>0</v>
      </c>
      <c r="AD127" s="125">
        <v>2</v>
      </c>
      <c r="AE127" s="148">
        <f t="shared" si="21"/>
        <v>2</v>
      </c>
      <c r="AF127" s="156"/>
      <c r="AG127" s="156"/>
      <c r="AH127" s="113">
        <f t="shared" si="22"/>
        <v>17</v>
      </c>
      <c r="AI127" s="157">
        <v>65</v>
      </c>
      <c r="AJ127" s="113">
        <f t="shared" si="23"/>
        <v>82</v>
      </c>
      <c r="AK127" s="113">
        <f t="shared" si="24"/>
        <v>82</v>
      </c>
      <c r="AL127" s="158">
        <f t="shared" si="25"/>
        <v>1.02</v>
      </c>
      <c r="AM127" s="159"/>
      <c r="AN127" s="160">
        <f t="shared" si="30"/>
        <v>1</v>
      </c>
      <c r="AO127" s="160">
        <f t="shared" si="30"/>
        <v>2</v>
      </c>
      <c r="AP127" s="133"/>
      <c r="AQ127" s="134"/>
      <c r="AR127" s="161"/>
      <c r="AS127" s="161"/>
      <c r="AT127" s="161"/>
      <c r="AU127" s="161"/>
      <c r="AV127" s="162"/>
      <c r="AW127" s="137">
        <f t="shared" si="26"/>
        <v>0</v>
      </c>
      <c r="AX127" s="137">
        <f t="shared" si="27"/>
        <v>0</v>
      </c>
    </row>
    <row r="128" ht="47.25" customHeight="1" spans="1:50" s="56" customFormat="1" x14ac:dyDescent="0.25">
      <c r="A128" s="100"/>
      <c r="B128" s="100"/>
      <c r="C128" s="100"/>
      <c r="D128" s="100"/>
      <c r="E128" s="100"/>
      <c r="F128" s="100"/>
      <c r="G128" s="103"/>
      <c r="H128" s="186"/>
      <c r="I128" s="195">
        <v>0.51</v>
      </c>
      <c r="J128" s="107">
        <v>0.49</v>
      </c>
      <c r="K128" s="107"/>
      <c r="L128" s="107"/>
      <c r="M128" s="187"/>
      <c r="N128" s="169">
        <f t="shared" si="29"/>
        <v>1</v>
      </c>
      <c r="O128" s="144">
        <v>1</v>
      </c>
      <c r="P128" s="145">
        <v>15</v>
      </c>
      <c r="Q128" s="113">
        <v>15</v>
      </c>
      <c r="R128" s="113"/>
      <c r="S128" s="113"/>
      <c r="T128" s="146"/>
      <c r="U128" s="148">
        <f t="shared" si="17"/>
        <v>15</v>
      </c>
      <c r="V128" s="149">
        <f t="shared" si="18"/>
        <v>15</v>
      </c>
      <c r="W128" s="189"/>
      <c r="X128" s="199"/>
      <c r="Y128" s="151"/>
      <c r="Z128" s="190"/>
      <c r="AA128" s="153"/>
      <c r="AB128" s="154">
        <f t="shared" si="19"/>
        <v>0</v>
      </c>
      <c r="AC128" s="149">
        <f t="shared" si="20"/>
        <v>0</v>
      </c>
      <c r="AD128" s="125">
        <v>2</v>
      </c>
      <c r="AE128" s="148">
        <f t="shared" si="21"/>
        <v>2</v>
      </c>
      <c r="AF128" s="156"/>
      <c r="AG128" s="156"/>
      <c r="AH128" s="113">
        <f t="shared" si="22"/>
        <v>17</v>
      </c>
      <c r="AI128" s="157">
        <v>65</v>
      </c>
      <c r="AJ128" s="113">
        <f t="shared" si="23"/>
        <v>82</v>
      </c>
      <c r="AK128" s="113">
        <f t="shared" si="24"/>
        <v>82</v>
      </c>
      <c r="AL128" s="158">
        <f t="shared" si="25"/>
        <v>1.02</v>
      </c>
      <c r="AM128" s="159"/>
      <c r="AN128" s="160">
        <f t="shared" si="30"/>
        <v>1</v>
      </c>
      <c r="AO128" s="160">
        <f t="shared" si="30"/>
        <v>2</v>
      </c>
      <c r="AP128" s="133"/>
      <c r="AQ128" s="134"/>
      <c r="AR128" s="161"/>
      <c r="AS128" s="161"/>
      <c r="AT128" s="161"/>
      <c r="AU128" s="161"/>
      <c r="AV128" s="162"/>
      <c r="AW128" s="137">
        <f t="shared" si="26"/>
        <v>0</v>
      </c>
      <c r="AX128" s="137">
        <f t="shared" si="27"/>
        <v>0</v>
      </c>
    </row>
    <row r="129" ht="46.5" customHeight="1" spans="1:50" s="97" customFormat="1" x14ac:dyDescent="0.25">
      <c r="A129" s="100"/>
      <c r="B129" s="100"/>
      <c r="C129" s="100"/>
      <c r="D129" s="100"/>
      <c r="E129" s="100"/>
      <c r="F129" s="100"/>
      <c r="G129" s="103"/>
      <c r="H129" s="186"/>
      <c r="I129" s="195">
        <v>0.51</v>
      </c>
      <c r="J129" s="107">
        <v>0.49</v>
      </c>
      <c r="K129" s="107"/>
      <c r="L129" s="107"/>
      <c r="M129" s="187"/>
      <c r="N129" s="169">
        <f t="shared" si="29"/>
        <v>1</v>
      </c>
      <c r="O129" s="144">
        <v>1</v>
      </c>
      <c r="P129" s="145">
        <v>15</v>
      </c>
      <c r="Q129" s="113">
        <v>15</v>
      </c>
      <c r="R129" s="113"/>
      <c r="S129" s="113"/>
      <c r="T129" s="146"/>
      <c r="U129" s="148">
        <f t="shared" si="17"/>
        <v>15</v>
      </c>
      <c r="V129" s="149">
        <f t="shared" si="18"/>
        <v>15</v>
      </c>
      <c r="W129" s="189"/>
      <c r="X129" s="199"/>
      <c r="Y129" s="151"/>
      <c r="Z129" s="190"/>
      <c r="AA129" s="153"/>
      <c r="AB129" s="154">
        <f t="shared" si="19"/>
        <v>0</v>
      </c>
      <c r="AC129" s="149">
        <f t="shared" si="20"/>
        <v>0</v>
      </c>
      <c r="AD129" s="125">
        <v>2</v>
      </c>
      <c r="AE129" s="148">
        <f t="shared" si="21"/>
        <v>2</v>
      </c>
      <c r="AF129" s="156"/>
      <c r="AG129" s="156"/>
      <c r="AH129" s="113">
        <f t="shared" si="22"/>
        <v>17</v>
      </c>
      <c r="AI129" s="157">
        <v>65</v>
      </c>
      <c r="AJ129" s="113">
        <f t="shared" si="23"/>
        <v>82</v>
      </c>
      <c r="AK129" s="113">
        <f t="shared" si="24"/>
        <v>82</v>
      </c>
      <c r="AL129" s="158">
        <f t="shared" si="25"/>
        <v>1.02</v>
      </c>
      <c r="AM129" s="159"/>
      <c r="AN129" s="160">
        <f t="shared" si="30"/>
        <v>1</v>
      </c>
      <c r="AO129" s="160">
        <f t="shared" si="30"/>
        <v>2</v>
      </c>
      <c r="AP129" s="133"/>
      <c r="AQ129" s="134"/>
      <c r="AR129" s="161"/>
      <c r="AS129" s="161"/>
      <c r="AT129" s="161"/>
      <c r="AU129" s="161"/>
      <c r="AV129" s="162"/>
      <c r="AW129" s="137">
        <f t="shared" si="26"/>
        <v>0</v>
      </c>
      <c r="AX129" s="137">
        <f t="shared" si="27"/>
        <v>0</v>
      </c>
    </row>
    <row r="130" ht="46.5" customHeight="1" spans="1:50" s="97" customFormat="1" x14ac:dyDescent="0.25">
      <c r="A130" s="100"/>
      <c r="B130" s="100"/>
      <c r="C130" s="100"/>
      <c r="D130" s="100"/>
      <c r="E130" s="100"/>
      <c r="F130" s="100"/>
      <c r="G130" s="103"/>
      <c r="H130" s="186"/>
      <c r="I130" s="195">
        <v>0.51</v>
      </c>
      <c r="J130" s="107">
        <v>0.49</v>
      </c>
      <c r="K130" s="107"/>
      <c r="L130" s="107"/>
      <c r="M130" s="187"/>
      <c r="N130" s="169">
        <f t="shared" si="29"/>
        <v>1</v>
      </c>
      <c r="O130" s="144">
        <v>1</v>
      </c>
      <c r="P130" s="145">
        <v>15</v>
      </c>
      <c r="Q130" s="113">
        <v>15</v>
      </c>
      <c r="R130" s="113"/>
      <c r="S130" s="113"/>
      <c r="T130" s="146"/>
      <c r="U130" s="148">
        <f t="shared" si="17"/>
        <v>15</v>
      </c>
      <c r="V130" s="149">
        <f t="shared" si="18"/>
        <v>15</v>
      </c>
      <c r="W130" s="189"/>
      <c r="X130" s="199"/>
      <c r="Y130" s="151"/>
      <c r="Z130" s="190"/>
      <c r="AA130" s="153"/>
      <c r="AB130" s="154">
        <f t="shared" si="19"/>
        <v>0</v>
      </c>
      <c r="AC130" s="149">
        <f t="shared" si="20"/>
        <v>0</v>
      </c>
      <c r="AD130" s="125">
        <v>2</v>
      </c>
      <c r="AE130" s="148">
        <f t="shared" si="21"/>
        <v>2</v>
      </c>
      <c r="AF130" s="156"/>
      <c r="AG130" s="156"/>
      <c r="AH130" s="113">
        <f t="shared" si="22"/>
        <v>17</v>
      </c>
      <c r="AI130" s="157">
        <v>65</v>
      </c>
      <c r="AJ130" s="113">
        <f t="shared" si="23"/>
        <v>82</v>
      </c>
      <c r="AK130" s="113">
        <f t="shared" si="24"/>
        <v>82</v>
      </c>
      <c r="AL130" s="158">
        <f t="shared" si="25"/>
        <v>1.02</v>
      </c>
      <c r="AM130" s="159"/>
      <c r="AN130" s="160">
        <f t="shared" si="30"/>
        <v>1</v>
      </c>
      <c r="AO130" s="160">
        <f t="shared" si="30"/>
        <v>2</v>
      </c>
      <c r="AP130" s="133"/>
      <c r="AQ130" s="134"/>
      <c r="AR130" s="161"/>
      <c r="AS130" s="161"/>
      <c r="AT130" s="161"/>
      <c r="AU130" s="161"/>
      <c r="AV130" s="162"/>
      <c r="AW130" s="137">
        <f t="shared" si="26"/>
        <v>0</v>
      </c>
      <c r="AX130" s="137">
        <f t="shared" si="27"/>
        <v>0</v>
      </c>
    </row>
    <row r="131" ht="47.25" customHeight="1" spans="1:50" s="97" customFormat="1" x14ac:dyDescent="0.25">
      <c r="A131" s="100"/>
      <c r="B131" s="100"/>
      <c r="C131" s="100"/>
      <c r="D131" s="100"/>
      <c r="E131" s="100"/>
      <c r="F131" s="100"/>
      <c r="G131" s="103"/>
      <c r="H131" s="186"/>
      <c r="I131" s="195">
        <v>0.51</v>
      </c>
      <c r="J131" s="107">
        <v>0.49</v>
      </c>
      <c r="K131" s="107"/>
      <c r="L131" s="107"/>
      <c r="M131" s="187"/>
      <c r="N131" s="169">
        <f t="shared" si="29"/>
        <v>1</v>
      </c>
      <c r="O131" s="144">
        <v>1</v>
      </c>
      <c r="P131" s="145">
        <v>15</v>
      </c>
      <c r="Q131" s="113">
        <v>15</v>
      </c>
      <c r="R131" s="113"/>
      <c r="S131" s="113"/>
      <c r="T131" s="146"/>
      <c r="U131" s="148">
        <f t="shared" si="17"/>
        <v>15</v>
      </c>
      <c r="V131" s="149">
        <f t="shared" si="18"/>
        <v>15</v>
      </c>
      <c r="W131" s="189"/>
      <c r="X131" s="199"/>
      <c r="Y131" s="151"/>
      <c r="Z131" s="190"/>
      <c r="AA131" s="153"/>
      <c r="AB131" s="154">
        <f t="shared" si="19"/>
        <v>0</v>
      </c>
      <c r="AC131" s="149">
        <f t="shared" si="20"/>
        <v>0</v>
      </c>
      <c r="AD131" s="125">
        <v>2</v>
      </c>
      <c r="AE131" s="148">
        <f t="shared" si="21"/>
        <v>2</v>
      </c>
      <c r="AF131" s="156"/>
      <c r="AG131" s="156"/>
      <c r="AH131" s="113">
        <f t="shared" si="22"/>
        <v>17</v>
      </c>
      <c r="AI131" s="157">
        <v>65</v>
      </c>
      <c r="AJ131" s="113">
        <f t="shared" si="23"/>
        <v>82</v>
      </c>
      <c r="AK131" s="113">
        <f t="shared" si="24"/>
        <v>82</v>
      </c>
      <c r="AL131" s="158">
        <f t="shared" si="25"/>
        <v>1.02</v>
      </c>
      <c r="AM131" s="159"/>
      <c r="AN131" s="160">
        <f t="shared" ref="AN131:AO136" si="31">100%+AM131</f>
        <v>1</v>
      </c>
      <c r="AO131" s="160">
        <f t="shared" si="31"/>
        <v>2</v>
      </c>
      <c r="AP131" s="133"/>
      <c r="AQ131" s="134"/>
      <c r="AR131" s="161"/>
      <c r="AS131" s="161"/>
      <c r="AT131" s="161"/>
      <c r="AU131" s="161"/>
      <c r="AV131" s="162"/>
      <c r="AW131" s="137">
        <f t="shared" si="26"/>
        <v>0</v>
      </c>
      <c r="AX131" s="137">
        <f t="shared" si="27"/>
        <v>0</v>
      </c>
    </row>
    <row r="132" ht="47.25" customHeight="1" spans="1:50" s="56" customFormat="1" x14ac:dyDescent="0.25">
      <c r="A132" s="100"/>
      <c r="B132" s="100"/>
      <c r="C132" s="100"/>
      <c r="D132" s="100"/>
      <c r="E132" s="100"/>
      <c r="F132" s="100"/>
      <c r="G132" s="103"/>
      <c r="H132" s="186"/>
      <c r="I132" s="195">
        <v>0.51</v>
      </c>
      <c r="J132" s="107">
        <v>0.49</v>
      </c>
      <c r="K132" s="107"/>
      <c r="L132" s="107"/>
      <c r="M132" s="187"/>
      <c r="N132" s="169">
        <f t="shared" si="29"/>
        <v>1</v>
      </c>
      <c r="O132" s="144">
        <v>1</v>
      </c>
      <c r="P132" s="145">
        <v>15</v>
      </c>
      <c r="Q132" s="113">
        <v>15</v>
      </c>
      <c r="R132" s="113"/>
      <c r="S132" s="113"/>
      <c r="T132" s="146"/>
      <c r="U132" s="148">
        <f t="shared" si="17"/>
        <v>15</v>
      </c>
      <c r="V132" s="149">
        <f t="shared" si="18"/>
        <v>15</v>
      </c>
      <c r="W132" s="189"/>
      <c r="X132" s="199"/>
      <c r="Y132" s="151"/>
      <c r="Z132" s="190"/>
      <c r="AA132" s="153"/>
      <c r="AB132" s="154">
        <f t="shared" si="19"/>
        <v>0</v>
      </c>
      <c r="AC132" s="149">
        <f t="shared" si="20"/>
        <v>0</v>
      </c>
      <c r="AD132" s="125">
        <v>2</v>
      </c>
      <c r="AE132" s="148">
        <f t="shared" si="21"/>
        <v>2</v>
      </c>
      <c r="AF132" s="156"/>
      <c r="AG132" s="156"/>
      <c r="AH132" s="113">
        <f t="shared" si="22"/>
        <v>17</v>
      </c>
      <c r="AI132" s="157">
        <v>65</v>
      </c>
      <c r="AJ132" s="113">
        <f t="shared" si="23"/>
        <v>82</v>
      </c>
      <c r="AK132" s="113">
        <f t="shared" si="24"/>
        <v>82</v>
      </c>
      <c r="AL132" s="158">
        <f t="shared" si="25"/>
        <v>1.02</v>
      </c>
      <c r="AM132" s="159"/>
      <c r="AN132" s="160">
        <f t="shared" si="31"/>
        <v>1</v>
      </c>
      <c r="AO132" s="160">
        <f t="shared" si="31"/>
        <v>2</v>
      </c>
      <c r="AP132" s="133"/>
      <c r="AQ132" s="134"/>
      <c r="AR132" s="161"/>
      <c r="AS132" s="161"/>
      <c r="AT132" s="161"/>
      <c r="AU132" s="161"/>
      <c r="AV132" s="162"/>
      <c r="AW132" s="137">
        <f t="shared" si="26"/>
        <v>0</v>
      </c>
      <c r="AX132" s="137">
        <f t="shared" si="27"/>
        <v>0</v>
      </c>
    </row>
    <row r="133" ht="46.5" customHeight="1" spans="1:50" s="97" customFormat="1" x14ac:dyDescent="0.25">
      <c r="A133" s="100"/>
      <c r="B133" s="100"/>
      <c r="C133" s="100"/>
      <c r="D133" s="100"/>
      <c r="E133" s="100"/>
      <c r="F133" s="100"/>
      <c r="G133" s="103"/>
      <c r="H133" s="186"/>
      <c r="I133" s="195">
        <v>0.51</v>
      </c>
      <c r="J133" s="107">
        <v>0.49</v>
      </c>
      <c r="K133" s="107"/>
      <c r="L133" s="107"/>
      <c r="M133" s="187"/>
      <c r="N133" s="169">
        <f t="shared" si="29"/>
        <v>1</v>
      </c>
      <c r="O133" s="144">
        <v>1</v>
      </c>
      <c r="P133" s="145">
        <v>15</v>
      </c>
      <c r="Q133" s="113">
        <v>15</v>
      </c>
      <c r="R133" s="113"/>
      <c r="S133" s="113"/>
      <c r="T133" s="146"/>
      <c r="U133" s="148">
        <f t="shared" si="17"/>
        <v>15</v>
      </c>
      <c r="V133" s="149">
        <f t="shared" si="18"/>
        <v>15</v>
      </c>
      <c r="W133" s="189"/>
      <c r="X133" s="199"/>
      <c r="Y133" s="151"/>
      <c r="Z133" s="190"/>
      <c r="AA133" s="153"/>
      <c r="AB133" s="154">
        <f t="shared" si="19"/>
        <v>0</v>
      </c>
      <c r="AC133" s="149">
        <f t="shared" si="20"/>
        <v>0</v>
      </c>
      <c r="AD133" s="125">
        <v>2</v>
      </c>
      <c r="AE133" s="148">
        <f t="shared" si="21"/>
        <v>2</v>
      </c>
      <c r="AF133" s="156"/>
      <c r="AG133" s="156"/>
      <c r="AH133" s="113">
        <f t="shared" si="22"/>
        <v>17</v>
      </c>
      <c r="AI133" s="157">
        <v>65</v>
      </c>
      <c r="AJ133" s="113">
        <f t="shared" si="23"/>
        <v>82</v>
      </c>
      <c r="AK133" s="113">
        <f t="shared" si="24"/>
        <v>82</v>
      </c>
      <c r="AL133" s="158">
        <f t="shared" si="25"/>
        <v>1.02</v>
      </c>
      <c r="AM133" s="159"/>
      <c r="AN133" s="160">
        <f t="shared" si="31"/>
        <v>1</v>
      </c>
      <c r="AO133" s="160">
        <f t="shared" si="31"/>
        <v>2</v>
      </c>
      <c r="AP133" s="133"/>
      <c r="AQ133" s="134"/>
      <c r="AR133" s="161"/>
      <c r="AS133" s="161"/>
      <c r="AT133" s="161"/>
      <c r="AU133" s="161"/>
      <c r="AV133" s="162"/>
      <c r="AW133" s="137">
        <f t="shared" si="26"/>
        <v>0</v>
      </c>
      <c r="AX133" s="137">
        <f t="shared" si="27"/>
        <v>0</v>
      </c>
    </row>
    <row r="134" ht="47.25" customHeight="1" spans="1:50" s="56" customFormat="1" x14ac:dyDescent="0.25">
      <c r="A134" s="100"/>
      <c r="B134" s="100"/>
      <c r="C134" s="100"/>
      <c r="D134" s="100"/>
      <c r="E134" s="100"/>
      <c r="F134" s="100"/>
      <c r="G134" s="103"/>
      <c r="H134" s="186"/>
      <c r="I134" s="195">
        <v>0.51</v>
      </c>
      <c r="J134" s="107">
        <v>0.49</v>
      </c>
      <c r="K134" s="107"/>
      <c r="L134" s="107"/>
      <c r="M134" s="187"/>
      <c r="N134" s="169">
        <f t="shared" si="29"/>
        <v>1</v>
      </c>
      <c r="O134" s="144">
        <v>1</v>
      </c>
      <c r="P134" s="145">
        <v>15</v>
      </c>
      <c r="Q134" s="113">
        <v>15</v>
      </c>
      <c r="R134" s="113"/>
      <c r="S134" s="113"/>
      <c r="T134" s="146"/>
      <c r="U134" s="148">
        <f t="shared" si="17"/>
        <v>15</v>
      </c>
      <c r="V134" s="149">
        <f t="shared" si="18"/>
        <v>15</v>
      </c>
      <c r="W134" s="189"/>
      <c r="X134" s="199"/>
      <c r="Y134" s="151"/>
      <c r="Z134" s="190"/>
      <c r="AA134" s="153"/>
      <c r="AB134" s="154">
        <f t="shared" si="19"/>
        <v>0</v>
      </c>
      <c r="AC134" s="149">
        <f t="shared" si="20"/>
        <v>0</v>
      </c>
      <c r="AD134" s="125">
        <v>2</v>
      </c>
      <c r="AE134" s="148">
        <f t="shared" si="21"/>
        <v>2</v>
      </c>
      <c r="AF134" s="156"/>
      <c r="AG134" s="156"/>
      <c r="AH134" s="113">
        <f t="shared" si="22"/>
        <v>17</v>
      </c>
      <c r="AI134" s="157">
        <v>65</v>
      </c>
      <c r="AJ134" s="113">
        <f t="shared" si="23"/>
        <v>82</v>
      </c>
      <c r="AK134" s="113">
        <f t="shared" si="24"/>
        <v>82</v>
      </c>
      <c r="AL134" s="158">
        <f t="shared" si="25"/>
        <v>1.02</v>
      </c>
      <c r="AM134" s="159"/>
      <c r="AN134" s="160">
        <f t="shared" si="31"/>
        <v>1</v>
      </c>
      <c r="AO134" s="160">
        <f t="shared" si="31"/>
        <v>2</v>
      </c>
      <c r="AP134" s="133"/>
      <c r="AQ134" s="134"/>
      <c r="AR134" s="161"/>
      <c r="AS134" s="161"/>
      <c r="AT134" s="161"/>
      <c r="AU134" s="161"/>
      <c r="AV134" s="162"/>
      <c r="AW134" s="137">
        <f t="shared" si="26"/>
        <v>0</v>
      </c>
      <c r="AX134" s="137">
        <f t="shared" si="27"/>
        <v>0</v>
      </c>
    </row>
    <row r="135" ht="47.25" customHeight="1" spans="1:50" s="97" customFormat="1" x14ac:dyDescent="0.25">
      <c r="A135" s="100"/>
      <c r="B135" s="100"/>
      <c r="C135" s="100"/>
      <c r="D135" s="100"/>
      <c r="E135" s="100"/>
      <c r="F135" s="100"/>
      <c r="G135" s="103"/>
      <c r="H135" s="186"/>
      <c r="I135" s="195">
        <v>0.51</v>
      </c>
      <c r="J135" s="107">
        <v>0.49</v>
      </c>
      <c r="K135" s="107"/>
      <c r="L135" s="107"/>
      <c r="M135" s="187"/>
      <c r="N135" s="169">
        <f t="shared" si="29"/>
        <v>1</v>
      </c>
      <c r="O135" s="144">
        <v>1</v>
      </c>
      <c r="P135" s="145">
        <v>15</v>
      </c>
      <c r="Q135" s="113">
        <v>15</v>
      </c>
      <c r="R135" s="113"/>
      <c r="S135" s="113"/>
      <c r="T135" s="146"/>
      <c r="U135" s="148">
        <f t="shared" si="17"/>
        <v>15</v>
      </c>
      <c r="V135" s="149">
        <f t="shared" si="18"/>
        <v>15</v>
      </c>
      <c r="W135" s="189"/>
      <c r="X135" s="199"/>
      <c r="Y135" s="151"/>
      <c r="Z135" s="190"/>
      <c r="AA135" s="153"/>
      <c r="AB135" s="154">
        <f t="shared" si="19"/>
        <v>0</v>
      </c>
      <c r="AC135" s="149">
        <f t="shared" si="20"/>
        <v>0</v>
      </c>
      <c r="AD135" s="125">
        <v>2</v>
      </c>
      <c r="AE135" s="148">
        <f t="shared" si="21"/>
        <v>2</v>
      </c>
      <c r="AF135" s="156"/>
      <c r="AG135" s="156"/>
      <c r="AH135" s="113">
        <f t="shared" si="22"/>
        <v>17</v>
      </c>
      <c r="AI135" s="157">
        <v>65</v>
      </c>
      <c r="AJ135" s="113">
        <f t="shared" si="23"/>
        <v>82</v>
      </c>
      <c r="AK135" s="113">
        <f t="shared" si="24"/>
        <v>82</v>
      </c>
      <c r="AL135" s="158">
        <f t="shared" si="25"/>
        <v>1.02</v>
      </c>
      <c r="AM135" s="159"/>
      <c r="AN135" s="160">
        <f t="shared" si="31"/>
        <v>1</v>
      </c>
      <c r="AO135" s="160">
        <f t="shared" si="31"/>
        <v>2</v>
      </c>
      <c r="AP135" s="133"/>
      <c r="AQ135" s="134"/>
      <c r="AR135" s="161"/>
      <c r="AS135" s="161"/>
      <c r="AT135" s="161"/>
      <c r="AU135" s="161"/>
      <c r="AV135" s="162"/>
      <c r="AW135" s="137">
        <f t="shared" si="26"/>
        <v>0</v>
      </c>
      <c r="AX135" s="137">
        <f t="shared" si="27"/>
        <v>0</v>
      </c>
    </row>
    <row r="136" ht="46.5" customHeight="1" spans="1:50" s="97" customFormat="1" x14ac:dyDescent="0.25">
      <c r="A136" s="100"/>
      <c r="B136" s="100"/>
      <c r="C136" s="100"/>
      <c r="D136" s="100"/>
      <c r="E136" s="100"/>
      <c r="F136" s="100"/>
      <c r="G136" s="103"/>
      <c r="H136" s="186"/>
      <c r="I136" s="195">
        <v>0.51</v>
      </c>
      <c r="J136" s="107">
        <v>0.49</v>
      </c>
      <c r="K136" s="107"/>
      <c r="L136" s="107"/>
      <c r="M136" s="187"/>
      <c r="N136" s="169">
        <f t="shared" si="29"/>
        <v>1</v>
      </c>
      <c r="O136" s="144">
        <v>1</v>
      </c>
      <c r="P136" s="145">
        <v>15</v>
      </c>
      <c r="Q136" s="113">
        <v>15</v>
      </c>
      <c r="R136" s="113"/>
      <c r="S136" s="113"/>
      <c r="T136" s="146"/>
      <c r="U136" s="148">
        <f t="shared" si="17"/>
        <v>15</v>
      </c>
      <c r="V136" s="149">
        <f t="shared" si="18"/>
        <v>15</v>
      </c>
      <c r="W136" s="189"/>
      <c r="X136" s="199"/>
      <c r="Y136" s="151"/>
      <c r="Z136" s="190"/>
      <c r="AA136" s="153"/>
      <c r="AB136" s="154">
        <f t="shared" si="19"/>
        <v>0</v>
      </c>
      <c r="AC136" s="149">
        <f t="shared" si="20"/>
        <v>0</v>
      </c>
      <c r="AD136" s="125">
        <v>2</v>
      </c>
      <c r="AE136" s="148">
        <f t="shared" si="21"/>
        <v>2</v>
      </c>
      <c r="AF136" s="156"/>
      <c r="AG136" s="156"/>
      <c r="AH136" s="113">
        <f t="shared" si="22"/>
        <v>17</v>
      </c>
      <c r="AI136" s="157">
        <v>65</v>
      </c>
      <c r="AJ136" s="113">
        <f t="shared" si="23"/>
        <v>82</v>
      </c>
      <c r="AK136" s="113">
        <f t="shared" si="24"/>
        <v>82</v>
      </c>
      <c r="AL136" s="158">
        <f t="shared" si="25"/>
        <v>1.02</v>
      </c>
      <c r="AM136" s="159"/>
      <c r="AN136" s="160">
        <f t="shared" si="31"/>
        <v>1</v>
      </c>
      <c r="AO136" s="160">
        <f t="shared" si="31"/>
        <v>2</v>
      </c>
      <c r="AP136" s="133"/>
      <c r="AQ136" s="134"/>
      <c r="AR136" s="161"/>
      <c r="AS136" s="161"/>
      <c r="AT136" s="161"/>
      <c r="AU136" s="161"/>
      <c r="AV136" s="162"/>
      <c r="AW136" s="137">
        <f t="shared" si="26"/>
        <v>0</v>
      </c>
      <c r="AX136" s="137">
        <f t="shared" si="27"/>
        <v>0</v>
      </c>
    </row>
  </sheetData>
  <mergeCells count="43">
    <mergeCell ref="D1:E1"/>
    <mergeCell ref="F1:G1"/>
    <mergeCell ref="I1:J1"/>
    <mergeCell ref="Y1:Z1"/>
    <mergeCell ref="AA1:AC1"/>
    <mergeCell ref="AD1:AE1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AG2:AH2"/>
    <mergeCell ref="AI2:AK2"/>
    <mergeCell ref="AS2:AT2"/>
    <mergeCell ref="C3:H3"/>
    <mergeCell ref="I3:M3"/>
    <mergeCell ref="P3:U3"/>
    <mergeCell ref="W3:AE3"/>
    <mergeCell ref="A3:A4"/>
    <mergeCell ref="B3:B4"/>
    <mergeCell ref="N3:N4"/>
    <mergeCell ref="O3:O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6:H6"/>
    <mergeCell ref="A8:H8"/>
    <mergeCell ref="A10:H10"/>
  </mergeCells>
  <pageMargins left="0.7" right="0.7" top="0.75" bottom="0.75" header="0.3" footer="0.3"/>
  <pageSetup paperSize="9" orientation="portrait" horizontalDpi="4294967295" verticalDpi="4294967295" scale="40" fitToWidth="1" fitToHeight="1" firstPageNumber="1" useFirstPageNumber="1" copies="1"/>
</worksheet>
</file>

<file path=xl/worksheets/sheet8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X138"/>
  <sheetViews>
    <sheetView workbookViewId="0" zoomScale="80" zoomScaleNormal="80">
      <selection activeCell="J16" sqref="J16"/>
    </sheetView>
  </sheetViews>
  <sheetFormatPr defaultRowHeight="13.5" outlineLevelRow="0" outlineLevelCol="0" x14ac:dyDescent="0.15" defaultColWidth="8.88671875" customHeight="1"/>
  <cols>
    <col min="1" max="1" width="5.33203125" style="1" customWidth="1"/>
    <col min="2" max="2" width="5.109375" style="2" customWidth="1"/>
    <col min="3" max="3" width="8.33203125" style="3" customWidth="1"/>
    <col min="4" max="7" width="8.33203125" style="1" customWidth="1"/>
    <col min="8" max="13" width="8.109375" style="1" customWidth="1"/>
    <col min="14" max="15" width="5.88671875" style="1" customWidth="1"/>
    <col min="16" max="21" width="7.5546875" style="1" customWidth="1"/>
    <col min="22" max="22" width="7.6640625" style="4" hidden="1" customWidth="1"/>
    <col min="23" max="27" width="8.33203125" style="1" customWidth="1"/>
    <col min="28" max="28" width="7.6640625" style="1" customWidth="1"/>
    <col min="29" max="29" width="7.6640625" style="4" hidden="1" customWidth="1"/>
    <col min="30" max="31" width="7.6640625" style="4" customWidth="1"/>
    <col min="32" max="33" width="6.109375" style="1" customWidth="1"/>
    <col min="34" max="34" width="7.6640625" style="1" customWidth="1"/>
    <col min="35" max="35" width="4.6640625" style="1" customWidth="1"/>
    <col min="36" max="36" width="8.3320312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 customWidth="1"/>
    <col min="49" max="50" width="15.109375" style="1" customWidth="1"/>
    <col min="51" max="16384" width="8.88671875" style="1" customWidth="1"/>
  </cols>
  <sheetData>
    <row r="1" ht="32.25" customHeight="1" spans="3:42" x14ac:dyDescent="0.25">
      <c r="C1" s="5" t="s">
        <v>0</v>
      </c>
      <c r="D1" s="6">
        <v>3434131000</v>
      </c>
      <c r="E1" s="7"/>
      <c r="F1" s="6"/>
      <c r="G1" s="7"/>
      <c r="H1" s="8" t="s">
        <v>1</v>
      </c>
      <c r="I1" s="9">
        <v>3725752000</v>
      </c>
      <c r="J1" s="9"/>
      <c r="K1" s="220" t="s">
        <v>107</v>
      </c>
      <c r="L1" s="11"/>
      <c r="M1" s="11"/>
      <c r="N1" s="12"/>
      <c r="O1" s="12"/>
      <c r="P1" s="12"/>
      <c r="Q1" s="12"/>
      <c r="R1" s="12"/>
      <c r="S1" s="12"/>
      <c r="T1" s="12"/>
      <c r="U1" s="12"/>
      <c r="V1" s="12"/>
      <c r="W1" s="12"/>
      <c r="X1" s="13"/>
      <c r="Y1" s="14" t="s">
        <v>3</v>
      </c>
      <c r="Z1" s="14"/>
      <c r="AA1" s="15" t="s">
        <v>4</v>
      </c>
      <c r="AB1" s="16"/>
      <c r="AC1" s="17"/>
      <c r="AD1" s="18" t="s">
        <v>5</v>
      </c>
      <c r="AE1" s="19"/>
      <c r="AF1" s="20"/>
      <c r="AG1" s="21" t="s">
        <v>6</v>
      </c>
      <c r="AH1" s="22"/>
      <c r="AI1" s="23"/>
      <c r="AJ1" s="24"/>
      <c r="AK1" s="24"/>
      <c r="AL1" s="25" t="s">
        <v>7</v>
      </c>
      <c r="AM1" s="26"/>
      <c r="AN1" s="26"/>
      <c r="AO1" s="26"/>
      <c r="AP1" s="12"/>
    </row>
    <row r="2" ht="29.25" customHeight="1" spans="1:49" s="27" customFormat="1" x14ac:dyDescent="0.25">
      <c r="A2" s="20"/>
      <c r="B2" s="28"/>
      <c r="C2" s="29" t="s">
        <v>8</v>
      </c>
      <c r="D2" s="30">
        <v>3592399000</v>
      </c>
      <c r="E2" s="31"/>
      <c r="F2" s="32"/>
      <c r="G2" s="33"/>
      <c r="H2" s="5" t="s">
        <v>9</v>
      </c>
      <c r="I2" s="34">
        <f>D2*1</f>
        <v>3592399000</v>
      </c>
      <c r="J2" s="32"/>
      <c r="K2" s="35" t="s">
        <v>10</v>
      </c>
      <c r="L2" s="36" t="s">
        <v>11</v>
      </c>
      <c r="M2" s="37">
        <v>45903.45833333333</v>
      </c>
      <c r="N2" s="37"/>
      <c r="O2" s="37"/>
      <c r="P2" s="37"/>
      <c r="Q2" s="38" t="s">
        <v>108</v>
      </c>
      <c r="R2" s="38"/>
      <c r="S2" s="38"/>
      <c r="T2" s="39"/>
      <c r="U2" s="40"/>
      <c r="V2" s="40"/>
      <c r="W2" s="41"/>
      <c r="X2" s="42"/>
      <c r="Y2" s="43">
        <v>2212100000</v>
      </c>
      <c r="Z2" s="43"/>
      <c r="AA2" s="44">
        <f>I1</f>
        <v>3725752000</v>
      </c>
      <c r="AB2" s="45"/>
      <c r="AC2" s="46"/>
      <c r="AD2" s="47">
        <f>TRUNC(Y2/AA2,4)</f>
        <v>0.5937</v>
      </c>
      <c r="AE2" s="48"/>
      <c r="AF2" s="49"/>
      <c r="AG2" s="21" t="s">
        <v>13</v>
      </c>
      <c r="AH2" s="22"/>
      <c r="AI2" s="23">
        <v>3434131000</v>
      </c>
      <c r="AJ2" s="24"/>
      <c r="AK2" s="24"/>
      <c r="AL2" s="50"/>
      <c r="AM2" s="50"/>
      <c r="AN2" s="51" t="s">
        <v>14</v>
      </c>
      <c r="AP2" s="1"/>
      <c r="AQ2" s="1"/>
      <c r="AR2" s="52" t="s">
        <v>15</v>
      </c>
      <c r="AS2" s="53">
        <f>AI1</f>
        <v>0</v>
      </c>
      <c r="AT2" s="54"/>
      <c r="AW2" s="55"/>
    </row>
    <row r="3" ht="24.95" customHeight="1" spans="1:50" s="56" customFormat="1" x14ac:dyDescent="0.25">
      <c r="A3" s="57" t="s">
        <v>16</v>
      </c>
      <c r="B3" s="58" t="s">
        <v>17</v>
      </c>
      <c r="C3" s="59" t="s">
        <v>18</v>
      </c>
      <c r="D3" s="60"/>
      <c r="E3" s="60"/>
      <c r="F3" s="60"/>
      <c r="G3" s="60"/>
      <c r="H3" s="61"/>
      <c r="I3" s="59" t="s">
        <v>19</v>
      </c>
      <c r="J3" s="60"/>
      <c r="K3" s="60"/>
      <c r="L3" s="60"/>
      <c r="M3" s="61"/>
      <c r="N3" s="62" t="s">
        <v>20</v>
      </c>
      <c r="O3" s="63" t="s">
        <v>21</v>
      </c>
      <c r="P3" s="59" t="s">
        <v>22</v>
      </c>
      <c r="Q3" s="60"/>
      <c r="R3" s="64"/>
      <c r="S3" s="64"/>
      <c r="T3" s="60"/>
      <c r="U3" s="61"/>
      <c r="V3" s="65"/>
      <c r="W3" s="59" t="s">
        <v>23</v>
      </c>
      <c r="X3" s="60"/>
      <c r="Y3" s="60"/>
      <c r="Z3" s="60"/>
      <c r="AA3" s="60"/>
      <c r="AB3" s="60"/>
      <c r="AC3" s="60"/>
      <c r="AD3" s="60"/>
      <c r="AE3" s="61"/>
      <c r="AF3" s="60"/>
      <c r="AG3" s="60"/>
      <c r="AH3" s="60"/>
      <c r="AI3" s="60"/>
      <c r="AJ3" s="60"/>
      <c r="AK3" s="61"/>
      <c r="AL3" s="66" t="s">
        <v>24</v>
      </c>
      <c r="AM3" s="67" t="s">
        <v>25</v>
      </c>
      <c r="AN3" s="68" t="s">
        <v>26</v>
      </c>
      <c r="AO3" s="69" t="s">
        <v>27</v>
      </c>
      <c r="AP3" s="70" t="s">
        <v>28</v>
      </c>
      <c r="AQ3" s="65" t="s">
        <v>29</v>
      </c>
      <c r="AR3" s="67" t="s">
        <v>30</v>
      </c>
      <c r="AS3" s="65" t="s">
        <v>31</v>
      </c>
      <c r="AT3" s="65" t="s">
        <v>32</v>
      </c>
      <c r="AU3" s="65" t="s">
        <v>33</v>
      </c>
      <c r="AV3" s="71" t="s">
        <v>34</v>
      </c>
      <c r="AW3" s="65" t="s">
        <v>35</v>
      </c>
      <c r="AX3" s="65" t="s">
        <v>36</v>
      </c>
    </row>
    <row r="4" ht="39.75" customHeight="1" spans="1:50" s="56" customFormat="1" x14ac:dyDescent="0.25">
      <c r="A4" s="72"/>
      <c r="B4" s="73"/>
      <c r="C4" s="74" t="s">
        <v>37</v>
      </c>
      <c r="D4" s="75" t="s">
        <v>38</v>
      </c>
      <c r="E4" s="76" t="s">
        <v>39</v>
      </c>
      <c r="F4" s="76" t="s">
        <v>40</v>
      </c>
      <c r="G4" s="77" t="s">
        <v>41</v>
      </c>
      <c r="H4" s="65" t="s">
        <v>100</v>
      </c>
      <c r="I4" s="78" t="s">
        <v>37</v>
      </c>
      <c r="J4" s="79" t="s">
        <v>38</v>
      </c>
      <c r="K4" s="75" t="s">
        <v>39</v>
      </c>
      <c r="L4" s="75" t="s">
        <v>40</v>
      </c>
      <c r="M4" s="80" t="s">
        <v>41</v>
      </c>
      <c r="N4" s="81"/>
      <c r="O4" s="82"/>
      <c r="P4" s="78" t="s">
        <v>37</v>
      </c>
      <c r="Q4" s="79" t="s">
        <v>38</v>
      </c>
      <c r="R4" s="75" t="s">
        <v>39</v>
      </c>
      <c r="S4" s="75" t="s">
        <v>40</v>
      </c>
      <c r="T4" s="80" t="s">
        <v>41</v>
      </c>
      <c r="U4" s="83" t="s">
        <v>42</v>
      </c>
      <c r="V4" s="84" t="s">
        <v>43</v>
      </c>
      <c r="W4" s="85" t="s">
        <v>37</v>
      </c>
      <c r="X4" s="79" t="s">
        <v>38</v>
      </c>
      <c r="Y4" s="79" t="s">
        <v>39</v>
      </c>
      <c r="Z4" s="79" t="s">
        <v>40</v>
      </c>
      <c r="AA4" s="80" t="s">
        <v>41</v>
      </c>
      <c r="AB4" s="86" t="s">
        <v>44</v>
      </c>
      <c r="AC4" s="87" t="s">
        <v>45</v>
      </c>
      <c r="AD4" s="88" t="s">
        <v>46</v>
      </c>
      <c r="AE4" s="88" t="s">
        <v>47</v>
      </c>
      <c r="AF4" s="89" t="s">
        <v>48</v>
      </c>
      <c r="AG4" s="89" t="s">
        <v>49</v>
      </c>
      <c r="AH4" s="90" t="s">
        <v>50</v>
      </c>
      <c r="AI4" s="91" t="s">
        <v>51</v>
      </c>
      <c r="AJ4" s="91"/>
      <c r="AK4" s="91" t="s">
        <v>52</v>
      </c>
      <c r="AL4" s="92"/>
      <c r="AM4" s="93"/>
      <c r="AN4" s="94"/>
      <c r="AO4" s="95"/>
      <c r="AP4" s="70"/>
      <c r="AQ4" s="65"/>
      <c r="AR4" s="93"/>
      <c r="AS4" s="65"/>
      <c r="AT4" s="65"/>
      <c r="AU4" s="65"/>
      <c r="AV4" s="96"/>
      <c r="AW4" s="65"/>
      <c r="AX4" s="65"/>
    </row>
    <row r="5" ht="46.5" customHeight="1" spans="1:50" s="97" customFormat="1" x14ac:dyDescent="0.25">
      <c r="A5" s="98">
        <v>1</v>
      </c>
      <c r="B5" s="163"/>
      <c r="C5" s="102" t="s">
        <v>54</v>
      </c>
      <c r="D5" s="101" t="s">
        <v>109</v>
      </c>
      <c r="E5" s="163"/>
      <c r="F5" s="102"/>
      <c r="G5" s="103"/>
      <c r="H5" s="225" t="s">
        <v>110</v>
      </c>
      <c r="I5" s="166">
        <v>0.7</v>
      </c>
      <c r="J5" s="226">
        <v>0.247</v>
      </c>
      <c r="K5" s="107"/>
      <c r="L5" s="108"/>
      <c r="M5" s="109"/>
      <c r="N5" s="110">
        <f>SUM(I5:M5)</f>
        <v>0.947</v>
      </c>
      <c r="O5" s="111">
        <v>1</v>
      </c>
      <c r="P5" s="112">
        <v>15</v>
      </c>
      <c r="Q5" s="217">
        <v>15</v>
      </c>
      <c r="R5" s="112"/>
      <c r="S5" s="114"/>
      <c r="T5" s="115"/>
      <c r="U5" s="116">
        <f>ROUND(((P5*I5)+(Q5*J5)+(R5*K5)+(S5*L5)+(T5*M5))*O5,2)</f>
        <v>14.21</v>
      </c>
      <c r="V5" s="117">
        <f>IF(U5&gt;=15,15,U5)</f>
        <v>14.21</v>
      </c>
      <c r="W5" s="120">
        <v>21672377000</v>
      </c>
      <c r="X5" s="221">
        <v>1368609000</v>
      </c>
      <c r="Y5" s="120"/>
      <c r="Z5" s="121"/>
      <c r="AA5" s="122"/>
      <c r="AB5" s="123">
        <f>ROUND((((W5*I5)+(X5*J5)+(Y5*K5)+(Z5*L5)+(AA5*M5))/$I$2),2)*13</f>
        <v>56.160000000000004</v>
      </c>
      <c r="AC5" s="124">
        <f>IF(AB5&gt;=13,13,AB5)</f>
        <v>13</v>
      </c>
      <c r="AD5" s="125">
        <v>1</v>
      </c>
      <c r="AE5" s="116">
        <f>IF((AC5+AD5)&gt;=15,15,(AC5+AD5))</f>
        <v>14</v>
      </c>
      <c r="AF5" s="126">
        <f>1.5*I5</f>
        <v>1.0499999999999998</v>
      </c>
      <c r="AG5" s="127">
        <v>4.2</v>
      </c>
      <c r="AH5" s="128">
        <f>IF((V5+AE5+AF5)&gt;=30,30,(V5+AE5+AF5))</f>
        <v>29.26</v>
      </c>
      <c r="AI5" s="129">
        <v>65</v>
      </c>
      <c r="AJ5" s="128">
        <f>V5+AE5+AF5+AI5+AG5</f>
        <v>98.46000000000001</v>
      </c>
      <c r="AK5" s="128">
        <f>IF(AH5+AI5+AG5&gt;=95,95,AH5+AI5+AG5)</f>
        <v>95</v>
      </c>
      <c r="AL5" s="130">
        <f>-((50-((176+(45+(50-AH5)))))/200)</f>
        <v>0.9587</v>
      </c>
      <c r="AM5" s="131"/>
      <c r="AN5" s="132">
        <f>100%+AM5</f>
        <v>1</v>
      </c>
      <c r="AO5" s="132">
        <f>100%+AN5</f>
        <v>2</v>
      </c>
      <c r="AP5" s="133"/>
      <c r="AQ5" s="134"/>
      <c r="AR5" s="135"/>
      <c r="AS5" s="135"/>
      <c r="AT5" s="135"/>
      <c r="AU5" s="135"/>
      <c r="AV5" s="136"/>
      <c r="AW5" s="137">
        <f>AR5+AS5+AT5+AU5+AV5</f>
        <v>0</v>
      </c>
      <c r="AX5" s="137">
        <f>(AR5*I5)+(AS5*J5)+(AT5*K5)+(AU5*L5)+(AV5*M5)</f>
        <v>0</v>
      </c>
    </row>
    <row r="6" ht="21.95" customHeight="1" spans="1:50" s="97" customFormat="1" x14ac:dyDescent="0.25">
      <c r="A6" s="138" t="s">
        <v>56</v>
      </c>
      <c r="B6" s="139"/>
      <c r="C6" s="139"/>
      <c r="D6" s="139"/>
      <c r="E6" s="139"/>
      <c r="F6" s="139"/>
      <c r="G6" s="139"/>
      <c r="H6" s="140"/>
      <c r="I6" s="222">
        <v>85</v>
      </c>
      <c r="J6" s="142">
        <v>85</v>
      </c>
      <c r="K6" s="142"/>
      <c r="L6" s="142"/>
      <c r="M6" s="142"/>
      <c r="N6" s="143">
        <f>I6*I5+J6*J5+K6*K5+L6*L5+M6*M5</f>
        <v>80.49499999999999</v>
      </c>
      <c r="O6" s="144"/>
      <c r="P6" s="145"/>
      <c r="Q6" s="113"/>
      <c r="R6" s="113"/>
      <c r="S6" s="146"/>
      <c r="T6" s="147"/>
      <c r="U6" s="148"/>
      <c r="V6" s="149"/>
      <c r="W6" s="150"/>
      <c r="X6" s="151"/>
      <c r="Y6" s="152"/>
      <c r="Z6" s="151"/>
      <c r="AA6" s="153"/>
      <c r="AB6" s="154"/>
      <c r="AC6" s="149"/>
      <c r="AD6" s="148"/>
      <c r="AE6" s="148"/>
      <c r="AF6" s="155"/>
      <c r="AG6" s="156"/>
      <c r="AH6" s="113"/>
      <c r="AI6" s="157"/>
      <c r="AJ6" s="113"/>
      <c r="AK6" s="113"/>
      <c r="AL6" s="158"/>
      <c r="AM6" s="159"/>
      <c r="AN6" s="160"/>
      <c r="AO6" s="160"/>
      <c r="AP6" s="133"/>
      <c r="AQ6" s="134"/>
      <c r="AR6" s="161"/>
      <c r="AS6" s="161"/>
      <c r="AT6" s="161"/>
      <c r="AU6" s="161"/>
      <c r="AV6" s="162"/>
      <c r="AW6" s="137"/>
      <c r="AX6" s="137"/>
    </row>
    <row r="7" ht="46.5" customHeight="1" spans="1:50" s="97" customFormat="1" x14ac:dyDescent="0.25">
      <c r="A7" s="98">
        <v>2</v>
      </c>
      <c r="B7" s="163"/>
      <c r="C7" s="102" t="s">
        <v>63</v>
      </c>
      <c r="D7" s="101" t="s">
        <v>111</v>
      </c>
      <c r="E7" s="102"/>
      <c r="F7" s="163"/>
      <c r="G7" s="164"/>
      <c r="H7" s="165"/>
      <c r="I7" s="166">
        <v>0.7</v>
      </c>
      <c r="J7" s="107">
        <v>0.3</v>
      </c>
      <c r="K7" s="107"/>
      <c r="L7" s="167"/>
      <c r="M7" s="168"/>
      <c r="N7" s="169">
        <f>SUM(I7:M7)</f>
        <v>1</v>
      </c>
      <c r="O7" s="144">
        <v>1</v>
      </c>
      <c r="P7" s="112">
        <v>15</v>
      </c>
      <c r="Q7" s="217">
        <v>15</v>
      </c>
      <c r="R7" s="112"/>
      <c r="S7" s="113"/>
      <c r="T7" s="147"/>
      <c r="U7" s="148">
        <f>ROUND(((P7*I7)+(Q7*J7)+(R7*K7)+(S7*L7)+(T7*M7))*O7,2)</f>
        <v>15</v>
      </c>
      <c r="V7" s="149">
        <f>IF(U7&gt;=15,15,U7)</f>
        <v>15</v>
      </c>
      <c r="W7" s="120">
        <v>11716746000</v>
      </c>
      <c r="X7" s="120">
        <v>2944187000</v>
      </c>
      <c r="Y7" s="120"/>
      <c r="Z7" s="151"/>
      <c r="AA7" s="153"/>
      <c r="AB7" s="154">
        <f>ROUND((((W7*I7)+(X7*J7)+(Y7*K7)+(Z7*L7)+(AA7*M7))/$I$2),2)*13</f>
        <v>32.89</v>
      </c>
      <c r="AC7" s="149">
        <f>IF(AB7&gt;=13,13,AB7)</f>
        <v>13</v>
      </c>
      <c r="AD7" s="125">
        <v>2</v>
      </c>
      <c r="AE7" s="148">
        <f>IF((AC7+AD7)&gt;=15,15,(AC7+AD7))</f>
        <v>15</v>
      </c>
      <c r="AF7" s="155">
        <f>1.5*I7</f>
        <v>1.0499999999999998</v>
      </c>
      <c r="AG7" s="127">
        <v>4.2</v>
      </c>
      <c r="AH7" s="113">
        <f>IF((V7+AE7+AF7)&gt;=30,30,(V7+AE7+AF7))</f>
        <v>30</v>
      </c>
      <c r="AI7" s="157">
        <v>65</v>
      </c>
      <c r="AJ7" s="113">
        <f>V7+AE7+AF7+AI7+AG7</f>
        <v>100.25</v>
      </c>
      <c r="AK7" s="113">
        <f>IF(AH7+AI7+AG7&gt;=95,95,AH7+AI7+AG7)</f>
        <v>95</v>
      </c>
      <c r="AL7" s="158">
        <f>-((50-((176+(45+(50-AH7)))))/200)</f>
        <v>0.955</v>
      </c>
      <c r="AM7" s="159"/>
      <c r="AN7" s="160">
        <f>100%+AM7</f>
        <v>1</v>
      </c>
      <c r="AO7" s="160">
        <f>100%+AN7</f>
        <v>2</v>
      </c>
      <c r="AP7" s="133"/>
      <c r="AQ7" s="134"/>
      <c r="AR7" s="161"/>
      <c r="AS7" s="161"/>
      <c r="AT7" s="161"/>
      <c r="AU7" s="161"/>
      <c r="AV7" s="162"/>
      <c r="AW7" s="137">
        <f>AR7+AS7+AT7+AU7+AV7</f>
        <v>0</v>
      </c>
      <c r="AX7" s="137">
        <f>(AR7*I7)+(AS7*J7)+(AT7*K7)+(AU7*L7)+(AV7*M7)</f>
        <v>0</v>
      </c>
    </row>
    <row r="8" ht="21.95" customHeight="1" spans="1:50" s="97" customFormat="1" x14ac:dyDescent="0.25">
      <c r="A8" s="138" t="s">
        <v>56</v>
      </c>
      <c r="B8" s="139"/>
      <c r="C8" s="139"/>
      <c r="D8" s="139"/>
      <c r="E8" s="139"/>
      <c r="F8" s="139"/>
      <c r="G8" s="139"/>
      <c r="H8" s="140"/>
      <c r="I8" s="222">
        <v>85</v>
      </c>
      <c r="J8" s="142">
        <v>85</v>
      </c>
      <c r="K8" s="142"/>
      <c r="L8" s="142"/>
      <c r="M8" s="142"/>
      <c r="N8" s="170">
        <f>I8*I7+J8*J7+K8*K7+L8*L7+M8*M7</f>
        <v>85</v>
      </c>
      <c r="O8" s="144"/>
      <c r="P8" s="145"/>
      <c r="Q8" s="113"/>
      <c r="R8" s="113"/>
      <c r="S8" s="146"/>
      <c r="T8" s="147"/>
      <c r="U8" s="148"/>
      <c r="V8" s="149"/>
      <c r="W8" s="150"/>
      <c r="X8" s="151"/>
      <c r="Y8" s="152"/>
      <c r="Z8" s="151"/>
      <c r="AA8" s="153"/>
      <c r="AB8" s="154"/>
      <c r="AC8" s="149"/>
      <c r="AD8" s="148"/>
      <c r="AE8" s="148"/>
      <c r="AF8" s="155"/>
      <c r="AG8" s="156"/>
      <c r="AH8" s="113"/>
      <c r="AI8" s="157"/>
      <c r="AJ8" s="113"/>
      <c r="AK8" s="113"/>
      <c r="AL8" s="158"/>
      <c r="AM8" s="159"/>
      <c r="AN8" s="160"/>
      <c r="AO8" s="160"/>
      <c r="AP8" s="133"/>
      <c r="AQ8" s="134"/>
      <c r="AR8" s="161"/>
      <c r="AS8" s="161"/>
      <c r="AT8" s="161"/>
      <c r="AU8" s="161"/>
      <c r="AV8" s="162"/>
      <c r="AW8" s="137"/>
      <c r="AX8" s="137"/>
    </row>
    <row r="9" ht="46.5" customHeight="1" spans="1:50" s="97" customFormat="1" x14ac:dyDescent="0.25">
      <c r="A9" s="98">
        <v>3</v>
      </c>
      <c r="B9" s="223" t="s">
        <v>53</v>
      </c>
      <c r="C9" s="102" t="s">
        <v>59</v>
      </c>
      <c r="D9" s="101" t="s">
        <v>112</v>
      </c>
      <c r="E9" s="163"/>
      <c r="F9" s="163"/>
      <c r="G9" s="103"/>
      <c r="H9" s="171"/>
      <c r="I9" s="166">
        <v>0.51</v>
      </c>
      <c r="J9" s="107">
        <v>0.49</v>
      </c>
      <c r="K9" s="107"/>
      <c r="L9" s="167"/>
      <c r="M9" s="168"/>
      <c r="N9" s="169">
        <f>SUM(I9:M9)</f>
        <v>1</v>
      </c>
      <c r="O9" s="144">
        <v>1</v>
      </c>
      <c r="P9" s="112">
        <v>15</v>
      </c>
      <c r="Q9" s="112">
        <v>15</v>
      </c>
      <c r="R9" s="112"/>
      <c r="S9" s="146"/>
      <c r="T9" s="147"/>
      <c r="U9" s="148">
        <f>ROUND(((P9*I9)+(Q9*J9)+(R9*K9)+(S9*L9)+(T9*M9))*O9,2)</f>
        <v>15</v>
      </c>
      <c r="V9" s="149">
        <f>IF(U9&gt;=15,15,U9)</f>
        <v>15</v>
      </c>
      <c r="W9" s="120">
        <v>59183685000</v>
      </c>
      <c r="X9" s="120">
        <v>0</v>
      </c>
      <c r="Y9" s="120"/>
      <c r="Z9" s="151"/>
      <c r="AA9" s="153"/>
      <c r="AB9" s="154">
        <f>ROUND((((W9*I9)+(X9*J9)+(Y9*K9)+(Z9*L9)+(AA9*M9))/$I$2),2)*13</f>
        <v>109.2</v>
      </c>
      <c r="AC9" s="149">
        <f>IF(AB9&gt;=13,13,AB9)</f>
        <v>13</v>
      </c>
      <c r="AD9" s="125">
        <v>2</v>
      </c>
      <c r="AE9" s="148">
        <f>IF((AC9+AD9)&gt;=15,15,(AC9+AD9))</f>
        <v>15</v>
      </c>
      <c r="AF9" s="155"/>
      <c r="AG9" s="127">
        <v>4.2</v>
      </c>
      <c r="AH9" s="113">
        <f>IF((V9+AE9+AF9)&gt;=30,30,(V9+AE9+AF9))</f>
        <v>30</v>
      </c>
      <c r="AI9" s="157">
        <v>65</v>
      </c>
      <c r="AJ9" s="113">
        <f>V9+AE9+AF9+AI9+AG9</f>
        <v>99.2</v>
      </c>
      <c r="AK9" s="113">
        <f>IF(AH9+AI9+AG9&gt;=95,95,AH9+AI9+AG9)</f>
        <v>95</v>
      </c>
      <c r="AL9" s="158">
        <f>-((50-((176+(45+(50-AH9)))))/200)</f>
        <v>0.955</v>
      </c>
      <c r="AM9" s="159"/>
      <c r="AN9" s="160">
        <f>100%+AM9</f>
        <v>1</v>
      </c>
      <c r="AO9" s="160">
        <f>100%+AN9</f>
        <v>2</v>
      </c>
      <c r="AP9" s="133"/>
      <c r="AQ9" s="134"/>
      <c r="AR9" s="161"/>
      <c r="AS9" s="161"/>
      <c r="AT9" s="161"/>
      <c r="AU9" s="161"/>
      <c r="AV9" s="162"/>
      <c r="AW9" s="172">
        <f>AR9+AS9+AT9+AU9+AV9</f>
        <v>0</v>
      </c>
      <c r="AX9" s="172">
        <f>(AR9*I9)+(AS9*J9)+(AT9*K9)+(AU9*L9)+(AV9*M9)</f>
        <v>0</v>
      </c>
    </row>
    <row r="10" ht="21.95" customHeight="1" spans="1:50" s="97" customFormat="1" x14ac:dyDescent="0.25">
      <c r="A10" s="138" t="s">
        <v>56</v>
      </c>
      <c r="B10" s="139"/>
      <c r="C10" s="139"/>
      <c r="D10" s="139"/>
      <c r="E10" s="139"/>
      <c r="F10" s="139"/>
      <c r="G10" s="139"/>
      <c r="H10" s="140"/>
      <c r="I10" s="222">
        <v>85</v>
      </c>
      <c r="J10" s="142">
        <v>85</v>
      </c>
      <c r="K10" s="142">
        <v>85</v>
      </c>
      <c r="L10" s="142"/>
      <c r="M10" s="142"/>
      <c r="N10" s="170">
        <f>I10*I9+J10*J9+K10*K9+L10*L9+M10*M9</f>
        <v>85</v>
      </c>
      <c r="O10" s="144"/>
      <c r="P10" s="145"/>
      <c r="Q10" s="113"/>
      <c r="R10" s="113"/>
      <c r="S10" s="146"/>
      <c r="T10" s="147"/>
      <c r="U10" s="148"/>
      <c r="V10" s="149"/>
      <c r="W10" s="150"/>
      <c r="X10" s="151"/>
      <c r="Y10" s="152"/>
      <c r="Z10" s="151"/>
      <c r="AA10" s="153"/>
      <c r="AB10" s="154"/>
      <c r="AC10" s="149"/>
      <c r="AD10" s="148"/>
      <c r="AE10" s="148"/>
      <c r="AF10" s="155"/>
      <c r="AG10" s="156"/>
      <c r="AH10" s="113"/>
      <c r="AI10" s="157"/>
      <c r="AJ10" s="113"/>
      <c r="AK10" s="113"/>
      <c r="AL10" s="158"/>
      <c r="AM10" s="159"/>
      <c r="AN10" s="160"/>
      <c r="AO10" s="160"/>
      <c r="AP10" s="133"/>
      <c r="AQ10" s="134"/>
      <c r="AR10" s="161"/>
      <c r="AS10" s="161"/>
      <c r="AT10" s="161"/>
      <c r="AU10" s="161"/>
      <c r="AV10" s="162"/>
      <c r="AW10" s="137"/>
      <c r="AX10" s="137"/>
    </row>
    <row r="11" ht="46.5" customHeight="1" spans="1:50" s="97" customFormat="1" x14ac:dyDescent="0.25">
      <c r="A11" s="98">
        <v>4</v>
      </c>
      <c r="B11" s="196"/>
      <c r="C11" s="102" t="s">
        <v>113</v>
      </c>
      <c r="D11" s="101" t="s">
        <v>114</v>
      </c>
      <c r="E11" s="163"/>
      <c r="F11" s="163"/>
      <c r="G11" s="103"/>
      <c r="H11" s="165" t="s">
        <v>115</v>
      </c>
      <c r="I11" s="166">
        <v>0.7</v>
      </c>
      <c r="J11" s="226">
        <v>0.245</v>
      </c>
      <c r="K11" s="107"/>
      <c r="L11" s="176"/>
      <c r="M11" s="168"/>
      <c r="N11" s="169">
        <f t="shared" ref="N11:N44" si="0">SUM(I11:M11)</f>
        <v>0.945</v>
      </c>
      <c r="O11" s="144">
        <v>1</v>
      </c>
      <c r="P11" s="112">
        <v>15</v>
      </c>
      <c r="Q11" s="112">
        <v>15</v>
      </c>
      <c r="R11" s="156"/>
      <c r="S11" s="113"/>
      <c r="T11" s="147"/>
      <c r="U11" s="148">
        <f t="shared" ref="U11:U76" si="1">ROUND(((P11*I11)+(Q11*J11)+(R11*K11)+(S11*L11)+(T11*M11))*O11,2)</f>
        <v>14.18</v>
      </c>
      <c r="V11" s="149">
        <f t="shared" ref="V11:V76" si="2">IF(U11&gt;=15,15,U11)</f>
        <v>14.18</v>
      </c>
      <c r="W11" s="119">
        <v>7643696000</v>
      </c>
      <c r="X11" s="120">
        <v>1934097000</v>
      </c>
      <c r="Y11" s="120"/>
      <c r="Z11" s="151"/>
      <c r="AA11" s="153"/>
      <c r="AB11" s="154">
        <f t="shared" ref="AB11:AB76" si="3">ROUND((((W11*I11)+(X11*J11)+(Y11*K11)+(Z11*L11)+(AA11*M11))/$I$2),2)*13</f>
        <v>21.060000000000002</v>
      </c>
      <c r="AC11" s="149">
        <f t="shared" ref="AC11:AC76" si="4">IF(AB11&gt;=13,13,AB11)</f>
        <v>13</v>
      </c>
      <c r="AD11" s="125">
        <v>1</v>
      </c>
      <c r="AE11" s="148">
        <f t="shared" ref="AE11:AE76" si="5">IF((AC11+AD11)&gt;=15,15,(AC11+AD11))</f>
        <v>14</v>
      </c>
      <c r="AF11" s="155">
        <f>0.5*I11</f>
        <v>0.35</v>
      </c>
      <c r="AG11" s="127">
        <v>4.2</v>
      </c>
      <c r="AH11" s="113">
        <f t="shared" ref="AH11:AH76" si="6">IF((V11+AE11+AF11)&gt;=30,30,(V11+AE11+AF11))</f>
        <v>28.53</v>
      </c>
      <c r="AI11" s="157">
        <v>65</v>
      </c>
      <c r="AJ11" s="113">
        <f t="shared" ref="AJ11:AJ76" si="7">V11+AE11+AF11+AI11+AG11</f>
        <v>97.73</v>
      </c>
      <c r="AK11" s="113">
        <f t="shared" ref="AK11:AK76" si="8">IF(AH11+AI11+AG11&gt;=95,95,AH11+AI11+AG11)</f>
        <v>95</v>
      </c>
      <c r="AL11" s="158">
        <f t="shared" ref="AL11:AL76" si="9">-((50-((176+(45+(50-AH11)))))/200)</f>
        <v>0.96235</v>
      </c>
      <c r="AM11" s="159"/>
      <c r="AN11" s="160">
        <f t="shared" ref="AN11:AO32" si="10">100%+AM11</f>
        <v>1</v>
      </c>
      <c r="AO11" s="160">
        <f t="shared" si="10"/>
        <v>2</v>
      </c>
      <c r="AP11" s="133"/>
      <c r="AQ11" s="134"/>
      <c r="AR11" s="161"/>
      <c r="AS11" s="161"/>
      <c r="AT11" s="161"/>
      <c r="AU11" s="161"/>
      <c r="AV11" s="162"/>
      <c r="AW11" s="137">
        <f t="shared" ref="AW11:AW76" si="11">AR11+AS11+AT11+AU11+AV11</f>
        <v>0</v>
      </c>
      <c r="AX11" s="137">
        <f t="shared" ref="AX11:AX76" si="12">(AR11*I11)+(AS11*J11)+(AT11*K11)+(AU11*L11)+(AV11*M11)</f>
        <v>0</v>
      </c>
    </row>
    <row r="12" ht="21.95" customHeight="1" spans="1:50" s="97" customFormat="1" x14ac:dyDescent="0.25">
      <c r="A12" s="138" t="s">
        <v>56</v>
      </c>
      <c r="B12" s="139"/>
      <c r="C12" s="139"/>
      <c r="D12" s="139"/>
      <c r="E12" s="139"/>
      <c r="F12" s="139"/>
      <c r="G12" s="139"/>
      <c r="H12" s="140"/>
      <c r="I12" s="222">
        <v>85</v>
      </c>
      <c r="J12" s="142">
        <v>85</v>
      </c>
      <c r="K12" s="142">
        <v>85</v>
      </c>
      <c r="L12" s="142"/>
      <c r="M12" s="142"/>
      <c r="N12" s="170">
        <f>I12*I11+J12*J11+K12*K11+L12*L11+M12*M11</f>
        <v>80.32499999999999</v>
      </c>
      <c r="O12" s="144"/>
      <c r="P12" s="145"/>
      <c r="Q12" s="113"/>
      <c r="R12" s="113"/>
      <c r="S12" s="146"/>
      <c r="T12" s="147"/>
      <c r="U12" s="148"/>
      <c r="V12" s="149"/>
      <c r="W12" s="227"/>
      <c r="X12" s="151"/>
      <c r="Y12" s="152"/>
      <c r="Z12" s="151"/>
      <c r="AA12" s="153"/>
      <c r="AB12" s="154"/>
      <c r="AC12" s="149"/>
      <c r="AD12" s="148"/>
      <c r="AE12" s="148"/>
      <c r="AF12" s="155"/>
      <c r="AG12" s="156"/>
      <c r="AH12" s="113"/>
      <c r="AI12" s="157"/>
      <c r="AJ12" s="113"/>
      <c r="AK12" s="113"/>
      <c r="AL12" s="158"/>
      <c r="AM12" s="159"/>
      <c r="AN12" s="160"/>
      <c r="AO12" s="160"/>
      <c r="AP12" s="133"/>
      <c r="AQ12" s="134"/>
      <c r="AR12" s="161"/>
      <c r="AS12" s="161"/>
      <c r="AT12" s="161"/>
      <c r="AU12" s="161"/>
      <c r="AV12" s="162"/>
      <c r="AW12" s="137"/>
      <c r="AX12" s="137"/>
    </row>
    <row r="13" ht="46.5" customHeight="1" spans="1:50" s="97" customFormat="1" x14ac:dyDescent="0.25">
      <c r="A13" s="98">
        <v>5</v>
      </c>
      <c r="B13" s="208" t="s">
        <v>102</v>
      </c>
      <c r="C13" s="102" t="s">
        <v>57</v>
      </c>
      <c r="D13" s="101" t="s">
        <v>116</v>
      </c>
      <c r="E13" s="163"/>
      <c r="F13" s="163"/>
      <c r="G13" s="103"/>
      <c r="H13" s="171"/>
      <c r="I13" s="166">
        <v>0.51</v>
      </c>
      <c r="J13" s="107">
        <v>0.49</v>
      </c>
      <c r="K13" s="107"/>
      <c r="L13" s="167"/>
      <c r="M13" s="168"/>
      <c r="N13" s="169">
        <f t="shared" si="0"/>
        <v>1</v>
      </c>
      <c r="O13" s="228">
        <v>1</v>
      </c>
      <c r="P13" s="112">
        <v>15</v>
      </c>
      <c r="Q13" s="112">
        <v>15</v>
      </c>
      <c r="R13" s="112"/>
      <c r="S13" s="146"/>
      <c r="T13" s="147"/>
      <c r="U13" s="148">
        <f t="shared" si="1"/>
        <v>15</v>
      </c>
      <c r="V13" s="149">
        <f t="shared" si="2"/>
        <v>15</v>
      </c>
      <c r="W13" s="120">
        <v>15563060000</v>
      </c>
      <c r="X13" s="120">
        <v>2401632000</v>
      </c>
      <c r="Y13" s="183"/>
      <c r="Z13" s="151"/>
      <c r="AA13" s="153"/>
      <c r="AB13" s="154">
        <f t="shared" si="3"/>
        <v>33.02</v>
      </c>
      <c r="AC13" s="149">
        <f t="shared" si="4"/>
        <v>13</v>
      </c>
      <c r="AD13" s="125">
        <v>2</v>
      </c>
      <c r="AE13" s="148">
        <f t="shared" si="5"/>
        <v>15</v>
      </c>
      <c r="AF13" s="155">
        <f>1.5*I13</f>
        <v>0.765</v>
      </c>
      <c r="AG13" s="127">
        <v>4.2</v>
      </c>
      <c r="AH13" s="113">
        <f t="shared" si="6"/>
        <v>30</v>
      </c>
      <c r="AI13" s="157">
        <v>65</v>
      </c>
      <c r="AJ13" s="113">
        <f t="shared" si="7"/>
        <v>99.965</v>
      </c>
      <c r="AK13" s="113">
        <f t="shared" si="8"/>
        <v>95</v>
      </c>
      <c r="AL13" s="158">
        <f t="shared" si="9"/>
        <v>0.955</v>
      </c>
      <c r="AM13" s="159"/>
      <c r="AN13" s="160">
        <f t="shared" si="10"/>
        <v>1</v>
      </c>
      <c r="AO13" s="160">
        <f t="shared" si="10"/>
        <v>2</v>
      </c>
      <c r="AP13" s="133"/>
      <c r="AQ13" s="134"/>
      <c r="AR13" s="161"/>
      <c r="AS13" s="161"/>
      <c r="AT13" s="161"/>
      <c r="AU13" s="161"/>
      <c r="AV13" s="162"/>
      <c r="AW13" s="137">
        <f t="shared" si="11"/>
        <v>0</v>
      </c>
      <c r="AX13" s="137">
        <f t="shared" si="12"/>
        <v>0</v>
      </c>
    </row>
    <row r="14" ht="21.95" customHeight="1" spans="1:50" s="97" customFormat="1" x14ac:dyDescent="0.25">
      <c r="A14" s="138" t="s">
        <v>56</v>
      </c>
      <c r="B14" s="139"/>
      <c r="C14" s="139"/>
      <c r="D14" s="139"/>
      <c r="E14" s="139"/>
      <c r="F14" s="139"/>
      <c r="G14" s="139"/>
      <c r="H14" s="140"/>
      <c r="I14" s="222">
        <v>85</v>
      </c>
      <c r="J14" s="142">
        <v>85</v>
      </c>
      <c r="K14" s="142"/>
      <c r="L14" s="142"/>
      <c r="M14" s="142"/>
      <c r="N14" s="170">
        <f>I14*I13+J14*J13+K14*K13+L14*L13+M14*M13</f>
        <v>85</v>
      </c>
      <c r="O14" s="144"/>
      <c r="P14" s="145"/>
      <c r="Q14" s="113"/>
      <c r="R14" s="113"/>
      <c r="S14" s="146"/>
      <c r="T14" s="147"/>
      <c r="U14" s="148"/>
      <c r="V14" s="149"/>
      <c r="W14" s="150"/>
      <c r="X14" s="151"/>
      <c r="Y14" s="152"/>
      <c r="Z14" s="151"/>
      <c r="AA14" s="153"/>
      <c r="AB14" s="154"/>
      <c r="AC14" s="149"/>
      <c r="AD14" s="148"/>
      <c r="AE14" s="148"/>
      <c r="AF14" s="155"/>
      <c r="AG14" s="156"/>
      <c r="AH14" s="113"/>
      <c r="AI14" s="157"/>
      <c r="AJ14" s="113"/>
      <c r="AK14" s="113"/>
      <c r="AL14" s="158"/>
      <c r="AM14" s="159"/>
      <c r="AN14" s="160"/>
      <c r="AO14" s="160"/>
      <c r="AP14" s="133"/>
      <c r="AQ14" s="134"/>
      <c r="AR14" s="161"/>
      <c r="AS14" s="161"/>
      <c r="AT14" s="161"/>
      <c r="AU14" s="161"/>
      <c r="AV14" s="162"/>
      <c r="AW14" s="137"/>
      <c r="AX14" s="137"/>
    </row>
    <row r="15" ht="46.5" customHeight="1" spans="1:50" s="97" customFormat="1" x14ac:dyDescent="0.25">
      <c r="A15" s="98"/>
      <c r="B15" s="196"/>
      <c r="C15" s="102" t="s">
        <v>57</v>
      </c>
      <c r="D15" s="101" t="s">
        <v>117</v>
      </c>
      <c r="E15" s="163" t="s">
        <v>118</v>
      </c>
      <c r="F15" s="100"/>
      <c r="G15" s="103"/>
      <c r="H15" s="171" t="s">
        <v>119</v>
      </c>
      <c r="I15" s="166">
        <v>0.6</v>
      </c>
      <c r="J15" s="226">
        <v>0.0455</v>
      </c>
      <c r="K15" s="107">
        <v>0.1</v>
      </c>
      <c r="L15" s="167"/>
      <c r="M15" s="168"/>
      <c r="N15" s="169">
        <f t="shared" si="0"/>
        <v>0.7454999999999999</v>
      </c>
      <c r="O15" s="229">
        <v>1.1</v>
      </c>
      <c r="P15" s="112">
        <v>15</v>
      </c>
      <c r="Q15" s="112">
        <v>15</v>
      </c>
      <c r="R15" s="112">
        <v>15</v>
      </c>
      <c r="S15" s="146"/>
      <c r="T15" s="147"/>
      <c r="U15" s="148">
        <f t="shared" si="1"/>
        <v>12.3</v>
      </c>
      <c r="V15" s="149">
        <f t="shared" si="2"/>
        <v>12.3</v>
      </c>
      <c r="W15" s="120">
        <v>11716746000</v>
      </c>
      <c r="X15" s="120">
        <v>174611000</v>
      </c>
      <c r="Y15" s="183">
        <v>2164716000</v>
      </c>
      <c r="Z15" s="151"/>
      <c r="AA15" s="153"/>
      <c r="AB15" s="154">
        <f t="shared" si="3"/>
        <v>26.26</v>
      </c>
      <c r="AC15" s="149">
        <f t="shared" si="4"/>
        <v>13</v>
      </c>
      <c r="AD15" s="125">
        <v>0</v>
      </c>
      <c r="AE15" s="148">
        <f t="shared" si="5"/>
        <v>13</v>
      </c>
      <c r="AF15" s="155">
        <f>1.5*I15</f>
        <v>0.8999999999999999</v>
      </c>
      <c r="AG15" s="127">
        <v>4.2</v>
      </c>
      <c r="AH15" s="113">
        <f t="shared" si="6"/>
        <v>26.2</v>
      </c>
      <c r="AI15" s="157">
        <v>65</v>
      </c>
      <c r="AJ15" s="113">
        <f t="shared" si="7"/>
        <v>95.4</v>
      </c>
      <c r="AK15" s="113">
        <f t="shared" si="8"/>
        <v>95</v>
      </c>
      <c r="AL15" s="158">
        <f t="shared" si="9"/>
        <v>0.9740000000000001</v>
      </c>
      <c r="AM15" s="159"/>
      <c r="AN15" s="160">
        <f t="shared" si="10"/>
        <v>1</v>
      </c>
      <c r="AO15" s="160">
        <f t="shared" si="10"/>
        <v>2</v>
      </c>
      <c r="AP15" s="133"/>
      <c r="AQ15" s="134"/>
      <c r="AR15" s="161"/>
      <c r="AS15" s="161"/>
      <c r="AT15" s="161"/>
      <c r="AU15" s="161"/>
      <c r="AV15" s="162"/>
      <c r="AW15" s="137">
        <f t="shared" si="11"/>
        <v>0</v>
      </c>
      <c r="AX15" s="137">
        <f t="shared" si="12"/>
        <v>0</v>
      </c>
    </row>
    <row r="16" ht="21.95" customHeight="1" spans="1:50" s="97" customFormat="1" x14ac:dyDescent="0.25">
      <c r="A16" s="138" t="s">
        <v>56</v>
      </c>
      <c r="B16" s="139"/>
      <c r="C16" s="139"/>
      <c r="D16" s="139"/>
      <c r="E16" s="139"/>
      <c r="F16" s="139"/>
      <c r="G16" s="139"/>
      <c r="H16" s="140"/>
      <c r="I16" s="222">
        <v>85</v>
      </c>
      <c r="J16" s="142">
        <v>85</v>
      </c>
      <c r="K16" s="142">
        <v>85</v>
      </c>
      <c r="L16" s="142"/>
      <c r="M16" s="142"/>
      <c r="N16" s="170">
        <f>I16*I15+J16*J15+K16*K15+L16*L15+M16*M15</f>
        <v>63.3675</v>
      </c>
      <c r="O16" s="144"/>
      <c r="P16" s="145"/>
      <c r="Q16" s="113"/>
      <c r="R16" s="113"/>
      <c r="S16" s="146"/>
      <c r="T16" s="147"/>
      <c r="U16" s="148"/>
      <c r="V16" s="149"/>
      <c r="W16" s="150"/>
      <c r="X16" s="151"/>
      <c r="Y16" s="152"/>
      <c r="Z16" s="151"/>
      <c r="AA16" s="153"/>
      <c r="AB16" s="154"/>
      <c r="AC16" s="149"/>
      <c r="AD16" s="148"/>
      <c r="AE16" s="148"/>
      <c r="AF16" s="155"/>
      <c r="AG16" s="156"/>
      <c r="AH16" s="113"/>
      <c r="AI16" s="157"/>
      <c r="AJ16" s="113"/>
      <c r="AK16" s="113"/>
      <c r="AL16" s="158"/>
      <c r="AM16" s="159"/>
      <c r="AN16" s="160"/>
      <c r="AO16" s="160"/>
      <c r="AP16" s="133"/>
      <c r="AQ16" s="134"/>
      <c r="AR16" s="161"/>
      <c r="AS16" s="161"/>
      <c r="AT16" s="161"/>
      <c r="AU16" s="161"/>
      <c r="AV16" s="162"/>
      <c r="AW16" s="137"/>
      <c r="AX16" s="137"/>
    </row>
    <row r="17" ht="46.5" customHeight="1" spans="1:50" s="97" customFormat="1" x14ac:dyDescent="0.25">
      <c r="A17" s="98"/>
      <c r="B17" s="196"/>
      <c r="C17" s="102"/>
      <c r="D17" s="101"/>
      <c r="E17" s="224"/>
      <c r="F17" s="224"/>
      <c r="G17" s="103"/>
      <c r="H17" s="182"/>
      <c r="I17" s="166">
        <v>0.51</v>
      </c>
      <c r="J17" s="107">
        <v>0.49</v>
      </c>
      <c r="K17" s="107"/>
      <c r="L17" s="167"/>
      <c r="M17" s="168"/>
      <c r="N17" s="169">
        <f t="shared" si="0"/>
        <v>1</v>
      </c>
      <c r="O17" s="144">
        <v>1</v>
      </c>
      <c r="P17" s="112">
        <v>15</v>
      </c>
      <c r="Q17" s="112">
        <v>15</v>
      </c>
      <c r="R17" s="113"/>
      <c r="S17" s="146"/>
      <c r="T17" s="147"/>
      <c r="U17" s="148">
        <f t="shared" si="1"/>
        <v>15</v>
      </c>
      <c r="V17" s="149">
        <f t="shared" si="2"/>
        <v>15</v>
      </c>
      <c r="W17" s="120"/>
      <c r="X17" s="120"/>
      <c r="Y17" s="120"/>
      <c r="Z17" s="151"/>
      <c r="AA17" s="153"/>
      <c r="AB17" s="154">
        <f t="shared" si="3"/>
        <v>0</v>
      </c>
      <c r="AC17" s="149">
        <f t="shared" si="4"/>
        <v>0</v>
      </c>
      <c r="AD17" s="125">
        <v>2</v>
      </c>
      <c r="AE17" s="148">
        <f t="shared" si="5"/>
        <v>2</v>
      </c>
      <c r="AF17" s="156"/>
      <c r="AG17" s="127"/>
      <c r="AH17" s="113">
        <f t="shared" si="6"/>
        <v>17</v>
      </c>
      <c r="AI17" s="157">
        <v>65</v>
      </c>
      <c r="AJ17" s="113">
        <f t="shared" si="7"/>
        <v>82</v>
      </c>
      <c r="AK17" s="113">
        <f t="shared" si="8"/>
        <v>82</v>
      </c>
      <c r="AL17" s="158">
        <f t="shared" si="9"/>
        <v>1.02</v>
      </c>
      <c r="AM17" s="159"/>
      <c r="AN17" s="160">
        <f t="shared" si="10"/>
        <v>1</v>
      </c>
      <c r="AO17" s="160">
        <f t="shared" si="10"/>
        <v>2</v>
      </c>
      <c r="AP17" s="133"/>
      <c r="AQ17" s="134"/>
      <c r="AR17" s="161"/>
      <c r="AS17" s="161"/>
      <c r="AT17" s="161"/>
      <c r="AU17" s="161"/>
      <c r="AV17" s="162"/>
      <c r="AW17" s="137">
        <f t="shared" si="11"/>
        <v>0</v>
      </c>
      <c r="AX17" s="137">
        <f t="shared" si="12"/>
        <v>0</v>
      </c>
    </row>
    <row r="18" ht="46.5" customHeight="1" spans="1:50" s="97" customFormat="1" x14ac:dyDescent="0.25">
      <c r="A18" s="98"/>
      <c r="B18" s="99"/>
      <c r="C18" s="102"/>
      <c r="D18" s="100"/>
      <c r="E18" s="224"/>
      <c r="F18" s="100"/>
      <c r="G18" s="103"/>
      <c r="H18" s="186"/>
      <c r="I18" s="166">
        <v>0.51</v>
      </c>
      <c r="J18" s="107">
        <v>0.49</v>
      </c>
      <c r="K18" s="107"/>
      <c r="L18" s="167"/>
      <c r="M18" s="168"/>
      <c r="N18" s="169">
        <f t="shared" si="0"/>
        <v>1</v>
      </c>
      <c r="O18" s="144">
        <v>1</v>
      </c>
      <c r="P18" s="112">
        <v>15</v>
      </c>
      <c r="Q18" s="112">
        <v>15</v>
      </c>
      <c r="R18" s="113"/>
      <c r="S18" s="146"/>
      <c r="T18" s="147"/>
      <c r="U18" s="148">
        <f t="shared" si="1"/>
        <v>15</v>
      </c>
      <c r="V18" s="149">
        <f t="shared" si="2"/>
        <v>15</v>
      </c>
      <c r="W18" s="183"/>
      <c r="X18" s="183"/>
      <c r="Y18" s="183"/>
      <c r="Z18" s="151"/>
      <c r="AA18" s="153"/>
      <c r="AB18" s="154">
        <f t="shared" si="3"/>
        <v>0</v>
      </c>
      <c r="AC18" s="149">
        <f t="shared" si="4"/>
        <v>0</v>
      </c>
      <c r="AD18" s="125">
        <v>2</v>
      </c>
      <c r="AE18" s="148">
        <f t="shared" si="5"/>
        <v>2</v>
      </c>
      <c r="AF18" s="156"/>
      <c r="AG18" s="127"/>
      <c r="AH18" s="113">
        <f t="shared" si="6"/>
        <v>17</v>
      </c>
      <c r="AI18" s="157">
        <v>65</v>
      </c>
      <c r="AJ18" s="113">
        <f t="shared" si="7"/>
        <v>82</v>
      </c>
      <c r="AK18" s="113">
        <f t="shared" si="8"/>
        <v>82</v>
      </c>
      <c r="AL18" s="158">
        <f t="shared" si="9"/>
        <v>1.02</v>
      </c>
      <c r="AM18" s="159"/>
      <c r="AN18" s="160">
        <f t="shared" si="10"/>
        <v>1</v>
      </c>
      <c r="AO18" s="160">
        <f t="shared" si="10"/>
        <v>2</v>
      </c>
      <c r="AP18" s="133"/>
      <c r="AQ18" s="134"/>
      <c r="AR18" s="161"/>
      <c r="AS18" s="161"/>
      <c r="AT18" s="161"/>
      <c r="AU18" s="161"/>
      <c r="AV18" s="162"/>
      <c r="AW18" s="137">
        <f t="shared" si="11"/>
        <v>0</v>
      </c>
      <c r="AX18" s="137">
        <f t="shared" si="12"/>
        <v>0</v>
      </c>
    </row>
    <row r="19" ht="46.5" customHeight="1" spans="1:50" s="97" customFormat="1" x14ac:dyDescent="0.25">
      <c r="A19" s="98"/>
      <c r="B19" s="99"/>
      <c r="C19" s="102"/>
      <c r="D19" s="102"/>
      <c r="E19" s="224"/>
      <c r="F19" s="224"/>
      <c r="G19" s="103"/>
      <c r="H19" s="186"/>
      <c r="I19" s="166">
        <v>0.51</v>
      </c>
      <c r="J19" s="107">
        <v>0.49</v>
      </c>
      <c r="K19" s="107"/>
      <c r="L19" s="107"/>
      <c r="M19" s="187"/>
      <c r="N19" s="169">
        <f t="shared" si="0"/>
        <v>1</v>
      </c>
      <c r="O19" s="144">
        <v>1</v>
      </c>
      <c r="P19" s="112">
        <v>15</v>
      </c>
      <c r="Q19" s="112">
        <v>15</v>
      </c>
      <c r="R19" s="113"/>
      <c r="S19" s="113"/>
      <c r="T19" s="146"/>
      <c r="U19" s="148">
        <f t="shared" si="1"/>
        <v>15</v>
      </c>
      <c r="V19" s="149">
        <f t="shared" si="2"/>
        <v>15</v>
      </c>
      <c r="W19" s="188"/>
      <c r="X19" s="161"/>
      <c r="Y19" s="189"/>
      <c r="Z19" s="190"/>
      <c r="AA19" s="153"/>
      <c r="AB19" s="154">
        <f t="shared" si="3"/>
        <v>0</v>
      </c>
      <c r="AC19" s="149">
        <f t="shared" si="4"/>
        <v>0</v>
      </c>
      <c r="AD19" s="125">
        <v>2</v>
      </c>
      <c r="AE19" s="148">
        <f t="shared" si="5"/>
        <v>2</v>
      </c>
      <c r="AF19" s="156"/>
      <c r="AG19" s="156"/>
      <c r="AH19" s="113">
        <f t="shared" si="6"/>
        <v>17</v>
      </c>
      <c r="AI19" s="157">
        <v>65</v>
      </c>
      <c r="AJ19" s="113">
        <f t="shared" si="7"/>
        <v>82</v>
      </c>
      <c r="AK19" s="113">
        <f t="shared" si="8"/>
        <v>82</v>
      </c>
      <c r="AL19" s="158">
        <f t="shared" si="9"/>
        <v>1.02</v>
      </c>
      <c r="AM19" s="159"/>
      <c r="AN19" s="160">
        <f t="shared" si="10"/>
        <v>1</v>
      </c>
      <c r="AO19" s="160">
        <f t="shared" si="10"/>
        <v>2</v>
      </c>
      <c r="AP19" s="133"/>
      <c r="AQ19" s="134"/>
      <c r="AR19" s="161"/>
      <c r="AS19" s="161"/>
      <c r="AT19" s="161"/>
      <c r="AU19" s="161"/>
      <c r="AV19" s="162"/>
      <c r="AW19" s="137">
        <f t="shared" si="11"/>
        <v>0</v>
      </c>
      <c r="AX19" s="137">
        <f t="shared" si="12"/>
        <v>0</v>
      </c>
    </row>
    <row r="20" ht="46.5" customHeight="1" spans="1:50" s="97" customFormat="1" x14ac:dyDescent="0.25">
      <c r="A20" s="98"/>
      <c r="B20" s="102"/>
      <c r="C20" s="102"/>
      <c r="D20" s="100"/>
      <c r="E20" s="100"/>
      <c r="F20" s="224"/>
      <c r="G20" s="103"/>
      <c r="H20" s="186"/>
      <c r="I20" s="166">
        <v>0.51</v>
      </c>
      <c r="J20" s="107">
        <v>0.49</v>
      </c>
      <c r="K20" s="191"/>
      <c r="L20" s="107"/>
      <c r="M20" s="187"/>
      <c r="N20" s="169">
        <f t="shared" si="0"/>
        <v>1</v>
      </c>
      <c r="O20" s="144">
        <v>1</v>
      </c>
      <c r="P20" s="112">
        <v>15</v>
      </c>
      <c r="Q20" s="112">
        <v>15</v>
      </c>
      <c r="R20" s="113"/>
      <c r="S20" s="113"/>
      <c r="T20" s="146"/>
      <c r="U20" s="148">
        <f t="shared" si="1"/>
        <v>15</v>
      </c>
      <c r="V20" s="149">
        <f t="shared" si="2"/>
        <v>15</v>
      </c>
      <c r="W20" s="192"/>
      <c r="X20" s="120"/>
      <c r="Y20" s="120"/>
      <c r="Z20" s="190"/>
      <c r="AA20" s="153"/>
      <c r="AB20" s="154">
        <f t="shared" si="3"/>
        <v>0</v>
      </c>
      <c r="AC20" s="149">
        <f t="shared" si="4"/>
        <v>0</v>
      </c>
      <c r="AD20" s="125">
        <v>2</v>
      </c>
      <c r="AE20" s="148">
        <f t="shared" si="5"/>
        <v>2</v>
      </c>
      <c r="AF20" s="156"/>
      <c r="AG20" s="156"/>
      <c r="AH20" s="113">
        <f t="shared" si="6"/>
        <v>17</v>
      </c>
      <c r="AI20" s="157">
        <v>65</v>
      </c>
      <c r="AJ20" s="113">
        <f t="shared" si="7"/>
        <v>82</v>
      </c>
      <c r="AK20" s="113">
        <f t="shared" si="8"/>
        <v>82</v>
      </c>
      <c r="AL20" s="158">
        <f t="shared" si="9"/>
        <v>1.02</v>
      </c>
      <c r="AM20" s="159"/>
      <c r="AN20" s="160">
        <f t="shared" si="10"/>
        <v>1</v>
      </c>
      <c r="AO20" s="160">
        <f t="shared" si="10"/>
        <v>2</v>
      </c>
      <c r="AP20" s="133"/>
      <c r="AQ20" s="134"/>
      <c r="AR20" s="161"/>
      <c r="AS20" s="161"/>
      <c r="AT20" s="161"/>
      <c r="AU20" s="161"/>
      <c r="AV20" s="162"/>
      <c r="AW20" s="137">
        <f t="shared" si="11"/>
        <v>0</v>
      </c>
      <c r="AX20" s="137">
        <f t="shared" si="12"/>
        <v>0</v>
      </c>
    </row>
    <row r="21" ht="46.5" customHeight="1" spans="1:50" s="97" customFormat="1" x14ac:dyDescent="0.25">
      <c r="A21" s="98"/>
      <c r="B21" s="102"/>
      <c r="C21" s="102"/>
      <c r="D21" s="102"/>
      <c r="E21" s="100"/>
      <c r="F21" s="100"/>
      <c r="G21" s="103"/>
      <c r="H21" s="186"/>
      <c r="I21" s="166">
        <v>0.51</v>
      </c>
      <c r="J21" s="107">
        <v>0.49</v>
      </c>
      <c r="K21" s="107"/>
      <c r="L21" s="107"/>
      <c r="M21" s="187"/>
      <c r="N21" s="169">
        <f t="shared" si="0"/>
        <v>1</v>
      </c>
      <c r="O21" s="144">
        <v>1</v>
      </c>
      <c r="P21" s="145">
        <v>15</v>
      </c>
      <c r="Q21" s="113">
        <v>15</v>
      </c>
      <c r="R21" s="113"/>
      <c r="S21" s="113"/>
      <c r="T21" s="146"/>
      <c r="U21" s="148">
        <f t="shared" si="1"/>
        <v>15</v>
      </c>
      <c r="V21" s="149">
        <f t="shared" si="2"/>
        <v>15</v>
      </c>
      <c r="W21" s="192"/>
      <c r="X21" s="183"/>
      <c r="Y21" s="120"/>
      <c r="Z21" s="190"/>
      <c r="AA21" s="153"/>
      <c r="AB21" s="154">
        <f t="shared" si="3"/>
        <v>0</v>
      </c>
      <c r="AC21" s="149">
        <f t="shared" si="4"/>
        <v>0</v>
      </c>
      <c r="AD21" s="125">
        <v>2</v>
      </c>
      <c r="AE21" s="148">
        <f t="shared" si="5"/>
        <v>2</v>
      </c>
      <c r="AF21" s="156"/>
      <c r="AG21" s="156"/>
      <c r="AH21" s="113">
        <f t="shared" si="6"/>
        <v>17</v>
      </c>
      <c r="AI21" s="157">
        <v>65</v>
      </c>
      <c r="AJ21" s="113">
        <f t="shared" si="7"/>
        <v>82</v>
      </c>
      <c r="AK21" s="113">
        <f t="shared" si="8"/>
        <v>82</v>
      </c>
      <c r="AL21" s="158">
        <f t="shared" si="9"/>
        <v>1.02</v>
      </c>
      <c r="AM21" s="159"/>
      <c r="AN21" s="160">
        <f t="shared" si="10"/>
        <v>1</v>
      </c>
      <c r="AO21" s="160">
        <f t="shared" si="10"/>
        <v>2</v>
      </c>
      <c r="AP21" s="133"/>
      <c r="AQ21" s="134"/>
      <c r="AR21" s="161"/>
      <c r="AS21" s="161"/>
      <c r="AT21" s="161"/>
      <c r="AU21" s="161"/>
      <c r="AV21" s="162"/>
      <c r="AW21" s="137">
        <f t="shared" si="11"/>
        <v>0</v>
      </c>
      <c r="AX21" s="137">
        <f t="shared" si="12"/>
        <v>0</v>
      </c>
    </row>
    <row r="22" ht="46.5" customHeight="1" spans="1:50" s="97" customFormat="1" x14ac:dyDescent="0.25">
      <c r="A22" s="98"/>
      <c r="B22" s="102"/>
      <c r="C22" s="102"/>
      <c r="D22" s="102"/>
      <c r="E22" s="102"/>
      <c r="F22" s="100"/>
      <c r="G22" s="103"/>
      <c r="H22" s="186"/>
      <c r="I22" s="195">
        <v>0.51</v>
      </c>
      <c r="J22" s="107">
        <v>0.49</v>
      </c>
      <c r="K22" s="107"/>
      <c r="L22" s="107"/>
      <c r="M22" s="187"/>
      <c r="N22" s="169">
        <f t="shared" si="0"/>
        <v>1</v>
      </c>
      <c r="O22" s="144">
        <v>1</v>
      </c>
      <c r="P22" s="145">
        <v>15</v>
      </c>
      <c r="Q22" s="113">
        <v>15</v>
      </c>
      <c r="R22" s="113"/>
      <c r="S22" s="113"/>
      <c r="T22" s="146"/>
      <c r="U22" s="148">
        <f t="shared" si="1"/>
        <v>15</v>
      </c>
      <c r="V22" s="149">
        <f t="shared" si="2"/>
        <v>15</v>
      </c>
      <c r="W22" s="192"/>
      <c r="X22" s="183"/>
      <c r="Y22" s="183"/>
      <c r="Z22" s="190"/>
      <c r="AA22" s="153"/>
      <c r="AB22" s="154">
        <f t="shared" si="3"/>
        <v>0</v>
      </c>
      <c r="AC22" s="149">
        <f t="shared" si="4"/>
        <v>0</v>
      </c>
      <c r="AD22" s="125">
        <v>2</v>
      </c>
      <c r="AE22" s="148">
        <f t="shared" si="5"/>
        <v>2</v>
      </c>
      <c r="AF22" s="156"/>
      <c r="AG22" s="156"/>
      <c r="AH22" s="113">
        <f t="shared" si="6"/>
        <v>17</v>
      </c>
      <c r="AI22" s="157">
        <v>65</v>
      </c>
      <c r="AJ22" s="113">
        <f t="shared" si="7"/>
        <v>82</v>
      </c>
      <c r="AK22" s="113">
        <f t="shared" si="8"/>
        <v>82</v>
      </c>
      <c r="AL22" s="158">
        <f t="shared" si="9"/>
        <v>1.02</v>
      </c>
      <c r="AM22" s="159"/>
      <c r="AN22" s="160">
        <f t="shared" si="10"/>
        <v>1</v>
      </c>
      <c r="AO22" s="160">
        <f t="shared" si="10"/>
        <v>2</v>
      </c>
      <c r="AP22" s="133"/>
      <c r="AQ22" s="134"/>
      <c r="AR22" s="161"/>
      <c r="AS22" s="161"/>
      <c r="AT22" s="161"/>
      <c r="AU22" s="161"/>
      <c r="AV22" s="162"/>
      <c r="AW22" s="137">
        <f t="shared" si="11"/>
        <v>0</v>
      </c>
      <c r="AX22" s="137">
        <f t="shared" si="12"/>
        <v>0</v>
      </c>
    </row>
    <row r="23" ht="46.5" customHeight="1" spans="1:50" s="97" customFormat="1" x14ac:dyDescent="0.25">
      <c r="A23" s="98"/>
      <c r="B23" s="196"/>
      <c r="C23" s="100"/>
      <c r="D23" s="102"/>
      <c r="E23" s="100"/>
      <c r="F23" s="100"/>
      <c r="G23" s="103"/>
      <c r="H23" s="186"/>
      <c r="I23" s="195">
        <v>0.51</v>
      </c>
      <c r="J23" s="107">
        <v>0.49</v>
      </c>
      <c r="K23" s="107"/>
      <c r="L23" s="107"/>
      <c r="M23" s="187"/>
      <c r="N23" s="169">
        <f t="shared" si="0"/>
        <v>1</v>
      </c>
      <c r="O23" s="144">
        <v>1</v>
      </c>
      <c r="P23" s="145">
        <v>15</v>
      </c>
      <c r="Q23" s="113">
        <v>15</v>
      </c>
      <c r="R23" s="156"/>
      <c r="S23" s="113"/>
      <c r="T23" s="146"/>
      <c r="U23" s="148">
        <f t="shared" si="1"/>
        <v>15</v>
      </c>
      <c r="V23" s="149">
        <f t="shared" si="2"/>
        <v>15</v>
      </c>
      <c r="W23" s="197"/>
      <c r="X23" s="120"/>
      <c r="Y23" s="183"/>
      <c r="Z23" s="190"/>
      <c r="AA23" s="153"/>
      <c r="AB23" s="154">
        <f t="shared" si="3"/>
        <v>0</v>
      </c>
      <c r="AC23" s="149">
        <f t="shared" si="4"/>
        <v>0</v>
      </c>
      <c r="AD23" s="125">
        <v>2</v>
      </c>
      <c r="AE23" s="148">
        <f t="shared" si="5"/>
        <v>2</v>
      </c>
      <c r="AF23" s="156"/>
      <c r="AG23" s="156"/>
      <c r="AH23" s="113">
        <f t="shared" si="6"/>
        <v>17</v>
      </c>
      <c r="AI23" s="157">
        <v>65</v>
      </c>
      <c r="AJ23" s="113">
        <f t="shared" si="7"/>
        <v>82</v>
      </c>
      <c r="AK23" s="113">
        <f t="shared" si="8"/>
        <v>82</v>
      </c>
      <c r="AL23" s="158">
        <f t="shared" si="9"/>
        <v>1.02</v>
      </c>
      <c r="AM23" s="159"/>
      <c r="AN23" s="160">
        <f t="shared" si="10"/>
        <v>1</v>
      </c>
      <c r="AO23" s="160">
        <f t="shared" si="10"/>
        <v>2</v>
      </c>
      <c r="AP23" s="133"/>
      <c r="AQ23" s="134"/>
      <c r="AR23" s="161"/>
      <c r="AS23" s="161"/>
      <c r="AT23" s="161"/>
      <c r="AU23" s="161"/>
      <c r="AV23" s="162"/>
      <c r="AW23" s="137">
        <f t="shared" si="11"/>
        <v>0</v>
      </c>
      <c r="AX23" s="137">
        <f t="shared" si="12"/>
        <v>0</v>
      </c>
    </row>
    <row r="24" ht="46.5" customHeight="1" spans="1:50" s="97" customFormat="1" x14ac:dyDescent="0.25">
      <c r="A24" s="100"/>
      <c r="B24" s="100"/>
      <c r="C24" s="100"/>
      <c r="D24" s="100"/>
      <c r="E24" s="100"/>
      <c r="F24" s="100"/>
      <c r="G24" s="103"/>
      <c r="H24" s="186"/>
      <c r="I24" s="195">
        <v>0.51</v>
      </c>
      <c r="J24" s="107">
        <v>0.49</v>
      </c>
      <c r="K24" s="107"/>
      <c r="L24" s="107"/>
      <c r="M24" s="187"/>
      <c r="N24" s="169">
        <f t="shared" si="0"/>
        <v>1</v>
      </c>
      <c r="O24" s="144">
        <v>1</v>
      </c>
      <c r="P24" s="145">
        <v>15</v>
      </c>
      <c r="Q24" s="113">
        <v>15</v>
      </c>
      <c r="R24" s="113"/>
      <c r="S24" s="113"/>
      <c r="T24" s="146"/>
      <c r="U24" s="148">
        <f t="shared" si="1"/>
        <v>15</v>
      </c>
      <c r="V24" s="149">
        <f t="shared" si="2"/>
        <v>15</v>
      </c>
      <c r="W24" s="189"/>
      <c r="X24" s="199"/>
      <c r="Y24" s="151"/>
      <c r="Z24" s="190"/>
      <c r="AA24" s="153"/>
      <c r="AB24" s="154">
        <f t="shared" si="3"/>
        <v>0</v>
      </c>
      <c r="AC24" s="149">
        <f t="shared" si="4"/>
        <v>0</v>
      </c>
      <c r="AD24" s="125">
        <v>2</v>
      </c>
      <c r="AE24" s="148">
        <f t="shared" si="5"/>
        <v>2</v>
      </c>
      <c r="AF24" s="156"/>
      <c r="AG24" s="156"/>
      <c r="AH24" s="113">
        <f t="shared" si="6"/>
        <v>17</v>
      </c>
      <c r="AI24" s="157">
        <v>65</v>
      </c>
      <c r="AJ24" s="113">
        <f t="shared" si="7"/>
        <v>82</v>
      </c>
      <c r="AK24" s="113">
        <f t="shared" si="8"/>
        <v>82</v>
      </c>
      <c r="AL24" s="158">
        <f t="shared" si="9"/>
        <v>1.02</v>
      </c>
      <c r="AM24" s="159"/>
      <c r="AN24" s="160">
        <f t="shared" si="10"/>
        <v>1</v>
      </c>
      <c r="AO24" s="160">
        <f t="shared" si="10"/>
        <v>2</v>
      </c>
      <c r="AP24" s="133"/>
      <c r="AQ24" s="134"/>
      <c r="AR24" s="161"/>
      <c r="AS24" s="161"/>
      <c r="AT24" s="161"/>
      <c r="AU24" s="161"/>
      <c r="AV24" s="162"/>
      <c r="AW24" s="137">
        <f t="shared" si="11"/>
        <v>0</v>
      </c>
      <c r="AX24" s="137">
        <f t="shared" si="12"/>
        <v>0</v>
      </c>
    </row>
    <row r="25" ht="46.5" customHeight="1" spans="1:50" s="97" customFormat="1" x14ac:dyDescent="0.25">
      <c r="A25" s="100"/>
      <c r="B25" s="100"/>
      <c r="C25" s="100"/>
      <c r="D25" s="100"/>
      <c r="E25" s="100"/>
      <c r="F25" s="100"/>
      <c r="G25" s="103"/>
      <c r="H25" s="186"/>
      <c r="I25" s="195">
        <v>0.51</v>
      </c>
      <c r="J25" s="107">
        <v>0.49</v>
      </c>
      <c r="K25" s="107"/>
      <c r="L25" s="107"/>
      <c r="M25" s="187"/>
      <c r="N25" s="169">
        <f t="shared" si="0"/>
        <v>1</v>
      </c>
      <c r="O25" s="144">
        <v>1</v>
      </c>
      <c r="P25" s="145">
        <v>15</v>
      </c>
      <c r="Q25" s="113">
        <v>15</v>
      </c>
      <c r="R25" s="113"/>
      <c r="S25" s="113"/>
      <c r="T25" s="146"/>
      <c r="U25" s="148">
        <f t="shared" si="1"/>
        <v>15</v>
      </c>
      <c r="V25" s="149">
        <f t="shared" si="2"/>
        <v>15</v>
      </c>
      <c r="W25" s="189"/>
      <c r="X25" s="199"/>
      <c r="Y25" s="151"/>
      <c r="Z25" s="190"/>
      <c r="AA25" s="153"/>
      <c r="AB25" s="154">
        <f t="shared" si="3"/>
        <v>0</v>
      </c>
      <c r="AC25" s="149">
        <f t="shared" si="4"/>
        <v>0</v>
      </c>
      <c r="AD25" s="125">
        <v>2</v>
      </c>
      <c r="AE25" s="148">
        <f t="shared" si="5"/>
        <v>2</v>
      </c>
      <c r="AF25" s="156"/>
      <c r="AG25" s="156"/>
      <c r="AH25" s="113">
        <f t="shared" si="6"/>
        <v>17</v>
      </c>
      <c r="AI25" s="157">
        <v>65</v>
      </c>
      <c r="AJ25" s="113">
        <f t="shared" si="7"/>
        <v>82</v>
      </c>
      <c r="AK25" s="113">
        <f t="shared" si="8"/>
        <v>82</v>
      </c>
      <c r="AL25" s="158">
        <f t="shared" si="9"/>
        <v>1.02</v>
      </c>
      <c r="AM25" s="159"/>
      <c r="AN25" s="160">
        <f t="shared" si="10"/>
        <v>1</v>
      </c>
      <c r="AO25" s="160">
        <f t="shared" si="10"/>
        <v>2</v>
      </c>
      <c r="AP25" s="133"/>
      <c r="AQ25" s="134"/>
      <c r="AR25" s="161"/>
      <c r="AS25" s="161"/>
      <c r="AT25" s="161"/>
      <c r="AU25" s="161"/>
      <c r="AV25" s="162"/>
      <c r="AW25" s="137">
        <f t="shared" si="11"/>
        <v>0</v>
      </c>
      <c r="AX25" s="137">
        <f t="shared" si="12"/>
        <v>0</v>
      </c>
    </row>
    <row r="26" ht="46.5" customHeight="1" spans="1:50" s="97" customFormat="1" x14ac:dyDescent="0.25">
      <c r="A26" s="100"/>
      <c r="B26" s="100"/>
      <c r="C26" s="100"/>
      <c r="D26" s="100"/>
      <c r="E26" s="100"/>
      <c r="F26" s="100"/>
      <c r="G26" s="103"/>
      <c r="H26" s="186"/>
      <c r="I26" s="195">
        <v>0.51</v>
      </c>
      <c r="J26" s="107">
        <v>0.49</v>
      </c>
      <c r="K26" s="107"/>
      <c r="L26" s="107"/>
      <c r="M26" s="187"/>
      <c r="N26" s="169">
        <f t="shared" si="0"/>
        <v>1</v>
      </c>
      <c r="O26" s="144">
        <v>1</v>
      </c>
      <c r="P26" s="145">
        <v>15</v>
      </c>
      <c r="Q26" s="113">
        <v>15</v>
      </c>
      <c r="R26" s="113"/>
      <c r="S26" s="113"/>
      <c r="T26" s="146"/>
      <c r="U26" s="148">
        <f t="shared" si="1"/>
        <v>15</v>
      </c>
      <c r="V26" s="149">
        <f t="shared" si="2"/>
        <v>15</v>
      </c>
      <c r="W26" s="189"/>
      <c r="X26" s="199"/>
      <c r="Y26" s="151"/>
      <c r="Z26" s="190"/>
      <c r="AA26" s="153"/>
      <c r="AB26" s="154">
        <f t="shared" si="3"/>
        <v>0</v>
      </c>
      <c r="AC26" s="149">
        <f t="shared" si="4"/>
        <v>0</v>
      </c>
      <c r="AD26" s="125">
        <v>2</v>
      </c>
      <c r="AE26" s="148">
        <f t="shared" si="5"/>
        <v>2</v>
      </c>
      <c r="AF26" s="156"/>
      <c r="AG26" s="156"/>
      <c r="AH26" s="113">
        <f t="shared" si="6"/>
        <v>17</v>
      </c>
      <c r="AI26" s="157">
        <v>65</v>
      </c>
      <c r="AJ26" s="113">
        <f t="shared" si="7"/>
        <v>82</v>
      </c>
      <c r="AK26" s="113">
        <f t="shared" si="8"/>
        <v>82</v>
      </c>
      <c r="AL26" s="158">
        <f t="shared" si="9"/>
        <v>1.02</v>
      </c>
      <c r="AM26" s="159"/>
      <c r="AN26" s="160">
        <f t="shared" si="10"/>
        <v>1</v>
      </c>
      <c r="AO26" s="160">
        <f t="shared" si="10"/>
        <v>2</v>
      </c>
      <c r="AP26" s="133"/>
      <c r="AQ26" s="134"/>
      <c r="AR26" s="161"/>
      <c r="AS26" s="161"/>
      <c r="AT26" s="161"/>
      <c r="AU26" s="161"/>
      <c r="AV26" s="162"/>
      <c r="AW26" s="137">
        <f t="shared" si="11"/>
        <v>0</v>
      </c>
      <c r="AX26" s="137">
        <f t="shared" si="12"/>
        <v>0</v>
      </c>
    </row>
    <row r="27" ht="46.5" customHeight="1" spans="1:50" s="97" customFormat="1" x14ac:dyDescent="0.25">
      <c r="A27" s="100"/>
      <c r="B27" s="100"/>
      <c r="C27" s="100"/>
      <c r="D27" s="100"/>
      <c r="E27" s="100"/>
      <c r="F27" s="100"/>
      <c r="G27" s="103"/>
      <c r="H27" s="186"/>
      <c r="I27" s="195">
        <v>0.51</v>
      </c>
      <c r="J27" s="107">
        <v>0.49</v>
      </c>
      <c r="K27" s="107"/>
      <c r="L27" s="107"/>
      <c r="M27" s="187"/>
      <c r="N27" s="169">
        <f t="shared" si="0"/>
        <v>1</v>
      </c>
      <c r="O27" s="144">
        <v>1</v>
      </c>
      <c r="P27" s="145">
        <v>15</v>
      </c>
      <c r="Q27" s="113">
        <v>15</v>
      </c>
      <c r="R27" s="113"/>
      <c r="S27" s="113"/>
      <c r="T27" s="146"/>
      <c r="U27" s="148">
        <f t="shared" si="1"/>
        <v>15</v>
      </c>
      <c r="V27" s="149">
        <f t="shared" si="2"/>
        <v>15</v>
      </c>
      <c r="W27" s="189"/>
      <c r="X27" s="199"/>
      <c r="Y27" s="151"/>
      <c r="Z27" s="190"/>
      <c r="AA27" s="153"/>
      <c r="AB27" s="154">
        <f t="shared" si="3"/>
        <v>0</v>
      </c>
      <c r="AC27" s="149">
        <f t="shared" si="4"/>
        <v>0</v>
      </c>
      <c r="AD27" s="125">
        <v>2</v>
      </c>
      <c r="AE27" s="148">
        <f t="shared" si="5"/>
        <v>2</v>
      </c>
      <c r="AF27" s="156"/>
      <c r="AG27" s="156"/>
      <c r="AH27" s="113">
        <f t="shared" si="6"/>
        <v>17</v>
      </c>
      <c r="AI27" s="157">
        <v>65</v>
      </c>
      <c r="AJ27" s="113">
        <f t="shared" si="7"/>
        <v>82</v>
      </c>
      <c r="AK27" s="113">
        <f t="shared" si="8"/>
        <v>82</v>
      </c>
      <c r="AL27" s="158">
        <f t="shared" si="9"/>
        <v>1.02</v>
      </c>
      <c r="AM27" s="159"/>
      <c r="AN27" s="160">
        <f t="shared" si="10"/>
        <v>1</v>
      </c>
      <c r="AO27" s="160">
        <f t="shared" si="10"/>
        <v>2</v>
      </c>
      <c r="AP27" s="133"/>
      <c r="AQ27" s="134"/>
      <c r="AR27" s="161"/>
      <c r="AS27" s="161"/>
      <c r="AT27" s="161"/>
      <c r="AU27" s="161"/>
      <c r="AV27" s="162"/>
      <c r="AW27" s="137">
        <f t="shared" si="11"/>
        <v>0</v>
      </c>
      <c r="AX27" s="137">
        <f t="shared" si="12"/>
        <v>0</v>
      </c>
    </row>
    <row r="28" ht="46.5" customHeight="1" spans="1:50" s="97" customFormat="1" x14ac:dyDescent="0.25">
      <c r="A28" s="100"/>
      <c r="B28" s="100"/>
      <c r="C28" s="100"/>
      <c r="D28" s="100"/>
      <c r="E28" s="100"/>
      <c r="F28" s="100"/>
      <c r="G28" s="103"/>
      <c r="H28" s="186"/>
      <c r="I28" s="195">
        <v>0.51</v>
      </c>
      <c r="J28" s="107">
        <v>0.49</v>
      </c>
      <c r="K28" s="107"/>
      <c r="L28" s="107"/>
      <c r="M28" s="187"/>
      <c r="N28" s="169">
        <f t="shared" si="0"/>
        <v>1</v>
      </c>
      <c r="O28" s="144">
        <v>1</v>
      </c>
      <c r="P28" s="145">
        <v>15</v>
      </c>
      <c r="Q28" s="113">
        <v>15</v>
      </c>
      <c r="R28" s="113"/>
      <c r="S28" s="113"/>
      <c r="T28" s="146"/>
      <c r="U28" s="148">
        <f t="shared" si="1"/>
        <v>15</v>
      </c>
      <c r="V28" s="149">
        <f t="shared" si="2"/>
        <v>15</v>
      </c>
      <c r="W28" s="189"/>
      <c r="X28" s="199"/>
      <c r="Y28" s="151"/>
      <c r="Z28" s="190"/>
      <c r="AA28" s="153"/>
      <c r="AB28" s="154">
        <f t="shared" si="3"/>
        <v>0</v>
      </c>
      <c r="AC28" s="149">
        <f t="shared" si="4"/>
        <v>0</v>
      </c>
      <c r="AD28" s="125">
        <v>2</v>
      </c>
      <c r="AE28" s="148">
        <f t="shared" si="5"/>
        <v>2</v>
      </c>
      <c r="AF28" s="156"/>
      <c r="AG28" s="156"/>
      <c r="AH28" s="113">
        <f t="shared" si="6"/>
        <v>17</v>
      </c>
      <c r="AI28" s="157">
        <v>65</v>
      </c>
      <c r="AJ28" s="113">
        <f t="shared" si="7"/>
        <v>82</v>
      </c>
      <c r="AK28" s="113">
        <f t="shared" si="8"/>
        <v>82</v>
      </c>
      <c r="AL28" s="158">
        <f t="shared" si="9"/>
        <v>1.02</v>
      </c>
      <c r="AM28" s="159"/>
      <c r="AN28" s="160">
        <f t="shared" si="10"/>
        <v>1</v>
      </c>
      <c r="AO28" s="160">
        <f t="shared" si="10"/>
        <v>2</v>
      </c>
      <c r="AP28" s="133"/>
      <c r="AQ28" s="134"/>
      <c r="AR28" s="161"/>
      <c r="AS28" s="161"/>
      <c r="AT28" s="161"/>
      <c r="AU28" s="161"/>
      <c r="AV28" s="162"/>
      <c r="AW28" s="137">
        <f t="shared" si="11"/>
        <v>0</v>
      </c>
      <c r="AX28" s="137">
        <f t="shared" si="12"/>
        <v>0</v>
      </c>
    </row>
    <row r="29" ht="46.5" customHeight="1" spans="1:50" s="97" customFormat="1" x14ac:dyDescent="0.25">
      <c r="A29" s="100"/>
      <c r="B29" s="100"/>
      <c r="C29" s="100"/>
      <c r="D29" s="100"/>
      <c r="E29" s="100"/>
      <c r="F29" s="100"/>
      <c r="G29" s="103"/>
      <c r="H29" s="186"/>
      <c r="I29" s="195">
        <v>0.51</v>
      </c>
      <c r="J29" s="107">
        <v>0.49</v>
      </c>
      <c r="K29" s="107"/>
      <c r="L29" s="107"/>
      <c r="M29" s="187"/>
      <c r="N29" s="169">
        <f t="shared" si="0"/>
        <v>1</v>
      </c>
      <c r="O29" s="144">
        <v>1</v>
      </c>
      <c r="P29" s="145">
        <v>15</v>
      </c>
      <c r="Q29" s="113">
        <v>15</v>
      </c>
      <c r="R29" s="113"/>
      <c r="S29" s="113"/>
      <c r="T29" s="146"/>
      <c r="U29" s="148">
        <f t="shared" si="1"/>
        <v>15</v>
      </c>
      <c r="V29" s="149">
        <f t="shared" si="2"/>
        <v>15</v>
      </c>
      <c r="W29" s="189"/>
      <c r="X29" s="199"/>
      <c r="Y29" s="151"/>
      <c r="Z29" s="190"/>
      <c r="AA29" s="153"/>
      <c r="AB29" s="154">
        <f t="shared" si="3"/>
        <v>0</v>
      </c>
      <c r="AC29" s="149">
        <f t="shared" si="4"/>
        <v>0</v>
      </c>
      <c r="AD29" s="125">
        <v>2</v>
      </c>
      <c r="AE29" s="148">
        <f t="shared" si="5"/>
        <v>2</v>
      </c>
      <c r="AF29" s="156"/>
      <c r="AG29" s="156"/>
      <c r="AH29" s="113">
        <f t="shared" si="6"/>
        <v>17</v>
      </c>
      <c r="AI29" s="157">
        <v>65</v>
      </c>
      <c r="AJ29" s="113">
        <f t="shared" si="7"/>
        <v>82</v>
      </c>
      <c r="AK29" s="113">
        <f t="shared" si="8"/>
        <v>82</v>
      </c>
      <c r="AL29" s="158">
        <f t="shared" si="9"/>
        <v>1.02</v>
      </c>
      <c r="AM29" s="159"/>
      <c r="AN29" s="160">
        <f t="shared" si="10"/>
        <v>1</v>
      </c>
      <c r="AO29" s="160">
        <f t="shared" si="10"/>
        <v>2</v>
      </c>
      <c r="AP29" s="133"/>
      <c r="AQ29" s="134"/>
      <c r="AR29" s="161"/>
      <c r="AS29" s="161"/>
      <c r="AT29" s="161"/>
      <c r="AU29" s="161"/>
      <c r="AV29" s="162"/>
      <c r="AW29" s="137">
        <f t="shared" si="11"/>
        <v>0</v>
      </c>
      <c r="AX29" s="137">
        <f t="shared" si="12"/>
        <v>0</v>
      </c>
    </row>
    <row r="30" ht="46.5" customHeight="1" spans="1:50" s="97" customFormat="1" x14ac:dyDescent="0.25">
      <c r="A30" s="100"/>
      <c r="B30" s="100"/>
      <c r="C30" s="100"/>
      <c r="D30" s="100"/>
      <c r="E30" s="100"/>
      <c r="F30" s="100"/>
      <c r="G30" s="103"/>
      <c r="H30" s="186"/>
      <c r="I30" s="195">
        <v>0.51</v>
      </c>
      <c r="J30" s="107">
        <v>0.49</v>
      </c>
      <c r="K30" s="107"/>
      <c r="L30" s="107"/>
      <c r="M30" s="187"/>
      <c r="N30" s="169">
        <f t="shared" si="0"/>
        <v>1</v>
      </c>
      <c r="O30" s="144">
        <v>1</v>
      </c>
      <c r="P30" s="145">
        <v>15</v>
      </c>
      <c r="Q30" s="113">
        <v>15</v>
      </c>
      <c r="R30" s="113"/>
      <c r="S30" s="113"/>
      <c r="T30" s="146"/>
      <c r="U30" s="148">
        <f t="shared" si="1"/>
        <v>15</v>
      </c>
      <c r="V30" s="149">
        <f t="shared" si="2"/>
        <v>15</v>
      </c>
      <c r="W30" s="189"/>
      <c r="X30" s="199"/>
      <c r="Y30" s="151"/>
      <c r="Z30" s="190"/>
      <c r="AA30" s="153"/>
      <c r="AB30" s="154">
        <f t="shared" si="3"/>
        <v>0</v>
      </c>
      <c r="AC30" s="149">
        <f t="shared" si="4"/>
        <v>0</v>
      </c>
      <c r="AD30" s="125">
        <v>2</v>
      </c>
      <c r="AE30" s="148">
        <f t="shared" si="5"/>
        <v>2</v>
      </c>
      <c r="AF30" s="156"/>
      <c r="AG30" s="156"/>
      <c r="AH30" s="113">
        <f t="shared" si="6"/>
        <v>17</v>
      </c>
      <c r="AI30" s="157">
        <v>65</v>
      </c>
      <c r="AJ30" s="113">
        <f t="shared" si="7"/>
        <v>82</v>
      </c>
      <c r="AK30" s="113">
        <f t="shared" si="8"/>
        <v>82</v>
      </c>
      <c r="AL30" s="158">
        <f t="shared" si="9"/>
        <v>1.02</v>
      </c>
      <c r="AM30" s="159"/>
      <c r="AN30" s="160">
        <f t="shared" si="10"/>
        <v>1</v>
      </c>
      <c r="AO30" s="160">
        <f t="shared" si="10"/>
        <v>2</v>
      </c>
      <c r="AP30" s="133"/>
      <c r="AQ30" s="134"/>
      <c r="AR30" s="161"/>
      <c r="AS30" s="161"/>
      <c r="AT30" s="161"/>
      <c r="AU30" s="161"/>
      <c r="AV30" s="162"/>
      <c r="AW30" s="137">
        <f t="shared" si="11"/>
        <v>0</v>
      </c>
      <c r="AX30" s="137">
        <f t="shared" si="12"/>
        <v>0</v>
      </c>
    </row>
    <row r="31" ht="46.5" customHeight="1" spans="1:50" s="97" customFormat="1" x14ac:dyDescent="0.25">
      <c r="A31" s="100"/>
      <c r="B31" s="100"/>
      <c r="C31" s="100"/>
      <c r="D31" s="100"/>
      <c r="E31" s="100"/>
      <c r="F31" s="100"/>
      <c r="G31" s="103"/>
      <c r="H31" s="186"/>
      <c r="I31" s="195">
        <v>0.51</v>
      </c>
      <c r="J31" s="107">
        <v>0.49</v>
      </c>
      <c r="K31" s="107"/>
      <c r="L31" s="107"/>
      <c r="M31" s="187"/>
      <c r="N31" s="169">
        <f t="shared" si="0"/>
        <v>1</v>
      </c>
      <c r="O31" s="144">
        <v>1</v>
      </c>
      <c r="P31" s="145">
        <v>15</v>
      </c>
      <c r="Q31" s="113">
        <v>15</v>
      </c>
      <c r="R31" s="113"/>
      <c r="S31" s="113"/>
      <c r="T31" s="146"/>
      <c r="U31" s="148">
        <f t="shared" si="1"/>
        <v>15</v>
      </c>
      <c r="V31" s="149">
        <f t="shared" si="2"/>
        <v>15</v>
      </c>
      <c r="W31" s="189"/>
      <c r="X31" s="199"/>
      <c r="Y31" s="151"/>
      <c r="Z31" s="190"/>
      <c r="AA31" s="153"/>
      <c r="AB31" s="154">
        <f t="shared" si="3"/>
        <v>0</v>
      </c>
      <c r="AC31" s="149">
        <f t="shared" si="4"/>
        <v>0</v>
      </c>
      <c r="AD31" s="125">
        <v>2</v>
      </c>
      <c r="AE31" s="148">
        <f t="shared" si="5"/>
        <v>2</v>
      </c>
      <c r="AF31" s="156"/>
      <c r="AG31" s="156"/>
      <c r="AH31" s="113">
        <f t="shared" si="6"/>
        <v>17</v>
      </c>
      <c r="AI31" s="157">
        <v>65</v>
      </c>
      <c r="AJ31" s="113">
        <f t="shared" si="7"/>
        <v>82</v>
      </c>
      <c r="AK31" s="113">
        <f t="shared" si="8"/>
        <v>82</v>
      </c>
      <c r="AL31" s="158">
        <f t="shared" si="9"/>
        <v>1.02</v>
      </c>
      <c r="AM31" s="159"/>
      <c r="AN31" s="160">
        <f t="shared" si="10"/>
        <v>1</v>
      </c>
      <c r="AO31" s="160">
        <f t="shared" si="10"/>
        <v>2</v>
      </c>
      <c r="AP31" s="133"/>
      <c r="AQ31" s="134"/>
      <c r="AR31" s="161"/>
      <c r="AS31" s="161"/>
      <c r="AT31" s="161"/>
      <c r="AU31" s="161"/>
      <c r="AV31" s="162"/>
      <c r="AW31" s="137">
        <f t="shared" si="11"/>
        <v>0</v>
      </c>
      <c r="AX31" s="137">
        <f t="shared" si="12"/>
        <v>0</v>
      </c>
    </row>
    <row r="32" ht="46.5" customHeight="1" spans="1:50" s="97" customFormat="1" x14ac:dyDescent="0.25">
      <c r="A32" s="100"/>
      <c r="B32" s="100"/>
      <c r="C32" s="100"/>
      <c r="D32" s="100"/>
      <c r="E32" s="100"/>
      <c r="F32" s="100"/>
      <c r="G32" s="103"/>
      <c r="H32" s="186"/>
      <c r="I32" s="195">
        <v>0.51</v>
      </c>
      <c r="J32" s="107">
        <v>0.49</v>
      </c>
      <c r="K32" s="107"/>
      <c r="L32" s="107"/>
      <c r="M32" s="187"/>
      <c r="N32" s="169">
        <f t="shared" si="0"/>
        <v>1</v>
      </c>
      <c r="O32" s="144">
        <v>1</v>
      </c>
      <c r="P32" s="145">
        <v>15</v>
      </c>
      <c r="Q32" s="113">
        <v>15</v>
      </c>
      <c r="R32" s="113"/>
      <c r="S32" s="113"/>
      <c r="T32" s="146"/>
      <c r="U32" s="148">
        <f t="shared" si="1"/>
        <v>15</v>
      </c>
      <c r="V32" s="149">
        <f t="shared" si="2"/>
        <v>15</v>
      </c>
      <c r="W32" s="189"/>
      <c r="X32" s="199"/>
      <c r="Y32" s="151"/>
      <c r="Z32" s="190"/>
      <c r="AA32" s="153"/>
      <c r="AB32" s="154">
        <f t="shared" si="3"/>
        <v>0</v>
      </c>
      <c r="AC32" s="149">
        <f t="shared" si="4"/>
        <v>0</v>
      </c>
      <c r="AD32" s="125">
        <v>2</v>
      </c>
      <c r="AE32" s="148">
        <f t="shared" si="5"/>
        <v>2</v>
      </c>
      <c r="AF32" s="156"/>
      <c r="AG32" s="156"/>
      <c r="AH32" s="113">
        <f t="shared" si="6"/>
        <v>17</v>
      </c>
      <c r="AI32" s="157">
        <v>65</v>
      </c>
      <c r="AJ32" s="113">
        <f t="shared" si="7"/>
        <v>82</v>
      </c>
      <c r="AK32" s="113">
        <f t="shared" si="8"/>
        <v>82</v>
      </c>
      <c r="AL32" s="158">
        <f t="shared" si="9"/>
        <v>1.02</v>
      </c>
      <c r="AM32" s="159"/>
      <c r="AN32" s="160">
        <f t="shared" si="10"/>
        <v>1</v>
      </c>
      <c r="AO32" s="160">
        <f t="shared" si="10"/>
        <v>2</v>
      </c>
      <c r="AP32" s="133"/>
      <c r="AQ32" s="134"/>
      <c r="AR32" s="161"/>
      <c r="AS32" s="161"/>
      <c r="AT32" s="161"/>
      <c r="AU32" s="161"/>
      <c r="AV32" s="162"/>
      <c r="AW32" s="137">
        <f t="shared" si="11"/>
        <v>0</v>
      </c>
      <c r="AX32" s="137">
        <f t="shared" si="12"/>
        <v>0</v>
      </c>
    </row>
    <row r="33" ht="46.5" customHeight="1" spans="1:50" s="97" customFormat="1" x14ac:dyDescent="0.25">
      <c r="A33" s="100"/>
      <c r="B33" s="100"/>
      <c r="C33" s="100"/>
      <c r="D33" s="100"/>
      <c r="E33" s="100"/>
      <c r="F33" s="100"/>
      <c r="G33" s="103"/>
      <c r="H33" s="186"/>
      <c r="I33" s="195">
        <v>0.51</v>
      </c>
      <c r="J33" s="107">
        <v>0.49</v>
      </c>
      <c r="K33" s="107"/>
      <c r="L33" s="107"/>
      <c r="M33" s="187"/>
      <c r="N33" s="169">
        <f t="shared" si="0"/>
        <v>1</v>
      </c>
      <c r="O33" s="144">
        <v>1</v>
      </c>
      <c r="P33" s="145">
        <v>15</v>
      </c>
      <c r="Q33" s="113">
        <v>15</v>
      </c>
      <c r="R33" s="113"/>
      <c r="S33" s="113"/>
      <c r="T33" s="146"/>
      <c r="U33" s="148">
        <f t="shared" si="1"/>
        <v>15</v>
      </c>
      <c r="V33" s="149">
        <f t="shared" si="2"/>
        <v>15</v>
      </c>
      <c r="W33" s="189"/>
      <c r="X33" s="199"/>
      <c r="Y33" s="151"/>
      <c r="Z33" s="190"/>
      <c r="AA33" s="153"/>
      <c r="AB33" s="154">
        <f t="shared" si="3"/>
        <v>0</v>
      </c>
      <c r="AC33" s="149">
        <f t="shared" si="4"/>
        <v>0</v>
      </c>
      <c r="AD33" s="125">
        <v>2</v>
      </c>
      <c r="AE33" s="148">
        <f t="shared" si="5"/>
        <v>2</v>
      </c>
      <c r="AF33" s="156"/>
      <c r="AG33" s="156"/>
      <c r="AH33" s="113">
        <f t="shared" si="6"/>
        <v>17</v>
      </c>
      <c r="AI33" s="157">
        <v>65</v>
      </c>
      <c r="AJ33" s="113">
        <f t="shared" si="7"/>
        <v>82</v>
      </c>
      <c r="AK33" s="113">
        <f t="shared" si="8"/>
        <v>82</v>
      </c>
      <c r="AL33" s="158">
        <f t="shared" si="9"/>
        <v>1.02</v>
      </c>
      <c r="AM33" s="159"/>
      <c r="AN33" s="160">
        <f t="shared" ref="AN33:AO52" si="13">100%+AM33</f>
        <v>1</v>
      </c>
      <c r="AO33" s="160">
        <f t="shared" si="13"/>
        <v>2</v>
      </c>
      <c r="AP33" s="133"/>
      <c r="AQ33" s="134"/>
      <c r="AR33" s="161"/>
      <c r="AS33" s="161"/>
      <c r="AT33" s="161"/>
      <c r="AU33" s="161"/>
      <c r="AV33" s="162"/>
      <c r="AW33" s="137">
        <f t="shared" si="11"/>
        <v>0</v>
      </c>
      <c r="AX33" s="137">
        <f t="shared" si="12"/>
        <v>0</v>
      </c>
    </row>
    <row r="34" ht="46.5" customHeight="1" spans="1:50" s="97" customFormat="1" x14ac:dyDescent="0.25">
      <c r="A34" s="100"/>
      <c r="B34" s="100"/>
      <c r="C34" s="100"/>
      <c r="D34" s="100"/>
      <c r="E34" s="100"/>
      <c r="F34" s="100"/>
      <c r="G34" s="103"/>
      <c r="H34" s="186"/>
      <c r="I34" s="195">
        <v>0.51</v>
      </c>
      <c r="J34" s="107">
        <v>0.49</v>
      </c>
      <c r="K34" s="107"/>
      <c r="L34" s="107"/>
      <c r="M34" s="187"/>
      <c r="N34" s="169">
        <f t="shared" si="0"/>
        <v>1</v>
      </c>
      <c r="O34" s="144">
        <v>1</v>
      </c>
      <c r="P34" s="145">
        <v>15</v>
      </c>
      <c r="Q34" s="113">
        <v>15</v>
      </c>
      <c r="R34" s="113"/>
      <c r="S34" s="113"/>
      <c r="T34" s="146"/>
      <c r="U34" s="148">
        <f t="shared" si="1"/>
        <v>15</v>
      </c>
      <c r="V34" s="149">
        <f t="shared" si="2"/>
        <v>15</v>
      </c>
      <c r="W34" s="189"/>
      <c r="X34" s="199"/>
      <c r="Y34" s="151"/>
      <c r="Z34" s="190"/>
      <c r="AA34" s="153"/>
      <c r="AB34" s="154">
        <f t="shared" si="3"/>
        <v>0</v>
      </c>
      <c r="AC34" s="149">
        <f t="shared" si="4"/>
        <v>0</v>
      </c>
      <c r="AD34" s="125">
        <v>2</v>
      </c>
      <c r="AE34" s="148">
        <f t="shared" si="5"/>
        <v>2</v>
      </c>
      <c r="AF34" s="156"/>
      <c r="AG34" s="156"/>
      <c r="AH34" s="113">
        <f t="shared" si="6"/>
        <v>17</v>
      </c>
      <c r="AI34" s="157">
        <v>65</v>
      </c>
      <c r="AJ34" s="113">
        <f t="shared" si="7"/>
        <v>82</v>
      </c>
      <c r="AK34" s="113">
        <f t="shared" si="8"/>
        <v>82</v>
      </c>
      <c r="AL34" s="158">
        <f t="shared" si="9"/>
        <v>1.02</v>
      </c>
      <c r="AM34" s="159"/>
      <c r="AN34" s="160">
        <f t="shared" si="13"/>
        <v>1</v>
      </c>
      <c r="AO34" s="160">
        <f t="shared" si="13"/>
        <v>2</v>
      </c>
      <c r="AP34" s="133"/>
      <c r="AQ34" s="134"/>
      <c r="AR34" s="161"/>
      <c r="AS34" s="161"/>
      <c r="AT34" s="161"/>
      <c r="AU34" s="161"/>
      <c r="AV34" s="162"/>
      <c r="AW34" s="137">
        <f t="shared" si="11"/>
        <v>0</v>
      </c>
      <c r="AX34" s="137">
        <f t="shared" si="12"/>
        <v>0</v>
      </c>
    </row>
    <row r="35" ht="46.5" customHeight="1" spans="1:50" s="97" customFormat="1" x14ac:dyDescent="0.25">
      <c r="A35" s="100"/>
      <c r="B35" s="100"/>
      <c r="C35" s="100"/>
      <c r="D35" s="100"/>
      <c r="E35" s="100"/>
      <c r="F35" s="100"/>
      <c r="G35" s="103"/>
      <c r="H35" s="186"/>
      <c r="I35" s="195">
        <v>0.51</v>
      </c>
      <c r="J35" s="107">
        <v>0.49</v>
      </c>
      <c r="K35" s="107"/>
      <c r="L35" s="107"/>
      <c r="M35" s="187"/>
      <c r="N35" s="169">
        <f t="shared" si="0"/>
        <v>1</v>
      </c>
      <c r="O35" s="144">
        <v>1</v>
      </c>
      <c r="P35" s="145">
        <v>15</v>
      </c>
      <c r="Q35" s="113">
        <v>15</v>
      </c>
      <c r="R35" s="113"/>
      <c r="S35" s="113"/>
      <c r="T35" s="146"/>
      <c r="U35" s="148">
        <f t="shared" si="1"/>
        <v>15</v>
      </c>
      <c r="V35" s="149">
        <f t="shared" si="2"/>
        <v>15</v>
      </c>
      <c r="W35" s="189"/>
      <c r="X35" s="199"/>
      <c r="Y35" s="151"/>
      <c r="Z35" s="190"/>
      <c r="AA35" s="153"/>
      <c r="AB35" s="154">
        <f t="shared" si="3"/>
        <v>0</v>
      </c>
      <c r="AC35" s="149">
        <f t="shared" si="4"/>
        <v>0</v>
      </c>
      <c r="AD35" s="125">
        <v>2</v>
      </c>
      <c r="AE35" s="148">
        <f t="shared" si="5"/>
        <v>2</v>
      </c>
      <c r="AF35" s="156"/>
      <c r="AG35" s="156"/>
      <c r="AH35" s="113">
        <f t="shared" si="6"/>
        <v>17</v>
      </c>
      <c r="AI35" s="157">
        <v>65</v>
      </c>
      <c r="AJ35" s="113">
        <f t="shared" si="7"/>
        <v>82</v>
      </c>
      <c r="AK35" s="113">
        <f t="shared" si="8"/>
        <v>82</v>
      </c>
      <c r="AL35" s="158">
        <f t="shared" si="9"/>
        <v>1.02</v>
      </c>
      <c r="AM35" s="159"/>
      <c r="AN35" s="160">
        <f t="shared" si="13"/>
        <v>1</v>
      </c>
      <c r="AO35" s="160">
        <f t="shared" si="13"/>
        <v>2</v>
      </c>
      <c r="AP35" s="133"/>
      <c r="AQ35" s="134"/>
      <c r="AR35" s="161"/>
      <c r="AS35" s="161"/>
      <c r="AT35" s="161"/>
      <c r="AU35" s="161"/>
      <c r="AV35" s="162"/>
      <c r="AW35" s="137">
        <f t="shared" si="11"/>
        <v>0</v>
      </c>
      <c r="AX35" s="137">
        <f t="shared" si="12"/>
        <v>0</v>
      </c>
    </row>
    <row r="36" ht="46.5" customHeight="1" spans="1:50" s="97" customFormat="1" x14ac:dyDescent="0.25">
      <c r="A36" s="100"/>
      <c r="B36" s="100"/>
      <c r="C36" s="100"/>
      <c r="D36" s="100"/>
      <c r="E36" s="100"/>
      <c r="F36" s="100"/>
      <c r="G36" s="103"/>
      <c r="H36" s="186"/>
      <c r="I36" s="195">
        <v>0.51</v>
      </c>
      <c r="J36" s="107">
        <v>0.49</v>
      </c>
      <c r="K36" s="107"/>
      <c r="L36" s="107"/>
      <c r="M36" s="187"/>
      <c r="N36" s="169">
        <f t="shared" si="0"/>
        <v>1</v>
      </c>
      <c r="O36" s="144">
        <v>1</v>
      </c>
      <c r="P36" s="145">
        <v>15</v>
      </c>
      <c r="Q36" s="113">
        <v>15</v>
      </c>
      <c r="R36" s="113"/>
      <c r="S36" s="113"/>
      <c r="T36" s="146"/>
      <c r="U36" s="148">
        <f t="shared" si="1"/>
        <v>15</v>
      </c>
      <c r="V36" s="149">
        <f t="shared" si="2"/>
        <v>15</v>
      </c>
      <c r="W36" s="189"/>
      <c r="X36" s="199"/>
      <c r="Y36" s="151"/>
      <c r="Z36" s="190"/>
      <c r="AA36" s="153"/>
      <c r="AB36" s="154">
        <f t="shared" si="3"/>
        <v>0</v>
      </c>
      <c r="AC36" s="149">
        <f t="shared" si="4"/>
        <v>0</v>
      </c>
      <c r="AD36" s="125">
        <v>2</v>
      </c>
      <c r="AE36" s="148">
        <f t="shared" si="5"/>
        <v>2</v>
      </c>
      <c r="AF36" s="156"/>
      <c r="AG36" s="156"/>
      <c r="AH36" s="113">
        <f t="shared" si="6"/>
        <v>17</v>
      </c>
      <c r="AI36" s="157">
        <v>65</v>
      </c>
      <c r="AJ36" s="113">
        <f t="shared" si="7"/>
        <v>82</v>
      </c>
      <c r="AK36" s="113">
        <f t="shared" si="8"/>
        <v>82</v>
      </c>
      <c r="AL36" s="158">
        <f t="shared" si="9"/>
        <v>1.02</v>
      </c>
      <c r="AM36" s="159"/>
      <c r="AN36" s="160">
        <f t="shared" si="13"/>
        <v>1</v>
      </c>
      <c r="AO36" s="160">
        <f t="shared" si="13"/>
        <v>2</v>
      </c>
      <c r="AP36" s="133"/>
      <c r="AQ36" s="134"/>
      <c r="AR36" s="161"/>
      <c r="AS36" s="161"/>
      <c r="AT36" s="161"/>
      <c r="AU36" s="161"/>
      <c r="AV36" s="162"/>
      <c r="AW36" s="137">
        <f t="shared" si="11"/>
        <v>0</v>
      </c>
      <c r="AX36" s="137">
        <f t="shared" si="12"/>
        <v>0</v>
      </c>
    </row>
    <row r="37" ht="46.5" customHeight="1" spans="1:50" s="97" customFormat="1" x14ac:dyDescent="0.25">
      <c r="A37" s="100"/>
      <c r="B37" s="100"/>
      <c r="C37" s="100"/>
      <c r="D37" s="100"/>
      <c r="E37" s="100"/>
      <c r="F37" s="100"/>
      <c r="G37" s="103"/>
      <c r="H37" s="186"/>
      <c r="I37" s="195">
        <v>0.51</v>
      </c>
      <c r="J37" s="107">
        <v>0.49</v>
      </c>
      <c r="K37" s="107"/>
      <c r="L37" s="107"/>
      <c r="M37" s="187"/>
      <c r="N37" s="169">
        <f t="shared" si="0"/>
        <v>1</v>
      </c>
      <c r="O37" s="144">
        <v>1</v>
      </c>
      <c r="P37" s="145">
        <v>15</v>
      </c>
      <c r="Q37" s="113">
        <v>15</v>
      </c>
      <c r="R37" s="113"/>
      <c r="S37" s="113"/>
      <c r="T37" s="146"/>
      <c r="U37" s="148">
        <f t="shared" si="1"/>
        <v>15</v>
      </c>
      <c r="V37" s="149">
        <f t="shared" si="2"/>
        <v>15</v>
      </c>
      <c r="W37" s="189"/>
      <c r="X37" s="199"/>
      <c r="Y37" s="151"/>
      <c r="Z37" s="190"/>
      <c r="AA37" s="153"/>
      <c r="AB37" s="154">
        <f t="shared" si="3"/>
        <v>0</v>
      </c>
      <c r="AC37" s="149">
        <f t="shared" si="4"/>
        <v>0</v>
      </c>
      <c r="AD37" s="125">
        <v>2</v>
      </c>
      <c r="AE37" s="148">
        <f t="shared" si="5"/>
        <v>2</v>
      </c>
      <c r="AF37" s="156"/>
      <c r="AG37" s="156"/>
      <c r="AH37" s="113">
        <f t="shared" si="6"/>
        <v>17</v>
      </c>
      <c r="AI37" s="157">
        <v>65</v>
      </c>
      <c r="AJ37" s="113">
        <f t="shared" si="7"/>
        <v>82</v>
      </c>
      <c r="AK37" s="113">
        <f t="shared" si="8"/>
        <v>82</v>
      </c>
      <c r="AL37" s="158">
        <f t="shared" si="9"/>
        <v>1.02</v>
      </c>
      <c r="AM37" s="159"/>
      <c r="AN37" s="160">
        <f t="shared" si="13"/>
        <v>1</v>
      </c>
      <c r="AO37" s="160">
        <f t="shared" si="13"/>
        <v>2</v>
      </c>
      <c r="AP37" s="133"/>
      <c r="AQ37" s="134"/>
      <c r="AR37" s="161"/>
      <c r="AS37" s="161"/>
      <c r="AT37" s="161"/>
      <c r="AU37" s="161"/>
      <c r="AV37" s="162"/>
      <c r="AW37" s="137">
        <f t="shared" si="11"/>
        <v>0</v>
      </c>
      <c r="AX37" s="137">
        <f t="shared" si="12"/>
        <v>0</v>
      </c>
    </row>
    <row r="38" ht="46.5" customHeight="1" spans="1:50" s="97" customFormat="1" x14ac:dyDescent="0.25">
      <c r="A38" s="100"/>
      <c r="B38" s="100"/>
      <c r="C38" s="100"/>
      <c r="D38" s="100"/>
      <c r="E38" s="100"/>
      <c r="F38" s="100"/>
      <c r="G38" s="103"/>
      <c r="H38" s="186"/>
      <c r="I38" s="195">
        <v>0.51</v>
      </c>
      <c r="J38" s="107">
        <v>0.49</v>
      </c>
      <c r="K38" s="107"/>
      <c r="L38" s="107"/>
      <c r="M38" s="187"/>
      <c r="N38" s="169">
        <f t="shared" si="0"/>
        <v>1</v>
      </c>
      <c r="O38" s="144">
        <v>1</v>
      </c>
      <c r="P38" s="145">
        <v>15</v>
      </c>
      <c r="Q38" s="113">
        <v>15</v>
      </c>
      <c r="R38" s="113"/>
      <c r="S38" s="113"/>
      <c r="T38" s="146"/>
      <c r="U38" s="148">
        <f t="shared" si="1"/>
        <v>15</v>
      </c>
      <c r="V38" s="149">
        <f t="shared" si="2"/>
        <v>15</v>
      </c>
      <c r="W38" s="189"/>
      <c r="X38" s="199"/>
      <c r="Y38" s="151"/>
      <c r="Z38" s="190"/>
      <c r="AA38" s="153"/>
      <c r="AB38" s="154">
        <f t="shared" si="3"/>
        <v>0</v>
      </c>
      <c r="AC38" s="149">
        <f t="shared" si="4"/>
        <v>0</v>
      </c>
      <c r="AD38" s="125">
        <v>2</v>
      </c>
      <c r="AE38" s="148">
        <f t="shared" si="5"/>
        <v>2</v>
      </c>
      <c r="AF38" s="156"/>
      <c r="AG38" s="156"/>
      <c r="AH38" s="113">
        <f t="shared" si="6"/>
        <v>17</v>
      </c>
      <c r="AI38" s="157">
        <v>65</v>
      </c>
      <c r="AJ38" s="113">
        <f t="shared" si="7"/>
        <v>82</v>
      </c>
      <c r="AK38" s="113">
        <f t="shared" si="8"/>
        <v>82</v>
      </c>
      <c r="AL38" s="158">
        <f t="shared" si="9"/>
        <v>1.02</v>
      </c>
      <c r="AM38" s="159"/>
      <c r="AN38" s="160">
        <f t="shared" si="13"/>
        <v>1</v>
      </c>
      <c r="AO38" s="160">
        <f t="shared" si="13"/>
        <v>2</v>
      </c>
      <c r="AP38" s="133"/>
      <c r="AQ38" s="134"/>
      <c r="AR38" s="161"/>
      <c r="AS38" s="161"/>
      <c r="AT38" s="161"/>
      <c r="AU38" s="161"/>
      <c r="AV38" s="162"/>
      <c r="AW38" s="137">
        <f t="shared" si="11"/>
        <v>0</v>
      </c>
      <c r="AX38" s="137">
        <f t="shared" si="12"/>
        <v>0</v>
      </c>
    </row>
    <row r="39" ht="46.5" customHeight="1" spans="1:50" s="97" customFormat="1" x14ac:dyDescent="0.25">
      <c r="A39" s="100"/>
      <c r="B39" s="100"/>
      <c r="C39" s="100"/>
      <c r="D39" s="100"/>
      <c r="E39" s="100"/>
      <c r="F39" s="100"/>
      <c r="G39" s="103"/>
      <c r="H39" s="186"/>
      <c r="I39" s="195">
        <v>0.51</v>
      </c>
      <c r="J39" s="107">
        <v>0.49</v>
      </c>
      <c r="K39" s="107"/>
      <c r="L39" s="107"/>
      <c r="M39" s="187"/>
      <c r="N39" s="169">
        <f t="shared" si="0"/>
        <v>1</v>
      </c>
      <c r="O39" s="144">
        <v>1</v>
      </c>
      <c r="P39" s="145">
        <v>15</v>
      </c>
      <c r="Q39" s="113">
        <v>15</v>
      </c>
      <c r="R39" s="113"/>
      <c r="S39" s="113"/>
      <c r="T39" s="146"/>
      <c r="U39" s="148">
        <f t="shared" si="1"/>
        <v>15</v>
      </c>
      <c r="V39" s="149">
        <f t="shared" si="2"/>
        <v>15</v>
      </c>
      <c r="W39" s="189"/>
      <c r="X39" s="199"/>
      <c r="Y39" s="151"/>
      <c r="Z39" s="190"/>
      <c r="AA39" s="153"/>
      <c r="AB39" s="154">
        <f t="shared" si="3"/>
        <v>0</v>
      </c>
      <c r="AC39" s="149">
        <f t="shared" si="4"/>
        <v>0</v>
      </c>
      <c r="AD39" s="125">
        <v>2</v>
      </c>
      <c r="AE39" s="148">
        <f t="shared" si="5"/>
        <v>2</v>
      </c>
      <c r="AF39" s="156"/>
      <c r="AG39" s="156"/>
      <c r="AH39" s="113">
        <f t="shared" si="6"/>
        <v>17</v>
      </c>
      <c r="AI39" s="157">
        <v>65</v>
      </c>
      <c r="AJ39" s="113">
        <f t="shared" si="7"/>
        <v>82</v>
      </c>
      <c r="AK39" s="113">
        <f t="shared" si="8"/>
        <v>82</v>
      </c>
      <c r="AL39" s="158">
        <f t="shared" si="9"/>
        <v>1.02</v>
      </c>
      <c r="AM39" s="159"/>
      <c r="AN39" s="160">
        <f t="shared" si="13"/>
        <v>1</v>
      </c>
      <c r="AO39" s="160">
        <f t="shared" si="13"/>
        <v>2</v>
      </c>
      <c r="AP39" s="133"/>
      <c r="AQ39" s="134"/>
      <c r="AR39" s="161"/>
      <c r="AS39" s="161"/>
      <c r="AT39" s="161"/>
      <c r="AU39" s="161"/>
      <c r="AV39" s="162"/>
      <c r="AW39" s="137">
        <f t="shared" si="11"/>
        <v>0</v>
      </c>
      <c r="AX39" s="137">
        <f t="shared" si="12"/>
        <v>0</v>
      </c>
    </row>
    <row r="40" ht="46.5" customHeight="1" spans="1:50" s="97" customFormat="1" x14ac:dyDescent="0.25">
      <c r="A40" s="100"/>
      <c r="B40" s="100"/>
      <c r="C40" s="100"/>
      <c r="D40" s="100"/>
      <c r="E40" s="100"/>
      <c r="F40" s="100"/>
      <c r="G40" s="103"/>
      <c r="H40" s="186"/>
      <c r="I40" s="195">
        <v>0.51</v>
      </c>
      <c r="J40" s="107">
        <v>0.49</v>
      </c>
      <c r="K40" s="107"/>
      <c r="L40" s="107"/>
      <c r="M40" s="187"/>
      <c r="N40" s="169">
        <f t="shared" si="0"/>
        <v>1</v>
      </c>
      <c r="O40" s="144">
        <v>1</v>
      </c>
      <c r="P40" s="145">
        <v>15</v>
      </c>
      <c r="Q40" s="113">
        <v>15</v>
      </c>
      <c r="R40" s="113"/>
      <c r="S40" s="113"/>
      <c r="T40" s="146"/>
      <c r="U40" s="148">
        <f t="shared" si="1"/>
        <v>15</v>
      </c>
      <c r="V40" s="149">
        <f t="shared" si="2"/>
        <v>15</v>
      </c>
      <c r="W40" s="189"/>
      <c r="X40" s="199"/>
      <c r="Y40" s="151"/>
      <c r="Z40" s="190"/>
      <c r="AA40" s="153"/>
      <c r="AB40" s="154">
        <f t="shared" si="3"/>
        <v>0</v>
      </c>
      <c r="AC40" s="149">
        <f t="shared" si="4"/>
        <v>0</v>
      </c>
      <c r="AD40" s="125">
        <v>2</v>
      </c>
      <c r="AE40" s="148">
        <f t="shared" si="5"/>
        <v>2</v>
      </c>
      <c r="AF40" s="156"/>
      <c r="AG40" s="156"/>
      <c r="AH40" s="113">
        <f t="shared" si="6"/>
        <v>17</v>
      </c>
      <c r="AI40" s="157">
        <v>65</v>
      </c>
      <c r="AJ40" s="113">
        <f t="shared" si="7"/>
        <v>82</v>
      </c>
      <c r="AK40" s="113">
        <f t="shared" si="8"/>
        <v>82</v>
      </c>
      <c r="AL40" s="158">
        <f t="shared" si="9"/>
        <v>1.02</v>
      </c>
      <c r="AM40" s="159"/>
      <c r="AN40" s="160">
        <f t="shared" si="13"/>
        <v>1</v>
      </c>
      <c r="AO40" s="160">
        <f t="shared" si="13"/>
        <v>2</v>
      </c>
      <c r="AP40" s="133"/>
      <c r="AQ40" s="134"/>
      <c r="AR40" s="161"/>
      <c r="AS40" s="161"/>
      <c r="AT40" s="161"/>
      <c r="AU40" s="161"/>
      <c r="AV40" s="162"/>
      <c r="AW40" s="137">
        <f t="shared" si="11"/>
        <v>0</v>
      </c>
      <c r="AX40" s="137">
        <f t="shared" si="12"/>
        <v>0</v>
      </c>
    </row>
    <row r="41" ht="46.5" customHeight="1" spans="1:50" s="97" customFormat="1" x14ac:dyDescent="0.25">
      <c r="A41" s="100"/>
      <c r="B41" s="100"/>
      <c r="C41" s="100"/>
      <c r="D41" s="100"/>
      <c r="E41" s="100"/>
      <c r="F41" s="100"/>
      <c r="G41" s="103"/>
      <c r="H41" s="186"/>
      <c r="I41" s="195">
        <v>0.51</v>
      </c>
      <c r="J41" s="107">
        <v>0.49</v>
      </c>
      <c r="K41" s="107"/>
      <c r="L41" s="107"/>
      <c r="M41" s="187"/>
      <c r="N41" s="169">
        <f t="shared" si="0"/>
        <v>1</v>
      </c>
      <c r="O41" s="144">
        <v>1</v>
      </c>
      <c r="P41" s="145">
        <v>15</v>
      </c>
      <c r="Q41" s="113">
        <v>15</v>
      </c>
      <c r="R41" s="113"/>
      <c r="S41" s="113"/>
      <c r="T41" s="146"/>
      <c r="U41" s="148">
        <f t="shared" si="1"/>
        <v>15</v>
      </c>
      <c r="V41" s="149">
        <f t="shared" si="2"/>
        <v>15</v>
      </c>
      <c r="W41" s="189"/>
      <c r="X41" s="199"/>
      <c r="Y41" s="151"/>
      <c r="Z41" s="190"/>
      <c r="AA41" s="153"/>
      <c r="AB41" s="154">
        <f t="shared" si="3"/>
        <v>0</v>
      </c>
      <c r="AC41" s="149">
        <f t="shared" si="4"/>
        <v>0</v>
      </c>
      <c r="AD41" s="125">
        <v>2</v>
      </c>
      <c r="AE41" s="148">
        <f t="shared" si="5"/>
        <v>2</v>
      </c>
      <c r="AF41" s="156"/>
      <c r="AG41" s="156"/>
      <c r="AH41" s="113">
        <f t="shared" si="6"/>
        <v>17</v>
      </c>
      <c r="AI41" s="157">
        <v>65</v>
      </c>
      <c r="AJ41" s="113">
        <f t="shared" si="7"/>
        <v>82</v>
      </c>
      <c r="AK41" s="113">
        <f t="shared" si="8"/>
        <v>82</v>
      </c>
      <c r="AL41" s="158">
        <f t="shared" si="9"/>
        <v>1.02</v>
      </c>
      <c r="AM41" s="159"/>
      <c r="AN41" s="160">
        <f t="shared" si="13"/>
        <v>1</v>
      </c>
      <c r="AO41" s="160">
        <f t="shared" si="13"/>
        <v>2</v>
      </c>
      <c r="AP41" s="133"/>
      <c r="AQ41" s="134"/>
      <c r="AR41" s="161"/>
      <c r="AS41" s="161"/>
      <c r="AT41" s="161"/>
      <c r="AU41" s="161"/>
      <c r="AV41" s="162"/>
      <c r="AW41" s="137">
        <f t="shared" si="11"/>
        <v>0</v>
      </c>
      <c r="AX41" s="137">
        <f t="shared" si="12"/>
        <v>0</v>
      </c>
    </row>
    <row r="42" ht="46.5" customHeight="1" spans="1:50" s="97" customFormat="1" x14ac:dyDescent="0.25">
      <c r="A42" s="100"/>
      <c r="B42" s="100"/>
      <c r="C42" s="100"/>
      <c r="D42" s="100"/>
      <c r="E42" s="100"/>
      <c r="F42" s="100"/>
      <c r="G42" s="103"/>
      <c r="H42" s="186"/>
      <c r="I42" s="195">
        <v>0.51</v>
      </c>
      <c r="J42" s="107">
        <v>0.49</v>
      </c>
      <c r="K42" s="107"/>
      <c r="L42" s="107"/>
      <c r="M42" s="187"/>
      <c r="N42" s="169">
        <f t="shared" si="0"/>
        <v>1</v>
      </c>
      <c r="O42" s="144">
        <v>1</v>
      </c>
      <c r="P42" s="145">
        <v>15</v>
      </c>
      <c r="Q42" s="113">
        <v>15</v>
      </c>
      <c r="R42" s="113"/>
      <c r="S42" s="113"/>
      <c r="T42" s="146"/>
      <c r="U42" s="148">
        <f t="shared" si="1"/>
        <v>15</v>
      </c>
      <c r="V42" s="149">
        <f t="shared" si="2"/>
        <v>15</v>
      </c>
      <c r="W42" s="189"/>
      <c r="X42" s="199"/>
      <c r="Y42" s="151"/>
      <c r="Z42" s="190"/>
      <c r="AA42" s="153"/>
      <c r="AB42" s="154">
        <f t="shared" si="3"/>
        <v>0</v>
      </c>
      <c r="AC42" s="149">
        <f t="shared" si="4"/>
        <v>0</v>
      </c>
      <c r="AD42" s="125">
        <v>2</v>
      </c>
      <c r="AE42" s="148">
        <f t="shared" si="5"/>
        <v>2</v>
      </c>
      <c r="AF42" s="156"/>
      <c r="AG42" s="156"/>
      <c r="AH42" s="113">
        <f t="shared" si="6"/>
        <v>17</v>
      </c>
      <c r="AI42" s="157">
        <v>65</v>
      </c>
      <c r="AJ42" s="113">
        <f t="shared" si="7"/>
        <v>82</v>
      </c>
      <c r="AK42" s="113">
        <f t="shared" si="8"/>
        <v>82</v>
      </c>
      <c r="AL42" s="158">
        <f t="shared" si="9"/>
        <v>1.02</v>
      </c>
      <c r="AM42" s="159"/>
      <c r="AN42" s="160">
        <f t="shared" si="13"/>
        <v>1</v>
      </c>
      <c r="AO42" s="160">
        <f t="shared" si="13"/>
        <v>2</v>
      </c>
      <c r="AP42" s="133"/>
      <c r="AQ42" s="134"/>
      <c r="AR42" s="161"/>
      <c r="AS42" s="161"/>
      <c r="AT42" s="161"/>
      <c r="AU42" s="161"/>
      <c r="AV42" s="162"/>
      <c r="AW42" s="137">
        <f t="shared" si="11"/>
        <v>0</v>
      </c>
      <c r="AX42" s="137">
        <f t="shared" si="12"/>
        <v>0</v>
      </c>
    </row>
    <row r="43" ht="46.5" customHeight="1" spans="1:50" s="97" customFormat="1" x14ac:dyDescent="0.25">
      <c r="A43" s="100"/>
      <c r="B43" s="100"/>
      <c r="C43" s="100"/>
      <c r="D43" s="100"/>
      <c r="E43" s="100"/>
      <c r="F43" s="100"/>
      <c r="G43" s="103"/>
      <c r="H43" s="186"/>
      <c r="I43" s="195">
        <v>0.51</v>
      </c>
      <c r="J43" s="107">
        <v>0.49</v>
      </c>
      <c r="K43" s="107"/>
      <c r="L43" s="107"/>
      <c r="M43" s="187"/>
      <c r="N43" s="169">
        <f t="shared" si="0"/>
        <v>1</v>
      </c>
      <c r="O43" s="144">
        <v>1</v>
      </c>
      <c r="P43" s="145">
        <v>15</v>
      </c>
      <c r="Q43" s="113">
        <v>15</v>
      </c>
      <c r="R43" s="113"/>
      <c r="S43" s="113"/>
      <c r="T43" s="146"/>
      <c r="U43" s="148">
        <f t="shared" si="1"/>
        <v>15</v>
      </c>
      <c r="V43" s="149">
        <f t="shared" si="2"/>
        <v>15</v>
      </c>
      <c r="W43" s="189"/>
      <c r="X43" s="199"/>
      <c r="Y43" s="151"/>
      <c r="Z43" s="190"/>
      <c r="AA43" s="153"/>
      <c r="AB43" s="154">
        <f t="shared" si="3"/>
        <v>0</v>
      </c>
      <c r="AC43" s="149">
        <f t="shared" si="4"/>
        <v>0</v>
      </c>
      <c r="AD43" s="125">
        <v>2</v>
      </c>
      <c r="AE43" s="148">
        <f t="shared" si="5"/>
        <v>2</v>
      </c>
      <c r="AF43" s="156"/>
      <c r="AG43" s="156"/>
      <c r="AH43" s="113">
        <f t="shared" si="6"/>
        <v>17</v>
      </c>
      <c r="AI43" s="157">
        <v>65</v>
      </c>
      <c r="AJ43" s="113">
        <f t="shared" si="7"/>
        <v>82</v>
      </c>
      <c r="AK43" s="113">
        <f t="shared" si="8"/>
        <v>82</v>
      </c>
      <c r="AL43" s="158">
        <f t="shared" si="9"/>
        <v>1.02</v>
      </c>
      <c r="AM43" s="159"/>
      <c r="AN43" s="160">
        <f t="shared" si="13"/>
        <v>1</v>
      </c>
      <c r="AO43" s="160">
        <f t="shared" si="13"/>
        <v>2</v>
      </c>
      <c r="AP43" s="133"/>
      <c r="AQ43" s="134"/>
      <c r="AR43" s="161"/>
      <c r="AS43" s="161"/>
      <c r="AT43" s="161"/>
      <c r="AU43" s="161"/>
      <c r="AV43" s="162"/>
      <c r="AW43" s="137">
        <f t="shared" si="11"/>
        <v>0</v>
      </c>
      <c r="AX43" s="137">
        <f t="shared" si="12"/>
        <v>0</v>
      </c>
    </row>
    <row r="44" ht="46.5" customHeight="1" spans="1:50" s="97" customFormat="1" x14ac:dyDescent="0.25">
      <c r="A44" s="100"/>
      <c r="B44" s="100"/>
      <c r="C44" s="100"/>
      <c r="D44" s="100"/>
      <c r="E44" s="100"/>
      <c r="F44" s="100"/>
      <c r="G44" s="103"/>
      <c r="H44" s="186"/>
      <c r="I44" s="195">
        <v>0.51</v>
      </c>
      <c r="J44" s="107">
        <v>0.49</v>
      </c>
      <c r="K44" s="107"/>
      <c r="L44" s="107"/>
      <c r="M44" s="187"/>
      <c r="N44" s="169">
        <f t="shared" si="0"/>
        <v>1</v>
      </c>
      <c r="O44" s="144">
        <v>1</v>
      </c>
      <c r="P44" s="145">
        <v>15</v>
      </c>
      <c r="Q44" s="113">
        <v>15</v>
      </c>
      <c r="R44" s="113"/>
      <c r="S44" s="113"/>
      <c r="T44" s="146"/>
      <c r="U44" s="148">
        <f t="shared" si="1"/>
        <v>15</v>
      </c>
      <c r="V44" s="149">
        <f t="shared" si="2"/>
        <v>15</v>
      </c>
      <c r="W44" s="189"/>
      <c r="X44" s="199"/>
      <c r="Y44" s="151"/>
      <c r="Z44" s="190"/>
      <c r="AA44" s="153"/>
      <c r="AB44" s="154">
        <f t="shared" si="3"/>
        <v>0</v>
      </c>
      <c r="AC44" s="149">
        <f t="shared" si="4"/>
        <v>0</v>
      </c>
      <c r="AD44" s="125">
        <v>2</v>
      </c>
      <c r="AE44" s="148">
        <f t="shared" si="5"/>
        <v>2</v>
      </c>
      <c r="AF44" s="156"/>
      <c r="AG44" s="156"/>
      <c r="AH44" s="113">
        <f t="shared" si="6"/>
        <v>17</v>
      </c>
      <c r="AI44" s="157">
        <v>65</v>
      </c>
      <c r="AJ44" s="113">
        <f t="shared" si="7"/>
        <v>82</v>
      </c>
      <c r="AK44" s="113">
        <f t="shared" si="8"/>
        <v>82</v>
      </c>
      <c r="AL44" s="158">
        <f t="shared" si="9"/>
        <v>1.02</v>
      </c>
      <c r="AM44" s="159"/>
      <c r="AN44" s="160">
        <f t="shared" si="13"/>
        <v>1</v>
      </c>
      <c r="AO44" s="160">
        <f t="shared" si="13"/>
        <v>2</v>
      </c>
      <c r="AP44" s="133"/>
      <c r="AQ44" s="134"/>
      <c r="AR44" s="161"/>
      <c r="AS44" s="161"/>
      <c r="AT44" s="161"/>
      <c r="AU44" s="161"/>
      <c r="AV44" s="162"/>
      <c r="AW44" s="137">
        <f t="shared" si="11"/>
        <v>0</v>
      </c>
      <c r="AX44" s="137">
        <f t="shared" si="12"/>
        <v>0</v>
      </c>
    </row>
    <row r="45" ht="46.5" customHeight="1" spans="1:50" s="97" customFormat="1" x14ac:dyDescent="0.25">
      <c r="A45" s="100"/>
      <c r="B45" s="100"/>
      <c r="C45" s="100"/>
      <c r="D45" s="100"/>
      <c r="E45" s="100"/>
      <c r="F45" s="100"/>
      <c r="G45" s="103"/>
      <c r="H45" s="186"/>
      <c r="I45" s="195">
        <v>0.51</v>
      </c>
      <c r="J45" s="107">
        <v>0.49</v>
      </c>
      <c r="K45" s="107"/>
      <c r="L45" s="107"/>
      <c r="M45" s="187"/>
      <c r="N45" s="169">
        <f t="shared" ref="N45:N108" si="14">SUM(I45:M45)</f>
        <v>1</v>
      </c>
      <c r="O45" s="144">
        <v>1</v>
      </c>
      <c r="P45" s="145">
        <v>15</v>
      </c>
      <c r="Q45" s="113">
        <v>15</v>
      </c>
      <c r="R45" s="113"/>
      <c r="S45" s="113"/>
      <c r="T45" s="146"/>
      <c r="U45" s="148">
        <f t="shared" si="1"/>
        <v>15</v>
      </c>
      <c r="V45" s="149">
        <f t="shared" si="2"/>
        <v>15</v>
      </c>
      <c r="W45" s="189"/>
      <c r="X45" s="199"/>
      <c r="Y45" s="151"/>
      <c r="Z45" s="190"/>
      <c r="AA45" s="153"/>
      <c r="AB45" s="154">
        <f t="shared" si="3"/>
        <v>0</v>
      </c>
      <c r="AC45" s="149">
        <f t="shared" si="4"/>
        <v>0</v>
      </c>
      <c r="AD45" s="125">
        <v>2</v>
      </c>
      <c r="AE45" s="148">
        <f t="shared" si="5"/>
        <v>2</v>
      </c>
      <c r="AF45" s="156"/>
      <c r="AG45" s="156"/>
      <c r="AH45" s="113">
        <f t="shared" si="6"/>
        <v>17</v>
      </c>
      <c r="AI45" s="157">
        <v>65</v>
      </c>
      <c r="AJ45" s="113">
        <f t="shared" si="7"/>
        <v>82</v>
      </c>
      <c r="AK45" s="113">
        <f t="shared" si="8"/>
        <v>82</v>
      </c>
      <c r="AL45" s="158">
        <f t="shared" si="9"/>
        <v>1.02</v>
      </c>
      <c r="AM45" s="159"/>
      <c r="AN45" s="160">
        <f t="shared" si="13"/>
        <v>1</v>
      </c>
      <c r="AO45" s="160">
        <f t="shared" si="13"/>
        <v>2</v>
      </c>
      <c r="AP45" s="133"/>
      <c r="AQ45" s="134"/>
      <c r="AR45" s="161"/>
      <c r="AS45" s="161"/>
      <c r="AT45" s="161"/>
      <c r="AU45" s="161"/>
      <c r="AV45" s="162"/>
      <c r="AW45" s="137">
        <f t="shared" si="11"/>
        <v>0</v>
      </c>
      <c r="AX45" s="137">
        <f t="shared" si="12"/>
        <v>0</v>
      </c>
    </row>
    <row r="46" ht="46.5" customHeight="1" spans="1:50" s="97" customFormat="1" x14ac:dyDescent="0.25">
      <c r="A46" s="100"/>
      <c r="B46" s="100"/>
      <c r="C46" s="100"/>
      <c r="D46" s="100"/>
      <c r="E46" s="100"/>
      <c r="F46" s="100"/>
      <c r="G46" s="103"/>
      <c r="H46" s="186"/>
      <c r="I46" s="195">
        <v>0.51</v>
      </c>
      <c r="J46" s="107">
        <v>0.49</v>
      </c>
      <c r="K46" s="107"/>
      <c r="L46" s="107"/>
      <c r="M46" s="187"/>
      <c r="N46" s="169">
        <f t="shared" si="14"/>
        <v>1</v>
      </c>
      <c r="O46" s="144">
        <v>1</v>
      </c>
      <c r="P46" s="145">
        <v>15</v>
      </c>
      <c r="Q46" s="113">
        <v>15</v>
      </c>
      <c r="R46" s="113"/>
      <c r="S46" s="113"/>
      <c r="T46" s="146"/>
      <c r="U46" s="148">
        <f t="shared" si="1"/>
        <v>15</v>
      </c>
      <c r="V46" s="149">
        <f t="shared" si="2"/>
        <v>15</v>
      </c>
      <c r="W46" s="189"/>
      <c r="X46" s="199"/>
      <c r="Y46" s="151"/>
      <c r="Z46" s="190"/>
      <c r="AA46" s="153"/>
      <c r="AB46" s="154">
        <f t="shared" si="3"/>
        <v>0</v>
      </c>
      <c r="AC46" s="149">
        <f t="shared" si="4"/>
        <v>0</v>
      </c>
      <c r="AD46" s="125">
        <v>2</v>
      </c>
      <c r="AE46" s="148">
        <f t="shared" si="5"/>
        <v>2</v>
      </c>
      <c r="AF46" s="156"/>
      <c r="AG46" s="156"/>
      <c r="AH46" s="113">
        <f t="shared" si="6"/>
        <v>17</v>
      </c>
      <c r="AI46" s="157">
        <v>65</v>
      </c>
      <c r="AJ46" s="113">
        <f t="shared" si="7"/>
        <v>82</v>
      </c>
      <c r="AK46" s="113">
        <f t="shared" si="8"/>
        <v>82</v>
      </c>
      <c r="AL46" s="158">
        <f t="shared" si="9"/>
        <v>1.02</v>
      </c>
      <c r="AM46" s="159"/>
      <c r="AN46" s="160">
        <f t="shared" si="13"/>
        <v>1</v>
      </c>
      <c r="AO46" s="160">
        <f t="shared" si="13"/>
        <v>2</v>
      </c>
      <c r="AP46" s="133"/>
      <c r="AQ46" s="134"/>
      <c r="AR46" s="161"/>
      <c r="AS46" s="161"/>
      <c r="AT46" s="161"/>
      <c r="AU46" s="161"/>
      <c r="AV46" s="162"/>
      <c r="AW46" s="137">
        <f t="shared" si="11"/>
        <v>0</v>
      </c>
      <c r="AX46" s="137">
        <f t="shared" si="12"/>
        <v>0</v>
      </c>
    </row>
    <row r="47" ht="46.5" customHeight="1" spans="1:50" s="97" customFormat="1" x14ac:dyDescent="0.25">
      <c r="A47" s="100"/>
      <c r="B47" s="100"/>
      <c r="C47" s="100"/>
      <c r="D47" s="100"/>
      <c r="E47" s="100"/>
      <c r="F47" s="100"/>
      <c r="G47" s="103"/>
      <c r="H47" s="186"/>
      <c r="I47" s="195">
        <v>0.51</v>
      </c>
      <c r="J47" s="107">
        <v>0.49</v>
      </c>
      <c r="K47" s="107"/>
      <c r="L47" s="107"/>
      <c r="M47" s="187"/>
      <c r="N47" s="169">
        <f t="shared" si="14"/>
        <v>1</v>
      </c>
      <c r="O47" s="144">
        <v>1</v>
      </c>
      <c r="P47" s="145">
        <v>15</v>
      </c>
      <c r="Q47" s="113">
        <v>15</v>
      </c>
      <c r="R47" s="113"/>
      <c r="S47" s="113"/>
      <c r="T47" s="146"/>
      <c r="U47" s="148">
        <f t="shared" si="1"/>
        <v>15</v>
      </c>
      <c r="V47" s="149">
        <f t="shared" si="2"/>
        <v>15</v>
      </c>
      <c r="W47" s="189"/>
      <c r="X47" s="199"/>
      <c r="Y47" s="151"/>
      <c r="Z47" s="190"/>
      <c r="AA47" s="153"/>
      <c r="AB47" s="154">
        <f t="shared" si="3"/>
        <v>0</v>
      </c>
      <c r="AC47" s="149">
        <f t="shared" si="4"/>
        <v>0</v>
      </c>
      <c r="AD47" s="125">
        <v>2</v>
      </c>
      <c r="AE47" s="148">
        <f t="shared" si="5"/>
        <v>2</v>
      </c>
      <c r="AF47" s="156"/>
      <c r="AG47" s="156"/>
      <c r="AH47" s="113">
        <f t="shared" si="6"/>
        <v>17</v>
      </c>
      <c r="AI47" s="157">
        <v>65</v>
      </c>
      <c r="AJ47" s="113">
        <f t="shared" si="7"/>
        <v>82</v>
      </c>
      <c r="AK47" s="113">
        <f t="shared" si="8"/>
        <v>82</v>
      </c>
      <c r="AL47" s="158">
        <f t="shared" si="9"/>
        <v>1.02</v>
      </c>
      <c r="AM47" s="159"/>
      <c r="AN47" s="160">
        <f t="shared" si="13"/>
        <v>1</v>
      </c>
      <c r="AO47" s="160">
        <f t="shared" si="13"/>
        <v>2</v>
      </c>
      <c r="AP47" s="133"/>
      <c r="AQ47" s="134"/>
      <c r="AR47" s="161"/>
      <c r="AS47" s="161"/>
      <c r="AT47" s="161"/>
      <c r="AU47" s="161"/>
      <c r="AV47" s="162"/>
      <c r="AW47" s="137">
        <f t="shared" si="11"/>
        <v>0</v>
      </c>
      <c r="AX47" s="137">
        <f t="shared" si="12"/>
        <v>0</v>
      </c>
    </row>
    <row r="48" ht="46.5" customHeight="1" spans="1:50" s="97" customFormat="1" x14ac:dyDescent="0.25">
      <c r="A48" s="100"/>
      <c r="B48" s="100"/>
      <c r="C48" s="100"/>
      <c r="D48" s="100"/>
      <c r="E48" s="100"/>
      <c r="F48" s="100"/>
      <c r="G48" s="103"/>
      <c r="H48" s="186"/>
      <c r="I48" s="195">
        <v>0.51</v>
      </c>
      <c r="J48" s="107">
        <v>0.49</v>
      </c>
      <c r="K48" s="107"/>
      <c r="L48" s="107"/>
      <c r="M48" s="187"/>
      <c r="N48" s="169">
        <f t="shared" si="14"/>
        <v>1</v>
      </c>
      <c r="O48" s="144">
        <v>1</v>
      </c>
      <c r="P48" s="145">
        <v>15</v>
      </c>
      <c r="Q48" s="113">
        <v>15</v>
      </c>
      <c r="R48" s="113"/>
      <c r="S48" s="113"/>
      <c r="T48" s="146"/>
      <c r="U48" s="148">
        <f t="shared" si="1"/>
        <v>15</v>
      </c>
      <c r="V48" s="149">
        <f t="shared" si="2"/>
        <v>15</v>
      </c>
      <c r="W48" s="189"/>
      <c r="X48" s="199"/>
      <c r="Y48" s="151"/>
      <c r="Z48" s="190"/>
      <c r="AA48" s="153"/>
      <c r="AB48" s="154">
        <f t="shared" si="3"/>
        <v>0</v>
      </c>
      <c r="AC48" s="149">
        <f t="shared" si="4"/>
        <v>0</v>
      </c>
      <c r="AD48" s="125">
        <v>2</v>
      </c>
      <c r="AE48" s="148">
        <f t="shared" si="5"/>
        <v>2</v>
      </c>
      <c r="AF48" s="156"/>
      <c r="AG48" s="156"/>
      <c r="AH48" s="113">
        <f t="shared" si="6"/>
        <v>17</v>
      </c>
      <c r="AI48" s="157">
        <v>65</v>
      </c>
      <c r="AJ48" s="113">
        <f t="shared" si="7"/>
        <v>82</v>
      </c>
      <c r="AK48" s="113">
        <f t="shared" si="8"/>
        <v>82</v>
      </c>
      <c r="AL48" s="158">
        <f t="shared" si="9"/>
        <v>1.02</v>
      </c>
      <c r="AM48" s="159"/>
      <c r="AN48" s="160">
        <f t="shared" si="13"/>
        <v>1</v>
      </c>
      <c r="AO48" s="160">
        <f t="shared" si="13"/>
        <v>2</v>
      </c>
      <c r="AP48" s="133"/>
      <c r="AQ48" s="134"/>
      <c r="AR48" s="161"/>
      <c r="AS48" s="161"/>
      <c r="AT48" s="161"/>
      <c r="AU48" s="161"/>
      <c r="AV48" s="162"/>
      <c r="AW48" s="137">
        <f t="shared" si="11"/>
        <v>0</v>
      </c>
      <c r="AX48" s="137">
        <f t="shared" si="12"/>
        <v>0</v>
      </c>
    </row>
    <row r="49" ht="46.5" customHeight="1" spans="1:50" s="97" customFormat="1" x14ac:dyDescent="0.25">
      <c r="A49" s="100"/>
      <c r="B49" s="100"/>
      <c r="C49" s="100"/>
      <c r="D49" s="100"/>
      <c r="E49" s="100"/>
      <c r="F49" s="100"/>
      <c r="G49" s="103"/>
      <c r="H49" s="186"/>
      <c r="I49" s="195">
        <v>0.51</v>
      </c>
      <c r="J49" s="107">
        <v>0.49</v>
      </c>
      <c r="K49" s="107"/>
      <c r="L49" s="107"/>
      <c r="M49" s="187"/>
      <c r="N49" s="169">
        <f t="shared" si="14"/>
        <v>1</v>
      </c>
      <c r="O49" s="144">
        <v>1</v>
      </c>
      <c r="P49" s="145">
        <v>15</v>
      </c>
      <c r="Q49" s="113">
        <v>15</v>
      </c>
      <c r="R49" s="113"/>
      <c r="S49" s="113"/>
      <c r="T49" s="146"/>
      <c r="U49" s="148">
        <f t="shared" si="1"/>
        <v>15</v>
      </c>
      <c r="V49" s="149">
        <f t="shared" si="2"/>
        <v>15</v>
      </c>
      <c r="W49" s="189"/>
      <c r="X49" s="199"/>
      <c r="Y49" s="151"/>
      <c r="Z49" s="190"/>
      <c r="AA49" s="153"/>
      <c r="AB49" s="154">
        <f t="shared" si="3"/>
        <v>0</v>
      </c>
      <c r="AC49" s="149">
        <f t="shared" si="4"/>
        <v>0</v>
      </c>
      <c r="AD49" s="125">
        <v>2</v>
      </c>
      <c r="AE49" s="148">
        <f t="shared" si="5"/>
        <v>2</v>
      </c>
      <c r="AF49" s="156"/>
      <c r="AG49" s="156"/>
      <c r="AH49" s="113">
        <f t="shared" si="6"/>
        <v>17</v>
      </c>
      <c r="AI49" s="157">
        <v>65</v>
      </c>
      <c r="AJ49" s="113">
        <f t="shared" si="7"/>
        <v>82</v>
      </c>
      <c r="AK49" s="113">
        <f t="shared" si="8"/>
        <v>82</v>
      </c>
      <c r="AL49" s="158">
        <f t="shared" si="9"/>
        <v>1.02</v>
      </c>
      <c r="AM49" s="159"/>
      <c r="AN49" s="160">
        <f t="shared" si="13"/>
        <v>1</v>
      </c>
      <c r="AO49" s="160">
        <f t="shared" si="13"/>
        <v>2</v>
      </c>
      <c r="AP49" s="133"/>
      <c r="AQ49" s="134"/>
      <c r="AR49" s="161"/>
      <c r="AS49" s="161"/>
      <c r="AT49" s="161"/>
      <c r="AU49" s="161"/>
      <c r="AV49" s="162"/>
      <c r="AW49" s="137">
        <f t="shared" si="11"/>
        <v>0</v>
      </c>
      <c r="AX49" s="137">
        <f t="shared" si="12"/>
        <v>0</v>
      </c>
    </row>
    <row r="50" ht="46.5" customHeight="1" spans="1:50" s="97" customFormat="1" x14ac:dyDescent="0.25">
      <c r="A50" s="100"/>
      <c r="B50" s="100"/>
      <c r="C50" s="100"/>
      <c r="D50" s="100"/>
      <c r="E50" s="100"/>
      <c r="F50" s="100"/>
      <c r="G50" s="103"/>
      <c r="H50" s="186"/>
      <c r="I50" s="195">
        <v>0.51</v>
      </c>
      <c r="J50" s="107">
        <v>0.49</v>
      </c>
      <c r="K50" s="107"/>
      <c r="L50" s="107"/>
      <c r="M50" s="187"/>
      <c r="N50" s="169">
        <f t="shared" si="14"/>
        <v>1</v>
      </c>
      <c r="O50" s="144">
        <v>1</v>
      </c>
      <c r="P50" s="145">
        <v>15</v>
      </c>
      <c r="Q50" s="113">
        <v>15</v>
      </c>
      <c r="R50" s="113"/>
      <c r="S50" s="113"/>
      <c r="T50" s="146"/>
      <c r="U50" s="148">
        <f t="shared" si="1"/>
        <v>15</v>
      </c>
      <c r="V50" s="149">
        <f t="shared" si="2"/>
        <v>15</v>
      </c>
      <c r="W50" s="189"/>
      <c r="X50" s="199"/>
      <c r="Y50" s="151"/>
      <c r="Z50" s="190"/>
      <c r="AA50" s="153"/>
      <c r="AB50" s="154">
        <f t="shared" si="3"/>
        <v>0</v>
      </c>
      <c r="AC50" s="149">
        <f t="shared" si="4"/>
        <v>0</v>
      </c>
      <c r="AD50" s="125">
        <v>2</v>
      </c>
      <c r="AE50" s="148">
        <f t="shared" si="5"/>
        <v>2</v>
      </c>
      <c r="AF50" s="156"/>
      <c r="AG50" s="156"/>
      <c r="AH50" s="113">
        <f t="shared" si="6"/>
        <v>17</v>
      </c>
      <c r="AI50" s="157">
        <v>65</v>
      </c>
      <c r="AJ50" s="113">
        <f t="shared" si="7"/>
        <v>82</v>
      </c>
      <c r="AK50" s="113">
        <f t="shared" si="8"/>
        <v>82</v>
      </c>
      <c r="AL50" s="158">
        <f t="shared" si="9"/>
        <v>1.02</v>
      </c>
      <c r="AM50" s="159"/>
      <c r="AN50" s="160">
        <f t="shared" si="13"/>
        <v>1</v>
      </c>
      <c r="AO50" s="160">
        <f t="shared" si="13"/>
        <v>2</v>
      </c>
      <c r="AP50" s="133"/>
      <c r="AQ50" s="134"/>
      <c r="AR50" s="161"/>
      <c r="AS50" s="161"/>
      <c r="AT50" s="161"/>
      <c r="AU50" s="161"/>
      <c r="AV50" s="162"/>
      <c r="AW50" s="137">
        <f t="shared" si="11"/>
        <v>0</v>
      </c>
      <c r="AX50" s="137">
        <f t="shared" si="12"/>
        <v>0</v>
      </c>
    </row>
    <row r="51" ht="46.5" customHeight="1" spans="1:50" s="97" customFormat="1" x14ac:dyDescent="0.25">
      <c r="A51" s="100"/>
      <c r="B51" s="100"/>
      <c r="C51" s="100"/>
      <c r="D51" s="100"/>
      <c r="E51" s="100"/>
      <c r="F51" s="100"/>
      <c r="G51" s="103"/>
      <c r="H51" s="186"/>
      <c r="I51" s="195">
        <v>0.51</v>
      </c>
      <c r="J51" s="107">
        <v>0.49</v>
      </c>
      <c r="K51" s="107"/>
      <c r="L51" s="107"/>
      <c r="M51" s="187"/>
      <c r="N51" s="169">
        <f t="shared" si="14"/>
        <v>1</v>
      </c>
      <c r="O51" s="144">
        <v>1</v>
      </c>
      <c r="P51" s="145">
        <v>15</v>
      </c>
      <c r="Q51" s="113">
        <v>15</v>
      </c>
      <c r="R51" s="113"/>
      <c r="S51" s="113"/>
      <c r="T51" s="146"/>
      <c r="U51" s="148">
        <f t="shared" si="1"/>
        <v>15</v>
      </c>
      <c r="V51" s="149">
        <f t="shared" si="2"/>
        <v>15</v>
      </c>
      <c r="W51" s="189"/>
      <c r="X51" s="199"/>
      <c r="Y51" s="151"/>
      <c r="Z51" s="190"/>
      <c r="AA51" s="153"/>
      <c r="AB51" s="154">
        <f t="shared" si="3"/>
        <v>0</v>
      </c>
      <c r="AC51" s="149">
        <f t="shared" si="4"/>
        <v>0</v>
      </c>
      <c r="AD51" s="125">
        <v>2</v>
      </c>
      <c r="AE51" s="148">
        <f t="shared" si="5"/>
        <v>2</v>
      </c>
      <c r="AF51" s="156"/>
      <c r="AG51" s="156"/>
      <c r="AH51" s="113">
        <f t="shared" si="6"/>
        <v>17</v>
      </c>
      <c r="AI51" s="157">
        <v>65</v>
      </c>
      <c r="AJ51" s="113">
        <f t="shared" si="7"/>
        <v>82</v>
      </c>
      <c r="AK51" s="113">
        <f t="shared" si="8"/>
        <v>82</v>
      </c>
      <c r="AL51" s="158">
        <f t="shared" si="9"/>
        <v>1.02</v>
      </c>
      <c r="AM51" s="159"/>
      <c r="AN51" s="160">
        <f t="shared" si="13"/>
        <v>1</v>
      </c>
      <c r="AO51" s="160">
        <f t="shared" si="13"/>
        <v>2</v>
      </c>
      <c r="AP51" s="133"/>
      <c r="AQ51" s="134"/>
      <c r="AR51" s="161"/>
      <c r="AS51" s="161"/>
      <c r="AT51" s="161"/>
      <c r="AU51" s="161"/>
      <c r="AV51" s="162"/>
      <c r="AW51" s="137">
        <f t="shared" si="11"/>
        <v>0</v>
      </c>
      <c r="AX51" s="137">
        <f t="shared" si="12"/>
        <v>0</v>
      </c>
    </row>
    <row r="52" ht="46.5" customHeight="1" spans="1:50" s="97" customFormat="1" x14ac:dyDescent="0.25">
      <c r="A52" s="100"/>
      <c r="B52" s="100"/>
      <c r="C52" s="100"/>
      <c r="D52" s="100"/>
      <c r="E52" s="100"/>
      <c r="F52" s="100"/>
      <c r="G52" s="103"/>
      <c r="H52" s="186"/>
      <c r="I52" s="195">
        <v>0.51</v>
      </c>
      <c r="J52" s="107">
        <v>0.49</v>
      </c>
      <c r="K52" s="107"/>
      <c r="L52" s="107"/>
      <c r="M52" s="187"/>
      <c r="N52" s="169">
        <f t="shared" si="14"/>
        <v>1</v>
      </c>
      <c r="O52" s="144">
        <v>1</v>
      </c>
      <c r="P52" s="145">
        <v>15</v>
      </c>
      <c r="Q52" s="113">
        <v>15</v>
      </c>
      <c r="R52" s="113"/>
      <c r="S52" s="113"/>
      <c r="T52" s="146"/>
      <c r="U52" s="148">
        <f t="shared" si="1"/>
        <v>15</v>
      </c>
      <c r="V52" s="149">
        <f t="shared" si="2"/>
        <v>15</v>
      </c>
      <c r="W52" s="189"/>
      <c r="X52" s="199"/>
      <c r="Y52" s="151"/>
      <c r="Z52" s="190"/>
      <c r="AA52" s="153"/>
      <c r="AB52" s="154">
        <f t="shared" si="3"/>
        <v>0</v>
      </c>
      <c r="AC52" s="149">
        <f t="shared" si="4"/>
        <v>0</v>
      </c>
      <c r="AD52" s="125">
        <v>2</v>
      </c>
      <c r="AE52" s="148">
        <f t="shared" si="5"/>
        <v>2</v>
      </c>
      <c r="AF52" s="156"/>
      <c r="AG52" s="156"/>
      <c r="AH52" s="113">
        <f t="shared" si="6"/>
        <v>17</v>
      </c>
      <c r="AI52" s="157">
        <v>65</v>
      </c>
      <c r="AJ52" s="113">
        <f t="shared" si="7"/>
        <v>82</v>
      </c>
      <c r="AK52" s="113">
        <f t="shared" si="8"/>
        <v>82</v>
      </c>
      <c r="AL52" s="158">
        <f t="shared" si="9"/>
        <v>1.02</v>
      </c>
      <c r="AM52" s="159"/>
      <c r="AN52" s="160">
        <f t="shared" si="13"/>
        <v>1</v>
      </c>
      <c r="AO52" s="160">
        <f t="shared" si="13"/>
        <v>2</v>
      </c>
      <c r="AP52" s="133"/>
      <c r="AQ52" s="134"/>
      <c r="AR52" s="161"/>
      <c r="AS52" s="161"/>
      <c r="AT52" s="161"/>
      <c r="AU52" s="161"/>
      <c r="AV52" s="162"/>
      <c r="AW52" s="137">
        <f t="shared" si="11"/>
        <v>0</v>
      </c>
      <c r="AX52" s="137">
        <f t="shared" si="12"/>
        <v>0</v>
      </c>
    </row>
    <row r="53" ht="46.5" customHeight="1" spans="1:50" s="97" customFormat="1" x14ac:dyDescent="0.25">
      <c r="A53" s="100"/>
      <c r="B53" s="100"/>
      <c r="C53" s="100"/>
      <c r="D53" s="100"/>
      <c r="E53" s="100"/>
      <c r="F53" s="100"/>
      <c r="G53" s="103"/>
      <c r="H53" s="186"/>
      <c r="I53" s="195">
        <v>0.51</v>
      </c>
      <c r="J53" s="107">
        <v>0.49</v>
      </c>
      <c r="K53" s="107"/>
      <c r="L53" s="107"/>
      <c r="M53" s="187"/>
      <c r="N53" s="169">
        <f t="shared" si="14"/>
        <v>1</v>
      </c>
      <c r="O53" s="144">
        <v>1</v>
      </c>
      <c r="P53" s="145">
        <v>15</v>
      </c>
      <c r="Q53" s="113">
        <v>15</v>
      </c>
      <c r="R53" s="113"/>
      <c r="S53" s="113"/>
      <c r="T53" s="146"/>
      <c r="U53" s="148">
        <f t="shared" si="1"/>
        <v>15</v>
      </c>
      <c r="V53" s="149">
        <f t="shared" si="2"/>
        <v>15</v>
      </c>
      <c r="W53" s="189"/>
      <c r="X53" s="199"/>
      <c r="Y53" s="151"/>
      <c r="Z53" s="190"/>
      <c r="AA53" s="153"/>
      <c r="AB53" s="154">
        <f t="shared" si="3"/>
        <v>0</v>
      </c>
      <c r="AC53" s="149">
        <f t="shared" si="4"/>
        <v>0</v>
      </c>
      <c r="AD53" s="125">
        <v>2</v>
      </c>
      <c r="AE53" s="148">
        <f t="shared" si="5"/>
        <v>2</v>
      </c>
      <c r="AF53" s="156"/>
      <c r="AG53" s="156"/>
      <c r="AH53" s="113">
        <f t="shared" si="6"/>
        <v>17</v>
      </c>
      <c r="AI53" s="157">
        <v>65</v>
      </c>
      <c r="AJ53" s="113">
        <f t="shared" si="7"/>
        <v>82</v>
      </c>
      <c r="AK53" s="113">
        <f t="shared" si="8"/>
        <v>82</v>
      </c>
      <c r="AL53" s="158">
        <f t="shared" si="9"/>
        <v>1.02</v>
      </c>
      <c r="AM53" s="159"/>
      <c r="AN53" s="160">
        <f t="shared" ref="AN53:AO72" si="15">100%+AM53</f>
        <v>1</v>
      </c>
      <c r="AO53" s="160">
        <f t="shared" si="15"/>
        <v>2</v>
      </c>
      <c r="AP53" s="133"/>
      <c r="AQ53" s="134"/>
      <c r="AR53" s="161"/>
      <c r="AS53" s="161"/>
      <c r="AT53" s="161"/>
      <c r="AU53" s="161"/>
      <c r="AV53" s="162"/>
      <c r="AW53" s="137">
        <f t="shared" si="11"/>
        <v>0</v>
      </c>
      <c r="AX53" s="137">
        <f t="shared" si="12"/>
        <v>0</v>
      </c>
    </row>
    <row r="54" ht="46.5" customHeight="1" spans="1:50" s="97" customFormat="1" x14ac:dyDescent="0.25">
      <c r="A54" s="100"/>
      <c r="B54" s="100"/>
      <c r="C54" s="100"/>
      <c r="D54" s="100"/>
      <c r="E54" s="100"/>
      <c r="F54" s="100"/>
      <c r="G54" s="103"/>
      <c r="H54" s="186"/>
      <c r="I54" s="195">
        <v>0.51</v>
      </c>
      <c r="J54" s="107">
        <v>0.49</v>
      </c>
      <c r="K54" s="107"/>
      <c r="L54" s="107"/>
      <c r="M54" s="187"/>
      <c r="N54" s="169">
        <f t="shared" si="14"/>
        <v>1</v>
      </c>
      <c r="O54" s="144">
        <v>1</v>
      </c>
      <c r="P54" s="145">
        <v>15</v>
      </c>
      <c r="Q54" s="113">
        <v>15</v>
      </c>
      <c r="R54" s="113"/>
      <c r="S54" s="113"/>
      <c r="T54" s="146"/>
      <c r="U54" s="148">
        <f t="shared" si="1"/>
        <v>15</v>
      </c>
      <c r="V54" s="149">
        <f t="shared" si="2"/>
        <v>15</v>
      </c>
      <c r="W54" s="189"/>
      <c r="X54" s="199"/>
      <c r="Y54" s="151"/>
      <c r="Z54" s="190"/>
      <c r="AA54" s="153"/>
      <c r="AB54" s="154">
        <f t="shared" si="3"/>
        <v>0</v>
      </c>
      <c r="AC54" s="149">
        <f t="shared" si="4"/>
        <v>0</v>
      </c>
      <c r="AD54" s="125">
        <v>2</v>
      </c>
      <c r="AE54" s="148">
        <f t="shared" si="5"/>
        <v>2</v>
      </c>
      <c r="AF54" s="156"/>
      <c r="AG54" s="156"/>
      <c r="AH54" s="113">
        <f t="shared" si="6"/>
        <v>17</v>
      </c>
      <c r="AI54" s="157">
        <v>65</v>
      </c>
      <c r="AJ54" s="113">
        <f t="shared" si="7"/>
        <v>82</v>
      </c>
      <c r="AK54" s="113">
        <f t="shared" si="8"/>
        <v>82</v>
      </c>
      <c r="AL54" s="158">
        <f t="shared" si="9"/>
        <v>1.02</v>
      </c>
      <c r="AM54" s="159"/>
      <c r="AN54" s="160">
        <f t="shared" si="15"/>
        <v>1</v>
      </c>
      <c r="AO54" s="160">
        <f t="shared" si="15"/>
        <v>2</v>
      </c>
      <c r="AP54" s="133"/>
      <c r="AQ54" s="134"/>
      <c r="AR54" s="161"/>
      <c r="AS54" s="161"/>
      <c r="AT54" s="161"/>
      <c r="AU54" s="161"/>
      <c r="AV54" s="162"/>
      <c r="AW54" s="137">
        <f t="shared" si="11"/>
        <v>0</v>
      </c>
      <c r="AX54" s="137">
        <f t="shared" si="12"/>
        <v>0</v>
      </c>
    </row>
    <row r="55" ht="46.5" customHeight="1" spans="1:50" s="97" customFormat="1" x14ac:dyDescent="0.25">
      <c r="A55" s="100"/>
      <c r="B55" s="100"/>
      <c r="C55" s="100"/>
      <c r="D55" s="100"/>
      <c r="E55" s="100"/>
      <c r="F55" s="100"/>
      <c r="G55" s="103"/>
      <c r="H55" s="186"/>
      <c r="I55" s="195">
        <v>0.51</v>
      </c>
      <c r="J55" s="107">
        <v>0.49</v>
      </c>
      <c r="K55" s="107"/>
      <c r="L55" s="107"/>
      <c r="M55" s="187"/>
      <c r="N55" s="169">
        <f t="shared" si="14"/>
        <v>1</v>
      </c>
      <c r="O55" s="144">
        <v>1</v>
      </c>
      <c r="P55" s="145">
        <v>15</v>
      </c>
      <c r="Q55" s="113">
        <v>15</v>
      </c>
      <c r="R55" s="113"/>
      <c r="S55" s="113"/>
      <c r="T55" s="146"/>
      <c r="U55" s="148">
        <f t="shared" si="1"/>
        <v>15</v>
      </c>
      <c r="V55" s="149">
        <f t="shared" si="2"/>
        <v>15</v>
      </c>
      <c r="W55" s="189"/>
      <c r="X55" s="199"/>
      <c r="Y55" s="151"/>
      <c r="Z55" s="190"/>
      <c r="AA55" s="153"/>
      <c r="AB55" s="154">
        <f t="shared" si="3"/>
        <v>0</v>
      </c>
      <c r="AC55" s="149">
        <f t="shared" si="4"/>
        <v>0</v>
      </c>
      <c r="AD55" s="125">
        <v>2</v>
      </c>
      <c r="AE55" s="148">
        <f t="shared" si="5"/>
        <v>2</v>
      </c>
      <c r="AF55" s="156"/>
      <c r="AG55" s="156"/>
      <c r="AH55" s="113">
        <f t="shared" si="6"/>
        <v>17</v>
      </c>
      <c r="AI55" s="157">
        <v>65</v>
      </c>
      <c r="AJ55" s="113">
        <f t="shared" si="7"/>
        <v>82</v>
      </c>
      <c r="AK55" s="113">
        <f t="shared" si="8"/>
        <v>82</v>
      </c>
      <c r="AL55" s="158">
        <f t="shared" si="9"/>
        <v>1.02</v>
      </c>
      <c r="AM55" s="159"/>
      <c r="AN55" s="160">
        <f t="shared" si="15"/>
        <v>1</v>
      </c>
      <c r="AO55" s="160">
        <f t="shared" si="15"/>
        <v>2</v>
      </c>
      <c r="AP55" s="133"/>
      <c r="AQ55" s="134"/>
      <c r="AR55" s="161"/>
      <c r="AS55" s="161"/>
      <c r="AT55" s="161"/>
      <c r="AU55" s="161"/>
      <c r="AV55" s="162"/>
      <c r="AW55" s="137">
        <f t="shared" si="11"/>
        <v>0</v>
      </c>
      <c r="AX55" s="137">
        <f t="shared" si="12"/>
        <v>0</v>
      </c>
    </row>
    <row r="56" ht="46.5" customHeight="1" spans="1:50" s="97" customFormat="1" x14ac:dyDescent="0.25">
      <c r="A56" s="100"/>
      <c r="B56" s="100"/>
      <c r="C56" s="100"/>
      <c r="D56" s="100"/>
      <c r="E56" s="100"/>
      <c r="F56" s="100"/>
      <c r="G56" s="103"/>
      <c r="H56" s="186"/>
      <c r="I56" s="195">
        <v>0.51</v>
      </c>
      <c r="J56" s="107">
        <v>0.49</v>
      </c>
      <c r="K56" s="107"/>
      <c r="L56" s="107"/>
      <c r="M56" s="187"/>
      <c r="N56" s="169">
        <f t="shared" si="14"/>
        <v>1</v>
      </c>
      <c r="O56" s="144">
        <v>1</v>
      </c>
      <c r="P56" s="145">
        <v>15</v>
      </c>
      <c r="Q56" s="113">
        <v>15</v>
      </c>
      <c r="R56" s="113"/>
      <c r="S56" s="113"/>
      <c r="T56" s="146"/>
      <c r="U56" s="148">
        <f t="shared" si="1"/>
        <v>15</v>
      </c>
      <c r="V56" s="149">
        <f t="shared" si="2"/>
        <v>15</v>
      </c>
      <c r="W56" s="189"/>
      <c r="X56" s="199"/>
      <c r="Y56" s="151"/>
      <c r="Z56" s="190"/>
      <c r="AA56" s="153"/>
      <c r="AB56" s="154">
        <f t="shared" si="3"/>
        <v>0</v>
      </c>
      <c r="AC56" s="149">
        <f t="shared" si="4"/>
        <v>0</v>
      </c>
      <c r="AD56" s="125">
        <v>2</v>
      </c>
      <c r="AE56" s="148">
        <f t="shared" si="5"/>
        <v>2</v>
      </c>
      <c r="AF56" s="156"/>
      <c r="AG56" s="156"/>
      <c r="AH56" s="113">
        <f t="shared" si="6"/>
        <v>17</v>
      </c>
      <c r="AI56" s="157">
        <v>65</v>
      </c>
      <c r="AJ56" s="113">
        <f t="shared" si="7"/>
        <v>82</v>
      </c>
      <c r="AK56" s="113">
        <f t="shared" si="8"/>
        <v>82</v>
      </c>
      <c r="AL56" s="158">
        <f t="shared" si="9"/>
        <v>1.02</v>
      </c>
      <c r="AM56" s="159"/>
      <c r="AN56" s="160">
        <f t="shared" si="15"/>
        <v>1</v>
      </c>
      <c r="AO56" s="160">
        <f t="shared" si="15"/>
        <v>2</v>
      </c>
      <c r="AP56" s="133"/>
      <c r="AQ56" s="134"/>
      <c r="AR56" s="161"/>
      <c r="AS56" s="161"/>
      <c r="AT56" s="161"/>
      <c r="AU56" s="161"/>
      <c r="AV56" s="162"/>
      <c r="AW56" s="137">
        <f t="shared" si="11"/>
        <v>0</v>
      </c>
      <c r="AX56" s="137">
        <f t="shared" si="12"/>
        <v>0</v>
      </c>
    </row>
    <row r="57" ht="46.5" customHeight="1" spans="1:50" s="97" customFormat="1" x14ac:dyDescent="0.25">
      <c r="A57" s="100"/>
      <c r="B57" s="100"/>
      <c r="C57" s="100"/>
      <c r="D57" s="100"/>
      <c r="E57" s="100"/>
      <c r="F57" s="100"/>
      <c r="G57" s="103"/>
      <c r="H57" s="186"/>
      <c r="I57" s="195">
        <v>0.51</v>
      </c>
      <c r="J57" s="107">
        <v>0.49</v>
      </c>
      <c r="K57" s="107"/>
      <c r="L57" s="107"/>
      <c r="M57" s="187"/>
      <c r="N57" s="169">
        <f t="shared" si="14"/>
        <v>1</v>
      </c>
      <c r="O57" s="144">
        <v>1</v>
      </c>
      <c r="P57" s="145">
        <v>15</v>
      </c>
      <c r="Q57" s="113">
        <v>15</v>
      </c>
      <c r="R57" s="113"/>
      <c r="S57" s="113"/>
      <c r="T57" s="146"/>
      <c r="U57" s="148">
        <f t="shared" si="1"/>
        <v>15</v>
      </c>
      <c r="V57" s="149">
        <f t="shared" si="2"/>
        <v>15</v>
      </c>
      <c r="W57" s="189"/>
      <c r="X57" s="199"/>
      <c r="Y57" s="151"/>
      <c r="Z57" s="190"/>
      <c r="AA57" s="153"/>
      <c r="AB57" s="154">
        <f t="shared" si="3"/>
        <v>0</v>
      </c>
      <c r="AC57" s="149">
        <f t="shared" si="4"/>
        <v>0</v>
      </c>
      <c r="AD57" s="125">
        <v>2</v>
      </c>
      <c r="AE57" s="148">
        <f t="shared" si="5"/>
        <v>2</v>
      </c>
      <c r="AF57" s="156"/>
      <c r="AG57" s="156"/>
      <c r="AH57" s="113">
        <f t="shared" si="6"/>
        <v>17</v>
      </c>
      <c r="AI57" s="157">
        <v>65</v>
      </c>
      <c r="AJ57" s="113">
        <f t="shared" si="7"/>
        <v>82</v>
      </c>
      <c r="AK57" s="113">
        <f t="shared" si="8"/>
        <v>82</v>
      </c>
      <c r="AL57" s="158">
        <f t="shared" si="9"/>
        <v>1.02</v>
      </c>
      <c r="AM57" s="159"/>
      <c r="AN57" s="160">
        <f t="shared" si="15"/>
        <v>1</v>
      </c>
      <c r="AO57" s="160">
        <f t="shared" si="15"/>
        <v>2</v>
      </c>
      <c r="AP57" s="133"/>
      <c r="AQ57" s="134"/>
      <c r="AR57" s="161"/>
      <c r="AS57" s="161"/>
      <c r="AT57" s="161"/>
      <c r="AU57" s="161"/>
      <c r="AV57" s="162"/>
      <c r="AW57" s="137">
        <f t="shared" si="11"/>
        <v>0</v>
      </c>
      <c r="AX57" s="137">
        <f t="shared" si="12"/>
        <v>0</v>
      </c>
    </row>
    <row r="58" ht="46.5" customHeight="1" spans="1:50" s="97" customFormat="1" x14ac:dyDescent="0.25">
      <c r="A58" s="100"/>
      <c r="B58" s="100"/>
      <c r="C58" s="100"/>
      <c r="D58" s="100"/>
      <c r="E58" s="100"/>
      <c r="F58" s="100"/>
      <c r="G58" s="103"/>
      <c r="H58" s="186"/>
      <c r="I58" s="195">
        <v>0.51</v>
      </c>
      <c r="J58" s="107">
        <v>0.49</v>
      </c>
      <c r="K58" s="107"/>
      <c r="L58" s="107"/>
      <c r="M58" s="187"/>
      <c r="N58" s="169">
        <f t="shared" si="14"/>
        <v>1</v>
      </c>
      <c r="O58" s="144">
        <v>1</v>
      </c>
      <c r="P58" s="145">
        <v>15</v>
      </c>
      <c r="Q58" s="113">
        <v>15</v>
      </c>
      <c r="R58" s="113"/>
      <c r="S58" s="113"/>
      <c r="T58" s="146"/>
      <c r="U58" s="148">
        <f t="shared" si="1"/>
        <v>15</v>
      </c>
      <c r="V58" s="149">
        <f t="shared" si="2"/>
        <v>15</v>
      </c>
      <c r="W58" s="189"/>
      <c r="X58" s="199"/>
      <c r="Y58" s="151"/>
      <c r="Z58" s="190"/>
      <c r="AA58" s="153"/>
      <c r="AB58" s="154">
        <f t="shared" si="3"/>
        <v>0</v>
      </c>
      <c r="AC58" s="149">
        <f t="shared" si="4"/>
        <v>0</v>
      </c>
      <c r="AD58" s="125">
        <v>2</v>
      </c>
      <c r="AE58" s="148">
        <f t="shared" si="5"/>
        <v>2</v>
      </c>
      <c r="AF58" s="156"/>
      <c r="AG58" s="156"/>
      <c r="AH58" s="113">
        <f t="shared" si="6"/>
        <v>17</v>
      </c>
      <c r="AI58" s="157">
        <v>65</v>
      </c>
      <c r="AJ58" s="113">
        <f t="shared" si="7"/>
        <v>82</v>
      </c>
      <c r="AK58" s="113">
        <f t="shared" si="8"/>
        <v>82</v>
      </c>
      <c r="AL58" s="158">
        <f t="shared" si="9"/>
        <v>1.02</v>
      </c>
      <c r="AM58" s="159"/>
      <c r="AN58" s="160">
        <f t="shared" si="15"/>
        <v>1</v>
      </c>
      <c r="AO58" s="160">
        <f t="shared" si="15"/>
        <v>2</v>
      </c>
      <c r="AP58" s="133"/>
      <c r="AQ58" s="134"/>
      <c r="AR58" s="161"/>
      <c r="AS58" s="161"/>
      <c r="AT58" s="161"/>
      <c r="AU58" s="161"/>
      <c r="AV58" s="162"/>
      <c r="AW58" s="137">
        <f t="shared" si="11"/>
        <v>0</v>
      </c>
      <c r="AX58" s="137">
        <f t="shared" si="12"/>
        <v>0</v>
      </c>
    </row>
    <row r="59" ht="46.5" customHeight="1" spans="1:50" s="97" customFormat="1" x14ac:dyDescent="0.25">
      <c r="A59" s="100"/>
      <c r="B59" s="100"/>
      <c r="C59" s="100"/>
      <c r="D59" s="100"/>
      <c r="E59" s="100"/>
      <c r="F59" s="100"/>
      <c r="G59" s="103"/>
      <c r="H59" s="186"/>
      <c r="I59" s="195">
        <v>0.51</v>
      </c>
      <c r="J59" s="107">
        <v>0.49</v>
      </c>
      <c r="K59" s="107"/>
      <c r="L59" s="107"/>
      <c r="M59" s="187"/>
      <c r="N59" s="169">
        <f t="shared" si="14"/>
        <v>1</v>
      </c>
      <c r="O59" s="144">
        <v>1</v>
      </c>
      <c r="P59" s="145">
        <v>15</v>
      </c>
      <c r="Q59" s="113">
        <v>15</v>
      </c>
      <c r="R59" s="113"/>
      <c r="S59" s="113"/>
      <c r="T59" s="146"/>
      <c r="U59" s="148">
        <f t="shared" si="1"/>
        <v>15</v>
      </c>
      <c r="V59" s="149">
        <f t="shared" si="2"/>
        <v>15</v>
      </c>
      <c r="W59" s="189"/>
      <c r="X59" s="199"/>
      <c r="Y59" s="151"/>
      <c r="Z59" s="190"/>
      <c r="AA59" s="153"/>
      <c r="AB59" s="154">
        <f t="shared" si="3"/>
        <v>0</v>
      </c>
      <c r="AC59" s="149">
        <f t="shared" si="4"/>
        <v>0</v>
      </c>
      <c r="AD59" s="125">
        <v>2</v>
      </c>
      <c r="AE59" s="148">
        <f t="shared" si="5"/>
        <v>2</v>
      </c>
      <c r="AF59" s="156"/>
      <c r="AG59" s="156"/>
      <c r="AH59" s="113">
        <f t="shared" si="6"/>
        <v>17</v>
      </c>
      <c r="AI59" s="157">
        <v>65</v>
      </c>
      <c r="AJ59" s="113">
        <f t="shared" si="7"/>
        <v>82</v>
      </c>
      <c r="AK59" s="113">
        <f t="shared" si="8"/>
        <v>82</v>
      </c>
      <c r="AL59" s="158">
        <f t="shared" si="9"/>
        <v>1.02</v>
      </c>
      <c r="AM59" s="159"/>
      <c r="AN59" s="160">
        <f t="shared" si="15"/>
        <v>1</v>
      </c>
      <c r="AO59" s="160">
        <f t="shared" si="15"/>
        <v>2</v>
      </c>
      <c r="AP59" s="133"/>
      <c r="AQ59" s="134"/>
      <c r="AR59" s="161"/>
      <c r="AS59" s="161"/>
      <c r="AT59" s="161"/>
      <c r="AU59" s="161"/>
      <c r="AV59" s="162"/>
      <c r="AW59" s="137">
        <f t="shared" si="11"/>
        <v>0</v>
      </c>
      <c r="AX59" s="137">
        <f t="shared" si="12"/>
        <v>0</v>
      </c>
    </row>
    <row r="60" ht="46.5" customHeight="1" spans="1:50" s="97" customFormat="1" x14ac:dyDescent="0.25">
      <c r="A60" s="100"/>
      <c r="B60" s="100"/>
      <c r="C60" s="100"/>
      <c r="D60" s="100"/>
      <c r="E60" s="100"/>
      <c r="F60" s="100"/>
      <c r="G60" s="103"/>
      <c r="H60" s="186"/>
      <c r="I60" s="195">
        <v>0.51</v>
      </c>
      <c r="J60" s="107">
        <v>0.49</v>
      </c>
      <c r="K60" s="107"/>
      <c r="L60" s="107"/>
      <c r="M60" s="187"/>
      <c r="N60" s="169">
        <f t="shared" si="14"/>
        <v>1</v>
      </c>
      <c r="O60" s="144">
        <v>1</v>
      </c>
      <c r="P60" s="145">
        <v>15</v>
      </c>
      <c r="Q60" s="113">
        <v>15</v>
      </c>
      <c r="R60" s="113"/>
      <c r="S60" s="113"/>
      <c r="T60" s="146"/>
      <c r="U60" s="148">
        <f t="shared" si="1"/>
        <v>15</v>
      </c>
      <c r="V60" s="149">
        <f t="shared" si="2"/>
        <v>15</v>
      </c>
      <c r="W60" s="189"/>
      <c r="X60" s="199"/>
      <c r="Y60" s="151"/>
      <c r="Z60" s="190"/>
      <c r="AA60" s="153"/>
      <c r="AB60" s="154">
        <f t="shared" si="3"/>
        <v>0</v>
      </c>
      <c r="AC60" s="149">
        <f t="shared" si="4"/>
        <v>0</v>
      </c>
      <c r="AD60" s="125">
        <v>2</v>
      </c>
      <c r="AE60" s="148">
        <f t="shared" si="5"/>
        <v>2</v>
      </c>
      <c r="AF60" s="156"/>
      <c r="AG60" s="156"/>
      <c r="AH60" s="113">
        <f t="shared" si="6"/>
        <v>17</v>
      </c>
      <c r="AI60" s="157">
        <v>65</v>
      </c>
      <c r="AJ60" s="113">
        <f t="shared" si="7"/>
        <v>82</v>
      </c>
      <c r="AK60" s="113">
        <f t="shared" si="8"/>
        <v>82</v>
      </c>
      <c r="AL60" s="158">
        <f t="shared" si="9"/>
        <v>1.02</v>
      </c>
      <c r="AM60" s="159"/>
      <c r="AN60" s="160">
        <f t="shared" si="15"/>
        <v>1</v>
      </c>
      <c r="AO60" s="160">
        <f t="shared" si="15"/>
        <v>2</v>
      </c>
      <c r="AP60" s="133"/>
      <c r="AQ60" s="134"/>
      <c r="AR60" s="161"/>
      <c r="AS60" s="161"/>
      <c r="AT60" s="161"/>
      <c r="AU60" s="161"/>
      <c r="AV60" s="162"/>
      <c r="AW60" s="137">
        <f t="shared" si="11"/>
        <v>0</v>
      </c>
      <c r="AX60" s="137">
        <f t="shared" si="12"/>
        <v>0</v>
      </c>
    </row>
    <row r="61" ht="46.5" customHeight="1" spans="1:50" s="97" customFormat="1" x14ac:dyDescent="0.25">
      <c r="A61" s="100"/>
      <c r="B61" s="100"/>
      <c r="C61" s="100"/>
      <c r="D61" s="100"/>
      <c r="E61" s="100"/>
      <c r="F61" s="100"/>
      <c r="G61" s="103"/>
      <c r="H61" s="186"/>
      <c r="I61" s="195">
        <v>0.51</v>
      </c>
      <c r="J61" s="107">
        <v>0.49</v>
      </c>
      <c r="K61" s="107"/>
      <c r="L61" s="107"/>
      <c r="M61" s="187"/>
      <c r="N61" s="169">
        <f t="shared" si="14"/>
        <v>1</v>
      </c>
      <c r="O61" s="144">
        <v>1</v>
      </c>
      <c r="P61" s="145">
        <v>15</v>
      </c>
      <c r="Q61" s="113">
        <v>15</v>
      </c>
      <c r="R61" s="113"/>
      <c r="S61" s="113"/>
      <c r="T61" s="146"/>
      <c r="U61" s="148">
        <f t="shared" si="1"/>
        <v>15</v>
      </c>
      <c r="V61" s="149">
        <f t="shared" si="2"/>
        <v>15</v>
      </c>
      <c r="W61" s="189"/>
      <c r="X61" s="199"/>
      <c r="Y61" s="151"/>
      <c r="Z61" s="190"/>
      <c r="AA61" s="153"/>
      <c r="AB61" s="154">
        <f t="shared" si="3"/>
        <v>0</v>
      </c>
      <c r="AC61" s="149">
        <f t="shared" si="4"/>
        <v>0</v>
      </c>
      <c r="AD61" s="125">
        <v>2</v>
      </c>
      <c r="AE61" s="148">
        <f t="shared" si="5"/>
        <v>2</v>
      </c>
      <c r="AF61" s="156"/>
      <c r="AG61" s="156"/>
      <c r="AH61" s="113">
        <f t="shared" si="6"/>
        <v>17</v>
      </c>
      <c r="AI61" s="157">
        <v>65</v>
      </c>
      <c r="AJ61" s="113">
        <f t="shared" si="7"/>
        <v>82</v>
      </c>
      <c r="AK61" s="113">
        <f t="shared" si="8"/>
        <v>82</v>
      </c>
      <c r="AL61" s="158">
        <f t="shared" si="9"/>
        <v>1.02</v>
      </c>
      <c r="AM61" s="159"/>
      <c r="AN61" s="160">
        <f t="shared" si="15"/>
        <v>1</v>
      </c>
      <c r="AO61" s="160">
        <f t="shared" si="15"/>
        <v>2</v>
      </c>
      <c r="AP61" s="133"/>
      <c r="AQ61" s="134"/>
      <c r="AR61" s="161"/>
      <c r="AS61" s="161"/>
      <c r="AT61" s="161"/>
      <c r="AU61" s="161"/>
      <c r="AV61" s="162"/>
      <c r="AW61" s="137">
        <f t="shared" si="11"/>
        <v>0</v>
      </c>
      <c r="AX61" s="137">
        <f t="shared" si="12"/>
        <v>0</v>
      </c>
    </row>
    <row r="62" ht="46.5" customHeight="1" spans="1:50" s="97" customFormat="1" x14ac:dyDescent="0.25">
      <c r="A62" s="100"/>
      <c r="B62" s="100"/>
      <c r="C62" s="100"/>
      <c r="D62" s="100"/>
      <c r="E62" s="100"/>
      <c r="F62" s="100"/>
      <c r="G62" s="103"/>
      <c r="H62" s="186"/>
      <c r="I62" s="195">
        <v>0.51</v>
      </c>
      <c r="J62" s="107">
        <v>0.49</v>
      </c>
      <c r="K62" s="107"/>
      <c r="L62" s="107"/>
      <c r="M62" s="187"/>
      <c r="N62" s="169">
        <f t="shared" si="14"/>
        <v>1</v>
      </c>
      <c r="O62" s="144">
        <v>1</v>
      </c>
      <c r="P62" s="145">
        <v>15</v>
      </c>
      <c r="Q62" s="113">
        <v>15</v>
      </c>
      <c r="R62" s="113"/>
      <c r="S62" s="113"/>
      <c r="T62" s="146"/>
      <c r="U62" s="148">
        <f t="shared" si="1"/>
        <v>15</v>
      </c>
      <c r="V62" s="149">
        <f t="shared" si="2"/>
        <v>15</v>
      </c>
      <c r="W62" s="189"/>
      <c r="X62" s="199"/>
      <c r="Y62" s="151"/>
      <c r="Z62" s="190"/>
      <c r="AA62" s="153"/>
      <c r="AB62" s="154">
        <f t="shared" si="3"/>
        <v>0</v>
      </c>
      <c r="AC62" s="149">
        <f t="shared" si="4"/>
        <v>0</v>
      </c>
      <c r="AD62" s="125">
        <v>2</v>
      </c>
      <c r="AE62" s="148">
        <f t="shared" si="5"/>
        <v>2</v>
      </c>
      <c r="AF62" s="156"/>
      <c r="AG62" s="156"/>
      <c r="AH62" s="113">
        <f t="shared" si="6"/>
        <v>17</v>
      </c>
      <c r="AI62" s="157">
        <v>65</v>
      </c>
      <c r="AJ62" s="113">
        <f t="shared" si="7"/>
        <v>82</v>
      </c>
      <c r="AK62" s="113">
        <f t="shared" si="8"/>
        <v>82</v>
      </c>
      <c r="AL62" s="158">
        <f t="shared" si="9"/>
        <v>1.02</v>
      </c>
      <c r="AM62" s="159"/>
      <c r="AN62" s="160">
        <f t="shared" si="15"/>
        <v>1</v>
      </c>
      <c r="AO62" s="160">
        <f t="shared" si="15"/>
        <v>2</v>
      </c>
      <c r="AP62" s="133"/>
      <c r="AQ62" s="134"/>
      <c r="AR62" s="161"/>
      <c r="AS62" s="161"/>
      <c r="AT62" s="161"/>
      <c r="AU62" s="161"/>
      <c r="AV62" s="162"/>
      <c r="AW62" s="137">
        <f t="shared" si="11"/>
        <v>0</v>
      </c>
      <c r="AX62" s="137">
        <f t="shared" si="12"/>
        <v>0</v>
      </c>
    </row>
    <row r="63" ht="46.5" customHeight="1" spans="1:50" s="97" customFormat="1" x14ac:dyDescent="0.25">
      <c r="A63" s="100"/>
      <c r="B63" s="100"/>
      <c r="C63" s="100"/>
      <c r="D63" s="100"/>
      <c r="E63" s="100"/>
      <c r="F63" s="100"/>
      <c r="G63" s="103"/>
      <c r="H63" s="186"/>
      <c r="I63" s="195">
        <v>0.51</v>
      </c>
      <c r="J63" s="107">
        <v>0.49</v>
      </c>
      <c r="K63" s="107"/>
      <c r="L63" s="107"/>
      <c r="M63" s="187"/>
      <c r="N63" s="169">
        <f t="shared" si="14"/>
        <v>1</v>
      </c>
      <c r="O63" s="144">
        <v>1</v>
      </c>
      <c r="P63" s="145">
        <v>15</v>
      </c>
      <c r="Q63" s="113">
        <v>15</v>
      </c>
      <c r="R63" s="113"/>
      <c r="S63" s="113"/>
      <c r="T63" s="146"/>
      <c r="U63" s="148">
        <f t="shared" si="1"/>
        <v>15</v>
      </c>
      <c r="V63" s="149">
        <f t="shared" si="2"/>
        <v>15</v>
      </c>
      <c r="W63" s="189"/>
      <c r="X63" s="199"/>
      <c r="Y63" s="151"/>
      <c r="Z63" s="190"/>
      <c r="AA63" s="153"/>
      <c r="AB63" s="154">
        <f t="shared" si="3"/>
        <v>0</v>
      </c>
      <c r="AC63" s="149">
        <f t="shared" si="4"/>
        <v>0</v>
      </c>
      <c r="AD63" s="125">
        <v>2</v>
      </c>
      <c r="AE63" s="148">
        <f t="shared" si="5"/>
        <v>2</v>
      </c>
      <c r="AF63" s="156"/>
      <c r="AG63" s="156"/>
      <c r="AH63" s="113">
        <f t="shared" si="6"/>
        <v>17</v>
      </c>
      <c r="AI63" s="157">
        <v>65</v>
      </c>
      <c r="AJ63" s="113">
        <f t="shared" si="7"/>
        <v>82</v>
      </c>
      <c r="AK63" s="113">
        <f t="shared" si="8"/>
        <v>82</v>
      </c>
      <c r="AL63" s="158">
        <f t="shared" si="9"/>
        <v>1.02</v>
      </c>
      <c r="AM63" s="159"/>
      <c r="AN63" s="160">
        <f t="shared" si="15"/>
        <v>1</v>
      </c>
      <c r="AO63" s="160">
        <f t="shared" si="15"/>
        <v>2</v>
      </c>
      <c r="AP63" s="133"/>
      <c r="AQ63" s="134"/>
      <c r="AR63" s="161"/>
      <c r="AS63" s="161"/>
      <c r="AT63" s="161"/>
      <c r="AU63" s="161"/>
      <c r="AV63" s="162"/>
      <c r="AW63" s="137">
        <f t="shared" si="11"/>
        <v>0</v>
      </c>
      <c r="AX63" s="137">
        <f t="shared" si="12"/>
        <v>0</v>
      </c>
    </row>
    <row r="64" ht="46.5" customHeight="1" spans="1:50" s="97" customFormat="1" x14ac:dyDescent="0.25">
      <c r="A64" s="100"/>
      <c r="B64" s="100"/>
      <c r="C64" s="100"/>
      <c r="D64" s="100"/>
      <c r="E64" s="100"/>
      <c r="F64" s="100"/>
      <c r="G64" s="103"/>
      <c r="H64" s="186"/>
      <c r="I64" s="195">
        <v>0.51</v>
      </c>
      <c r="J64" s="107">
        <v>0.49</v>
      </c>
      <c r="K64" s="107"/>
      <c r="L64" s="107"/>
      <c r="M64" s="187"/>
      <c r="N64" s="169">
        <f t="shared" si="14"/>
        <v>1</v>
      </c>
      <c r="O64" s="144">
        <v>1</v>
      </c>
      <c r="P64" s="145">
        <v>15</v>
      </c>
      <c r="Q64" s="113">
        <v>15</v>
      </c>
      <c r="R64" s="113"/>
      <c r="S64" s="113"/>
      <c r="T64" s="146"/>
      <c r="U64" s="148">
        <f t="shared" si="1"/>
        <v>15</v>
      </c>
      <c r="V64" s="149">
        <f t="shared" si="2"/>
        <v>15</v>
      </c>
      <c r="W64" s="189"/>
      <c r="X64" s="199"/>
      <c r="Y64" s="151"/>
      <c r="Z64" s="190"/>
      <c r="AA64" s="153"/>
      <c r="AB64" s="154">
        <f t="shared" si="3"/>
        <v>0</v>
      </c>
      <c r="AC64" s="149">
        <f t="shared" si="4"/>
        <v>0</v>
      </c>
      <c r="AD64" s="125">
        <v>2</v>
      </c>
      <c r="AE64" s="148">
        <f t="shared" si="5"/>
        <v>2</v>
      </c>
      <c r="AF64" s="156"/>
      <c r="AG64" s="156"/>
      <c r="AH64" s="113">
        <f t="shared" si="6"/>
        <v>17</v>
      </c>
      <c r="AI64" s="157">
        <v>65</v>
      </c>
      <c r="AJ64" s="113">
        <f t="shared" si="7"/>
        <v>82</v>
      </c>
      <c r="AK64" s="113">
        <f t="shared" si="8"/>
        <v>82</v>
      </c>
      <c r="AL64" s="158">
        <f t="shared" si="9"/>
        <v>1.02</v>
      </c>
      <c r="AM64" s="159"/>
      <c r="AN64" s="160">
        <f t="shared" si="15"/>
        <v>1</v>
      </c>
      <c r="AO64" s="160">
        <f t="shared" si="15"/>
        <v>2</v>
      </c>
      <c r="AP64" s="133"/>
      <c r="AQ64" s="134"/>
      <c r="AR64" s="161"/>
      <c r="AS64" s="161"/>
      <c r="AT64" s="161"/>
      <c r="AU64" s="161"/>
      <c r="AV64" s="162"/>
      <c r="AW64" s="137">
        <f t="shared" si="11"/>
        <v>0</v>
      </c>
      <c r="AX64" s="137">
        <f t="shared" si="12"/>
        <v>0</v>
      </c>
    </row>
    <row r="65" ht="46.5" customHeight="1" spans="1:50" s="97" customFormat="1" x14ac:dyDescent="0.25">
      <c r="A65" s="100"/>
      <c r="B65" s="100"/>
      <c r="C65" s="100"/>
      <c r="D65" s="100"/>
      <c r="E65" s="100"/>
      <c r="F65" s="100"/>
      <c r="G65" s="103"/>
      <c r="H65" s="186"/>
      <c r="I65" s="195">
        <v>0.51</v>
      </c>
      <c r="J65" s="107">
        <v>0.49</v>
      </c>
      <c r="K65" s="107"/>
      <c r="L65" s="107"/>
      <c r="M65" s="187"/>
      <c r="N65" s="169">
        <f t="shared" si="14"/>
        <v>1</v>
      </c>
      <c r="O65" s="144">
        <v>1</v>
      </c>
      <c r="P65" s="145">
        <v>15</v>
      </c>
      <c r="Q65" s="113">
        <v>15</v>
      </c>
      <c r="R65" s="113"/>
      <c r="S65" s="113"/>
      <c r="T65" s="146"/>
      <c r="U65" s="148">
        <f t="shared" si="1"/>
        <v>15</v>
      </c>
      <c r="V65" s="149">
        <f t="shared" si="2"/>
        <v>15</v>
      </c>
      <c r="W65" s="189"/>
      <c r="X65" s="199"/>
      <c r="Y65" s="151"/>
      <c r="Z65" s="190"/>
      <c r="AA65" s="153"/>
      <c r="AB65" s="154">
        <f t="shared" si="3"/>
        <v>0</v>
      </c>
      <c r="AC65" s="149">
        <f t="shared" si="4"/>
        <v>0</v>
      </c>
      <c r="AD65" s="125">
        <v>2</v>
      </c>
      <c r="AE65" s="148">
        <f t="shared" si="5"/>
        <v>2</v>
      </c>
      <c r="AF65" s="156"/>
      <c r="AG65" s="156"/>
      <c r="AH65" s="113">
        <f t="shared" si="6"/>
        <v>17</v>
      </c>
      <c r="AI65" s="157">
        <v>65</v>
      </c>
      <c r="AJ65" s="113">
        <f t="shared" si="7"/>
        <v>82</v>
      </c>
      <c r="AK65" s="113">
        <f t="shared" si="8"/>
        <v>82</v>
      </c>
      <c r="AL65" s="158">
        <f t="shared" si="9"/>
        <v>1.02</v>
      </c>
      <c r="AM65" s="159"/>
      <c r="AN65" s="160">
        <f t="shared" si="15"/>
        <v>1</v>
      </c>
      <c r="AO65" s="160">
        <f t="shared" si="15"/>
        <v>2</v>
      </c>
      <c r="AP65" s="133"/>
      <c r="AQ65" s="134"/>
      <c r="AR65" s="161"/>
      <c r="AS65" s="161"/>
      <c r="AT65" s="161"/>
      <c r="AU65" s="161"/>
      <c r="AV65" s="162"/>
      <c r="AW65" s="137">
        <f t="shared" si="11"/>
        <v>0</v>
      </c>
      <c r="AX65" s="137">
        <f t="shared" si="12"/>
        <v>0</v>
      </c>
    </row>
    <row r="66" ht="46.5" customHeight="1" spans="1:50" s="97" customFormat="1" x14ac:dyDescent="0.25">
      <c r="A66" s="100"/>
      <c r="B66" s="100"/>
      <c r="C66" s="100"/>
      <c r="D66" s="100"/>
      <c r="E66" s="100"/>
      <c r="F66" s="100"/>
      <c r="G66" s="103"/>
      <c r="H66" s="186"/>
      <c r="I66" s="195">
        <v>0.51</v>
      </c>
      <c r="J66" s="107">
        <v>0.49</v>
      </c>
      <c r="K66" s="107"/>
      <c r="L66" s="107"/>
      <c r="M66" s="187"/>
      <c r="N66" s="169">
        <f t="shared" si="14"/>
        <v>1</v>
      </c>
      <c r="O66" s="144">
        <v>1</v>
      </c>
      <c r="P66" s="145">
        <v>15</v>
      </c>
      <c r="Q66" s="113">
        <v>15</v>
      </c>
      <c r="R66" s="113"/>
      <c r="S66" s="113"/>
      <c r="T66" s="146"/>
      <c r="U66" s="148">
        <f t="shared" si="1"/>
        <v>15</v>
      </c>
      <c r="V66" s="149">
        <f t="shared" si="2"/>
        <v>15</v>
      </c>
      <c r="W66" s="189"/>
      <c r="X66" s="199"/>
      <c r="Y66" s="151"/>
      <c r="Z66" s="190"/>
      <c r="AA66" s="153"/>
      <c r="AB66" s="154">
        <f t="shared" si="3"/>
        <v>0</v>
      </c>
      <c r="AC66" s="149">
        <f t="shared" si="4"/>
        <v>0</v>
      </c>
      <c r="AD66" s="125">
        <v>2</v>
      </c>
      <c r="AE66" s="148">
        <f t="shared" si="5"/>
        <v>2</v>
      </c>
      <c r="AF66" s="156"/>
      <c r="AG66" s="156"/>
      <c r="AH66" s="113">
        <f t="shared" si="6"/>
        <v>17</v>
      </c>
      <c r="AI66" s="157">
        <v>65</v>
      </c>
      <c r="AJ66" s="113">
        <f t="shared" si="7"/>
        <v>82</v>
      </c>
      <c r="AK66" s="113">
        <f t="shared" si="8"/>
        <v>82</v>
      </c>
      <c r="AL66" s="158">
        <f t="shared" si="9"/>
        <v>1.02</v>
      </c>
      <c r="AM66" s="159"/>
      <c r="AN66" s="160">
        <f t="shared" si="15"/>
        <v>1</v>
      </c>
      <c r="AO66" s="160">
        <f t="shared" si="15"/>
        <v>2</v>
      </c>
      <c r="AP66" s="133"/>
      <c r="AQ66" s="134"/>
      <c r="AR66" s="161"/>
      <c r="AS66" s="161"/>
      <c r="AT66" s="161"/>
      <c r="AU66" s="161"/>
      <c r="AV66" s="162"/>
      <c r="AW66" s="137">
        <f t="shared" si="11"/>
        <v>0</v>
      </c>
      <c r="AX66" s="137">
        <f t="shared" si="12"/>
        <v>0</v>
      </c>
    </row>
    <row r="67" ht="46.5" customHeight="1" spans="1:50" s="97" customFormat="1" x14ac:dyDescent="0.25">
      <c r="A67" s="100"/>
      <c r="B67" s="100"/>
      <c r="C67" s="100"/>
      <c r="D67" s="100"/>
      <c r="E67" s="100"/>
      <c r="F67" s="100"/>
      <c r="G67" s="103"/>
      <c r="H67" s="186"/>
      <c r="I67" s="195">
        <v>0.51</v>
      </c>
      <c r="J67" s="107">
        <v>0.49</v>
      </c>
      <c r="K67" s="107"/>
      <c r="L67" s="107"/>
      <c r="M67" s="187"/>
      <c r="N67" s="169">
        <f t="shared" si="14"/>
        <v>1</v>
      </c>
      <c r="O67" s="144">
        <v>1</v>
      </c>
      <c r="P67" s="145">
        <v>15</v>
      </c>
      <c r="Q67" s="113">
        <v>15</v>
      </c>
      <c r="R67" s="113"/>
      <c r="S67" s="113"/>
      <c r="T67" s="146"/>
      <c r="U67" s="148">
        <f t="shared" si="1"/>
        <v>15</v>
      </c>
      <c r="V67" s="149">
        <f t="shared" si="2"/>
        <v>15</v>
      </c>
      <c r="W67" s="189"/>
      <c r="X67" s="199"/>
      <c r="Y67" s="151"/>
      <c r="Z67" s="190"/>
      <c r="AA67" s="153"/>
      <c r="AB67" s="154">
        <f t="shared" si="3"/>
        <v>0</v>
      </c>
      <c r="AC67" s="149">
        <f t="shared" si="4"/>
        <v>0</v>
      </c>
      <c r="AD67" s="125">
        <v>2</v>
      </c>
      <c r="AE67" s="148">
        <f t="shared" si="5"/>
        <v>2</v>
      </c>
      <c r="AF67" s="156"/>
      <c r="AG67" s="156"/>
      <c r="AH67" s="113">
        <f t="shared" si="6"/>
        <v>17</v>
      </c>
      <c r="AI67" s="157">
        <v>65</v>
      </c>
      <c r="AJ67" s="113">
        <f t="shared" si="7"/>
        <v>82</v>
      </c>
      <c r="AK67" s="113">
        <f t="shared" si="8"/>
        <v>82</v>
      </c>
      <c r="AL67" s="158">
        <f t="shared" si="9"/>
        <v>1.02</v>
      </c>
      <c r="AM67" s="159"/>
      <c r="AN67" s="160">
        <f t="shared" si="15"/>
        <v>1</v>
      </c>
      <c r="AO67" s="160">
        <f t="shared" si="15"/>
        <v>2</v>
      </c>
      <c r="AP67" s="133"/>
      <c r="AQ67" s="134"/>
      <c r="AR67" s="161"/>
      <c r="AS67" s="161"/>
      <c r="AT67" s="161"/>
      <c r="AU67" s="161"/>
      <c r="AV67" s="162"/>
      <c r="AW67" s="137">
        <f t="shared" si="11"/>
        <v>0</v>
      </c>
      <c r="AX67" s="137">
        <f t="shared" si="12"/>
        <v>0</v>
      </c>
    </row>
    <row r="68" ht="46.5" customHeight="1" spans="1:50" s="97" customFormat="1" x14ac:dyDescent="0.25">
      <c r="A68" s="100"/>
      <c r="B68" s="100"/>
      <c r="C68" s="100"/>
      <c r="D68" s="100"/>
      <c r="E68" s="100"/>
      <c r="F68" s="100"/>
      <c r="G68" s="103"/>
      <c r="H68" s="186"/>
      <c r="I68" s="195">
        <v>0.51</v>
      </c>
      <c r="J68" s="107">
        <v>0.49</v>
      </c>
      <c r="K68" s="107"/>
      <c r="L68" s="107"/>
      <c r="M68" s="187"/>
      <c r="N68" s="169">
        <f t="shared" si="14"/>
        <v>1</v>
      </c>
      <c r="O68" s="144">
        <v>1</v>
      </c>
      <c r="P68" s="145">
        <v>15</v>
      </c>
      <c r="Q68" s="113">
        <v>15</v>
      </c>
      <c r="R68" s="113"/>
      <c r="S68" s="113"/>
      <c r="T68" s="146"/>
      <c r="U68" s="148">
        <f t="shared" si="1"/>
        <v>15</v>
      </c>
      <c r="V68" s="149">
        <f t="shared" si="2"/>
        <v>15</v>
      </c>
      <c r="W68" s="189"/>
      <c r="X68" s="199"/>
      <c r="Y68" s="151"/>
      <c r="Z68" s="190"/>
      <c r="AA68" s="153"/>
      <c r="AB68" s="154">
        <f t="shared" si="3"/>
        <v>0</v>
      </c>
      <c r="AC68" s="149">
        <f t="shared" si="4"/>
        <v>0</v>
      </c>
      <c r="AD68" s="125">
        <v>2</v>
      </c>
      <c r="AE68" s="148">
        <f t="shared" si="5"/>
        <v>2</v>
      </c>
      <c r="AF68" s="156"/>
      <c r="AG68" s="156"/>
      <c r="AH68" s="113">
        <f t="shared" si="6"/>
        <v>17</v>
      </c>
      <c r="AI68" s="157">
        <v>65</v>
      </c>
      <c r="AJ68" s="113">
        <f t="shared" si="7"/>
        <v>82</v>
      </c>
      <c r="AK68" s="113">
        <f t="shared" si="8"/>
        <v>82</v>
      </c>
      <c r="AL68" s="158">
        <f t="shared" si="9"/>
        <v>1.02</v>
      </c>
      <c r="AM68" s="159"/>
      <c r="AN68" s="160">
        <f t="shared" si="15"/>
        <v>1</v>
      </c>
      <c r="AO68" s="160">
        <f t="shared" si="15"/>
        <v>2</v>
      </c>
      <c r="AP68" s="133"/>
      <c r="AQ68" s="134"/>
      <c r="AR68" s="161"/>
      <c r="AS68" s="161"/>
      <c r="AT68" s="161"/>
      <c r="AU68" s="161"/>
      <c r="AV68" s="162"/>
      <c r="AW68" s="137">
        <f t="shared" si="11"/>
        <v>0</v>
      </c>
      <c r="AX68" s="137">
        <f t="shared" si="12"/>
        <v>0</v>
      </c>
    </row>
    <row r="69" ht="46.5" customHeight="1" spans="1:50" s="97" customFormat="1" x14ac:dyDescent="0.25">
      <c r="A69" s="100"/>
      <c r="B69" s="100"/>
      <c r="C69" s="100"/>
      <c r="D69" s="100"/>
      <c r="E69" s="100"/>
      <c r="F69" s="100"/>
      <c r="G69" s="103"/>
      <c r="H69" s="186"/>
      <c r="I69" s="195">
        <v>0.51</v>
      </c>
      <c r="J69" s="107">
        <v>0.49</v>
      </c>
      <c r="K69" s="107"/>
      <c r="L69" s="107"/>
      <c r="M69" s="187"/>
      <c r="N69" s="169">
        <f t="shared" si="14"/>
        <v>1</v>
      </c>
      <c r="O69" s="144">
        <v>1</v>
      </c>
      <c r="P69" s="145">
        <v>15</v>
      </c>
      <c r="Q69" s="113">
        <v>15</v>
      </c>
      <c r="R69" s="113"/>
      <c r="S69" s="113"/>
      <c r="T69" s="146"/>
      <c r="U69" s="148">
        <f t="shared" si="1"/>
        <v>15</v>
      </c>
      <c r="V69" s="149">
        <f t="shared" si="2"/>
        <v>15</v>
      </c>
      <c r="W69" s="189"/>
      <c r="X69" s="199"/>
      <c r="Y69" s="151"/>
      <c r="Z69" s="190"/>
      <c r="AA69" s="153"/>
      <c r="AB69" s="154">
        <f t="shared" si="3"/>
        <v>0</v>
      </c>
      <c r="AC69" s="149">
        <f t="shared" si="4"/>
        <v>0</v>
      </c>
      <c r="AD69" s="125">
        <v>2</v>
      </c>
      <c r="AE69" s="148">
        <f t="shared" si="5"/>
        <v>2</v>
      </c>
      <c r="AF69" s="156"/>
      <c r="AG69" s="156"/>
      <c r="AH69" s="113">
        <f t="shared" si="6"/>
        <v>17</v>
      </c>
      <c r="AI69" s="157">
        <v>65</v>
      </c>
      <c r="AJ69" s="113">
        <f t="shared" si="7"/>
        <v>82</v>
      </c>
      <c r="AK69" s="113">
        <f t="shared" si="8"/>
        <v>82</v>
      </c>
      <c r="AL69" s="158">
        <f t="shared" si="9"/>
        <v>1.02</v>
      </c>
      <c r="AM69" s="159"/>
      <c r="AN69" s="160">
        <f t="shared" si="15"/>
        <v>1</v>
      </c>
      <c r="AO69" s="160">
        <f t="shared" si="15"/>
        <v>2</v>
      </c>
      <c r="AP69" s="133"/>
      <c r="AQ69" s="134"/>
      <c r="AR69" s="161"/>
      <c r="AS69" s="161"/>
      <c r="AT69" s="161"/>
      <c r="AU69" s="161"/>
      <c r="AV69" s="162"/>
      <c r="AW69" s="137">
        <f t="shared" si="11"/>
        <v>0</v>
      </c>
      <c r="AX69" s="137">
        <f t="shared" si="12"/>
        <v>0</v>
      </c>
    </row>
    <row r="70" ht="46.5" customHeight="1" spans="1:50" s="97" customFormat="1" x14ac:dyDescent="0.25">
      <c r="A70" s="100"/>
      <c r="B70" s="100"/>
      <c r="C70" s="100"/>
      <c r="D70" s="100"/>
      <c r="E70" s="100"/>
      <c r="F70" s="100"/>
      <c r="G70" s="103"/>
      <c r="H70" s="186"/>
      <c r="I70" s="195">
        <v>0.51</v>
      </c>
      <c r="J70" s="107">
        <v>0.49</v>
      </c>
      <c r="K70" s="107"/>
      <c r="L70" s="107"/>
      <c r="M70" s="187"/>
      <c r="N70" s="169">
        <f t="shared" si="14"/>
        <v>1</v>
      </c>
      <c r="O70" s="144">
        <v>1</v>
      </c>
      <c r="P70" s="145">
        <v>15</v>
      </c>
      <c r="Q70" s="113">
        <v>15</v>
      </c>
      <c r="R70" s="113"/>
      <c r="S70" s="113"/>
      <c r="T70" s="146"/>
      <c r="U70" s="148">
        <f t="shared" si="1"/>
        <v>15</v>
      </c>
      <c r="V70" s="149">
        <f t="shared" si="2"/>
        <v>15</v>
      </c>
      <c r="W70" s="189"/>
      <c r="X70" s="199"/>
      <c r="Y70" s="151"/>
      <c r="Z70" s="190"/>
      <c r="AA70" s="153"/>
      <c r="AB70" s="154">
        <f t="shared" si="3"/>
        <v>0</v>
      </c>
      <c r="AC70" s="149">
        <f t="shared" si="4"/>
        <v>0</v>
      </c>
      <c r="AD70" s="125">
        <v>2</v>
      </c>
      <c r="AE70" s="148">
        <f t="shared" si="5"/>
        <v>2</v>
      </c>
      <c r="AF70" s="156"/>
      <c r="AG70" s="156"/>
      <c r="AH70" s="113">
        <f t="shared" si="6"/>
        <v>17</v>
      </c>
      <c r="AI70" s="157">
        <v>65</v>
      </c>
      <c r="AJ70" s="113">
        <f t="shared" si="7"/>
        <v>82</v>
      </c>
      <c r="AK70" s="113">
        <f t="shared" si="8"/>
        <v>82</v>
      </c>
      <c r="AL70" s="158">
        <f t="shared" si="9"/>
        <v>1.02</v>
      </c>
      <c r="AM70" s="159"/>
      <c r="AN70" s="160">
        <f t="shared" si="15"/>
        <v>1</v>
      </c>
      <c r="AO70" s="160">
        <f t="shared" si="15"/>
        <v>2</v>
      </c>
      <c r="AP70" s="133"/>
      <c r="AQ70" s="134"/>
      <c r="AR70" s="161"/>
      <c r="AS70" s="161"/>
      <c r="AT70" s="161"/>
      <c r="AU70" s="161"/>
      <c r="AV70" s="162"/>
      <c r="AW70" s="137">
        <f t="shared" si="11"/>
        <v>0</v>
      </c>
      <c r="AX70" s="137">
        <f t="shared" si="12"/>
        <v>0</v>
      </c>
    </row>
    <row r="71" ht="46.5" customHeight="1" spans="1:50" s="97" customFormat="1" x14ac:dyDescent="0.25">
      <c r="A71" s="100"/>
      <c r="B71" s="100"/>
      <c r="C71" s="100"/>
      <c r="D71" s="100"/>
      <c r="E71" s="100"/>
      <c r="F71" s="100"/>
      <c r="G71" s="103"/>
      <c r="H71" s="186"/>
      <c r="I71" s="195">
        <v>0.51</v>
      </c>
      <c r="J71" s="107">
        <v>0.49</v>
      </c>
      <c r="K71" s="107"/>
      <c r="L71" s="107"/>
      <c r="M71" s="187"/>
      <c r="N71" s="169">
        <f t="shared" si="14"/>
        <v>1</v>
      </c>
      <c r="O71" s="144">
        <v>1</v>
      </c>
      <c r="P71" s="145">
        <v>15</v>
      </c>
      <c r="Q71" s="113">
        <v>15</v>
      </c>
      <c r="R71" s="113"/>
      <c r="S71" s="113"/>
      <c r="T71" s="146"/>
      <c r="U71" s="148">
        <f t="shared" si="1"/>
        <v>15</v>
      </c>
      <c r="V71" s="149">
        <f t="shared" si="2"/>
        <v>15</v>
      </c>
      <c r="W71" s="189"/>
      <c r="X71" s="199"/>
      <c r="Y71" s="151"/>
      <c r="Z71" s="190"/>
      <c r="AA71" s="153"/>
      <c r="AB71" s="154">
        <f t="shared" si="3"/>
        <v>0</v>
      </c>
      <c r="AC71" s="149">
        <f t="shared" si="4"/>
        <v>0</v>
      </c>
      <c r="AD71" s="125">
        <v>2</v>
      </c>
      <c r="AE71" s="148">
        <f t="shared" si="5"/>
        <v>2</v>
      </c>
      <c r="AF71" s="156"/>
      <c r="AG71" s="156"/>
      <c r="AH71" s="113">
        <f t="shared" si="6"/>
        <v>17</v>
      </c>
      <c r="AI71" s="157">
        <v>65</v>
      </c>
      <c r="AJ71" s="113">
        <f t="shared" si="7"/>
        <v>82</v>
      </c>
      <c r="AK71" s="113">
        <f t="shared" si="8"/>
        <v>82</v>
      </c>
      <c r="AL71" s="158">
        <f t="shared" si="9"/>
        <v>1.02</v>
      </c>
      <c r="AM71" s="159"/>
      <c r="AN71" s="160">
        <f t="shared" si="15"/>
        <v>1</v>
      </c>
      <c r="AO71" s="160">
        <f t="shared" si="15"/>
        <v>2</v>
      </c>
      <c r="AP71" s="133"/>
      <c r="AQ71" s="134"/>
      <c r="AR71" s="161"/>
      <c r="AS71" s="161"/>
      <c r="AT71" s="161"/>
      <c r="AU71" s="161"/>
      <c r="AV71" s="162"/>
      <c r="AW71" s="137">
        <f t="shared" si="11"/>
        <v>0</v>
      </c>
      <c r="AX71" s="137">
        <f t="shared" si="12"/>
        <v>0</v>
      </c>
    </row>
    <row r="72" ht="46.5" customHeight="1" spans="1:50" s="97" customFormat="1" x14ac:dyDescent="0.25">
      <c r="A72" s="100"/>
      <c r="B72" s="100"/>
      <c r="C72" s="100"/>
      <c r="D72" s="100"/>
      <c r="E72" s="100"/>
      <c r="F72" s="100"/>
      <c r="G72" s="103"/>
      <c r="H72" s="186"/>
      <c r="I72" s="195">
        <v>0.51</v>
      </c>
      <c r="J72" s="107">
        <v>0.49</v>
      </c>
      <c r="K72" s="107"/>
      <c r="L72" s="107"/>
      <c r="M72" s="187"/>
      <c r="N72" s="169">
        <f t="shared" si="14"/>
        <v>1</v>
      </c>
      <c r="O72" s="144">
        <v>1</v>
      </c>
      <c r="P72" s="145">
        <v>15</v>
      </c>
      <c r="Q72" s="113">
        <v>15</v>
      </c>
      <c r="R72" s="113"/>
      <c r="S72" s="113"/>
      <c r="T72" s="146"/>
      <c r="U72" s="148">
        <f t="shared" si="1"/>
        <v>15</v>
      </c>
      <c r="V72" s="149">
        <f t="shared" si="2"/>
        <v>15</v>
      </c>
      <c r="W72" s="189"/>
      <c r="X72" s="199"/>
      <c r="Y72" s="151"/>
      <c r="Z72" s="190"/>
      <c r="AA72" s="153"/>
      <c r="AB72" s="154">
        <f t="shared" si="3"/>
        <v>0</v>
      </c>
      <c r="AC72" s="149">
        <f t="shared" si="4"/>
        <v>0</v>
      </c>
      <c r="AD72" s="125">
        <v>2</v>
      </c>
      <c r="AE72" s="148">
        <f t="shared" si="5"/>
        <v>2</v>
      </c>
      <c r="AF72" s="156"/>
      <c r="AG72" s="156"/>
      <c r="AH72" s="113">
        <f t="shared" si="6"/>
        <v>17</v>
      </c>
      <c r="AI72" s="157">
        <v>65</v>
      </c>
      <c r="AJ72" s="113">
        <f t="shared" si="7"/>
        <v>82</v>
      </c>
      <c r="AK72" s="113">
        <f t="shared" si="8"/>
        <v>82</v>
      </c>
      <c r="AL72" s="158">
        <f t="shared" si="9"/>
        <v>1.02</v>
      </c>
      <c r="AM72" s="159"/>
      <c r="AN72" s="160">
        <f t="shared" si="15"/>
        <v>1</v>
      </c>
      <c r="AO72" s="160">
        <f t="shared" si="15"/>
        <v>2</v>
      </c>
      <c r="AP72" s="133"/>
      <c r="AQ72" s="134"/>
      <c r="AR72" s="161"/>
      <c r="AS72" s="161"/>
      <c r="AT72" s="161"/>
      <c r="AU72" s="161"/>
      <c r="AV72" s="162"/>
      <c r="AW72" s="137">
        <f t="shared" si="11"/>
        <v>0</v>
      </c>
      <c r="AX72" s="137">
        <f t="shared" si="12"/>
        <v>0</v>
      </c>
    </row>
    <row r="73" ht="46.5" customHeight="1" spans="1:50" s="97" customFormat="1" x14ac:dyDescent="0.25">
      <c r="A73" s="100"/>
      <c r="B73" s="100"/>
      <c r="C73" s="100"/>
      <c r="D73" s="100"/>
      <c r="E73" s="100"/>
      <c r="F73" s="100"/>
      <c r="G73" s="103"/>
      <c r="H73" s="186"/>
      <c r="I73" s="195">
        <v>0.51</v>
      </c>
      <c r="J73" s="107">
        <v>0.49</v>
      </c>
      <c r="K73" s="107"/>
      <c r="L73" s="107"/>
      <c r="M73" s="187"/>
      <c r="N73" s="169">
        <f t="shared" si="14"/>
        <v>1</v>
      </c>
      <c r="O73" s="144">
        <v>1</v>
      </c>
      <c r="P73" s="145">
        <v>15</v>
      </c>
      <c r="Q73" s="113">
        <v>15</v>
      </c>
      <c r="R73" s="113"/>
      <c r="S73" s="113"/>
      <c r="T73" s="146"/>
      <c r="U73" s="148">
        <f t="shared" si="1"/>
        <v>15</v>
      </c>
      <c r="V73" s="149">
        <f t="shared" si="2"/>
        <v>15</v>
      </c>
      <c r="W73" s="189"/>
      <c r="X73" s="199"/>
      <c r="Y73" s="151"/>
      <c r="Z73" s="190"/>
      <c r="AA73" s="153"/>
      <c r="AB73" s="154">
        <f t="shared" si="3"/>
        <v>0</v>
      </c>
      <c r="AC73" s="149">
        <f t="shared" si="4"/>
        <v>0</v>
      </c>
      <c r="AD73" s="125">
        <v>2</v>
      </c>
      <c r="AE73" s="148">
        <f t="shared" si="5"/>
        <v>2</v>
      </c>
      <c r="AF73" s="156"/>
      <c r="AG73" s="156"/>
      <c r="AH73" s="113">
        <f t="shared" si="6"/>
        <v>17</v>
      </c>
      <c r="AI73" s="157">
        <v>65</v>
      </c>
      <c r="AJ73" s="113">
        <f t="shared" si="7"/>
        <v>82</v>
      </c>
      <c r="AK73" s="113">
        <f t="shared" si="8"/>
        <v>82</v>
      </c>
      <c r="AL73" s="158">
        <f t="shared" si="9"/>
        <v>1.02</v>
      </c>
      <c r="AM73" s="159"/>
      <c r="AN73" s="160">
        <f t="shared" ref="AN73:AO92" si="16">100%+AM73</f>
        <v>1</v>
      </c>
      <c r="AO73" s="160">
        <f t="shared" si="16"/>
        <v>2</v>
      </c>
      <c r="AP73" s="133"/>
      <c r="AQ73" s="134"/>
      <c r="AR73" s="161"/>
      <c r="AS73" s="161"/>
      <c r="AT73" s="161"/>
      <c r="AU73" s="161"/>
      <c r="AV73" s="162"/>
      <c r="AW73" s="137">
        <f t="shared" si="11"/>
        <v>0</v>
      </c>
      <c r="AX73" s="137">
        <f t="shared" si="12"/>
        <v>0</v>
      </c>
    </row>
    <row r="74" ht="46.5" customHeight="1" spans="1:50" s="97" customFormat="1" x14ac:dyDescent="0.25">
      <c r="A74" s="100"/>
      <c r="B74" s="100"/>
      <c r="C74" s="100"/>
      <c r="D74" s="100"/>
      <c r="E74" s="100"/>
      <c r="F74" s="100"/>
      <c r="G74" s="103"/>
      <c r="H74" s="186"/>
      <c r="I74" s="195">
        <v>0.51</v>
      </c>
      <c r="J74" s="107">
        <v>0.49</v>
      </c>
      <c r="K74" s="107"/>
      <c r="L74" s="107"/>
      <c r="M74" s="187"/>
      <c r="N74" s="169">
        <f t="shared" si="14"/>
        <v>1</v>
      </c>
      <c r="O74" s="144">
        <v>1</v>
      </c>
      <c r="P74" s="145">
        <v>15</v>
      </c>
      <c r="Q74" s="113">
        <v>15</v>
      </c>
      <c r="R74" s="113"/>
      <c r="S74" s="113"/>
      <c r="T74" s="146"/>
      <c r="U74" s="148">
        <f t="shared" si="1"/>
        <v>15</v>
      </c>
      <c r="V74" s="149">
        <f t="shared" si="2"/>
        <v>15</v>
      </c>
      <c r="W74" s="189"/>
      <c r="X74" s="199"/>
      <c r="Y74" s="151"/>
      <c r="Z74" s="190"/>
      <c r="AA74" s="153"/>
      <c r="AB74" s="154">
        <f t="shared" si="3"/>
        <v>0</v>
      </c>
      <c r="AC74" s="149">
        <f t="shared" si="4"/>
        <v>0</v>
      </c>
      <c r="AD74" s="125">
        <v>2</v>
      </c>
      <c r="AE74" s="148">
        <f t="shared" si="5"/>
        <v>2</v>
      </c>
      <c r="AF74" s="156"/>
      <c r="AG74" s="156"/>
      <c r="AH74" s="113">
        <f t="shared" si="6"/>
        <v>17</v>
      </c>
      <c r="AI74" s="157">
        <v>65</v>
      </c>
      <c r="AJ74" s="113">
        <f t="shared" si="7"/>
        <v>82</v>
      </c>
      <c r="AK74" s="113">
        <f t="shared" si="8"/>
        <v>82</v>
      </c>
      <c r="AL74" s="158">
        <f t="shared" si="9"/>
        <v>1.02</v>
      </c>
      <c r="AM74" s="159"/>
      <c r="AN74" s="160">
        <f t="shared" si="16"/>
        <v>1</v>
      </c>
      <c r="AO74" s="160">
        <f t="shared" si="16"/>
        <v>2</v>
      </c>
      <c r="AP74" s="133"/>
      <c r="AQ74" s="134"/>
      <c r="AR74" s="161"/>
      <c r="AS74" s="161"/>
      <c r="AT74" s="161"/>
      <c r="AU74" s="161"/>
      <c r="AV74" s="162"/>
      <c r="AW74" s="137">
        <f t="shared" si="11"/>
        <v>0</v>
      </c>
      <c r="AX74" s="137">
        <f t="shared" si="12"/>
        <v>0</v>
      </c>
    </row>
    <row r="75" ht="46.5" customHeight="1" spans="1:50" s="97" customFormat="1" x14ac:dyDescent="0.25">
      <c r="A75" s="100"/>
      <c r="B75" s="100"/>
      <c r="C75" s="100"/>
      <c r="D75" s="100"/>
      <c r="E75" s="100"/>
      <c r="F75" s="100"/>
      <c r="G75" s="103"/>
      <c r="H75" s="186"/>
      <c r="I75" s="195">
        <v>0.51</v>
      </c>
      <c r="J75" s="107">
        <v>0.49</v>
      </c>
      <c r="K75" s="107"/>
      <c r="L75" s="107"/>
      <c r="M75" s="187"/>
      <c r="N75" s="169">
        <f t="shared" si="14"/>
        <v>1</v>
      </c>
      <c r="O75" s="144">
        <v>1</v>
      </c>
      <c r="P75" s="145">
        <v>15</v>
      </c>
      <c r="Q75" s="113">
        <v>15</v>
      </c>
      <c r="R75" s="113"/>
      <c r="S75" s="113"/>
      <c r="T75" s="146"/>
      <c r="U75" s="148">
        <f t="shared" si="1"/>
        <v>15</v>
      </c>
      <c r="V75" s="149">
        <f t="shared" si="2"/>
        <v>15</v>
      </c>
      <c r="W75" s="189"/>
      <c r="X75" s="199"/>
      <c r="Y75" s="151"/>
      <c r="Z75" s="190"/>
      <c r="AA75" s="153"/>
      <c r="AB75" s="154">
        <f t="shared" si="3"/>
        <v>0</v>
      </c>
      <c r="AC75" s="149">
        <f t="shared" si="4"/>
        <v>0</v>
      </c>
      <c r="AD75" s="125">
        <v>2</v>
      </c>
      <c r="AE75" s="148">
        <f t="shared" si="5"/>
        <v>2</v>
      </c>
      <c r="AF75" s="156"/>
      <c r="AG75" s="156"/>
      <c r="AH75" s="113">
        <f t="shared" si="6"/>
        <v>17</v>
      </c>
      <c r="AI75" s="157">
        <v>65</v>
      </c>
      <c r="AJ75" s="113">
        <f t="shared" si="7"/>
        <v>82</v>
      </c>
      <c r="AK75" s="113">
        <f t="shared" si="8"/>
        <v>82</v>
      </c>
      <c r="AL75" s="158">
        <f t="shared" si="9"/>
        <v>1.02</v>
      </c>
      <c r="AM75" s="159"/>
      <c r="AN75" s="160">
        <f t="shared" si="16"/>
        <v>1</v>
      </c>
      <c r="AO75" s="160">
        <f t="shared" si="16"/>
        <v>2</v>
      </c>
      <c r="AP75" s="133"/>
      <c r="AQ75" s="134"/>
      <c r="AR75" s="161"/>
      <c r="AS75" s="161"/>
      <c r="AT75" s="161"/>
      <c r="AU75" s="161"/>
      <c r="AV75" s="162"/>
      <c r="AW75" s="137">
        <f t="shared" si="11"/>
        <v>0</v>
      </c>
      <c r="AX75" s="137">
        <f t="shared" si="12"/>
        <v>0</v>
      </c>
    </row>
    <row r="76" ht="46.5" customHeight="1" spans="1:50" s="97" customFormat="1" x14ac:dyDescent="0.25">
      <c r="A76" s="100"/>
      <c r="B76" s="100"/>
      <c r="C76" s="100"/>
      <c r="D76" s="100"/>
      <c r="E76" s="100"/>
      <c r="F76" s="100"/>
      <c r="G76" s="103"/>
      <c r="H76" s="186"/>
      <c r="I76" s="195">
        <v>0.51</v>
      </c>
      <c r="J76" s="107">
        <v>0.49</v>
      </c>
      <c r="K76" s="107"/>
      <c r="L76" s="107"/>
      <c r="M76" s="187"/>
      <c r="N76" s="169">
        <f t="shared" si="14"/>
        <v>1</v>
      </c>
      <c r="O76" s="144">
        <v>1</v>
      </c>
      <c r="P76" s="145">
        <v>15</v>
      </c>
      <c r="Q76" s="113">
        <v>15</v>
      </c>
      <c r="R76" s="113"/>
      <c r="S76" s="113"/>
      <c r="T76" s="146"/>
      <c r="U76" s="148">
        <f t="shared" si="1"/>
        <v>15</v>
      </c>
      <c r="V76" s="149">
        <f t="shared" si="2"/>
        <v>15</v>
      </c>
      <c r="W76" s="189"/>
      <c r="X76" s="199"/>
      <c r="Y76" s="151"/>
      <c r="Z76" s="190"/>
      <c r="AA76" s="153"/>
      <c r="AB76" s="154">
        <f t="shared" si="3"/>
        <v>0</v>
      </c>
      <c r="AC76" s="149">
        <f t="shared" si="4"/>
        <v>0</v>
      </c>
      <c r="AD76" s="125">
        <v>2</v>
      </c>
      <c r="AE76" s="148">
        <f t="shared" si="5"/>
        <v>2</v>
      </c>
      <c r="AF76" s="156"/>
      <c r="AG76" s="156"/>
      <c r="AH76" s="113">
        <f t="shared" si="6"/>
        <v>17</v>
      </c>
      <c r="AI76" s="157">
        <v>65</v>
      </c>
      <c r="AJ76" s="113">
        <f t="shared" si="7"/>
        <v>82</v>
      </c>
      <c r="AK76" s="113">
        <f t="shared" si="8"/>
        <v>82</v>
      </c>
      <c r="AL76" s="158">
        <f t="shared" si="9"/>
        <v>1.02</v>
      </c>
      <c r="AM76" s="159"/>
      <c r="AN76" s="160">
        <f t="shared" si="16"/>
        <v>1</v>
      </c>
      <c r="AO76" s="160">
        <f t="shared" si="16"/>
        <v>2</v>
      </c>
      <c r="AP76" s="133"/>
      <c r="AQ76" s="134"/>
      <c r="AR76" s="161"/>
      <c r="AS76" s="161"/>
      <c r="AT76" s="161"/>
      <c r="AU76" s="161"/>
      <c r="AV76" s="162"/>
      <c r="AW76" s="137">
        <f t="shared" si="11"/>
        <v>0</v>
      </c>
      <c r="AX76" s="137">
        <f t="shared" si="12"/>
        <v>0</v>
      </c>
    </row>
    <row r="77" ht="46.5" customHeight="1" spans="1:50" s="97" customFormat="1" x14ac:dyDescent="0.25">
      <c r="A77" s="100"/>
      <c r="B77" s="100"/>
      <c r="C77" s="100"/>
      <c r="D77" s="100"/>
      <c r="E77" s="100"/>
      <c r="F77" s="100"/>
      <c r="G77" s="103"/>
      <c r="H77" s="186"/>
      <c r="I77" s="195">
        <v>0.51</v>
      </c>
      <c r="J77" s="107">
        <v>0.49</v>
      </c>
      <c r="K77" s="107"/>
      <c r="L77" s="107"/>
      <c r="M77" s="187"/>
      <c r="N77" s="169">
        <f t="shared" si="14"/>
        <v>1</v>
      </c>
      <c r="O77" s="144">
        <v>1</v>
      </c>
      <c r="P77" s="145">
        <v>15</v>
      </c>
      <c r="Q77" s="113">
        <v>15</v>
      </c>
      <c r="R77" s="113"/>
      <c r="S77" s="113"/>
      <c r="T77" s="146"/>
      <c r="U77" s="148">
        <f t="shared" ref="U77:U138" si="17">ROUND(((P77*I77)+(Q77*J77)+(R77*K77)+(S77*L77)+(T77*M77))*O77,2)</f>
        <v>15</v>
      </c>
      <c r="V77" s="149">
        <f t="shared" ref="V77:V138" si="18">IF(U77&gt;=15,15,U77)</f>
        <v>15</v>
      </c>
      <c r="W77" s="189"/>
      <c r="X77" s="199"/>
      <c r="Y77" s="151"/>
      <c r="Z77" s="190"/>
      <c r="AA77" s="153"/>
      <c r="AB77" s="154">
        <f t="shared" ref="AB77:AB138" si="19">ROUND((((W77*I77)+(X77*J77)+(Y77*K77)+(Z77*L77)+(AA77*M77))/$I$2),2)*13</f>
        <v>0</v>
      </c>
      <c r="AC77" s="149">
        <f t="shared" ref="AC77:AC138" si="20">IF(AB77&gt;=13,13,AB77)</f>
        <v>0</v>
      </c>
      <c r="AD77" s="125">
        <v>2</v>
      </c>
      <c r="AE77" s="148">
        <f t="shared" ref="AE77:AE138" si="21">IF((AC77+AD77)&gt;=15,15,(AC77+AD77))</f>
        <v>2</v>
      </c>
      <c r="AF77" s="156"/>
      <c r="AG77" s="156"/>
      <c r="AH77" s="113">
        <f t="shared" ref="AH77:AH138" si="22">IF((V77+AE77+AF77)&gt;=30,30,(V77+AE77+AF77))</f>
        <v>17</v>
      </c>
      <c r="AI77" s="157">
        <v>65</v>
      </c>
      <c r="AJ77" s="113">
        <f t="shared" ref="AJ77:AJ138" si="23">V77+AE77+AF77+AI77+AG77</f>
        <v>82</v>
      </c>
      <c r="AK77" s="113">
        <f t="shared" ref="AK77:AK138" si="24">IF(AH77+AI77+AG77&gt;=95,95,AH77+AI77+AG77)</f>
        <v>82</v>
      </c>
      <c r="AL77" s="158">
        <f t="shared" ref="AL77:AL138" si="25">-((50-((176+(45+(50-AH77)))))/200)</f>
        <v>1.02</v>
      </c>
      <c r="AM77" s="159"/>
      <c r="AN77" s="160">
        <f t="shared" si="16"/>
        <v>1</v>
      </c>
      <c r="AO77" s="160">
        <f t="shared" si="16"/>
        <v>2</v>
      </c>
      <c r="AP77" s="133"/>
      <c r="AQ77" s="134"/>
      <c r="AR77" s="161"/>
      <c r="AS77" s="161"/>
      <c r="AT77" s="161"/>
      <c r="AU77" s="161"/>
      <c r="AV77" s="162"/>
      <c r="AW77" s="137">
        <f t="shared" ref="AW77:AW138" si="26">AR77+AS77+AT77+AU77+AV77</f>
        <v>0</v>
      </c>
      <c r="AX77" s="137">
        <f t="shared" ref="AX77:AX138" si="27">(AR77*I77)+(AS77*J77)+(AT77*K77)+(AU77*L77)+(AV77*M77)</f>
        <v>0</v>
      </c>
    </row>
    <row r="78" ht="46.5" customHeight="1" spans="1:50" s="97" customFormat="1" x14ac:dyDescent="0.25">
      <c r="A78" s="100"/>
      <c r="B78" s="100"/>
      <c r="C78" s="100"/>
      <c r="D78" s="100"/>
      <c r="E78" s="100"/>
      <c r="F78" s="100"/>
      <c r="G78" s="103"/>
      <c r="H78" s="186"/>
      <c r="I78" s="195">
        <v>0.51</v>
      </c>
      <c r="J78" s="107">
        <v>0.49</v>
      </c>
      <c r="K78" s="107"/>
      <c r="L78" s="107"/>
      <c r="M78" s="187"/>
      <c r="N78" s="169">
        <f t="shared" si="14"/>
        <v>1</v>
      </c>
      <c r="O78" s="144">
        <v>1</v>
      </c>
      <c r="P78" s="145">
        <v>15</v>
      </c>
      <c r="Q78" s="113">
        <v>15</v>
      </c>
      <c r="R78" s="113"/>
      <c r="S78" s="113"/>
      <c r="T78" s="146"/>
      <c r="U78" s="148">
        <f t="shared" si="17"/>
        <v>15</v>
      </c>
      <c r="V78" s="149">
        <f t="shared" si="18"/>
        <v>15</v>
      </c>
      <c r="W78" s="189"/>
      <c r="X78" s="199"/>
      <c r="Y78" s="151"/>
      <c r="Z78" s="190"/>
      <c r="AA78" s="153"/>
      <c r="AB78" s="154">
        <f t="shared" si="19"/>
        <v>0</v>
      </c>
      <c r="AC78" s="149">
        <f t="shared" si="20"/>
        <v>0</v>
      </c>
      <c r="AD78" s="125">
        <v>2</v>
      </c>
      <c r="AE78" s="148">
        <f t="shared" si="21"/>
        <v>2</v>
      </c>
      <c r="AF78" s="156"/>
      <c r="AG78" s="156"/>
      <c r="AH78" s="113">
        <f t="shared" si="22"/>
        <v>17</v>
      </c>
      <c r="AI78" s="157">
        <v>65</v>
      </c>
      <c r="AJ78" s="113">
        <f t="shared" si="23"/>
        <v>82</v>
      </c>
      <c r="AK78" s="113">
        <f t="shared" si="24"/>
        <v>82</v>
      </c>
      <c r="AL78" s="158">
        <f t="shared" si="25"/>
        <v>1.02</v>
      </c>
      <c r="AM78" s="159"/>
      <c r="AN78" s="160">
        <f t="shared" si="16"/>
        <v>1</v>
      </c>
      <c r="AO78" s="160">
        <f t="shared" si="16"/>
        <v>2</v>
      </c>
      <c r="AP78" s="133"/>
      <c r="AQ78" s="134"/>
      <c r="AR78" s="161"/>
      <c r="AS78" s="161"/>
      <c r="AT78" s="161"/>
      <c r="AU78" s="161"/>
      <c r="AV78" s="162"/>
      <c r="AW78" s="137">
        <f t="shared" si="26"/>
        <v>0</v>
      </c>
      <c r="AX78" s="137">
        <f t="shared" si="27"/>
        <v>0</v>
      </c>
    </row>
    <row r="79" ht="46.5" customHeight="1" spans="1:50" s="97" customFormat="1" x14ac:dyDescent="0.25">
      <c r="A79" s="100"/>
      <c r="B79" s="100"/>
      <c r="C79" s="100"/>
      <c r="D79" s="100"/>
      <c r="E79" s="100"/>
      <c r="F79" s="100"/>
      <c r="G79" s="103"/>
      <c r="H79" s="186"/>
      <c r="I79" s="195">
        <v>0.51</v>
      </c>
      <c r="J79" s="107">
        <v>0.49</v>
      </c>
      <c r="K79" s="107"/>
      <c r="L79" s="107"/>
      <c r="M79" s="187"/>
      <c r="N79" s="169">
        <f t="shared" si="14"/>
        <v>1</v>
      </c>
      <c r="O79" s="144">
        <v>1</v>
      </c>
      <c r="P79" s="145">
        <v>15</v>
      </c>
      <c r="Q79" s="113">
        <v>15</v>
      </c>
      <c r="R79" s="113"/>
      <c r="S79" s="113"/>
      <c r="T79" s="146"/>
      <c r="U79" s="148">
        <f t="shared" si="17"/>
        <v>15</v>
      </c>
      <c r="V79" s="149">
        <f t="shared" si="18"/>
        <v>15</v>
      </c>
      <c r="W79" s="189"/>
      <c r="X79" s="199"/>
      <c r="Y79" s="151"/>
      <c r="Z79" s="190"/>
      <c r="AA79" s="153"/>
      <c r="AB79" s="154">
        <f t="shared" si="19"/>
        <v>0</v>
      </c>
      <c r="AC79" s="149">
        <f t="shared" si="20"/>
        <v>0</v>
      </c>
      <c r="AD79" s="125">
        <v>2</v>
      </c>
      <c r="AE79" s="148">
        <f t="shared" si="21"/>
        <v>2</v>
      </c>
      <c r="AF79" s="156"/>
      <c r="AG79" s="156"/>
      <c r="AH79" s="113">
        <f t="shared" si="22"/>
        <v>17</v>
      </c>
      <c r="AI79" s="157">
        <v>65</v>
      </c>
      <c r="AJ79" s="113">
        <f t="shared" si="23"/>
        <v>82</v>
      </c>
      <c r="AK79" s="113">
        <f t="shared" si="24"/>
        <v>82</v>
      </c>
      <c r="AL79" s="158">
        <f t="shared" si="25"/>
        <v>1.02</v>
      </c>
      <c r="AM79" s="159"/>
      <c r="AN79" s="160">
        <f t="shared" si="16"/>
        <v>1</v>
      </c>
      <c r="AO79" s="160">
        <f t="shared" si="16"/>
        <v>2</v>
      </c>
      <c r="AP79" s="133"/>
      <c r="AQ79" s="134"/>
      <c r="AR79" s="161"/>
      <c r="AS79" s="161"/>
      <c r="AT79" s="161"/>
      <c r="AU79" s="161"/>
      <c r="AV79" s="162"/>
      <c r="AW79" s="137">
        <f t="shared" si="26"/>
        <v>0</v>
      </c>
      <c r="AX79" s="137">
        <f t="shared" si="27"/>
        <v>0</v>
      </c>
    </row>
    <row r="80" ht="46.5" customHeight="1" spans="1:50" s="97" customFormat="1" x14ac:dyDescent="0.25">
      <c r="A80" s="100"/>
      <c r="B80" s="100"/>
      <c r="C80" s="100"/>
      <c r="D80" s="100"/>
      <c r="E80" s="100"/>
      <c r="F80" s="100"/>
      <c r="G80" s="103"/>
      <c r="H80" s="186"/>
      <c r="I80" s="195">
        <v>0.51</v>
      </c>
      <c r="J80" s="107">
        <v>0.49</v>
      </c>
      <c r="K80" s="107"/>
      <c r="L80" s="107"/>
      <c r="M80" s="187"/>
      <c r="N80" s="169">
        <f t="shared" si="14"/>
        <v>1</v>
      </c>
      <c r="O80" s="144">
        <v>1</v>
      </c>
      <c r="P80" s="145">
        <v>15</v>
      </c>
      <c r="Q80" s="113">
        <v>15</v>
      </c>
      <c r="R80" s="113"/>
      <c r="S80" s="113"/>
      <c r="T80" s="146"/>
      <c r="U80" s="148">
        <f t="shared" si="17"/>
        <v>15</v>
      </c>
      <c r="V80" s="149">
        <f t="shared" si="18"/>
        <v>15</v>
      </c>
      <c r="W80" s="189"/>
      <c r="X80" s="199"/>
      <c r="Y80" s="151"/>
      <c r="Z80" s="190"/>
      <c r="AA80" s="153"/>
      <c r="AB80" s="154">
        <f t="shared" si="19"/>
        <v>0</v>
      </c>
      <c r="AC80" s="149">
        <f t="shared" si="20"/>
        <v>0</v>
      </c>
      <c r="AD80" s="125">
        <v>2</v>
      </c>
      <c r="AE80" s="148">
        <f t="shared" si="21"/>
        <v>2</v>
      </c>
      <c r="AF80" s="156"/>
      <c r="AG80" s="156"/>
      <c r="AH80" s="113">
        <f t="shared" si="22"/>
        <v>17</v>
      </c>
      <c r="AI80" s="157">
        <v>65</v>
      </c>
      <c r="AJ80" s="113">
        <f t="shared" si="23"/>
        <v>82</v>
      </c>
      <c r="AK80" s="113">
        <f t="shared" si="24"/>
        <v>82</v>
      </c>
      <c r="AL80" s="158">
        <f t="shared" si="25"/>
        <v>1.02</v>
      </c>
      <c r="AM80" s="159"/>
      <c r="AN80" s="160">
        <f t="shared" si="16"/>
        <v>1</v>
      </c>
      <c r="AO80" s="160">
        <f t="shared" si="16"/>
        <v>2</v>
      </c>
      <c r="AP80" s="133"/>
      <c r="AQ80" s="134"/>
      <c r="AR80" s="161"/>
      <c r="AS80" s="161"/>
      <c r="AT80" s="161"/>
      <c r="AU80" s="161"/>
      <c r="AV80" s="162"/>
      <c r="AW80" s="137">
        <f t="shared" si="26"/>
        <v>0</v>
      </c>
      <c r="AX80" s="137">
        <f t="shared" si="27"/>
        <v>0</v>
      </c>
    </row>
    <row r="81" ht="46.5" customHeight="1" spans="1:50" s="97" customFormat="1" x14ac:dyDescent="0.25">
      <c r="A81" s="100"/>
      <c r="B81" s="100"/>
      <c r="C81" s="100"/>
      <c r="D81" s="100"/>
      <c r="E81" s="100"/>
      <c r="F81" s="100"/>
      <c r="G81" s="103"/>
      <c r="H81" s="186"/>
      <c r="I81" s="195">
        <v>0.51</v>
      </c>
      <c r="J81" s="107">
        <v>0.49</v>
      </c>
      <c r="K81" s="107"/>
      <c r="L81" s="107"/>
      <c r="M81" s="187"/>
      <c r="N81" s="169">
        <f t="shared" si="14"/>
        <v>1</v>
      </c>
      <c r="O81" s="144">
        <v>1</v>
      </c>
      <c r="P81" s="145">
        <v>15</v>
      </c>
      <c r="Q81" s="113">
        <v>15</v>
      </c>
      <c r="R81" s="113"/>
      <c r="S81" s="113"/>
      <c r="T81" s="146"/>
      <c r="U81" s="148">
        <f t="shared" si="17"/>
        <v>15</v>
      </c>
      <c r="V81" s="149">
        <f t="shared" si="18"/>
        <v>15</v>
      </c>
      <c r="W81" s="189"/>
      <c r="X81" s="199"/>
      <c r="Y81" s="151"/>
      <c r="Z81" s="190"/>
      <c r="AA81" s="153"/>
      <c r="AB81" s="154">
        <f t="shared" si="19"/>
        <v>0</v>
      </c>
      <c r="AC81" s="149">
        <f t="shared" si="20"/>
        <v>0</v>
      </c>
      <c r="AD81" s="125">
        <v>2</v>
      </c>
      <c r="AE81" s="148">
        <f t="shared" si="21"/>
        <v>2</v>
      </c>
      <c r="AF81" s="156"/>
      <c r="AG81" s="156"/>
      <c r="AH81" s="113">
        <f t="shared" si="22"/>
        <v>17</v>
      </c>
      <c r="AI81" s="157">
        <v>65</v>
      </c>
      <c r="AJ81" s="113">
        <f t="shared" si="23"/>
        <v>82</v>
      </c>
      <c r="AK81" s="113">
        <f t="shared" si="24"/>
        <v>82</v>
      </c>
      <c r="AL81" s="158">
        <f t="shared" si="25"/>
        <v>1.02</v>
      </c>
      <c r="AM81" s="159"/>
      <c r="AN81" s="160">
        <f t="shared" si="16"/>
        <v>1</v>
      </c>
      <c r="AO81" s="160">
        <f t="shared" si="16"/>
        <v>2</v>
      </c>
      <c r="AP81" s="133"/>
      <c r="AQ81" s="134"/>
      <c r="AR81" s="161"/>
      <c r="AS81" s="161"/>
      <c r="AT81" s="161"/>
      <c r="AU81" s="161"/>
      <c r="AV81" s="162"/>
      <c r="AW81" s="137">
        <f t="shared" si="26"/>
        <v>0</v>
      </c>
      <c r="AX81" s="137">
        <f t="shared" si="27"/>
        <v>0</v>
      </c>
    </row>
    <row r="82" ht="46.5" customHeight="1" spans="1:50" s="97" customFormat="1" x14ac:dyDescent="0.25">
      <c r="A82" s="100"/>
      <c r="B82" s="100"/>
      <c r="C82" s="100"/>
      <c r="D82" s="100"/>
      <c r="E82" s="100"/>
      <c r="F82" s="100"/>
      <c r="G82" s="103"/>
      <c r="H82" s="186"/>
      <c r="I82" s="195">
        <v>0.51</v>
      </c>
      <c r="J82" s="107">
        <v>0.49</v>
      </c>
      <c r="K82" s="107"/>
      <c r="L82" s="107"/>
      <c r="M82" s="187"/>
      <c r="N82" s="169">
        <f t="shared" si="14"/>
        <v>1</v>
      </c>
      <c r="O82" s="144">
        <v>1</v>
      </c>
      <c r="P82" s="145">
        <v>15</v>
      </c>
      <c r="Q82" s="113">
        <v>15</v>
      </c>
      <c r="R82" s="113"/>
      <c r="S82" s="113"/>
      <c r="T82" s="146"/>
      <c r="U82" s="148">
        <f t="shared" si="17"/>
        <v>15</v>
      </c>
      <c r="V82" s="149">
        <f t="shared" si="18"/>
        <v>15</v>
      </c>
      <c r="W82" s="189"/>
      <c r="X82" s="199"/>
      <c r="Y82" s="151"/>
      <c r="Z82" s="190"/>
      <c r="AA82" s="153"/>
      <c r="AB82" s="154">
        <f t="shared" si="19"/>
        <v>0</v>
      </c>
      <c r="AC82" s="149">
        <f t="shared" si="20"/>
        <v>0</v>
      </c>
      <c r="AD82" s="125">
        <v>2</v>
      </c>
      <c r="AE82" s="148">
        <f t="shared" si="21"/>
        <v>2</v>
      </c>
      <c r="AF82" s="156"/>
      <c r="AG82" s="156"/>
      <c r="AH82" s="113">
        <f t="shared" si="22"/>
        <v>17</v>
      </c>
      <c r="AI82" s="157">
        <v>65</v>
      </c>
      <c r="AJ82" s="113">
        <f t="shared" si="23"/>
        <v>82</v>
      </c>
      <c r="AK82" s="113">
        <f t="shared" si="24"/>
        <v>82</v>
      </c>
      <c r="AL82" s="158">
        <f t="shared" si="25"/>
        <v>1.02</v>
      </c>
      <c r="AM82" s="159"/>
      <c r="AN82" s="160">
        <f t="shared" si="16"/>
        <v>1</v>
      </c>
      <c r="AO82" s="160">
        <f t="shared" si="16"/>
        <v>2</v>
      </c>
      <c r="AP82" s="133"/>
      <c r="AQ82" s="134"/>
      <c r="AR82" s="161"/>
      <c r="AS82" s="161"/>
      <c r="AT82" s="161"/>
      <c r="AU82" s="161"/>
      <c r="AV82" s="162"/>
      <c r="AW82" s="137">
        <f t="shared" si="26"/>
        <v>0</v>
      </c>
      <c r="AX82" s="137">
        <f t="shared" si="27"/>
        <v>0</v>
      </c>
    </row>
    <row r="83" ht="46.5" customHeight="1" spans="1:50" s="97" customFormat="1" x14ac:dyDescent="0.25">
      <c r="A83" s="100"/>
      <c r="B83" s="100"/>
      <c r="C83" s="100"/>
      <c r="D83" s="100"/>
      <c r="E83" s="100"/>
      <c r="F83" s="100"/>
      <c r="G83" s="103"/>
      <c r="H83" s="186"/>
      <c r="I83" s="195">
        <v>0.51</v>
      </c>
      <c r="J83" s="107">
        <v>0.49</v>
      </c>
      <c r="K83" s="107"/>
      <c r="L83" s="107"/>
      <c r="M83" s="187"/>
      <c r="N83" s="169">
        <f t="shared" si="14"/>
        <v>1</v>
      </c>
      <c r="O83" s="144">
        <v>1</v>
      </c>
      <c r="P83" s="145">
        <v>15</v>
      </c>
      <c r="Q83" s="113">
        <v>15</v>
      </c>
      <c r="R83" s="113"/>
      <c r="S83" s="113"/>
      <c r="T83" s="146"/>
      <c r="U83" s="148">
        <f t="shared" si="17"/>
        <v>15</v>
      </c>
      <c r="V83" s="149">
        <f t="shared" si="18"/>
        <v>15</v>
      </c>
      <c r="W83" s="189"/>
      <c r="X83" s="199"/>
      <c r="Y83" s="151"/>
      <c r="Z83" s="190"/>
      <c r="AA83" s="153"/>
      <c r="AB83" s="154">
        <f t="shared" si="19"/>
        <v>0</v>
      </c>
      <c r="AC83" s="149">
        <f t="shared" si="20"/>
        <v>0</v>
      </c>
      <c r="AD83" s="125">
        <v>2</v>
      </c>
      <c r="AE83" s="148">
        <f t="shared" si="21"/>
        <v>2</v>
      </c>
      <c r="AF83" s="156"/>
      <c r="AG83" s="156"/>
      <c r="AH83" s="113">
        <f t="shared" si="22"/>
        <v>17</v>
      </c>
      <c r="AI83" s="157">
        <v>65</v>
      </c>
      <c r="AJ83" s="113">
        <f t="shared" si="23"/>
        <v>82</v>
      </c>
      <c r="AK83" s="113">
        <f t="shared" si="24"/>
        <v>82</v>
      </c>
      <c r="AL83" s="158">
        <f t="shared" si="25"/>
        <v>1.02</v>
      </c>
      <c r="AM83" s="159"/>
      <c r="AN83" s="160">
        <f t="shared" si="16"/>
        <v>1</v>
      </c>
      <c r="AO83" s="160">
        <f t="shared" si="16"/>
        <v>2</v>
      </c>
      <c r="AP83" s="133"/>
      <c r="AQ83" s="134"/>
      <c r="AR83" s="161"/>
      <c r="AS83" s="161"/>
      <c r="AT83" s="161"/>
      <c r="AU83" s="161"/>
      <c r="AV83" s="162"/>
      <c r="AW83" s="137">
        <f t="shared" si="26"/>
        <v>0</v>
      </c>
      <c r="AX83" s="137">
        <f t="shared" si="27"/>
        <v>0</v>
      </c>
    </row>
    <row r="84" ht="46.5" customHeight="1" spans="1:50" s="97" customFormat="1" x14ac:dyDescent="0.25">
      <c r="A84" s="100"/>
      <c r="B84" s="100"/>
      <c r="C84" s="100"/>
      <c r="D84" s="100"/>
      <c r="E84" s="100"/>
      <c r="F84" s="100"/>
      <c r="G84" s="103"/>
      <c r="H84" s="186"/>
      <c r="I84" s="195">
        <v>0.51</v>
      </c>
      <c r="J84" s="107">
        <v>0.49</v>
      </c>
      <c r="K84" s="107"/>
      <c r="L84" s="107"/>
      <c r="M84" s="187"/>
      <c r="N84" s="169">
        <f t="shared" si="14"/>
        <v>1</v>
      </c>
      <c r="O84" s="144">
        <v>1</v>
      </c>
      <c r="P84" s="145">
        <v>15</v>
      </c>
      <c r="Q84" s="113">
        <v>15</v>
      </c>
      <c r="R84" s="113"/>
      <c r="S84" s="113"/>
      <c r="T84" s="146"/>
      <c r="U84" s="148">
        <f t="shared" si="17"/>
        <v>15</v>
      </c>
      <c r="V84" s="149">
        <f t="shared" si="18"/>
        <v>15</v>
      </c>
      <c r="W84" s="189"/>
      <c r="X84" s="199"/>
      <c r="Y84" s="151"/>
      <c r="Z84" s="190"/>
      <c r="AA84" s="153"/>
      <c r="AB84" s="154">
        <f t="shared" si="19"/>
        <v>0</v>
      </c>
      <c r="AC84" s="149">
        <f t="shared" si="20"/>
        <v>0</v>
      </c>
      <c r="AD84" s="125">
        <v>2</v>
      </c>
      <c r="AE84" s="148">
        <f t="shared" si="21"/>
        <v>2</v>
      </c>
      <c r="AF84" s="156"/>
      <c r="AG84" s="156"/>
      <c r="AH84" s="113">
        <f t="shared" si="22"/>
        <v>17</v>
      </c>
      <c r="AI84" s="157">
        <v>65</v>
      </c>
      <c r="AJ84" s="113">
        <f t="shared" si="23"/>
        <v>82</v>
      </c>
      <c r="AK84" s="113">
        <f t="shared" si="24"/>
        <v>82</v>
      </c>
      <c r="AL84" s="158">
        <f t="shared" si="25"/>
        <v>1.02</v>
      </c>
      <c r="AM84" s="159"/>
      <c r="AN84" s="160">
        <f t="shared" si="16"/>
        <v>1</v>
      </c>
      <c r="AO84" s="160">
        <f t="shared" si="16"/>
        <v>2</v>
      </c>
      <c r="AP84" s="133"/>
      <c r="AQ84" s="134"/>
      <c r="AR84" s="161"/>
      <c r="AS84" s="161"/>
      <c r="AT84" s="161"/>
      <c r="AU84" s="161"/>
      <c r="AV84" s="162"/>
      <c r="AW84" s="137">
        <f t="shared" si="26"/>
        <v>0</v>
      </c>
      <c r="AX84" s="137">
        <f t="shared" si="27"/>
        <v>0</v>
      </c>
    </row>
    <row r="85" ht="46.5" customHeight="1" spans="1:50" s="97" customFormat="1" x14ac:dyDescent="0.25">
      <c r="A85" s="100"/>
      <c r="B85" s="100"/>
      <c r="C85" s="100"/>
      <c r="D85" s="100"/>
      <c r="E85" s="100"/>
      <c r="F85" s="100"/>
      <c r="G85" s="103"/>
      <c r="H85" s="186"/>
      <c r="I85" s="195">
        <v>0.51</v>
      </c>
      <c r="J85" s="107">
        <v>0.49</v>
      </c>
      <c r="K85" s="107"/>
      <c r="L85" s="107"/>
      <c r="M85" s="187"/>
      <c r="N85" s="169">
        <f t="shared" si="14"/>
        <v>1</v>
      </c>
      <c r="O85" s="144">
        <v>1</v>
      </c>
      <c r="P85" s="145">
        <v>15</v>
      </c>
      <c r="Q85" s="113">
        <v>15</v>
      </c>
      <c r="R85" s="113"/>
      <c r="S85" s="113"/>
      <c r="T85" s="146"/>
      <c r="U85" s="148">
        <f t="shared" si="17"/>
        <v>15</v>
      </c>
      <c r="V85" s="149">
        <f t="shared" si="18"/>
        <v>15</v>
      </c>
      <c r="W85" s="189"/>
      <c r="X85" s="199"/>
      <c r="Y85" s="151"/>
      <c r="Z85" s="190"/>
      <c r="AA85" s="153"/>
      <c r="AB85" s="154">
        <f t="shared" si="19"/>
        <v>0</v>
      </c>
      <c r="AC85" s="149">
        <f t="shared" si="20"/>
        <v>0</v>
      </c>
      <c r="AD85" s="125">
        <v>2</v>
      </c>
      <c r="AE85" s="148">
        <f t="shared" si="21"/>
        <v>2</v>
      </c>
      <c r="AF85" s="156"/>
      <c r="AG85" s="156"/>
      <c r="AH85" s="113">
        <f t="shared" si="22"/>
        <v>17</v>
      </c>
      <c r="AI85" s="157">
        <v>65</v>
      </c>
      <c r="AJ85" s="113">
        <f t="shared" si="23"/>
        <v>82</v>
      </c>
      <c r="AK85" s="113">
        <f t="shared" si="24"/>
        <v>82</v>
      </c>
      <c r="AL85" s="158">
        <f t="shared" si="25"/>
        <v>1.02</v>
      </c>
      <c r="AM85" s="159"/>
      <c r="AN85" s="160">
        <f t="shared" si="16"/>
        <v>1</v>
      </c>
      <c r="AO85" s="160">
        <f t="shared" si="16"/>
        <v>2</v>
      </c>
      <c r="AP85" s="133"/>
      <c r="AQ85" s="134"/>
      <c r="AR85" s="161"/>
      <c r="AS85" s="161"/>
      <c r="AT85" s="161"/>
      <c r="AU85" s="161"/>
      <c r="AV85" s="162"/>
      <c r="AW85" s="137">
        <f t="shared" si="26"/>
        <v>0</v>
      </c>
      <c r="AX85" s="137">
        <f t="shared" si="27"/>
        <v>0</v>
      </c>
    </row>
    <row r="86" ht="46.5" customHeight="1" spans="1:50" s="97" customFormat="1" x14ac:dyDescent="0.25">
      <c r="A86" s="100"/>
      <c r="B86" s="100"/>
      <c r="C86" s="100"/>
      <c r="D86" s="100"/>
      <c r="E86" s="100"/>
      <c r="F86" s="100"/>
      <c r="G86" s="103"/>
      <c r="H86" s="186"/>
      <c r="I86" s="195">
        <v>0.51</v>
      </c>
      <c r="J86" s="107">
        <v>0.49</v>
      </c>
      <c r="K86" s="107"/>
      <c r="L86" s="107"/>
      <c r="M86" s="187"/>
      <c r="N86" s="169">
        <f t="shared" si="14"/>
        <v>1</v>
      </c>
      <c r="O86" s="144">
        <v>1</v>
      </c>
      <c r="P86" s="145">
        <v>15</v>
      </c>
      <c r="Q86" s="113">
        <v>15</v>
      </c>
      <c r="R86" s="113"/>
      <c r="S86" s="113"/>
      <c r="T86" s="146"/>
      <c r="U86" s="148">
        <f t="shared" si="17"/>
        <v>15</v>
      </c>
      <c r="V86" s="149">
        <f t="shared" si="18"/>
        <v>15</v>
      </c>
      <c r="W86" s="189"/>
      <c r="X86" s="199"/>
      <c r="Y86" s="151"/>
      <c r="Z86" s="190"/>
      <c r="AA86" s="153"/>
      <c r="AB86" s="154">
        <f t="shared" si="19"/>
        <v>0</v>
      </c>
      <c r="AC86" s="149">
        <f t="shared" si="20"/>
        <v>0</v>
      </c>
      <c r="AD86" s="125">
        <v>2</v>
      </c>
      <c r="AE86" s="148">
        <f t="shared" si="21"/>
        <v>2</v>
      </c>
      <c r="AF86" s="156"/>
      <c r="AG86" s="156"/>
      <c r="AH86" s="113">
        <f t="shared" si="22"/>
        <v>17</v>
      </c>
      <c r="AI86" s="157">
        <v>65</v>
      </c>
      <c r="AJ86" s="113">
        <f t="shared" si="23"/>
        <v>82</v>
      </c>
      <c r="AK86" s="113">
        <f t="shared" si="24"/>
        <v>82</v>
      </c>
      <c r="AL86" s="158">
        <f t="shared" si="25"/>
        <v>1.02</v>
      </c>
      <c r="AM86" s="159"/>
      <c r="AN86" s="160">
        <f t="shared" si="16"/>
        <v>1</v>
      </c>
      <c r="AO86" s="160">
        <f t="shared" si="16"/>
        <v>2</v>
      </c>
      <c r="AP86" s="133"/>
      <c r="AQ86" s="134"/>
      <c r="AR86" s="161"/>
      <c r="AS86" s="161"/>
      <c r="AT86" s="161"/>
      <c r="AU86" s="161"/>
      <c r="AV86" s="162"/>
      <c r="AW86" s="137">
        <f t="shared" si="26"/>
        <v>0</v>
      </c>
      <c r="AX86" s="137">
        <f t="shared" si="27"/>
        <v>0</v>
      </c>
    </row>
    <row r="87" ht="46.5" customHeight="1" spans="1:50" s="97" customFormat="1" x14ac:dyDescent="0.25">
      <c r="A87" s="100"/>
      <c r="B87" s="100"/>
      <c r="C87" s="100"/>
      <c r="D87" s="100"/>
      <c r="E87" s="100"/>
      <c r="F87" s="100"/>
      <c r="G87" s="103"/>
      <c r="H87" s="186"/>
      <c r="I87" s="195">
        <v>0.51</v>
      </c>
      <c r="J87" s="107">
        <v>0.49</v>
      </c>
      <c r="K87" s="107"/>
      <c r="L87" s="107"/>
      <c r="M87" s="187"/>
      <c r="N87" s="169">
        <f t="shared" si="14"/>
        <v>1</v>
      </c>
      <c r="O87" s="144">
        <v>1</v>
      </c>
      <c r="P87" s="145">
        <v>15</v>
      </c>
      <c r="Q87" s="113">
        <v>15</v>
      </c>
      <c r="R87" s="113"/>
      <c r="S87" s="113"/>
      <c r="T87" s="146"/>
      <c r="U87" s="148">
        <f t="shared" si="17"/>
        <v>15</v>
      </c>
      <c r="V87" s="149">
        <f t="shared" si="18"/>
        <v>15</v>
      </c>
      <c r="W87" s="189"/>
      <c r="X87" s="199"/>
      <c r="Y87" s="151"/>
      <c r="Z87" s="190"/>
      <c r="AA87" s="153"/>
      <c r="AB87" s="154">
        <f t="shared" si="19"/>
        <v>0</v>
      </c>
      <c r="AC87" s="149">
        <f t="shared" si="20"/>
        <v>0</v>
      </c>
      <c r="AD87" s="125">
        <v>2</v>
      </c>
      <c r="AE87" s="148">
        <f t="shared" si="21"/>
        <v>2</v>
      </c>
      <c r="AF87" s="156"/>
      <c r="AG87" s="156"/>
      <c r="AH87" s="113">
        <f t="shared" si="22"/>
        <v>17</v>
      </c>
      <c r="AI87" s="157">
        <v>65</v>
      </c>
      <c r="AJ87" s="113">
        <f t="shared" si="23"/>
        <v>82</v>
      </c>
      <c r="AK87" s="113">
        <f t="shared" si="24"/>
        <v>82</v>
      </c>
      <c r="AL87" s="158">
        <f t="shared" si="25"/>
        <v>1.02</v>
      </c>
      <c r="AM87" s="159"/>
      <c r="AN87" s="160">
        <f t="shared" si="16"/>
        <v>1</v>
      </c>
      <c r="AO87" s="160">
        <f t="shared" si="16"/>
        <v>2</v>
      </c>
      <c r="AP87" s="133"/>
      <c r="AQ87" s="134"/>
      <c r="AR87" s="161"/>
      <c r="AS87" s="161"/>
      <c r="AT87" s="161"/>
      <c r="AU87" s="161"/>
      <c r="AV87" s="162"/>
      <c r="AW87" s="137">
        <f t="shared" si="26"/>
        <v>0</v>
      </c>
      <c r="AX87" s="137">
        <f t="shared" si="27"/>
        <v>0</v>
      </c>
    </row>
    <row r="88" ht="46.5" customHeight="1" spans="1:50" s="97" customFormat="1" x14ac:dyDescent="0.25">
      <c r="A88" s="100"/>
      <c r="B88" s="100"/>
      <c r="C88" s="100"/>
      <c r="D88" s="100"/>
      <c r="E88" s="100"/>
      <c r="F88" s="100"/>
      <c r="G88" s="103"/>
      <c r="H88" s="186"/>
      <c r="I88" s="195">
        <v>0.51</v>
      </c>
      <c r="J88" s="107">
        <v>0.49</v>
      </c>
      <c r="K88" s="107"/>
      <c r="L88" s="107"/>
      <c r="M88" s="187"/>
      <c r="N88" s="169">
        <f t="shared" si="14"/>
        <v>1</v>
      </c>
      <c r="O88" s="144">
        <v>1</v>
      </c>
      <c r="P88" s="145">
        <v>15</v>
      </c>
      <c r="Q88" s="113">
        <v>15</v>
      </c>
      <c r="R88" s="113"/>
      <c r="S88" s="113"/>
      <c r="T88" s="146"/>
      <c r="U88" s="148">
        <f t="shared" si="17"/>
        <v>15</v>
      </c>
      <c r="V88" s="149">
        <f t="shared" si="18"/>
        <v>15</v>
      </c>
      <c r="W88" s="189"/>
      <c r="X88" s="199"/>
      <c r="Y88" s="151"/>
      <c r="Z88" s="190"/>
      <c r="AA88" s="153"/>
      <c r="AB88" s="154">
        <f t="shared" si="19"/>
        <v>0</v>
      </c>
      <c r="AC88" s="149">
        <f t="shared" si="20"/>
        <v>0</v>
      </c>
      <c r="AD88" s="125">
        <v>2</v>
      </c>
      <c r="AE88" s="148">
        <f t="shared" si="21"/>
        <v>2</v>
      </c>
      <c r="AF88" s="156"/>
      <c r="AG88" s="156"/>
      <c r="AH88" s="113">
        <f t="shared" si="22"/>
        <v>17</v>
      </c>
      <c r="AI88" s="157">
        <v>65</v>
      </c>
      <c r="AJ88" s="113">
        <f t="shared" si="23"/>
        <v>82</v>
      </c>
      <c r="AK88" s="113">
        <f t="shared" si="24"/>
        <v>82</v>
      </c>
      <c r="AL88" s="158">
        <f t="shared" si="25"/>
        <v>1.02</v>
      </c>
      <c r="AM88" s="159"/>
      <c r="AN88" s="160">
        <f t="shared" si="16"/>
        <v>1</v>
      </c>
      <c r="AO88" s="160">
        <f t="shared" si="16"/>
        <v>2</v>
      </c>
      <c r="AP88" s="133"/>
      <c r="AQ88" s="134"/>
      <c r="AR88" s="161"/>
      <c r="AS88" s="161"/>
      <c r="AT88" s="161"/>
      <c r="AU88" s="161"/>
      <c r="AV88" s="162"/>
      <c r="AW88" s="137">
        <f t="shared" si="26"/>
        <v>0</v>
      </c>
      <c r="AX88" s="137">
        <f t="shared" si="27"/>
        <v>0</v>
      </c>
    </row>
    <row r="89" ht="46.5" customHeight="1" spans="1:50" s="97" customFormat="1" x14ac:dyDescent="0.25">
      <c r="A89" s="100"/>
      <c r="B89" s="100"/>
      <c r="C89" s="100"/>
      <c r="D89" s="100"/>
      <c r="E89" s="100"/>
      <c r="F89" s="100"/>
      <c r="G89" s="103"/>
      <c r="H89" s="186"/>
      <c r="I89" s="195">
        <v>0.51</v>
      </c>
      <c r="J89" s="107">
        <v>0.49</v>
      </c>
      <c r="K89" s="107"/>
      <c r="L89" s="107"/>
      <c r="M89" s="187"/>
      <c r="N89" s="169">
        <f t="shared" si="14"/>
        <v>1</v>
      </c>
      <c r="O89" s="144">
        <v>1</v>
      </c>
      <c r="P89" s="145">
        <v>15</v>
      </c>
      <c r="Q89" s="113">
        <v>15</v>
      </c>
      <c r="R89" s="113"/>
      <c r="S89" s="113"/>
      <c r="T89" s="146"/>
      <c r="U89" s="148">
        <f t="shared" si="17"/>
        <v>15</v>
      </c>
      <c r="V89" s="149">
        <f t="shared" si="18"/>
        <v>15</v>
      </c>
      <c r="W89" s="189"/>
      <c r="X89" s="199"/>
      <c r="Y89" s="151"/>
      <c r="Z89" s="190"/>
      <c r="AA89" s="153"/>
      <c r="AB89" s="154">
        <f t="shared" si="19"/>
        <v>0</v>
      </c>
      <c r="AC89" s="149">
        <f t="shared" si="20"/>
        <v>0</v>
      </c>
      <c r="AD89" s="125">
        <v>2</v>
      </c>
      <c r="AE89" s="148">
        <f t="shared" si="21"/>
        <v>2</v>
      </c>
      <c r="AF89" s="156"/>
      <c r="AG89" s="156"/>
      <c r="AH89" s="113">
        <f t="shared" si="22"/>
        <v>17</v>
      </c>
      <c r="AI89" s="157">
        <v>65</v>
      </c>
      <c r="AJ89" s="113">
        <f t="shared" si="23"/>
        <v>82</v>
      </c>
      <c r="AK89" s="113">
        <f t="shared" si="24"/>
        <v>82</v>
      </c>
      <c r="AL89" s="158">
        <f t="shared" si="25"/>
        <v>1.02</v>
      </c>
      <c r="AM89" s="159"/>
      <c r="AN89" s="160">
        <f t="shared" si="16"/>
        <v>1</v>
      </c>
      <c r="AO89" s="160">
        <f t="shared" si="16"/>
        <v>2</v>
      </c>
      <c r="AP89" s="133"/>
      <c r="AQ89" s="134"/>
      <c r="AR89" s="161"/>
      <c r="AS89" s="161"/>
      <c r="AT89" s="161"/>
      <c r="AU89" s="161"/>
      <c r="AV89" s="162"/>
      <c r="AW89" s="137">
        <f t="shared" si="26"/>
        <v>0</v>
      </c>
      <c r="AX89" s="137">
        <f t="shared" si="27"/>
        <v>0</v>
      </c>
    </row>
    <row r="90" ht="46.5" customHeight="1" spans="1:50" s="97" customFormat="1" x14ac:dyDescent="0.25">
      <c r="A90" s="100"/>
      <c r="B90" s="100"/>
      <c r="C90" s="100"/>
      <c r="D90" s="100"/>
      <c r="E90" s="100"/>
      <c r="F90" s="100"/>
      <c r="G90" s="103"/>
      <c r="H90" s="186"/>
      <c r="I90" s="195">
        <v>0.51</v>
      </c>
      <c r="J90" s="107">
        <v>0.49</v>
      </c>
      <c r="K90" s="107"/>
      <c r="L90" s="107"/>
      <c r="M90" s="187"/>
      <c r="N90" s="169">
        <f t="shared" si="14"/>
        <v>1</v>
      </c>
      <c r="O90" s="144">
        <v>1</v>
      </c>
      <c r="P90" s="145">
        <v>15</v>
      </c>
      <c r="Q90" s="113">
        <v>15</v>
      </c>
      <c r="R90" s="113"/>
      <c r="S90" s="113"/>
      <c r="T90" s="146"/>
      <c r="U90" s="148">
        <f t="shared" si="17"/>
        <v>15</v>
      </c>
      <c r="V90" s="149">
        <f t="shared" si="18"/>
        <v>15</v>
      </c>
      <c r="W90" s="189"/>
      <c r="X90" s="199"/>
      <c r="Y90" s="151"/>
      <c r="Z90" s="190"/>
      <c r="AA90" s="153"/>
      <c r="AB90" s="154">
        <f t="shared" si="19"/>
        <v>0</v>
      </c>
      <c r="AC90" s="149">
        <f t="shared" si="20"/>
        <v>0</v>
      </c>
      <c r="AD90" s="125">
        <v>2</v>
      </c>
      <c r="AE90" s="148">
        <f t="shared" si="21"/>
        <v>2</v>
      </c>
      <c r="AF90" s="156"/>
      <c r="AG90" s="156"/>
      <c r="AH90" s="113">
        <f t="shared" si="22"/>
        <v>17</v>
      </c>
      <c r="AI90" s="157">
        <v>65</v>
      </c>
      <c r="AJ90" s="113">
        <f t="shared" si="23"/>
        <v>82</v>
      </c>
      <c r="AK90" s="113">
        <f t="shared" si="24"/>
        <v>82</v>
      </c>
      <c r="AL90" s="158">
        <f t="shared" si="25"/>
        <v>1.02</v>
      </c>
      <c r="AM90" s="159"/>
      <c r="AN90" s="160">
        <f t="shared" si="16"/>
        <v>1</v>
      </c>
      <c r="AO90" s="160">
        <f t="shared" si="16"/>
        <v>2</v>
      </c>
      <c r="AP90" s="133"/>
      <c r="AQ90" s="134"/>
      <c r="AR90" s="161"/>
      <c r="AS90" s="161"/>
      <c r="AT90" s="161"/>
      <c r="AU90" s="161"/>
      <c r="AV90" s="162"/>
      <c r="AW90" s="137">
        <f t="shared" si="26"/>
        <v>0</v>
      </c>
      <c r="AX90" s="137">
        <f t="shared" si="27"/>
        <v>0</v>
      </c>
    </row>
    <row r="91" ht="46.5" customHeight="1" spans="1:50" s="97" customFormat="1" x14ac:dyDescent="0.25">
      <c r="A91" s="100"/>
      <c r="B91" s="100"/>
      <c r="C91" s="100"/>
      <c r="D91" s="100"/>
      <c r="E91" s="100"/>
      <c r="F91" s="100"/>
      <c r="G91" s="103"/>
      <c r="H91" s="186"/>
      <c r="I91" s="195">
        <v>0.51</v>
      </c>
      <c r="J91" s="107">
        <v>0.49</v>
      </c>
      <c r="K91" s="107"/>
      <c r="L91" s="107"/>
      <c r="M91" s="187"/>
      <c r="N91" s="169">
        <f t="shared" si="14"/>
        <v>1</v>
      </c>
      <c r="O91" s="144">
        <v>1</v>
      </c>
      <c r="P91" s="145">
        <v>15</v>
      </c>
      <c r="Q91" s="113">
        <v>15</v>
      </c>
      <c r="R91" s="113"/>
      <c r="S91" s="113"/>
      <c r="T91" s="146"/>
      <c r="U91" s="148">
        <f t="shared" si="17"/>
        <v>15</v>
      </c>
      <c r="V91" s="149">
        <f t="shared" si="18"/>
        <v>15</v>
      </c>
      <c r="W91" s="189"/>
      <c r="X91" s="199"/>
      <c r="Y91" s="151"/>
      <c r="Z91" s="190"/>
      <c r="AA91" s="153"/>
      <c r="AB91" s="154">
        <f t="shared" si="19"/>
        <v>0</v>
      </c>
      <c r="AC91" s="149">
        <f t="shared" si="20"/>
        <v>0</v>
      </c>
      <c r="AD91" s="125">
        <v>2</v>
      </c>
      <c r="AE91" s="148">
        <f t="shared" si="21"/>
        <v>2</v>
      </c>
      <c r="AF91" s="156"/>
      <c r="AG91" s="156"/>
      <c r="AH91" s="113">
        <f t="shared" si="22"/>
        <v>17</v>
      </c>
      <c r="AI91" s="157">
        <v>65</v>
      </c>
      <c r="AJ91" s="113">
        <f t="shared" si="23"/>
        <v>82</v>
      </c>
      <c r="AK91" s="113">
        <f t="shared" si="24"/>
        <v>82</v>
      </c>
      <c r="AL91" s="158">
        <f t="shared" si="25"/>
        <v>1.02</v>
      </c>
      <c r="AM91" s="159"/>
      <c r="AN91" s="160">
        <f t="shared" si="16"/>
        <v>1</v>
      </c>
      <c r="AO91" s="160">
        <f t="shared" si="16"/>
        <v>2</v>
      </c>
      <c r="AP91" s="133"/>
      <c r="AQ91" s="134"/>
      <c r="AR91" s="161"/>
      <c r="AS91" s="161"/>
      <c r="AT91" s="161"/>
      <c r="AU91" s="161"/>
      <c r="AV91" s="162"/>
      <c r="AW91" s="137">
        <f t="shared" si="26"/>
        <v>0</v>
      </c>
      <c r="AX91" s="137">
        <f t="shared" si="27"/>
        <v>0</v>
      </c>
    </row>
    <row r="92" ht="46.5" customHeight="1" spans="1:50" s="97" customFormat="1" x14ac:dyDescent="0.25">
      <c r="A92" s="100"/>
      <c r="B92" s="100"/>
      <c r="C92" s="100"/>
      <c r="D92" s="100"/>
      <c r="E92" s="100"/>
      <c r="F92" s="100"/>
      <c r="G92" s="103"/>
      <c r="H92" s="186"/>
      <c r="I92" s="195">
        <v>0.51</v>
      </c>
      <c r="J92" s="107">
        <v>0.49</v>
      </c>
      <c r="K92" s="107"/>
      <c r="L92" s="107"/>
      <c r="M92" s="187"/>
      <c r="N92" s="169">
        <f t="shared" si="14"/>
        <v>1</v>
      </c>
      <c r="O92" s="144">
        <v>1</v>
      </c>
      <c r="P92" s="145">
        <v>15</v>
      </c>
      <c r="Q92" s="113">
        <v>15</v>
      </c>
      <c r="R92" s="113"/>
      <c r="S92" s="113"/>
      <c r="T92" s="146"/>
      <c r="U92" s="148">
        <f t="shared" si="17"/>
        <v>15</v>
      </c>
      <c r="V92" s="149">
        <f t="shared" si="18"/>
        <v>15</v>
      </c>
      <c r="W92" s="189"/>
      <c r="X92" s="199"/>
      <c r="Y92" s="151"/>
      <c r="Z92" s="190"/>
      <c r="AA92" s="153"/>
      <c r="AB92" s="154">
        <f t="shared" si="19"/>
        <v>0</v>
      </c>
      <c r="AC92" s="149">
        <f t="shared" si="20"/>
        <v>0</v>
      </c>
      <c r="AD92" s="125">
        <v>2</v>
      </c>
      <c r="AE92" s="148">
        <f t="shared" si="21"/>
        <v>2</v>
      </c>
      <c r="AF92" s="156"/>
      <c r="AG92" s="156"/>
      <c r="AH92" s="113">
        <f t="shared" si="22"/>
        <v>17</v>
      </c>
      <c r="AI92" s="157">
        <v>65</v>
      </c>
      <c r="AJ92" s="113">
        <f t="shared" si="23"/>
        <v>82</v>
      </c>
      <c r="AK92" s="113">
        <f t="shared" si="24"/>
        <v>82</v>
      </c>
      <c r="AL92" s="158">
        <f t="shared" si="25"/>
        <v>1.02</v>
      </c>
      <c r="AM92" s="159"/>
      <c r="AN92" s="160">
        <f t="shared" si="16"/>
        <v>1</v>
      </c>
      <c r="AO92" s="160">
        <f t="shared" si="16"/>
        <v>2</v>
      </c>
      <c r="AP92" s="133"/>
      <c r="AQ92" s="134"/>
      <c r="AR92" s="161"/>
      <c r="AS92" s="161"/>
      <c r="AT92" s="161"/>
      <c r="AU92" s="161"/>
      <c r="AV92" s="162"/>
      <c r="AW92" s="137">
        <f t="shared" si="26"/>
        <v>0</v>
      </c>
      <c r="AX92" s="137">
        <f t="shared" si="27"/>
        <v>0</v>
      </c>
    </row>
    <row r="93" ht="46.5" customHeight="1" spans="1:50" s="97" customFormat="1" x14ac:dyDescent="0.25">
      <c r="A93" s="100"/>
      <c r="B93" s="100"/>
      <c r="C93" s="100"/>
      <c r="D93" s="100"/>
      <c r="E93" s="100"/>
      <c r="F93" s="100"/>
      <c r="G93" s="103"/>
      <c r="H93" s="186"/>
      <c r="I93" s="195">
        <v>0.51</v>
      </c>
      <c r="J93" s="107">
        <v>0.49</v>
      </c>
      <c r="K93" s="107"/>
      <c r="L93" s="107"/>
      <c r="M93" s="187"/>
      <c r="N93" s="169">
        <f t="shared" si="14"/>
        <v>1</v>
      </c>
      <c r="O93" s="144">
        <v>1</v>
      </c>
      <c r="P93" s="145">
        <v>15</v>
      </c>
      <c r="Q93" s="113">
        <v>15</v>
      </c>
      <c r="R93" s="113"/>
      <c r="S93" s="113"/>
      <c r="T93" s="146"/>
      <c r="U93" s="148">
        <f t="shared" si="17"/>
        <v>15</v>
      </c>
      <c r="V93" s="149">
        <f t="shared" si="18"/>
        <v>15</v>
      </c>
      <c r="W93" s="189"/>
      <c r="X93" s="199"/>
      <c r="Y93" s="151"/>
      <c r="Z93" s="190"/>
      <c r="AA93" s="153"/>
      <c r="AB93" s="154">
        <f t="shared" si="19"/>
        <v>0</v>
      </c>
      <c r="AC93" s="149">
        <f t="shared" si="20"/>
        <v>0</v>
      </c>
      <c r="AD93" s="125">
        <v>2</v>
      </c>
      <c r="AE93" s="148">
        <f t="shared" si="21"/>
        <v>2</v>
      </c>
      <c r="AF93" s="156"/>
      <c r="AG93" s="156"/>
      <c r="AH93" s="113">
        <f t="shared" si="22"/>
        <v>17</v>
      </c>
      <c r="AI93" s="157">
        <v>65</v>
      </c>
      <c r="AJ93" s="113">
        <f t="shared" si="23"/>
        <v>82</v>
      </c>
      <c r="AK93" s="113">
        <f t="shared" si="24"/>
        <v>82</v>
      </c>
      <c r="AL93" s="158">
        <f t="shared" si="25"/>
        <v>1.02</v>
      </c>
      <c r="AM93" s="159"/>
      <c r="AN93" s="160">
        <f t="shared" ref="AN93:AO112" si="28">100%+AM93</f>
        <v>1</v>
      </c>
      <c r="AO93" s="160">
        <f t="shared" si="28"/>
        <v>2</v>
      </c>
      <c r="AP93" s="133"/>
      <c r="AQ93" s="134"/>
      <c r="AR93" s="161"/>
      <c r="AS93" s="161"/>
      <c r="AT93" s="161"/>
      <c r="AU93" s="161"/>
      <c r="AV93" s="162"/>
      <c r="AW93" s="137">
        <f t="shared" si="26"/>
        <v>0</v>
      </c>
      <c r="AX93" s="137">
        <f t="shared" si="27"/>
        <v>0</v>
      </c>
    </row>
    <row r="94" ht="46.5" customHeight="1" spans="1:50" s="97" customFormat="1" x14ac:dyDescent="0.25">
      <c r="A94" s="100"/>
      <c r="B94" s="100"/>
      <c r="C94" s="100"/>
      <c r="D94" s="100"/>
      <c r="E94" s="100"/>
      <c r="F94" s="100"/>
      <c r="G94" s="103"/>
      <c r="H94" s="186"/>
      <c r="I94" s="195">
        <v>0.51</v>
      </c>
      <c r="J94" s="107">
        <v>0.49</v>
      </c>
      <c r="K94" s="107"/>
      <c r="L94" s="107"/>
      <c r="M94" s="187"/>
      <c r="N94" s="169">
        <f t="shared" si="14"/>
        <v>1</v>
      </c>
      <c r="O94" s="144">
        <v>1</v>
      </c>
      <c r="P94" s="145">
        <v>15</v>
      </c>
      <c r="Q94" s="113">
        <v>15</v>
      </c>
      <c r="R94" s="113"/>
      <c r="S94" s="113"/>
      <c r="T94" s="146"/>
      <c r="U94" s="148">
        <f t="shared" si="17"/>
        <v>15</v>
      </c>
      <c r="V94" s="149">
        <f t="shared" si="18"/>
        <v>15</v>
      </c>
      <c r="W94" s="189"/>
      <c r="X94" s="199"/>
      <c r="Y94" s="151"/>
      <c r="Z94" s="190"/>
      <c r="AA94" s="153"/>
      <c r="AB94" s="154">
        <f t="shared" si="19"/>
        <v>0</v>
      </c>
      <c r="AC94" s="149">
        <f t="shared" si="20"/>
        <v>0</v>
      </c>
      <c r="AD94" s="125">
        <v>2</v>
      </c>
      <c r="AE94" s="148">
        <f t="shared" si="21"/>
        <v>2</v>
      </c>
      <c r="AF94" s="156"/>
      <c r="AG94" s="156"/>
      <c r="AH94" s="113">
        <f t="shared" si="22"/>
        <v>17</v>
      </c>
      <c r="AI94" s="157">
        <v>65</v>
      </c>
      <c r="AJ94" s="113">
        <f t="shared" si="23"/>
        <v>82</v>
      </c>
      <c r="AK94" s="113">
        <f t="shared" si="24"/>
        <v>82</v>
      </c>
      <c r="AL94" s="158">
        <f t="shared" si="25"/>
        <v>1.02</v>
      </c>
      <c r="AM94" s="159"/>
      <c r="AN94" s="160">
        <f t="shared" si="28"/>
        <v>1</v>
      </c>
      <c r="AO94" s="160">
        <f t="shared" si="28"/>
        <v>2</v>
      </c>
      <c r="AP94" s="133"/>
      <c r="AQ94" s="134"/>
      <c r="AR94" s="161"/>
      <c r="AS94" s="161"/>
      <c r="AT94" s="161"/>
      <c r="AU94" s="161"/>
      <c r="AV94" s="162"/>
      <c r="AW94" s="137">
        <f t="shared" si="26"/>
        <v>0</v>
      </c>
      <c r="AX94" s="137">
        <f t="shared" si="27"/>
        <v>0</v>
      </c>
    </row>
    <row r="95" ht="46.5" customHeight="1" spans="1:50" s="97" customFormat="1" x14ac:dyDescent="0.25">
      <c r="A95" s="100"/>
      <c r="B95" s="100"/>
      <c r="C95" s="100"/>
      <c r="D95" s="100"/>
      <c r="E95" s="100"/>
      <c r="F95" s="100"/>
      <c r="G95" s="103"/>
      <c r="H95" s="186"/>
      <c r="I95" s="195">
        <v>0.51</v>
      </c>
      <c r="J95" s="107">
        <v>0.49</v>
      </c>
      <c r="K95" s="107"/>
      <c r="L95" s="107"/>
      <c r="M95" s="187"/>
      <c r="N95" s="169">
        <f t="shared" si="14"/>
        <v>1</v>
      </c>
      <c r="O95" s="144">
        <v>1</v>
      </c>
      <c r="P95" s="145">
        <v>15</v>
      </c>
      <c r="Q95" s="113">
        <v>15</v>
      </c>
      <c r="R95" s="113"/>
      <c r="S95" s="113"/>
      <c r="T95" s="146"/>
      <c r="U95" s="148">
        <f t="shared" si="17"/>
        <v>15</v>
      </c>
      <c r="V95" s="149">
        <f t="shared" si="18"/>
        <v>15</v>
      </c>
      <c r="W95" s="189"/>
      <c r="X95" s="199"/>
      <c r="Y95" s="151"/>
      <c r="Z95" s="190"/>
      <c r="AA95" s="153"/>
      <c r="AB95" s="154">
        <f t="shared" si="19"/>
        <v>0</v>
      </c>
      <c r="AC95" s="149">
        <f t="shared" si="20"/>
        <v>0</v>
      </c>
      <c r="AD95" s="125">
        <v>2</v>
      </c>
      <c r="AE95" s="148">
        <f t="shared" si="21"/>
        <v>2</v>
      </c>
      <c r="AF95" s="156"/>
      <c r="AG95" s="156"/>
      <c r="AH95" s="113">
        <f t="shared" si="22"/>
        <v>17</v>
      </c>
      <c r="AI95" s="157">
        <v>65</v>
      </c>
      <c r="AJ95" s="113">
        <f t="shared" si="23"/>
        <v>82</v>
      </c>
      <c r="AK95" s="113">
        <f t="shared" si="24"/>
        <v>82</v>
      </c>
      <c r="AL95" s="158">
        <f t="shared" si="25"/>
        <v>1.02</v>
      </c>
      <c r="AM95" s="159"/>
      <c r="AN95" s="160">
        <f t="shared" si="28"/>
        <v>1</v>
      </c>
      <c r="AO95" s="160">
        <f t="shared" si="28"/>
        <v>2</v>
      </c>
      <c r="AP95" s="133"/>
      <c r="AQ95" s="134"/>
      <c r="AR95" s="161"/>
      <c r="AS95" s="161"/>
      <c r="AT95" s="161"/>
      <c r="AU95" s="161"/>
      <c r="AV95" s="162"/>
      <c r="AW95" s="137">
        <f t="shared" si="26"/>
        <v>0</v>
      </c>
      <c r="AX95" s="137">
        <f t="shared" si="27"/>
        <v>0</v>
      </c>
    </row>
    <row r="96" ht="46.5" customHeight="1" spans="1:50" s="97" customFormat="1" x14ac:dyDescent="0.25">
      <c r="A96" s="100"/>
      <c r="B96" s="100"/>
      <c r="C96" s="100"/>
      <c r="D96" s="100"/>
      <c r="E96" s="100"/>
      <c r="F96" s="100"/>
      <c r="G96" s="103"/>
      <c r="H96" s="186"/>
      <c r="I96" s="195">
        <v>0.51</v>
      </c>
      <c r="J96" s="107">
        <v>0.49</v>
      </c>
      <c r="K96" s="107"/>
      <c r="L96" s="107"/>
      <c r="M96" s="187"/>
      <c r="N96" s="169">
        <f t="shared" si="14"/>
        <v>1</v>
      </c>
      <c r="O96" s="144">
        <v>1</v>
      </c>
      <c r="P96" s="145">
        <v>15</v>
      </c>
      <c r="Q96" s="113">
        <v>15</v>
      </c>
      <c r="R96" s="113"/>
      <c r="S96" s="113"/>
      <c r="T96" s="146"/>
      <c r="U96" s="148">
        <f t="shared" si="17"/>
        <v>15</v>
      </c>
      <c r="V96" s="149">
        <f t="shared" si="18"/>
        <v>15</v>
      </c>
      <c r="W96" s="189"/>
      <c r="X96" s="199"/>
      <c r="Y96" s="151"/>
      <c r="Z96" s="190"/>
      <c r="AA96" s="153"/>
      <c r="AB96" s="154">
        <f t="shared" si="19"/>
        <v>0</v>
      </c>
      <c r="AC96" s="149">
        <f t="shared" si="20"/>
        <v>0</v>
      </c>
      <c r="AD96" s="125">
        <v>2</v>
      </c>
      <c r="AE96" s="148">
        <f t="shared" si="21"/>
        <v>2</v>
      </c>
      <c r="AF96" s="156"/>
      <c r="AG96" s="156"/>
      <c r="AH96" s="113">
        <f t="shared" si="22"/>
        <v>17</v>
      </c>
      <c r="AI96" s="157">
        <v>65</v>
      </c>
      <c r="AJ96" s="113">
        <f t="shared" si="23"/>
        <v>82</v>
      </c>
      <c r="AK96" s="113">
        <f t="shared" si="24"/>
        <v>82</v>
      </c>
      <c r="AL96" s="158">
        <f t="shared" si="25"/>
        <v>1.02</v>
      </c>
      <c r="AM96" s="159"/>
      <c r="AN96" s="160">
        <f t="shared" si="28"/>
        <v>1</v>
      </c>
      <c r="AO96" s="160">
        <f t="shared" si="28"/>
        <v>2</v>
      </c>
      <c r="AP96" s="133"/>
      <c r="AQ96" s="134"/>
      <c r="AR96" s="161"/>
      <c r="AS96" s="161"/>
      <c r="AT96" s="161"/>
      <c r="AU96" s="161"/>
      <c r="AV96" s="162"/>
      <c r="AW96" s="137">
        <f t="shared" si="26"/>
        <v>0</v>
      </c>
      <c r="AX96" s="137">
        <f t="shared" si="27"/>
        <v>0</v>
      </c>
    </row>
    <row r="97" ht="46.5" customHeight="1" spans="1:50" s="97" customFormat="1" x14ac:dyDescent="0.25">
      <c r="A97" s="100"/>
      <c r="B97" s="100"/>
      <c r="C97" s="100"/>
      <c r="D97" s="100"/>
      <c r="E97" s="100"/>
      <c r="F97" s="100"/>
      <c r="G97" s="103"/>
      <c r="H97" s="186"/>
      <c r="I97" s="195">
        <v>0.51</v>
      </c>
      <c r="J97" s="107">
        <v>0.49</v>
      </c>
      <c r="K97" s="107"/>
      <c r="L97" s="107"/>
      <c r="M97" s="187"/>
      <c r="N97" s="169">
        <f t="shared" si="14"/>
        <v>1</v>
      </c>
      <c r="O97" s="144">
        <v>1</v>
      </c>
      <c r="P97" s="145">
        <v>15</v>
      </c>
      <c r="Q97" s="113">
        <v>15</v>
      </c>
      <c r="R97" s="113"/>
      <c r="S97" s="113"/>
      <c r="T97" s="146"/>
      <c r="U97" s="148">
        <f t="shared" si="17"/>
        <v>15</v>
      </c>
      <c r="V97" s="149">
        <f t="shared" si="18"/>
        <v>15</v>
      </c>
      <c r="W97" s="189"/>
      <c r="X97" s="199"/>
      <c r="Y97" s="151"/>
      <c r="Z97" s="190"/>
      <c r="AA97" s="153"/>
      <c r="AB97" s="154">
        <f t="shared" si="19"/>
        <v>0</v>
      </c>
      <c r="AC97" s="149">
        <f t="shared" si="20"/>
        <v>0</v>
      </c>
      <c r="AD97" s="125">
        <v>2</v>
      </c>
      <c r="AE97" s="148">
        <f t="shared" si="21"/>
        <v>2</v>
      </c>
      <c r="AF97" s="156"/>
      <c r="AG97" s="156"/>
      <c r="AH97" s="113">
        <f t="shared" si="22"/>
        <v>17</v>
      </c>
      <c r="AI97" s="157">
        <v>65</v>
      </c>
      <c r="AJ97" s="113">
        <f t="shared" si="23"/>
        <v>82</v>
      </c>
      <c r="AK97" s="113">
        <f t="shared" si="24"/>
        <v>82</v>
      </c>
      <c r="AL97" s="158">
        <f t="shared" si="25"/>
        <v>1.02</v>
      </c>
      <c r="AM97" s="159"/>
      <c r="AN97" s="160">
        <f t="shared" si="28"/>
        <v>1</v>
      </c>
      <c r="AO97" s="160">
        <f t="shared" si="28"/>
        <v>2</v>
      </c>
      <c r="AP97" s="133"/>
      <c r="AQ97" s="134"/>
      <c r="AR97" s="161"/>
      <c r="AS97" s="161"/>
      <c r="AT97" s="161"/>
      <c r="AU97" s="161"/>
      <c r="AV97" s="162"/>
      <c r="AW97" s="137">
        <f t="shared" si="26"/>
        <v>0</v>
      </c>
      <c r="AX97" s="137">
        <f t="shared" si="27"/>
        <v>0</v>
      </c>
    </row>
    <row r="98" ht="46.5" customHeight="1" spans="1:50" s="97" customFormat="1" x14ac:dyDescent="0.25">
      <c r="A98" s="100"/>
      <c r="B98" s="100"/>
      <c r="C98" s="100"/>
      <c r="D98" s="100"/>
      <c r="E98" s="100"/>
      <c r="F98" s="100"/>
      <c r="G98" s="103"/>
      <c r="H98" s="186"/>
      <c r="I98" s="195">
        <v>0.51</v>
      </c>
      <c r="J98" s="107">
        <v>0.49</v>
      </c>
      <c r="K98" s="107"/>
      <c r="L98" s="107"/>
      <c r="M98" s="187"/>
      <c r="N98" s="169">
        <f t="shared" si="14"/>
        <v>1</v>
      </c>
      <c r="O98" s="144">
        <v>1</v>
      </c>
      <c r="P98" s="145">
        <v>15</v>
      </c>
      <c r="Q98" s="113">
        <v>15</v>
      </c>
      <c r="R98" s="113"/>
      <c r="S98" s="113"/>
      <c r="T98" s="146"/>
      <c r="U98" s="148">
        <f t="shared" si="17"/>
        <v>15</v>
      </c>
      <c r="V98" s="149">
        <f t="shared" si="18"/>
        <v>15</v>
      </c>
      <c r="W98" s="189"/>
      <c r="X98" s="199"/>
      <c r="Y98" s="151"/>
      <c r="Z98" s="190"/>
      <c r="AA98" s="153"/>
      <c r="AB98" s="154">
        <f t="shared" si="19"/>
        <v>0</v>
      </c>
      <c r="AC98" s="149">
        <f t="shared" si="20"/>
        <v>0</v>
      </c>
      <c r="AD98" s="125">
        <v>2</v>
      </c>
      <c r="AE98" s="148">
        <f t="shared" si="21"/>
        <v>2</v>
      </c>
      <c r="AF98" s="156"/>
      <c r="AG98" s="156"/>
      <c r="AH98" s="113">
        <f t="shared" si="22"/>
        <v>17</v>
      </c>
      <c r="AI98" s="157">
        <v>65</v>
      </c>
      <c r="AJ98" s="113">
        <f t="shared" si="23"/>
        <v>82</v>
      </c>
      <c r="AK98" s="113">
        <f t="shared" si="24"/>
        <v>82</v>
      </c>
      <c r="AL98" s="158">
        <f t="shared" si="25"/>
        <v>1.02</v>
      </c>
      <c r="AM98" s="159"/>
      <c r="AN98" s="160">
        <f t="shared" si="28"/>
        <v>1</v>
      </c>
      <c r="AO98" s="160">
        <f t="shared" si="28"/>
        <v>2</v>
      </c>
      <c r="AP98" s="133"/>
      <c r="AQ98" s="134"/>
      <c r="AR98" s="161"/>
      <c r="AS98" s="161"/>
      <c r="AT98" s="161"/>
      <c r="AU98" s="161"/>
      <c r="AV98" s="162"/>
      <c r="AW98" s="137">
        <f t="shared" si="26"/>
        <v>0</v>
      </c>
      <c r="AX98" s="137">
        <f t="shared" si="27"/>
        <v>0</v>
      </c>
    </row>
    <row r="99" ht="46.5" customHeight="1" spans="1:50" s="97" customFormat="1" x14ac:dyDescent="0.25">
      <c r="A99" s="100"/>
      <c r="B99" s="100"/>
      <c r="C99" s="100"/>
      <c r="D99" s="100"/>
      <c r="E99" s="100"/>
      <c r="F99" s="100"/>
      <c r="G99" s="103"/>
      <c r="H99" s="186"/>
      <c r="I99" s="195">
        <v>0.51</v>
      </c>
      <c r="J99" s="107">
        <v>0.49</v>
      </c>
      <c r="K99" s="107"/>
      <c r="L99" s="107"/>
      <c r="M99" s="187"/>
      <c r="N99" s="169">
        <f t="shared" si="14"/>
        <v>1</v>
      </c>
      <c r="O99" s="144">
        <v>1</v>
      </c>
      <c r="P99" s="145">
        <v>15</v>
      </c>
      <c r="Q99" s="113">
        <v>15</v>
      </c>
      <c r="R99" s="113"/>
      <c r="S99" s="113"/>
      <c r="T99" s="146"/>
      <c r="U99" s="148">
        <f t="shared" si="17"/>
        <v>15</v>
      </c>
      <c r="V99" s="149">
        <f t="shared" si="18"/>
        <v>15</v>
      </c>
      <c r="W99" s="189"/>
      <c r="X99" s="199"/>
      <c r="Y99" s="151"/>
      <c r="Z99" s="190"/>
      <c r="AA99" s="153"/>
      <c r="AB99" s="154">
        <f t="shared" si="19"/>
        <v>0</v>
      </c>
      <c r="AC99" s="149">
        <f t="shared" si="20"/>
        <v>0</v>
      </c>
      <c r="AD99" s="125">
        <v>2</v>
      </c>
      <c r="AE99" s="148">
        <f t="shared" si="21"/>
        <v>2</v>
      </c>
      <c r="AF99" s="156"/>
      <c r="AG99" s="156"/>
      <c r="AH99" s="113">
        <f t="shared" si="22"/>
        <v>17</v>
      </c>
      <c r="AI99" s="157">
        <v>65</v>
      </c>
      <c r="AJ99" s="113">
        <f t="shared" si="23"/>
        <v>82</v>
      </c>
      <c r="AK99" s="113">
        <f t="shared" si="24"/>
        <v>82</v>
      </c>
      <c r="AL99" s="158">
        <f t="shared" si="25"/>
        <v>1.02</v>
      </c>
      <c r="AM99" s="159"/>
      <c r="AN99" s="160">
        <f t="shared" si="28"/>
        <v>1</v>
      </c>
      <c r="AO99" s="160">
        <f t="shared" si="28"/>
        <v>2</v>
      </c>
      <c r="AP99" s="133"/>
      <c r="AQ99" s="134"/>
      <c r="AR99" s="161"/>
      <c r="AS99" s="161"/>
      <c r="AT99" s="161"/>
      <c r="AU99" s="161"/>
      <c r="AV99" s="162"/>
      <c r="AW99" s="137">
        <f t="shared" si="26"/>
        <v>0</v>
      </c>
      <c r="AX99" s="137">
        <f t="shared" si="27"/>
        <v>0</v>
      </c>
    </row>
    <row r="100" ht="64.5" customHeight="1" spans="1:50" s="56" customFormat="1" x14ac:dyDescent="0.25">
      <c r="A100" s="100"/>
      <c r="B100" s="100"/>
      <c r="C100" s="100"/>
      <c r="D100" s="100"/>
      <c r="E100" s="100"/>
      <c r="F100" s="100"/>
      <c r="G100" s="103"/>
      <c r="H100" s="186"/>
      <c r="I100" s="195">
        <v>0.51</v>
      </c>
      <c r="J100" s="107">
        <v>0.49</v>
      </c>
      <c r="K100" s="107"/>
      <c r="L100" s="107"/>
      <c r="M100" s="187"/>
      <c r="N100" s="169">
        <f t="shared" si="14"/>
        <v>1</v>
      </c>
      <c r="O100" s="144">
        <v>1</v>
      </c>
      <c r="P100" s="145">
        <v>15</v>
      </c>
      <c r="Q100" s="113">
        <v>15</v>
      </c>
      <c r="R100" s="113"/>
      <c r="S100" s="113"/>
      <c r="T100" s="146"/>
      <c r="U100" s="148">
        <f t="shared" si="17"/>
        <v>15</v>
      </c>
      <c r="V100" s="149">
        <f t="shared" si="18"/>
        <v>15</v>
      </c>
      <c r="W100" s="189"/>
      <c r="X100" s="199"/>
      <c r="Y100" s="151"/>
      <c r="Z100" s="190"/>
      <c r="AA100" s="153"/>
      <c r="AB100" s="154">
        <f t="shared" si="19"/>
        <v>0</v>
      </c>
      <c r="AC100" s="149">
        <f t="shared" si="20"/>
        <v>0</v>
      </c>
      <c r="AD100" s="125">
        <v>2</v>
      </c>
      <c r="AE100" s="148">
        <f t="shared" si="21"/>
        <v>2</v>
      </c>
      <c r="AF100" s="156"/>
      <c r="AG100" s="156"/>
      <c r="AH100" s="113">
        <f t="shared" si="22"/>
        <v>17</v>
      </c>
      <c r="AI100" s="157">
        <v>65</v>
      </c>
      <c r="AJ100" s="113">
        <f t="shared" si="23"/>
        <v>82</v>
      </c>
      <c r="AK100" s="113">
        <f t="shared" si="24"/>
        <v>82</v>
      </c>
      <c r="AL100" s="158">
        <f t="shared" si="25"/>
        <v>1.02</v>
      </c>
      <c r="AM100" s="159"/>
      <c r="AN100" s="160">
        <f t="shared" si="28"/>
        <v>1</v>
      </c>
      <c r="AO100" s="160">
        <f t="shared" si="28"/>
        <v>2</v>
      </c>
      <c r="AP100" s="133"/>
      <c r="AQ100" s="134"/>
      <c r="AR100" s="161"/>
      <c r="AS100" s="161"/>
      <c r="AT100" s="161"/>
      <c r="AU100" s="161"/>
      <c r="AV100" s="162"/>
      <c r="AW100" s="137">
        <f t="shared" si="26"/>
        <v>0</v>
      </c>
      <c r="AX100" s="137">
        <f t="shared" si="27"/>
        <v>0</v>
      </c>
    </row>
    <row r="101" ht="46.5" customHeight="1" spans="1:50" s="97" customFormat="1" x14ac:dyDescent="0.25">
      <c r="A101" s="100"/>
      <c r="B101" s="100"/>
      <c r="C101" s="100"/>
      <c r="D101" s="100"/>
      <c r="E101" s="100"/>
      <c r="F101" s="100"/>
      <c r="G101" s="103"/>
      <c r="H101" s="186"/>
      <c r="I101" s="195">
        <v>0.51</v>
      </c>
      <c r="J101" s="107">
        <v>0.49</v>
      </c>
      <c r="K101" s="107"/>
      <c r="L101" s="107"/>
      <c r="M101" s="187"/>
      <c r="N101" s="169">
        <f t="shared" si="14"/>
        <v>1</v>
      </c>
      <c r="O101" s="144">
        <v>1</v>
      </c>
      <c r="P101" s="145">
        <v>15</v>
      </c>
      <c r="Q101" s="113">
        <v>15</v>
      </c>
      <c r="R101" s="113"/>
      <c r="S101" s="113"/>
      <c r="T101" s="146"/>
      <c r="U101" s="148">
        <f t="shared" si="17"/>
        <v>15</v>
      </c>
      <c r="V101" s="149">
        <f t="shared" si="18"/>
        <v>15</v>
      </c>
      <c r="W101" s="189"/>
      <c r="X101" s="199"/>
      <c r="Y101" s="151"/>
      <c r="Z101" s="190"/>
      <c r="AA101" s="153"/>
      <c r="AB101" s="154">
        <f t="shared" si="19"/>
        <v>0</v>
      </c>
      <c r="AC101" s="149">
        <f t="shared" si="20"/>
        <v>0</v>
      </c>
      <c r="AD101" s="125">
        <v>2</v>
      </c>
      <c r="AE101" s="148">
        <f t="shared" si="21"/>
        <v>2</v>
      </c>
      <c r="AF101" s="156"/>
      <c r="AG101" s="156"/>
      <c r="AH101" s="113">
        <f t="shared" si="22"/>
        <v>17</v>
      </c>
      <c r="AI101" s="157">
        <v>65</v>
      </c>
      <c r="AJ101" s="113">
        <f t="shared" si="23"/>
        <v>82</v>
      </c>
      <c r="AK101" s="113">
        <f t="shared" si="24"/>
        <v>82</v>
      </c>
      <c r="AL101" s="158">
        <f t="shared" si="25"/>
        <v>1.02</v>
      </c>
      <c r="AM101" s="159"/>
      <c r="AN101" s="160">
        <f t="shared" si="28"/>
        <v>1</v>
      </c>
      <c r="AO101" s="160">
        <f t="shared" si="28"/>
        <v>2</v>
      </c>
      <c r="AP101" s="133"/>
      <c r="AQ101" s="134"/>
      <c r="AR101" s="161"/>
      <c r="AS101" s="161"/>
      <c r="AT101" s="161"/>
      <c r="AU101" s="161"/>
      <c r="AV101" s="162"/>
      <c r="AW101" s="137">
        <f t="shared" si="26"/>
        <v>0</v>
      </c>
      <c r="AX101" s="137">
        <f t="shared" si="27"/>
        <v>0</v>
      </c>
    </row>
    <row r="102" ht="46.5" customHeight="1" spans="1:50" s="97" customFormat="1" x14ac:dyDescent="0.25">
      <c r="A102" s="100"/>
      <c r="B102" s="100"/>
      <c r="C102" s="100"/>
      <c r="D102" s="100"/>
      <c r="E102" s="100"/>
      <c r="F102" s="100"/>
      <c r="G102" s="103"/>
      <c r="H102" s="186"/>
      <c r="I102" s="195">
        <v>0.51</v>
      </c>
      <c r="J102" s="107">
        <v>0.49</v>
      </c>
      <c r="K102" s="107"/>
      <c r="L102" s="107"/>
      <c r="M102" s="187"/>
      <c r="N102" s="169">
        <f t="shared" si="14"/>
        <v>1</v>
      </c>
      <c r="O102" s="144">
        <v>1</v>
      </c>
      <c r="P102" s="145">
        <v>15</v>
      </c>
      <c r="Q102" s="113">
        <v>15</v>
      </c>
      <c r="R102" s="113"/>
      <c r="S102" s="113"/>
      <c r="T102" s="146"/>
      <c r="U102" s="148">
        <f t="shared" si="17"/>
        <v>15</v>
      </c>
      <c r="V102" s="149">
        <f t="shared" si="18"/>
        <v>15</v>
      </c>
      <c r="W102" s="189"/>
      <c r="X102" s="199"/>
      <c r="Y102" s="151"/>
      <c r="Z102" s="190"/>
      <c r="AA102" s="153"/>
      <c r="AB102" s="154">
        <f t="shared" si="19"/>
        <v>0</v>
      </c>
      <c r="AC102" s="149">
        <f t="shared" si="20"/>
        <v>0</v>
      </c>
      <c r="AD102" s="125">
        <v>2</v>
      </c>
      <c r="AE102" s="148">
        <f t="shared" si="21"/>
        <v>2</v>
      </c>
      <c r="AF102" s="156"/>
      <c r="AG102" s="156"/>
      <c r="AH102" s="113">
        <f t="shared" si="22"/>
        <v>17</v>
      </c>
      <c r="AI102" s="157">
        <v>65</v>
      </c>
      <c r="AJ102" s="113">
        <f t="shared" si="23"/>
        <v>82</v>
      </c>
      <c r="AK102" s="113">
        <f t="shared" si="24"/>
        <v>82</v>
      </c>
      <c r="AL102" s="158">
        <f t="shared" si="25"/>
        <v>1.02</v>
      </c>
      <c r="AM102" s="159"/>
      <c r="AN102" s="160">
        <f t="shared" si="28"/>
        <v>1</v>
      </c>
      <c r="AO102" s="160">
        <f t="shared" si="28"/>
        <v>2</v>
      </c>
      <c r="AP102" s="133"/>
      <c r="AQ102" s="134"/>
      <c r="AR102" s="161"/>
      <c r="AS102" s="161"/>
      <c r="AT102" s="161"/>
      <c r="AU102" s="161"/>
      <c r="AV102" s="162"/>
      <c r="AW102" s="137">
        <f t="shared" si="26"/>
        <v>0</v>
      </c>
      <c r="AX102" s="137">
        <f t="shared" si="27"/>
        <v>0</v>
      </c>
    </row>
    <row r="103" ht="46.5" customHeight="1" spans="1:50" s="97" customFormat="1" x14ac:dyDescent="0.25">
      <c r="A103" s="100"/>
      <c r="B103" s="100"/>
      <c r="C103" s="100"/>
      <c r="D103" s="100"/>
      <c r="E103" s="100"/>
      <c r="F103" s="100"/>
      <c r="G103" s="103"/>
      <c r="H103" s="186"/>
      <c r="I103" s="195">
        <v>0.51</v>
      </c>
      <c r="J103" s="107">
        <v>0.49</v>
      </c>
      <c r="K103" s="107"/>
      <c r="L103" s="107"/>
      <c r="M103" s="187"/>
      <c r="N103" s="169">
        <f t="shared" si="14"/>
        <v>1</v>
      </c>
      <c r="O103" s="144">
        <v>1</v>
      </c>
      <c r="P103" s="145">
        <v>15</v>
      </c>
      <c r="Q103" s="113">
        <v>15</v>
      </c>
      <c r="R103" s="113"/>
      <c r="S103" s="113"/>
      <c r="T103" s="146"/>
      <c r="U103" s="148">
        <f t="shared" si="17"/>
        <v>15</v>
      </c>
      <c r="V103" s="149">
        <f t="shared" si="18"/>
        <v>15</v>
      </c>
      <c r="W103" s="189"/>
      <c r="X103" s="199"/>
      <c r="Y103" s="151"/>
      <c r="Z103" s="190"/>
      <c r="AA103" s="153"/>
      <c r="AB103" s="154">
        <f t="shared" si="19"/>
        <v>0</v>
      </c>
      <c r="AC103" s="149">
        <f t="shared" si="20"/>
        <v>0</v>
      </c>
      <c r="AD103" s="125">
        <v>2</v>
      </c>
      <c r="AE103" s="148">
        <f t="shared" si="21"/>
        <v>2</v>
      </c>
      <c r="AF103" s="156"/>
      <c r="AG103" s="156"/>
      <c r="AH103" s="113">
        <f t="shared" si="22"/>
        <v>17</v>
      </c>
      <c r="AI103" s="157">
        <v>65</v>
      </c>
      <c r="AJ103" s="113">
        <f t="shared" si="23"/>
        <v>82</v>
      </c>
      <c r="AK103" s="113">
        <f t="shared" si="24"/>
        <v>82</v>
      </c>
      <c r="AL103" s="158">
        <f t="shared" si="25"/>
        <v>1.02</v>
      </c>
      <c r="AM103" s="159"/>
      <c r="AN103" s="160">
        <f t="shared" si="28"/>
        <v>1</v>
      </c>
      <c r="AO103" s="160">
        <f t="shared" si="28"/>
        <v>2</v>
      </c>
      <c r="AP103" s="133"/>
      <c r="AQ103" s="134"/>
      <c r="AR103" s="161"/>
      <c r="AS103" s="161"/>
      <c r="AT103" s="161"/>
      <c r="AU103" s="161"/>
      <c r="AV103" s="162"/>
      <c r="AW103" s="137">
        <f t="shared" si="26"/>
        <v>0</v>
      </c>
      <c r="AX103" s="137">
        <f t="shared" si="27"/>
        <v>0</v>
      </c>
    </row>
    <row r="104" ht="47.25" customHeight="1" spans="1:50" s="97" customFormat="1" x14ac:dyDescent="0.25">
      <c r="A104" s="100"/>
      <c r="B104" s="100"/>
      <c r="C104" s="100"/>
      <c r="D104" s="100"/>
      <c r="E104" s="100"/>
      <c r="F104" s="100"/>
      <c r="G104" s="103"/>
      <c r="H104" s="186"/>
      <c r="I104" s="195">
        <v>0.51</v>
      </c>
      <c r="J104" s="107">
        <v>0.49</v>
      </c>
      <c r="K104" s="107"/>
      <c r="L104" s="107"/>
      <c r="M104" s="187"/>
      <c r="N104" s="169">
        <f t="shared" si="14"/>
        <v>1</v>
      </c>
      <c r="O104" s="144">
        <v>1</v>
      </c>
      <c r="P104" s="145">
        <v>15</v>
      </c>
      <c r="Q104" s="113">
        <v>15</v>
      </c>
      <c r="R104" s="113"/>
      <c r="S104" s="113"/>
      <c r="T104" s="146"/>
      <c r="U104" s="148">
        <f t="shared" si="17"/>
        <v>15</v>
      </c>
      <c r="V104" s="149">
        <f t="shared" si="18"/>
        <v>15</v>
      </c>
      <c r="W104" s="189"/>
      <c r="X104" s="199"/>
      <c r="Y104" s="151"/>
      <c r="Z104" s="190"/>
      <c r="AA104" s="153"/>
      <c r="AB104" s="154">
        <f t="shared" si="19"/>
        <v>0</v>
      </c>
      <c r="AC104" s="149">
        <f t="shared" si="20"/>
        <v>0</v>
      </c>
      <c r="AD104" s="125">
        <v>2</v>
      </c>
      <c r="AE104" s="148">
        <f t="shared" si="21"/>
        <v>2</v>
      </c>
      <c r="AF104" s="156"/>
      <c r="AG104" s="156"/>
      <c r="AH104" s="113">
        <f t="shared" si="22"/>
        <v>17</v>
      </c>
      <c r="AI104" s="157">
        <v>65</v>
      </c>
      <c r="AJ104" s="113">
        <f t="shared" si="23"/>
        <v>82</v>
      </c>
      <c r="AK104" s="113">
        <f t="shared" si="24"/>
        <v>82</v>
      </c>
      <c r="AL104" s="158">
        <f t="shared" si="25"/>
        <v>1.02</v>
      </c>
      <c r="AM104" s="159"/>
      <c r="AN104" s="160">
        <f t="shared" si="28"/>
        <v>1</v>
      </c>
      <c r="AO104" s="160">
        <f t="shared" si="28"/>
        <v>2</v>
      </c>
      <c r="AP104" s="133"/>
      <c r="AQ104" s="134"/>
      <c r="AR104" s="161"/>
      <c r="AS104" s="161"/>
      <c r="AT104" s="161"/>
      <c r="AU104" s="161"/>
      <c r="AV104" s="162"/>
      <c r="AW104" s="137">
        <f t="shared" si="26"/>
        <v>0</v>
      </c>
      <c r="AX104" s="137">
        <f t="shared" si="27"/>
        <v>0</v>
      </c>
    </row>
    <row r="105" ht="46.5" customHeight="1" spans="1:50" s="97" customFormat="1" x14ac:dyDescent="0.25">
      <c r="A105" s="100"/>
      <c r="B105" s="100"/>
      <c r="C105" s="100"/>
      <c r="D105" s="100"/>
      <c r="E105" s="100"/>
      <c r="F105" s="100"/>
      <c r="G105" s="103"/>
      <c r="H105" s="186"/>
      <c r="I105" s="195">
        <v>0.51</v>
      </c>
      <c r="J105" s="107">
        <v>0.49</v>
      </c>
      <c r="K105" s="107"/>
      <c r="L105" s="107"/>
      <c r="M105" s="187"/>
      <c r="N105" s="169">
        <f t="shared" si="14"/>
        <v>1</v>
      </c>
      <c r="O105" s="144">
        <v>1</v>
      </c>
      <c r="P105" s="145">
        <v>15</v>
      </c>
      <c r="Q105" s="113">
        <v>15</v>
      </c>
      <c r="R105" s="113"/>
      <c r="S105" s="113"/>
      <c r="T105" s="146"/>
      <c r="U105" s="148">
        <f t="shared" si="17"/>
        <v>15</v>
      </c>
      <c r="V105" s="149">
        <f t="shared" si="18"/>
        <v>15</v>
      </c>
      <c r="W105" s="189"/>
      <c r="X105" s="199"/>
      <c r="Y105" s="151"/>
      <c r="Z105" s="190"/>
      <c r="AA105" s="153"/>
      <c r="AB105" s="154">
        <f t="shared" si="19"/>
        <v>0</v>
      </c>
      <c r="AC105" s="149">
        <f t="shared" si="20"/>
        <v>0</v>
      </c>
      <c r="AD105" s="125">
        <v>2</v>
      </c>
      <c r="AE105" s="148">
        <f t="shared" si="21"/>
        <v>2</v>
      </c>
      <c r="AF105" s="156"/>
      <c r="AG105" s="156"/>
      <c r="AH105" s="113">
        <f t="shared" si="22"/>
        <v>17</v>
      </c>
      <c r="AI105" s="157">
        <v>65</v>
      </c>
      <c r="AJ105" s="113">
        <f t="shared" si="23"/>
        <v>82</v>
      </c>
      <c r="AK105" s="113">
        <f t="shared" si="24"/>
        <v>82</v>
      </c>
      <c r="AL105" s="158">
        <f t="shared" si="25"/>
        <v>1.02</v>
      </c>
      <c r="AM105" s="159"/>
      <c r="AN105" s="160">
        <f t="shared" si="28"/>
        <v>1</v>
      </c>
      <c r="AO105" s="160">
        <f t="shared" si="28"/>
        <v>2</v>
      </c>
      <c r="AP105" s="133"/>
      <c r="AQ105" s="134"/>
      <c r="AR105" s="161"/>
      <c r="AS105" s="161"/>
      <c r="AT105" s="161"/>
      <c r="AU105" s="161"/>
      <c r="AV105" s="162"/>
      <c r="AW105" s="137">
        <f t="shared" si="26"/>
        <v>0</v>
      </c>
      <c r="AX105" s="137">
        <f t="shared" si="27"/>
        <v>0</v>
      </c>
    </row>
    <row r="106" ht="46.5" customHeight="1" spans="1:50" s="97" customFormat="1" x14ac:dyDescent="0.25">
      <c r="A106" s="100"/>
      <c r="B106" s="100"/>
      <c r="C106" s="100"/>
      <c r="D106" s="100"/>
      <c r="E106" s="100"/>
      <c r="F106" s="100"/>
      <c r="G106" s="103"/>
      <c r="H106" s="186"/>
      <c r="I106" s="195">
        <v>0.51</v>
      </c>
      <c r="J106" s="107">
        <v>0.49</v>
      </c>
      <c r="K106" s="107"/>
      <c r="L106" s="107"/>
      <c r="M106" s="187"/>
      <c r="N106" s="169">
        <f t="shared" si="14"/>
        <v>1</v>
      </c>
      <c r="O106" s="144">
        <v>1</v>
      </c>
      <c r="P106" s="145">
        <v>15</v>
      </c>
      <c r="Q106" s="113">
        <v>15</v>
      </c>
      <c r="R106" s="113"/>
      <c r="S106" s="113"/>
      <c r="T106" s="146"/>
      <c r="U106" s="148">
        <f t="shared" si="17"/>
        <v>15</v>
      </c>
      <c r="V106" s="149">
        <f t="shared" si="18"/>
        <v>15</v>
      </c>
      <c r="W106" s="189"/>
      <c r="X106" s="199"/>
      <c r="Y106" s="151"/>
      <c r="Z106" s="190"/>
      <c r="AA106" s="153"/>
      <c r="AB106" s="154">
        <f t="shared" si="19"/>
        <v>0</v>
      </c>
      <c r="AC106" s="149">
        <f t="shared" si="20"/>
        <v>0</v>
      </c>
      <c r="AD106" s="125">
        <v>2</v>
      </c>
      <c r="AE106" s="148">
        <f t="shared" si="21"/>
        <v>2</v>
      </c>
      <c r="AF106" s="156"/>
      <c r="AG106" s="156"/>
      <c r="AH106" s="113">
        <f t="shared" si="22"/>
        <v>17</v>
      </c>
      <c r="AI106" s="157">
        <v>65</v>
      </c>
      <c r="AJ106" s="113">
        <f t="shared" si="23"/>
        <v>82</v>
      </c>
      <c r="AK106" s="113">
        <f t="shared" si="24"/>
        <v>82</v>
      </c>
      <c r="AL106" s="158">
        <f t="shared" si="25"/>
        <v>1.02</v>
      </c>
      <c r="AM106" s="159"/>
      <c r="AN106" s="160">
        <f t="shared" si="28"/>
        <v>1</v>
      </c>
      <c r="AO106" s="160">
        <f t="shared" si="28"/>
        <v>2</v>
      </c>
      <c r="AP106" s="133"/>
      <c r="AQ106" s="134"/>
      <c r="AR106" s="161"/>
      <c r="AS106" s="161"/>
      <c r="AT106" s="161"/>
      <c r="AU106" s="161"/>
      <c r="AV106" s="162"/>
      <c r="AW106" s="137">
        <f t="shared" si="26"/>
        <v>0</v>
      </c>
      <c r="AX106" s="137">
        <f t="shared" si="27"/>
        <v>0</v>
      </c>
    </row>
    <row r="107" ht="46.5" customHeight="1" spans="1:50" s="97" customFormat="1" x14ac:dyDescent="0.25">
      <c r="A107" s="100"/>
      <c r="B107" s="100"/>
      <c r="C107" s="100"/>
      <c r="D107" s="100"/>
      <c r="E107" s="100"/>
      <c r="F107" s="100"/>
      <c r="G107" s="103"/>
      <c r="H107" s="186"/>
      <c r="I107" s="195">
        <v>0.51</v>
      </c>
      <c r="J107" s="107">
        <v>0.49</v>
      </c>
      <c r="K107" s="107"/>
      <c r="L107" s="107"/>
      <c r="M107" s="187"/>
      <c r="N107" s="169">
        <f t="shared" si="14"/>
        <v>1</v>
      </c>
      <c r="O107" s="144">
        <v>1</v>
      </c>
      <c r="P107" s="145">
        <v>15</v>
      </c>
      <c r="Q107" s="113">
        <v>15</v>
      </c>
      <c r="R107" s="113"/>
      <c r="S107" s="113"/>
      <c r="T107" s="146"/>
      <c r="U107" s="148">
        <f t="shared" si="17"/>
        <v>15</v>
      </c>
      <c r="V107" s="149">
        <f t="shared" si="18"/>
        <v>15</v>
      </c>
      <c r="W107" s="189"/>
      <c r="X107" s="199"/>
      <c r="Y107" s="151"/>
      <c r="Z107" s="190"/>
      <c r="AA107" s="153"/>
      <c r="AB107" s="154">
        <f t="shared" si="19"/>
        <v>0</v>
      </c>
      <c r="AC107" s="149">
        <f t="shared" si="20"/>
        <v>0</v>
      </c>
      <c r="AD107" s="125">
        <v>2</v>
      </c>
      <c r="AE107" s="148">
        <f t="shared" si="21"/>
        <v>2</v>
      </c>
      <c r="AF107" s="156"/>
      <c r="AG107" s="156"/>
      <c r="AH107" s="113">
        <f t="shared" si="22"/>
        <v>17</v>
      </c>
      <c r="AI107" s="157">
        <v>65</v>
      </c>
      <c r="AJ107" s="113">
        <f t="shared" si="23"/>
        <v>82</v>
      </c>
      <c r="AK107" s="113">
        <f t="shared" si="24"/>
        <v>82</v>
      </c>
      <c r="AL107" s="158">
        <f t="shared" si="25"/>
        <v>1.02</v>
      </c>
      <c r="AM107" s="159"/>
      <c r="AN107" s="160">
        <f t="shared" si="28"/>
        <v>1</v>
      </c>
      <c r="AO107" s="160">
        <f t="shared" si="28"/>
        <v>2</v>
      </c>
      <c r="AP107" s="133"/>
      <c r="AQ107" s="134"/>
      <c r="AR107" s="161"/>
      <c r="AS107" s="161"/>
      <c r="AT107" s="161"/>
      <c r="AU107" s="161"/>
      <c r="AV107" s="162"/>
      <c r="AW107" s="137">
        <f t="shared" si="26"/>
        <v>0</v>
      </c>
      <c r="AX107" s="137">
        <f t="shared" si="27"/>
        <v>0</v>
      </c>
    </row>
    <row r="108" ht="46.5" customHeight="1" spans="1:50" s="97" customFormat="1" x14ac:dyDescent="0.25">
      <c r="A108" s="100"/>
      <c r="B108" s="100"/>
      <c r="C108" s="100"/>
      <c r="D108" s="100"/>
      <c r="E108" s="100"/>
      <c r="F108" s="100"/>
      <c r="G108" s="103"/>
      <c r="H108" s="186"/>
      <c r="I108" s="195">
        <v>0.51</v>
      </c>
      <c r="J108" s="107">
        <v>0.49</v>
      </c>
      <c r="K108" s="107"/>
      <c r="L108" s="107"/>
      <c r="M108" s="187"/>
      <c r="N108" s="169">
        <f t="shared" si="14"/>
        <v>1</v>
      </c>
      <c r="O108" s="144">
        <v>1</v>
      </c>
      <c r="P108" s="145">
        <v>15</v>
      </c>
      <c r="Q108" s="113">
        <v>15</v>
      </c>
      <c r="R108" s="113"/>
      <c r="S108" s="113"/>
      <c r="T108" s="146"/>
      <c r="U108" s="148">
        <f t="shared" si="17"/>
        <v>15</v>
      </c>
      <c r="V108" s="149">
        <f t="shared" si="18"/>
        <v>15</v>
      </c>
      <c r="W108" s="189"/>
      <c r="X108" s="199"/>
      <c r="Y108" s="151"/>
      <c r="Z108" s="190"/>
      <c r="AA108" s="153"/>
      <c r="AB108" s="154">
        <f t="shared" si="19"/>
        <v>0</v>
      </c>
      <c r="AC108" s="149">
        <f t="shared" si="20"/>
        <v>0</v>
      </c>
      <c r="AD108" s="125">
        <v>2</v>
      </c>
      <c r="AE108" s="148">
        <f t="shared" si="21"/>
        <v>2</v>
      </c>
      <c r="AF108" s="156"/>
      <c r="AG108" s="156"/>
      <c r="AH108" s="113">
        <f t="shared" si="22"/>
        <v>17</v>
      </c>
      <c r="AI108" s="157">
        <v>65</v>
      </c>
      <c r="AJ108" s="113">
        <f t="shared" si="23"/>
        <v>82</v>
      </c>
      <c r="AK108" s="113">
        <f t="shared" si="24"/>
        <v>82</v>
      </c>
      <c r="AL108" s="158">
        <f t="shared" si="25"/>
        <v>1.02</v>
      </c>
      <c r="AM108" s="159"/>
      <c r="AN108" s="160">
        <f t="shared" si="28"/>
        <v>1</v>
      </c>
      <c r="AO108" s="160">
        <f t="shared" si="28"/>
        <v>2</v>
      </c>
      <c r="AP108" s="133"/>
      <c r="AQ108" s="134"/>
      <c r="AR108" s="161"/>
      <c r="AS108" s="161"/>
      <c r="AT108" s="161"/>
      <c r="AU108" s="161"/>
      <c r="AV108" s="162"/>
      <c r="AW108" s="137">
        <f t="shared" si="26"/>
        <v>0</v>
      </c>
      <c r="AX108" s="137">
        <f t="shared" si="27"/>
        <v>0</v>
      </c>
    </row>
    <row r="109" ht="47.25" customHeight="1" spans="1:50" s="56" customFormat="1" x14ac:dyDescent="0.25">
      <c r="A109" s="100"/>
      <c r="B109" s="100"/>
      <c r="C109" s="100"/>
      <c r="D109" s="100"/>
      <c r="E109" s="100"/>
      <c r="F109" s="100"/>
      <c r="G109" s="103"/>
      <c r="H109" s="186"/>
      <c r="I109" s="195">
        <v>0.51</v>
      </c>
      <c r="J109" s="107">
        <v>0.49</v>
      </c>
      <c r="K109" s="107"/>
      <c r="L109" s="107"/>
      <c r="M109" s="187"/>
      <c r="N109" s="169">
        <f t="shared" ref="N109:N138" si="29">SUM(I109:M109)</f>
        <v>1</v>
      </c>
      <c r="O109" s="144">
        <v>1</v>
      </c>
      <c r="P109" s="145">
        <v>15</v>
      </c>
      <c r="Q109" s="113">
        <v>15</v>
      </c>
      <c r="R109" s="113"/>
      <c r="S109" s="113"/>
      <c r="T109" s="146"/>
      <c r="U109" s="148">
        <f t="shared" si="17"/>
        <v>15</v>
      </c>
      <c r="V109" s="149">
        <f t="shared" si="18"/>
        <v>15</v>
      </c>
      <c r="W109" s="189"/>
      <c r="X109" s="199"/>
      <c r="Y109" s="151"/>
      <c r="Z109" s="190"/>
      <c r="AA109" s="153"/>
      <c r="AB109" s="154">
        <f t="shared" si="19"/>
        <v>0</v>
      </c>
      <c r="AC109" s="149">
        <f t="shared" si="20"/>
        <v>0</v>
      </c>
      <c r="AD109" s="125">
        <v>2</v>
      </c>
      <c r="AE109" s="148">
        <f t="shared" si="21"/>
        <v>2</v>
      </c>
      <c r="AF109" s="156"/>
      <c r="AG109" s="156"/>
      <c r="AH109" s="113">
        <f t="shared" si="22"/>
        <v>17</v>
      </c>
      <c r="AI109" s="157">
        <v>65</v>
      </c>
      <c r="AJ109" s="113">
        <f t="shared" si="23"/>
        <v>82</v>
      </c>
      <c r="AK109" s="113">
        <f t="shared" si="24"/>
        <v>82</v>
      </c>
      <c r="AL109" s="158">
        <f t="shared" si="25"/>
        <v>1.02</v>
      </c>
      <c r="AM109" s="159"/>
      <c r="AN109" s="160">
        <f t="shared" si="28"/>
        <v>1</v>
      </c>
      <c r="AO109" s="160">
        <f t="shared" si="28"/>
        <v>2</v>
      </c>
      <c r="AP109" s="133"/>
      <c r="AQ109" s="134"/>
      <c r="AR109" s="161"/>
      <c r="AS109" s="161"/>
      <c r="AT109" s="161"/>
      <c r="AU109" s="161"/>
      <c r="AV109" s="162"/>
      <c r="AW109" s="137">
        <f t="shared" si="26"/>
        <v>0</v>
      </c>
      <c r="AX109" s="137">
        <f t="shared" si="27"/>
        <v>0</v>
      </c>
    </row>
    <row r="110" ht="57" customHeight="1" spans="1:50" s="97" customFormat="1" x14ac:dyDescent="0.25">
      <c r="A110" s="100"/>
      <c r="B110" s="100"/>
      <c r="C110" s="100"/>
      <c r="D110" s="100"/>
      <c r="E110" s="100"/>
      <c r="F110" s="100"/>
      <c r="G110" s="103"/>
      <c r="H110" s="186"/>
      <c r="I110" s="195">
        <v>0.51</v>
      </c>
      <c r="J110" s="107">
        <v>0.49</v>
      </c>
      <c r="K110" s="107"/>
      <c r="L110" s="107"/>
      <c r="M110" s="187"/>
      <c r="N110" s="169">
        <f t="shared" si="29"/>
        <v>1</v>
      </c>
      <c r="O110" s="144">
        <v>1</v>
      </c>
      <c r="P110" s="145">
        <v>15</v>
      </c>
      <c r="Q110" s="113">
        <v>15</v>
      </c>
      <c r="R110" s="113"/>
      <c r="S110" s="113"/>
      <c r="T110" s="146"/>
      <c r="U110" s="148">
        <f t="shared" si="17"/>
        <v>15</v>
      </c>
      <c r="V110" s="149">
        <f t="shared" si="18"/>
        <v>15</v>
      </c>
      <c r="W110" s="189"/>
      <c r="X110" s="199"/>
      <c r="Y110" s="151"/>
      <c r="Z110" s="190"/>
      <c r="AA110" s="153"/>
      <c r="AB110" s="154">
        <f t="shared" si="19"/>
        <v>0</v>
      </c>
      <c r="AC110" s="149">
        <f t="shared" si="20"/>
        <v>0</v>
      </c>
      <c r="AD110" s="125">
        <v>2</v>
      </c>
      <c r="AE110" s="148">
        <f t="shared" si="21"/>
        <v>2</v>
      </c>
      <c r="AF110" s="156"/>
      <c r="AG110" s="156"/>
      <c r="AH110" s="113">
        <f t="shared" si="22"/>
        <v>17</v>
      </c>
      <c r="AI110" s="157">
        <v>65</v>
      </c>
      <c r="AJ110" s="113">
        <f t="shared" si="23"/>
        <v>82</v>
      </c>
      <c r="AK110" s="113">
        <f t="shared" si="24"/>
        <v>82</v>
      </c>
      <c r="AL110" s="158">
        <f t="shared" si="25"/>
        <v>1.02</v>
      </c>
      <c r="AM110" s="159"/>
      <c r="AN110" s="160">
        <f t="shared" si="28"/>
        <v>1</v>
      </c>
      <c r="AO110" s="160">
        <f t="shared" si="28"/>
        <v>2</v>
      </c>
      <c r="AP110" s="133"/>
      <c r="AQ110" s="134"/>
      <c r="AR110" s="161"/>
      <c r="AS110" s="161"/>
      <c r="AT110" s="161"/>
      <c r="AU110" s="161"/>
      <c r="AV110" s="162"/>
      <c r="AW110" s="137">
        <f t="shared" si="26"/>
        <v>0</v>
      </c>
      <c r="AX110" s="137">
        <f t="shared" si="27"/>
        <v>0</v>
      </c>
    </row>
    <row r="111" ht="46.5" customHeight="1" spans="1:50" s="97" customFormat="1" x14ac:dyDescent="0.25">
      <c r="A111" s="100"/>
      <c r="B111" s="100"/>
      <c r="C111" s="100"/>
      <c r="D111" s="100"/>
      <c r="E111" s="100"/>
      <c r="F111" s="100"/>
      <c r="G111" s="103"/>
      <c r="H111" s="186"/>
      <c r="I111" s="195">
        <v>0.51</v>
      </c>
      <c r="J111" s="107">
        <v>0.49</v>
      </c>
      <c r="K111" s="107"/>
      <c r="L111" s="107"/>
      <c r="M111" s="187"/>
      <c r="N111" s="169">
        <f t="shared" si="29"/>
        <v>1</v>
      </c>
      <c r="O111" s="144">
        <v>1</v>
      </c>
      <c r="P111" s="145">
        <v>15</v>
      </c>
      <c r="Q111" s="113">
        <v>15</v>
      </c>
      <c r="R111" s="113"/>
      <c r="S111" s="113"/>
      <c r="T111" s="146"/>
      <c r="U111" s="148">
        <f t="shared" si="17"/>
        <v>15</v>
      </c>
      <c r="V111" s="149">
        <f t="shared" si="18"/>
        <v>15</v>
      </c>
      <c r="W111" s="189"/>
      <c r="X111" s="199"/>
      <c r="Y111" s="151"/>
      <c r="Z111" s="190"/>
      <c r="AA111" s="153"/>
      <c r="AB111" s="154">
        <f t="shared" si="19"/>
        <v>0</v>
      </c>
      <c r="AC111" s="149">
        <f t="shared" si="20"/>
        <v>0</v>
      </c>
      <c r="AD111" s="125">
        <v>2</v>
      </c>
      <c r="AE111" s="148">
        <f t="shared" si="21"/>
        <v>2</v>
      </c>
      <c r="AF111" s="156"/>
      <c r="AG111" s="156"/>
      <c r="AH111" s="113">
        <f t="shared" si="22"/>
        <v>17</v>
      </c>
      <c r="AI111" s="157">
        <v>65</v>
      </c>
      <c r="AJ111" s="113">
        <f t="shared" si="23"/>
        <v>82</v>
      </c>
      <c r="AK111" s="113">
        <f t="shared" si="24"/>
        <v>82</v>
      </c>
      <c r="AL111" s="158">
        <f t="shared" si="25"/>
        <v>1.02</v>
      </c>
      <c r="AM111" s="159"/>
      <c r="AN111" s="160">
        <f t="shared" si="28"/>
        <v>1</v>
      </c>
      <c r="AO111" s="160">
        <f t="shared" si="28"/>
        <v>2</v>
      </c>
      <c r="AP111" s="133"/>
      <c r="AQ111" s="134"/>
      <c r="AR111" s="161"/>
      <c r="AS111" s="161"/>
      <c r="AT111" s="161"/>
      <c r="AU111" s="161"/>
      <c r="AV111" s="162"/>
      <c r="AW111" s="137">
        <f t="shared" si="26"/>
        <v>0</v>
      </c>
      <c r="AX111" s="137">
        <f t="shared" si="27"/>
        <v>0</v>
      </c>
    </row>
    <row r="112" ht="47.25" customHeight="1" spans="1:50" s="56" customFormat="1" x14ac:dyDescent="0.25">
      <c r="A112" s="100"/>
      <c r="B112" s="100"/>
      <c r="C112" s="100"/>
      <c r="D112" s="100"/>
      <c r="E112" s="100"/>
      <c r="F112" s="100"/>
      <c r="G112" s="103"/>
      <c r="H112" s="186"/>
      <c r="I112" s="195">
        <v>0.51</v>
      </c>
      <c r="J112" s="107">
        <v>0.49</v>
      </c>
      <c r="K112" s="107"/>
      <c r="L112" s="107"/>
      <c r="M112" s="187"/>
      <c r="N112" s="169">
        <f t="shared" si="29"/>
        <v>1</v>
      </c>
      <c r="O112" s="144">
        <v>1</v>
      </c>
      <c r="P112" s="145">
        <v>15</v>
      </c>
      <c r="Q112" s="113">
        <v>15</v>
      </c>
      <c r="R112" s="113"/>
      <c r="S112" s="113"/>
      <c r="T112" s="146"/>
      <c r="U112" s="148">
        <f t="shared" si="17"/>
        <v>15</v>
      </c>
      <c r="V112" s="149">
        <f t="shared" si="18"/>
        <v>15</v>
      </c>
      <c r="W112" s="189"/>
      <c r="X112" s="199"/>
      <c r="Y112" s="151"/>
      <c r="Z112" s="190"/>
      <c r="AA112" s="153"/>
      <c r="AB112" s="154">
        <f t="shared" si="19"/>
        <v>0</v>
      </c>
      <c r="AC112" s="149">
        <f t="shared" si="20"/>
        <v>0</v>
      </c>
      <c r="AD112" s="125">
        <v>2</v>
      </c>
      <c r="AE112" s="148">
        <f t="shared" si="21"/>
        <v>2</v>
      </c>
      <c r="AF112" s="156"/>
      <c r="AG112" s="156"/>
      <c r="AH112" s="113">
        <f t="shared" si="22"/>
        <v>17</v>
      </c>
      <c r="AI112" s="157">
        <v>65</v>
      </c>
      <c r="AJ112" s="113">
        <f t="shared" si="23"/>
        <v>82</v>
      </c>
      <c r="AK112" s="113">
        <f t="shared" si="24"/>
        <v>82</v>
      </c>
      <c r="AL112" s="158">
        <f t="shared" si="25"/>
        <v>1.02</v>
      </c>
      <c r="AM112" s="159"/>
      <c r="AN112" s="160">
        <f t="shared" si="28"/>
        <v>1</v>
      </c>
      <c r="AO112" s="160">
        <f t="shared" si="28"/>
        <v>2</v>
      </c>
      <c r="AP112" s="133"/>
      <c r="AQ112" s="134"/>
      <c r="AR112" s="161"/>
      <c r="AS112" s="161"/>
      <c r="AT112" s="161"/>
      <c r="AU112" s="161"/>
      <c r="AV112" s="162"/>
      <c r="AW112" s="137">
        <f t="shared" si="26"/>
        <v>0</v>
      </c>
      <c r="AX112" s="137">
        <f t="shared" si="27"/>
        <v>0</v>
      </c>
    </row>
    <row r="113" ht="46.5" customHeight="1" spans="1:50" s="97" customFormat="1" x14ac:dyDescent="0.25">
      <c r="A113" s="100"/>
      <c r="B113" s="100"/>
      <c r="C113" s="100"/>
      <c r="D113" s="100"/>
      <c r="E113" s="100"/>
      <c r="F113" s="100"/>
      <c r="G113" s="103"/>
      <c r="H113" s="186"/>
      <c r="I113" s="195">
        <v>0.51</v>
      </c>
      <c r="J113" s="107">
        <v>0.49</v>
      </c>
      <c r="K113" s="107"/>
      <c r="L113" s="107"/>
      <c r="M113" s="187"/>
      <c r="N113" s="169">
        <f t="shared" si="29"/>
        <v>1</v>
      </c>
      <c r="O113" s="144">
        <v>1</v>
      </c>
      <c r="P113" s="145">
        <v>15</v>
      </c>
      <c r="Q113" s="113">
        <v>15</v>
      </c>
      <c r="R113" s="113"/>
      <c r="S113" s="113"/>
      <c r="T113" s="146"/>
      <c r="U113" s="148">
        <f t="shared" si="17"/>
        <v>15</v>
      </c>
      <c r="V113" s="149">
        <f t="shared" si="18"/>
        <v>15</v>
      </c>
      <c r="W113" s="189"/>
      <c r="X113" s="199"/>
      <c r="Y113" s="151"/>
      <c r="Z113" s="190"/>
      <c r="AA113" s="153"/>
      <c r="AB113" s="154">
        <f t="shared" si="19"/>
        <v>0</v>
      </c>
      <c r="AC113" s="149">
        <f t="shared" si="20"/>
        <v>0</v>
      </c>
      <c r="AD113" s="125">
        <v>2</v>
      </c>
      <c r="AE113" s="148">
        <f t="shared" si="21"/>
        <v>2</v>
      </c>
      <c r="AF113" s="156"/>
      <c r="AG113" s="156"/>
      <c r="AH113" s="113">
        <f t="shared" si="22"/>
        <v>17</v>
      </c>
      <c r="AI113" s="157">
        <v>65</v>
      </c>
      <c r="AJ113" s="113">
        <f t="shared" si="23"/>
        <v>82</v>
      </c>
      <c r="AK113" s="113">
        <f t="shared" si="24"/>
        <v>82</v>
      </c>
      <c r="AL113" s="158">
        <f t="shared" si="25"/>
        <v>1.02</v>
      </c>
      <c r="AM113" s="159"/>
      <c r="AN113" s="160">
        <f t="shared" ref="AN113:AO132" si="30">100%+AM113</f>
        <v>1</v>
      </c>
      <c r="AO113" s="160">
        <f t="shared" si="30"/>
        <v>2</v>
      </c>
      <c r="AP113" s="133"/>
      <c r="AQ113" s="134"/>
      <c r="AR113" s="161"/>
      <c r="AS113" s="161"/>
      <c r="AT113" s="161"/>
      <c r="AU113" s="161"/>
      <c r="AV113" s="162"/>
      <c r="AW113" s="137">
        <f t="shared" si="26"/>
        <v>0</v>
      </c>
      <c r="AX113" s="137">
        <f t="shared" si="27"/>
        <v>0</v>
      </c>
    </row>
    <row r="114" ht="46.5" customHeight="1" spans="1:50" s="97" customFormat="1" x14ac:dyDescent="0.25">
      <c r="A114" s="100"/>
      <c r="B114" s="100"/>
      <c r="C114" s="100"/>
      <c r="D114" s="100"/>
      <c r="E114" s="100"/>
      <c r="F114" s="100"/>
      <c r="G114" s="103"/>
      <c r="H114" s="186"/>
      <c r="I114" s="195">
        <v>0.51</v>
      </c>
      <c r="J114" s="107">
        <v>0.49</v>
      </c>
      <c r="K114" s="107"/>
      <c r="L114" s="107"/>
      <c r="M114" s="187"/>
      <c r="N114" s="169">
        <f t="shared" si="29"/>
        <v>1</v>
      </c>
      <c r="O114" s="144">
        <v>1</v>
      </c>
      <c r="P114" s="145">
        <v>15</v>
      </c>
      <c r="Q114" s="113">
        <v>15</v>
      </c>
      <c r="R114" s="113"/>
      <c r="S114" s="113"/>
      <c r="T114" s="146"/>
      <c r="U114" s="148">
        <f t="shared" si="17"/>
        <v>15</v>
      </c>
      <c r="V114" s="149">
        <f t="shared" si="18"/>
        <v>15</v>
      </c>
      <c r="W114" s="189"/>
      <c r="X114" s="199"/>
      <c r="Y114" s="151"/>
      <c r="Z114" s="190"/>
      <c r="AA114" s="153"/>
      <c r="AB114" s="154">
        <f t="shared" si="19"/>
        <v>0</v>
      </c>
      <c r="AC114" s="149">
        <f t="shared" si="20"/>
        <v>0</v>
      </c>
      <c r="AD114" s="125">
        <v>2</v>
      </c>
      <c r="AE114" s="148">
        <f t="shared" si="21"/>
        <v>2</v>
      </c>
      <c r="AF114" s="156"/>
      <c r="AG114" s="156"/>
      <c r="AH114" s="113">
        <f t="shared" si="22"/>
        <v>17</v>
      </c>
      <c r="AI114" s="157">
        <v>65</v>
      </c>
      <c r="AJ114" s="113">
        <f t="shared" si="23"/>
        <v>82</v>
      </c>
      <c r="AK114" s="113">
        <f t="shared" si="24"/>
        <v>82</v>
      </c>
      <c r="AL114" s="158">
        <f t="shared" si="25"/>
        <v>1.02</v>
      </c>
      <c r="AM114" s="159"/>
      <c r="AN114" s="160">
        <f t="shared" si="30"/>
        <v>1</v>
      </c>
      <c r="AO114" s="160">
        <f t="shared" si="30"/>
        <v>2</v>
      </c>
      <c r="AP114" s="133"/>
      <c r="AQ114" s="134"/>
      <c r="AR114" s="161"/>
      <c r="AS114" s="161"/>
      <c r="AT114" s="161"/>
      <c r="AU114" s="161"/>
      <c r="AV114" s="162"/>
      <c r="AW114" s="137">
        <f t="shared" si="26"/>
        <v>0</v>
      </c>
      <c r="AX114" s="137">
        <f t="shared" si="27"/>
        <v>0</v>
      </c>
    </row>
    <row r="115" ht="46.5" customHeight="1" spans="1:50" s="97" customFormat="1" x14ac:dyDescent="0.25">
      <c r="A115" s="100"/>
      <c r="B115" s="100"/>
      <c r="C115" s="100"/>
      <c r="D115" s="100"/>
      <c r="E115" s="100"/>
      <c r="F115" s="100"/>
      <c r="G115" s="103"/>
      <c r="H115" s="186"/>
      <c r="I115" s="195">
        <v>0.51</v>
      </c>
      <c r="J115" s="107">
        <v>0.49</v>
      </c>
      <c r="K115" s="107"/>
      <c r="L115" s="107"/>
      <c r="M115" s="187"/>
      <c r="N115" s="169">
        <f t="shared" si="29"/>
        <v>1</v>
      </c>
      <c r="O115" s="144">
        <v>1</v>
      </c>
      <c r="P115" s="145">
        <v>15</v>
      </c>
      <c r="Q115" s="113">
        <v>15</v>
      </c>
      <c r="R115" s="113"/>
      <c r="S115" s="113"/>
      <c r="T115" s="146"/>
      <c r="U115" s="148">
        <f t="shared" si="17"/>
        <v>15</v>
      </c>
      <c r="V115" s="149">
        <f t="shared" si="18"/>
        <v>15</v>
      </c>
      <c r="W115" s="189"/>
      <c r="X115" s="199"/>
      <c r="Y115" s="151"/>
      <c r="Z115" s="190"/>
      <c r="AA115" s="153"/>
      <c r="AB115" s="154">
        <f t="shared" si="19"/>
        <v>0</v>
      </c>
      <c r="AC115" s="149">
        <f t="shared" si="20"/>
        <v>0</v>
      </c>
      <c r="AD115" s="125">
        <v>2</v>
      </c>
      <c r="AE115" s="148">
        <f t="shared" si="21"/>
        <v>2</v>
      </c>
      <c r="AF115" s="156"/>
      <c r="AG115" s="156"/>
      <c r="AH115" s="113">
        <f t="shared" si="22"/>
        <v>17</v>
      </c>
      <c r="AI115" s="157">
        <v>65</v>
      </c>
      <c r="AJ115" s="113">
        <f t="shared" si="23"/>
        <v>82</v>
      </c>
      <c r="AK115" s="113">
        <f t="shared" si="24"/>
        <v>82</v>
      </c>
      <c r="AL115" s="158">
        <f t="shared" si="25"/>
        <v>1.02</v>
      </c>
      <c r="AM115" s="159"/>
      <c r="AN115" s="160">
        <f t="shared" si="30"/>
        <v>1</v>
      </c>
      <c r="AO115" s="160">
        <f t="shared" si="30"/>
        <v>2</v>
      </c>
      <c r="AP115" s="133"/>
      <c r="AQ115" s="134"/>
      <c r="AR115" s="161"/>
      <c r="AS115" s="161"/>
      <c r="AT115" s="161"/>
      <c r="AU115" s="161"/>
      <c r="AV115" s="162"/>
      <c r="AW115" s="137">
        <f t="shared" si="26"/>
        <v>0</v>
      </c>
      <c r="AX115" s="137">
        <f t="shared" si="27"/>
        <v>0</v>
      </c>
    </row>
    <row r="116" ht="53.25" customHeight="1" spans="1:50" s="97" customFormat="1" x14ac:dyDescent="0.25">
      <c r="A116" s="100"/>
      <c r="B116" s="100"/>
      <c r="C116" s="100"/>
      <c r="D116" s="100"/>
      <c r="E116" s="100"/>
      <c r="F116" s="100"/>
      <c r="G116" s="103"/>
      <c r="H116" s="186"/>
      <c r="I116" s="195">
        <v>0.51</v>
      </c>
      <c r="J116" s="107">
        <v>0.49</v>
      </c>
      <c r="K116" s="107"/>
      <c r="L116" s="107"/>
      <c r="M116" s="187"/>
      <c r="N116" s="169">
        <f t="shared" si="29"/>
        <v>1</v>
      </c>
      <c r="O116" s="144">
        <v>1</v>
      </c>
      <c r="P116" s="145">
        <v>15</v>
      </c>
      <c r="Q116" s="113">
        <v>15</v>
      </c>
      <c r="R116" s="113"/>
      <c r="S116" s="113"/>
      <c r="T116" s="146"/>
      <c r="U116" s="148">
        <f t="shared" si="17"/>
        <v>15</v>
      </c>
      <c r="V116" s="149">
        <f t="shared" si="18"/>
        <v>15</v>
      </c>
      <c r="W116" s="189"/>
      <c r="X116" s="199"/>
      <c r="Y116" s="151"/>
      <c r="Z116" s="190"/>
      <c r="AA116" s="153"/>
      <c r="AB116" s="154">
        <f t="shared" si="19"/>
        <v>0</v>
      </c>
      <c r="AC116" s="149">
        <f t="shared" si="20"/>
        <v>0</v>
      </c>
      <c r="AD116" s="125">
        <v>2</v>
      </c>
      <c r="AE116" s="148">
        <f t="shared" si="21"/>
        <v>2</v>
      </c>
      <c r="AF116" s="156"/>
      <c r="AG116" s="156"/>
      <c r="AH116" s="113">
        <f t="shared" si="22"/>
        <v>17</v>
      </c>
      <c r="AI116" s="157">
        <v>65</v>
      </c>
      <c r="AJ116" s="113">
        <f t="shared" si="23"/>
        <v>82</v>
      </c>
      <c r="AK116" s="113">
        <f t="shared" si="24"/>
        <v>82</v>
      </c>
      <c r="AL116" s="158">
        <f t="shared" si="25"/>
        <v>1.02</v>
      </c>
      <c r="AM116" s="159"/>
      <c r="AN116" s="160">
        <f t="shared" si="30"/>
        <v>1</v>
      </c>
      <c r="AO116" s="160">
        <f t="shared" si="30"/>
        <v>2</v>
      </c>
      <c r="AP116" s="133"/>
      <c r="AQ116" s="134"/>
      <c r="AR116" s="161"/>
      <c r="AS116" s="161"/>
      <c r="AT116" s="161"/>
      <c r="AU116" s="161"/>
      <c r="AV116" s="162"/>
      <c r="AW116" s="137">
        <f t="shared" si="26"/>
        <v>0</v>
      </c>
      <c r="AX116" s="137">
        <f t="shared" si="27"/>
        <v>0</v>
      </c>
    </row>
    <row r="117" ht="46.5" customHeight="1" spans="1:50" s="97" customFormat="1" x14ac:dyDescent="0.25">
      <c r="A117" s="100"/>
      <c r="B117" s="100"/>
      <c r="C117" s="100"/>
      <c r="D117" s="100"/>
      <c r="E117" s="100"/>
      <c r="F117" s="100"/>
      <c r="G117" s="103"/>
      <c r="H117" s="186"/>
      <c r="I117" s="195">
        <v>0.51</v>
      </c>
      <c r="J117" s="107">
        <v>0.49</v>
      </c>
      <c r="K117" s="107"/>
      <c r="L117" s="107"/>
      <c r="M117" s="187"/>
      <c r="N117" s="169">
        <f t="shared" si="29"/>
        <v>1</v>
      </c>
      <c r="O117" s="144">
        <v>1</v>
      </c>
      <c r="P117" s="145">
        <v>15</v>
      </c>
      <c r="Q117" s="113">
        <v>15</v>
      </c>
      <c r="R117" s="113"/>
      <c r="S117" s="113"/>
      <c r="T117" s="146"/>
      <c r="U117" s="148">
        <f t="shared" si="17"/>
        <v>15</v>
      </c>
      <c r="V117" s="149">
        <f t="shared" si="18"/>
        <v>15</v>
      </c>
      <c r="W117" s="189"/>
      <c r="X117" s="199"/>
      <c r="Y117" s="151"/>
      <c r="Z117" s="190"/>
      <c r="AA117" s="153"/>
      <c r="AB117" s="154">
        <f t="shared" si="19"/>
        <v>0</v>
      </c>
      <c r="AC117" s="149">
        <f t="shared" si="20"/>
        <v>0</v>
      </c>
      <c r="AD117" s="125">
        <v>2</v>
      </c>
      <c r="AE117" s="148">
        <f t="shared" si="21"/>
        <v>2</v>
      </c>
      <c r="AF117" s="156"/>
      <c r="AG117" s="156"/>
      <c r="AH117" s="113">
        <f t="shared" si="22"/>
        <v>17</v>
      </c>
      <c r="AI117" s="157">
        <v>65</v>
      </c>
      <c r="AJ117" s="113">
        <f t="shared" si="23"/>
        <v>82</v>
      </c>
      <c r="AK117" s="113">
        <f t="shared" si="24"/>
        <v>82</v>
      </c>
      <c r="AL117" s="158">
        <f t="shared" si="25"/>
        <v>1.02</v>
      </c>
      <c r="AM117" s="159"/>
      <c r="AN117" s="160">
        <f t="shared" si="30"/>
        <v>1</v>
      </c>
      <c r="AO117" s="160">
        <f t="shared" si="30"/>
        <v>2</v>
      </c>
      <c r="AP117" s="133"/>
      <c r="AQ117" s="134"/>
      <c r="AR117" s="161"/>
      <c r="AS117" s="161"/>
      <c r="AT117" s="161"/>
      <c r="AU117" s="161"/>
      <c r="AV117" s="162"/>
      <c r="AW117" s="137">
        <f t="shared" si="26"/>
        <v>0</v>
      </c>
      <c r="AX117" s="137">
        <f t="shared" si="27"/>
        <v>0</v>
      </c>
    </row>
    <row r="118" ht="46.5" customHeight="1" spans="1:50" s="97" customFormat="1" x14ac:dyDescent="0.25">
      <c r="A118" s="100"/>
      <c r="B118" s="100"/>
      <c r="C118" s="100"/>
      <c r="D118" s="100"/>
      <c r="E118" s="100"/>
      <c r="F118" s="100"/>
      <c r="G118" s="103"/>
      <c r="H118" s="186"/>
      <c r="I118" s="195">
        <v>0.51</v>
      </c>
      <c r="J118" s="107">
        <v>0.49</v>
      </c>
      <c r="K118" s="107"/>
      <c r="L118" s="107"/>
      <c r="M118" s="187"/>
      <c r="N118" s="169">
        <f t="shared" si="29"/>
        <v>1</v>
      </c>
      <c r="O118" s="144">
        <v>1</v>
      </c>
      <c r="P118" s="145">
        <v>15</v>
      </c>
      <c r="Q118" s="113">
        <v>15</v>
      </c>
      <c r="R118" s="113"/>
      <c r="S118" s="113"/>
      <c r="T118" s="146"/>
      <c r="U118" s="148">
        <f t="shared" si="17"/>
        <v>15</v>
      </c>
      <c r="V118" s="149">
        <f t="shared" si="18"/>
        <v>15</v>
      </c>
      <c r="W118" s="189"/>
      <c r="X118" s="199"/>
      <c r="Y118" s="151"/>
      <c r="Z118" s="190"/>
      <c r="AA118" s="153"/>
      <c r="AB118" s="154">
        <f t="shared" si="19"/>
        <v>0</v>
      </c>
      <c r="AC118" s="149">
        <f t="shared" si="20"/>
        <v>0</v>
      </c>
      <c r="AD118" s="125">
        <v>2</v>
      </c>
      <c r="AE118" s="148">
        <f t="shared" si="21"/>
        <v>2</v>
      </c>
      <c r="AF118" s="156"/>
      <c r="AG118" s="156"/>
      <c r="AH118" s="113">
        <f t="shared" si="22"/>
        <v>17</v>
      </c>
      <c r="AI118" s="157">
        <v>65</v>
      </c>
      <c r="AJ118" s="113">
        <f t="shared" si="23"/>
        <v>82</v>
      </c>
      <c r="AK118" s="113">
        <f t="shared" si="24"/>
        <v>82</v>
      </c>
      <c r="AL118" s="158">
        <f t="shared" si="25"/>
        <v>1.02</v>
      </c>
      <c r="AM118" s="159"/>
      <c r="AN118" s="160">
        <f t="shared" si="30"/>
        <v>1</v>
      </c>
      <c r="AO118" s="160">
        <f t="shared" si="30"/>
        <v>2</v>
      </c>
      <c r="AP118" s="133"/>
      <c r="AQ118" s="134"/>
      <c r="AR118" s="161"/>
      <c r="AS118" s="161"/>
      <c r="AT118" s="161"/>
      <c r="AU118" s="161"/>
      <c r="AV118" s="162"/>
      <c r="AW118" s="137">
        <f t="shared" si="26"/>
        <v>0</v>
      </c>
      <c r="AX118" s="137">
        <f t="shared" si="27"/>
        <v>0</v>
      </c>
    </row>
    <row r="119" ht="46.5" customHeight="1" spans="1:50" s="97" customFormat="1" x14ac:dyDescent="0.25">
      <c r="A119" s="100"/>
      <c r="B119" s="100"/>
      <c r="C119" s="100"/>
      <c r="D119" s="100"/>
      <c r="E119" s="100"/>
      <c r="F119" s="100"/>
      <c r="G119" s="103"/>
      <c r="H119" s="186"/>
      <c r="I119" s="195">
        <v>0.51</v>
      </c>
      <c r="J119" s="107">
        <v>0.49</v>
      </c>
      <c r="K119" s="107"/>
      <c r="L119" s="107"/>
      <c r="M119" s="187"/>
      <c r="N119" s="169">
        <f t="shared" si="29"/>
        <v>1</v>
      </c>
      <c r="O119" s="144">
        <v>1</v>
      </c>
      <c r="P119" s="145">
        <v>15</v>
      </c>
      <c r="Q119" s="113">
        <v>15</v>
      </c>
      <c r="R119" s="113"/>
      <c r="S119" s="113"/>
      <c r="T119" s="146"/>
      <c r="U119" s="148">
        <f t="shared" si="17"/>
        <v>15</v>
      </c>
      <c r="V119" s="149">
        <f t="shared" si="18"/>
        <v>15</v>
      </c>
      <c r="W119" s="189"/>
      <c r="X119" s="199"/>
      <c r="Y119" s="151"/>
      <c r="Z119" s="190"/>
      <c r="AA119" s="153"/>
      <c r="AB119" s="154">
        <f t="shared" si="19"/>
        <v>0</v>
      </c>
      <c r="AC119" s="149">
        <f t="shared" si="20"/>
        <v>0</v>
      </c>
      <c r="AD119" s="125">
        <v>2</v>
      </c>
      <c r="AE119" s="148">
        <f t="shared" si="21"/>
        <v>2</v>
      </c>
      <c r="AF119" s="156"/>
      <c r="AG119" s="156"/>
      <c r="AH119" s="113">
        <f t="shared" si="22"/>
        <v>17</v>
      </c>
      <c r="AI119" s="157">
        <v>65</v>
      </c>
      <c r="AJ119" s="113">
        <f t="shared" si="23"/>
        <v>82</v>
      </c>
      <c r="AK119" s="113">
        <f t="shared" si="24"/>
        <v>82</v>
      </c>
      <c r="AL119" s="158">
        <f t="shared" si="25"/>
        <v>1.02</v>
      </c>
      <c r="AM119" s="159"/>
      <c r="AN119" s="160">
        <f t="shared" si="30"/>
        <v>1</v>
      </c>
      <c r="AO119" s="160">
        <f t="shared" si="30"/>
        <v>2</v>
      </c>
      <c r="AP119" s="133"/>
      <c r="AQ119" s="134"/>
      <c r="AR119" s="161"/>
      <c r="AS119" s="161"/>
      <c r="AT119" s="161"/>
      <c r="AU119" s="161"/>
      <c r="AV119" s="162"/>
      <c r="AW119" s="137">
        <f t="shared" si="26"/>
        <v>0</v>
      </c>
      <c r="AX119" s="137">
        <f t="shared" si="27"/>
        <v>0</v>
      </c>
    </row>
    <row r="120" ht="47.25" customHeight="1" spans="1:50" s="56" customFormat="1" x14ac:dyDescent="0.25">
      <c r="A120" s="100"/>
      <c r="B120" s="100"/>
      <c r="C120" s="100"/>
      <c r="D120" s="100"/>
      <c r="E120" s="100"/>
      <c r="F120" s="100"/>
      <c r="G120" s="103"/>
      <c r="H120" s="186"/>
      <c r="I120" s="195">
        <v>0.51</v>
      </c>
      <c r="J120" s="107">
        <v>0.49</v>
      </c>
      <c r="K120" s="107"/>
      <c r="L120" s="107"/>
      <c r="M120" s="187"/>
      <c r="N120" s="169">
        <f t="shared" si="29"/>
        <v>1</v>
      </c>
      <c r="O120" s="144">
        <v>1</v>
      </c>
      <c r="P120" s="145">
        <v>15</v>
      </c>
      <c r="Q120" s="113">
        <v>15</v>
      </c>
      <c r="R120" s="113"/>
      <c r="S120" s="113"/>
      <c r="T120" s="146"/>
      <c r="U120" s="148">
        <f t="shared" si="17"/>
        <v>15</v>
      </c>
      <c r="V120" s="149">
        <f t="shared" si="18"/>
        <v>15</v>
      </c>
      <c r="W120" s="189"/>
      <c r="X120" s="199"/>
      <c r="Y120" s="151"/>
      <c r="Z120" s="190"/>
      <c r="AA120" s="153"/>
      <c r="AB120" s="154">
        <f t="shared" si="19"/>
        <v>0</v>
      </c>
      <c r="AC120" s="149">
        <f t="shared" si="20"/>
        <v>0</v>
      </c>
      <c r="AD120" s="125">
        <v>2</v>
      </c>
      <c r="AE120" s="148">
        <f t="shared" si="21"/>
        <v>2</v>
      </c>
      <c r="AF120" s="156"/>
      <c r="AG120" s="156"/>
      <c r="AH120" s="113">
        <f t="shared" si="22"/>
        <v>17</v>
      </c>
      <c r="AI120" s="157">
        <v>65</v>
      </c>
      <c r="AJ120" s="113">
        <f t="shared" si="23"/>
        <v>82</v>
      </c>
      <c r="AK120" s="113">
        <f t="shared" si="24"/>
        <v>82</v>
      </c>
      <c r="AL120" s="158">
        <f t="shared" si="25"/>
        <v>1.02</v>
      </c>
      <c r="AM120" s="159"/>
      <c r="AN120" s="160">
        <f t="shared" si="30"/>
        <v>1</v>
      </c>
      <c r="AO120" s="160">
        <f t="shared" si="30"/>
        <v>2</v>
      </c>
      <c r="AP120" s="133"/>
      <c r="AQ120" s="134"/>
      <c r="AR120" s="161"/>
      <c r="AS120" s="161"/>
      <c r="AT120" s="161"/>
      <c r="AU120" s="161"/>
      <c r="AV120" s="162"/>
      <c r="AW120" s="137">
        <f t="shared" si="26"/>
        <v>0</v>
      </c>
      <c r="AX120" s="137">
        <f t="shared" si="27"/>
        <v>0</v>
      </c>
    </row>
    <row r="121" ht="47.25" customHeight="1" spans="1:50" s="56" customFormat="1" x14ac:dyDescent="0.25">
      <c r="A121" s="100"/>
      <c r="B121" s="100"/>
      <c r="C121" s="100"/>
      <c r="D121" s="100"/>
      <c r="E121" s="100"/>
      <c r="F121" s="100"/>
      <c r="G121" s="103"/>
      <c r="H121" s="186"/>
      <c r="I121" s="195">
        <v>0.51</v>
      </c>
      <c r="J121" s="107">
        <v>0.49</v>
      </c>
      <c r="K121" s="107"/>
      <c r="L121" s="107"/>
      <c r="M121" s="187"/>
      <c r="N121" s="169">
        <f t="shared" si="29"/>
        <v>1</v>
      </c>
      <c r="O121" s="144">
        <v>1</v>
      </c>
      <c r="P121" s="145">
        <v>15</v>
      </c>
      <c r="Q121" s="113">
        <v>15</v>
      </c>
      <c r="R121" s="113"/>
      <c r="S121" s="113"/>
      <c r="T121" s="146"/>
      <c r="U121" s="148">
        <f t="shared" si="17"/>
        <v>15</v>
      </c>
      <c r="V121" s="149">
        <f t="shared" si="18"/>
        <v>15</v>
      </c>
      <c r="W121" s="189"/>
      <c r="X121" s="199"/>
      <c r="Y121" s="151"/>
      <c r="Z121" s="190"/>
      <c r="AA121" s="153"/>
      <c r="AB121" s="154">
        <f t="shared" si="19"/>
        <v>0</v>
      </c>
      <c r="AC121" s="149">
        <f t="shared" si="20"/>
        <v>0</v>
      </c>
      <c r="AD121" s="125">
        <v>2</v>
      </c>
      <c r="AE121" s="148">
        <f t="shared" si="21"/>
        <v>2</v>
      </c>
      <c r="AF121" s="156"/>
      <c r="AG121" s="156"/>
      <c r="AH121" s="113">
        <f t="shared" si="22"/>
        <v>17</v>
      </c>
      <c r="AI121" s="157">
        <v>65</v>
      </c>
      <c r="AJ121" s="113">
        <f t="shared" si="23"/>
        <v>82</v>
      </c>
      <c r="AK121" s="113">
        <f t="shared" si="24"/>
        <v>82</v>
      </c>
      <c r="AL121" s="158">
        <f t="shared" si="25"/>
        <v>1.02</v>
      </c>
      <c r="AM121" s="159"/>
      <c r="AN121" s="160">
        <f t="shared" si="30"/>
        <v>1</v>
      </c>
      <c r="AO121" s="160">
        <f t="shared" si="30"/>
        <v>2</v>
      </c>
      <c r="AP121" s="133"/>
      <c r="AQ121" s="134"/>
      <c r="AR121" s="161"/>
      <c r="AS121" s="161"/>
      <c r="AT121" s="161"/>
      <c r="AU121" s="161"/>
      <c r="AV121" s="162"/>
      <c r="AW121" s="137">
        <f t="shared" si="26"/>
        <v>0</v>
      </c>
      <c r="AX121" s="137">
        <f t="shared" si="27"/>
        <v>0</v>
      </c>
    </row>
    <row r="122" ht="46.5" customHeight="1" spans="1:50" s="97" customFormat="1" x14ac:dyDescent="0.25">
      <c r="A122" s="100"/>
      <c r="B122" s="100"/>
      <c r="C122" s="100"/>
      <c r="D122" s="100"/>
      <c r="E122" s="100"/>
      <c r="F122" s="100"/>
      <c r="G122" s="103"/>
      <c r="H122" s="186"/>
      <c r="I122" s="195">
        <v>0.51</v>
      </c>
      <c r="J122" s="107">
        <v>0.49</v>
      </c>
      <c r="K122" s="107"/>
      <c r="L122" s="107"/>
      <c r="M122" s="187"/>
      <c r="N122" s="169">
        <f t="shared" si="29"/>
        <v>1</v>
      </c>
      <c r="O122" s="144">
        <v>1</v>
      </c>
      <c r="P122" s="145">
        <v>15</v>
      </c>
      <c r="Q122" s="113">
        <v>15</v>
      </c>
      <c r="R122" s="113"/>
      <c r="S122" s="113"/>
      <c r="T122" s="146"/>
      <c r="U122" s="148">
        <f t="shared" si="17"/>
        <v>15</v>
      </c>
      <c r="V122" s="149">
        <f t="shared" si="18"/>
        <v>15</v>
      </c>
      <c r="W122" s="189"/>
      <c r="X122" s="199"/>
      <c r="Y122" s="151"/>
      <c r="Z122" s="190"/>
      <c r="AA122" s="153"/>
      <c r="AB122" s="154">
        <f t="shared" si="19"/>
        <v>0</v>
      </c>
      <c r="AC122" s="149">
        <f t="shared" si="20"/>
        <v>0</v>
      </c>
      <c r="AD122" s="125">
        <v>2</v>
      </c>
      <c r="AE122" s="148">
        <f t="shared" si="21"/>
        <v>2</v>
      </c>
      <c r="AF122" s="156"/>
      <c r="AG122" s="156"/>
      <c r="AH122" s="113">
        <f t="shared" si="22"/>
        <v>17</v>
      </c>
      <c r="AI122" s="157">
        <v>65</v>
      </c>
      <c r="AJ122" s="113">
        <f t="shared" si="23"/>
        <v>82</v>
      </c>
      <c r="AK122" s="113">
        <f t="shared" si="24"/>
        <v>82</v>
      </c>
      <c r="AL122" s="158">
        <f t="shared" si="25"/>
        <v>1.02</v>
      </c>
      <c r="AM122" s="159"/>
      <c r="AN122" s="160">
        <f t="shared" si="30"/>
        <v>1</v>
      </c>
      <c r="AO122" s="160">
        <f t="shared" si="30"/>
        <v>2</v>
      </c>
      <c r="AP122" s="133"/>
      <c r="AQ122" s="134"/>
      <c r="AR122" s="161"/>
      <c r="AS122" s="161"/>
      <c r="AT122" s="161"/>
      <c r="AU122" s="161"/>
      <c r="AV122" s="162"/>
      <c r="AW122" s="137">
        <f t="shared" si="26"/>
        <v>0</v>
      </c>
      <c r="AX122" s="137">
        <f t="shared" si="27"/>
        <v>0</v>
      </c>
    </row>
    <row r="123" ht="47.25" customHeight="1" spans="1:50" s="56" customFormat="1" x14ac:dyDescent="0.25">
      <c r="A123" s="100"/>
      <c r="B123" s="100"/>
      <c r="C123" s="100"/>
      <c r="D123" s="100"/>
      <c r="E123" s="100"/>
      <c r="F123" s="100"/>
      <c r="G123" s="103"/>
      <c r="H123" s="186"/>
      <c r="I123" s="195">
        <v>0.51</v>
      </c>
      <c r="J123" s="107">
        <v>0.49</v>
      </c>
      <c r="K123" s="107"/>
      <c r="L123" s="107"/>
      <c r="M123" s="187"/>
      <c r="N123" s="169">
        <f t="shared" si="29"/>
        <v>1</v>
      </c>
      <c r="O123" s="144">
        <v>1</v>
      </c>
      <c r="P123" s="145">
        <v>15</v>
      </c>
      <c r="Q123" s="113">
        <v>15</v>
      </c>
      <c r="R123" s="113"/>
      <c r="S123" s="113"/>
      <c r="T123" s="146"/>
      <c r="U123" s="148">
        <f t="shared" si="17"/>
        <v>15</v>
      </c>
      <c r="V123" s="149">
        <f t="shared" si="18"/>
        <v>15</v>
      </c>
      <c r="W123" s="189"/>
      <c r="X123" s="199"/>
      <c r="Y123" s="151"/>
      <c r="Z123" s="190"/>
      <c r="AA123" s="153"/>
      <c r="AB123" s="154">
        <f t="shared" si="19"/>
        <v>0</v>
      </c>
      <c r="AC123" s="149">
        <f t="shared" si="20"/>
        <v>0</v>
      </c>
      <c r="AD123" s="125">
        <v>2</v>
      </c>
      <c r="AE123" s="148">
        <f t="shared" si="21"/>
        <v>2</v>
      </c>
      <c r="AF123" s="156"/>
      <c r="AG123" s="156"/>
      <c r="AH123" s="113">
        <f t="shared" si="22"/>
        <v>17</v>
      </c>
      <c r="AI123" s="157">
        <v>65</v>
      </c>
      <c r="AJ123" s="113">
        <f t="shared" si="23"/>
        <v>82</v>
      </c>
      <c r="AK123" s="113">
        <f t="shared" si="24"/>
        <v>82</v>
      </c>
      <c r="AL123" s="158">
        <f t="shared" si="25"/>
        <v>1.02</v>
      </c>
      <c r="AM123" s="159"/>
      <c r="AN123" s="160">
        <f t="shared" si="30"/>
        <v>1</v>
      </c>
      <c r="AO123" s="160">
        <f t="shared" si="30"/>
        <v>2</v>
      </c>
      <c r="AP123" s="133"/>
      <c r="AQ123" s="134"/>
      <c r="AR123" s="161"/>
      <c r="AS123" s="161"/>
      <c r="AT123" s="161"/>
      <c r="AU123" s="161"/>
      <c r="AV123" s="162"/>
      <c r="AW123" s="137">
        <f t="shared" si="26"/>
        <v>0</v>
      </c>
      <c r="AX123" s="137">
        <f t="shared" si="27"/>
        <v>0</v>
      </c>
    </row>
    <row r="124" ht="47.25" customHeight="1" spans="1:50" s="97" customFormat="1" x14ac:dyDescent="0.25">
      <c r="A124" s="100"/>
      <c r="B124" s="100"/>
      <c r="C124" s="100"/>
      <c r="D124" s="100"/>
      <c r="E124" s="100"/>
      <c r="F124" s="100"/>
      <c r="G124" s="103"/>
      <c r="H124" s="186"/>
      <c r="I124" s="195">
        <v>0.51</v>
      </c>
      <c r="J124" s="107">
        <v>0.49</v>
      </c>
      <c r="K124" s="107"/>
      <c r="L124" s="107"/>
      <c r="M124" s="187"/>
      <c r="N124" s="169">
        <f t="shared" si="29"/>
        <v>1</v>
      </c>
      <c r="O124" s="144">
        <v>1</v>
      </c>
      <c r="P124" s="145">
        <v>15</v>
      </c>
      <c r="Q124" s="113">
        <v>15</v>
      </c>
      <c r="R124" s="113"/>
      <c r="S124" s="113"/>
      <c r="T124" s="146"/>
      <c r="U124" s="148">
        <f t="shared" si="17"/>
        <v>15</v>
      </c>
      <c r="V124" s="149">
        <f t="shared" si="18"/>
        <v>15</v>
      </c>
      <c r="W124" s="189"/>
      <c r="X124" s="199"/>
      <c r="Y124" s="151"/>
      <c r="Z124" s="190"/>
      <c r="AA124" s="153"/>
      <c r="AB124" s="154">
        <f t="shared" si="19"/>
        <v>0</v>
      </c>
      <c r="AC124" s="149">
        <f t="shared" si="20"/>
        <v>0</v>
      </c>
      <c r="AD124" s="125">
        <v>2</v>
      </c>
      <c r="AE124" s="148">
        <f t="shared" si="21"/>
        <v>2</v>
      </c>
      <c r="AF124" s="156"/>
      <c r="AG124" s="156"/>
      <c r="AH124" s="113">
        <f t="shared" si="22"/>
        <v>17</v>
      </c>
      <c r="AI124" s="157">
        <v>65</v>
      </c>
      <c r="AJ124" s="113">
        <f t="shared" si="23"/>
        <v>82</v>
      </c>
      <c r="AK124" s="113">
        <f t="shared" si="24"/>
        <v>82</v>
      </c>
      <c r="AL124" s="158">
        <f t="shared" si="25"/>
        <v>1.02</v>
      </c>
      <c r="AM124" s="159"/>
      <c r="AN124" s="160">
        <f t="shared" si="30"/>
        <v>1</v>
      </c>
      <c r="AO124" s="160">
        <f t="shared" si="30"/>
        <v>2</v>
      </c>
      <c r="AP124" s="133"/>
      <c r="AQ124" s="134"/>
      <c r="AR124" s="161"/>
      <c r="AS124" s="161"/>
      <c r="AT124" s="161"/>
      <c r="AU124" s="161"/>
      <c r="AV124" s="162"/>
      <c r="AW124" s="137">
        <f t="shared" si="26"/>
        <v>0</v>
      </c>
      <c r="AX124" s="137">
        <f t="shared" si="27"/>
        <v>0</v>
      </c>
    </row>
    <row r="125" ht="47.25" customHeight="1" spans="1:50" s="97" customFormat="1" x14ac:dyDescent="0.25">
      <c r="A125" s="100"/>
      <c r="B125" s="100"/>
      <c r="C125" s="100"/>
      <c r="D125" s="100"/>
      <c r="E125" s="100"/>
      <c r="F125" s="100"/>
      <c r="G125" s="103"/>
      <c r="H125" s="186"/>
      <c r="I125" s="195">
        <v>0.51</v>
      </c>
      <c r="J125" s="107">
        <v>0.49</v>
      </c>
      <c r="K125" s="107"/>
      <c r="L125" s="107"/>
      <c r="M125" s="187"/>
      <c r="N125" s="169">
        <f t="shared" si="29"/>
        <v>1</v>
      </c>
      <c r="O125" s="144">
        <v>1</v>
      </c>
      <c r="P125" s="145">
        <v>15</v>
      </c>
      <c r="Q125" s="113">
        <v>15</v>
      </c>
      <c r="R125" s="113"/>
      <c r="S125" s="113"/>
      <c r="T125" s="146"/>
      <c r="U125" s="148">
        <f t="shared" si="17"/>
        <v>15</v>
      </c>
      <c r="V125" s="149">
        <f t="shared" si="18"/>
        <v>15</v>
      </c>
      <c r="W125" s="189"/>
      <c r="X125" s="199"/>
      <c r="Y125" s="151"/>
      <c r="Z125" s="190"/>
      <c r="AA125" s="153"/>
      <c r="AB125" s="154">
        <f t="shared" si="19"/>
        <v>0</v>
      </c>
      <c r="AC125" s="149">
        <f t="shared" si="20"/>
        <v>0</v>
      </c>
      <c r="AD125" s="125">
        <v>2</v>
      </c>
      <c r="AE125" s="148">
        <f t="shared" si="21"/>
        <v>2</v>
      </c>
      <c r="AF125" s="156"/>
      <c r="AG125" s="156"/>
      <c r="AH125" s="113">
        <f t="shared" si="22"/>
        <v>17</v>
      </c>
      <c r="AI125" s="157">
        <v>65</v>
      </c>
      <c r="AJ125" s="113">
        <f t="shared" si="23"/>
        <v>82</v>
      </c>
      <c r="AK125" s="113">
        <f t="shared" si="24"/>
        <v>82</v>
      </c>
      <c r="AL125" s="158">
        <f t="shared" si="25"/>
        <v>1.02</v>
      </c>
      <c r="AM125" s="159"/>
      <c r="AN125" s="160">
        <f t="shared" si="30"/>
        <v>1</v>
      </c>
      <c r="AO125" s="160">
        <f t="shared" si="30"/>
        <v>2</v>
      </c>
      <c r="AP125" s="133"/>
      <c r="AQ125" s="134"/>
      <c r="AR125" s="161"/>
      <c r="AS125" s="161"/>
      <c r="AT125" s="161"/>
      <c r="AU125" s="161"/>
      <c r="AV125" s="162"/>
      <c r="AW125" s="137">
        <f t="shared" si="26"/>
        <v>0</v>
      </c>
      <c r="AX125" s="137">
        <f t="shared" si="27"/>
        <v>0</v>
      </c>
    </row>
    <row r="126" ht="46.5" customHeight="1" spans="1:50" s="97" customFormat="1" x14ac:dyDescent="0.25">
      <c r="A126" s="100"/>
      <c r="B126" s="100"/>
      <c r="C126" s="100"/>
      <c r="D126" s="100"/>
      <c r="E126" s="100"/>
      <c r="F126" s="100"/>
      <c r="G126" s="103"/>
      <c r="H126" s="186"/>
      <c r="I126" s="195">
        <v>0.51</v>
      </c>
      <c r="J126" s="107">
        <v>0.49</v>
      </c>
      <c r="K126" s="107"/>
      <c r="L126" s="107"/>
      <c r="M126" s="187"/>
      <c r="N126" s="169">
        <f t="shared" si="29"/>
        <v>1</v>
      </c>
      <c r="O126" s="144">
        <v>1</v>
      </c>
      <c r="P126" s="145">
        <v>15</v>
      </c>
      <c r="Q126" s="113">
        <v>15</v>
      </c>
      <c r="R126" s="113"/>
      <c r="S126" s="113"/>
      <c r="T126" s="146"/>
      <c r="U126" s="148">
        <f t="shared" si="17"/>
        <v>15</v>
      </c>
      <c r="V126" s="149">
        <f t="shared" si="18"/>
        <v>15</v>
      </c>
      <c r="W126" s="189"/>
      <c r="X126" s="199"/>
      <c r="Y126" s="151"/>
      <c r="Z126" s="190"/>
      <c r="AA126" s="153"/>
      <c r="AB126" s="154">
        <f t="shared" si="19"/>
        <v>0</v>
      </c>
      <c r="AC126" s="149">
        <f t="shared" si="20"/>
        <v>0</v>
      </c>
      <c r="AD126" s="125">
        <v>2</v>
      </c>
      <c r="AE126" s="148">
        <f t="shared" si="21"/>
        <v>2</v>
      </c>
      <c r="AF126" s="156"/>
      <c r="AG126" s="156"/>
      <c r="AH126" s="113">
        <f t="shared" si="22"/>
        <v>17</v>
      </c>
      <c r="AI126" s="157">
        <v>65</v>
      </c>
      <c r="AJ126" s="113">
        <f t="shared" si="23"/>
        <v>82</v>
      </c>
      <c r="AK126" s="113">
        <f t="shared" si="24"/>
        <v>82</v>
      </c>
      <c r="AL126" s="158">
        <f t="shared" si="25"/>
        <v>1.02</v>
      </c>
      <c r="AM126" s="159"/>
      <c r="AN126" s="160">
        <f t="shared" si="30"/>
        <v>1</v>
      </c>
      <c r="AO126" s="160">
        <f t="shared" si="30"/>
        <v>2</v>
      </c>
      <c r="AP126" s="133"/>
      <c r="AQ126" s="134"/>
      <c r="AR126" s="161"/>
      <c r="AS126" s="161"/>
      <c r="AT126" s="161"/>
      <c r="AU126" s="161"/>
      <c r="AV126" s="162"/>
      <c r="AW126" s="137">
        <f t="shared" si="26"/>
        <v>0</v>
      </c>
      <c r="AX126" s="137">
        <f t="shared" si="27"/>
        <v>0</v>
      </c>
    </row>
    <row r="127" ht="46.5" customHeight="1" spans="1:50" s="97" customFormat="1" x14ac:dyDescent="0.25">
      <c r="A127" s="100"/>
      <c r="B127" s="100"/>
      <c r="C127" s="100"/>
      <c r="D127" s="100"/>
      <c r="E127" s="100"/>
      <c r="F127" s="100"/>
      <c r="G127" s="103"/>
      <c r="H127" s="186"/>
      <c r="I127" s="195">
        <v>0.51</v>
      </c>
      <c r="J127" s="107">
        <v>0.49</v>
      </c>
      <c r="K127" s="107"/>
      <c r="L127" s="107"/>
      <c r="M127" s="187"/>
      <c r="N127" s="169">
        <f t="shared" si="29"/>
        <v>1</v>
      </c>
      <c r="O127" s="144">
        <v>1</v>
      </c>
      <c r="P127" s="145">
        <v>15</v>
      </c>
      <c r="Q127" s="113">
        <v>15</v>
      </c>
      <c r="R127" s="113"/>
      <c r="S127" s="113"/>
      <c r="T127" s="146"/>
      <c r="U127" s="148">
        <f t="shared" si="17"/>
        <v>15</v>
      </c>
      <c r="V127" s="149">
        <f t="shared" si="18"/>
        <v>15</v>
      </c>
      <c r="W127" s="189"/>
      <c r="X127" s="199"/>
      <c r="Y127" s="151"/>
      <c r="Z127" s="190"/>
      <c r="AA127" s="153"/>
      <c r="AB127" s="154">
        <f t="shared" si="19"/>
        <v>0</v>
      </c>
      <c r="AC127" s="149">
        <f t="shared" si="20"/>
        <v>0</v>
      </c>
      <c r="AD127" s="125">
        <v>2</v>
      </c>
      <c r="AE127" s="148">
        <f t="shared" si="21"/>
        <v>2</v>
      </c>
      <c r="AF127" s="156"/>
      <c r="AG127" s="156"/>
      <c r="AH127" s="113">
        <f t="shared" si="22"/>
        <v>17</v>
      </c>
      <c r="AI127" s="157">
        <v>65</v>
      </c>
      <c r="AJ127" s="113">
        <f t="shared" si="23"/>
        <v>82</v>
      </c>
      <c r="AK127" s="113">
        <f t="shared" si="24"/>
        <v>82</v>
      </c>
      <c r="AL127" s="158">
        <f t="shared" si="25"/>
        <v>1.02</v>
      </c>
      <c r="AM127" s="159"/>
      <c r="AN127" s="160">
        <f t="shared" si="30"/>
        <v>1</v>
      </c>
      <c r="AO127" s="160">
        <f t="shared" si="30"/>
        <v>2</v>
      </c>
      <c r="AP127" s="133"/>
      <c r="AQ127" s="134"/>
      <c r="AR127" s="161"/>
      <c r="AS127" s="161"/>
      <c r="AT127" s="161"/>
      <c r="AU127" s="161"/>
      <c r="AV127" s="162"/>
      <c r="AW127" s="137">
        <f t="shared" si="26"/>
        <v>0</v>
      </c>
      <c r="AX127" s="137">
        <f t="shared" si="27"/>
        <v>0</v>
      </c>
    </row>
    <row r="128" ht="47.25" customHeight="1" spans="1:50" s="56" customFormat="1" x14ac:dyDescent="0.25">
      <c r="A128" s="100"/>
      <c r="B128" s="100"/>
      <c r="C128" s="100"/>
      <c r="D128" s="100"/>
      <c r="E128" s="100"/>
      <c r="F128" s="100"/>
      <c r="G128" s="103"/>
      <c r="H128" s="186"/>
      <c r="I128" s="195">
        <v>0.51</v>
      </c>
      <c r="J128" s="107">
        <v>0.49</v>
      </c>
      <c r="K128" s="107"/>
      <c r="L128" s="107"/>
      <c r="M128" s="187"/>
      <c r="N128" s="169">
        <f t="shared" si="29"/>
        <v>1</v>
      </c>
      <c r="O128" s="144">
        <v>1</v>
      </c>
      <c r="P128" s="145">
        <v>15</v>
      </c>
      <c r="Q128" s="113">
        <v>15</v>
      </c>
      <c r="R128" s="113"/>
      <c r="S128" s="113"/>
      <c r="T128" s="146"/>
      <c r="U128" s="148">
        <f t="shared" si="17"/>
        <v>15</v>
      </c>
      <c r="V128" s="149">
        <f t="shared" si="18"/>
        <v>15</v>
      </c>
      <c r="W128" s="189"/>
      <c r="X128" s="199"/>
      <c r="Y128" s="151"/>
      <c r="Z128" s="190"/>
      <c r="AA128" s="153"/>
      <c r="AB128" s="154">
        <f t="shared" si="19"/>
        <v>0</v>
      </c>
      <c r="AC128" s="149">
        <f t="shared" si="20"/>
        <v>0</v>
      </c>
      <c r="AD128" s="125">
        <v>2</v>
      </c>
      <c r="AE128" s="148">
        <f t="shared" si="21"/>
        <v>2</v>
      </c>
      <c r="AF128" s="156"/>
      <c r="AG128" s="156"/>
      <c r="AH128" s="113">
        <f t="shared" si="22"/>
        <v>17</v>
      </c>
      <c r="AI128" s="157">
        <v>65</v>
      </c>
      <c r="AJ128" s="113">
        <f t="shared" si="23"/>
        <v>82</v>
      </c>
      <c r="AK128" s="113">
        <f t="shared" si="24"/>
        <v>82</v>
      </c>
      <c r="AL128" s="158">
        <f t="shared" si="25"/>
        <v>1.02</v>
      </c>
      <c r="AM128" s="159"/>
      <c r="AN128" s="160">
        <f t="shared" si="30"/>
        <v>1</v>
      </c>
      <c r="AO128" s="160">
        <f t="shared" si="30"/>
        <v>2</v>
      </c>
      <c r="AP128" s="133"/>
      <c r="AQ128" s="134"/>
      <c r="AR128" s="161"/>
      <c r="AS128" s="161"/>
      <c r="AT128" s="161"/>
      <c r="AU128" s="161"/>
      <c r="AV128" s="162"/>
      <c r="AW128" s="137">
        <f t="shared" si="26"/>
        <v>0</v>
      </c>
      <c r="AX128" s="137">
        <f t="shared" si="27"/>
        <v>0</v>
      </c>
    </row>
    <row r="129" ht="46.5" customHeight="1" spans="1:50" s="97" customFormat="1" x14ac:dyDescent="0.25">
      <c r="A129" s="100"/>
      <c r="B129" s="100"/>
      <c r="C129" s="100"/>
      <c r="D129" s="100"/>
      <c r="E129" s="100"/>
      <c r="F129" s="100"/>
      <c r="G129" s="103"/>
      <c r="H129" s="186"/>
      <c r="I129" s="195">
        <v>0.51</v>
      </c>
      <c r="J129" s="107">
        <v>0.49</v>
      </c>
      <c r="K129" s="107"/>
      <c r="L129" s="107"/>
      <c r="M129" s="187"/>
      <c r="N129" s="169">
        <f t="shared" si="29"/>
        <v>1</v>
      </c>
      <c r="O129" s="144">
        <v>1</v>
      </c>
      <c r="P129" s="145">
        <v>15</v>
      </c>
      <c r="Q129" s="113">
        <v>15</v>
      </c>
      <c r="R129" s="113"/>
      <c r="S129" s="113"/>
      <c r="T129" s="146"/>
      <c r="U129" s="148">
        <f t="shared" si="17"/>
        <v>15</v>
      </c>
      <c r="V129" s="149">
        <f t="shared" si="18"/>
        <v>15</v>
      </c>
      <c r="W129" s="189"/>
      <c r="X129" s="199"/>
      <c r="Y129" s="151"/>
      <c r="Z129" s="190"/>
      <c r="AA129" s="153"/>
      <c r="AB129" s="154">
        <f t="shared" si="19"/>
        <v>0</v>
      </c>
      <c r="AC129" s="149">
        <f t="shared" si="20"/>
        <v>0</v>
      </c>
      <c r="AD129" s="125">
        <v>2</v>
      </c>
      <c r="AE129" s="148">
        <f t="shared" si="21"/>
        <v>2</v>
      </c>
      <c r="AF129" s="156"/>
      <c r="AG129" s="156"/>
      <c r="AH129" s="113">
        <f t="shared" si="22"/>
        <v>17</v>
      </c>
      <c r="AI129" s="157">
        <v>65</v>
      </c>
      <c r="AJ129" s="113">
        <f t="shared" si="23"/>
        <v>82</v>
      </c>
      <c r="AK129" s="113">
        <f t="shared" si="24"/>
        <v>82</v>
      </c>
      <c r="AL129" s="158">
        <f t="shared" si="25"/>
        <v>1.02</v>
      </c>
      <c r="AM129" s="159"/>
      <c r="AN129" s="160">
        <f t="shared" si="30"/>
        <v>1</v>
      </c>
      <c r="AO129" s="160">
        <f t="shared" si="30"/>
        <v>2</v>
      </c>
      <c r="AP129" s="133"/>
      <c r="AQ129" s="134"/>
      <c r="AR129" s="161"/>
      <c r="AS129" s="161"/>
      <c r="AT129" s="161"/>
      <c r="AU129" s="161"/>
      <c r="AV129" s="162"/>
      <c r="AW129" s="137">
        <f t="shared" si="26"/>
        <v>0</v>
      </c>
      <c r="AX129" s="137">
        <f t="shared" si="27"/>
        <v>0</v>
      </c>
    </row>
    <row r="130" ht="47.25" customHeight="1" spans="1:50" s="56" customFormat="1" x14ac:dyDescent="0.25">
      <c r="A130" s="100"/>
      <c r="B130" s="100"/>
      <c r="C130" s="100"/>
      <c r="D130" s="100"/>
      <c r="E130" s="100"/>
      <c r="F130" s="100"/>
      <c r="G130" s="103"/>
      <c r="H130" s="186"/>
      <c r="I130" s="195">
        <v>0.51</v>
      </c>
      <c r="J130" s="107">
        <v>0.49</v>
      </c>
      <c r="K130" s="107"/>
      <c r="L130" s="107"/>
      <c r="M130" s="187"/>
      <c r="N130" s="169">
        <f t="shared" si="29"/>
        <v>1</v>
      </c>
      <c r="O130" s="144">
        <v>1</v>
      </c>
      <c r="P130" s="145">
        <v>15</v>
      </c>
      <c r="Q130" s="113">
        <v>15</v>
      </c>
      <c r="R130" s="113"/>
      <c r="S130" s="113"/>
      <c r="T130" s="146"/>
      <c r="U130" s="148">
        <f t="shared" si="17"/>
        <v>15</v>
      </c>
      <c r="V130" s="149">
        <f t="shared" si="18"/>
        <v>15</v>
      </c>
      <c r="W130" s="189"/>
      <c r="X130" s="199"/>
      <c r="Y130" s="151"/>
      <c r="Z130" s="190"/>
      <c r="AA130" s="153"/>
      <c r="AB130" s="154">
        <f t="shared" si="19"/>
        <v>0</v>
      </c>
      <c r="AC130" s="149">
        <f t="shared" si="20"/>
        <v>0</v>
      </c>
      <c r="AD130" s="125">
        <v>2</v>
      </c>
      <c r="AE130" s="148">
        <f t="shared" si="21"/>
        <v>2</v>
      </c>
      <c r="AF130" s="156"/>
      <c r="AG130" s="156"/>
      <c r="AH130" s="113">
        <f t="shared" si="22"/>
        <v>17</v>
      </c>
      <c r="AI130" s="157">
        <v>65</v>
      </c>
      <c r="AJ130" s="113">
        <f t="shared" si="23"/>
        <v>82</v>
      </c>
      <c r="AK130" s="113">
        <f t="shared" si="24"/>
        <v>82</v>
      </c>
      <c r="AL130" s="158">
        <f t="shared" si="25"/>
        <v>1.02</v>
      </c>
      <c r="AM130" s="159"/>
      <c r="AN130" s="160">
        <f t="shared" si="30"/>
        <v>1</v>
      </c>
      <c r="AO130" s="160">
        <f t="shared" si="30"/>
        <v>2</v>
      </c>
      <c r="AP130" s="133"/>
      <c r="AQ130" s="134"/>
      <c r="AR130" s="161"/>
      <c r="AS130" s="161"/>
      <c r="AT130" s="161"/>
      <c r="AU130" s="161"/>
      <c r="AV130" s="162"/>
      <c r="AW130" s="137">
        <f t="shared" si="26"/>
        <v>0</v>
      </c>
      <c r="AX130" s="137">
        <f t="shared" si="27"/>
        <v>0</v>
      </c>
    </row>
    <row r="131" ht="46.5" customHeight="1" spans="1:50" s="97" customFormat="1" x14ac:dyDescent="0.25">
      <c r="A131" s="100"/>
      <c r="B131" s="100"/>
      <c r="C131" s="100"/>
      <c r="D131" s="100"/>
      <c r="E131" s="100"/>
      <c r="F131" s="100"/>
      <c r="G131" s="103"/>
      <c r="H131" s="186"/>
      <c r="I131" s="195">
        <v>0.51</v>
      </c>
      <c r="J131" s="107">
        <v>0.49</v>
      </c>
      <c r="K131" s="107"/>
      <c r="L131" s="107"/>
      <c r="M131" s="187"/>
      <c r="N131" s="169">
        <f t="shared" si="29"/>
        <v>1</v>
      </c>
      <c r="O131" s="144">
        <v>1</v>
      </c>
      <c r="P131" s="145">
        <v>15</v>
      </c>
      <c r="Q131" s="113">
        <v>15</v>
      </c>
      <c r="R131" s="113"/>
      <c r="S131" s="113"/>
      <c r="T131" s="146"/>
      <c r="U131" s="148">
        <f t="shared" si="17"/>
        <v>15</v>
      </c>
      <c r="V131" s="149">
        <f t="shared" si="18"/>
        <v>15</v>
      </c>
      <c r="W131" s="189"/>
      <c r="X131" s="199"/>
      <c r="Y131" s="151"/>
      <c r="Z131" s="190"/>
      <c r="AA131" s="153"/>
      <c r="AB131" s="154">
        <f t="shared" si="19"/>
        <v>0</v>
      </c>
      <c r="AC131" s="149">
        <f t="shared" si="20"/>
        <v>0</v>
      </c>
      <c r="AD131" s="125">
        <v>2</v>
      </c>
      <c r="AE131" s="148">
        <f t="shared" si="21"/>
        <v>2</v>
      </c>
      <c r="AF131" s="156"/>
      <c r="AG131" s="156"/>
      <c r="AH131" s="113">
        <f t="shared" si="22"/>
        <v>17</v>
      </c>
      <c r="AI131" s="157">
        <v>65</v>
      </c>
      <c r="AJ131" s="113">
        <f t="shared" si="23"/>
        <v>82</v>
      </c>
      <c r="AK131" s="113">
        <f t="shared" si="24"/>
        <v>82</v>
      </c>
      <c r="AL131" s="158">
        <f t="shared" si="25"/>
        <v>1.02</v>
      </c>
      <c r="AM131" s="159"/>
      <c r="AN131" s="160">
        <f t="shared" si="30"/>
        <v>1</v>
      </c>
      <c r="AO131" s="160">
        <f t="shared" si="30"/>
        <v>2</v>
      </c>
      <c r="AP131" s="133"/>
      <c r="AQ131" s="134"/>
      <c r="AR131" s="161"/>
      <c r="AS131" s="161"/>
      <c r="AT131" s="161"/>
      <c r="AU131" s="161"/>
      <c r="AV131" s="162"/>
      <c r="AW131" s="137">
        <f t="shared" si="26"/>
        <v>0</v>
      </c>
      <c r="AX131" s="137">
        <f t="shared" si="27"/>
        <v>0</v>
      </c>
    </row>
    <row r="132" ht="46.5" customHeight="1" spans="1:50" s="97" customFormat="1" x14ac:dyDescent="0.25">
      <c r="A132" s="100"/>
      <c r="B132" s="100"/>
      <c r="C132" s="100"/>
      <c r="D132" s="100"/>
      <c r="E132" s="100"/>
      <c r="F132" s="100"/>
      <c r="G132" s="103"/>
      <c r="H132" s="186"/>
      <c r="I132" s="195">
        <v>0.51</v>
      </c>
      <c r="J132" s="107">
        <v>0.49</v>
      </c>
      <c r="K132" s="107"/>
      <c r="L132" s="107"/>
      <c r="M132" s="187"/>
      <c r="N132" s="169">
        <f t="shared" si="29"/>
        <v>1</v>
      </c>
      <c r="O132" s="144">
        <v>1</v>
      </c>
      <c r="P132" s="145">
        <v>15</v>
      </c>
      <c r="Q132" s="113">
        <v>15</v>
      </c>
      <c r="R132" s="113"/>
      <c r="S132" s="113"/>
      <c r="T132" s="146"/>
      <c r="U132" s="148">
        <f t="shared" si="17"/>
        <v>15</v>
      </c>
      <c r="V132" s="149">
        <f t="shared" si="18"/>
        <v>15</v>
      </c>
      <c r="W132" s="189"/>
      <c r="X132" s="199"/>
      <c r="Y132" s="151"/>
      <c r="Z132" s="190"/>
      <c r="AA132" s="153"/>
      <c r="AB132" s="154">
        <f t="shared" si="19"/>
        <v>0</v>
      </c>
      <c r="AC132" s="149">
        <f t="shared" si="20"/>
        <v>0</v>
      </c>
      <c r="AD132" s="125">
        <v>2</v>
      </c>
      <c r="AE132" s="148">
        <f t="shared" si="21"/>
        <v>2</v>
      </c>
      <c r="AF132" s="156"/>
      <c r="AG132" s="156"/>
      <c r="AH132" s="113">
        <f t="shared" si="22"/>
        <v>17</v>
      </c>
      <c r="AI132" s="157">
        <v>65</v>
      </c>
      <c r="AJ132" s="113">
        <f t="shared" si="23"/>
        <v>82</v>
      </c>
      <c r="AK132" s="113">
        <f t="shared" si="24"/>
        <v>82</v>
      </c>
      <c r="AL132" s="158">
        <f t="shared" si="25"/>
        <v>1.02</v>
      </c>
      <c r="AM132" s="159"/>
      <c r="AN132" s="160">
        <f t="shared" si="30"/>
        <v>1</v>
      </c>
      <c r="AO132" s="160">
        <f t="shared" si="30"/>
        <v>2</v>
      </c>
      <c r="AP132" s="133"/>
      <c r="AQ132" s="134"/>
      <c r="AR132" s="161"/>
      <c r="AS132" s="161"/>
      <c r="AT132" s="161"/>
      <c r="AU132" s="161"/>
      <c r="AV132" s="162"/>
      <c r="AW132" s="137">
        <f t="shared" si="26"/>
        <v>0</v>
      </c>
      <c r="AX132" s="137">
        <f t="shared" si="27"/>
        <v>0</v>
      </c>
    </row>
    <row r="133" ht="47.25" customHeight="1" spans="1:50" s="97" customFormat="1" x14ac:dyDescent="0.25">
      <c r="A133" s="100"/>
      <c r="B133" s="100"/>
      <c r="C133" s="100"/>
      <c r="D133" s="100"/>
      <c r="E133" s="100"/>
      <c r="F133" s="100"/>
      <c r="G133" s="103"/>
      <c r="H133" s="186"/>
      <c r="I133" s="195">
        <v>0.51</v>
      </c>
      <c r="J133" s="107">
        <v>0.49</v>
      </c>
      <c r="K133" s="107"/>
      <c r="L133" s="107"/>
      <c r="M133" s="187"/>
      <c r="N133" s="169">
        <f t="shared" si="29"/>
        <v>1</v>
      </c>
      <c r="O133" s="144">
        <v>1</v>
      </c>
      <c r="P133" s="145">
        <v>15</v>
      </c>
      <c r="Q133" s="113">
        <v>15</v>
      </c>
      <c r="R133" s="113"/>
      <c r="S133" s="113"/>
      <c r="T133" s="146"/>
      <c r="U133" s="148">
        <f t="shared" si="17"/>
        <v>15</v>
      </c>
      <c r="V133" s="149">
        <f t="shared" si="18"/>
        <v>15</v>
      </c>
      <c r="W133" s="189"/>
      <c r="X133" s="199"/>
      <c r="Y133" s="151"/>
      <c r="Z133" s="190"/>
      <c r="AA133" s="153"/>
      <c r="AB133" s="154">
        <f t="shared" si="19"/>
        <v>0</v>
      </c>
      <c r="AC133" s="149">
        <f t="shared" si="20"/>
        <v>0</v>
      </c>
      <c r="AD133" s="125">
        <v>2</v>
      </c>
      <c r="AE133" s="148">
        <f t="shared" si="21"/>
        <v>2</v>
      </c>
      <c r="AF133" s="156"/>
      <c r="AG133" s="156"/>
      <c r="AH133" s="113">
        <f t="shared" si="22"/>
        <v>17</v>
      </c>
      <c r="AI133" s="157">
        <v>65</v>
      </c>
      <c r="AJ133" s="113">
        <f t="shared" si="23"/>
        <v>82</v>
      </c>
      <c r="AK133" s="113">
        <f t="shared" si="24"/>
        <v>82</v>
      </c>
      <c r="AL133" s="158">
        <f t="shared" si="25"/>
        <v>1.02</v>
      </c>
      <c r="AM133" s="159"/>
      <c r="AN133" s="160">
        <f t="shared" ref="AN133:AO138" si="31">100%+AM133</f>
        <v>1</v>
      </c>
      <c r="AO133" s="160">
        <f t="shared" si="31"/>
        <v>2</v>
      </c>
      <c r="AP133" s="133"/>
      <c r="AQ133" s="134"/>
      <c r="AR133" s="161"/>
      <c r="AS133" s="161"/>
      <c r="AT133" s="161"/>
      <c r="AU133" s="161"/>
      <c r="AV133" s="162"/>
      <c r="AW133" s="137">
        <f t="shared" si="26"/>
        <v>0</v>
      </c>
      <c r="AX133" s="137">
        <f t="shared" si="27"/>
        <v>0</v>
      </c>
    </row>
    <row r="134" ht="47.25" customHeight="1" spans="1:50" s="56" customFormat="1" x14ac:dyDescent="0.25">
      <c r="A134" s="100"/>
      <c r="B134" s="100"/>
      <c r="C134" s="100"/>
      <c r="D134" s="100"/>
      <c r="E134" s="100"/>
      <c r="F134" s="100"/>
      <c r="G134" s="103"/>
      <c r="H134" s="186"/>
      <c r="I134" s="195">
        <v>0.51</v>
      </c>
      <c r="J134" s="107">
        <v>0.49</v>
      </c>
      <c r="K134" s="107"/>
      <c r="L134" s="107"/>
      <c r="M134" s="187"/>
      <c r="N134" s="169">
        <f t="shared" si="29"/>
        <v>1</v>
      </c>
      <c r="O134" s="144">
        <v>1</v>
      </c>
      <c r="P134" s="145">
        <v>15</v>
      </c>
      <c r="Q134" s="113">
        <v>15</v>
      </c>
      <c r="R134" s="113"/>
      <c r="S134" s="113"/>
      <c r="T134" s="146"/>
      <c r="U134" s="148">
        <f t="shared" si="17"/>
        <v>15</v>
      </c>
      <c r="V134" s="149">
        <f t="shared" si="18"/>
        <v>15</v>
      </c>
      <c r="W134" s="189"/>
      <c r="X134" s="199"/>
      <c r="Y134" s="151"/>
      <c r="Z134" s="190"/>
      <c r="AA134" s="153"/>
      <c r="AB134" s="154">
        <f t="shared" si="19"/>
        <v>0</v>
      </c>
      <c r="AC134" s="149">
        <f t="shared" si="20"/>
        <v>0</v>
      </c>
      <c r="AD134" s="125">
        <v>2</v>
      </c>
      <c r="AE134" s="148">
        <f t="shared" si="21"/>
        <v>2</v>
      </c>
      <c r="AF134" s="156"/>
      <c r="AG134" s="156"/>
      <c r="AH134" s="113">
        <f t="shared" si="22"/>
        <v>17</v>
      </c>
      <c r="AI134" s="157">
        <v>65</v>
      </c>
      <c r="AJ134" s="113">
        <f t="shared" si="23"/>
        <v>82</v>
      </c>
      <c r="AK134" s="113">
        <f t="shared" si="24"/>
        <v>82</v>
      </c>
      <c r="AL134" s="158">
        <f t="shared" si="25"/>
        <v>1.02</v>
      </c>
      <c r="AM134" s="159"/>
      <c r="AN134" s="160">
        <f t="shared" si="31"/>
        <v>1</v>
      </c>
      <c r="AO134" s="160">
        <f t="shared" si="31"/>
        <v>2</v>
      </c>
      <c r="AP134" s="133"/>
      <c r="AQ134" s="134"/>
      <c r="AR134" s="161"/>
      <c r="AS134" s="161"/>
      <c r="AT134" s="161"/>
      <c r="AU134" s="161"/>
      <c r="AV134" s="162"/>
      <c r="AW134" s="137">
        <f t="shared" si="26"/>
        <v>0</v>
      </c>
      <c r="AX134" s="137">
        <f t="shared" si="27"/>
        <v>0</v>
      </c>
    </row>
    <row r="135" ht="46.5" customHeight="1" spans="1:50" s="97" customFormat="1" x14ac:dyDescent="0.25">
      <c r="A135" s="100"/>
      <c r="B135" s="100"/>
      <c r="C135" s="100"/>
      <c r="D135" s="100"/>
      <c r="E135" s="100"/>
      <c r="F135" s="100"/>
      <c r="G135" s="103"/>
      <c r="H135" s="186"/>
      <c r="I135" s="195">
        <v>0.51</v>
      </c>
      <c r="J135" s="107">
        <v>0.49</v>
      </c>
      <c r="K135" s="107"/>
      <c r="L135" s="107"/>
      <c r="M135" s="187"/>
      <c r="N135" s="169">
        <f t="shared" si="29"/>
        <v>1</v>
      </c>
      <c r="O135" s="144">
        <v>1</v>
      </c>
      <c r="P135" s="145">
        <v>15</v>
      </c>
      <c r="Q135" s="113">
        <v>15</v>
      </c>
      <c r="R135" s="113"/>
      <c r="S135" s="113"/>
      <c r="T135" s="146"/>
      <c r="U135" s="148">
        <f t="shared" si="17"/>
        <v>15</v>
      </c>
      <c r="V135" s="149">
        <f t="shared" si="18"/>
        <v>15</v>
      </c>
      <c r="W135" s="189"/>
      <c r="X135" s="199"/>
      <c r="Y135" s="151"/>
      <c r="Z135" s="190"/>
      <c r="AA135" s="153"/>
      <c r="AB135" s="154">
        <f t="shared" si="19"/>
        <v>0</v>
      </c>
      <c r="AC135" s="149">
        <f t="shared" si="20"/>
        <v>0</v>
      </c>
      <c r="AD135" s="125">
        <v>2</v>
      </c>
      <c r="AE135" s="148">
        <f t="shared" si="21"/>
        <v>2</v>
      </c>
      <c r="AF135" s="156"/>
      <c r="AG135" s="156"/>
      <c r="AH135" s="113">
        <f t="shared" si="22"/>
        <v>17</v>
      </c>
      <c r="AI135" s="157">
        <v>65</v>
      </c>
      <c r="AJ135" s="113">
        <f t="shared" si="23"/>
        <v>82</v>
      </c>
      <c r="AK135" s="113">
        <f t="shared" si="24"/>
        <v>82</v>
      </c>
      <c r="AL135" s="158">
        <f t="shared" si="25"/>
        <v>1.02</v>
      </c>
      <c r="AM135" s="159"/>
      <c r="AN135" s="160">
        <f t="shared" si="31"/>
        <v>1</v>
      </c>
      <c r="AO135" s="160">
        <f t="shared" si="31"/>
        <v>2</v>
      </c>
      <c r="AP135" s="133"/>
      <c r="AQ135" s="134"/>
      <c r="AR135" s="161"/>
      <c r="AS135" s="161"/>
      <c r="AT135" s="161"/>
      <c r="AU135" s="161"/>
      <c r="AV135" s="162"/>
      <c r="AW135" s="137">
        <f t="shared" si="26"/>
        <v>0</v>
      </c>
      <c r="AX135" s="137">
        <f t="shared" si="27"/>
        <v>0</v>
      </c>
    </row>
    <row r="136" ht="47.25" customHeight="1" spans="1:50" s="56" customFormat="1" x14ac:dyDescent="0.25">
      <c r="A136" s="100"/>
      <c r="B136" s="100"/>
      <c r="C136" s="100"/>
      <c r="D136" s="100"/>
      <c r="E136" s="100"/>
      <c r="F136" s="100"/>
      <c r="G136" s="103"/>
      <c r="H136" s="186"/>
      <c r="I136" s="195">
        <v>0.51</v>
      </c>
      <c r="J136" s="107">
        <v>0.49</v>
      </c>
      <c r="K136" s="107"/>
      <c r="L136" s="107"/>
      <c r="M136" s="187"/>
      <c r="N136" s="169">
        <f t="shared" si="29"/>
        <v>1</v>
      </c>
      <c r="O136" s="144">
        <v>1</v>
      </c>
      <c r="P136" s="145">
        <v>15</v>
      </c>
      <c r="Q136" s="113">
        <v>15</v>
      </c>
      <c r="R136" s="113"/>
      <c r="S136" s="113"/>
      <c r="T136" s="146"/>
      <c r="U136" s="148">
        <f t="shared" si="17"/>
        <v>15</v>
      </c>
      <c r="V136" s="149">
        <f t="shared" si="18"/>
        <v>15</v>
      </c>
      <c r="W136" s="189"/>
      <c r="X136" s="199"/>
      <c r="Y136" s="151"/>
      <c r="Z136" s="190"/>
      <c r="AA136" s="153"/>
      <c r="AB136" s="154">
        <f t="shared" si="19"/>
        <v>0</v>
      </c>
      <c r="AC136" s="149">
        <f t="shared" si="20"/>
        <v>0</v>
      </c>
      <c r="AD136" s="125">
        <v>2</v>
      </c>
      <c r="AE136" s="148">
        <f t="shared" si="21"/>
        <v>2</v>
      </c>
      <c r="AF136" s="156"/>
      <c r="AG136" s="156"/>
      <c r="AH136" s="113">
        <f t="shared" si="22"/>
        <v>17</v>
      </c>
      <c r="AI136" s="157">
        <v>65</v>
      </c>
      <c r="AJ136" s="113">
        <f t="shared" si="23"/>
        <v>82</v>
      </c>
      <c r="AK136" s="113">
        <f t="shared" si="24"/>
        <v>82</v>
      </c>
      <c r="AL136" s="158">
        <f t="shared" si="25"/>
        <v>1.02</v>
      </c>
      <c r="AM136" s="159"/>
      <c r="AN136" s="160">
        <f t="shared" si="31"/>
        <v>1</v>
      </c>
      <c r="AO136" s="160">
        <f t="shared" si="31"/>
        <v>2</v>
      </c>
      <c r="AP136" s="133"/>
      <c r="AQ136" s="134"/>
      <c r="AR136" s="161"/>
      <c r="AS136" s="161"/>
      <c r="AT136" s="161"/>
      <c r="AU136" s="161"/>
      <c r="AV136" s="162"/>
      <c r="AW136" s="137">
        <f t="shared" si="26"/>
        <v>0</v>
      </c>
      <c r="AX136" s="137">
        <f t="shared" si="27"/>
        <v>0</v>
      </c>
    </row>
    <row r="137" ht="47.25" customHeight="1" spans="1:50" s="97" customFormat="1" x14ac:dyDescent="0.25">
      <c r="A137" s="100"/>
      <c r="B137" s="100"/>
      <c r="C137" s="100"/>
      <c r="D137" s="100"/>
      <c r="E137" s="100"/>
      <c r="F137" s="100"/>
      <c r="G137" s="103"/>
      <c r="H137" s="186"/>
      <c r="I137" s="195">
        <v>0.51</v>
      </c>
      <c r="J137" s="107">
        <v>0.49</v>
      </c>
      <c r="K137" s="107"/>
      <c r="L137" s="107"/>
      <c r="M137" s="187"/>
      <c r="N137" s="169">
        <f t="shared" si="29"/>
        <v>1</v>
      </c>
      <c r="O137" s="144">
        <v>1</v>
      </c>
      <c r="P137" s="145">
        <v>15</v>
      </c>
      <c r="Q137" s="113">
        <v>15</v>
      </c>
      <c r="R137" s="113"/>
      <c r="S137" s="113"/>
      <c r="T137" s="146"/>
      <c r="U137" s="148">
        <f t="shared" si="17"/>
        <v>15</v>
      </c>
      <c r="V137" s="149">
        <f t="shared" si="18"/>
        <v>15</v>
      </c>
      <c r="W137" s="189"/>
      <c r="X137" s="199"/>
      <c r="Y137" s="151"/>
      <c r="Z137" s="190"/>
      <c r="AA137" s="153"/>
      <c r="AB137" s="154">
        <f t="shared" si="19"/>
        <v>0</v>
      </c>
      <c r="AC137" s="149">
        <f t="shared" si="20"/>
        <v>0</v>
      </c>
      <c r="AD137" s="125">
        <v>2</v>
      </c>
      <c r="AE137" s="148">
        <f t="shared" si="21"/>
        <v>2</v>
      </c>
      <c r="AF137" s="156"/>
      <c r="AG137" s="156"/>
      <c r="AH137" s="113">
        <f t="shared" si="22"/>
        <v>17</v>
      </c>
      <c r="AI137" s="157">
        <v>65</v>
      </c>
      <c r="AJ137" s="113">
        <f t="shared" si="23"/>
        <v>82</v>
      </c>
      <c r="AK137" s="113">
        <f t="shared" si="24"/>
        <v>82</v>
      </c>
      <c r="AL137" s="158">
        <f t="shared" si="25"/>
        <v>1.02</v>
      </c>
      <c r="AM137" s="159"/>
      <c r="AN137" s="160">
        <f t="shared" si="31"/>
        <v>1</v>
      </c>
      <c r="AO137" s="160">
        <f t="shared" si="31"/>
        <v>2</v>
      </c>
      <c r="AP137" s="133"/>
      <c r="AQ137" s="134"/>
      <c r="AR137" s="161"/>
      <c r="AS137" s="161"/>
      <c r="AT137" s="161"/>
      <c r="AU137" s="161"/>
      <c r="AV137" s="162"/>
      <c r="AW137" s="137">
        <f t="shared" si="26"/>
        <v>0</v>
      </c>
      <c r="AX137" s="137">
        <f t="shared" si="27"/>
        <v>0</v>
      </c>
    </row>
    <row r="138" ht="46.5" customHeight="1" spans="1:50" s="97" customFormat="1" x14ac:dyDescent="0.25">
      <c r="A138" s="100"/>
      <c r="B138" s="100"/>
      <c r="C138" s="100"/>
      <c r="D138" s="100"/>
      <c r="E138" s="100"/>
      <c r="F138" s="100"/>
      <c r="G138" s="103"/>
      <c r="H138" s="186"/>
      <c r="I138" s="195">
        <v>0.51</v>
      </c>
      <c r="J138" s="107">
        <v>0.49</v>
      </c>
      <c r="K138" s="107"/>
      <c r="L138" s="107"/>
      <c r="M138" s="187"/>
      <c r="N138" s="169">
        <f t="shared" si="29"/>
        <v>1</v>
      </c>
      <c r="O138" s="144">
        <v>1</v>
      </c>
      <c r="P138" s="145">
        <v>15</v>
      </c>
      <c r="Q138" s="113">
        <v>15</v>
      </c>
      <c r="R138" s="113"/>
      <c r="S138" s="113"/>
      <c r="T138" s="146"/>
      <c r="U138" s="148">
        <f t="shared" si="17"/>
        <v>15</v>
      </c>
      <c r="V138" s="149">
        <f t="shared" si="18"/>
        <v>15</v>
      </c>
      <c r="W138" s="189"/>
      <c r="X138" s="199"/>
      <c r="Y138" s="151"/>
      <c r="Z138" s="190"/>
      <c r="AA138" s="153"/>
      <c r="AB138" s="154">
        <f t="shared" si="19"/>
        <v>0</v>
      </c>
      <c r="AC138" s="149">
        <f t="shared" si="20"/>
        <v>0</v>
      </c>
      <c r="AD138" s="125">
        <v>2</v>
      </c>
      <c r="AE138" s="148">
        <f t="shared" si="21"/>
        <v>2</v>
      </c>
      <c r="AF138" s="156"/>
      <c r="AG138" s="156"/>
      <c r="AH138" s="113">
        <f t="shared" si="22"/>
        <v>17</v>
      </c>
      <c r="AI138" s="157">
        <v>65</v>
      </c>
      <c r="AJ138" s="113">
        <f t="shared" si="23"/>
        <v>82</v>
      </c>
      <c r="AK138" s="113">
        <f t="shared" si="24"/>
        <v>82</v>
      </c>
      <c r="AL138" s="158">
        <f t="shared" si="25"/>
        <v>1.02</v>
      </c>
      <c r="AM138" s="159"/>
      <c r="AN138" s="160">
        <f t="shared" si="31"/>
        <v>1</v>
      </c>
      <c r="AO138" s="160">
        <f t="shared" si="31"/>
        <v>2</v>
      </c>
      <c r="AP138" s="133"/>
      <c r="AQ138" s="134"/>
      <c r="AR138" s="161"/>
      <c r="AS138" s="161"/>
      <c r="AT138" s="161"/>
      <c r="AU138" s="161"/>
      <c r="AV138" s="162"/>
      <c r="AW138" s="137">
        <f t="shared" si="26"/>
        <v>0</v>
      </c>
      <c r="AX138" s="137">
        <f t="shared" si="27"/>
        <v>0</v>
      </c>
    </row>
  </sheetData>
  <mergeCells count="46">
    <mergeCell ref="D1:E1"/>
    <mergeCell ref="F1:G1"/>
    <mergeCell ref="I1:J1"/>
    <mergeCell ref="Y1:Z1"/>
    <mergeCell ref="AA1:AC1"/>
    <mergeCell ref="AD1:AE1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AG2:AH2"/>
    <mergeCell ref="AI2:AK2"/>
    <mergeCell ref="AS2:AT2"/>
    <mergeCell ref="C3:H3"/>
    <mergeCell ref="I3:M3"/>
    <mergeCell ref="P3:U3"/>
    <mergeCell ref="W3:AE3"/>
    <mergeCell ref="A3:A4"/>
    <mergeCell ref="B3:B4"/>
    <mergeCell ref="N3:N4"/>
    <mergeCell ref="O3:O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6:H6"/>
    <mergeCell ref="A8:H8"/>
    <mergeCell ref="A10:H10"/>
    <mergeCell ref="A12:H12"/>
    <mergeCell ref="A14:H14"/>
    <mergeCell ref="A16:H16"/>
  </mergeCells>
  <pageMargins left="0.7" right="0.7" top="0.75" bottom="0.75" header="0.3" footer="0.3"/>
  <pageSetup paperSize="9" orientation="portrait" horizontalDpi="4294967295" verticalDpi="4294967295" scale="40" fitToWidth="1" fitToHeight="1" firstPageNumber="1" useFirstPageNumber="1" copies="1"/>
</worksheet>
</file>

<file path=xl/worksheets/sheet8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X136"/>
  <sheetViews>
    <sheetView workbookViewId="0" zoomScale="80" zoomScaleNormal="80">
      <selection activeCell="J16" sqref="J16"/>
    </sheetView>
  </sheetViews>
  <sheetFormatPr defaultRowHeight="13.5" outlineLevelRow="0" outlineLevelCol="0" x14ac:dyDescent="0.15" defaultColWidth="8.88671875" customHeight="1"/>
  <cols>
    <col min="1" max="1" width="5.33203125" style="1" customWidth="1"/>
    <col min="2" max="2" width="5.109375" style="2" customWidth="1"/>
    <col min="3" max="3" width="8.33203125" style="3" customWidth="1"/>
    <col min="4" max="7" width="8.33203125" style="1" customWidth="1"/>
    <col min="8" max="13" width="8.109375" style="1" customWidth="1"/>
    <col min="14" max="15" width="5.88671875" style="1" customWidth="1"/>
    <col min="16" max="21" width="7.5546875" style="1" customWidth="1"/>
    <col min="22" max="22" width="7.6640625" style="4" hidden="1" customWidth="1"/>
    <col min="23" max="27" width="8.33203125" style="1" customWidth="1"/>
    <col min="28" max="28" width="7.6640625" style="1" customWidth="1"/>
    <col min="29" max="29" width="7.6640625" style="4" hidden="1" customWidth="1"/>
    <col min="30" max="31" width="7.6640625" style="4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 customWidth="1"/>
    <col min="49" max="50" width="15.109375" style="1" customWidth="1"/>
    <col min="51" max="16384" width="8.88671875" style="1" customWidth="1"/>
  </cols>
  <sheetData>
    <row r="1" ht="32.25" customHeight="1" spans="3:42" x14ac:dyDescent="0.25">
      <c r="C1" s="5" t="s">
        <v>0</v>
      </c>
      <c r="D1" s="6">
        <v>1048958000</v>
      </c>
      <c r="E1" s="7"/>
      <c r="F1" s="6"/>
      <c r="G1" s="7"/>
      <c r="H1" s="8" t="s">
        <v>1</v>
      </c>
      <c r="I1" s="9">
        <v>2393763240</v>
      </c>
      <c r="J1" s="9"/>
      <c r="K1" s="220" t="s">
        <v>120</v>
      </c>
      <c r="L1" s="11"/>
      <c r="M1" s="11"/>
      <c r="N1" s="12"/>
      <c r="O1" s="12"/>
      <c r="P1" s="12"/>
      <c r="Q1" s="12"/>
      <c r="R1" s="12"/>
      <c r="S1" s="12"/>
      <c r="T1" s="12"/>
      <c r="U1" s="12"/>
      <c r="V1" s="12"/>
      <c r="W1" s="12"/>
      <c r="X1" s="13"/>
      <c r="Y1" s="14" t="s">
        <v>3</v>
      </c>
      <c r="Z1" s="14"/>
      <c r="AA1" s="15" t="s">
        <v>4</v>
      </c>
      <c r="AB1" s="16"/>
      <c r="AC1" s="17"/>
      <c r="AD1" s="18" t="s">
        <v>5</v>
      </c>
      <c r="AE1" s="19"/>
      <c r="AF1" s="20"/>
      <c r="AG1" s="21" t="s">
        <v>6</v>
      </c>
      <c r="AH1" s="22"/>
      <c r="AI1" s="23">
        <v>1048958000</v>
      </c>
      <c r="AJ1" s="24"/>
      <c r="AK1" s="24"/>
      <c r="AL1" s="25" t="s">
        <v>7</v>
      </c>
      <c r="AM1" s="26"/>
      <c r="AN1" s="26"/>
      <c r="AO1" s="26"/>
      <c r="AP1" s="12"/>
    </row>
    <row r="2" ht="29.25" customHeight="1" spans="1:49" s="27" customFormat="1" x14ac:dyDescent="0.25">
      <c r="A2" s="20"/>
      <c r="B2" s="28"/>
      <c r="C2" s="29" t="s">
        <v>8</v>
      </c>
      <c r="D2" s="30">
        <v>1153854000</v>
      </c>
      <c r="E2" s="31"/>
      <c r="F2" s="32"/>
      <c r="G2" s="33"/>
      <c r="H2" s="5" t="s">
        <v>9</v>
      </c>
      <c r="I2" s="34">
        <f>D2*1</f>
        <v>1153854000</v>
      </c>
      <c r="J2" s="32"/>
      <c r="K2" s="35" t="s">
        <v>10</v>
      </c>
      <c r="L2" s="36" t="s">
        <v>11</v>
      </c>
      <c r="M2" s="37">
        <v>45917.45833333333</v>
      </c>
      <c r="N2" s="37"/>
      <c r="O2" s="37"/>
      <c r="P2" s="37"/>
      <c r="Q2" s="38" t="s">
        <v>121</v>
      </c>
      <c r="R2" s="38"/>
      <c r="S2" s="38"/>
      <c r="T2" s="39"/>
      <c r="U2" s="40"/>
      <c r="V2" s="40"/>
      <c r="W2" s="41"/>
      <c r="X2" s="42"/>
      <c r="Y2" s="43">
        <v>802982000</v>
      </c>
      <c r="Z2" s="43"/>
      <c r="AA2" s="44">
        <f>I1</f>
        <v>2393763240</v>
      </c>
      <c r="AB2" s="45"/>
      <c r="AC2" s="46"/>
      <c r="AD2" s="47">
        <f>TRUNC(Y2/AA2,4)</f>
        <v>0.3354</v>
      </c>
      <c r="AE2" s="48"/>
      <c r="AF2" s="49"/>
      <c r="AG2" s="21" t="s">
        <v>13</v>
      </c>
      <c r="AH2" s="22"/>
      <c r="AI2" s="23"/>
      <c r="AJ2" s="24"/>
      <c r="AK2" s="24"/>
      <c r="AL2" s="50"/>
      <c r="AM2" s="50"/>
      <c r="AN2" s="51" t="s">
        <v>14</v>
      </c>
      <c r="AP2" s="1"/>
      <c r="AQ2" s="1"/>
      <c r="AR2" s="52" t="s">
        <v>15</v>
      </c>
      <c r="AS2" s="53">
        <f>AI1</f>
        <v>1048958000</v>
      </c>
      <c r="AT2" s="54"/>
      <c r="AW2" s="55"/>
    </row>
    <row r="3" ht="24.95" customHeight="1" spans="1:50" s="56" customFormat="1" x14ac:dyDescent="0.25">
      <c r="A3" s="57" t="s">
        <v>16</v>
      </c>
      <c r="B3" s="58" t="s">
        <v>17</v>
      </c>
      <c r="C3" s="59" t="s">
        <v>18</v>
      </c>
      <c r="D3" s="60"/>
      <c r="E3" s="60"/>
      <c r="F3" s="60"/>
      <c r="G3" s="60"/>
      <c r="H3" s="61"/>
      <c r="I3" s="59" t="s">
        <v>19</v>
      </c>
      <c r="J3" s="60"/>
      <c r="K3" s="60"/>
      <c r="L3" s="60"/>
      <c r="M3" s="61"/>
      <c r="N3" s="62" t="s">
        <v>20</v>
      </c>
      <c r="O3" s="63" t="s">
        <v>21</v>
      </c>
      <c r="P3" s="59" t="s">
        <v>22</v>
      </c>
      <c r="Q3" s="60"/>
      <c r="R3" s="64"/>
      <c r="S3" s="64"/>
      <c r="T3" s="60"/>
      <c r="U3" s="61"/>
      <c r="V3" s="65"/>
      <c r="W3" s="59" t="s">
        <v>23</v>
      </c>
      <c r="X3" s="60"/>
      <c r="Y3" s="60"/>
      <c r="Z3" s="60"/>
      <c r="AA3" s="60"/>
      <c r="AB3" s="60"/>
      <c r="AC3" s="60"/>
      <c r="AD3" s="60"/>
      <c r="AE3" s="61"/>
      <c r="AF3" s="60"/>
      <c r="AG3" s="60"/>
      <c r="AH3" s="60"/>
      <c r="AI3" s="60"/>
      <c r="AJ3" s="60"/>
      <c r="AK3" s="61"/>
      <c r="AL3" s="66" t="s">
        <v>24</v>
      </c>
      <c r="AM3" s="67" t="s">
        <v>25</v>
      </c>
      <c r="AN3" s="68" t="s">
        <v>26</v>
      </c>
      <c r="AO3" s="69" t="s">
        <v>27</v>
      </c>
      <c r="AP3" s="70" t="s">
        <v>28</v>
      </c>
      <c r="AQ3" s="65" t="s">
        <v>29</v>
      </c>
      <c r="AR3" s="67" t="s">
        <v>30</v>
      </c>
      <c r="AS3" s="65" t="s">
        <v>31</v>
      </c>
      <c r="AT3" s="65" t="s">
        <v>32</v>
      </c>
      <c r="AU3" s="65" t="s">
        <v>33</v>
      </c>
      <c r="AV3" s="71" t="s">
        <v>34</v>
      </c>
      <c r="AW3" s="65" t="s">
        <v>35</v>
      </c>
      <c r="AX3" s="65" t="s">
        <v>36</v>
      </c>
    </row>
    <row r="4" ht="39.75" customHeight="1" spans="1:50" s="56" customFormat="1" x14ac:dyDescent="0.25">
      <c r="A4" s="72"/>
      <c r="B4" s="73"/>
      <c r="C4" s="74" t="s">
        <v>37</v>
      </c>
      <c r="D4" s="75" t="s">
        <v>38</v>
      </c>
      <c r="E4" s="76" t="s">
        <v>39</v>
      </c>
      <c r="F4" s="76" t="s">
        <v>40</v>
      </c>
      <c r="G4" s="77" t="s">
        <v>41</v>
      </c>
      <c r="H4" s="65" t="s">
        <v>100</v>
      </c>
      <c r="I4" s="78" t="s">
        <v>37</v>
      </c>
      <c r="J4" s="79" t="s">
        <v>38</v>
      </c>
      <c r="K4" s="75" t="s">
        <v>39</v>
      </c>
      <c r="L4" s="75" t="s">
        <v>40</v>
      </c>
      <c r="M4" s="80" t="s">
        <v>41</v>
      </c>
      <c r="N4" s="81"/>
      <c r="O4" s="82"/>
      <c r="P4" s="78" t="s">
        <v>37</v>
      </c>
      <c r="Q4" s="79" t="s">
        <v>38</v>
      </c>
      <c r="R4" s="75" t="s">
        <v>39</v>
      </c>
      <c r="S4" s="75" t="s">
        <v>40</v>
      </c>
      <c r="T4" s="80" t="s">
        <v>41</v>
      </c>
      <c r="U4" s="83" t="s">
        <v>42</v>
      </c>
      <c r="V4" s="84" t="s">
        <v>43</v>
      </c>
      <c r="W4" s="85" t="s">
        <v>37</v>
      </c>
      <c r="X4" s="79" t="s">
        <v>38</v>
      </c>
      <c r="Y4" s="79" t="s">
        <v>39</v>
      </c>
      <c r="Z4" s="79" t="s">
        <v>40</v>
      </c>
      <c r="AA4" s="80" t="s">
        <v>41</v>
      </c>
      <c r="AB4" s="86" t="s">
        <v>44</v>
      </c>
      <c r="AC4" s="87" t="s">
        <v>45</v>
      </c>
      <c r="AD4" s="88" t="s">
        <v>46</v>
      </c>
      <c r="AE4" s="88" t="s">
        <v>47</v>
      </c>
      <c r="AF4" s="89" t="s">
        <v>48</v>
      </c>
      <c r="AG4" s="89" t="s">
        <v>49</v>
      </c>
      <c r="AH4" s="90" t="s">
        <v>50</v>
      </c>
      <c r="AI4" s="91" t="s">
        <v>51</v>
      </c>
      <c r="AJ4" s="91"/>
      <c r="AK4" s="91" t="s">
        <v>52</v>
      </c>
      <c r="AL4" s="92"/>
      <c r="AM4" s="93"/>
      <c r="AN4" s="94"/>
      <c r="AO4" s="95"/>
      <c r="AP4" s="70"/>
      <c r="AQ4" s="65"/>
      <c r="AR4" s="93"/>
      <c r="AS4" s="65"/>
      <c r="AT4" s="65"/>
      <c r="AU4" s="65"/>
      <c r="AV4" s="96"/>
      <c r="AW4" s="65"/>
      <c r="AX4" s="65"/>
    </row>
    <row r="5" ht="46.5" customHeight="1" spans="1:50" s="97" customFormat="1" x14ac:dyDescent="0.25">
      <c r="A5" s="98">
        <v>1</v>
      </c>
      <c r="B5" s="163"/>
      <c r="C5" s="102" t="s">
        <v>54</v>
      </c>
      <c r="D5" s="101" t="s">
        <v>122</v>
      </c>
      <c r="E5" s="163"/>
      <c r="F5" s="102"/>
      <c r="G5" s="103"/>
      <c r="H5" s="104"/>
      <c r="I5" s="166">
        <v>0.51</v>
      </c>
      <c r="J5" s="107">
        <v>0.335</v>
      </c>
      <c r="K5" s="107"/>
      <c r="L5" s="108"/>
      <c r="M5" s="109"/>
      <c r="N5" s="110">
        <f>SUM(I5:M5)</f>
        <v>0.845</v>
      </c>
      <c r="O5" s="111">
        <v>1</v>
      </c>
      <c r="P5" s="112">
        <v>15</v>
      </c>
      <c r="Q5" s="217">
        <v>15</v>
      </c>
      <c r="R5" s="112"/>
      <c r="S5" s="114"/>
      <c r="T5" s="115"/>
      <c r="U5" s="116">
        <f>ROUND(((P5*I5)+(Q5*J5)+(R5*K5)+(S5*L5)+(T5*M5))*O5,2)</f>
        <v>12.68</v>
      </c>
      <c r="V5" s="117">
        <f>IF(U5&gt;=15,15,U5)</f>
        <v>12.68</v>
      </c>
      <c r="W5" s="120">
        <v>59183685000</v>
      </c>
      <c r="X5" s="221">
        <v>1291505000</v>
      </c>
      <c r="Y5" s="120"/>
      <c r="Z5" s="121"/>
      <c r="AA5" s="122"/>
      <c r="AB5" s="123">
        <f>ROUND((((W5*I5)+(X5*J5)+(Y5*K5)+(Z5*L5)+(AA5*M5))/$I$2),2)*13</f>
        <v>344.89</v>
      </c>
      <c r="AC5" s="124">
        <f>IF(AB5&gt;=13,13,AB5)</f>
        <v>13</v>
      </c>
      <c r="AD5" s="125">
        <v>0</v>
      </c>
      <c r="AE5" s="116">
        <f>IF((AC5+AD5)&gt;=15,15,(AC5+AD5))</f>
        <v>13</v>
      </c>
      <c r="AF5" s="126">
        <f>1.5*I5</f>
        <v>0.765</v>
      </c>
      <c r="AG5" s="127"/>
      <c r="AH5" s="128">
        <f>IF((V5+AE5+AF5)&gt;=30,30,(V5+AE5+AF5))</f>
        <v>26.445</v>
      </c>
      <c r="AI5" s="129">
        <v>65</v>
      </c>
      <c r="AJ5" s="128">
        <f>V5+AE5+AF5+AI5+AG5</f>
        <v>91.445</v>
      </c>
      <c r="AK5" s="128">
        <f>IF(AH5+AI5+AG5&gt;=95,95,AH5+AI5+AG5)</f>
        <v>91.445</v>
      </c>
      <c r="AL5" s="130">
        <f>-((50-((176+(45+(50-AH5)))))/200)</f>
        <v>0.9727750000000001</v>
      </c>
      <c r="AM5" s="131"/>
      <c r="AN5" s="132">
        <f>100%+AM5</f>
        <v>1</v>
      </c>
      <c r="AO5" s="132">
        <f>100%+AN5</f>
        <v>2</v>
      </c>
      <c r="AP5" s="133"/>
      <c r="AQ5" s="134"/>
      <c r="AR5" s="135"/>
      <c r="AS5" s="135"/>
      <c r="AT5" s="135"/>
      <c r="AU5" s="135"/>
      <c r="AV5" s="136"/>
      <c r="AW5" s="137">
        <f>AR5+AS5+AT5+AU5+AV5</f>
        <v>0</v>
      </c>
      <c r="AX5" s="137">
        <f>(AR5*I5)+(AS5*J5)+(AT5*K5)+(AU5*L5)+(AV5*M5)</f>
        <v>0</v>
      </c>
    </row>
    <row r="6" ht="21.95" customHeight="1" spans="1:50" s="97" customFormat="1" x14ac:dyDescent="0.25">
      <c r="A6" s="138" t="s">
        <v>56</v>
      </c>
      <c r="B6" s="139"/>
      <c r="C6" s="139"/>
      <c r="D6" s="139"/>
      <c r="E6" s="139"/>
      <c r="F6" s="139"/>
      <c r="G6" s="139"/>
      <c r="H6" s="140"/>
      <c r="I6" s="222">
        <v>93.38</v>
      </c>
      <c r="J6" s="142">
        <v>85</v>
      </c>
      <c r="K6" s="142"/>
      <c r="L6" s="142"/>
      <c r="M6" s="142"/>
      <c r="N6" s="143">
        <f>I6*I5+J6*J5+K6*K5+L6*L5+M6*M5</f>
        <v>76.0988</v>
      </c>
      <c r="O6" s="144"/>
      <c r="P6" s="145"/>
      <c r="Q6" s="113"/>
      <c r="R6" s="113"/>
      <c r="S6" s="146"/>
      <c r="T6" s="147"/>
      <c r="U6" s="148"/>
      <c r="V6" s="149"/>
      <c r="W6" s="150"/>
      <c r="X6" s="151"/>
      <c r="Y6" s="152"/>
      <c r="Z6" s="151"/>
      <c r="AA6" s="153"/>
      <c r="AB6" s="154"/>
      <c r="AC6" s="149"/>
      <c r="AD6" s="148"/>
      <c r="AE6" s="148"/>
      <c r="AF6" s="155"/>
      <c r="AG6" s="156"/>
      <c r="AH6" s="113"/>
      <c r="AI6" s="157"/>
      <c r="AJ6" s="113"/>
      <c r="AK6" s="113"/>
      <c r="AL6" s="158"/>
      <c r="AM6" s="159"/>
      <c r="AN6" s="160"/>
      <c r="AO6" s="160"/>
      <c r="AP6" s="133"/>
      <c r="AQ6" s="134"/>
      <c r="AR6" s="161"/>
      <c r="AS6" s="161"/>
      <c r="AT6" s="161"/>
      <c r="AU6" s="161"/>
      <c r="AV6" s="162"/>
      <c r="AW6" s="137"/>
      <c r="AX6" s="137"/>
    </row>
    <row r="7" ht="46.5" customHeight="1" spans="1:50" s="97" customFormat="1" x14ac:dyDescent="0.25">
      <c r="A7" s="98">
        <v>2</v>
      </c>
      <c r="B7" s="163"/>
      <c r="C7" s="102"/>
      <c r="D7" s="101"/>
      <c r="E7" s="102"/>
      <c r="F7" s="163"/>
      <c r="G7" s="164"/>
      <c r="H7" s="165"/>
      <c r="I7" s="166">
        <v>0.51</v>
      </c>
      <c r="J7" s="107">
        <v>0.49</v>
      </c>
      <c r="K7" s="107"/>
      <c r="L7" s="167"/>
      <c r="M7" s="168"/>
      <c r="N7" s="169">
        <f>SUM(I7:M7)</f>
        <v>1</v>
      </c>
      <c r="O7" s="144">
        <v>1</v>
      </c>
      <c r="P7" s="112">
        <v>15</v>
      </c>
      <c r="Q7" s="218">
        <v>13.4</v>
      </c>
      <c r="R7" s="112"/>
      <c r="S7" s="113"/>
      <c r="T7" s="147"/>
      <c r="U7" s="148">
        <f>ROUND(((P7*I7)+(Q7*J7)+(R7*K7)+(S7*L7)+(T7*M7))*O7,2)</f>
        <v>14.22</v>
      </c>
      <c r="V7" s="149">
        <f>IF(U7&gt;=15,15,U7)</f>
        <v>14.22</v>
      </c>
      <c r="W7" s="120"/>
      <c r="X7" s="120"/>
      <c r="Y7" s="120"/>
      <c r="Z7" s="151"/>
      <c r="AA7" s="153"/>
      <c r="AB7" s="154">
        <f>ROUND((((W7*I7)+(X7*J7)+(Y7*K7)+(Z7*L7)+(AA7*M7))/$I$2),2)*13</f>
        <v>0</v>
      </c>
      <c r="AC7" s="149">
        <f>IF(AB7&gt;=13,13,AB7)</f>
        <v>0</v>
      </c>
      <c r="AD7" s="125">
        <v>2</v>
      </c>
      <c r="AE7" s="148">
        <f>IF((AC7+AD7)&gt;=15,15,(AC7+AD7))</f>
        <v>2</v>
      </c>
      <c r="AF7" s="155">
        <f>1.5*I7</f>
        <v>0.765</v>
      </c>
      <c r="AG7" s="127"/>
      <c r="AH7" s="113">
        <f>IF((V7+AE7+AF7)&gt;=30,30,(V7+AE7+AF7))</f>
        <v>16.985</v>
      </c>
      <c r="AI7" s="157">
        <v>65</v>
      </c>
      <c r="AJ7" s="113">
        <f>V7+AE7+AF7+AI7+AG7</f>
        <v>81.985</v>
      </c>
      <c r="AK7" s="113">
        <f>IF(AH7+AI7+AG7&gt;=95,95,AH7+AI7+AG7)</f>
        <v>81.985</v>
      </c>
      <c r="AL7" s="158">
        <f>-((50-((176+(45+(50-AH7)))))/200)</f>
        <v>1.0200749999999998</v>
      </c>
      <c r="AM7" s="159"/>
      <c r="AN7" s="160">
        <f>100%+AM7</f>
        <v>1</v>
      </c>
      <c r="AO7" s="160">
        <f>100%+AN7</f>
        <v>2</v>
      </c>
      <c r="AP7" s="133"/>
      <c r="AQ7" s="134"/>
      <c r="AR7" s="161"/>
      <c r="AS7" s="161"/>
      <c r="AT7" s="161"/>
      <c r="AU7" s="161"/>
      <c r="AV7" s="162"/>
      <c r="AW7" s="137">
        <f>AR7+AS7+AT7+AU7+AV7</f>
        <v>0</v>
      </c>
      <c r="AX7" s="137">
        <f>(AR7*I7)+(AS7*J7)+(AT7*K7)+(AU7*L7)+(AV7*M7)</f>
        <v>0</v>
      </c>
    </row>
    <row r="8" ht="21.95" customHeight="1" spans="1:50" s="97" customFormat="1" x14ac:dyDescent="0.25">
      <c r="A8" s="138" t="s">
        <v>56</v>
      </c>
      <c r="B8" s="139"/>
      <c r="C8" s="139"/>
      <c r="D8" s="139"/>
      <c r="E8" s="139"/>
      <c r="F8" s="139"/>
      <c r="G8" s="139"/>
      <c r="H8" s="140"/>
      <c r="I8" s="222">
        <v>85</v>
      </c>
      <c r="J8" s="142">
        <v>85</v>
      </c>
      <c r="K8" s="142"/>
      <c r="L8" s="142"/>
      <c r="M8" s="142"/>
      <c r="N8" s="170">
        <f>I8*I7+J8*J7+K8*K7+L8*L7+M8*M7</f>
        <v>85</v>
      </c>
      <c r="O8" s="144"/>
      <c r="P8" s="145"/>
      <c r="Q8" s="113"/>
      <c r="R8" s="113"/>
      <c r="S8" s="146"/>
      <c r="T8" s="147"/>
      <c r="U8" s="148"/>
      <c r="V8" s="149"/>
      <c r="W8" s="150"/>
      <c r="X8" s="151"/>
      <c r="Y8" s="152"/>
      <c r="Z8" s="151"/>
      <c r="AA8" s="153"/>
      <c r="AB8" s="154"/>
      <c r="AC8" s="149"/>
      <c r="AD8" s="148"/>
      <c r="AE8" s="148"/>
      <c r="AF8" s="155"/>
      <c r="AG8" s="156"/>
      <c r="AH8" s="113"/>
      <c r="AI8" s="157"/>
      <c r="AJ8" s="113"/>
      <c r="AK8" s="113"/>
      <c r="AL8" s="158"/>
      <c r="AM8" s="159"/>
      <c r="AN8" s="160"/>
      <c r="AO8" s="160"/>
      <c r="AP8" s="133"/>
      <c r="AQ8" s="134"/>
      <c r="AR8" s="161"/>
      <c r="AS8" s="161"/>
      <c r="AT8" s="161"/>
      <c r="AU8" s="161"/>
      <c r="AV8" s="162"/>
      <c r="AW8" s="137"/>
      <c r="AX8" s="137"/>
    </row>
    <row r="9" ht="46.5" customHeight="1" spans="1:50" s="97" customFormat="1" x14ac:dyDescent="0.25">
      <c r="A9" s="98"/>
      <c r="B9" s="163"/>
      <c r="C9" s="102"/>
      <c r="D9" s="102"/>
      <c r="E9" s="163"/>
      <c r="F9" s="163"/>
      <c r="G9" s="103"/>
      <c r="H9" s="171"/>
      <c r="I9" s="166">
        <v>1</v>
      </c>
      <c r="J9" s="107"/>
      <c r="K9" s="107"/>
      <c r="L9" s="167"/>
      <c r="M9" s="168"/>
      <c r="N9" s="169">
        <f>SUM(I9:M9)</f>
        <v>1</v>
      </c>
      <c r="O9" s="144">
        <v>1</v>
      </c>
      <c r="P9" s="112">
        <v>15</v>
      </c>
      <c r="Q9" s="112">
        <v>15</v>
      </c>
      <c r="R9" s="112">
        <v>15</v>
      </c>
      <c r="S9" s="146"/>
      <c r="T9" s="147"/>
      <c r="U9" s="148">
        <f>ROUND(((P9*I9)+(Q9*J9)+(R9*K9)+(S9*L9)+(T9*M9))*O9,2)</f>
        <v>15</v>
      </c>
      <c r="V9" s="149">
        <f>IF(U9&gt;=15,15,U9)</f>
        <v>15</v>
      </c>
      <c r="W9" s="120"/>
      <c r="X9" s="120"/>
      <c r="Y9" s="120"/>
      <c r="Z9" s="151"/>
      <c r="AA9" s="153"/>
      <c r="AB9" s="154">
        <f>ROUND((((W9*I9)+(X9*J9)+(Y9*K9)+(Z9*L9)+(AA9*M9))/$I$2),2)*13</f>
        <v>0</v>
      </c>
      <c r="AC9" s="149">
        <f>IF(AB9&gt;=13,13,AB9)</f>
        <v>0</v>
      </c>
      <c r="AD9" s="125">
        <v>2</v>
      </c>
      <c r="AE9" s="148">
        <f>IF((AC9+AD9)&gt;=15,15,(AC9+AD9))</f>
        <v>2</v>
      </c>
      <c r="AF9" s="155"/>
      <c r="AG9" s="127"/>
      <c r="AH9" s="113">
        <f>IF((V9+AE9+AF9)&gt;=30,30,(V9+AE9+AF9))</f>
        <v>17</v>
      </c>
      <c r="AI9" s="157">
        <v>65</v>
      </c>
      <c r="AJ9" s="113">
        <f>V9+AE9+AF9+AI9+AG9</f>
        <v>82</v>
      </c>
      <c r="AK9" s="113">
        <f>IF(AH9+AI9+AG9&gt;=95,95,AH9+AI9+AG9)</f>
        <v>82</v>
      </c>
      <c r="AL9" s="158">
        <f>-((50-((176+(45+(50-AH9)))))/200)</f>
        <v>1.02</v>
      </c>
      <c r="AM9" s="159"/>
      <c r="AN9" s="160">
        <f>100%+AM9</f>
        <v>1</v>
      </c>
      <c r="AO9" s="160">
        <f>100%+AN9</f>
        <v>2</v>
      </c>
      <c r="AP9" s="133"/>
      <c r="AQ9" s="134"/>
      <c r="AR9" s="161"/>
      <c r="AS9" s="161"/>
      <c r="AT9" s="161"/>
      <c r="AU9" s="161"/>
      <c r="AV9" s="162"/>
      <c r="AW9" s="172">
        <f>AR9+AS9+AT9+AU9+AV9</f>
        <v>0</v>
      </c>
      <c r="AX9" s="172">
        <f>(AR9*I9)+(AS9*J9)+(AT9*K9)+(AU9*L9)+(AV9*M9)</f>
        <v>0</v>
      </c>
    </row>
    <row r="10" ht="21.95" customHeight="1" spans="1:50" s="97" customFormat="1" x14ac:dyDescent="0.25">
      <c r="A10" s="138" t="s">
        <v>56</v>
      </c>
      <c r="B10" s="139"/>
      <c r="C10" s="139"/>
      <c r="D10" s="139"/>
      <c r="E10" s="139"/>
      <c r="F10" s="139"/>
      <c r="G10" s="139"/>
      <c r="H10" s="140"/>
      <c r="I10" s="222">
        <v>85</v>
      </c>
      <c r="J10" s="142">
        <v>85</v>
      </c>
      <c r="K10" s="142">
        <v>85</v>
      </c>
      <c r="L10" s="142"/>
      <c r="M10" s="142"/>
      <c r="N10" s="170">
        <f>I10*I9+J10*J9+K10*K9+L10*L9+M10*M9</f>
        <v>85</v>
      </c>
      <c r="O10" s="144"/>
      <c r="P10" s="145"/>
      <c r="Q10" s="113"/>
      <c r="R10" s="113"/>
      <c r="S10" s="146"/>
      <c r="T10" s="147"/>
      <c r="U10" s="148"/>
      <c r="V10" s="149"/>
      <c r="W10" s="150"/>
      <c r="X10" s="151"/>
      <c r="Y10" s="152"/>
      <c r="Z10" s="151"/>
      <c r="AA10" s="153"/>
      <c r="AB10" s="154"/>
      <c r="AC10" s="149"/>
      <c r="AD10" s="148"/>
      <c r="AE10" s="148"/>
      <c r="AF10" s="155"/>
      <c r="AG10" s="156"/>
      <c r="AH10" s="113"/>
      <c r="AI10" s="157"/>
      <c r="AJ10" s="113"/>
      <c r="AK10" s="113"/>
      <c r="AL10" s="158"/>
      <c r="AM10" s="159"/>
      <c r="AN10" s="160"/>
      <c r="AO10" s="160"/>
      <c r="AP10" s="133"/>
      <c r="AQ10" s="134"/>
      <c r="AR10" s="161"/>
      <c r="AS10" s="161"/>
      <c r="AT10" s="161"/>
      <c r="AU10" s="161"/>
      <c r="AV10" s="162"/>
      <c r="AW10" s="137"/>
      <c r="AX10" s="137"/>
    </row>
    <row r="11" ht="46.5" customHeight="1" spans="1:50" s="97" customFormat="1" x14ac:dyDescent="0.25">
      <c r="A11" s="98"/>
      <c r="B11" s="196"/>
      <c r="C11" s="102" t="s">
        <v>104</v>
      </c>
      <c r="D11" s="102"/>
      <c r="E11" s="163"/>
      <c r="F11" s="163"/>
      <c r="G11" s="103"/>
      <c r="H11" s="171"/>
      <c r="I11" s="166">
        <v>0.51</v>
      </c>
      <c r="J11" s="107">
        <v>0.49</v>
      </c>
      <c r="K11" s="107"/>
      <c r="L11" s="176"/>
      <c r="M11" s="168"/>
      <c r="N11" s="169">
        <f t="shared" ref="N11:N42" si="0">SUM(I11:M11)</f>
        <v>1</v>
      </c>
      <c r="O11" s="144">
        <v>1</v>
      </c>
      <c r="P11" s="112">
        <v>15</v>
      </c>
      <c r="Q11" s="112">
        <v>15</v>
      </c>
      <c r="R11" s="156">
        <v>15</v>
      </c>
      <c r="S11" s="113"/>
      <c r="T11" s="147"/>
      <c r="U11" s="148">
        <f t="shared" ref="U11:U74" si="1">ROUND(((P11*I11)+(Q11*J11)+(R11*K11)+(S11*L11)+(T11*M11))*O11,2)</f>
        <v>15</v>
      </c>
      <c r="V11" s="149">
        <f t="shared" ref="V11:V74" si="2">IF(U11&gt;=15,15,U11)</f>
        <v>15</v>
      </c>
      <c r="W11" s="119"/>
      <c r="X11" s="120"/>
      <c r="Y11" s="120"/>
      <c r="Z11" s="151"/>
      <c r="AA11" s="153"/>
      <c r="AB11" s="154">
        <f t="shared" ref="AB11:AB74" si="3">ROUND((((W11*I11)+(X11*J11)+(Y11*K11)+(Z11*L11)+(AA11*M11))/$I$2),2)*13</f>
        <v>0</v>
      </c>
      <c r="AC11" s="149">
        <f t="shared" ref="AC11:AC74" si="4">IF(AB11&gt;=13,13,AB11)</f>
        <v>0</v>
      </c>
      <c r="AD11" s="125">
        <v>2</v>
      </c>
      <c r="AE11" s="148">
        <f t="shared" ref="AE11:AE74" si="5">IF((AC11+AD11)&gt;=15,15,(AC11+AD11))</f>
        <v>2</v>
      </c>
      <c r="AF11" s="155"/>
      <c r="AG11" s="127"/>
      <c r="AH11" s="113">
        <f t="shared" ref="AH11:AH74" si="6">IF((V11+AE11+AF11)&gt;=30,30,(V11+AE11+AF11))</f>
        <v>17</v>
      </c>
      <c r="AI11" s="157">
        <v>65</v>
      </c>
      <c r="AJ11" s="113">
        <f t="shared" ref="AJ11:AJ74" si="7">V11+AE11+AF11+AI11+AG11</f>
        <v>82</v>
      </c>
      <c r="AK11" s="113">
        <f t="shared" ref="AK11:AK74" si="8">IF(AH11+AI11+AG11&gt;=95,95,AH11+AI11+AG11)</f>
        <v>82</v>
      </c>
      <c r="AL11" s="158">
        <f t="shared" ref="AL11:AL74" si="9">-((50-((176+(45+(50-AH11)))))/200)</f>
        <v>1.02</v>
      </c>
      <c r="AM11" s="159"/>
      <c r="AN11" s="160">
        <f t="shared" ref="AN11:AO30" si="10">100%+AM11</f>
        <v>1</v>
      </c>
      <c r="AO11" s="160">
        <f t="shared" si="10"/>
        <v>2</v>
      </c>
      <c r="AP11" s="133"/>
      <c r="AQ11" s="134"/>
      <c r="AR11" s="161"/>
      <c r="AS11" s="161"/>
      <c r="AT11" s="161"/>
      <c r="AU11" s="161"/>
      <c r="AV11" s="162"/>
      <c r="AW11" s="137">
        <f t="shared" ref="AW11:AW74" si="11">AR11+AS11+AT11+AU11+AV11</f>
        <v>0</v>
      </c>
      <c r="AX11" s="137">
        <f t="shared" ref="AX11:AX74" si="12">(AR11*I11)+(AS11*J11)+(AT11*K11)+(AU11*L11)+(AV11*M11)</f>
        <v>0</v>
      </c>
    </row>
    <row r="12" ht="46.5" customHeight="1" spans="1:50" s="97" customFormat="1" x14ac:dyDescent="0.25">
      <c r="A12" s="98"/>
      <c r="B12" s="196"/>
      <c r="C12" s="102" t="s">
        <v>54</v>
      </c>
      <c r="D12" s="102"/>
      <c r="E12" s="163"/>
      <c r="F12" s="163"/>
      <c r="G12" s="103"/>
      <c r="H12" s="182"/>
      <c r="I12" s="166">
        <v>0.51</v>
      </c>
      <c r="J12" s="107">
        <v>0.49</v>
      </c>
      <c r="K12" s="107"/>
      <c r="L12" s="167"/>
      <c r="M12" s="168"/>
      <c r="N12" s="169">
        <f t="shared" si="0"/>
        <v>1</v>
      </c>
      <c r="O12" s="144">
        <v>1</v>
      </c>
      <c r="P12" s="112">
        <v>15</v>
      </c>
      <c r="Q12" s="112">
        <v>15</v>
      </c>
      <c r="R12" s="112"/>
      <c r="S12" s="146"/>
      <c r="T12" s="147"/>
      <c r="U12" s="148">
        <f t="shared" si="1"/>
        <v>15</v>
      </c>
      <c r="V12" s="149">
        <f t="shared" si="2"/>
        <v>15</v>
      </c>
      <c r="W12" s="179"/>
      <c r="X12" s="120"/>
      <c r="Y12" s="183"/>
      <c r="Z12" s="151"/>
      <c r="AA12" s="153"/>
      <c r="AB12" s="154">
        <f t="shared" si="3"/>
        <v>0</v>
      </c>
      <c r="AC12" s="149">
        <f t="shared" si="4"/>
        <v>0</v>
      </c>
      <c r="AD12" s="125">
        <v>2</v>
      </c>
      <c r="AE12" s="148">
        <f t="shared" si="5"/>
        <v>2</v>
      </c>
      <c r="AF12" s="155"/>
      <c r="AG12" s="127"/>
      <c r="AH12" s="113">
        <f t="shared" si="6"/>
        <v>17</v>
      </c>
      <c r="AI12" s="157">
        <v>65</v>
      </c>
      <c r="AJ12" s="113">
        <f t="shared" si="7"/>
        <v>82</v>
      </c>
      <c r="AK12" s="113">
        <f t="shared" si="8"/>
        <v>82</v>
      </c>
      <c r="AL12" s="158">
        <f t="shared" si="9"/>
        <v>1.02</v>
      </c>
      <c r="AM12" s="159"/>
      <c r="AN12" s="160">
        <f t="shared" si="10"/>
        <v>1</v>
      </c>
      <c r="AO12" s="160">
        <f t="shared" si="10"/>
        <v>2</v>
      </c>
      <c r="AP12" s="133"/>
      <c r="AQ12" s="134"/>
      <c r="AR12" s="161"/>
      <c r="AS12" s="161"/>
      <c r="AT12" s="161"/>
      <c r="AU12" s="161"/>
      <c r="AV12" s="162"/>
      <c r="AW12" s="137">
        <f t="shared" si="11"/>
        <v>0</v>
      </c>
      <c r="AX12" s="137">
        <f t="shared" si="12"/>
        <v>0</v>
      </c>
    </row>
    <row r="13" ht="46.5" customHeight="1" spans="1:50" s="97" customFormat="1" x14ac:dyDescent="0.25">
      <c r="A13" s="98"/>
      <c r="B13" s="196"/>
      <c r="C13" s="102" t="s">
        <v>66</v>
      </c>
      <c r="D13" s="102"/>
      <c r="E13" s="224"/>
      <c r="F13" s="163"/>
      <c r="G13" s="103"/>
      <c r="H13" s="182"/>
      <c r="I13" s="166">
        <v>0.51</v>
      </c>
      <c r="J13" s="107">
        <v>0.49</v>
      </c>
      <c r="K13" s="107"/>
      <c r="L13" s="167"/>
      <c r="M13" s="168"/>
      <c r="N13" s="169">
        <f t="shared" si="0"/>
        <v>1</v>
      </c>
      <c r="O13" s="144">
        <v>1</v>
      </c>
      <c r="P13" s="112">
        <v>15</v>
      </c>
      <c r="Q13" s="112">
        <v>15</v>
      </c>
      <c r="R13" s="156"/>
      <c r="S13" s="146"/>
      <c r="T13" s="147"/>
      <c r="U13" s="148">
        <f t="shared" si="1"/>
        <v>15</v>
      </c>
      <c r="V13" s="149">
        <f t="shared" si="2"/>
        <v>15</v>
      </c>
      <c r="W13" s="120"/>
      <c r="X13" s="120"/>
      <c r="Y13" s="183"/>
      <c r="Z13" s="151"/>
      <c r="AA13" s="153"/>
      <c r="AB13" s="154">
        <f t="shared" si="3"/>
        <v>0</v>
      </c>
      <c r="AC13" s="149">
        <f t="shared" si="4"/>
        <v>0</v>
      </c>
      <c r="AD13" s="125">
        <v>2</v>
      </c>
      <c r="AE13" s="148">
        <f t="shared" si="5"/>
        <v>2</v>
      </c>
      <c r="AF13" s="155"/>
      <c r="AG13" s="127"/>
      <c r="AH13" s="113">
        <f t="shared" si="6"/>
        <v>17</v>
      </c>
      <c r="AI13" s="157">
        <v>65</v>
      </c>
      <c r="AJ13" s="113">
        <f t="shared" si="7"/>
        <v>82</v>
      </c>
      <c r="AK13" s="113">
        <f t="shared" si="8"/>
        <v>82</v>
      </c>
      <c r="AL13" s="158">
        <f t="shared" si="9"/>
        <v>1.02</v>
      </c>
      <c r="AM13" s="159"/>
      <c r="AN13" s="160">
        <f t="shared" si="10"/>
        <v>1</v>
      </c>
      <c r="AO13" s="160">
        <f t="shared" si="10"/>
        <v>2</v>
      </c>
      <c r="AP13" s="133"/>
      <c r="AQ13" s="134"/>
      <c r="AR13" s="161"/>
      <c r="AS13" s="161"/>
      <c r="AT13" s="161"/>
      <c r="AU13" s="161"/>
      <c r="AV13" s="162"/>
      <c r="AW13" s="137">
        <f t="shared" si="11"/>
        <v>0</v>
      </c>
      <c r="AX13" s="137">
        <f t="shared" si="12"/>
        <v>0</v>
      </c>
    </row>
    <row r="14" ht="46.5" customHeight="1" spans="1:50" s="97" customFormat="1" x14ac:dyDescent="0.25">
      <c r="A14" s="98"/>
      <c r="B14" s="196"/>
      <c r="C14" s="102" t="s">
        <v>57</v>
      </c>
      <c r="D14" s="101"/>
      <c r="E14" s="101"/>
      <c r="F14" s="224"/>
      <c r="G14" s="103"/>
      <c r="H14" s="182"/>
      <c r="I14" s="166">
        <v>0.51</v>
      </c>
      <c r="J14" s="107">
        <v>0.49</v>
      </c>
      <c r="K14" s="107"/>
      <c r="L14" s="167"/>
      <c r="M14" s="168"/>
      <c r="N14" s="169">
        <f t="shared" si="0"/>
        <v>1</v>
      </c>
      <c r="O14" s="144">
        <v>1</v>
      </c>
      <c r="P14" s="112">
        <v>15</v>
      </c>
      <c r="Q14" s="112">
        <v>15</v>
      </c>
      <c r="R14" s="113"/>
      <c r="S14" s="146"/>
      <c r="T14" s="147"/>
      <c r="U14" s="148">
        <f t="shared" si="1"/>
        <v>15</v>
      </c>
      <c r="V14" s="149">
        <f t="shared" si="2"/>
        <v>15</v>
      </c>
      <c r="W14" s="120"/>
      <c r="X14" s="120"/>
      <c r="Y14" s="120"/>
      <c r="Z14" s="151"/>
      <c r="AA14" s="153"/>
      <c r="AB14" s="154">
        <f t="shared" si="3"/>
        <v>0</v>
      </c>
      <c r="AC14" s="149">
        <f t="shared" si="4"/>
        <v>0</v>
      </c>
      <c r="AD14" s="125">
        <v>2</v>
      </c>
      <c r="AE14" s="148">
        <f t="shared" si="5"/>
        <v>2</v>
      </c>
      <c r="AF14" s="155"/>
      <c r="AG14" s="127"/>
      <c r="AH14" s="113">
        <f t="shared" si="6"/>
        <v>17</v>
      </c>
      <c r="AI14" s="157">
        <v>65</v>
      </c>
      <c r="AJ14" s="113">
        <f t="shared" si="7"/>
        <v>82</v>
      </c>
      <c r="AK14" s="113">
        <f t="shared" si="8"/>
        <v>82</v>
      </c>
      <c r="AL14" s="158">
        <f t="shared" si="9"/>
        <v>1.02</v>
      </c>
      <c r="AM14" s="159"/>
      <c r="AN14" s="160">
        <f t="shared" si="10"/>
        <v>1</v>
      </c>
      <c r="AO14" s="160">
        <f t="shared" si="10"/>
        <v>2</v>
      </c>
      <c r="AP14" s="133"/>
      <c r="AQ14" s="134"/>
      <c r="AR14" s="161"/>
      <c r="AS14" s="161"/>
      <c r="AT14" s="161"/>
      <c r="AU14" s="161"/>
      <c r="AV14" s="162"/>
      <c r="AW14" s="137">
        <f t="shared" si="11"/>
        <v>0</v>
      </c>
      <c r="AX14" s="137">
        <f t="shared" si="12"/>
        <v>0</v>
      </c>
    </row>
    <row r="15" ht="46.5" customHeight="1" spans="1:50" s="97" customFormat="1" x14ac:dyDescent="0.25">
      <c r="A15" s="98"/>
      <c r="B15" s="196"/>
      <c r="C15" s="102" t="s">
        <v>59</v>
      </c>
      <c r="D15" s="224"/>
      <c r="E15" s="224"/>
      <c r="F15" s="224"/>
      <c r="G15" s="103"/>
      <c r="H15" s="182"/>
      <c r="I15" s="166">
        <v>0.51</v>
      </c>
      <c r="J15" s="107">
        <v>0.49</v>
      </c>
      <c r="K15" s="107"/>
      <c r="L15" s="167"/>
      <c r="M15" s="168"/>
      <c r="N15" s="169">
        <f t="shared" si="0"/>
        <v>1</v>
      </c>
      <c r="O15" s="144">
        <v>1</v>
      </c>
      <c r="P15" s="112">
        <v>15</v>
      </c>
      <c r="Q15" s="112">
        <v>15</v>
      </c>
      <c r="R15" s="113"/>
      <c r="S15" s="146"/>
      <c r="T15" s="147"/>
      <c r="U15" s="148">
        <f t="shared" si="1"/>
        <v>15</v>
      </c>
      <c r="V15" s="149">
        <f t="shared" si="2"/>
        <v>15</v>
      </c>
      <c r="W15" s="120"/>
      <c r="X15" s="120"/>
      <c r="Y15" s="120"/>
      <c r="Z15" s="151"/>
      <c r="AA15" s="153"/>
      <c r="AB15" s="154">
        <f t="shared" si="3"/>
        <v>0</v>
      </c>
      <c r="AC15" s="149">
        <f t="shared" si="4"/>
        <v>0</v>
      </c>
      <c r="AD15" s="125">
        <v>2</v>
      </c>
      <c r="AE15" s="148">
        <f t="shared" si="5"/>
        <v>2</v>
      </c>
      <c r="AF15" s="156"/>
      <c r="AG15" s="127"/>
      <c r="AH15" s="113">
        <f t="shared" si="6"/>
        <v>17</v>
      </c>
      <c r="AI15" s="157">
        <v>65</v>
      </c>
      <c r="AJ15" s="113">
        <f t="shared" si="7"/>
        <v>82</v>
      </c>
      <c r="AK15" s="113">
        <f t="shared" si="8"/>
        <v>82</v>
      </c>
      <c r="AL15" s="158">
        <f t="shared" si="9"/>
        <v>1.02</v>
      </c>
      <c r="AM15" s="159"/>
      <c r="AN15" s="160">
        <f t="shared" si="10"/>
        <v>1</v>
      </c>
      <c r="AO15" s="160">
        <f t="shared" si="10"/>
        <v>2</v>
      </c>
      <c r="AP15" s="133"/>
      <c r="AQ15" s="134"/>
      <c r="AR15" s="161"/>
      <c r="AS15" s="161"/>
      <c r="AT15" s="161"/>
      <c r="AU15" s="161"/>
      <c r="AV15" s="162"/>
      <c r="AW15" s="137">
        <f t="shared" si="11"/>
        <v>0</v>
      </c>
      <c r="AX15" s="137">
        <f t="shared" si="12"/>
        <v>0</v>
      </c>
    </row>
    <row r="16" ht="46.5" customHeight="1" spans="1:50" s="97" customFormat="1" x14ac:dyDescent="0.25">
      <c r="A16" s="98"/>
      <c r="B16" s="99"/>
      <c r="C16" s="102"/>
      <c r="D16" s="100"/>
      <c r="E16" s="224"/>
      <c r="F16" s="100"/>
      <c r="G16" s="103"/>
      <c r="H16" s="186"/>
      <c r="I16" s="166">
        <v>0.51</v>
      </c>
      <c r="J16" s="107">
        <v>0.49</v>
      </c>
      <c r="K16" s="107"/>
      <c r="L16" s="167"/>
      <c r="M16" s="168"/>
      <c r="N16" s="169">
        <f t="shared" si="0"/>
        <v>1</v>
      </c>
      <c r="O16" s="144">
        <v>1</v>
      </c>
      <c r="P16" s="112">
        <v>15</v>
      </c>
      <c r="Q16" s="112">
        <v>15</v>
      </c>
      <c r="R16" s="113"/>
      <c r="S16" s="146"/>
      <c r="T16" s="147"/>
      <c r="U16" s="148">
        <f t="shared" si="1"/>
        <v>15</v>
      </c>
      <c r="V16" s="149">
        <f t="shared" si="2"/>
        <v>15</v>
      </c>
      <c r="W16" s="183"/>
      <c r="X16" s="183"/>
      <c r="Y16" s="183"/>
      <c r="Z16" s="151"/>
      <c r="AA16" s="153"/>
      <c r="AB16" s="154">
        <f t="shared" si="3"/>
        <v>0</v>
      </c>
      <c r="AC16" s="149">
        <f t="shared" si="4"/>
        <v>0</v>
      </c>
      <c r="AD16" s="125">
        <v>2</v>
      </c>
      <c r="AE16" s="148">
        <f t="shared" si="5"/>
        <v>2</v>
      </c>
      <c r="AF16" s="156"/>
      <c r="AG16" s="127"/>
      <c r="AH16" s="113">
        <f t="shared" si="6"/>
        <v>17</v>
      </c>
      <c r="AI16" s="157">
        <v>65</v>
      </c>
      <c r="AJ16" s="113">
        <f t="shared" si="7"/>
        <v>82</v>
      </c>
      <c r="AK16" s="113">
        <f t="shared" si="8"/>
        <v>82</v>
      </c>
      <c r="AL16" s="158">
        <f t="shared" si="9"/>
        <v>1.02</v>
      </c>
      <c r="AM16" s="159"/>
      <c r="AN16" s="160">
        <f t="shared" si="10"/>
        <v>1</v>
      </c>
      <c r="AO16" s="160">
        <f t="shared" si="10"/>
        <v>2</v>
      </c>
      <c r="AP16" s="133"/>
      <c r="AQ16" s="134"/>
      <c r="AR16" s="161"/>
      <c r="AS16" s="161"/>
      <c r="AT16" s="161"/>
      <c r="AU16" s="161"/>
      <c r="AV16" s="162"/>
      <c r="AW16" s="137">
        <f t="shared" si="11"/>
        <v>0</v>
      </c>
      <c r="AX16" s="137">
        <f t="shared" si="12"/>
        <v>0</v>
      </c>
    </row>
    <row r="17" ht="46.5" customHeight="1" spans="1:50" s="97" customFormat="1" x14ac:dyDescent="0.25">
      <c r="A17" s="98"/>
      <c r="B17" s="99"/>
      <c r="C17" s="102"/>
      <c r="D17" s="102"/>
      <c r="E17" s="224"/>
      <c r="F17" s="224"/>
      <c r="G17" s="103"/>
      <c r="H17" s="186"/>
      <c r="I17" s="166">
        <v>0.51</v>
      </c>
      <c r="J17" s="107">
        <v>0.49</v>
      </c>
      <c r="K17" s="107"/>
      <c r="L17" s="107"/>
      <c r="M17" s="187"/>
      <c r="N17" s="169">
        <f t="shared" si="0"/>
        <v>1</v>
      </c>
      <c r="O17" s="144">
        <v>1</v>
      </c>
      <c r="P17" s="112">
        <v>15</v>
      </c>
      <c r="Q17" s="112">
        <v>15</v>
      </c>
      <c r="R17" s="113"/>
      <c r="S17" s="113"/>
      <c r="T17" s="146"/>
      <c r="U17" s="148">
        <f t="shared" si="1"/>
        <v>15</v>
      </c>
      <c r="V17" s="149">
        <f t="shared" si="2"/>
        <v>15</v>
      </c>
      <c r="W17" s="188"/>
      <c r="X17" s="161"/>
      <c r="Y17" s="189"/>
      <c r="Z17" s="190"/>
      <c r="AA17" s="153"/>
      <c r="AB17" s="154">
        <f t="shared" si="3"/>
        <v>0</v>
      </c>
      <c r="AC17" s="149">
        <f t="shared" si="4"/>
        <v>0</v>
      </c>
      <c r="AD17" s="125">
        <v>2</v>
      </c>
      <c r="AE17" s="148">
        <f t="shared" si="5"/>
        <v>2</v>
      </c>
      <c r="AF17" s="156"/>
      <c r="AG17" s="156"/>
      <c r="AH17" s="113">
        <f t="shared" si="6"/>
        <v>17</v>
      </c>
      <c r="AI17" s="157">
        <v>65</v>
      </c>
      <c r="AJ17" s="113">
        <f t="shared" si="7"/>
        <v>82</v>
      </c>
      <c r="AK17" s="113">
        <f t="shared" si="8"/>
        <v>82</v>
      </c>
      <c r="AL17" s="158">
        <f t="shared" si="9"/>
        <v>1.02</v>
      </c>
      <c r="AM17" s="159"/>
      <c r="AN17" s="160">
        <f t="shared" si="10"/>
        <v>1</v>
      </c>
      <c r="AO17" s="160">
        <f t="shared" si="10"/>
        <v>2</v>
      </c>
      <c r="AP17" s="133"/>
      <c r="AQ17" s="134"/>
      <c r="AR17" s="161"/>
      <c r="AS17" s="161"/>
      <c r="AT17" s="161"/>
      <c r="AU17" s="161"/>
      <c r="AV17" s="162"/>
      <c r="AW17" s="137">
        <f t="shared" si="11"/>
        <v>0</v>
      </c>
      <c r="AX17" s="137">
        <f t="shared" si="12"/>
        <v>0</v>
      </c>
    </row>
    <row r="18" ht="46.5" customHeight="1" spans="1:50" s="97" customFormat="1" x14ac:dyDescent="0.25">
      <c r="A18" s="98"/>
      <c r="B18" s="102"/>
      <c r="C18" s="102"/>
      <c r="D18" s="100"/>
      <c r="E18" s="100"/>
      <c r="F18" s="224"/>
      <c r="G18" s="103"/>
      <c r="H18" s="186"/>
      <c r="I18" s="166">
        <v>0.51</v>
      </c>
      <c r="J18" s="107">
        <v>0.49</v>
      </c>
      <c r="K18" s="191"/>
      <c r="L18" s="107"/>
      <c r="M18" s="187"/>
      <c r="N18" s="169">
        <f t="shared" si="0"/>
        <v>1</v>
      </c>
      <c r="O18" s="144">
        <v>1</v>
      </c>
      <c r="P18" s="112">
        <v>15</v>
      </c>
      <c r="Q18" s="112">
        <v>15</v>
      </c>
      <c r="R18" s="113"/>
      <c r="S18" s="113"/>
      <c r="T18" s="146"/>
      <c r="U18" s="148">
        <f t="shared" si="1"/>
        <v>15</v>
      </c>
      <c r="V18" s="149">
        <f t="shared" si="2"/>
        <v>15</v>
      </c>
      <c r="W18" s="192"/>
      <c r="X18" s="120"/>
      <c r="Y18" s="120"/>
      <c r="Z18" s="190"/>
      <c r="AA18" s="153"/>
      <c r="AB18" s="154">
        <f t="shared" si="3"/>
        <v>0</v>
      </c>
      <c r="AC18" s="149">
        <f t="shared" si="4"/>
        <v>0</v>
      </c>
      <c r="AD18" s="125">
        <v>2</v>
      </c>
      <c r="AE18" s="148">
        <f t="shared" si="5"/>
        <v>2</v>
      </c>
      <c r="AF18" s="156"/>
      <c r="AG18" s="156"/>
      <c r="AH18" s="113">
        <f t="shared" si="6"/>
        <v>17</v>
      </c>
      <c r="AI18" s="157">
        <v>65</v>
      </c>
      <c r="AJ18" s="113">
        <f t="shared" si="7"/>
        <v>82</v>
      </c>
      <c r="AK18" s="113">
        <f t="shared" si="8"/>
        <v>82</v>
      </c>
      <c r="AL18" s="158">
        <f t="shared" si="9"/>
        <v>1.02</v>
      </c>
      <c r="AM18" s="159"/>
      <c r="AN18" s="160">
        <f t="shared" si="10"/>
        <v>1</v>
      </c>
      <c r="AO18" s="160">
        <f t="shared" si="10"/>
        <v>2</v>
      </c>
      <c r="AP18" s="133"/>
      <c r="AQ18" s="134"/>
      <c r="AR18" s="161"/>
      <c r="AS18" s="161"/>
      <c r="AT18" s="161"/>
      <c r="AU18" s="161"/>
      <c r="AV18" s="162"/>
      <c r="AW18" s="137">
        <f t="shared" si="11"/>
        <v>0</v>
      </c>
      <c r="AX18" s="137">
        <f t="shared" si="12"/>
        <v>0</v>
      </c>
    </row>
    <row r="19" ht="46.5" customHeight="1" spans="1:50" s="97" customFormat="1" x14ac:dyDescent="0.25">
      <c r="A19" s="98"/>
      <c r="B19" s="102"/>
      <c r="C19" s="102"/>
      <c r="D19" s="102"/>
      <c r="E19" s="100"/>
      <c r="F19" s="100"/>
      <c r="G19" s="103"/>
      <c r="H19" s="186"/>
      <c r="I19" s="166">
        <v>0.51</v>
      </c>
      <c r="J19" s="107">
        <v>0.49</v>
      </c>
      <c r="K19" s="107"/>
      <c r="L19" s="107"/>
      <c r="M19" s="187"/>
      <c r="N19" s="169">
        <f t="shared" si="0"/>
        <v>1</v>
      </c>
      <c r="O19" s="144">
        <v>1</v>
      </c>
      <c r="P19" s="145">
        <v>15</v>
      </c>
      <c r="Q19" s="113">
        <v>15</v>
      </c>
      <c r="R19" s="113"/>
      <c r="S19" s="113"/>
      <c r="T19" s="146"/>
      <c r="U19" s="148">
        <f t="shared" si="1"/>
        <v>15</v>
      </c>
      <c r="V19" s="149">
        <f t="shared" si="2"/>
        <v>15</v>
      </c>
      <c r="W19" s="192"/>
      <c r="X19" s="183"/>
      <c r="Y19" s="120"/>
      <c r="Z19" s="190"/>
      <c r="AA19" s="153"/>
      <c r="AB19" s="154">
        <f t="shared" si="3"/>
        <v>0</v>
      </c>
      <c r="AC19" s="149">
        <f t="shared" si="4"/>
        <v>0</v>
      </c>
      <c r="AD19" s="125">
        <v>2</v>
      </c>
      <c r="AE19" s="148">
        <f t="shared" si="5"/>
        <v>2</v>
      </c>
      <c r="AF19" s="156"/>
      <c r="AG19" s="156"/>
      <c r="AH19" s="113">
        <f t="shared" si="6"/>
        <v>17</v>
      </c>
      <c r="AI19" s="157">
        <v>65</v>
      </c>
      <c r="AJ19" s="113">
        <f t="shared" si="7"/>
        <v>82</v>
      </c>
      <c r="AK19" s="113">
        <f t="shared" si="8"/>
        <v>82</v>
      </c>
      <c r="AL19" s="158">
        <f t="shared" si="9"/>
        <v>1.02</v>
      </c>
      <c r="AM19" s="159"/>
      <c r="AN19" s="160">
        <f t="shared" si="10"/>
        <v>1</v>
      </c>
      <c r="AO19" s="160">
        <f t="shared" si="10"/>
        <v>2</v>
      </c>
      <c r="AP19" s="133"/>
      <c r="AQ19" s="134"/>
      <c r="AR19" s="161"/>
      <c r="AS19" s="161"/>
      <c r="AT19" s="161"/>
      <c r="AU19" s="161"/>
      <c r="AV19" s="162"/>
      <c r="AW19" s="137">
        <f t="shared" si="11"/>
        <v>0</v>
      </c>
      <c r="AX19" s="137">
        <f t="shared" si="12"/>
        <v>0</v>
      </c>
    </row>
    <row r="20" ht="46.5" customHeight="1" spans="1:50" s="97" customFormat="1" x14ac:dyDescent="0.25">
      <c r="A20" s="98"/>
      <c r="B20" s="102"/>
      <c r="C20" s="102"/>
      <c r="D20" s="102"/>
      <c r="E20" s="102"/>
      <c r="F20" s="100"/>
      <c r="G20" s="103"/>
      <c r="H20" s="186"/>
      <c r="I20" s="195">
        <v>0.51</v>
      </c>
      <c r="J20" s="107">
        <v>0.49</v>
      </c>
      <c r="K20" s="107"/>
      <c r="L20" s="107"/>
      <c r="M20" s="187"/>
      <c r="N20" s="169">
        <f t="shared" si="0"/>
        <v>1</v>
      </c>
      <c r="O20" s="144">
        <v>1</v>
      </c>
      <c r="P20" s="145">
        <v>15</v>
      </c>
      <c r="Q20" s="113">
        <v>15</v>
      </c>
      <c r="R20" s="113"/>
      <c r="S20" s="113"/>
      <c r="T20" s="146"/>
      <c r="U20" s="148">
        <f t="shared" si="1"/>
        <v>15</v>
      </c>
      <c r="V20" s="149">
        <f t="shared" si="2"/>
        <v>15</v>
      </c>
      <c r="W20" s="192"/>
      <c r="X20" s="183"/>
      <c r="Y20" s="183"/>
      <c r="Z20" s="190"/>
      <c r="AA20" s="153"/>
      <c r="AB20" s="154">
        <f t="shared" si="3"/>
        <v>0</v>
      </c>
      <c r="AC20" s="149">
        <f t="shared" si="4"/>
        <v>0</v>
      </c>
      <c r="AD20" s="125">
        <v>2</v>
      </c>
      <c r="AE20" s="148">
        <f t="shared" si="5"/>
        <v>2</v>
      </c>
      <c r="AF20" s="156"/>
      <c r="AG20" s="156"/>
      <c r="AH20" s="113">
        <f t="shared" si="6"/>
        <v>17</v>
      </c>
      <c r="AI20" s="157">
        <v>65</v>
      </c>
      <c r="AJ20" s="113">
        <f t="shared" si="7"/>
        <v>82</v>
      </c>
      <c r="AK20" s="113">
        <f t="shared" si="8"/>
        <v>82</v>
      </c>
      <c r="AL20" s="158">
        <f t="shared" si="9"/>
        <v>1.02</v>
      </c>
      <c r="AM20" s="159"/>
      <c r="AN20" s="160">
        <f t="shared" si="10"/>
        <v>1</v>
      </c>
      <c r="AO20" s="160">
        <f t="shared" si="10"/>
        <v>2</v>
      </c>
      <c r="AP20" s="133"/>
      <c r="AQ20" s="134"/>
      <c r="AR20" s="161"/>
      <c r="AS20" s="161"/>
      <c r="AT20" s="161"/>
      <c r="AU20" s="161"/>
      <c r="AV20" s="162"/>
      <c r="AW20" s="137">
        <f t="shared" si="11"/>
        <v>0</v>
      </c>
      <c r="AX20" s="137">
        <f t="shared" si="12"/>
        <v>0</v>
      </c>
    </row>
    <row r="21" ht="46.5" customHeight="1" spans="1:50" s="97" customFormat="1" x14ac:dyDescent="0.25">
      <c r="A21" s="98"/>
      <c r="B21" s="196"/>
      <c r="C21" s="100"/>
      <c r="D21" s="102"/>
      <c r="E21" s="100"/>
      <c r="F21" s="100"/>
      <c r="G21" s="103"/>
      <c r="H21" s="186"/>
      <c r="I21" s="195">
        <v>0.51</v>
      </c>
      <c r="J21" s="107">
        <v>0.49</v>
      </c>
      <c r="K21" s="107"/>
      <c r="L21" s="107"/>
      <c r="M21" s="187"/>
      <c r="N21" s="169">
        <f t="shared" si="0"/>
        <v>1</v>
      </c>
      <c r="O21" s="144">
        <v>1</v>
      </c>
      <c r="P21" s="145">
        <v>15</v>
      </c>
      <c r="Q21" s="113">
        <v>15</v>
      </c>
      <c r="R21" s="156"/>
      <c r="S21" s="113"/>
      <c r="T21" s="146"/>
      <c r="U21" s="148">
        <f t="shared" si="1"/>
        <v>15</v>
      </c>
      <c r="V21" s="149">
        <f t="shared" si="2"/>
        <v>15</v>
      </c>
      <c r="W21" s="197"/>
      <c r="X21" s="120"/>
      <c r="Y21" s="183"/>
      <c r="Z21" s="190"/>
      <c r="AA21" s="153"/>
      <c r="AB21" s="154">
        <f t="shared" si="3"/>
        <v>0</v>
      </c>
      <c r="AC21" s="149">
        <f t="shared" si="4"/>
        <v>0</v>
      </c>
      <c r="AD21" s="125">
        <v>2</v>
      </c>
      <c r="AE21" s="148">
        <f t="shared" si="5"/>
        <v>2</v>
      </c>
      <c r="AF21" s="156"/>
      <c r="AG21" s="156"/>
      <c r="AH21" s="113">
        <f t="shared" si="6"/>
        <v>17</v>
      </c>
      <c r="AI21" s="157">
        <v>65</v>
      </c>
      <c r="AJ21" s="113">
        <f t="shared" si="7"/>
        <v>82</v>
      </c>
      <c r="AK21" s="113">
        <f t="shared" si="8"/>
        <v>82</v>
      </c>
      <c r="AL21" s="158">
        <f t="shared" si="9"/>
        <v>1.02</v>
      </c>
      <c r="AM21" s="159"/>
      <c r="AN21" s="160">
        <f t="shared" si="10"/>
        <v>1</v>
      </c>
      <c r="AO21" s="160">
        <f t="shared" si="10"/>
        <v>2</v>
      </c>
      <c r="AP21" s="133"/>
      <c r="AQ21" s="134"/>
      <c r="AR21" s="161"/>
      <c r="AS21" s="161"/>
      <c r="AT21" s="161"/>
      <c r="AU21" s="161"/>
      <c r="AV21" s="162"/>
      <c r="AW21" s="137">
        <f t="shared" si="11"/>
        <v>0</v>
      </c>
      <c r="AX21" s="137">
        <f t="shared" si="12"/>
        <v>0</v>
      </c>
    </row>
    <row r="22" ht="46.5" customHeight="1" spans="1:50" s="97" customFormat="1" x14ac:dyDescent="0.25">
      <c r="A22" s="100"/>
      <c r="B22" s="100"/>
      <c r="C22" s="100"/>
      <c r="D22" s="100"/>
      <c r="E22" s="100"/>
      <c r="F22" s="100"/>
      <c r="G22" s="103"/>
      <c r="H22" s="186"/>
      <c r="I22" s="195">
        <v>0.51</v>
      </c>
      <c r="J22" s="107">
        <v>0.49</v>
      </c>
      <c r="K22" s="107"/>
      <c r="L22" s="107"/>
      <c r="M22" s="187"/>
      <c r="N22" s="169">
        <f t="shared" si="0"/>
        <v>1</v>
      </c>
      <c r="O22" s="144">
        <v>1</v>
      </c>
      <c r="P22" s="145">
        <v>15</v>
      </c>
      <c r="Q22" s="113">
        <v>15</v>
      </c>
      <c r="R22" s="113"/>
      <c r="S22" s="113"/>
      <c r="T22" s="146"/>
      <c r="U22" s="148">
        <f t="shared" si="1"/>
        <v>15</v>
      </c>
      <c r="V22" s="149">
        <f t="shared" si="2"/>
        <v>15</v>
      </c>
      <c r="W22" s="189"/>
      <c r="X22" s="199"/>
      <c r="Y22" s="151"/>
      <c r="Z22" s="190"/>
      <c r="AA22" s="153"/>
      <c r="AB22" s="154">
        <f t="shared" si="3"/>
        <v>0</v>
      </c>
      <c r="AC22" s="149">
        <f t="shared" si="4"/>
        <v>0</v>
      </c>
      <c r="AD22" s="125">
        <v>2</v>
      </c>
      <c r="AE22" s="148">
        <f t="shared" si="5"/>
        <v>2</v>
      </c>
      <c r="AF22" s="156"/>
      <c r="AG22" s="156"/>
      <c r="AH22" s="113">
        <f t="shared" si="6"/>
        <v>17</v>
      </c>
      <c r="AI22" s="157">
        <v>65</v>
      </c>
      <c r="AJ22" s="113">
        <f t="shared" si="7"/>
        <v>82</v>
      </c>
      <c r="AK22" s="113">
        <f t="shared" si="8"/>
        <v>82</v>
      </c>
      <c r="AL22" s="158">
        <f t="shared" si="9"/>
        <v>1.02</v>
      </c>
      <c r="AM22" s="159"/>
      <c r="AN22" s="160">
        <f t="shared" si="10"/>
        <v>1</v>
      </c>
      <c r="AO22" s="160">
        <f t="shared" si="10"/>
        <v>2</v>
      </c>
      <c r="AP22" s="133"/>
      <c r="AQ22" s="134"/>
      <c r="AR22" s="161"/>
      <c r="AS22" s="161"/>
      <c r="AT22" s="161"/>
      <c r="AU22" s="161"/>
      <c r="AV22" s="162"/>
      <c r="AW22" s="137">
        <f t="shared" si="11"/>
        <v>0</v>
      </c>
      <c r="AX22" s="137">
        <f t="shared" si="12"/>
        <v>0</v>
      </c>
    </row>
    <row r="23" ht="46.5" customHeight="1" spans="1:50" s="97" customFormat="1" x14ac:dyDescent="0.25">
      <c r="A23" s="100"/>
      <c r="B23" s="100"/>
      <c r="C23" s="100"/>
      <c r="D23" s="100"/>
      <c r="E23" s="100"/>
      <c r="F23" s="100"/>
      <c r="G23" s="103"/>
      <c r="H23" s="186"/>
      <c r="I23" s="195">
        <v>0.51</v>
      </c>
      <c r="J23" s="107">
        <v>0.49</v>
      </c>
      <c r="K23" s="107"/>
      <c r="L23" s="107"/>
      <c r="M23" s="187"/>
      <c r="N23" s="169">
        <f t="shared" si="0"/>
        <v>1</v>
      </c>
      <c r="O23" s="144">
        <v>1</v>
      </c>
      <c r="P23" s="145">
        <v>15</v>
      </c>
      <c r="Q23" s="113">
        <v>15</v>
      </c>
      <c r="R23" s="113"/>
      <c r="S23" s="113"/>
      <c r="T23" s="146"/>
      <c r="U23" s="148">
        <f t="shared" si="1"/>
        <v>15</v>
      </c>
      <c r="V23" s="149">
        <f t="shared" si="2"/>
        <v>15</v>
      </c>
      <c r="W23" s="189"/>
      <c r="X23" s="199"/>
      <c r="Y23" s="151"/>
      <c r="Z23" s="190"/>
      <c r="AA23" s="153"/>
      <c r="AB23" s="154">
        <f t="shared" si="3"/>
        <v>0</v>
      </c>
      <c r="AC23" s="149">
        <f t="shared" si="4"/>
        <v>0</v>
      </c>
      <c r="AD23" s="125">
        <v>2</v>
      </c>
      <c r="AE23" s="148">
        <f t="shared" si="5"/>
        <v>2</v>
      </c>
      <c r="AF23" s="156"/>
      <c r="AG23" s="156"/>
      <c r="AH23" s="113">
        <f t="shared" si="6"/>
        <v>17</v>
      </c>
      <c r="AI23" s="157">
        <v>65</v>
      </c>
      <c r="AJ23" s="113">
        <f t="shared" si="7"/>
        <v>82</v>
      </c>
      <c r="AK23" s="113">
        <f t="shared" si="8"/>
        <v>82</v>
      </c>
      <c r="AL23" s="158">
        <f t="shared" si="9"/>
        <v>1.02</v>
      </c>
      <c r="AM23" s="159"/>
      <c r="AN23" s="160">
        <f t="shared" si="10"/>
        <v>1</v>
      </c>
      <c r="AO23" s="160">
        <f t="shared" si="10"/>
        <v>2</v>
      </c>
      <c r="AP23" s="133"/>
      <c r="AQ23" s="134"/>
      <c r="AR23" s="161"/>
      <c r="AS23" s="161"/>
      <c r="AT23" s="161"/>
      <c r="AU23" s="161"/>
      <c r="AV23" s="162"/>
      <c r="AW23" s="137">
        <f t="shared" si="11"/>
        <v>0</v>
      </c>
      <c r="AX23" s="137">
        <f t="shared" si="12"/>
        <v>0</v>
      </c>
    </row>
    <row r="24" ht="46.5" customHeight="1" spans="1:50" s="97" customFormat="1" x14ac:dyDescent="0.25">
      <c r="A24" s="100"/>
      <c r="B24" s="100"/>
      <c r="C24" s="100"/>
      <c r="D24" s="100"/>
      <c r="E24" s="100"/>
      <c r="F24" s="100"/>
      <c r="G24" s="103"/>
      <c r="H24" s="186"/>
      <c r="I24" s="195">
        <v>0.51</v>
      </c>
      <c r="J24" s="107">
        <v>0.49</v>
      </c>
      <c r="K24" s="107"/>
      <c r="L24" s="107"/>
      <c r="M24" s="187"/>
      <c r="N24" s="169">
        <f t="shared" si="0"/>
        <v>1</v>
      </c>
      <c r="O24" s="144">
        <v>1</v>
      </c>
      <c r="P24" s="145">
        <v>15</v>
      </c>
      <c r="Q24" s="113">
        <v>15</v>
      </c>
      <c r="R24" s="113"/>
      <c r="S24" s="113"/>
      <c r="T24" s="146"/>
      <c r="U24" s="148">
        <f t="shared" si="1"/>
        <v>15</v>
      </c>
      <c r="V24" s="149">
        <f t="shared" si="2"/>
        <v>15</v>
      </c>
      <c r="W24" s="189"/>
      <c r="X24" s="199"/>
      <c r="Y24" s="151"/>
      <c r="Z24" s="190"/>
      <c r="AA24" s="153"/>
      <c r="AB24" s="154">
        <f t="shared" si="3"/>
        <v>0</v>
      </c>
      <c r="AC24" s="149">
        <f t="shared" si="4"/>
        <v>0</v>
      </c>
      <c r="AD24" s="125">
        <v>2</v>
      </c>
      <c r="AE24" s="148">
        <f t="shared" si="5"/>
        <v>2</v>
      </c>
      <c r="AF24" s="156"/>
      <c r="AG24" s="156"/>
      <c r="AH24" s="113">
        <f t="shared" si="6"/>
        <v>17</v>
      </c>
      <c r="AI24" s="157">
        <v>65</v>
      </c>
      <c r="AJ24" s="113">
        <f t="shared" si="7"/>
        <v>82</v>
      </c>
      <c r="AK24" s="113">
        <f t="shared" si="8"/>
        <v>82</v>
      </c>
      <c r="AL24" s="158">
        <f t="shared" si="9"/>
        <v>1.02</v>
      </c>
      <c r="AM24" s="159"/>
      <c r="AN24" s="160">
        <f t="shared" si="10"/>
        <v>1</v>
      </c>
      <c r="AO24" s="160">
        <f t="shared" si="10"/>
        <v>2</v>
      </c>
      <c r="AP24" s="133"/>
      <c r="AQ24" s="134"/>
      <c r="AR24" s="161"/>
      <c r="AS24" s="161"/>
      <c r="AT24" s="161"/>
      <c r="AU24" s="161"/>
      <c r="AV24" s="162"/>
      <c r="AW24" s="137">
        <f t="shared" si="11"/>
        <v>0</v>
      </c>
      <c r="AX24" s="137">
        <f t="shared" si="12"/>
        <v>0</v>
      </c>
    </row>
    <row r="25" ht="46.5" customHeight="1" spans="1:50" s="97" customFormat="1" x14ac:dyDescent="0.25">
      <c r="A25" s="100"/>
      <c r="B25" s="100"/>
      <c r="C25" s="100"/>
      <c r="D25" s="100"/>
      <c r="E25" s="100"/>
      <c r="F25" s="100"/>
      <c r="G25" s="103"/>
      <c r="H25" s="186"/>
      <c r="I25" s="195">
        <v>0.51</v>
      </c>
      <c r="J25" s="107">
        <v>0.49</v>
      </c>
      <c r="K25" s="107"/>
      <c r="L25" s="107"/>
      <c r="M25" s="187"/>
      <c r="N25" s="169">
        <f t="shared" si="0"/>
        <v>1</v>
      </c>
      <c r="O25" s="144">
        <v>1</v>
      </c>
      <c r="P25" s="145">
        <v>15</v>
      </c>
      <c r="Q25" s="113">
        <v>15</v>
      </c>
      <c r="R25" s="113"/>
      <c r="S25" s="113"/>
      <c r="T25" s="146"/>
      <c r="U25" s="148">
        <f t="shared" si="1"/>
        <v>15</v>
      </c>
      <c r="V25" s="149">
        <f t="shared" si="2"/>
        <v>15</v>
      </c>
      <c r="W25" s="189"/>
      <c r="X25" s="199"/>
      <c r="Y25" s="151"/>
      <c r="Z25" s="190"/>
      <c r="AA25" s="153"/>
      <c r="AB25" s="154">
        <f t="shared" si="3"/>
        <v>0</v>
      </c>
      <c r="AC25" s="149">
        <f t="shared" si="4"/>
        <v>0</v>
      </c>
      <c r="AD25" s="125">
        <v>2</v>
      </c>
      <c r="AE25" s="148">
        <f t="shared" si="5"/>
        <v>2</v>
      </c>
      <c r="AF25" s="156"/>
      <c r="AG25" s="156"/>
      <c r="AH25" s="113">
        <f t="shared" si="6"/>
        <v>17</v>
      </c>
      <c r="AI25" s="157">
        <v>65</v>
      </c>
      <c r="AJ25" s="113">
        <f t="shared" si="7"/>
        <v>82</v>
      </c>
      <c r="AK25" s="113">
        <f t="shared" si="8"/>
        <v>82</v>
      </c>
      <c r="AL25" s="158">
        <f t="shared" si="9"/>
        <v>1.02</v>
      </c>
      <c r="AM25" s="159"/>
      <c r="AN25" s="160">
        <f t="shared" si="10"/>
        <v>1</v>
      </c>
      <c r="AO25" s="160">
        <f t="shared" si="10"/>
        <v>2</v>
      </c>
      <c r="AP25" s="133"/>
      <c r="AQ25" s="134"/>
      <c r="AR25" s="161"/>
      <c r="AS25" s="161"/>
      <c r="AT25" s="161"/>
      <c r="AU25" s="161"/>
      <c r="AV25" s="162"/>
      <c r="AW25" s="137">
        <f t="shared" si="11"/>
        <v>0</v>
      </c>
      <c r="AX25" s="137">
        <f t="shared" si="12"/>
        <v>0</v>
      </c>
    </row>
    <row r="26" ht="46.5" customHeight="1" spans="1:50" s="97" customFormat="1" x14ac:dyDescent="0.25">
      <c r="A26" s="100"/>
      <c r="B26" s="100"/>
      <c r="C26" s="100"/>
      <c r="D26" s="100"/>
      <c r="E26" s="100"/>
      <c r="F26" s="100"/>
      <c r="G26" s="103"/>
      <c r="H26" s="186"/>
      <c r="I26" s="195">
        <v>0.51</v>
      </c>
      <c r="J26" s="107">
        <v>0.49</v>
      </c>
      <c r="K26" s="107"/>
      <c r="L26" s="107"/>
      <c r="M26" s="187"/>
      <c r="N26" s="169">
        <f t="shared" si="0"/>
        <v>1</v>
      </c>
      <c r="O26" s="144">
        <v>1</v>
      </c>
      <c r="P26" s="145">
        <v>15</v>
      </c>
      <c r="Q26" s="113">
        <v>15</v>
      </c>
      <c r="R26" s="113"/>
      <c r="S26" s="113"/>
      <c r="T26" s="146"/>
      <c r="U26" s="148">
        <f t="shared" si="1"/>
        <v>15</v>
      </c>
      <c r="V26" s="149">
        <f t="shared" si="2"/>
        <v>15</v>
      </c>
      <c r="W26" s="189"/>
      <c r="X26" s="199"/>
      <c r="Y26" s="151"/>
      <c r="Z26" s="190"/>
      <c r="AA26" s="153"/>
      <c r="AB26" s="154">
        <f t="shared" si="3"/>
        <v>0</v>
      </c>
      <c r="AC26" s="149">
        <f t="shared" si="4"/>
        <v>0</v>
      </c>
      <c r="AD26" s="125">
        <v>2</v>
      </c>
      <c r="AE26" s="148">
        <f t="shared" si="5"/>
        <v>2</v>
      </c>
      <c r="AF26" s="156"/>
      <c r="AG26" s="156"/>
      <c r="AH26" s="113">
        <f t="shared" si="6"/>
        <v>17</v>
      </c>
      <c r="AI26" s="157">
        <v>65</v>
      </c>
      <c r="AJ26" s="113">
        <f t="shared" si="7"/>
        <v>82</v>
      </c>
      <c r="AK26" s="113">
        <f t="shared" si="8"/>
        <v>82</v>
      </c>
      <c r="AL26" s="158">
        <f t="shared" si="9"/>
        <v>1.02</v>
      </c>
      <c r="AM26" s="159"/>
      <c r="AN26" s="160">
        <f t="shared" si="10"/>
        <v>1</v>
      </c>
      <c r="AO26" s="160">
        <f t="shared" si="10"/>
        <v>2</v>
      </c>
      <c r="AP26" s="133"/>
      <c r="AQ26" s="134"/>
      <c r="AR26" s="161"/>
      <c r="AS26" s="161"/>
      <c r="AT26" s="161"/>
      <c r="AU26" s="161"/>
      <c r="AV26" s="162"/>
      <c r="AW26" s="137">
        <f t="shared" si="11"/>
        <v>0</v>
      </c>
      <c r="AX26" s="137">
        <f t="shared" si="12"/>
        <v>0</v>
      </c>
    </row>
    <row r="27" ht="46.5" customHeight="1" spans="1:50" s="97" customFormat="1" x14ac:dyDescent="0.25">
      <c r="A27" s="100"/>
      <c r="B27" s="100"/>
      <c r="C27" s="100"/>
      <c r="D27" s="100"/>
      <c r="E27" s="100"/>
      <c r="F27" s="100"/>
      <c r="G27" s="103"/>
      <c r="H27" s="186"/>
      <c r="I27" s="195">
        <v>0.51</v>
      </c>
      <c r="J27" s="107">
        <v>0.49</v>
      </c>
      <c r="K27" s="107"/>
      <c r="L27" s="107"/>
      <c r="M27" s="187"/>
      <c r="N27" s="169">
        <f t="shared" si="0"/>
        <v>1</v>
      </c>
      <c r="O27" s="144">
        <v>1</v>
      </c>
      <c r="P27" s="145">
        <v>15</v>
      </c>
      <c r="Q27" s="113">
        <v>15</v>
      </c>
      <c r="R27" s="113"/>
      <c r="S27" s="113"/>
      <c r="T27" s="146"/>
      <c r="U27" s="148">
        <f t="shared" si="1"/>
        <v>15</v>
      </c>
      <c r="V27" s="149">
        <f t="shared" si="2"/>
        <v>15</v>
      </c>
      <c r="W27" s="189"/>
      <c r="X27" s="199"/>
      <c r="Y27" s="151"/>
      <c r="Z27" s="190"/>
      <c r="AA27" s="153"/>
      <c r="AB27" s="154">
        <f t="shared" si="3"/>
        <v>0</v>
      </c>
      <c r="AC27" s="149">
        <f t="shared" si="4"/>
        <v>0</v>
      </c>
      <c r="AD27" s="125">
        <v>2</v>
      </c>
      <c r="AE27" s="148">
        <f t="shared" si="5"/>
        <v>2</v>
      </c>
      <c r="AF27" s="156"/>
      <c r="AG27" s="156"/>
      <c r="AH27" s="113">
        <f t="shared" si="6"/>
        <v>17</v>
      </c>
      <c r="AI27" s="157">
        <v>65</v>
      </c>
      <c r="AJ27" s="113">
        <f t="shared" si="7"/>
        <v>82</v>
      </c>
      <c r="AK27" s="113">
        <f t="shared" si="8"/>
        <v>82</v>
      </c>
      <c r="AL27" s="158">
        <f t="shared" si="9"/>
        <v>1.02</v>
      </c>
      <c r="AM27" s="159"/>
      <c r="AN27" s="160">
        <f t="shared" si="10"/>
        <v>1</v>
      </c>
      <c r="AO27" s="160">
        <f t="shared" si="10"/>
        <v>2</v>
      </c>
      <c r="AP27" s="133"/>
      <c r="AQ27" s="134"/>
      <c r="AR27" s="161"/>
      <c r="AS27" s="161"/>
      <c r="AT27" s="161"/>
      <c r="AU27" s="161"/>
      <c r="AV27" s="162"/>
      <c r="AW27" s="137">
        <f t="shared" si="11"/>
        <v>0</v>
      </c>
      <c r="AX27" s="137">
        <f t="shared" si="12"/>
        <v>0</v>
      </c>
    </row>
    <row r="28" ht="46.5" customHeight="1" spans="1:50" s="97" customFormat="1" x14ac:dyDescent="0.25">
      <c r="A28" s="100"/>
      <c r="B28" s="100"/>
      <c r="C28" s="100"/>
      <c r="D28" s="100"/>
      <c r="E28" s="100"/>
      <c r="F28" s="100"/>
      <c r="G28" s="103"/>
      <c r="H28" s="186"/>
      <c r="I28" s="195">
        <v>0.51</v>
      </c>
      <c r="J28" s="107">
        <v>0.49</v>
      </c>
      <c r="K28" s="107"/>
      <c r="L28" s="107"/>
      <c r="M28" s="187"/>
      <c r="N28" s="169">
        <f t="shared" si="0"/>
        <v>1</v>
      </c>
      <c r="O28" s="144">
        <v>1</v>
      </c>
      <c r="P28" s="145">
        <v>15</v>
      </c>
      <c r="Q28" s="113">
        <v>15</v>
      </c>
      <c r="R28" s="113"/>
      <c r="S28" s="113"/>
      <c r="T28" s="146"/>
      <c r="U28" s="148">
        <f t="shared" si="1"/>
        <v>15</v>
      </c>
      <c r="V28" s="149">
        <f t="shared" si="2"/>
        <v>15</v>
      </c>
      <c r="W28" s="189"/>
      <c r="X28" s="199"/>
      <c r="Y28" s="151"/>
      <c r="Z28" s="190"/>
      <c r="AA28" s="153"/>
      <c r="AB28" s="154">
        <f t="shared" si="3"/>
        <v>0</v>
      </c>
      <c r="AC28" s="149">
        <f t="shared" si="4"/>
        <v>0</v>
      </c>
      <c r="AD28" s="125">
        <v>2</v>
      </c>
      <c r="AE28" s="148">
        <f t="shared" si="5"/>
        <v>2</v>
      </c>
      <c r="AF28" s="156"/>
      <c r="AG28" s="156"/>
      <c r="AH28" s="113">
        <f t="shared" si="6"/>
        <v>17</v>
      </c>
      <c r="AI28" s="157">
        <v>65</v>
      </c>
      <c r="AJ28" s="113">
        <f t="shared" si="7"/>
        <v>82</v>
      </c>
      <c r="AK28" s="113">
        <f t="shared" si="8"/>
        <v>82</v>
      </c>
      <c r="AL28" s="158">
        <f t="shared" si="9"/>
        <v>1.02</v>
      </c>
      <c r="AM28" s="159"/>
      <c r="AN28" s="160">
        <f t="shared" si="10"/>
        <v>1</v>
      </c>
      <c r="AO28" s="160">
        <f t="shared" si="10"/>
        <v>2</v>
      </c>
      <c r="AP28" s="133"/>
      <c r="AQ28" s="134"/>
      <c r="AR28" s="161"/>
      <c r="AS28" s="161"/>
      <c r="AT28" s="161"/>
      <c r="AU28" s="161"/>
      <c r="AV28" s="162"/>
      <c r="AW28" s="137">
        <f t="shared" si="11"/>
        <v>0</v>
      </c>
      <c r="AX28" s="137">
        <f t="shared" si="12"/>
        <v>0</v>
      </c>
    </row>
    <row r="29" ht="46.5" customHeight="1" spans="1:50" s="97" customFormat="1" x14ac:dyDescent="0.25">
      <c r="A29" s="100"/>
      <c r="B29" s="100"/>
      <c r="C29" s="100"/>
      <c r="D29" s="100"/>
      <c r="E29" s="100"/>
      <c r="F29" s="100"/>
      <c r="G29" s="103"/>
      <c r="H29" s="186"/>
      <c r="I29" s="195">
        <v>0.51</v>
      </c>
      <c r="J29" s="107">
        <v>0.49</v>
      </c>
      <c r="K29" s="107"/>
      <c r="L29" s="107"/>
      <c r="M29" s="187"/>
      <c r="N29" s="169">
        <f t="shared" si="0"/>
        <v>1</v>
      </c>
      <c r="O29" s="144">
        <v>1</v>
      </c>
      <c r="P29" s="145">
        <v>15</v>
      </c>
      <c r="Q29" s="113">
        <v>15</v>
      </c>
      <c r="R29" s="113"/>
      <c r="S29" s="113"/>
      <c r="T29" s="146"/>
      <c r="U29" s="148">
        <f t="shared" si="1"/>
        <v>15</v>
      </c>
      <c r="V29" s="149">
        <f t="shared" si="2"/>
        <v>15</v>
      </c>
      <c r="W29" s="189"/>
      <c r="X29" s="199"/>
      <c r="Y29" s="151"/>
      <c r="Z29" s="190"/>
      <c r="AA29" s="153"/>
      <c r="AB29" s="154">
        <f t="shared" si="3"/>
        <v>0</v>
      </c>
      <c r="AC29" s="149">
        <f t="shared" si="4"/>
        <v>0</v>
      </c>
      <c r="AD29" s="125">
        <v>2</v>
      </c>
      <c r="AE29" s="148">
        <f t="shared" si="5"/>
        <v>2</v>
      </c>
      <c r="AF29" s="156"/>
      <c r="AG29" s="156"/>
      <c r="AH29" s="113">
        <f t="shared" si="6"/>
        <v>17</v>
      </c>
      <c r="AI29" s="157">
        <v>65</v>
      </c>
      <c r="AJ29" s="113">
        <f t="shared" si="7"/>
        <v>82</v>
      </c>
      <c r="AK29" s="113">
        <f t="shared" si="8"/>
        <v>82</v>
      </c>
      <c r="AL29" s="158">
        <f t="shared" si="9"/>
        <v>1.02</v>
      </c>
      <c r="AM29" s="159"/>
      <c r="AN29" s="160">
        <f t="shared" si="10"/>
        <v>1</v>
      </c>
      <c r="AO29" s="160">
        <f t="shared" si="10"/>
        <v>2</v>
      </c>
      <c r="AP29" s="133"/>
      <c r="AQ29" s="134"/>
      <c r="AR29" s="161"/>
      <c r="AS29" s="161"/>
      <c r="AT29" s="161"/>
      <c r="AU29" s="161"/>
      <c r="AV29" s="162"/>
      <c r="AW29" s="137">
        <f t="shared" si="11"/>
        <v>0</v>
      </c>
      <c r="AX29" s="137">
        <f t="shared" si="12"/>
        <v>0</v>
      </c>
    </row>
    <row r="30" ht="46.5" customHeight="1" spans="1:50" s="97" customFormat="1" x14ac:dyDescent="0.25">
      <c r="A30" s="100"/>
      <c r="B30" s="100"/>
      <c r="C30" s="100"/>
      <c r="D30" s="100"/>
      <c r="E30" s="100"/>
      <c r="F30" s="100"/>
      <c r="G30" s="103"/>
      <c r="H30" s="186"/>
      <c r="I30" s="195">
        <v>0.51</v>
      </c>
      <c r="J30" s="107">
        <v>0.49</v>
      </c>
      <c r="K30" s="107"/>
      <c r="L30" s="107"/>
      <c r="M30" s="187"/>
      <c r="N30" s="169">
        <f t="shared" si="0"/>
        <v>1</v>
      </c>
      <c r="O30" s="144">
        <v>1</v>
      </c>
      <c r="P30" s="145">
        <v>15</v>
      </c>
      <c r="Q30" s="113">
        <v>15</v>
      </c>
      <c r="R30" s="113"/>
      <c r="S30" s="113"/>
      <c r="T30" s="146"/>
      <c r="U30" s="148">
        <f t="shared" si="1"/>
        <v>15</v>
      </c>
      <c r="V30" s="149">
        <f t="shared" si="2"/>
        <v>15</v>
      </c>
      <c r="W30" s="189"/>
      <c r="X30" s="199"/>
      <c r="Y30" s="151"/>
      <c r="Z30" s="190"/>
      <c r="AA30" s="153"/>
      <c r="AB30" s="154">
        <f t="shared" si="3"/>
        <v>0</v>
      </c>
      <c r="AC30" s="149">
        <f t="shared" si="4"/>
        <v>0</v>
      </c>
      <c r="AD30" s="125">
        <v>2</v>
      </c>
      <c r="AE30" s="148">
        <f t="shared" si="5"/>
        <v>2</v>
      </c>
      <c r="AF30" s="156"/>
      <c r="AG30" s="156"/>
      <c r="AH30" s="113">
        <f t="shared" si="6"/>
        <v>17</v>
      </c>
      <c r="AI30" s="157">
        <v>65</v>
      </c>
      <c r="AJ30" s="113">
        <f t="shared" si="7"/>
        <v>82</v>
      </c>
      <c r="AK30" s="113">
        <f t="shared" si="8"/>
        <v>82</v>
      </c>
      <c r="AL30" s="158">
        <f t="shared" si="9"/>
        <v>1.02</v>
      </c>
      <c r="AM30" s="159"/>
      <c r="AN30" s="160">
        <f t="shared" si="10"/>
        <v>1</v>
      </c>
      <c r="AO30" s="160">
        <f t="shared" si="10"/>
        <v>2</v>
      </c>
      <c r="AP30" s="133"/>
      <c r="AQ30" s="134"/>
      <c r="AR30" s="161"/>
      <c r="AS30" s="161"/>
      <c r="AT30" s="161"/>
      <c r="AU30" s="161"/>
      <c r="AV30" s="162"/>
      <c r="AW30" s="137">
        <f t="shared" si="11"/>
        <v>0</v>
      </c>
      <c r="AX30" s="137">
        <f t="shared" si="12"/>
        <v>0</v>
      </c>
    </row>
    <row r="31" ht="46.5" customHeight="1" spans="1:50" s="97" customFormat="1" x14ac:dyDescent="0.25">
      <c r="A31" s="100"/>
      <c r="B31" s="100"/>
      <c r="C31" s="100"/>
      <c r="D31" s="100"/>
      <c r="E31" s="100"/>
      <c r="F31" s="100"/>
      <c r="G31" s="103"/>
      <c r="H31" s="186"/>
      <c r="I31" s="195">
        <v>0.51</v>
      </c>
      <c r="J31" s="107">
        <v>0.49</v>
      </c>
      <c r="K31" s="107"/>
      <c r="L31" s="107"/>
      <c r="M31" s="187"/>
      <c r="N31" s="169">
        <f t="shared" si="0"/>
        <v>1</v>
      </c>
      <c r="O31" s="144">
        <v>1</v>
      </c>
      <c r="P31" s="145">
        <v>15</v>
      </c>
      <c r="Q31" s="113">
        <v>15</v>
      </c>
      <c r="R31" s="113"/>
      <c r="S31" s="113"/>
      <c r="T31" s="146"/>
      <c r="U31" s="148">
        <f t="shared" si="1"/>
        <v>15</v>
      </c>
      <c r="V31" s="149">
        <f t="shared" si="2"/>
        <v>15</v>
      </c>
      <c r="W31" s="189"/>
      <c r="X31" s="199"/>
      <c r="Y31" s="151"/>
      <c r="Z31" s="190"/>
      <c r="AA31" s="153"/>
      <c r="AB31" s="154">
        <f t="shared" si="3"/>
        <v>0</v>
      </c>
      <c r="AC31" s="149">
        <f t="shared" si="4"/>
        <v>0</v>
      </c>
      <c r="AD31" s="125">
        <v>2</v>
      </c>
      <c r="AE31" s="148">
        <f t="shared" si="5"/>
        <v>2</v>
      </c>
      <c r="AF31" s="156"/>
      <c r="AG31" s="156"/>
      <c r="AH31" s="113">
        <f t="shared" si="6"/>
        <v>17</v>
      </c>
      <c r="AI31" s="157">
        <v>65</v>
      </c>
      <c r="AJ31" s="113">
        <f t="shared" si="7"/>
        <v>82</v>
      </c>
      <c r="AK31" s="113">
        <f t="shared" si="8"/>
        <v>82</v>
      </c>
      <c r="AL31" s="158">
        <f t="shared" si="9"/>
        <v>1.02</v>
      </c>
      <c r="AM31" s="159"/>
      <c r="AN31" s="160">
        <f t="shared" ref="AN31:AO50" si="13">100%+AM31</f>
        <v>1</v>
      </c>
      <c r="AO31" s="160">
        <f t="shared" si="13"/>
        <v>2</v>
      </c>
      <c r="AP31" s="133"/>
      <c r="AQ31" s="134"/>
      <c r="AR31" s="161"/>
      <c r="AS31" s="161"/>
      <c r="AT31" s="161"/>
      <c r="AU31" s="161"/>
      <c r="AV31" s="162"/>
      <c r="AW31" s="137">
        <f t="shared" si="11"/>
        <v>0</v>
      </c>
      <c r="AX31" s="137">
        <f t="shared" si="12"/>
        <v>0</v>
      </c>
    </row>
    <row r="32" ht="46.5" customHeight="1" spans="1:50" s="97" customFormat="1" x14ac:dyDescent="0.25">
      <c r="A32" s="100"/>
      <c r="B32" s="100"/>
      <c r="C32" s="100"/>
      <c r="D32" s="100"/>
      <c r="E32" s="100"/>
      <c r="F32" s="100"/>
      <c r="G32" s="103"/>
      <c r="H32" s="186"/>
      <c r="I32" s="195">
        <v>0.51</v>
      </c>
      <c r="J32" s="107">
        <v>0.49</v>
      </c>
      <c r="K32" s="107"/>
      <c r="L32" s="107"/>
      <c r="M32" s="187"/>
      <c r="N32" s="169">
        <f t="shared" si="0"/>
        <v>1</v>
      </c>
      <c r="O32" s="144">
        <v>1</v>
      </c>
      <c r="P32" s="145">
        <v>15</v>
      </c>
      <c r="Q32" s="113">
        <v>15</v>
      </c>
      <c r="R32" s="113"/>
      <c r="S32" s="113"/>
      <c r="T32" s="146"/>
      <c r="U32" s="148">
        <f t="shared" si="1"/>
        <v>15</v>
      </c>
      <c r="V32" s="149">
        <f t="shared" si="2"/>
        <v>15</v>
      </c>
      <c r="W32" s="189"/>
      <c r="X32" s="199"/>
      <c r="Y32" s="151"/>
      <c r="Z32" s="190"/>
      <c r="AA32" s="153"/>
      <c r="AB32" s="154">
        <f t="shared" si="3"/>
        <v>0</v>
      </c>
      <c r="AC32" s="149">
        <f t="shared" si="4"/>
        <v>0</v>
      </c>
      <c r="AD32" s="125">
        <v>2</v>
      </c>
      <c r="AE32" s="148">
        <f t="shared" si="5"/>
        <v>2</v>
      </c>
      <c r="AF32" s="156"/>
      <c r="AG32" s="156"/>
      <c r="AH32" s="113">
        <f t="shared" si="6"/>
        <v>17</v>
      </c>
      <c r="AI32" s="157">
        <v>65</v>
      </c>
      <c r="AJ32" s="113">
        <f t="shared" si="7"/>
        <v>82</v>
      </c>
      <c r="AK32" s="113">
        <f t="shared" si="8"/>
        <v>82</v>
      </c>
      <c r="AL32" s="158">
        <f t="shared" si="9"/>
        <v>1.02</v>
      </c>
      <c r="AM32" s="159"/>
      <c r="AN32" s="160">
        <f t="shared" si="13"/>
        <v>1</v>
      </c>
      <c r="AO32" s="160">
        <f t="shared" si="13"/>
        <v>2</v>
      </c>
      <c r="AP32" s="133"/>
      <c r="AQ32" s="134"/>
      <c r="AR32" s="161"/>
      <c r="AS32" s="161"/>
      <c r="AT32" s="161"/>
      <c r="AU32" s="161"/>
      <c r="AV32" s="162"/>
      <c r="AW32" s="137">
        <f t="shared" si="11"/>
        <v>0</v>
      </c>
      <c r="AX32" s="137">
        <f t="shared" si="12"/>
        <v>0</v>
      </c>
    </row>
    <row r="33" ht="46.5" customHeight="1" spans="1:50" s="97" customFormat="1" x14ac:dyDescent="0.25">
      <c r="A33" s="100"/>
      <c r="B33" s="100"/>
      <c r="C33" s="100"/>
      <c r="D33" s="100"/>
      <c r="E33" s="100"/>
      <c r="F33" s="100"/>
      <c r="G33" s="103"/>
      <c r="H33" s="186"/>
      <c r="I33" s="195">
        <v>0.51</v>
      </c>
      <c r="J33" s="107">
        <v>0.49</v>
      </c>
      <c r="K33" s="107"/>
      <c r="L33" s="107"/>
      <c r="M33" s="187"/>
      <c r="N33" s="169">
        <f t="shared" si="0"/>
        <v>1</v>
      </c>
      <c r="O33" s="144">
        <v>1</v>
      </c>
      <c r="P33" s="145">
        <v>15</v>
      </c>
      <c r="Q33" s="113">
        <v>15</v>
      </c>
      <c r="R33" s="113"/>
      <c r="S33" s="113"/>
      <c r="T33" s="146"/>
      <c r="U33" s="148">
        <f t="shared" si="1"/>
        <v>15</v>
      </c>
      <c r="V33" s="149">
        <f t="shared" si="2"/>
        <v>15</v>
      </c>
      <c r="W33" s="189"/>
      <c r="X33" s="199"/>
      <c r="Y33" s="151"/>
      <c r="Z33" s="190"/>
      <c r="AA33" s="153"/>
      <c r="AB33" s="154">
        <f t="shared" si="3"/>
        <v>0</v>
      </c>
      <c r="AC33" s="149">
        <f t="shared" si="4"/>
        <v>0</v>
      </c>
      <c r="AD33" s="125">
        <v>2</v>
      </c>
      <c r="AE33" s="148">
        <f t="shared" si="5"/>
        <v>2</v>
      </c>
      <c r="AF33" s="156"/>
      <c r="AG33" s="156"/>
      <c r="AH33" s="113">
        <f t="shared" si="6"/>
        <v>17</v>
      </c>
      <c r="AI33" s="157">
        <v>65</v>
      </c>
      <c r="AJ33" s="113">
        <f t="shared" si="7"/>
        <v>82</v>
      </c>
      <c r="AK33" s="113">
        <f t="shared" si="8"/>
        <v>82</v>
      </c>
      <c r="AL33" s="158">
        <f t="shared" si="9"/>
        <v>1.02</v>
      </c>
      <c r="AM33" s="159"/>
      <c r="AN33" s="160">
        <f t="shared" si="13"/>
        <v>1</v>
      </c>
      <c r="AO33" s="160">
        <f t="shared" si="13"/>
        <v>2</v>
      </c>
      <c r="AP33" s="133"/>
      <c r="AQ33" s="134"/>
      <c r="AR33" s="161"/>
      <c r="AS33" s="161"/>
      <c r="AT33" s="161"/>
      <c r="AU33" s="161"/>
      <c r="AV33" s="162"/>
      <c r="AW33" s="137">
        <f t="shared" si="11"/>
        <v>0</v>
      </c>
      <c r="AX33" s="137">
        <f t="shared" si="12"/>
        <v>0</v>
      </c>
    </row>
    <row r="34" ht="46.5" customHeight="1" spans="1:50" s="97" customFormat="1" x14ac:dyDescent="0.25">
      <c r="A34" s="100"/>
      <c r="B34" s="100"/>
      <c r="C34" s="100"/>
      <c r="D34" s="100"/>
      <c r="E34" s="100"/>
      <c r="F34" s="100"/>
      <c r="G34" s="103"/>
      <c r="H34" s="186"/>
      <c r="I34" s="195">
        <v>0.51</v>
      </c>
      <c r="J34" s="107">
        <v>0.49</v>
      </c>
      <c r="K34" s="107"/>
      <c r="L34" s="107"/>
      <c r="M34" s="187"/>
      <c r="N34" s="169">
        <f t="shared" si="0"/>
        <v>1</v>
      </c>
      <c r="O34" s="144">
        <v>1</v>
      </c>
      <c r="P34" s="145">
        <v>15</v>
      </c>
      <c r="Q34" s="113">
        <v>15</v>
      </c>
      <c r="R34" s="113"/>
      <c r="S34" s="113"/>
      <c r="T34" s="146"/>
      <c r="U34" s="148">
        <f t="shared" si="1"/>
        <v>15</v>
      </c>
      <c r="V34" s="149">
        <f t="shared" si="2"/>
        <v>15</v>
      </c>
      <c r="W34" s="189"/>
      <c r="X34" s="199"/>
      <c r="Y34" s="151"/>
      <c r="Z34" s="190"/>
      <c r="AA34" s="153"/>
      <c r="AB34" s="154">
        <f t="shared" si="3"/>
        <v>0</v>
      </c>
      <c r="AC34" s="149">
        <f t="shared" si="4"/>
        <v>0</v>
      </c>
      <c r="AD34" s="125">
        <v>2</v>
      </c>
      <c r="AE34" s="148">
        <f t="shared" si="5"/>
        <v>2</v>
      </c>
      <c r="AF34" s="156"/>
      <c r="AG34" s="156"/>
      <c r="AH34" s="113">
        <f t="shared" si="6"/>
        <v>17</v>
      </c>
      <c r="AI34" s="157">
        <v>65</v>
      </c>
      <c r="AJ34" s="113">
        <f t="shared" si="7"/>
        <v>82</v>
      </c>
      <c r="AK34" s="113">
        <f t="shared" si="8"/>
        <v>82</v>
      </c>
      <c r="AL34" s="158">
        <f t="shared" si="9"/>
        <v>1.02</v>
      </c>
      <c r="AM34" s="159"/>
      <c r="AN34" s="160">
        <f t="shared" si="13"/>
        <v>1</v>
      </c>
      <c r="AO34" s="160">
        <f t="shared" si="13"/>
        <v>2</v>
      </c>
      <c r="AP34" s="133"/>
      <c r="AQ34" s="134"/>
      <c r="AR34" s="161"/>
      <c r="AS34" s="161"/>
      <c r="AT34" s="161"/>
      <c r="AU34" s="161"/>
      <c r="AV34" s="162"/>
      <c r="AW34" s="137">
        <f t="shared" si="11"/>
        <v>0</v>
      </c>
      <c r="AX34" s="137">
        <f t="shared" si="12"/>
        <v>0</v>
      </c>
    </row>
    <row r="35" ht="46.5" customHeight="1" spans="1:50" s="97" customFormat="1" x14ac:dyDescent="0.25">
      <c r="A35" s="100"/>
      <c r="B35" s="100"/>
      <c r="C35" s="100"/>
      <c r="D35" s="100"/>
      <c r="E35" s="100"/>
      <c r="F35" s="100"/>
      <c r="G35" s="103"/>
      <c r="H35" s="186"/>
      <c r="I35" s="195">
        <v>0.51</v>
      </c>
      <c r="J35" s="107">
        <v>0.49</v>
      </c>
      <c r="K35" s="107"/>
      <c r="L35" s="107"/>
      <c r="M35" s="187"/>
      <c r="N35" s="169">
        <f t="shared" si="0"/>
        <v>1</v>
      </c>
      <c r="O35" s="144">
        <v>1</v>
      </c>
      <c r="P35" s="145">
        <v>15</v>
      </c>
      <c r="Q35" s="113">
        <v>15</v>
      </c>
      <c r="R35" s="113"/>
      <c r="S35" s="113"/>
      <c r="T35" s="146"/>
      <c r="U35" s="148">
        <f t="shared" si="1"/>
        <v>15</v>
      </c>
      <c r="V35" s="149">
        <f t="shared" si="2"/>
        <v>15</v>
      </c>
      <c r="W35" s="189"/>
      <c r="X35" s="199"/>
      <c r="Y35" s="151"/>
      <c r="Z35" s="190"/>
      <c r="AA35" s="153"/>
      <c r="AB35" s="154">
        <f t="shared" si="3"/>
        <v>0</v>
      </c>
      <c r="AC35" s="149">
        <f t="shared" si="4"/>
        <v>0</v>
      </c>
      <c r="AD35" s="125">
        <v>2</v>
      </c>
      <c r="AE35" s="148">
        <f t="shared" si="5"/>
        <v>2</v>
      </c>
      <c r="AF35" s="156"/>
      <c r="AG35" s="156"/>
      <c r="AH35" s="113">
        <f t="shared" si="6"/>
        <v>17</v>
      </c>
      <c r="AI35" s="157">
        <v>65</v>
      </c>
      <c r="AJ35" s="113">
        <f t="shared" si="7"/>
        <v>82</v>
      </c>
      <c r="AK35" s="113">
        <f t="shared" si="8"/>
        <v>82</v>
      </c>
      <c r="AL35" s="158">
        <f t="shared" si="9"/>
        <v>1.02</v>
      </c>
      <c r="AM35" s="159"/>
      <c r="AN35" s="160">
        <f t="shared" si="13"/>
        <v>1</v>
      </c>
      <c r="AO35" s="160">
        <f t="shared" si="13"/>
        <v>2</v>
      </c>
      <c r="AP35" s="133"/>
      <c r="AQ35" s="134"/>
      <c r="AR35" s="161"/>
      <c r="AS35" s="161"/>
      <c r="AT35" s="161"/>
      <c r="AU35" s="161"/>
      <c r="AV35" s="162"/>
      <c r="AW35" s="137">
        <f t="shared" si="11"/>
        <v>0</v>
      </c>
      <c r="AX35" s="137">
        <f t="shared" si="12"/>
        <v>0</v>
      </c>
    </row>
    <row r="36" ht="46.5" customHeight="1" spans="1:50" s="97" customFormat="1" x14ac:dyDescent="0.25">
      <c r="A36" s="100"/>
      <c r="B36" s="100"/>
      <c r="C36" s="100"/>
      <c r="D36" s="100"/>
      <c r="E36" s="100"/>
      <c r="F36" s="100"/>
      <c r="G36" s="103"/>
      <c r="H36" s="186"/>
      <c r="I36" s="195">
        <v>0.51</v>
      </c>
      <c r="J36" s="107">
        <v>0.49</v>
      </c>
      <c r="K36" s="107"/>
      <c r="L36" s="107"/>
      <c r="M36" s="187"/>
      <c r="N36" s="169">
        <f t="shared" si="0"/>
        <v>1</v>
      </c>
      <c r="O36" s="144">
        <v>1</v>
      </c>
      <c r="P36" s="145">
        <v>15</v>
      </c>
      <c r="Q36" s="113">
        <v>15</v>
      </c>
      <c r="R36" s="113"/>
      <c r="S36" s="113"/>
      <c r="T36" s="146"/>
      <c r="U36" s="148">
        <f t="shared" si="1"/>
        <v>15</v>
      </c>
      <c r="V36" s="149">
        <f t="shared" si="2"/>
        <v>15</v>
      </c>
      <c r="W36" s="189"/>
      <c r="X36" s="199"/>
      <c r="Y36" s="151"/>
      <c r="Z36" s="190"/>
      <c r="AA36" s="153"/>
      <c r="AB36" s="154">
        <f t="shared" si="3"/>
        <v>0</v>
      </c>
      <c r="AC36" s="149">
        <f t="shared" si="4"/>
        <v>0</v>
      </c>
      <c r="AD36" s="125">
        <v>2</v>
      </c>
      <c r="AE36" s="148">
        <f t="shared" si="5"/>
        <v>2</v>
      </c>
      <c r="AF36" s="156"/>
      <c r="AG36" s="156"/>
      <c r="AH36" s="113">
        <f t="shared" si="6"/>
        <v>17</v>
      </c>
      <c r="AI36" s="157">
        <v>65</v>
      </c>
      <c r="AJ36" s="113">
        <f t="shared" si="7"/>
        <v>82</v>
      </c>
      <c r="AK36" s="113">
        <f t="shared" si="8"/>
        <v>82</v>
      </c>
      <c r="AL36" s="158">
        <f t="shared" si="9"/>
        <v>1.02</v>
      </c>
      <c r="AM36" s="159"/>
      <c r="AN36" s="160">
        <f t="shared" si="13"/>
        <v>1</v>
      </c>
      <c r="AO36" s="160">
        <f t="shared" si="13"/>
        <v>2</v>
      </c>
      <c r="AP36" s="133"/>
      <c r="AQ36" s="134"/>
      <c r="AR36" s="161"/>
      <c r="AS36" s="161"/>
      <c r="AT36" s="161"/>
      <c r="AU36" s="161"/>
      <c r="AV36" s="162"/>
      <c r="AW36" s="137">
        <f t="shared" si="11"/>
        <v>0</v>
      </c>
      <c r="AX36" s="137">
        <f t="shared" si="12"/>
        <v>0</v>
      </c>
    </row>
    <row r="37" ht="46.5" customHeight="1" spans="1:50" s="97" customFormat="1" x14ac:dyDescent="0.25">
      <c r="A37" s="100"/>
      <c r="B37" s="100"/>
      <c r="C37" s="100"/>
      <c r="D37" s="100"/>
      <c r="E37" s="100"/>
      <c r="F37" s="100"/>
      <c r="G37" s="103"/>
      <c r="H37" s="186"/>
      <c r="I37" s="195">
        <v>0.51</v>
      </c>
      <c r="J37" s="107">
        <v>0.49</v>
      </c>
      <c r="K37" s="107"/>
      <c r="L37" s="107"/>
      <c r="M37" s="187"/>
      <c r="N37" s="169">
        <f t="shared" si="0"/>
        <v>1</v>
      </c>
      <c r="O37" s="144">
        <v>1</v>
      </c>
      <c r="P37" s="145">
        <v>15</v>
      </c>
      <c r="Q37" s="113">
        <v>15</v>
      </c>
      <c r="R37" s="113"/>
      <c r="S37" s="113"/>
      <c r="T37" s="146"/>
      <c r="U37" s="148">
        <f t="shared" si="1"/>
        <v>15</v>
      </c>
      <c r="V37" s="149">
        <f t="shared" si="2"/>
        <v>15</v>
      </c>
      <c r="W37" s="189"/>
      <c r="X37" s="199"/>
      <c r="Y37" s="151"/>
      <c r="Z37" s="190"/>
      <c r="AA37" s="153"/>
      <c r="AB37" s="154">
        <f t="shared" si="3"/>
        <v>0</v>
      </c>
      <c r="AC37" s="149">
        <f t="shared" si="4"/>
        <v>0</v>
      </c>
      <c r="AD37" s="125">
        <v>2</v>
      </c>
      <c r="AE37" s="148">
        <f t="shared" si="5"/>
        <v>2</v>
      </c>
      <c r="AF37" s="156"/>
      <c r="AG37" s="156"/>
      <c r="AH37" s="113">
        <f t="shared" si="6"/>
        <v>17</v>
      </c>
      <c r="AI37" s="157">
        <v>65</v>
      </c>
      <c r="AJ37" s="113">
        <f t="shared" si="7"/>
        <v>82</v>
      </c>
      <c r="AK37" s="113">
        <f t="shared" si="8"/>
        <v>82</v>
      </c>
      <c r="AL37" s="158">
        <f t="shared" si="9"/>
        <v>1.02</v>
      </c>
      <c r="AM37" s="159"/>
      <c r="AN37" s="160">
        <f t="shared" si="13"/>
        <v>1</v>
      </c>
      <c r="AO37" s="160">
        <f t="shared" si="13"/>
        <v>2</v>
      </c>
      <c r="AP37" s="133"/>
      <c r="AQ37" s="134"/>
      <c r="AR37" s="161"/>
      <c r="AS37" s="161"/>
      <c r="AT37" s="161"/>
      <c r="AU37" s="161"/>
      <c r="AV37" s="162"/>
      <c r="AW37" s="137">
        <f t="shared" si="11"/>
        <v>0</v>
      </c>
      <c r="AX37" s="137">
        <f t="shared" si="12"/>
        <v>0</v>
      </c>
    </row>
    <row r="38" ht="46.5" customHeight="1" spans="1:50" s="97" customFormat="1" x14ac:dyDescent="0.25">
      <c r="A38" s="100"/>
      <c r="B38" s="100"/>
      <c r="C38" s="100"/>
      <c r="D38" s="100"/>
      <c r="E38" s="100"/>
      <c r="F38" s="100"/>
      <c r="G38" s="103"/>
      <c r="H38" s="186"/>
      <c r="I38" s="195">
        <v>0.51</v>
      </c>
      <c r="J38" s="107">
        <v>0.49</v>
      </c>
      <c r="K38" s="107"/>
      <c r="L38" s="107"/>
      <c r="M38" s="187"/>
      <c r="N38" s="169">
        <f t="shared" si="0"/>
        <v>1</v>
      </c>
      <c r="O38" s="144">
        <v>1</v>
      </c>
      <c r="P38" s="145">
        <v>15</v>
      </c>
      <c r="Q38" s="113">
        <v>15</v>
      </c>
      <c r="R38" s="113"/>
      <c r="S38" s="113"/>
      <c r="T38" s="146"/>
      <c r="U38" s="148">
        <f t="shared" si="1"/>
        <v>15</v>
      </c>
      <c r="V38" s="149">
        <f t="shared" si="2"/>
        <v>15</v>
      </c>
      <c r="W38" s="189"/>
      <c r="X38" s="199"/>
      <c r="Y38" s="151"/>
      <c r="Z38" s="190"/>
      <c r="AA38" s="153"/>
      <c r="AB38" s="154">
        <f t="shared" si="3"/>
        <v>0</v>
      </c>
      <c r="AC38" s="149">
        <f t="shared" si="4"/>
        <v>0</v>
      </c>
      <c r="AD38" s="125">
        <v>2</v>
      </c>
      <c r="AE38" s="148">
        <f t="shared" si="5"/>
        <v>2</v>
      </c>
      <c r="AF38" s="156"/>
      <c r="AG38" s="156"/>
      <c r="AH38" s="113">
        <f t="shared" si="6"/>
        <v>17</v>
      </c>
      <c r="AI38" s="157">
        <v>65</v>
      </c>
      <c r="AJ38" s="113">
        <f t="shared" si="7"/>
        <v>82</v>
      </c>
      <c r="AK38" s="113">
        <f t="shared" si="8"/>
        <v>82</v>
      </c>
      <c r="AL38" s="158">
        <f t="shared" si="9"/>
        <v>1.02</v>
      </c>
      <c r="AM38" s="159"/>
      <c r="AN38" s="160">
        <f t="shared" si="13"/>
        <v>1</v>
      </c>
      <c r="AO38" s="160">
        <f t="shared" si="13"/>
        <v>2</v>
      </c>
      <c r="AP38" s="133"/>
      <c r="AQ38" s="134"/>
      <c r="AR38" s="161"/>
      <c r="AS38" s="161"/>
      <c r="AT38" s="161"/>
      <c r="AU38" s="161"/>
      <c r="AV38" s="162"/>
      <c r="AW38" s="137">
        <f t="shared" si="11"/>
        <v>0</v>
      </c>
      <c r="AX38" s="137">
        <f t="shared" si="12"/>
        <v>0</v>
      </c>
    </row>
    <row r="39" ht="46.5" customHeight="1" spans="1:50" s="97" customFormat="1" x14ac:dyDescent="0.25">
      <c r="A39" s="100"/>
      <c r="B39" s="100"/>
      <c r="C39" s="100"/>
      <c r="D39" s="100"/>
      <c r="E39" s="100"/>
      <c r="F39" s="100"/>
      <c r="G39" s="103"/>
      <c r="H39" s="186"/>
      <c r="I39" s="195">
        <v>0.51</v>
      </c>
      <c r="J39" s="107">
        <v>0.49</v>
      </c>
      <c r="K39" s="107"/>
      <c r="L39" s="107"/>
      <c r="M39" s="187"/>
      <c r="N39" s="169">
        <f t="shared" si="0"/>
        <v>1</v>
      </c>
      <c r="O39" s="144">
        <v>1</v>
      </c>
      <c r="P39" s="145">
        <v>15</v>
      </c>
      <c r="Q39" s="113">
        <v>15</v>
      </c>
      <c r="R39" s="113"/>
      <c r="S39" s="113"/>
      <c r="T39" s="146"/>
      <c r="U39" s="148">
        <f t="shared" si="1"/>
        <v>15</v>
      </c>
      <c r="V39" s="149">
        <f t="shared" si="2"/>
        <v>15</v>
      </c>
      <c r="W39" s="189"/>
      <c r="X39" s="199"/>
      <c r="Y39" s="151"/>
      <c r="Z39" s="190"/>
      <c r="AA39" s="153"/>
      <c r="AB39" s="154">
        <f t="shared" si="3"/>
        <v>0</v>
      </c>
      <c r="AC39" s="149">
        <f t="shared" si="4"/>
        <v>0</v>
      </c>
      <c r="AD39" s="125">
        <v>2</v>
      </c>
      <c r="AE39" s="148">
        <f t="shared" si="5"/>
        <v>2</v>
      </c>
      <c r="AF39" s="156"/>
      <c r="AG39" s="156"/>
      <c r="AH39" s="113">
        <f t="shared" si="6"/>
        <v>17</v>
      </c>
      <c r="AI39" s="157">
        <v>65</v>
      </c>
      <c r="AJ39" s="113">
        <f t="shared" si="7"/>
        <v>82</v>
      </c>
      <c r="AK39" s="113">
        <f t="shared" si="8"/>
        <v>82</v>
      </c>
      <c r="AL39" s="158">
        <f t="shared" si="9"/>
        <v>1.02</v>
      </c>
      <c r="AM39" s="159"/>
      <c r="AN39" s="160">
        <f t="shared" si="13"/>
        <v>1</v>
      </c>
      <c r="AO39" s="160">
        <f t="shared" si="13"/>
        <v>2</v>
      </c>
      <c r="AP39" s="133"/>
      <c r="AQ39" s="134"/>
      <c r="AR39" s="161"/>
      <c r="AS39" s="161"/>
      <c r="AT39" s="161"/>
      <c r="AU39" s="161"/>
      <c r="AV39" s="162"/>
      <c r="AW39" s="137">
        <f t="shared" si="11"/>
        <v>0</v>
      </c>
      <c r="AX39" s="137">
        <f t="shared" si="12"/>
        <v>0</v>
      </c>
    </row>
    <row r="40" ht="46.5" customHeight="1" spans="1:50" s="97" customFormat="1" x14ac:dyDescent="0.25">
      <c r="A40" s="100"/>
      <c r="B40" s="100"/>
      <c r="C40" s="100"/>
      <c r="D40" s="100"/>
      <c r="E40" s="100"/>
      <c r="F40" s="100"/>
      <c r="G40" s="103"/>
      <c r="H40" s="186"/>
      <c r="I40" s="195">
        <v>0.51</v>
      </c>
      <c r="J40" s="107">
        <v>0.49</v>
      </c>
      <c r="K40" s="107"/>
      <c r="L40" s="107"/>
      <c r="M40" s="187"/>
      <c r="N40" s="169">
        <f t="shared" si="0"/>
        <v>1</v>
      </c>
      <c r="O40" s="144">
        <v>1</v>
      </c>
      <c r="P40" s="145">
        <v>15</v>
      </c>
      <c r="Q40" s="113">
        <v>15</v>
      </c>
      <c r="R40" s="113"/>
      <c r="S40" s="113"/>
      <c r="T40" s="146"/>
      <c r="U40" s="148">
        <f t="shared" si="1"/>
        <v>15</v>
      </c>
      <c r="V40" s="149">
        <f t="shared" si="2"/>
        <v>15</v>
      </c>
      <c r="W40" s="189"/>
      <c r="X40" s="199"/>
      <c r="Y40" s="151"/>
      <c r="Z40" s="190"/>
      <c r="AA40" s="153"/>
      <c r="AB40" s="154">
        <f t="shared" si="3"/>
        <v>0</v>
      </c>
      <c r="AC40" s="149">
        <f t="shared" si="4"/>
        <v>0</v>
      </c>
      <c r="AD40" s="125">
        <v>2</v>
      </c>
      <c r="AE40" s="148">
        <f t="shared" si="5"/>
        <v>2</v>
      </c>
      <c r="AF40" s="156"/>
      <c r="AG40" s="156"/>
      <c r="AH40" s="113">
        <f t="shared" si="6"/>
        <v>17</v>
      </c>
      <c r="AI40" s="157">
        <v>65</v>
      </c>
      <c r="AJ40" s="113">
        <f t="shared" si="7"/>
        <v>82</v>
      </c>
      <c r="AK40" s="113">
        <f t="shared" si="8"/>
        <v>82</v>
      </c>
      <c r="AL40" s="158">
        <f t="shared" si="9"/>
        <v>1.02</v>
      </c>
      <c r="AM40" s="159"/>
      <c r="AN40" s="160">
        <f t="shared" si="13"/>
        <v>1</v>
      </c>
      <c r="AO40" s="160">
        <f t="shared" si="13"/>
        <v>2</v>
      </c>
      <c r="AP40" s="133"/>
      <c r="AQ40" s="134"/>
      <c r="AR40" s="161"/>
      <c r="AS40" s="161"/>
      <c r="AT40" s="161"/>
      <c r="AU40" s="161"/>
      <c r="AV40" s="162"/>
      <c r="AW40" s="137">
        <f t="shared" si="11"/>
        <v>0</v>
      </c>
      <c r="AX40" s="137">
        <f t="shared" si="12"/>
        <v>0</v>
      </c>
    </row>
    <row r="41" ht="46.5" customHeight="1" spans="1:50" s="97" customFormat="1" x14ac:dyDescent="0.25">
      <c r="A41" s="100"/>
      <c r="B41" s="100"/>
      <c r="C41" s="100"/>
      <c r="D41" s="100"/>
      <c r="E41" s="100"/>
      <c r="F41" s="100"/>
      <c r="G41" s="103"/>
      <c r="H41" s="186"/>
      <c r="I41" s="195">
        <v>0.51</v>
      </c>
      <c r="J41" s="107">
        <v>0.49</v>
      </c>
      <c r="K41" s="107"/>
      <c r="L41" s="107"/>
      <c r="M41" s="187"/>
      <c r="N41" s="169">
        <f t="shared" si="0"/>
        <v>1</v>
      </c>
      <c r="O41" s="144">
        <v>1</v>
      </c>
      <c r="P41" s="145">
        <v>15</v>
      </c>
      <c r="Q41" s="113">
        <v>15</v>
      </c>
      <c r="R41" s="113"/>
      <c r="S41" s="113"/>
      <c r="T41" s="146"/>
      <c r="U41" s="148">
        <f t="shared" si="1"/>
        <v>15</v>
      </c>
      <c r="V41" s="149">
        <f t="shared" si="2"/>
        <v>15</v>
      </c>
      <c r="W41" s="189"/>
      <c r="X41" s="199"/>
      <c r="Y41" s="151"/>
      <c r="Z41" s="190"/>
      <c r="AA41" s="153"/>
      <c r="AB41" s="154">
        <f t="shared" si="3"/>
        <v>0</v>
      </c>
      <c r="AC41" s="149">
        <f t="shared" si="4"/>
        <v>0</v>
      </c>
      <c r="AD41" s="125">
        <v>2</v>
      </c>
      <c r="AE41" s="148">
        <f t="shared" si="5"/>
        <v>2</v>
      </c>
      <c r="AF41" s="156"/>
      <c r="AG41" s="156"/>
      <c r="AH41" s="113">
        <f t="shared" si="6"/>
        <v>17</v>
      </c>
      <c r="AI41" s="157">
        <v>65</v>
      </c>
      <c r="AJ41" s="113">
        <f t="shared" si="7"/>
        <v>82</v>
      </c>
      <c r="AK41" s="113">
        <f t="shared" si="8"/>
        <v>82</v>
      </c>
      <c r="AL41" s="158">
        <f t="shared" si="9"/>
        <v>1.02</v>
      </c>
      <c r="AM41" s="159"/>
      <c r="AN41" s="160">
        <f t="shared" si="13"/>
        <v>1</v>
      </c>
      <c r="AO41" s="160">
        <f t="shared" si="13"/>
        <v>2</v>
      </c>
      <c r="AP41" s="133"/>
      <c r="AQ41" s="134"/>
      <c r="AR41" s="161"/>
      <c r="AS41" s="161"/>
      <c r="AT41" s="161"/>
      <c r="AU41" s="161"/>
      <c r="AV41" s="162"/>
      <c r="AW41" s="137">
        <f t="shared" si="11"/>
        <v>0</v>
      </c>
      <c r="AX41" s="137">
        <f t="shared" si="12"/>
        <v>0</v>
      </c>
    </row>
    <row r="42" ht="46.5" customHeight="1" spans="1:50" s="97" customFormat="1" x14ac:dyDescent="0.25">
      <c r="A42" s="100"/>
      <c r="B42" s="100"/>
      <c r="C42" s="100"/>
      <c r="D42" s="100"/>
      <c r="E42" s="100"/>
      <c r="F42" s="100"/>
      <c r="G42" s="103"/>
      <c r="H42" s="186"/>
      <c r="I42" s="195">
        <v>0.51</v>
      </c>
      <c r="J42" s="107">
        <v>0.49</v>
      </c>
      <c r="K42" s="107"/>
      <c r="L42" s="107"/>
      <c r="M42" s="187"/>
      <c r="N42" s="169">
        <f t="shared" si="0"/>
        <v>1</v>
      </c>
      <c r="O42" s="144">
        <v>1</v>
      </c>
      <c r="P42" s="145">
        <v>15</v>
      </c>
      <c r="Q42" s="113">
        <v>15</v>
      </c>
      <c r="R42" s="113"/>
      <c r="S42" s="113"/>
      <c r="T42" s="146"/>
      <c r="U42" s="148">
        <f t="shared" si="1"/>
        <v>15</v>
      </c>
      <c r="V42" s="149">
        <f t="shared" si="2"/>
        <v>15</v>
      </c>
      <c r="W42" s="189"/>
      <c r="X42" s="199"/>
      <c r="Y42" s="151"/>
      <c r="Z42" s="190"/>
      <c r="AA42" s="153"/>
      <c r="AB42" s="154">
        <f t="shared" si="3"/>
        <v>0</v>
      </c>
      <c r="AC42" s="149">
        <f t="shared" si="4"/>
        <v>0</v>
      </c>
      <c r="AD42" s="125">
        <v>2</v>
      </c>
      <c r="AE42" s="148">
        <f t="shared" si="5"/>
        <v>2</v>
      </c>
      <c r="AF42" s="156"/>
      <c r="AG42" s="156"/>
      <c r="AH42" s="113">
        <f t="shared" si="6"/>
        <v>17</v>
      </c>
      <c r="AI42" s="157">
        <v>65</v>
      </c>
      <c r="AJ42" s="113">
        <f t="shared" si="7"/>
        <v>82</v>
      </c>
      <c r="AK42" s="113">
        <f t="shared" si="8"/>
        <v>82</v>
      </c>
      <c r="AL42" s="158">
        <f t="shared" si="9"/>
        <v>1.02</v>
      </c>
      <c r="AM42" s="159"/>
      <c r="AN42" s="160">
        <f t="shared" si="13"/>
        <v>1</v>
      </c>
      <c r="AO42" s="160">
        <f t="shared" si="13"/>
        <v>2</v>
      </c>
      <c r="AP42" s="133"/>
      <c r="AQ42" s="134"/>
      <c r="AR42" s="161"/>
      <c r="AS42" s="161"/>
      <c r="AT42" s="161"/>
      <c r="AU42" s="161"/>
      <c r="AV42" s="162"/>
      <c r="AW42" s="137">
        <f t="shared" si="11"/>
        <v>0</v>
      </c>
      <c r="AX42" s="137">
        <f t="shared" si="12"/>
        <v>0</v>
      </c>
    </row>
    <row r="43" ht="46.5" customHeight="1" spans="1:50" s="97" customFormat="1" x14ac:dyDescent="0.25">
      <c r="A43" s="100"/>
      <c r="B43" s="100"/>
      <c r="C43" s="100"/>
      <c r="D43" s="100"/>
      <c r="E43" s="100"/>
      <c r="F43" s="100"/>
      <c r="G43" s="103"/>
      <c r="H43" s="186"/>
      <c r="I43" s="195">
        <v>0.51</v>
      </c>
      <c r="J43" s="107">
        <v>0.49</v>
      </c>
      <c r="K43" s="107"/>
      <c r="L43" s="107"/>
      <c r="M43" s="187"/>
      <c r="N43" s="169">
        <f t="shared" ref="N43:N106" si="14">SUM(I43:M43)</f>
        <v>1</v>
      </c>
      <c r="O43" s="144">
        <v>1</v>
      </c>
      <c r="P43" s="145">
        <v>15</v>
      </c>
      <c r="Q43" s="113">
        <v>15</v>
      </c>
      <c r="R43" s="113"/>
      <c r="S43" s="113"/>
      <c r="T43" s="146"/>
      <c r="U43" s="148">
        <f t="shared" si="1"/>
        <v>15</v>
      </c>
      <c r="V43" s="149">
        <f t="shared" si="2"/>
        <v>15</v>
      </c>
      <c r="W43" s="189"/>
      <c r="X43" s="199"/>
      <c r="Y43" s="151"/>
      <c r="Z43" s="190"/>
      <c r="AA43" s="153"/>
      <c r="AB43" s="154">
        <f t="shared" si="3"/>
        <v>0</v>
      </c>
      <c r="AC43" s="149">
        <f t="shared" si="4"/>
        <v>0</v>
      </c>
      <c r="AD43" s="125">
        <v>2</v>
      </c>
      <c r="AE43" s="148">
        <f t="shared" si="5"/>
        <v>2</v>
      </c>
      <c r="AF43" s="156"/>
      <c r="AG43" s="156"/>
      <c r="AH43" s="113">
        <f t="shared" si="6"/>
        <v>17</v>
      </c>
      <c r="AI43" s="157">
        <v>65</v>
      </c>
      <c r="AJ43" s="113">
        <f t="shared" si="7"/>
        <v>82</v>
      </c>
      <c r="AK43" s="113">
        <f t="shared" si="8"/>
        <v>82</v>
      </c>
      <c r="AL43" s="158">
        <f t="shared" si="9"/>
        <v>1.02</v>
      </c>
      <c r="AM43" s="159"/>
      <c r="AN43" s="160">
        <f t="shared" si="13"/>
        <v>1</v>
      </c>
      <c r="AO43" s="160">
        <f t="shared" si="13"/>
        <v>2</v>
      </c>
      <c r="AP43" s="133"/>
      <c r="AQ43" s="134"/>
      <c r="AR43" s="161"/>
      <c r="AS43" s="161"/>
      <c r="AT43" s="161"/>
      <c r="AU43" s="161"/>
      <c r="AV43" s="162"/>
      <c r="AW43" s="137">
        <f t="shared" si="11"/>
        <v>0</v>
      </c>
      <c r="AX43" s="137">
        <f t="shared" si="12"/>
        <v>0</v>
      </c>
    </row>
    <row r="44" ht="46.5" customHeight="1" spans="1:50" s="97" customFormat="1" x14ac:dyDescent="0.25">
      <c r="A44" s="100"/>
      <c r="B44" s="100"/>
      <c r="C44" s="100"/>
      <c r="D44" s="100"/>
      <c r="E44" s="100"/>
      <c r="F44" s="100"/>
      <c r="G44" s="103"/>
      <c r="H44" s="186"/>
      <c r="I44" s="195">
        <v>0.51</v>
      </c>
      <c r="J44" s="107">
        <v>0.49</v>
      </c>
      <c r="K44" s="107"/>
      <c r="L44" s="107"/>
      <c r="M44" s="187"/>
      <c r="N44" s="169">
        <f t="shared" si="14"/>
        <v>1</v>
      </c>
      <c r="O44" s="144">
        <v>1</v>
      </c>
      <c r="P44" s="145">
        <v>15</v>
      </c>
      <c r="Q44" s="113">
        <v>15</v>
      </c>
      <c r="R44" s="113"/>
      <c r="S44" s="113"/>
      <c r="T44" s="146"/>
      <c r="U44" s="148">
        <f t="shared" si="1"/>
        <v>15</v>
      </c>
      <c r="V44" s="149">
        <f t="shared" si="2"/>
        <v>15</v>
      </c>
      <c r="W44" s="189"/>
      <c r="X44" s="199"/>
      <c r="Y44" s="151"/>
      <c r="Z44" s="190"/>
      <c r="AA44" s="153"/>
      <c r="AB44" s="154">
        <f t="shared" si="3"/>
        <v>0</v>
      </c>
      <c r="AC44" s="149">
        <f t="shared" si="4"/>
        <v>0</v>
      </c>
      <c r="AD44" s="125">
        <v>2</v>
      </c>
      <c r="AE44" s="148">
        <f t="shared" si="5"/>
        <v>2</v>
      </c>
      <c r="AF44" s="156"/>
      <c r="AG44" s="156"/>
      <c r="AH44" s="113">
        <f t="shared" si="6"/>
        <v>17</v>
      </c>
      <c r="AI44" s="157">
        <v>65</v>
      </c>
      <c r="AJ44" s="113">
        <f t="shared" si="7"/>
        <v>82</v>
      </c>
      <c r="AK44" s="113">
        <f t="shared" si="8"/>
        <v>82</v>
      </c>
      <c r="AL44" s="158">
        <f t="shared" si="9"/>
        <v>1.02</v>
      </c>
      <c r="AM44" s="159"/>
      <c r="AN44" s="160">
        <f t="shared" si="13"/>
        <v>1</v>
      </c>
      <c r="AO44" s="160">
        <f t="shared" si="13"/>
        <v>2</v>
      </c>
      <c r="AP44" s="133"/>
      <c r="AQ44" s="134"/>
      <c r="AR44" s="161"/>
      <c r="AS44" s="161"/>
      <c r="AT44" s="161"/>
      <c r="AU44" s="161"/>
      <c r="AV44" s="162"/>
      <c r="AW44" s="137">
        <f t="shared" si="11"/>
        <v>0</v>
      </c>
      <c r="AX44" s="137">
        <f t="shared" si="12"/>
        <v>0</v>
      </c>
    </row>
    <row r="45" ht="46.5" customHeight="1" spans="1:50" s="97" customFormat="1" x14ac:dyDescent="0.25">
      <c r="A45" s="100"/>
      <c r="B45" s="100"/>
      <c r="C45" s="100"/>
      <c r="D45" s="100"/>
      <c r="E45" s="100"/>
      <c r="F45" s="100"/>
      <c r="G45" s="103"/>
      <c r="H45" s="186"/>
      <c r="I45" s="195">
        <v>0.51</v>
      </c>
      <c r="J45" s="107">
        <v>0.49</v>
      </c>
      <c r="K45" s="107"/>
      <c r="L45" s="107"/>
      <c r="M45" s="187"/>
      <c r="N45" s="169">
        <f t="shared" si="14"/>
        <v>1</v>
      </c>
      <c r="O45" s="144">
        <v>1</v>
      </c>
      <c r="P45" s="145">
        <v>15</v>
      </c>
      <c r="Q45" s="113">
        <v>15</v>
      </c>
      <c r="R45" s="113"/>
      <c r="S45" s="113"/>
      <c r="T45" s="146"/>
      <c r="U45" s="148">
        <f t="shared" si="1"/>
        <v>15</v>
      </c>
      <c r="V45" s="149">
        <f t="shared" si="2"/>
        <v>15</v>
      </c>
      <c r="W45" s="189"/>
      <c r="X45" s="199"/>
      <c r="Y45" s="151"/>
      <c r="Z45" s="190"/>
      <c r="AA45" s="153"/>
      <c r="AB45" s="154">
        <f t="shared" si="3"/>
        <v>0</v>
      </c>
      <c r="AC45" s="149">
        <f t="shared" si="4"/>
        <v>0</v>
      </c>
      <c r="AD45" s="125">
        <v>2</v>
      </c>
      <c r="AE45" s="148">
        <f t="shared" si="5"/>
        <v>2</v>
      </c>
      <c r="AF45" s="156"/>
      <c r="AG45" s="156"/>
      <c r="AH45" s="113">
        <f t="shared" si="6"/>
        <v>17</v>
      </c>
      <c r="AI45" s="157">
        <v>65</v>
      </c>
      <c r="AJ45" s="113">
        <f t="shared" si="7"/>
        <v>82</v>
      </c>
      <c r="AK45" s="113">
        <f t="shared" si="8"/>
        <v>82</v>
      </c>
      <c r="AL45" s="158">
        <f t="shared" si="9"/>
        <v>1.02</v>
      </c>
      <c r="AM45" s="159"/>
      <c r="AN45" s="160">
        <f t="shared" si="13"/>
        <v>1</v>
      </c>
      <c r="AO45" s="160">
        <f t="shared" si="13"/>
        <v>2</v>
      </c>
      <c r="AP45" s="133"/>
      <c r="AQ45" s="134"/>
      <c r="AR45" s="161"/>
      <c r="AS45" s="161"/>
      <c r="AT45" s="161"/>
      <c r="AU45" s="161"/>
      <c r="AV45" s="162"/>
      <c r="AW45" s="137">
        <f t="shared" si="11"/>
        <v>0</v>
      </c>
      <c r="AX45" s="137">
        <f t="shared" si="12"/>
        <v>0</v>
      </c>
    </row>
    <row r="46" ht="46.5" customHeight="1" spans="1:50" s="97" customFormat="1" x14ac:dyDescent="0.25">
      <c r="A46" s="100"/>
      <c r="B46" s="100"/>
      <c r="C46" s="100"/>
      <c r="D46" s="100"/>
      <c r="E46" s="100"/>
      <c r="F46" s="100"/>
      <c r="G46" s="103"/>
      <c r="H46" s="186"/>
      <c r="I46" s="195">
        <v>0.51</v>
      </c>
      <c r="J46" s="107">
        <v>0.49</v>
      </c>
      <c r="K46" s="107"/>
      <c r="L46" s="107"/>
      <c r="M46" s="187"/>
      <c r="N46" s="169">
        <f t="shared" si="14"/>
        <v>1</v>
      </c>
      <c r="O46" s="144">
        <v>1</v>
      </c>
      <c r="P46" s="145">
        <v>15</v>
      </c>
      <c r="Q46" s="113">
        <v>15</v>
      </c>
      <c r="R46" s="113"/>
      <c r="S46" s="113"/>
      <c r="T46" s="146"/>
      <c r="U46" s="148">
        <f t="shared" si="1"/>
        <v>15</v>
      </c>
      <c r="V46" s="149">
        <f t="shared" si="2"/>
        <v>15</v>
      </c>
      <c r="W46" s="189"/>
      <c r="X46" s="199"/>
      <c r="Y46" s="151"/>
      <c r="Z46" s="190"/>
      <c r="AA46" s="153"/>
      <c r="AB46" s="154">
        <f t="shared" si="3"/>
        <v>0</v>
      </c>
      <c r="AC46" s="149">
        <f t="shared" si="4"/>
        <v>0</v>
      </c>
      <c r="AD46" s="125">
        <v>2</v>
      </c>
      <c r="AE46" s="148">
        <f t="shared" si="5"/>
        <v>2</v>
      </c>
      <c r="AF46" s="156"/>
      <c r="AG46" s="156"/>
      <c r="AH46" s="113">
        <f t="shared" si="6"/>
        <v>17</v>
      </c>
      <c r="AI46" s="157">
        <v>65</v>
      </c>
      <c r="AJ46" s="113">
        <f t="shared" si="7"/>
        <v>82</v>
      </c>
      <c r="AK46" s="113">
        <f t="shared" si="8"/>
        <v>82</v>
      </c>
      <c r="AL46" s="158">
        <f t="shared" si="9"/>
        <v>1.02</v>
      </c>
      <c r="AM46" s="159"/>
      <c r="AN46" s="160">
        <f t="shared" si="13"/>
        <v>1</v>
      </c>
      <c r="AO46" s="160">
        <f t="shared" si="13"/>
        <v>2</v>
      </c>
      <c r="AP46" s="133"/>
      <c r="AQ46" s="134"/>
      <c r="AR46" s="161"/>
      <c r="AS46" s="161"/>
      <c r="AT46" s="161"/>
      <c r="AU46" s="161"/>
      <c r="AV46" s="162"/>
      <c r="AW46" s="137">
        <f t="shared" si="11"/>
        <v>0</v>
      </c>
      <c r="AX46" s="137">
        <f t="shared" si="12"/>
        <v>0</v>
      </c>
    </row>
    <row r="47" ht="46.5" customHeight="1" spans="1:50" s="97" customFormat="1" x14ac:dyDescent="0.25">
      <c r="A47" s="100"/>
      <c r="B47" s="100"/>
      <c r="C47" s="100"/>
      <c r="D47" s="100"/>
      <c r="E47" s="100"/>
      <c r="F47" s="100"/>
      <c r="G47" s="103"/>
      <c r="H47" s="186"/>
      <c r="I47" s="195">
        <v>0.51</v>
      </c>
      <c r="J47" s="107">
        <v>0.49</v>
      </c>
      <c r="K47" s="107"/>
      <c r="L47" s="107"/>
      <c r="M47" s="187"/>
      <c r="N47" s="169">
        <f t="shared" si="14"/>
        <v>1</v>
      </c>
      <c r="O47" s="144">
        <v>1</v>
      </c>
      <c r="P47" s="145">
        <v>15</v>
      </c>
      <c r="Q47" s="113">
        <v>15</v>
      </c>
      <c r="R47" s="113"/>
      <c r="S47" s="113"/>
      <c r="T47" s="146"/>
      <c r="U47" s="148">
        <f t="shared" si="1"/>
        <v>15</v>
      </c>
      <c r="V47" s="149">
        <f t="shared" si="2"/>
        <v>15</v>
      </c>
      <c r="W47" s="189"/>
      <c r="X47" s="199"/>
      <c r="Y47" s="151"/>
      <c r="Z47" s="190"/>
      <c r="AA47" s="153"/>
      <c r="AB47" s="154">
        <f t="shared" si="3"/>
        <v>0</v>
      </c>
      <c r="AC47" s="149">
        <f t="shared" si="4"/>
        <v>0</v>
      </c>
      <c r="AD47" s="125">
        <v>2</v>
      </c>
      <c r="AE47" s="148">
        <f t="shared" si="5"/>
        <v>2</v>
      </c>
      <c r="AF47" s="156"/>
      <c r="AG47" s="156"/>
      <c r="AH47" s="113">
        <f t="shared" si="6"/>
        <v>17</v>
      </c>
      <c r="AI47" s="157">
        <v>65</v>
      </c>
      <c r="AJ47" s="113">
        <f t="shared" si="7"/>
        <v>82</v>
      </c>
      <c r="AK47" s="113">
        <f t="shared" si="8"/>
        <v>82</v>
      </c>
      <c r="AL47" s="158">
        <f t="shared" si="9"/>
        <v>1.02</v>
      </c>
      <c r="AM47" s="159"/>
      <c r="AN47" s="160">
        <f t="shared" si="13"/>
        <v>1</v>
      </c>
      <c r="AO47" s="160">
        <f t="shared" si="13"/>
        <v>2</v>
      </c>
      <c r="AP47" s="133"/>
      <c r="AQ47" s="134"/>
      <c r="AR47" s="161"/>
      <c r="AS47" s="161"/>
      <c r="AT47" s="161"/>
      <c r="AU47" s="161"/>
      <c r="AV47" s="162"/>
      <c r="AW47" s="137">
        <f t="shared" si="11"/>
        <v>0</v>
      </c>
      <c r="AX47" s="137">
        <f t="shared" si="12"/>
        <v>0</v>
      </c>
    </row>
    <row r="48" ht="46.5" customHeight="1" spans="1:50" s="97" customFormat="1" x14ac:dyDescent="0.25">
      <c r="A48" s="100"/>
      <c r="B48" s="100"/>
      <c r="C48" s="100"/>
      <c r="D48" s="100"/>
      <c r="E48" s="100"/>
      <c r="F48" s="100"/>
      <c r="G48" s="103"/>
      <c r="H48" s="186"/>
      <c r="I48" s="195">
        <v>0.51</v>
      </c>
      <c r="J48" s="107">
        <v>0.49</v>
      </c>
      <c r="K48" s="107"/>
      <c r="L48" s="107"/>
      <c r="M48" s="187"/>
      <c r="N48" s="169">
        <f t="shared" si="14"/>
        <v>1</v>
      </c>
      <c r="O48" s="144">
        <v>1</v>
      </c>
      <c r="P48" s="145">
        <v>15</v>
      </c>
      <c r="Q48" s="113">
        <v>15</v>
      </c>
      <c r="R48" s="113"/>
      <c r="S48" s="113"/>
      <c r="T48" s="146"/>
      <c r="U48" s="148">
        <f t="shared" si="1"/>
        <v>15</v>
      </c>
      <c r="V48" s="149">
        <f t="shared" si="2"/>
        <v>15</v>
      </c>
      <c r="W48" s="189"/>
      <c r="X48" s="199"/>
      <c r="Y48" s="151"/>
      <c r="Z48" s="190"/>
      <c r="AA48" s="153"/>
      <c r="AB48" s="154">
        <f t="shared" si="3"/>
        <v>0</v>
      </c>
      <c r="AC48" s="149">
        <f t="shared" si="4"/>
        <v>0</v>
      </c>
      <c r="AD48" s="125">
        <v>2</v>
      </c>
      <c r="AE48" s="148">
        <f t="shared" si="5"/>
        <v>2</v>
      </c>
      <c r="AF48" s="156"/>
      <c r="AG48" s="156"/>
      <c r="AH48" s="113">
        <f t="shared" si="6"/>
        <v>17</v>
      </c>
      <c r="AI48" s="157">
        <v>65</v>
      </c>
      <c r="AJ48" s="113">
        <f t="shared" si="7"/>
        <v>82</v>
      </c>
      <c r="AK48" s="113">
        <f t="shared" si="8"/>
        <v>82</v>
      </c>
      <c r="AL48" s="158">
        <f t="shared" si="9"/>
        <v>1.02</v>
      </c>
      <c r="AM48" s="159"/>
      <c r="AN48" s="160">
        <f t="shared" si="13"/>
        <v>1</v>
      </c>
      <c r="AO48" s="160">
        <f t="shared" si="13"/>
        <v>2</v>
      </c>
      <c r="AP48" s="133"/>
      <c r="AQ48" s="134"/>
      <c r="AR48" s="161"/>
      <c r="AS48" s="161"/>
      <c r="AT48" s="161"/>
      <c r="AU48" s="161"/>
      <c r="AV48" s="162"/>
      <c r="AW48" s="137">
        <f t="shared" si="11"/>
        <v>0</v>
      </c>
      <c r="AX48" s="137">
        <f t="shared" si="12"/>
        <v>0</v>
      </c>
    </row>
    <row r="49" ht="46.5" customHeight="1" spans="1:50" s="97" customFormat="1" x14ac:dyDescent="0.25">
      <c r="A49" s="100"/>
      <c r="B49" s="100"/>
      <c r="C49" s="100"/>
      <c r="D49" s="100"/>
      <c r="E49" s="100"/>
      <c r="F49" s="100"/>
      <c r="G49" s="103"/>
      <c r="H49" s="186"/>
      <c r="I49" s="195">
        <v>0.51</v>
      </c>
      <c r="J49" s="107">
        <v>0.49</v>
      </c>
      <c r="K49" s="107"/>
      <c r="L49" s="107"/>
      <c r="M49" s="187"/>
      <c r="N49" s="169">
        <f t="shared" si="14"/>
        <v>1</v>
      </c>
      <c r="O49" s="144">
        <v>1</v>
      </c>
      <c r="P49" s="145">
        <v>15</v>
      </c>
      <c r="Q49" s="113">
        <v>15</v>
      </c>
      <c r="R49" s="113"/>
      <c r="S49" s="113"/>
      <c r="T49" s="146"/>
      <c r="U49" s="148">
        <f t="shared" si="1"/>
        <v>15</v>
      </c>
      <c r="V49" s="149">
        <f t="shared" si="2"/>
        <v>15</v>
      </c>
      <c r="W49" s="189"/>
      <c r="X49" s="199"/>
      <c r="Y49" s="151"/>
      <c r="Z49" s="190"/>
      <c r="AA49" s="153"/>
      <c r="AB49" s="154">
        <f t="shared" si="3"/>
        <v>0</v>
      </c>
      <c r="AC49" s="149">
        <f t="shared" si="4"/>
        <v>0</v>
      </c>
      <c r="AD49" s="125">
        <v>2</v>
      </c>
      <c r="AE49" s="148">
        <f t="shared" si="5"/>
        <v>2</v>
      </c>
      <c r="AF49" s="156"/>
      <c r="AG49" s="156"/>
      <c r="AH49" s="113">
        <f t="shared" si="6"/>
        <v>17</v>
      </c>
      <c r="AI49" s="157">
        <v>65</v>
      </c>
      <c r="AJ49" s="113">
        <f t="shared" si="7"/>
        <v>82</v>
      </c>
      <c r="AK49" s="113">
        <f t="shared" si="8"/>
        <v>82</v>
      </c>
      <c r="AL49" s="158">
        <f t="shared" si="9"/>
        <v>1.02</v>
      </c>
      <c r="AM49" s="159"/>
      <c r="AN49" s="160">
        <f t="shared" si="13"/>
        <v>1</v>
      </c>
      <c r="AO49" s="160">
        <f t="shared" si="13"/>
        <v>2</v>
      </c>
      <c r="AP49" s="133"/>
      <c r="AQ49" s="134"/>
      <c r="AR49" s="161"/>
      <c r="AS49" s="161"/>
      <c r="AT49" s="161"/>
      <c r="AU49" s="161"/>
      <c r="AV49" s="162"/>
      <c r="AW49" s="137">
        <f t="shared" si="11"/>
        <v>0</v>
      </c>
      <c r="AX49" s="137">
        <f t="shared" si="12"/>
        <v>0</v>
      </c>
    </row>
    <row r="50" ht="46.5" customHeight="1" spans="1:50" s="97" customFormat="1" x14ac:dyDescent="0.25">
      <c r="A50" s="100"/>
      <c r="B50" s="100"/>
      <c r="C50" s="100"/>
      <c r="D50" s="100"/>
      <c r="E50" s="100"/>
      <c r="F50" s="100"/>
      <c r="G50" s="103"/>
      <c r="H50" s="186"/>
      <c r="I50" s="195">
        <v>0.51</v>
      </c>
      <c r="J50" s="107">
        <v>0.49</v>
      </c>
      <c r="K50" s="107"/>
      <c r="L50" s="107"/>
      <c r="M50" s="187"/>
      <c r="N50" s="169">
        <f t="shared" si="14"/>
        <v>1</v>
      </c>
      <c r="O50" s="144">
        <v>1</v>
      </c>
      <c r="P50" s="145">
        <v>15</v>
      </c>
      <c r="Q50" s="113">
        <v>15</v>
      </c>
      <c r="R50" s="113"/>
      <c r="S50" s="113"/>
      <c r="T50" s="146"/>
      <c r="U50" s="148">
        <f t="shared" si="1"/>
        <v>15</v>
      </c>
      <c r="V50" s="149">
        <f t="shared" si="2"/>
        <v>15</v>
      </c>
      <c r="W50" s="189"/>
      <c r="X50" s="199"/>
      <c r="Y50" s="151"/>
      <c r="Z50" s="190"/>
      <c r="AA50" s="153"/>
      <c r="AB50" s="154">
        <f t="shared" si="3"/>
        <v>0</v>
      </c>
      <c r="AC50" s="149">
        <f t="shared" si="4"/>
        <v>0</v>
      </c>
      <c r="AD50" s="125">
        <v>2</v>
      </c>
      <c r="AE50" s="148">
        <f t="shared" si="5"/>
        <v>2</v>
      </c>
      <c r="AF50" s="156"/>
      <c r="AG50" s="156"/>
      <c r="AH50" s="113">
        <f t="shared" si="6"/>
        <v>17</v>
      </c>
      <c r="AI50" s="157">
        <v>65</v>
      </c>
      <c r="AJ50" s="113">
        <f t="shared" si="7"/>
        <v>82</v>
      </c>
      <c r="AK50" s="113">
        <f t="shared" si="8"/>
        <v>82</v>
      </c>
      <c r="AL50" s="158">
        <f t="shared" si="9"/>
        <v>1.02</v>
      </c>
      <c r="AM50" s="159"/>
      <c r="AN50" s="160">
        <f t="shared" si="13"/>
        <v>1</v>
      </c>
      <c r="AO50" s="160">
        <f t="shared" si="13"/>
        <v>2</v>
      </c>
      <c r="AP50" s="133"/>
      <c r="AQ50" s="134"/>
      <c r="AR50" s="161"/>
      <c r="AS50" s="161"/>
      <c r="AT50" s="161"/>
      <c r="AU50" s="161"/>
      <c r="AV50" s="162"/>
      <c r="AW50" s="137">
        <f t="shared" si="11"/>
        <v>0</v>
      </c>
      <c r="AX50" s="137">
        <f t="shared" si="12"/>
        <v>0</v>
      </c>
    </row>
    <row r="51" ht="46.5" customHeight="1" spans="1:50" s="97" customFormat="1" x14ac:dyDescent="0.25">
      <c r="A51" s="100"/>
      <c r="B51" s="100"/>
      <c r="C51" s="100"/>
      <c r="D51" s="100"/>
      <c r="E51" s="100"/>
      <c r="F51" s="100"/>
      <c r="G51" s="103"/>
      <c r="H51" s="186"/>
      <c r="I51" s="195">
        <v>0.51</v>
      </c>
      <c r="J51" s="107">
        <v>0.49</v>
      </c>
      <c r="K51" s="107"/>
      <c r="L51" s="107"/>
      <c r="M51" s="187"/>
      <c r="N51" s="169">
        <f t="shared" si="14"/>
        <v>1</v>
      </c>
      <c r="O51" s="144">
        <v>1</v>
      </c>
      <c r="P51" s="145">
        <v>15</v>
      </c>
      <c r="Q51" s="113">
        <v>15</v>
      </c>
      <c r="R51" s="113"/>
      <c r="S51" s="113"/>
      <c r="T51" s="146"/>
      <c r="U51" s="148">
        <f t="shared" si="1"/>
        <v>15</v>
      </c>
      <c r="V51" s="149">
        <f t="shared" si="2"/>
        <v>15</v>
      </c>
      <c r="W51" s="189"/>
      <c r="X51" s="199"/>
      <c r="Y51" s="151"/>
      <c r="Z51" s="190"/>
      <c r="AA51" s="153"/>
      <c r="AB51" s="154">
        <f t="shared" si="3"/>
        <v>0</v>
      </c>
      <c r="AC51" s="149">
        <f t="shared" si="4"/>
        <v>0</v>
      </c>
      <c r="AD51" s="125">
        <v>2</v>
      </c>
      <c r="AE51" s="148">
        <f t="shared" si="5"/>
        <v>2</v>
      </c>
      <c r="AF51" s="156"/>
      <c r="AG51" s="156"/>
      <c r="AH51" s="113">
        <f t="shared" si="6"/>
        <v>17</v>
      </c>
      <c r="AI51" s="157">
        <v>65</v>
      </c>
      <c r="AJ51" s="113">
        <f t="shared" si="7"/>
        <v>82</v>
      </c>
      <c r="AK51" s="113">
        <f t="shared" si="8"/>
        <v>82</v>
      </c>
      <c r="AL51" s="158">
        <f t="shared" si="9"/>
        <v>1.02</v>
      </c>
      <c r="AM51" s="159"/>
      <c r="AN51" s="160">
        <f t="shared" ref="AN51:AO70" si="15">100%+AM51</f>
        <v>1</v>
      </c>
      <c r="AO51" s="160">
        <f t="shared" si="15"/>
        <v>2</v>
      </c>
      <c r="AP51" s="133"/>
      <c r="AQ51" s="134"/>
      <c r="AR51" s="161"/>
      <c r="AS51" s="161"/>
      <c r="AT51" s="161"/>
      <c r="AU51" s="161"/>
      <c r="AV51" s="162"/>
      <c r="AW51" s="137">
        <f t="shared" si="11"/>
        <v>0</v>
      </c>
      <c r="AX51" s="137">
        <f t="shared" si="12"/>
        <v>0</v>
      </c>
    </row>
    <row r="52" ht="46.5" customHeight="1" spans="1:50" s="97" customFormat="1" x14ac:dyDescent="0.25">
      <c r="A52" s="100"/>
      <c r="B52" s="100"/>
      <c r="C52" s="100"/>
      <c r="D52" s="100"/>
      <c r="E52" s="100"/>
      <c r="F52" s="100"/>
      <c r="G52" s="103"/>
      <c r="H52" s="186"/>
      <c r="I52" s="195">
        <v>0.51</v>
      </c>
      <c r="J52" s="107">
        <v>0.49</v>
      </c>
      <c r="K52" s="107"/>
      <c r="L52" s="107"/>
      <c r="M52" s="187"/>
      <c r="N52" s="169">
        <f t="shared" si="14"/>
        <v>1</v>
      </c>
      <c r="O52" s="144">
        <v>1</v>
      </c>
      <c r="P52" s="145">
        <v>15</v>
      </c>
      <c r="Q52" s="113">
        <v>15</v>
      </c>
      <c r="R52" s="113"/>
      <c r="S52" s="113"/>
      <c r="T52" s="146"/>
      <c r="U52" s="148">
        <f t="shared" si="1"/>
        <v>15</v>
      </c>
      <c r="V52" s="149">
        <f t="shared" si="2"/>
        <v>15</v>
      </c>
      <c r="W52" s="189"/>
      <c r="X52" s="199"/>
      <c r="Y52" s="151"/>
      <c r="Z52" s="190"/>
      <c r="AA52" s="153"/>
      <c r="AB52" s="154">
        <f t="shared" si="3"/>
        <v>0</v>
      </c>
      <c r="AC52" s="149">
        <f t="shared" si="4"/>
        <v>0</v>
      </c>
      <c r="AD52" s="125">
        <v>2</v>
      </c>
      <c r="AE52" s="148">
        <f t="shared" si="5"/>
        <v>2</v>
      </c>
      <c r="AF52" s="156"/>
      <c r="AG52" s="156"/>
      <c r="AH52" s="113">
        <f t="shared" si="6"/>
        <v>17</v>
      </c>
      <c r="AI52" s="157">
        <v>65</v>
      </c>
      <c r="AJ52" s="113">
        <f t="shared" si="7"/>
        <v>82</v>
      </c>
      <c r="AK52" s="113">
        <f t="shared" si="8"/>
        <v>82</v>
      </c>
      <c r="AL52" s="158">
        <f t="shared" si="9"/>
        <v>1.02</v>
      </c>
      <c r="AM52" s="159"/>
      <c r="AN52" s="160">
        <f t="shared" si="15"/>
        <v>1</v>
      </c>
      <c r="AO52" s="160">
        <f t="shared" si="15"/>
        <v>2</v>
      </c>
      <c r="AP52" s="133"/>
      <c r="AQ52" s="134"/>
      <c r="AR52" s="161"/>
      <c r="AS52" s="161"/>
      <c r="AT52" s="161"/>
      <c r="AU52" s="161"/>
      <c r="AV52" s="162"/>
      <c r="AW52" s="137">
        <f t="shared" si="11"/>
        <v>0</v>
      </c>
      <c r="AX52" s="137">
        <f t="shared" si="12"/>
        <v>0</v>
      </c>
    </row>
    <row r="53" ht="46.5" customHeight="1" spans="1:50" s="97" customFormat="1" x14ac:dyDescent="0.25">
      <c r="A53" s="100"/>
      <c r="B53" s="100"/>
      <c r="C53" s="100"/>
      <c r="D53" s="100"/>
      <c r="E53" s="100"/>
      <c r="F53" s="100"/>
      <c r="G53" s="103"/>
      <c r="H53" s="186"/>
      <c r="I53" s="195">
        <v>0.51</v>
      </c>
      <c r="J53" s="107">
        <v>0.49</v>
      </c>
      <c r="K53" s="107"/>
      <c r="L53" s="107"/>
      <c r="M53" s="187"/>
      <c r="N53" s="169">
        <f t="shared" si="14"/>
        <v>1</v>
      </c>
      <c r="O53" s="144">
        <v>1</v>
      </c>
      <c r="P53" s="145">
        <v>15</v>
      </c>
      <c r="Q53" s="113">
        <v>15</v>
      </c>
      <c r="R53" s="113"/>
      <c r="S53" s="113"/>
      <c r="T53" s="146"/>
      <c r="U53" s="148">
        <f t="shared" si="1"/>
        <v>15</v>
      </c>
      <c r="V53" s="149">
        <f t="shared" si="2"/>
        <v>15</v>
      </c>
      <c r="W53" s="189"/>
      <c r="X53" s="199"/>
      <c r="Y53" s="151"/>
      <c r="Z53" s="190"/>
      <c r="AA53" s="153"/>
      <c r="AB53" s="154">
        <f t="shared" si="3"/>
        <v>0</v>
      </c>
      <c r="AC53" s="149">
        <f t="shared" si="4"/>
        <v>0</v>
      </c>
      <c r="AD53" s="125">
        <v>2</v>
      </c>
      <c r="AE53" s="148">
        <f t="shared" si="5"/>
        <v>2</v>
      </c>
      <c r="AF53" s="156"/>
      <c r="AG53" s="156"/>
      <c r="AH53" s="113">
        <f t="shared" si="6"/>
        <v>17</v>
      </c>
      <c r="AI53" s="157">
        <v>65</v>
      </c>
      <c r="AJ53" s="113">
        <f t="shared" si="7"/>
        <v>82</v>
      </c>
      <c r="AK53" s="113">
        <f t="shared" si="8"/>
        <v>82</v>
      </c>
      <c r="AL53" s="158">
        <f t="shared" si="9"/>
        <v>1.02</v>
      </c>
      <c r="AM53" s="159"/>
      <c r="AN53" s="160">
        <f t="shared" si="15"/>
        <v>1</v>
      </c>
      <c r="AO53" s="160">
        <f t="shared" si="15"/>
        <v>2</v>
      </c>
      <c r="AP53" s="133"/>
      <c r="AQ53" s="134"/>
      <c r="AR53" s="161"/>
      <c r="AS53" s="161"/>
      <c r="AT53" s="161"/>
      <c r="AU53" s="161"/>
      <c r="AV53" s="162"/>
      <c r="AW53" s="137">
        <f t="shared" si="11"/>
        <v>0</v>
      </c>
      <c r="AX53" s="137">
        <f t="shared" si="12"/>
        <v>0</v>
      </c>
    </row>
    <row r="54" ht="46.5" customHeight="1" spans="1:50" s="97" customFormat="1" x14ac:dyDescent="0.25">
      <c r="A54" s="100"/>
      <c r="B54" s="100"/>
      <c r="C54" s="100"/>
      <c r="D54" s="100"/>
      <c r="E54" s="100"/>
      <c r="F54" s="100"/>
      <c r="G54" s="103"/>
      <c r="H54" s="186"/>
      <c r="I54" s="195">
        <v>0.51</v>
      </c>
      <c r="J54" s="107">
        <v>0.49</v>
      </c>
      <c r="K54" s="107"/>
      <c r="L54" s="107"/>
      <c r="M54" s="187"/>
      <c r="N54" s="169">
        <f t="shared" si="14"/>
        <v>1</v>
      </c>
      <c r="O54" s="144">
        <v>1</v>
      </c>
      <c r="P54" s="145">
        <v>15</v>
      </c>
      <c r="Q54" s="113">
        <v>15</v>
      </c>
      <c r="R54" s="113"/>
      <c r="S54" s="113"/>
      <c r="T54" s="146"/>
      <c r="U54" s="148">
        <f t="shared" si="1"/>
        <v>15</v>
      </c>
      <c r="V54" s="149">
        <f t="shared" si="2"/>
        <v>15</v>
      </c>
      <c r="W54" s="189"/>
      <c r="X54" s="199"/>
      <c r="Y54" s="151"/>
      <c r="Z54" s="190"/>
      <c r="AA54" s="153"/>
      <c r="AB54" s="154">
        <f t="shared" si="3"/>
        <v>0</v>
      </c>
      <c r="AC54" s="149">
        <f t="shared" si="4"/>
        <v>0</v>
      </c>
      <c r="AD54" s="125">
        <v>2</v>
      </c>
      <c r="AE54" s="148">
        <f t="shared" si="5"/>
        <v>2</v>
      </c>
      <c r="AF54" s="156"/>
      <c r="AG54" s="156"/>
      <c r="AH54" s="113">
        <f t="shared" si="6"/>
        <v>17</v>
      </c>
      <c r="AI54" s="157">
        <v>65</v>
      </c>
      <c r="AJ54" s="113">
        <f t="shared" si="7"/>
        <v>82</v>
      </c>
      <c r="AK54" s="113">
        <f t="shared" si="8"/>
        <v>82</v>
      </c>
      <c r="AL54" s="158">
        <f t="shared" si="9"/>
        <v>1.02</v>
      </c>
      <c r="AM54" s="159"/>
      <c r="AN54" s="160">
        <f t="shared" si="15"/>
        <v>1</v>
      </c>
      <c r="AO54" s="160">
        <f t="shared" si="15"/>
        <v>2</v>
      </c>
      <c r="AP54" s="133"/>
      <c r="AQ54" s="134"/>
      <c r="AR54" s="161"/>
      <c r="AS54" s="161"/>
      <c r="AT54" s="161"/>
      <c r="AU54" s="161"/>
      <c r="AV54" s="162"/>
      <c r="AW54" s="137">
        <f t="shared" si="11"/>
        <v>0</v>
      </c>
      <c r="AX54" s="137">
        <f t="shared" si="12"/>
        <v>0</v>
      </c>
    </row>
    <row r="55" ht="46.5" customHeight="1" spans="1:50" s="97" customFormat="1" x14ac:dyDescent="0.25">
      <c r="A55" s="100"/>
      <c r="B55" s="100"/>
      <c r="C55" s="100"/>
      <c r="D55" s="100"/>
      <c r="E55" s="100"/>
      <c r="F55" s="100"/>
      <c r="G55" s="103"/>
      <c r="H55" s="186"/>
      <c r="I55" s="195">
        <v>0.51</v>
      </c>
      <c r="J55" s="107">
        <v>0.49</v>
      </c>
      <c r="K55" s="107"/>
      <c r="L55" s="107"/>
      <c r="M55" s="187"/>
      <c r="N55" s="169">
        <f t="shared" si="14"/>
        <v>1</v>
      </c>
      <c r="O55" s="144">
        <v>1</v>
      </c>
      <c r="P55" s="145">
        <v>15</v>
      </c>
      <c r="Q55" s="113">
        <v>15</v>
      </c>
      <c r="R55" s="113"/>
      <c r="S55" s="113"/>
      <c r="T55" s="146"/>
      <c r="U55" s="148">
        <f t="shared" si="1"/>
        <v>15</v>
      </c>
      <c r="V55" s="149">
        <f t="shared" si="2"/>
        <v>15</v>
      </c>
      <c r="W55" s="189"/>
      <c r="X55" s="199"/>
      <c r="Y55" s="151"/>
      <c r="Z55" s="190"/>
      <c r="AA55" s="153"/>
      <c r="AB55" s="154">
        <f t="shared" si="3"/>
        <v>0</v>
      </c>
      <c r="AC55" s="149">
        <f t="shared" si="4"/>
        <v>0</v>
      </c>
      <c r="AD55" s="125">
        <v>2</v>
      </c>
      <c r="AE55" s="148">
        <f t="shared" si="5"/>
        <v>2</v>
      </c>
      <c r="AF55" s="156"/>
      <c r="AG55" s="156"/>
      <c r="AH55" s="113">
        <f t="shared" si="6"/>
        <v>17</v>
      </c>
      <c r="AI55" s="157">
        <v>65</v>
      </c>
      <c r="AJ55" s="113">
        <f t="shared" si="7"/>
        <v>82</v>
      </c>
      <c r="AK55" s="113">
        <f t="shared" si="8"/>
        <v>82</v>
      </c>
      <c r="AL55" s="158">
        <f t="shared" si="9"/>
        <v>1.02</v>
      </c>
      <c r="AM55" s="159"/>
      <c r="AN55" s="160">
        <f t="shared" si="15"/>
        <v>1</v>
      </c>
      <c r="AO55" s="160">
        <f t="shared" si="15"/>
        <v>2</v>
      </c>
      <c r="AP55" s="133"/>
      <c r="AQ55" s="134"/>
      <c r="AR55" s="161"/>
      <c r="AS55" s="161"/>
      <c r="AT55" s="161"/>
      <c r="AU55" s="161"/>
      <c r="AV55" s="162"/>
      <c r="AW55" s="137">
        <f t="shared" si="11"/>
        <v>0</v>
      </c>
      <c r="AX55" s="137">
        <f t="shared" si="12"/>
        <v>0</v>
      </c>
    </row>
    <row r="56" ht="46.5" customHeight="1" spans="1:50" s="97" customFormat="1" x14ac:dyDescent="0.25">
      <c r="A56" s="100"/>
      <c r="B56" s="100"/>
      <c r="C56" s="100"/>
      <c r="D56" s="100"/>
      <c r="E56" s="100"/>
      <c r="F56" s="100"/>
      <c r="G56" s="103"/>
      <c r="H56" s="186"/>
      <c r="I56" s="195">
        <v>0.51</v>
      </c>
      <c r="J56" s="107">
        <v>0.49</v>
      </c>
      <c r="K56" s="107"/>
      <c r="L56" s="107"/>
      <c r="M56" s="187"/>
      <c r="N56" s="169">
        <f t="shared" si="14"/>
        <v>1</v>
      </c>
      <c r="O56" s="144">
        <v>1</v>
      </c>
      <c r="P56" s="145">
        <v>15</v>
      </c>
      <c r="Q56" s="113">
        <v>15</v>
      </c>
      <c r="R56" s="113"/>
      <c r="S56" s="113"/>
      <c r="T56" s="146"/>
      <c r="U56" s="148">
        <f t="shared" si="1"/>
        <v>15</v>
      </c>
      <c r="V56" s="149">
        <f t="shared" si="2"/>
        <v>15</v>
      </c>
      <c r="W56" s="189"/>
      <c r="X56" s="199"/>
      <c r="Y56" s="151"/>
      <c r="Z56" s="190"/>
      <c r="AA56" s="153"/>
      <c r="AB56" s="154">
        <f t="shared" si="3"/>
        <v>0</v>
      </c>
      <c r="AC56" s="149">
        <f t="shared" si="4"/>
        <v>0</v>
      </c>
      <c r="AD56" s="125">
        <v>2</v>
      </c>
      <c r="AE56" s="148">
        <f t="shared" si="5"/>
        <v>2</v>
      </c>
      <c r="AF56" s="156"/>
      <c r="AG56" s="156"/>
      <c r="AH56" s="113">
        <f t="shared" si="6"/>
        <v>17</v>
      </c>
      <c r="AI56" s="157">
        <v>65</v>
      </c>
      <c r="AJ56" s="113">
        <f t="shared" si="7"/>
        <v>82</v>
      </c>
      <c r="AK56" s="113">
        <f t="shared" si="8"/>
        <v>82</v>
      </c>
      <c r="AL56" s="158">
        <f t="shared" si="9"/>
        <v>1.02</v>
      </c>
      <c r="AM56" s="159"/>
      <c r="AN56" s="160">
        <f t="shared" si="15"/>
        <v>1</v>
      </c>
      <c r="AO56" s="160">
        <f t="shared" si="15"/>
        <v>2</v>
      </c>
      <c r="AP56" s="133"/>
      <c r="AQ56" s="134"/>
      <c r="AR56" s="161"/>
      <c r="AS56" s="161"/>
      <c r="AT56" s="161"/>
      <c r="AU56" s="161"/>
      <c r="AV56" s="162"/>
      <c r="AW56" s="137">
        <f t="shared" si="11"/>
        <v>0</v>
      </c>
      <c r="AX56" s="137">
        <f t="shared" si="12"/>
        <v>0</v>
      </c>
    </row>
    <row r="57" ht="46.5" customHeight="1" spans="1:50" s="97" customFormat="1" x14ac:dyDescent="0.25">
      <c r="A57" s="100"/>
      <c r="B57" s="100"/>
      <c r="C57" s="100"/>
      <c r="D57" s="100"/>
      <c r="E57" s="100"/>
      <c r="F57" s="100"/>
      <c r="G57" s="103"/>
      <c r="H57" s="186"/>
      <c r="I57" s="195">
        <v>0.51</v>
      </c>
      <c r="J57" s="107">
        <v>0.49</v>
      </c>
      <c r="K57" s="107"/>
      <c r="L57" s="107"/>
      <c r="M57" s="187"/>
      <c r="N57" s="169">
        <f t="shared" si="14"/>
        <v>1</v>
      </c>
      <c r="O57" s="144">
        <v>1</v>
      </c>
      <c r="P57" s="145">
        <v>15</v>
      </c>
      <c r="Q57" s="113">
        <v>15</v>
      </c>
      <c r="R57" s="113"/>
      <c r="S57" s="113"/>
      <c r="T57" s="146"/>
      <c r="U57" s="148">
        <f t="shared" si="1"/>
        <v>15</v>
      </c>
      <c r="V57" s="149">
        <f t="shared" si="2"/>
        <v>15</v>
      </c>
      <c r="W57" s="189"/>
      <c r="X57" s="199"/>
      <c r="Y57" s="151"/>
      <c r="Z57" s="190"/>
      <c r="AA57" s="153"/>
      <c r="AB57" s="154">
        <f t="shared" si="3"/>
        <v>0</v>
      </c>
      <c r="AC57" s="149">
        <f t="shared" si="4"/>
        <v>0</v>
      </c>
      <c r="AD57" s="125">
        <v>2</v>
      </c>
      <c r="AE57" s="148">
        <f t="shared" si="5"/>
        <v>2</v>
      </c>
      <c r="AF57" s="156"/>
      <c r="AG57" s="156"/>
      <c r="AH57" s="113">
        <f t="shared" si="6"/>
        <v>17</v>
      </c>
      <c r="AI57" s="157">
        <v>65</v>
      </c>
      <c r="AJ57" s="113">
        <f t="shared" si="7"/>
        <v>82</v>
      </c>
      <c r="AK57" s="113">
        <f t="shared" si="8"/>
        <v>82</v>
      </c>
      <c r="AL57" s="158">
        <f t="shared" si="9"/>
        <v>1.02</v>
      </c>
      <c r="AM57" s="159"/>
      <c r="AN57" s="160">
        <f t="shared" si="15"/>
        <v>1</v>
      </c>
      <c r="AO57" s="160">
        <f t="shared" si="15"/>
        <v>2</v>
      </c>
      <c r="AP57" s="133"/>
      <c r="AQ57" s="134"/>
      <c r="AR57" s="161"/>
      <c r="AS57" s="161"/>
      <c r="AT57" s="161"/>
      <c r="AU57" s="161"/>
      <c r="AV57" s="162"/>
      <c r="AW57" s="137">
        <f t="shared" si="11"/>
        <v>0</v>
      </c>
      <c r="AX57" s="137">
        <f t="shared" si="12"/>
        <v>0</v>
      </c>
    </row>
    <row r="58" ht="46.5" customHeight="1" spans="1:50" s="97" customFormat="1" x14ac:dyDescent="0.25">
      <c r="A58" s="100"/>
      <c r="B58" s="100"/>
      <c r="C58" s="100"/>
      <c r="D58" s="100"/>
      <c r="E58" s="100"/>
      <c r="F58" s="100"/>
      <c r="G58" s="103"/>
      <c r="H58" s="186"/>
      <c r="I58" s="195">
        <v>0.51</v>
      </c>
      <c r="J58" s="107">
        <v>0.49</v>
      </c>
      <c r="K58" s="107"/>
      <c r="L58" s="107"/>
      <c r="M58" s="187"/>
      <c r="N58" s="169">
        <f t="shared" si="14"/>
        <v>1</v>
      </c>
      <c r="O58" s="144">
        <v>1</v>
      </c>
      <c r="P58" s="145">
        <v>15</v>
      </c>
      <c r="Q58" s="113">
        <v>15</v>
      </c>
      <c r="R58" s="113"/>
      <c r="S58" s="113"/>
      <c r="T58" s="146"/>
      <c r="U58" s="148">
        <f t="shared" si="1"/>
        <v>15</v>
      </c>
      <c r="V58" s="149">
        <f t="shared" si="2"/>
        <v>15</v>
      </c>
      <c r="W58" s="189"/>
      <c r="X58" s="199"/>
      <c r="Y58" s="151"/>
      <c r="Z58" s="190"/>
      <c r="AA58" s="153"/>
      <c r="AB58" s="154">
        <f t="shared" si="3"/>
        <v>0</v>
      </c>
      <c r="AC58" s="149">
        <f t="shared" si="4"/>
        <v>0</v>
      </c>
      <c r="AD58" s="125">
        <v>2</v>
      </c>
      <c r="AE58" s="148">
        <f t="shared" si="5"/>
        <v>2</v>
      </c>
      <c r="AF58" s="156"/>
      <c r="AG58" s="156"/>
      <c r="AH58" s="113">
        <f t="shared" si="6"/>
        <v>17</v>
      </c>
      <c r="AI58" s="157">
        <v>65</v>
      </c>
      <c r="AJ58" s="113">
        <f t="shared" si="7"/>
        <v>82</v>
      </c>
      <c r="AK58" s="113">
        <f t="shared" si="8"/>
        <v>82</v>
      </c>
      <c r="AL58" s="158">
        <f t="shared" si="9"/>
        <v>1.02</v>
      </c>
      <c r="AM58" s="159"/>
      <c r="AN58" s="160">
        <f t="shared" si="15"/>
        <v>1</v>
      </c>
      <c r="AO58" s="160">
        <f t="shared" si="15"/>
        <v>2</v>
      </c>
      <c r="AP58" s="133"/>
      <c r="AQ58" s="134"/>
      <c r="AR58" s="161"/>
      <c r="AS58" s="161"/>
      <c r="AT58" s="161"/>
      <c r="AU58" s="161"/>
      <c r="AV58" s="162"/>
      <c r="AW58" s="137">
        <f t="shared" si="11"/>
        <v>0</v>
      </c>
      <c r="AX58" s="137">
        <f t="shared" si="12"/>
        <v>0</v>
      </c>
    </row>
    <row r="59" ht="46.5" customHeight="1" spans="1:50" s="97" customFormat="1" x14ac:dyDescent="0.25">
      <c r="A59" s="100"/>
      <c r="B59" s="100"/>
      <c r="C59" s="100"/>
      <c r="D59" s="100"/>
      <c r="E59" s="100"/>
      <c r="F59" s="100"/>
      <c r="G59" s="103"/>
      <c r="H59" s="186"/>
      <c r="I59" s="195">
        <v>0.51</v>
      </c>
      <c r="J59" s="107">
        <v>0.49</v>
      </c>
      <c r="K59" s="107"/>
      <c r="L59" s="107"/>
      <c r="M59" s="187"/>
      <c r="N59" s="169">
        <f t="shared" si="14"/>
        <v>1</v>
      </c>
      <c r="O59" s="144">
        <v>1</v>
      </c>
      <c r="P59" s="145">
        <v>15</v>
      </c>
      <c r="Q59" s="113">
        <v>15</v>
      </c>
      <c r="R59" s="113"/>
      <c r="S59" s="113"/>
      <c r="T59" s="146"/>
      <c r="U59" s="148">
        <f t="shared" si="1"/>
        <v>15</v>
      </c>
      <c r="V59" s="149">
        <f t="shared" si="2"/>
        <v>15</v>
      </c>
      <c r="W59" s="189"/>
      <c r="X59" s="199"/>
      <c r="Y59" s="151"/>
      <c r="Z59" s="190"/>
      <c r="AA59" s="153"/>
      <c r="AB59" s="154">
        <f t="shared" si="3"/>
        <v>0</v>
      </c>
      <c r="AC59" s="149">
        <f t="shared" si="4"/>
        <v>0</v>
      </c>
      <c r="AD59" s="125">
        <v>2</v>
      </c>
      <c r="AE59" s="148">
        <f t="shared" si="5"/>
        <v>2</v>
      </c>
      <c r="AF59" s="156"/>
      <c r="AG59" s="156"/>
      <c r="AH59" s="113">
        <f t="shared" si="6"/>
        <v>17</v>
      </c>
      <c r="AI59" s="157">
        <v>65</v>
      </c>
      <c r="AJ59" s="113">
        <f t="shared" si="7"/>
        <v>82</v>
      </c>
      <c r="AK59" s="113">
        <f t="shared" si="8"/>
        <v>82</v>
      </c>
      <c r="AL59" s="158">
        <f t="shared" si="9"/>
        <v>1.02</v>
      </c>
      <c r="AM59" s="159"/>
      <c r="AN59" s="160">
        <f t="shared" si="15"/>
        <v>1</v>
      </c>
      <c r="AO59" s="160">
        <f t="shared" si="15"/>
        <v>2</v>
      </c>
      <c r="AP59" s="133"/>
      <c r="AQ59" s="134"/>
      <c r="AR59" s="161"/>
      <c r="AS59" s="161"/>
      <c r="AT59" s="161"/>
      <c r="AU59" s="161"/>
      <c r="AV59" s="162"/>
      <c r="AW59" s="137">
        <f t="shared" si="11"/>
        <v>0</v>
      </c>
      <c r="AX59" s="137">
        <f t="shared" si="12"/>
        <v>0</v>
      </c>
    </row>
    <row r="60" ht="46.5" customHeight="1" spans="1:50" s="97" customFormat="1" x14ac:dyDescent="0.25">
      <c r="A60" s="100"/>
      <c r="B60" s="100"/>
      <c r="C60" s="100"/>
      <c r="D60" s="100"/>
      <c r="E60" s="100"/>
      <c r="F60" s="100"/>
      <c r="G60" s="103"/>
      <c r="H60" s="186"/>
      <c r="I60" s="195">
        <v>0.51</v>
      </c>
      <c r="J60" s="107">
        <v>0.49</v>
      </c>
      <c r="K60" s="107"/>
      <c r="L60" s="107"/>
      <c r="M60" s="187"/>
      <c r="N60" s="169">
        <f t="shared" si="14"/>
        <v>1</v>
      </c>
      <c r="O60" s="144">
        <v>1</v>
      </c>
      <c r="P60" s="145">
        <v>15</v>
      </c>
      <c r="Q60" s="113">
        <v>15</v>
      </c>
      <c r="R60" s="113"/>
      <c r="S60" s="113"/>
      <c r="T60" s="146"/>
      <c r="U60" s="148">
        <f t="shared" si="1"/>
        <v>15</v>
      </c>
      <c r="V60" s="149">
        <f t="shared" si="2"/>
        <v>15</v>
      </c>
      <c r="W60" s="189"/>
      <c r="X60" s="199"/>
      <c r="Y60" s="151"/>
      <c r="Z60" s="190"/>
      <c r="AA60" s="153"/>
      <c r="AB60" s="154">
        <f t="shared" si="3"/>
        <v>0</v>
      </c>
      <c r="AC60" s="149">
        <f t="shared" si="4"/>
        <v>0</v>
      </c>
      <c r="AD60" s="125">
        <v>2</v>
      </c>
      <c r="AE60" s="148">
        <f t="shared" si="5"/>
        <v>2</v>
      </c>
      <c r="AF60" s="156"/>
      <c r="AG60" s="156"/>
      <c r="AH60" s="113">
        <f t="shared" si="6"/>
        <v>17</v>
      </c>
      <c r="AI60" s="157">
        <v>65</v>
      </c>
      <c r="AJ60" s="113">
        <f t="shared" si="7"/>
        <v>82</v>
      </c>
      <c r="AK60" s="113">
        <f t="shared" si="8"/>
        <v>82</v>
      </c>
      <c r="AL60" s="158">
        <f t="shared" si="9"/>
        <v>1.02</v>
      </c>
      <c r="AM60" s="159"/>
      <c r="AN60" s="160">
        <f t="shared" si="15"/>
        <v>1</v>
      </c>
      <c r="AO60" s="160">
        <f t="shared" si="15"/>
        <v>2</v>
      </c>
      <c r="AP60" s="133"/>
      <c r="AQ60" s="134"/>
      <c r="AR60" s="161"/>
      <c r="AS60" s="161"/>
      <c r="AT60" s="161"/>
      <c r="AU60" s="161"/>
      <c r="AV60" s="162"/>
      <c r="AW60" s="137">
        <f t="shared" si="11"/>
        <v>0</v>
      </c>
      <c r="AX60" s="137">
        <f t="shared" si="12"/>
        <v>0</v>
      </c>
    </row>
    <row r="61" ht="46.5" customHeight="1" spans="1:50" s="97" customFormat="1" x14ac:dyDescent="0.25">
      <c r="A61" s="100"/>
      <c r="B61" s="100"/>
      <c r="C61" s="100"/>
      <c r="D61" s="100"/>
      <c r="E61" s="100"/>
      <c r="F61" s="100"/>
      <c r="G61" s="103"/>
      <c r="H61" s="186"/>
      <c r="I61" s="195">
        <v>0.51</v>
      </c>
      <c r="J61" s="107">
        <v>0.49</v>
      </c>
      <c r="K61" s="107"/>
      <c r="L61" s="107"/>
      <c r="M61" s="187"/>
      <c r="N61" s="169">
        <f t="shared" si="14"/>
        <v>1</v>
      </c>
      <c r="O61" s="144">
        <v>1</v>
      </c>
      <c r="P61" s="145">
        <v>15</v>
      </c>
      <c r="Q61" s="113">
        <v>15</v>
      </c>
      <c r="R61" s="113"/>
      <c r="S61" s="113"/>
      <c r="T61" s="146"/>
      <c r="U61" s="148">
        <f t="shared" si="1"/>
        <v>15</v>
      </c>
      <c r="V61" s="149">
        <f t="shared" si="2"/>
        <v>15</v>
      </c>
      <c r="W61" s="189"/>
      <c r="X61" s="199"/>
      <c r="Y61" s="151"/>
      <c r="Z61" s="190"/>
      <c r="AA61" s="153"/>
      <c r="AB61" s="154">
        <f t="shared" si="3"/>
        <v>0</v>
      </c>
      <c r="AC61" s="149">
        <f t="shared" si="4"/>
        <v>0</v>
      </c>
      <c r="AD61" s="125">
        <v>2</v>
      </c>
      <c r="AE61" s="148">
        <f t="shared" si="5"/>
        <v>2</v>
      </c>
      <c r="AF61" s="156"/>
      <c r="AG61" s="156"/>
      <c r="AH61" s="113">
        <f t="shared" si="6"/>
        <v>17</v>
      </c>
      <c r="AI61" s="157">
        <v>65</v>
      </c>
      <c r="AJ61" s="113">
        <f t="shared" si="7"/>
        <v>82</v>
      </c>
      <c r="AK61" s="113">
        <f t="shared" si="8"/>
        <v>82</v>
      </c>
      <c r="AL61" s="158">
        <f t="shared" si="9"/>
        <v>1.02</v>
      </c>
      <c r="AM61" s="159"/>
      <c r="AN61" s="160">
        <f t="shared" si="15"/>
        <v>1</v>
      </c>
      <c r="AO61" s="160">
        <f t="shared" si="15"/>
        <v>2</v>
      </c>
      <c r="AP61" s="133"/>
      <c r="AQ61" s="134"/>
      <c r="AR61" s="161"/>
      <c r="AS61" s="161"/>
      <c r="AT61" s="161"/>
      <c r="AU61" s="161"/>
      <c r="AV61" s="162"/>
      <c r="AW61" s="137">
        <f t="shared" si="11"/>
        <v>0</v>
      </c>
      <c r="AX61" s="137">
        <f t="shared" si="12"/>
        <v>0</v>
      </c>
    </row>
    <row r="62" ht="46.5" customHeight="1" spans="1:50" s="97" customFormat="1" x14ac:dyDescent="0.25">
      <c r="A62" s="100"/>
      <c r="B62" s="100"/>
      <c r="C62" s="100"/>
      <c r="D62" s="100"/>
      <c r="E62" s="100"/>
      <c r="F62" s="100"/>
      <c r="G62" s="103"/>
      <c r="H62" s="186"/>
      <c r="I62" s="195">
        <v>0.51</v>
      </c>
      <c r="J62" s="107">
        <v>0.49</v>
      </c>
      <c r="K62" s="107"/>
      <c r="L62" s="107"/>
      <c r="M62" s="187"/>
      <c r="N62" s="169">
        <f t="shared" si="14"/>
        <v>1</v>
      </c>
      <c r="O62" s="144">
        <v>1</v>
      </c>
      <c r="P62" s="145">
        <v>15</v>
      </c>
      <c r="Q62" s="113">
        <v>15</v>
      </c>
      <c r="R62" s="113"/>
      <c r="S62" s="113"/>
      <c r="T62" s="146"/>
      <c r="U62" s="148">
        <f t="shared" si="1"/>
        <v>15</v>
      </c>
      <c r="V62" s="149">
        <f t="shared" si="2"/>
        <v>15</v>
      </c>
      <c r="W62" s="189"/>
      <c r="X62" s="199"/>
      <c r="Y62" s="151"/>
      <c r="Z62" s="190"/>
      <c r="AA62" s="153"/>
      <c r="AB62" s="154">
        <f t="shared" si="3"/>
        <v>0</v>
      </c>
      <c r="AC62" s="149">
        <f t="shared" si="4"/>
        <v>0</v>
      </c>
      <c r="AD62" s="125">
        <v>2</v>
      </c>
      <c r="AE62" s="148">
        <f t="shared" si="5"/>
        <v>2</v>
      </c>
      <c r="AF62" s="156"/>
      <c r="AG62" s="156"/>
      <c r="AH62" s="113">
        <f t="shared" si="6"/>
        <v>17</v>
      </c>
      <c r="AI62" s="157">
        <v>65</v>
      </c>
      <c r="AJ62" s="113">
        <f t="shared" si="7"/>
        <v>82</v>
      </c>
      <c r="AK62" s="113">
        <f t="shared" si="8"/>
        <v>82</v>
      </c>
      <c r="AL62" s="158">
        <f t="shared" si="9"/>
        <v>1.02</v>
      </c>
      <c r="AM62" s="159"/>
      <c r="AN62" s="160">
        <f t="shared" si="15"/>
        <v>1</v>
      </c>
      <c r="AO62" s="160">
        <f t="shared" si="15"/>
        <v>2</v>
      </c>
      <c r="AP62" s="133"/>
      <c r="AQ62" s="134"/>
      <c r="AR62" s="161"/>
      <c r="AS62" s="161"/>
      <c r="AT62" s="161"/>
      <c r="AU62" s="161"/>
      <c r="AV62" s="162"/>
      <c r="AW62" s="137">
        <f t="shared" si="11"/>
        <v>0</v>
      </c>
      <c r="AX62" s="137">
        <f t="shared" si="12"/>
        <v>0</v>
      </c>
    </row>
    <row r="63" ht="46.5" customHeight="1" spans="1:50" s="97" customFormat="1" x14ac:dyDescent="0.25">
      <c r="A63" s="100"/>
      <c r="B63" s="100"/>
      <c r="C63" s="100"/>
      <c r="D63" s="100"/>
      <c r="E63" s="100"/>
      <c r="F63" s="100"/>
      <c r="G63" s="103"/>
      <c r="H63" s="186"/>
      <c r="I63" s="195">
        <v>0.51</v>
      </c>
      <c r="J63" s="107">
        <v>0.49</v>
      </c>
      <c r="K63" s="107"/>
      <c r="L63" s="107"/>
      <c r="M63" s="187"/>
      <c r="N63" s="169">
        <f t="shared" si="14"/>
        <v>1</v>
      </c>
      <c r="O63" s="144">
        <v>1</v>
      </c>
      <c r="P63" s="145">
        <v>15</v>
      </c>
      <c r="Q63" s="113">
        <v>15</v>
      </c>
      <c r="R63" s="113"/>
      <c r="S63" s="113"/>
      <c r="T63" s="146"/>
      <c r="U63" s="148">
        <f t="shared" si="1"/>
        <v>15</v>
      </c>
      <c r="V63" s="149">
        <f t="shared" si="2"/>
        <v>15</v>
      </c>
      <c r="W63" s="189"/>
      <c r="X63" s="199"/>
      <c r="Y63" s="151"/>
      <c r="Z63" s="190"/>
      <c r="AA63" s="153"/>
      <c r="AB63" s="154">
        <f t="shared" si="3"/>
        <v>0</v>
      </c>
      <c r="AC63" s="149">
        <f t="shared" si="4"/>
        <v>0</v>
      </c>
      <c r="AD63" s="125">
        <v>2</v>
      </c>
      <c r="AE63" s="148">
        <f t="shared" si="5"/>
        <v>2</v>
      </c>
      <c r="AF63" s="156"/>
      <c r="AG63" s="156"/>
      <c r="AH63" s="113">
        <f t="shared" si="6"/>
        <v>17</v>
      </c>
      <c r="AI63" s="157">
        <v>65</v>
      </c>
      <c r="AJ63" s="113">
        <f t="shared" si="7"/>
        <v>82</v>
      </c>
      <c r="AK63" s="113">
        <f t="shared" si="8"/>
        <v>82</v>
      </c>
      <c r="AL63" s="158">
        <f t="shared" si="9"/>
        <v>1.02</v>
      </c>
      <c r="AM63" s="159"/>
      <c r="AN63" s="160">
        <f t="shared" si="15"/>
        <v>1</v>
      </c>
      <c r="AO63" s="160">
        <f t="shared" si="15"/>
        <v>2</v>
      </c>
      <c r="AP63" s="133"/>
      <c r="AQ63" s="134"/>
      <c r="AR63" s="161"/>
      <c r="AS63" s="161"/>
      <c r="AT63" s="161"/>
      <c r="AU63" s="161"/>
      <c r="AV63" s="162"/>
      <c r="AW63" s="137">
        <f t="shared" si="11"/>
        <v>0</v>
      </c>
      <c r="AX63" s="137">
        <f t="shared" si="12"/>
        <v>0</v>
      </c>
    </row>
    <row r="64" ht="46.5" customHeight="1" spans="1:50" s="97" customFormat="1" x14ac:dyDescent="0.25">
      <c r="A64" s="100"/>
      <c r="B64" s="100"/>
      <c r="C64" s="100"/>
      <c r="D64" s="100"/>
      <c r="E64" s="100"/>
      <c r="F64" s="100"/>
      <c r="G64" s="103"/>
      <c r="H64" s="186"/>
      <c r="I64" s="195">
        <v>0.51</v>
      </c>
      <c r="J64" s="107">
        <v>0.49</v>
      </c>
      <c r="K64" s="107"/>
      <c r="L64" s="107"/>
      <c r="M64" s="187"/>
      <c r="N64" s="169">
        <f t="shared" si="14"/>
        <v>1</v>
      </c>
      <c r="O64" s="144">
        <v>1</v>
      </c>
      <c r="P64" s="145">
        <v>15</v>
      </c>
      <c r="Q64" s="113">
        <v>15</v>
      </c>
      <c r="R64" s="113"/>
      <c r="S64" s="113"/>
      <c r="T64" s="146"/>
      <c r="U64" s="148">
        <f t="shared" si="1"/>
        <v>15</v>
      </c>
      <c r="V64" s="149">
        <f t="shared" si="2"/>
        <v>15</v>
      </c>
      <c r="W64" s="189"/>
      <c r="X64" s="199"/>
      <c r="Y64" s="151"/>
      <c r="Z64" s="190"/>
      <c r="AA64" s="153"/>
      <c r="AB64" s="154">
        <f t="shared" si="3"/>
        <v>0</v>
      </c>
      <c r="AC64" s="149">
        <f t="shared" si="4"/>
        <v>0</v>
      </c>
      <c r="AD64" s="125">
        <v>2</v>
      </c>
      <c r="AE64" s="148">
        <f t="shared" si="5"/>
        <v>2</v>
      </c>
      <c r="AF64" s="156"/>
      <c r="AG64" s="156"/>
      <c r="AH64" s="113">
        <f t="shared" si="6"/>
        <v>17</v>
      </c>
      <c r="AI64" s="157">
        <v>65</v>
      </c>
      <c r="AJ64" s="113">
        <f t="shared" si="7"/>
        <v>82</v>
      </c>
      <c r="AK64" s="113">
        <f t="shared" si="8"/>
        <v>82</v>
      </c>
      <c r="AL64" s="158">
        <f t="shared" si="9"/>
        <v>1.02</v>
      </c>
      <c r="AM64" s="159"/>
      <c r="AN64" s="160">
        <f t="shared" si="15"/>
        <v>1</v>
      </c>
      <c r="AO64" s="160">
        <f t="shared" si="15"/>
        <v>2</v>
      </c>
      <c r="AP64" s="133"/>
      <c r="AQ64" s="134"/>
      <c r="AR64" s="161"/>
      <c r="AS64" s="161"/>
      <c r="AT64" s="161"/>
      <c r="AU64" s="161"/>
      <c r="AV64" s="162"/>
      <c r="AW64" s="137">
        <f t="shared" si="11"/>
        <v>0</v>
      </c>
      <c r="AX64" s="137">
        <f t="shared" si="12"/>
        <v>0</v>
      </c>
    </row>
    <row r="65" ht="46.5" customHeight="1" spans="1:50" s="97" customFormat="1" x14ac:dyDescent="0.25">
      <c r="A65" s="100"/>
      <c r="B65" s="100"/>
      <c r="C65" s="100"/>
      <c r="D65" s="100"/>
      <c r="E65" s="100"/>
      <c r="F65" s="100"/>
      <c r="G65" s="103"/>
      <c r="H65" s="186"/>
      <c r="I65" s="195">
        <v>0.51</v>
      </c>
      <c r="J65" s="107">
        <v>0.49</v>
      </c>
      <c r="K65" s="107"/>
      <c r="L65" s="107"/>
      <c r="M65" s="187"/>
      <c r="N65" s="169">
        <f t="shared" si="14"/>
        <v>1</v>
      </c>
      <c r="O65" s="144">
        <v>1</v>
      </c>
      <c r="P65" s="145">
        <v>15</v>
      </c>
      <c r="Q65" s="113">
        <v>15</v>
      </c>
      <c r="R65" s="113"/>
      <c r="S65" s="113"/>
      <c r="T65" s="146"/>
      <c r="U65" s="148">
        <f t="shared" si="1"/>
        <v>15</v>
      </c>
      <c r="V65" s="149">
        <f t="shared" si="2"/>
        <v>15</v>
      </c>
      <c r="W65" s="189"/>
      <c r="X65" s="199"/>
      <c r="Y65" s="151"/>
      <c r="Z65" s="190"/>
      <c r="AA65" s="153"/>
      <c r="AB65" s="154">
        <f t="shared" si="3"/>
        <v>0</v>
      </c>
      <c r="AC65" s="149">
        <f t="shared" si="4"/>
        <v>0</v>
      </c>
      <c r="AD65" s="125">
        <v>2</v>
      </c>
      <c r="AE65" s="148">
        <f t="shared" si="5"/>
        <v>2</v>
      </c>
      <c r="AF65" s="156"/>
      <c r="AG65" s="156"/>
      <c r="AH65" s="113">
        <f t="shared" si="6"/>
        <v>17</v>
      </c>
      <c r="AI65" s="157">
        <v>65</v>
      </c>
      <c r="AJ65" s="113">
        <f t="shared" si="7"/>
        <v>82</v>
      </c>
      <c r="AK65" s="113">
        <f t="shared" si="8"/>
        <v>82</v>
      </c>
      <c r="AL65" s="158">
        <f t="shared" si="9"/>
        <v>1.02</v>
      </c>
      <c r="AM65" s="159"/>
      <c r="AN65" s="160">
        <f t="shared" si="15"/>
        <v>1</v>
      </c>
      <c r="AO65" s="160">
        <f t="shared" si="15"/>
        <v>2</v>
      </c>
      <c r="AP65" s="133"/>
      <c r="AQ65" s="134"/>
      <c r="AR65" s="161"/>
      <c r="AS65" s="161"/>
      <c r="AT65" s="161"/>
      <c r="AU65" s="161"/>
      <c r="AV65" s="162"/>
      <c r="AW65" s="137">
        <f t="shared" si="11"/>
        <v>0</v>
      </c>
      <c r="AX65" s="137">
        <f t="shared" si="12"/>
        <v>0</v>
      </c>
    </row>
    <row r="66" ht="46.5" customHeight="1" spans="1:50" s="97" customFormat="1" x14ac:dyDescent="0.25">
      <c r="A66" s="100"/>
      <c r="B66" s="100"/>
      <c r="C66" s="100"/>
      <c r="D66" s="100"/>
      <c r="E66" s="100"/>
      <c r="F66" s="100"/>
      <c r="G66" s="103"/>
      <c r="H66" s="186"/>
      <c r="I66" s="195">
        <v>0.51</v>
      </c>
      <c r="J66" s="107">
        <v>0.49</v>
      </c>
      <c r="K66" s="107"/>
      <c r="L66" s="107"/>
      <c r="M66" s="187"/>
      <c r="N66" s="169">
        <f t="shared" si="14"/>
        <v>1</v>
      </c>
      <c r="O66" s="144">
        <v>1</v>
      </c>
      <c r="P66" s="145">
        <v>15</v>
      </c>
      <c r="Q66" s="113">
        <v>15</v>
      </c>
      <c r="R66" s="113"/>
      <c r="S66" s="113"/>
      <c r="T66" s="146"/>
      <c r="U66" s="148">
        <f t="shared" si="1"/>
        <v>15</v>
      </c>
      <c r="V66" s="149">
        <f t="shared" si="2"/>
        <v>15</v>
      </c>
      <c r="W66" s="189"/>
      <c r="X66" s="199"/>
      <c r="Y66" s="151"/>
      <c r="Z66" s="190"/>
      <c r="AA66" s="153"/>
      <c r="AB66" s="154">
        <f t="shared" si="3"/>
        <v>0</v>
      </c>
      <c r="AC66" s="149">
        <f t="shared" si="4"/>
        <v>0</v>
      </c>
      <c r="AD66" s="125">
        <v>2</v>
      </c>
      <c r="AE66" s="148">
        <f t="shared" si="5"/>
        <v>2</v>
      </c>
      <c r="AF66" s="156"/>
      <c r="AG66" s="156"/>
      <c r="AH66" s="113">
        <f t="shared" si="6"/>
        <v>17</v>
      </c>
      <c r="AI66" s="157">
        <v>65</v>
      </c>
      <c r="AJ66" s="113">
        <f t="shared" si="7"/>
        <v>82</v>
      </c>
      <c r="AK66" s="113">
        <f t="shared" si="8"/>
        <v>82</v>
      </c>
      <c r="AL66" s="158">
        <f t="shared" si="9"/>
        <v>1.02</v>
      </c>
      <c r="AM66" s="159"/>
      <c r="AN66" s="160">
        <f t="shared" si="15"/>
        <v>1</v>
      </c>
      <c r="AO66" s="160">
        <f t="shared" si="15"/>
        <v>2</v>
      </c>
      <c r="AP66" s="133"/>
      <c r="AQ66" s="134"/>
      <c r="AR66" s="161"/>
      <c r="AS66" s="161"/>
      <c r="AT66" s="161"/>
      <c r="AU66" s="161"/>
      <c r="AV66" s="162"/>
      <c r="AW66" s="137">
        <f t="shared" si="11"/>
        <v>0</v>
      </c>
      <c r="AX66" s="137">
        <f t="shared" si="12"/>
        <v>0</v>
      </c>
    </row>
    <row r="67" ht="46.5" customHeight="1" spans="1:50" s="97" customFormat="1" x14ac:dyDescent="0.25">
      <c r="A67" s="100"/>
      <c r="B67" s="100"/>
      <c r="C67" s="100"/>
      <c r="D67" s="100"/>
      <c r="E67" s="100"/>
      <c r="F67" s="100"/>
      <c r="G67" s="103"/>
      <c r="H67" s="186"/>
      <c r="I67" s="195">
        <v>0.51</v>
      </c>
      <c r="J67" s="107">
        <v>0.49</v>
      </c>
      <c r="K67" s="107"/>
      <c r="L67" s="107"/>
      <c r="M67" s="187"/>
      <c r="N67" s="169">
        <f t="shared" si="14"/>
        <v>1</v>
      </c>
      <c r="O67" s="144">
        <v>1</v>
      </c>
      <c r="P67" s="145">
        <v>15</v>
      </c>
      <c r="Q67" s="113">
        <v>15</v>
      </c>
      <c r="R67" s="113"/>
      <c r="S67" s="113"/>
      <c r="T67" s="146"/>
      <c r="U67" s="148">
        <f t="shared" si="1"/>
        <v>15</v>
      </c>
      <c r="V67" s="149">
        <f t="shared" si="2"/>
        <v>15</v>
      </c>
      <c r="W67" s="189"/>
      <c r="X67" s="199"/>
      <c r="Y67" s="151"/>
      <c r="Z67" s="190"/>
      <c r="AA67" s="153"/>
      <c r="AB67" s="154">
        <f t="shared" si="3"/>
        <v>0</v>
      </c>
      <c r="AC67" s="149">
        <f t="shared" si="4"/>
        <v>0</v>
      </c>
      <c r="AD67" s="125">
        <v>2</v>
      </c>
      <c r="AE67" s="148">
        <f t="shared" si="5"/>
        <v>2</v>
      </c>
      <c r="AF67" s="156"/>
      <c r="AG67" s="156"/>
      <c r="AH67" s="113">
        <f t="shared" si="6"/>
        <v>17</v>
      </c>
      <c r="AI67" s="157">
        <v>65</v>
      </c>
      <c r="AJ67" s="113">
        <f t="shared" si="7"/>
        <v>82</v>
      </c>
      <c r="AK67" s="113">
        <f t="shared" si="8"/>
        <v>82</v>
      </c>
      <c r="AL67" s="158">
        <f t="shared" si="9"/>
        <v>1.02</v>
      </c>
      <c r="AM67" s="159"/>
      <c r="AN67" s="160">
        <f t="shared" si="15"/>
        <v>1</v>
      </c>
      <c r="AO67" s="160">
        <f t="shared" si="15"/>
        <v>2</v>
      </c>
      <c r="AP67" s="133"/>
      <c r="AQ67" s="134"/>
      <c r="AR67" s="161"/>
      <c r="AS67" s="161"/>
      <c r="AT67" s="161"/>
      <c r="AU67" s="161"/>
      <c r="AV67" s="162"/>
      <c r="AW67" s="137">
        <f t="shared" si="11"/>
        <v>0</v>
      </c>
      <c r="AX67" s="137">
        <f t="shared" si="12"/>
        <v>0</v>
      </c>
    </row>
    <row r="68" ht="46.5" customHeight="1" spans="1:50" s="97" customFormat="1" x14ac:dyDescent="0.25">
      <c r="A68" s="100"/>
      <c r="B68" s="100"/>
      <c r="C68" s="100"/>
      <c r="D68" s="100"/>
      <c r="E68" s="100"/>
      <c r="F68" s="100"/>
      <c r="G68" s="103"/>
      <c r="H68" s="186"/>
      <c r="I68" s="195">
        <v>0.51</v>
      </c>
      <c r="J68" s="107">
        <v>0.49</v>
      </c>
      <c r="K68" s="107"/>
      <c r="L68" s="107"/>
      <c r="M68" s="187"/>
      <c r="N68" s="169">
        <f t="shared" si="14"/>
        <v>1</v>
      </c>
      <c r="O68" s="144">
        <v>1</v>
      </c>
      <c r="P68" s="145">
        <v>15</v>
      </c>
      <c r="Q68" s="113">
        <v>15</v>
      </c>
      <c r="R68" s="113"/>
      <c r="S68" s="113"/>
      <c r="T68" s="146"/>
      <c r="U68" s="148">
        <f t="shared" si="1"/>
        <v>15</v>
      </c>
      <c r="V68" s="149">
        <f t="shared" si="2"/>
        <v>15</v>
      </c>
      <c r="W68" s="189"/>
      <c r="X68" s="199"/>
      <c r="Y68" s="151"/>
      <c r="Z68" s="190"/>
      <c r="AA68" s="153"/>
      <c r="AB68" s="154">
        <f t="shared" si="3"/>
        <v>0</v>
      </c>
      <c r="AC68" s="149">
        <f t="shared" si="4"/>
        <v>0</v>
      </c>
      <c r="AD68" s="125">
        <v>2</v>
      </c>
      <c r="AE68" s="148">
        <f t="shared" si="5"/>
        <v>2</v>
      </c>
      <c r="AF68" s="156"/>
      <c r="AG68" s="156"/>
      <c r="AH68" s="113">
        <f t="shared" si="6"/>
        <v>17</v>
      </c>
      <c r="AI68" s="157">
        <v>65</v>
      </c>
      <c r="AJ68" s="113">
        <f t="shared" si="7"/>
        <v>82</v>
      </c>
      <c r="AK68" s="113">
        <f t="shared" si="8"/>
        <v>82</v>
      </c>
      <c r="AL68" s="158">
        <f t="shared" si="9"/>
        <v>1.02</v>
      </c>
      <c r="AM68" s="159"/>
      <c r="AN68" s="160">
        <f t="shared" si="15"/>
        <v>1</v>
      </c>
      <c r="AO68" s="160">
        <f t="shared" si="15"/>
        <v>2</v>
      </c>
      <c r="AP68" s="133"/>
      <c r="AQ68" s="134"/>
      <c r="AR68" s="161"/>
      <c r="AS68" s="161"/>
      <c r="AT68" s="161"/>
      <c r="AU68" s="161"/>
      <c r="AV68" s="162"/>
      <c r="AW68" s="137">
        <f t="shared" si="11"/>
        <v>0</v>
      </c>
      <c r="AX68" s="137">
        <f t="shared" si="12"/>
        <v>0</v>
      </c>
    </row>
    <row r="69" ht="46.5" customHeight="1" spans="1:50" s="97" customFormat="1" x14ac:dyDescent="0.25">
      <c r="A69" s="100"/>
      <c r="B69" s="100"/>
      <c r="C69" s="100"/>
      <c r="D69" s="100"/>
      <c r="E69" s="100"/>
      <c r="F69" s="100"/>
      <c r="G69" s="103"/>
      <c r="H69" s="186"/>
      <c r="I69" s="195">
        <v>0.51</v>
      </c>
      <c r="J69" s="107">
        <v>0.49</v>
      </c>
      <c r="K69" s="107"/>
      <c r="L69" s="107"/>
      <c r="M69" s="187"/>
      <c r="N69" s="169">
        <f t="shared" si="14"/>
        <v>1</v>
      </c>
      <c r="O69" s="144">
        <v>1</v>
      </c>
      <c r="P69" s="145">
        <v>15</v>
      </c>
      <c r="Q69" s="113">
        <v>15</v>
      </c>
      <c r="R69" s="113"/>
      <c r="S69" s="113"/>
      <c r="T69" s="146"/>
      <c r="U69" s="148">
        <f t="shared" si="1"/>
        <v>15</v>
      </c>
      <c r="V69" s="149">
        <f t="shared" si="2"/>
        <v>15</v>
      </c>
      <c r="W69" s="189"/>
      <c r="X69" s="199"/>
      <c r="Y69" s="151"/>
      <c r="Z69" s="190"/>
      <c r="AA69" s="153"/>
      <c r="AB69" s="154">
        <f t="shared" si="3"/>
        <v>0</v>
      </c>
      <c r="AC69" s="149">
        <f t="shared" si="4"/>
        <v>0</v>
      </c>
      <c r="AD69" s="125">
        <v>2</v>
      </c>
      <c r="AE69" s="148">
        <f t="shared" si="5"/>
        <v>2</v>
      </c>
      <c r="AF69" s="156"/>
      <c r="AG69" s="156"/>
      <c r="AH69" s="113">
        <f t="shared" si="6"/>
        <v>17</v>
      </c>
      <c r="AI69" s="157">
        <v>65</v>
      </c>
      <c r="AJ69" s="113">
        <f t="shared" si="7"/>
        <v>82</v>
      </c>
      <c r="AK69" s="113">
        <f t="shared" si="8"/>
        <v>82</v>
      </c>
      <c r="AL69" s="158">
        <f t="shared" si="9"/>
        <v>1.02</v>
      </c>
      <c r="AM69" s="159"/>
      <c r="AN69" s="160">
        <f t="shared" si="15"/>
        <v>1</v>
      </c>
      <c r="AO69" s="160">
        <f t="shared" si="15"/>
        <v>2</v>
      </c>
      <c r="AP69" s="133"/>
      <c r="AQ69" s="134"/>
      <c r="AR69" s="161"/>
      <c r="AS69" s="161"/>
      <c r="AT69" s="161"/>
      <c r="AU69" s="161"/>
      <c r="AV69" s="162"/>
      <c r="AW69" s="137">
        <f t="shared" si="11"/>
        <v>0</v>
      </c>
      <c r="AX69" s="137">
        <f t="shared" si="12"/>
        <v>0</v>
      </c>
    </row>
    <row r="70" ht="46.5" customHeight="1" spans="1:50" s="97" customFormat="1" x14ac:dyDescent="0.25">
      <c r="A70" s="100"/>
      <c r="B70" s="100"/>
      <c r="C70" s="100"/>
      <c r="D70" s="100"/>
      <c r="E70" s="100"/>
      <c r="F70" s="100"/>
      <c r="G70" s="103"/>
      <c r="H70" s="186"/>
      <c r="I70" s="195">
        <v>0.51</v>
      </c>
      <c r="J70" s="107">
        <v>0.49</v>
      </c>
      <c r="K70" s="107"/>
      <c r="L70" s="107"/>
      <c r="M70" s="187"/>
      <c r="N70" s="169">
        <f t="shared" si="14"/>
        <v>1</v>
      </c>
      <c r="O70" s="144">
        <v>1</v>
      </c>
      <c r="P70" s="145">
        <v>15</v>
      </c>
      <c r="Q70" s="113">
        <v>15</v>
      </c>
      <c r="R70" s="113"/>
      <c r="S70" s="113"/>
      <c r="T70" s="146"/>
      <c r="U70" s="148">
        <f t="shared" si="1"/>
        <v>15</v>
      </c>
      <c r="V70" s="149">
        <f t="shared" si="2"/>
        <v>15</v>
      </c>
      <c r="W70" s="189"/>
      <c r="X70" s="199"/>
      <c r="Y70" s="151"/>
      <c r="Z70" s="190"/>
      <c r="AA70" s="153"/>
      <c r="AB70" s="154">
        <f t="shared" si="3"/>
        <v>0</v>
      </c>
      <c r="AC70" s="149">
        <f t="shared" si="4"/>
        <v>0</v>
      </c>
      <c r="AD70" s="125">
        <v>2</v>
      </c>
      <c r="AE70" s="148">
        <f t="shared" si="5"/>
        <v>2</v>
      </c>
      <c r="AF70" s="156"/>
      <c r="AG70" s="156"/>
      <c r="AH70" s="113">
        <f t="shared" si="6"/>
        <v>17</v>
      </c>
      <c r="AI70" s="157">
        <v>65</v>
      </c>
      <c r="AJ70" s="113">
        <f t="shared" si="7"/>
        <v>82</v>
      </c>
      <c r="AK70" s="113">
        <f t="shared" si="8"/>
        <v>82</v>
      </c>
      <c r="AL70" s="158">
        <f t="shared" si="9"/>
        <v>1.02</v>
      </c>
      <c r="AM70" s="159"/>
      <c r="AN70" s="160">
        <f t="shared" si="15"/>
        <v>1</v>
      </c>
      <c r="AO70" s="160">
        <f t="shared" si="15"/>
        <v>2</v>
      </c>
      <c r="AP70" s="133"/>
      <c r="AQ70" s="134"/>
      <c r="AR70" s="161"/>
      <c r="AS70" s="161"/>
      <c r="AT70" s="161"/>
      <c r="AU70" s="161"/>
      <c r="AV70" s="162"/>
      <c r="AW70" s="137">
        <f t="shared" si="11"/>
        <v>0</v>
      </c>
      <c r="AX70" s="137">
        <f t="shared" si="12"/>
        <v>0</v>
      </c>
    </row>
    <row r="71" ht="46.5" customHeight="1" spans="1:50" s="97" customFormat="1" x14ac:dyDescent="0.25">
      <c r="A71" s="100"/>
      <c r="B71" s="100"/>
      <c r="C71" s="100"/>
      <c r="D71" s="100"/>
      <c r="E71" s="100"/>
      <c r="F71" s="100"/>
      <c r="G71" s="103"/>
      <c r="H71" s="186"/>
      <c r="I71" s="195">
        <v>0.51</v>
      </c>
      <c r="J71" s="107">
        <v>0.49</v>
      </c>
      <c r="K71" s="107"/>
      <c r="L71" s="107"/>
      <c r="M71" s="187"/>
      <c r="N71" s="169">
        <f t="shared" si="14"/>
        <v>1</v>
      </c>
      <c r="O71" s="144">
        <v>1</v>
      </c>
      <c r="P71" s="145">
        <v>15</v>
      </c>
      <c r="Q71" s="113">
        <v>15</v>
      </c>
      <c r="R71" s="113"/>
      <c r="S71" s="113"/>
      <c r="T71" s="146"/>
      <c r="U71" s="148">
        <f t="shared" si="1"/>
        <v>15</v>
      </c>
      <c r="V71" s="149">
        <f t="shared" si="2"/>
        <v>15</v>
      </c>
      <c r="W71" s="189"/>
      <c r="X71" s="199"/>
      <c r="Y71" s="151"/>
      <c r="Z71" s="190"/>
      <c r="AA71" s="153"/>
      <c r="AB71" s="154">
        <f t="shared" si="3"/>
        <v>0</v>
      </c>
      <c r="AC71" s="149">
        <f t="shared" si="4"/>
        <v>0</v>
      </c>
      <c r="AD71" s="125">
        <v>2</v>
      </c>
      <c r="AE71" s="148">
        <f t="shared" si="5"/>
        <v>2</v>
      </c>
      <c r="AF71" s="156"/>
      <c r="AG71" s="156"/>
      <c r="AH71" s="113">
        <f t="shared" si="6"/>
        <v>17</v>
      </c>
      <c r="AI71" s="157">
        <v>65</v>
      </c>
      <c r="AJ71" s="113">
        <f t="shared" si="7"/>
        <v>82</v>
      </c>
      <c r="AK71" s="113">
        <f t="shared" si="8"/>
        <v>82</v>
      </c>
      <c r="AL71" s="158">
        <f t="shared" si="9"/>
        <v>1.02</v>
      </c>
      <c r="AM71" s="159"/>
      <c r="AN71" s="160">
        <f t="shared" ref="AN71:AO90" si="16">100%+AM71</f>
        <v>1</v>
      </c>
      <c r="AO71" s="160">
        <f t="shared" si="16"/>
        <v>2</v>
      </c>
      <c r="AP71" s="133"/>
      <c r="AQ71" s="134"/>
      <c r="AR71" s="161"/>
      <c r="AS71" s="161"/>
      <c r="AT71" s="161"/>
      <c r="AU71" s="161"/>
      <c r="AV71" s="162"/>
      <c r="AW71" s="137">
        <f t="shared" si="11"/>
        <v>0</v>
      </c>
      <c r="AX71" s="137">
        <f t="shared" si="12"/>
        <v>0</v>
      </c>
    </row>
    <row r="72" ht="46.5" customHeight="1" spans="1:50" s="97" customFormat="1" x14ac:dyDescent="0.25">
      <c r="A72" s="100"/>
      <c r="B72" s="100"/>
      <c r="C72" s="100"/>
      <c r="D72" s="100"/>
      <c r="E72" s="100"/>
      <c r="F72" s="100"/>
      <c r="G72" s="103"/>
      <c r="H72" s="186"/>
      <c r="I72" s="195">
        <v>0.51</v>
      </c>
      <c r="J72" s="107">
        <v>0.49</v>
      </c>
      <c r="K72" s="107"/>
      <c r="L72" s="107"/>
      <c r="M72" s="187"/>
      <c r="N72" s="169">
        <f t="shared" si="14"/>
        <v>1</v>
      </c>
      <c r="O72" s="144">
        <v>1</v>
      </c>
      <c r="P72" s="145">
        <v>15</v>
      </c>
      <c r="Q72" s="113">
        <v>15</v>
      </c>
      <c r="R72" s="113"/>
      <c r="S72" s="113"/>
      <c r="T72" s="146"/>
      <c r="U72" s="148">
        <f t="shared" si="1"/>
        <v>15</v>
      </c>
      <c r="V72" s="149">
        <f t="shared" si="2"/>
        <v>15</v>
      </c>
      <c r="W72" s="189"/>
      <c r="X72" s="199"/>
      <c r="Y72" s="151"/>
      <c r="Z72" s="190"/>
      <c r="AA72" s="153"/>
      <c r="AB72" s="154">
        <f t="shared" si="3"/>
        <v>0</v>
      </c>
      <c r="AC72" s="149">
        <f t="shared" si="4"/>
        <v>0</v>
      </c>
      <c r="AD72" s="125">
        <v>2</v>
      </c>
      <c r="AE72" s="148">
        <f t="shared" si="5"/>
        <v>2</v>
      </c>
      <c r="AF72" s="156"/>
      <c r="AG72" s="156"/>
      <c r="AH72" s="113">
        <f t="shared" si="6"/>
        <v>17</v>
      </c>
      <c r="AI72" s="157">
        <v>65</v>
      </c>
      <c r="AJ72" s="113">
        <f t="shared" si="7"/>
        <v>82</v>
      </c>
      <c r="AK72" s="113">
        <f t="shared" si="8"/>
        <v>82</v>
      </c>
      <c r="AL72" s="158">
        <f t="shared" si="9"/>
        <v>1.02</v>
      </c>
      <c r="AM72" s="159"/>
      <c r="AN72" s="160">
        <f t="shared" si="16"/>
        <v>1</v>
      </c>
      <c r="AO72" s="160">
        <f t="shared" si="16"/>
        <v>2</v>
      </c>
      <c r="AP72" s="133"/>
      <c r="AQ72" s="134"/>
      <c r="AR72" s="161"/>
      <c r="AS72" s="161"/>
      <c r="AT72" s="161"/>
      <c r="AU72" s="161"/>
      <c r="AV72" s="162"/>
      <c r="AW72" s="137">
        <f t="shared" si="11"/>
        <v>0</v>
      </c>
      <c r="AX72" s="137">
        <f t="shared" si="12"/>
        <v>0</v>
      </c>
    </row>
    <row r="73" ht="46.5" customHeight="1" spans="1:50" s="97" customFormat="1" x14ac:dyDescent="0.25">
      <c r="A73" s="100"/>
      <c r="B73" s="100"/>
      <c r="C73" s="100"/>
      <c r="D73" s="100"/>
      <c r="E73" s="100"/>
      <c r="F73" s="100"/>
      <c r="G73" s="103"/>
      <c r="H73" s="186"/>
      <c r="I73" s="195">
        <v>0.51</v>
      </c>
      <c r="J73" s="107">
        <v>0.49</v>
      </c>
      <c r="K73" s="107"/>
      <c r="L73" s="107"/>
      <c r="M73" s="187"/>
      <c r="N73" s="169">
        <f t="shared" si="14"/>
        <v>1</v>
      </c>
      <c r="O73" s="144">
        <v>1</v>
      </c>
      <c r="P73" s="145">
        <v>15</v>
      </c>
      <c r="Q73" s="113">
        <v>15</v>
      </c>
      <c r="R73" s="113"/>
      <c r="S73" s="113"/>
      <c r="T73" s="146"/>
      <c r="U73" s="148">
        <f t="shared" si="1"/>
        <v>15</v>
      </c>
      <c r="V73" s="149">
        <f t="shared" si="2"/>
        <v>15</v>
      </c>
      <c r="W73" s="189"/>
      <c r="X73" s="199"/>
      <c r="Y73" s="151"/>
      <c r="Z73" s="190"/>
      <c r="AA73" s="153"/>
      <c r="AB73" s="154">
        <f t="shared" si="3"/>
        <v>0</v>
      </c>
      <c r="AC73" s="149">
        <f t="shared" si="4"/>
        <v>0</v>
      </c>
      <c r="AD73" s="125">
        <v>2</v>
      </c>
      <c r="AE73" s="148">
        <f t="shared" si="5"/>
        <v>2</v>
      </c>
      <c r="AF73" s="156"/>
      <c r="AG73" s="156"/>
      <c r="AH73" s="113">
        <f t="shared" si="6"/>
        <v>17</v>
      </c>
      <c r="AI73" s="157">
        <v>65</v>
      </c>
      <c r="AJ73" s="113">
        <f t="shared" si="7"/>
        <v>82</v>
      </c>
      <c r="AK73" s="113">
        <f t="shared" si="8"/>
        <v>82</v>
      </c>
      <c r="AL73" s="158">
        <f t="shared" si="9"/>
        <v>1.02</v>
      </c>
      <c r="AM73" s="159"/>
      <c r="AN73" s="160">
        <f t="shared" si="16"/>
        <v>1</v>
      </c>
      <c r="AO73" s="160">
        <f t="shared" si="16"/>
        <v>2</v>
      </c>
      <c r="AP73" s="133"/>
      <c r="AQ73" s="134"/>
      <c r="AR73" s="161"/>
      <c r="AS73" s="161"/>
      <c r="AT73" s="161"/>
      <c r="AU73" s="161"/>
      <c r="AV73" s="162"/>
      <c r="AW73" s="137">
        <f t="shared" si="11"/>
        <v>0</v>
      </c>
      <c r="AX73" s="137">
        <f t="shared" si="12"/>
        <v>0</v>
      </c>
    </row>
    <row r="74" ht="46.5" customHeight="1" spans="1:50" s="97" customFormat="1" x14ac:dyDescent="0.25">
      <c r="A74" s="100"/>
      <c r="B74" s="100"/>
      <c r="C74" s="100"/>
      <c r="D74" s="100"/>
      <c r="E74" s="100"/>
      <c r="F74" s="100"/>
      <c r="G74" s="103"/>
      <c r="H74" s="186"/>
      <c r="I74" s="195">
        <v>0.51</v>
      </c>
      <c r="J74" s="107">
        <v>0.49</v>
      </c>
      <c r="K74" s="107"/>
      <c r="L74" s="107"/>
      <c r="M74" s="187"/>
      <c r="N74" s="169">
        <f t="shared" si="14"/>
        <v>1</v>
      </c>
      <c r="O74" s="144">
        <v>1</v>
      </c>
      <c r="P74" s="145">
        <v>15</v>
      </c>
      <c r="Q74" s="113">
        <v>15</v>
      </c>
      <c r="R74" s="113"/>
      <c r="S74" s="113"/>
      <c r="T74" s="146"/>
      <c r="U74" s="148">
        <f t="shared" si="1"/>
        <v>15</v>
      </c>
      <c r="V74" s="149">
        <f t="shared" si="2"/>
        <v>15</v>
      </c>
      <c r="W74" s="189"/>
      <c r="X74" s="199"/>
      <c r="Y74" s="151"/>
      <c r="Z74" s="190"/>
      <c r="AA74" s="153"/>
      <c r="AB74" s="154">
        <f t="shared" si="3"/>
        <v>0</v>
      </c>
      <c r="AC74" s="149">
        <f t="shared" si="4"/>
        <v>0</v>
      </c>
      <c r="AD74" s="125">
        <v>2</v>
      </c>
      <c r="AE74" s="148">
        <f t="shared" si="5"/>
        <v>2</v>
      </c>
      <c r="AF74" s="156"/>
      <c r="AG74" s="156"/>
      <c r="AH74" s="113">
        <f t="shared" si="6"/>
        <v>17</v>
      </c>
      <c r="AI74" s="157">
        <v>65</v>
      </c>
      <c r="AJ74" s="113">
        <f t="shared" si="7"/>
        <v>82</v>
      </c>
      <c r="AK74" s="113">
        <f t="shared" si="8"/>
        <v>82</v>
      </c>
      <c r="AL74" s="158">
        <f t="shared" si="9"/>
        <v>1.02</v>
      </c>
      <c r="AM74" s="159"/>
      <c r="AN74" s="160">
        <f t="shared" si="16"/>
        <v>1</v>
      </c>
      <c r="AO74" s="160">
        <f t="shared" si="16"/>
        <v>2</v>
      </c>
      <c r="AP74" s="133"/>
      <c r="AQ74" s="134"/>
      <c r="AR74" s="161"/>
      <c r="AS74" s="161"/>
      <c r="AT74" s="161"/>
      <c r="AU74" s="161"/>
      <c r="AV74" s="162"/>
      <c r="AW74" s="137">
        <f t="shared" si="11"/>
        <v>0</v>
      </c>
      <c r="AX74" s="137">
        <f t="shared" si="12"/>
        <v>0</v>
      </c>
    </row>
    <row r="75" ht="46.5" customHeight="1" spans="1:50" s="97" customFormat="1" x14ac:dyDescent="0.25">
      <c r="A75" s="100"/>
      <c r="B75" s="100"/>
      <c r="C75" s="100"/>
      <c r="D75" s="100"/>
      <c r="E75" s="100"/>
      <c r="F75" s="100"/>
      <c r="G75" s="103"/>
      <c r="H75" s="186"/>
      <c r="I75" s="195">
        <v>0.51</v>
      </c>
      <c r="J75" s="107">
        <v>0.49</v>
      </c>
      <c r="K75" s="107"/>
      <c r="L75" s="107"/>
      <c r="M75" s="187"/>
      <c r="N75" s="169">
        <f t="shared" si="14"/>
        <v>1</v>
      </c>
      <c r="O75" s="144">
        <v>1</v>
      </c>
      <c r="P75" s="145">
        <v>15</v>
      </c>
      <c r="Q75" s="113">
        <v>15</v>
      </c>
      <c r="R75" s="113"/>
      <c r="S75" s="113"/>
      <c r="T75" s="146"/>
      <c r="U75" s="148">
        <f t="shared" ref="U75:U136" si="17">ROUND(((P75*I75)+(Q75*J75)+(R75*K75)+(S75*L75)+(T75*M75))*O75,2)</f>
        <v>15</v>
      </c>
      <c r="V75" s="149">
        <f t="shared" ref="V75:V136" si="18">IF(U75&gt;=15,15,U75)</f>
        <v>15</v>
      </c>
      <c r="W75" s="189"/>
      <c r="X75" s="199"/>
      <c r="Y75" s="151"/>
      <c r="Z75" s="190"/>
      <c r="AA75" s="153"/>
      <c r="AB75" s="154">
        <f t="shared" ref="AB75:AB136" si="19">ROUND((((W75*I75)+(X75*J75)+(Y75*K75)+(Z75*L75)+(AA75*M75))/$I$2),2)*13</f>
        <v>0</v>
      </c>
      <c r="AC75" s="149">
        <f t="shared" ref="AC75:AC136" si="20">IF(AB75&gt;=13,13,AB75)</f>
        <v>0</v>
      </c>
      <c r="AD75" s="125">
        <v>2</v>
      </c>
      <c r="AE75" s="148">
        <f t="shared" ref="AE75:AE136" si="21">IF((AC75+AD75)&gt;=15,15,(AC75+AD75))</f>
        <v>2</v>
      </c>
      <c r="AF75" s="156"/>
      <c r="AG75" s="156"/>
      <c r="AH75" s="113">
        <f t="shared" ref="AH75:AH136" si="22">IF((V75+AE75+AF75)&gt;=30,30,(V75+AE75+AF75))</f>
        <v>17</v>
      </c>
      <c r="AI75" s="157">
        <v>65</v>
      </c>
      <c r="AJ75" s="113">
        <f t="shared" ref="AJ75:AJ136" si="23">V75+AE75+AF75+AI75+AG75</f>
        <v>82</v>
      </c>
      <c r="AK75" s="113">
        <f t="shared" ref="AK75:AK136" si="24">IF(AH75+AI75+AG75&gt;=95,95,AH75+AI75+AG75)</f>
        <v>82</v>
      </c>
      <c r="AL75" s="158">
        <f t="shared" ref="AL75:AL136" si="25">-((50-((176+(45+(50-AH75)))))/200)</f>
        <v>1.02</v>
      </c>
      <c r="AM75" s="159"/>
      <c r="AN75" s="160">
        <f t="shared" si="16"/>
        <v>1</v>
      </c>
      <c r="AO75" s="160">
        <f t="shared" si="16"/>
        <v>2</v>
      </c>
      <c r="AP75" s="133"/>
      <c r="AQ75" s="134"/>
      <c r="AR75" s="161"/>
      <c r="AS75" s="161"/>
      <c r="AT75" s="161"/>
      <c r="AU75" s="161"/>
      <c r="AV75" s="162"/>
      <c r="AW75" s="137">
        <f t="shared" ref="AW75:AW136" si="26">AR75+AS75+AT75+AU75+AV75</f>
        <v>0</v>
      </c>
      <c r="AX75" s="137">
        <f t="shared" ref="AX75:AX136" si="27">(AR75*I75)+(AS75*J75)+(AT75*K75)+(AU75*L75)+(AV75*M75)</f>
        <v>0</v>
      </c>
    </row>
    <row r="76" ht="46.5" customHeight="1" spans="1:50" s="97" customFormat="1" x14ac:dyDescent="0.25">
      <c r="A76" s="100"/>
      <c r="B76" s="100"/>
      <c r="C76" s="100"/>
      <c r="D76" s="100"/>
      <c r="E76" s="100"/>
      <c r="F76" s="100"/>
      <c r="G76" s="103"/>
      <c r="H76" s="186"/>
      <c r="I76" s="195">
        <v>0.51</v>
      </c>
      <c r="J76" s="107">
        <v>0.49</v>
      </c>
      <c r="K76" s="107"/>
      <c r="L76" s="107"/>
      <c r="M76" s="187"/>
      <c r="N76" s="169">
        <f t="shared" si="14"/>
        <v>1</v>
      </c>
      <c r="O76" s="144">
        <v>1</v>
      </c>
      <c r="P76" s="145">
        <v>15</v>
      </c>
      <c r="Q76" s="113">
        <v>15</v>
      </c>
      <c r="R76" s="113"/>
      <c r="S76" s="113"/>
      <c r="T76" s="146"/>
      <c r="U76" s="148">
        <f t="shared" si="17"/>
        <v>15</v>
      </c>
      <c r="V76" s="149">
        <f t="shared" si="18"/>
        <v>15</v>
      </c>
      <c r="W76" s="189"/>
      <c r="X76" s="199"/>
      <c r="Y76" s="151"/>
      <c r="Z76" s="190"/>
      <c r="AA76" s="153"/>
      <c r="AB76" s="154">
        <f t="shared" si="19"/>
        <v>0</v>
      </c>
      <c r="AC76" s="149">
        <f t="shared" si="20"/>
        <v>0</v>
      </c>
      <c r="AD76" s="125">
        <v>2</v>
      </c>
      <c r="AE76" s="148">
        <f t="shared" si="21"/>
        <v>2</v>
      </c>
      <c r="AF76" s="156"/>
      <c r="AG76" s="156"/>
      <c r="AH76" s="113">
        <f t="shared" si="22"/>
        <v>17</v>
      </c>
      <c r="AI76" s="157">
        <v>65</v>
      </c>
      <c r="AJ76" s="113">
        <f t="shared" si="23"/>
        <v>82</v>
      </c>
      <c r="AK76" s="113">
        <f t="shared" si="24"/>
        <v>82</v>
      </c>
      <c r="AL76" s="158">
        <f t="shared" si="25"/>
        <v>1.02</v>
      </c>
      <c r="AM76" s="159"/>
      <c r="AN76" s="160">
        <f t="shared" si="16"/>
        <v>1</v>
      </c>
      <c r="AO76" s="160">
        <f t="shared" si="16"/>
        <v>2</v>
      </c>
      <c r="AP76" s="133"/>
      <c r="AQ76" s="134"/>
      <c r="AR76" s="161"/>
      <c r="AS76" s="161"/>
      <c r="AT76" s="161"/>
      <c r="AU76" s="161"/>
      <c r="AV76" s="162"/>
      <c r="AW76" s="137">
        <f t="shared" si="26"/>
        <v>0</v>
      </c>
      <c r="AX76" s="137">
        <f t="shared" si="27"/>
        <v>0</v>
      </c>
    </row>
    <row r="77" ht="46.5" customHeight="1" spans="1:50" s="97" customFormat="1" x14ac:dyDescent="0.25">
      <c r="A77" s="100"/>
      <c r="B77" s="100"/>
      <c r="C77" s="100"/>
      <c r="D77" s="100"/>
      <c r="E77" s="100"/>
      <c r="F77" s="100"/>
      <c r="G77" s="103"/>
      <c r="H77" s="186"/>
      <c r="I77" s="195">
        <v>0.51</v>
      </c>
      <c r="J77" s="107">
        <v>0.49</v>
      </c>
      <c r="K77" s="107"/>
      <c r="L77" s="107"/>
      <c r="M77" s="187"/>
      <c r="N77" s="169">
        <f t="shared" si="14"/>
        <v>1</v>
      </c>
      <c r="O77" s="144">
        <v>1</v>
      </c>
      <c r="P77" s="145">
        <v>15</v>
      </c>
      <c r="Q77" s="113">
        <v>15</v>
      </c>
      <c r="R77" s="113"/>
      <c r="S77" s="113"/>
      <c r="T77" s="146"/>
      <c r="U77" s="148">
        <f t="shared" si="17"/>
        <v>15</v>
      </c>
      <c r="V77" s="149">
        <f t="shared" si="18"/>
        <v>15</v>
      </c>
      <c r="W77" s="189"/>
      <c r="X77" s="199"/>
      <c r="Y77" s="151"/>
      <c r="Z77" s="190"/>
      <c r="AA77" s="153"/>
      <c r="AB77" s="154">
        <f t="shared" si="19"/>
        <v>0</v>
      </c>
      <c r="AC77" s="149">
        <f t="shared" si="20"/>
        <v>0</v>
      </c>
      <c r="AD77" s="125">
        <v>2</v>
      </c>
      <c r="AE77" s="148">
        <f t="shared" si="21"/>
        <v>2</v>
      </c>
      <c r="AF77" s="156"/>
      <c r="AG77" s="156"/>
      <c r="AH77" s="113">
        <f t="shared" si="22"/>
        <v>17</v>
      </c>
      <c r="AI77" s="157">
        <v>65</v>
      </c>
      <c r="AJ77" s="113">
        <f t="shared" si="23"/>
        <v>82</v>
      </c>
      <c r="AK77" s="113">
        <f t="shared" si="24"/>
        <v>82</v>
      </c>
      <c r="AL77" s="158">
        <f t="shared" si="25"/>
        <v>1.02</v>
      </c>
      <c r="AM77" s="159"/>
      <c r="AN77" s="160">
        <f t="shared" si="16"/>
        <v>1</v>
      </c>
      <c r="AO77" s="160">
        <f t="shared" si="16"/>
        <v>2</v>
      </c>
      <c r="AP77" s="133"/>
      <c r="AQ77" s="134"/>
      <c r="AR77" s="161"/>
      <c r="AS77" s="161"/>
      <c r="AT77" s="161"/>
      <c r="AU77" s="161"/>
      <c r="AV77" s="162"/>
      <c r="AW77" s="137">
        <f t="shared" si="26"/>
        <v>0</v>
      </c>
      <c r="AX77" s="137">
        <f t="shared" si="27"/>
        <v>0</v>
      </c>
    </row>
    <row r="78" ht="46.5" customHeight="1" spans="1:50" s="97" customFormat="1" x14ac:dyDescent="0.25">
      <c r="A78" s="100"/>
      <c r="B78" s="100"/>
      <c r="C78" s="100"/>
      <c r="D78" s="100"/>
      <c r="E78" s="100"/>
      <c r="F78" s="100"/>
      <c r="G78" s="103"/>
      <c r="H78" s="186"/>
      <c r="I78" s="195">
        <v>0.51</v>
      </c>
      <c r="J78" s="107">
        <v>0.49</v>
      </c>
      <c r="K78" s="107"/>
      <c r="L78" s="107"/>
      <c r="M78" s="187"/>
      <c r="N78" s="169">
        <f t="shared" si="14"/>
        <v>1</v>
      </c>
      <c r="O78" s="144">
        <v>1</v>
      </c>
      <c r="P78" s="145">
        <v>15</v>
      </c>
      <c r="Q78" s="113">
        <v>15</v>
      </c>
      <c r="R78" s="113"/>
      <c r="S78" s="113"/>
      <c r="T78" s="146"/>
      <c r="U78" s="148">
        <f t="shared" si="17"/>
        <v>15</v>
      </c>
      <c r="V78" s="149">
        <f t="shared" si="18"/>
        <v>15</v>
      </c>
      <c r="W78" s="189"/>
      <c r="X78" s="199"/>
      <c r="Y78" s="151"/>
      <c r="Z78" s="190"/>
      <c r="AA78" s="153"/>
      <c r="AB78" s="154">
        <f t="shared" si="19"/>
        <v>0</v>
      </c>
      <c r="AC78" s="149">
        <f t="shared" si="20"/>
        <v>0</v>
      </c>
      <c r="AD78" s="125">
        <v>2</v>
      </c>
      <c r="AE78" s="148">
        <f t="shared" si="21"/>
        <v>2</v>
      </c>
      <c r="AF78" s="156"/>
      <c r="AG78" s="156"/>
      <c r="AH78" s="113">
        <f t="shared" si="22"/>
        <v>17</v>
      </c>
      <c r="AI78" s="157">
        <v>65</v>
      </c>
      <c r="AJ78" s="113">
        <f t="shared" si="23"/>
        <v>82</v>
      </c>
      <c r="AK78" s="113">
        <f t="shared" si="24"/>
        <v>82</v>
      </c>
      <c r="AL78" s="158">
        <f t="shared" si="25"/>
        <v>1.02</v>
      </c>
      <c r="AM78" s="159"/>
      <c r="AN78" s="160">
        <f t="shared" si="16"/>
        <v>1</v>
      </c>
      <c r="AO78" s="160">
        <f t="shared" si="16"/>
        <v>2</v>
      </c>
      <c r="AP78" s="133"/>
      <c r="AQ78" s="134"/>
      <c r="AR78" s="161"/>
      <c r="AS78" s="161"/>
      <c r="AT78" s="161"/>
      <c r="AU78" s="161"/>
      <c r="AV78" s="162"/>
      <c r="AW78" s="137">
        <f t="shared" si="26"/>
        <v>0</v>
      </c>
      <c r="AX78" s="137">
        <f t="shared" si="27"/>
        <v>0</v>
      </c>
    </row>
    <row r="79" ht="46.5" customHeight="1" spans="1:50" s="97" customFormat="1" x14ac:dyDescent="0.25">
      <c r="A79" s="100"/>
      <c r="B79" s="100"/>
      <c r="C79" s="100"/>
      <c r="D79" s="100"/>
      <c r="E79" s="100"/>
      <c r="F79" s="100"/>
      <c r="G79" s="103"/>
      <c r="H79" s="186"/>
      <c r="I79" s="195">
        <v>0.51</v>
      </c>
      <c r="J79" s="107">
        <v>0.49</v>
      </c>
      <c r="K79" s="107"/>
      <c r="L79" s="107"/>
      <c r="M79" s="187"/>
      <c r="N79" s="169">
        <f t="shared" si="14"/>
        <v>1</v>
      </c>
      <c r="O79" s="144">
        <v>1</v>
      </c>
      <c r="P79" s="145">
        <v>15</v>
      </c>
      <c r="Q79" s="113">
        <v>15</v>
      </c>
      <c r="R79" s="113"/>
      <c r="S79" s="113"/>
      <c r="T79" s="146"/>
      <c r="U79" s="148">
        <f t="shared" si="17"/>
        <v>15</v>
      </c>
      <c r="V79" s="149">
        <f t="shared" si="18"/>
        <v>15</v>
      </c>
      <c r="W79" s="189"/>
      <c r="X79" s="199"/>
      <c r="Y79" s="151"/>
      <c r="Z79" s="190"/>
      <c r="AA79" s="153"/>
      <c r="AB79" s="154">
        <f t="shared" si="19"/>
        <v>0</v>
      </c>
      <c r="AC79" s="149">
        <f t="shared" si="20"/>
        <v>0</v>
      </c>
      <c r="AD79" s="125">
        <v>2</v>
      </c>
      <c r="AE79" s="148">
        <f t="shared" si="21"/>
        <v>2</v>
      </c>
      <c r="AF79" s="156"/>
      <c r="AG79" s="156"/>
      <c r="AH79" s="113">
        <f t="shared" si="22"/>
        <v>17</v>
      </c>
      <c r="AI79" s="157">
        <v>65</v>
      </c>
      <c r="AJ79" s="113">
        <f t="shared" si="23"/>
        <v>82</v>
      </c>
      <c r="AK79" s="113">
        <f t="shared" si="24"/>
        <v>82</v>
      </c>
      <c r="AL79" s="158">
        <f t="shared" si="25"/>
        <v>1.02</v>
      </c>
      <c r="AM79" s="159"/>
      <c r="AN79" s="160">
        <f t="shared" si="16"/>
        <v>1</v>
      </c>
      <c r="AO79" s="160">
        <f t="shared" si="16"/>
        <v>2</v>
      </c>
      <c r="AP79" s="133"/>
      <c r="AQ79" s="134"/>
      <c r="AR79" s="161"/>
      <c r="AS79" s="161"/>
      <c r="AT79" s="161"/>
      <c r="AU79" s="161"/>
      <c r="AV79" s="162"/>
      <c r="AW79" s="137">
        <f t="shared" si="26"/>
        <v>0</v>
      </c>
      <c r="AX79" s="137">
        <f t="shared" si="27"/>
        <v>0</v>
      </c>
    </row>
    <row r="80" ht="46.5" customHeight="1" spans="1:50" s="97" customFormat="1" x14ac:dyDescent="0.25">
      <c r="A80" s="100"/>
      <c r="B80" s="100"/>
      <c r="C80" s="100"/>
      <c r="D80" s="100"/>
      <c r="E80" s="100"/>
      <c r="F80" s="100"/>
      <c r="G80" s="103"/>
      <c r="H80" s="186"/>
      <c r="I80" s="195">
        <v>0.51</v>
      </c>
      <c r="J80" s="107">
        <v>0.49</v>
      </c>
      <c r="K80" s="107"/>
      <c r="L80" s="107"/>
      <c r="M80" s="187"/>
      <c r="N80" s="169">
        <f t="shared" si="14"/>
        <v>1</v>
      </c>
      <c r="O80" s="144">
        <v>1</v>
      </c>
      <c r="P80" s="145">
        <v>15</v>
      </c>
      <c r="Q80" s="113">
        <v>15</v>
      </c>
      <c r="R80" s="113"/>
      <c r="S80" s="113"/>
      <c r="T80" s="146"/>
      <c r="U80" s="148">
        <f t="shared" si="17"/>
        <v>15</v>
      </c>
      <c r="V80" s="149">
        <f t="shared" si="18"/>
        <v>15</v>
      </c>
      <c r="W80" s="189"/>
      <c r="X80" s="199"/>
      <c r="Y80" s="151"/>
      <c r="Z80" s="190"/>
      <c r="AA80" s="153"/>
      <c r="AB80" s="154">
        <f t="shared" si="19"/>
        <v>0</v>
      </c>
      <c r="AC80" s="149">
        <f t="shared" si="20"/>
        <v>0</v>
      </c>
      <c r="AD80" s="125">
        <v>2</v>
      </c>
      <c r="AE80" s="148">
        <f t="shared" si="21"/>
        <v>2</v>
      </c>
      <c r="AF80" s="156"/>
      <c r="AG80" s="156"/>
      <c r="AH80" s="113">
        <f t="shared" si="22"/>
        <v>17</v>
      </c>
      <c r="AI80" s="157">
        <v>65</v>
      </c>
      <c r="AJ80" s="113">
        <f t="shared" si="23"/>
        <v>82</v>
      </c>
      <c r="AK80" s="113">
        <f t="shared" si="24"/>
        <v>82</v>
      </c>
      <c r="AL80" s="158">
        <f t="shared" si="25"/>
        <v>1.02</v>
      </c>
      <c r="AM80" s="159"/>
      <c r="AN80" s="160">
        <f t="shared" si="16"/>
        <v>1</v>
      </c>
      <c r="AO80" s="160">
        <f t="shared" si="16"/>
        <v>2</v>
      </c>
      <c r="AP80" s="133"/>
      <c r="AQ80" s="134"/>
      <c r="AR80" s="161"/>
      <c r="AS80" s="161"/>
      <c r="AT80" s="161"/>
      <c r="AU80" s="161"/>
      <c r="AV80" s="162"/>
      <c r="AW80" s="137">
        <f t="shared" si="26"/>
        <v>0</v>
      </c>
      <c r="AX80" s="137">
        <f t="shared" si="27"/>
        <v>0</v>
      </c>
    </row>
    <row r="81" ht="46.5" customHeight="1" spans="1:50" s="97" customFormat="1" x14ac:dyDescent="0.25">
      <c r="A81" s="100"/>
      <c r="B81" s="100"/>
      <c r="C81" s="100"/>
      <c r="D81" s="100"/>
      <c r="E81" s="100"/>
      <c r="F81" s="100"/>
      <c r="G81" s="103"/>
      <c r="H81" s="186"/>
      <c r="I81" s="195">
        <v>0.51</v>
      </c>
      <c r="J81" s="107">
        <v>0.49</v>
      </c>
      <c r="K81" s="107"/>
      <c r="L81" s="107"/>
      <c r="M81" s="187"/>
      <c r="N81" s="169">
        <f t="shared" si="14"/>
        <v>1</v>
      </c>
      <c r="O81" s="144">
        <v>1</v>
      </c>
      <c r="P81" s="145">
        <v>15</v>
      </c>
      <c r="Q81" s="113">
        <v>15</v>
      </c>
      <c r="R81" s="113"/>
      <c r="S81" s="113"/>
      <c r="T81" s="146"/>
      <c r="U81" s="148">
        <f t="shared" si="17"/>
        <v>15</v>
      </c>
      <c r="V81" s="149">
        <f t="shared" si="18"/>
        <v>15</v>
      </c>
      <c r="W81" s="189"/>
      <c r="X81" s="199"/>
      <c r="Y81" s="151"/>
      <c r="Z81" s="190"/>
      <c r="AA81" s="153"/>
      <c r="AB81" s="154">
        <f t="shared" si="19"/>
        <v>0</v>
      </c>
      <c r="AC81" s="149">
        <f t="shared" si="20"/>
        <v>0</v>
      </c>
      <c r="AD81" s="125">
        <v>2</v>
      </c>
      <c r="AE81" s="148">
        <f t="shared" si="21"/>
        <v>2</v>
      </c>
      <c r="AF81" s="156"/>
      <c r="AG81" s="156"/>
      <c r="AH81" s="113">
        <f t="shared" si="22"/>
        <v>17</v>
      </c>
      <c r="AI81" s="157">
        <v>65</v>
      </c>
      <c r="AJ81" s="113">
        <f t="shared" si="23"/>
        <v>82</v>
      </c>
      <c r="AK81" s="113">
        <f t="shared" si="24"/>
        <v>82</v>
      </c>
      <c r="AL81" s="158">
        <f t="shared" si="25"/>
        <v>1.02</v>
      </c>
      <c r="AM81" s="159"/>
      <c r="AN81" s="160">
        <f t="shared" si="16"/>
        <v>1</v>
      </c>
      <c r="AO81" s="160">
        <f t="shared" si="16"/>
        <v>2</v>
      </c>
      <c r="AP81" s="133"/>
      <c r="AQ81" s="134"/>
      <c r="AR81" s="161"/>
      <c r="AS81" s="161"/>
      <c r="AT81" s="161"/>
      <c r="AU81" s="161"/>
      <c r="AV81" s="162"/>
      <c r="AW81" s="137">
        <f t="shared" si="26"/>
        <v>0</v>
      </c>
      <c r="AX81" s="137">
        <f t="shared" si="27"/>
        <v>0</v>
      </c>
    </row>
    <row r="82" ht="46.5" customHeight="1" spans="1:50" s="97" customFormat="1" x14ac:dyDescent="0.25">
      <c r="A82" s="100"/>
      <c r="B82" s="100"/>
      <c r="C82" s="100"/>
      <c r="D82" s="100"/>
      <c r="E82" s="100"/>
      <c r="F82" s="100"/>
      <c r="G82" s="103"/>
      <c r="H82" s="186"/>
      <c r="I82" s="195">
        <v>0.51</v>
      </c>
      <c r="J82" s="107">
        <v>0.49</v>
      </c>
      <c r="K82" s="107"/>
      <c r="L82" s="107"/>
      <c r="M82" s="187"/>
      <c r="N82" s="169">
        <f t="shared" si="14"/>
        <v>1</v>
      </c>
      <c r="O82" s="144">
        <v>1</v>
      </c>
      <c r="P82" s="145">
        <v>15</v>
      </c>
      <c r="Q82" s="113">
        <v>15</v>
      </c>
      <c r="R82" s="113"/>
      <c r="S82" s="113"/>
      <c r="T82" s="146"/>
      <c r="U82" s="148">
        <f t="shared" si="17"/>
        <v>15</v>
      </c>
      <c r="V82" s="149">
        <f t="shared" si="18"/>
        <v>15</v>
      </c>
      <c r="W82" s="189"/>
      <c r="X82" s="199"/>
      <c r="Y82" s="151"/>
      <c r="Z82" s="190"/>
      <c r="AA82" s="153"/>
      <c r="AB82" s="154">
        <f t="shared" si="19"/>
        <v>0</v>
      </c>
      <c r="AC82" s="149">
        <f t="shared" si="20"/>
        <v>0</v>
      </c>
      <c r="AD82" s="125">
        <v>2</v>
      </c>
      <c r="AE82" s="148">
        <f t="shared" si="21"/>
        <v>2</v>
      </c>
      <c r="AF82" s="156"/>
      <c r="AG82" s="156"/>
      <c r="AH82" s="113">
        <f t="shared" si="22"/>
        <v>17</v>
      </c>
      <c r="AI82" s="157">
        <v>65</v>
      </c>
      <c r="AJ82" s="113">
        <f t="shared" si="23"/>
        <v>82</v>
      </c>
      <c r="AK82" s="113">
        <f t="shared" si="24"/>
        <v>82</v>
      </c>
      <c r="AL82" s="158">
        <f t="shared" si="25"/>
        <v>1.02</v>
      </c>
      <c r="AM82" s="159"/>
      <c r="AN82" s="160">
        <f t="shared" si="16"/>
        <v>1</v>
      </c>
      <c r="AO82" s="160">
        <f t="shared" si="16"/>
        <v>2</v>
      </c>
      <c r="AP82" s="133"/>
      <c r="AQ82" s="134"/>
      <c r="AR82" s="161"/>
      <c r="AS82" s="161"/>
      <c r="AT82" s="161"/>
      <c r="AU82" s="161"/>
      <c r="AV82" s="162"/>
      <c r="AW82" s="137">
        <f t="shared" si="26"/>
        <v>0</v>
      </c>
      <c r="AX82" s="137">
        <f t="shared" si="27"/>
        <v>0</v>
      </c>
    </row>
    <row r="83" ht="46.5" customHeight="1" spans="1:50" s="97" customFormat="1" x14ac:dyDescent="0.25">
      <c r="A83" s="100"/>
      <c r="B83" s="100"/>
      <c r="C83" s="100"/>
      <c r="D83" s="100"/>
      <c r="E83" s="100"/>
      <c r="F83" s="100"/>
      <c r="G83" s="103"/>
      <c r="H83" s="186"/>
      <c r="I83" s="195">
        <v>0.51</v>
      </c>
      <c r="J83" s="107">
        <v>0.49</v>
      </c>
      <c r="K83" s="107"/>
      <c r="L83" s="107"/>
      <c r="M83" s="187"/>
      <c r="N83" s="169">
        <f t="shared" si="14"/>
        <v>1</v>
      </c>
      <c r="O83" s="144">
        <v>1</v>
      </c>
      <c r="P83" s="145">
        <v>15</v>
      </c>
      <c r="Q83" s="113">
        <v>15</v>
      </c>
      <c r="R83" s="113"/>
      <c r="S83" s="113"/>
      <c r="T83" s="146"/>
      <c r="U83" s="148">
        <f t="shared" si="17"/>
        <v>15</v>
      </c>
      <c r="V83" s="149">
        <f t="shared" si="18"/>
        <v>15</v>
      </c>
      <c r="W83" s="189"/>
      <c r="X83" s="199"/>
      <c r="Y83" s="151"/>
      <c r="Z83" s="190"/>
      <c r="AA83" s="153"/>
      <c r="AB83" s="154">
        <f t="shared" si="19"/>
        <v>0</v>
      </c>
      <c r="AC83" s="149">
        <f t="shared" si="20"/>
        <v>0</v>
      </c>
      <c r="AD83" s="125">
        <v>2</v>
      </c>
      <c r="AE83" s="148">
        <f t="shared" si="21"/>
        <v>2</v>
      </c>
      <c r="AF83" s="156"/>
      <c r="AG83" s="156"/>
      <c r="AH83" s="113">
        <f t="shared" si="22"/>
        <v>17</v>
      </c>
      <c r="AI83" s="157">
        <v>65</v>
      </c>
      <c r="AJ83" s="113">
        <f t="shared" si="23"/>
        <v>82</v>
      </c>
      <c r="AK83" s="113">
        <f t="shared" si="24"/>
        <v>82</v>
      </c>
      <c r="AL83" s="158">
        <f t="shared" si="25"/>
        <v>1.02</v>
      </c>
      <c r="AM83" s="159"/>
      <c r="AN83" s="160">
        <f t="shared" si="16"/>
        <v>1</v>
      </c>
      <c r="AO83" s="160">
        <f t="shared" si="16"/>
        <v>2</v>
      </c>
      <c r="AP83" s="133"/>
      <c r="AQ83" s="134"/>
      <c r="AR83" s="161"/>
      <c r="AS83" s="161"/>
      <c r="AT83" s="161"/>
      <c r="AU83" s="161"/>
      <c r="AV83" s="162"/>
      <c r="AW83" s="137">
        <f t="shared" si="26"/>
        <v>0</v>
      </c>
      <c r="AX83" s="137">
        <f t="shared" si="27"/>
        <v>0</v>
      </c>
    </row>
    <row r="84" ht="46.5" customHeight="1" spans="1:50" s="97" customFormat="1" x14ac:dyDescent="0.25">
      <c r="A84" s="100"/>
      <c r="B84" s="100"/>
      <c r="C84" s="100"/>
      <c r="D84" s="100"/>
      <c r="E84" s="100"/>
      <c r="F84" s="100"/>
      <c r="G84" s="103"/>
      <c r="H84" s="186"/>
      <c r="I84" s="195">
        <v>0.51</v>
      </c>
      <c r="J84" s="107">
        <v>0.49</v>
      </c>
      <c r="K84" s="107"/>
      <c r="L84" s="107"/>
      <c r="M84" s="187"/>
      <c r="N84" s="169">
        <f t="shared" si="14"/>
        <v>1</v>
      </c>
      <c r="O84" s="144">
        <v>1</v>
      </c>
      <c r="P84" s="145">
        <v>15</v>
      </c>
      <c r="Q84" s="113">
        <v>15</v>
      </c>
      <c r="R84" s="113"/>
      <c r="S84" s="113"/>
      <c r="T84" s="146"/>
      <c r="U84" s="148">
        <f t="shared" si="17"/>
        <v>15</v>
      </c>
      <c r="V84" s="149">
        <f t="shared" si="18"/>
        <v>15</v>
      </c>
      <c r="W84" s="189"/>
      <c r="X84" s="199"/>
      <c r="Y84" s="151"/>
      <c r="Z84" s="190"/>
      <c r="AA84" s="153"/>
      <c r="AB84" s="154">
        <f t="shared" si="19"/>
        <v>0</v>
      </c>
      <c r="AC84" s="149">
        <f t="shared" si="20"/>
        <v>0</v>
      </c>
      <c r="AD84" s="125">
        <v>2</v>
      </c>
      <c r="AE84" s="148">
        <f t="shared" si="21"/>
        <v>2</v>
      </c>
      <c r="AF84" s="156"/>
      <c r="AG84" s="156"/>
      <c r="AH84" s="113">
        <f t="shared" si="22"/>
        <v>17</v>
      </c>
      <c r="AI84" s="157">
        <v>65</v>
      </c>
      <c r="AJ84" s="113">
        <f t="shared" si="23"/>
        <v>82</v>
      </c>
      <c r="AK84" s="113">
        <f t="shared" si="24"/>
        <v>82</v>
      </c>
      <c r="AL84" s="158">
        <f t="shared" si="25"/>
        <v>1.02</v>
      </c>
      <c r="AM84" s="159"/>
      <c r="AN84" s="160">
        <f t="shared" si="16"/>
        <v>1</v>
      </c>
      <c r="AO84" s="160">
        <f t="shared" si="16"/>
        <v>2</v>
      </c>
      <c r="AP84" s="133"/>
      <c r="AQ84" s="134"/>
      <c r="AR84" s="161"/>
      <c r="AS84" s="161"/>
      <c r="AT84" s="161"/>
      <c r="AU84" s="161"/>
      <c r="AV84" s="162"/>
      <c r="AW84" s="137">
        <f t="shared" si="26"/>
        <v>0</v>
      </c>
      <c r="AX84" s="137">
        <f t="shared" si="27"/>
        <v>0</v>
      </c>
    </row>
    <row r="85" ht="46.5" customHeight="1" spans="1:50" s="97" customFormat="1" x14ac:dyDescent="0.25">
      <c r="A85" s="100"/>
      <c r="B85" s="100"/>
      <c r="C85" s="100"/>
      <c r="D85" s="100"/>
      <c r="E85" s="100"/>
      <c r="F85" s="100"/>
      <c r="G85" s="103"/>
      <c r="H85" s="186"/>
      <c r="I85" s="195">
        <v>0.51</v>
      </c>
      <c r="J85" s="107">
        <v>0.49</v>
      </c>
      <c r="K85" s="107"/>
      <c r="L85" s="107"/>
      <c r="M85" s="187"/>
      <c r="N85" s="169">
        <f t="shared" si="14"/>
        <v>1</v>
      </c>
      <c r="O85" s="144">
        <v>1</v>
      </c>
      <c r="P85" s="145">
        <v>15</v>
      </c>
      <c r="Q85" s="113">
        <v>15</v>
      </c>
      <c r="R85" s="113"/>
      <c r="S85" s="113"/>
      <c r="T85" s="146"/>
      <c r="U85" s="148">
        <f t="shared" si="17"/>
        <v>15</v>
      </c>
      <c r="V85" s="149">
        <f t="shared" si="18"/>
        <v>15</v>
      </c>
      <c r="W85" s="189"/>
      <c r="X85" s="199"/>
      <c r="Y85" s="151"/>
      <c r="Z85" s="190"/>
      <c r="AA85" s="153"/>
      <c r="AB85" s="154">
        <f t="shared" si="19"/>
        <v>0</v>
      </c>
      <c r="AC85" s="149">
        <f t="shared" si="20"/>
        <v>0</v>
      </c>
      <c r="AD85" s="125">
        <v>2</v>
      </c>
      <c r="AE85" s="148">
        <f t="shared" si="21"/>
        <v>2</v>
      </c>
      <c r="AF85" s="156"/>
      <c r="AG85" s="156"/>
      <c r="AH85" s="113">
        <f t="shared" si="22"/>
        <v>17</v>
      </c>
      <c r="AI85" s="157">
        <v>65</v>
      </c>
      <c r="AJ85" s="113">
        <f t="shared" si="23"/>
        <v>82</v>
      </c>
      <c r="AK85" s="113">
        <f t="shared" si="24"/>
        <v>82</v>
      </c>
      <c r="AL85" s="158">
        <f t="shared" si="25"/>
        <v>1.02</v>
      </c>
      <c r="AM85" s="159"/>
      <c r="AN85" s="160">
        <f t="shared" si="16"/>
        <v>1</v>
      </c>
      <c r="AO85" s="160">
        <f t="shared" si="16"/>
        <v>2</v>
      </c>
      <c r="AP85" s="133"/>
      <c r="AQ85" s="134"/>
      <c r="AR85" s="161"/>
      <c r="AS85" s="161"/>
      <c r="AT85" s="161"/>
      <c r="AU85" s="161"/>
      <c r="AV85" s="162"/>
      <c r="AW85" s="137">
        <f t="shared" si="26"/>
        <v>0</v>
      </c>
      <c r="AX85" s="137">
        <f t="shared" si="27"/>
        <v>0</v>
      </c>
    </row>
    <row r="86" ht="46.5" customHeight="1" spans="1:50" s="97" customFormat="1" x14ac:dyDescent="0.25">
      <c r="A86" s="100"/>
      <c r="B86" s="100"/>
      <c r="C86" s="100"/>
      <c r="D86" s="100"/>
      <c r="E86" s="100"/>
      <c r="F86" s="100"/>
      <c r="G86" s="103"/>
      <c r="H86" s="186"/>
      <c r="I86" s="195">
        <v>0.51</v>
      </c>
      <c r="J86" s="107">
        <v>0.49</v>
      </c>
      <c r="K86" s="107"/>
      <c r="L86" s="107"/>
      <c r="M86" s="187"/>
      <c r="N86" s="169">
        <f t="shared" si="14"/>
        <v>1</v>
      </c>
      <c r="O86" s="144">
        <v>1</v>
      </c>
      <c r="P86" s="145">
        <v>15</v>
      </c>
      <c r="Q86" s="113">
        <v>15</v>
      </c>
      <c r="R86" s="113"/>
      <c r="S86" s="113"/>
      <c r="T86" s="146"/>
      <c r="U86" s="148">
        <f t="shared" si="17"/>
        <v>15</v>
      </c>
      <c r="V86" s="149">
        <f t="shared" si="18"/>
        <v>15</v>
      </c>
      <c r="W86" s="189"/>
      <c r="X86" s="199"/>
      <c r="Y86" s="151"/>
      <c r="Z86" s="190"/>
      <c r="AA86" s="153"/>
      <c r="AB86" s="154">
        <f t="shared" si="19"/>
        <v>0</v>
      </c>
      <c r="AC86" s="149">
        <f t="shared" si="20"/>
        <v>0</v>
      </c>
      <c r="AD86" s="125">
        <v>2</v>
      </c>
      <c r="AE86" s="148">
        <f t="shared" si="21"/>
        <v>2</v>
      </c>
      <c r="AF86" s="156"/>
      <c r="AG86" s="156"/>
      <c r="AH86" s="113">
        <f t="shared" si="22"/>
        <v>17</v>
      </c>
      <c r="AI86" s="157">
        <v>65</v>
      </c>
      <c r="AJ86" s="113">
        <f t="shared" si="23"/>
        <v>82</v>
      </c>
      <c r="AK86" s="113">
        <f t="shared" si="24"/>
        <v>82</v>
      </c>
      <c r="AL86" s="158">
        <f t="shared" si="25"/>
        <v>1.02</v>
      </c>
      <c r="AM86" s="159"/>
      <c r="AN86" s="160">
        <f t="shared" si="16"/>
        <v>1</v>
      </c>
      <c r="AO86" s="160">
        <f t="shared" si="16"/>
        <v>2</v>
      </c>
      <c r="AP86" s="133"/>
      <c r="AQ86" s="134"/>
      <c r="AR86" s="161"/>
      <c r="AS86" s="161"/>
      <c r="AT86" s="161"/>
      <c r="AU86" s="161"/>
      <c r="AV86" s="162"/>
      <c r="AW86" s="137">
        <f t="shared" si="26"/>
        <v>0</v>
      </c>
      <c r="AX86" s="137">
        <f t="shared" si="27"/>
        <v>0</v>
      </c>
    </row>
    <row r="87" ht="46.5" customHeight="1" spans="1:50" s="97" customFormat="1" x14ac:dyDescent="0.25">
      <c r="A87" s="100"/>
      <c r="B87" s="100"/>
      <c r="C87" s="100"/>
      <c r="D87" s="100"/>
      <c r="E87" s="100"/>
      <c r="F87" s="100"/>
      <c r="G87" s="103"/>
      <c r="H87" s="186"/>
      <c r="I87" s="195">
        <v>0.51</v>
      </c>
      <c r="J87" s="107">
        <v>0.49</v>
      </c>
      <c r="K87" s="107"/>
      <c r="L87" s="107"/>
      <c r="M87" s="187"/>
      <c r="N87" s="169">
        <f t="shared" si="14"/>
        <v>1</v>
      </c>
      <c r="O87" s="144">
        <v>1</v>
      </c>
      <c r="P87" s="145">
        <v>15</v>
      </c>
      <c r="Q87" s="113">
        <v>15</v>
      </c>
      <c r="R87" s="113"/>
      <c r="S87" s="113"/>
      <c r="T87" s="146"/>
      <c r="U87" s="148">
        <f t="shared" si="17"/>
        <v>15</v>
      </c>
      <c r="V87" s="149">
        <f t="shared" si="18"/>
        <v>15</v>
      </c>
      <c r="W87" s="189"/>
      <c r="X87" s="199"/>
      <c r="Y87" s="151"/>
      <c r="Z87" s="190"/>
      <c r="AA87" s="153"/>
      <c r="AB87" s="154">
        <f t="shared" si="19"/>
        <v>0</v>
      </c>
      <c r="AC87" s="149">
        <f t="shared" si="20"/>
        <v>0</v>
      </c>
      <c r="AD87" s="125">
        <v>2</v>
      </c>
      <c r="AE87" s="148">
        <f t="shared" si="21"/>
        <v>2</v>
      </c>
      <c r="AF87" s="156"/>
      <c r="AG87" s="156"/>
      <c r="AH87" s="113">
        <f t="shared" si="22"/>
        <v>17</v>
      </c>
      <c r="AI87" s="157">
        <v>65</v>
      </c>
      <c r="AJ87" s="113">
        <f t="shared" si="23"/>
        <v>82</v>
      </c>
      <c r="AK87" s="113">
        <f t="shared" si="24"/>
        <v>82</v>
      </c>
      <c r="AL87" s="158">
        <f t="shared" si="25"/>
        <v>1.02</v>
      </c>
      <c r="AM87" s="159"/>
      <c r="AN87" s="160">
        <f t="shared" si="16"/>
        <v>1</v>
      </c>
      <c r="AO87" s="160">
        <f t="shared" si="16"/>
        <v>2</v>
      </c>
      <c r="AP87" s="133"/>
      <c r="AQ87" s="134"/>
      <c r="AR87" s="161"/>
      <c r="AS87" s="161"/>
      <c r="AT87" s="161"/>
      <c r="AU87" s="161"/>
      <c r="AV87" s="162"/>
      <c r="AW87" s="137">
        <f t="shared" si="26"/>
        <v>0</v>
      </c>
      <c r="AX87" s="137">
        <f t="shared" si="27"/>
        <v>0</v>
      </c>
    </row>
    <row r="88" ht="46.5" customHeight="1" spans="1:50" s="97" customFormat="1" x14ac:dyDescent="0.25">
      <c r="A88" s="100"/>
      <c r="B88" s="100"/>
      <c r="C88" s="100"/>
      <c r="D88" s="100"/>
      <c r="E88" s="100"/>
      <c r="F88" s="100"/>
      <c r="G88" s="103"/>
      <c r="H88" s="186"/>
      <c r="I88" s="195">
        <v>0.51</v>
      </c>
      <c r="J88" s="107">
        <v>0.49</v>
      </c>
      <c r="K88" s="107"/>
      <c r="L88" s="107"/>
      <c r="M88" s="187"/>
      <c r="N88" s="169">
        <f t="shared" si="14"/>
        <v>1</v>
      </c>
      <c r="O88" s="144">
        <v>1</v>
      </c>
      <c r="P88" s="145">
        <v>15</v>
      </c>
      <c r="Q88" s="113">
        <v>15</v>
      </c>
      <c r="R88" s="113"/>
      <c r="S88" s="113"/>
      <c r="T88" s="146"/>
      <c r="U88" s="148">
        <f t="shared" si="17"/>
        <v>15</v>
      </c>
      <c r="V88" s="149">
        <f t="shared" si="18"/>
        <v>15</v>
      </c>
      <c r="W88" s="189"/>
      <c r="X88" s="199"/>
      <c r="Y88" s="151"/>
      <c r="Z88" s="190"/>
      <c r="AA88" s="153"/>
      <c r="AB88" s="154">
        <f t="shared" si="19"/>
        <v>0</v>
      </c>
      <c r="AC88" s="149">
        <f t="shared" si="20"/>
        <v>0</v>
      </c>
      <c r="AD88" s="125">
        <v>2</v>
      </c>
      <c r="AE88" s="148">
        <f t="shared" si="21"/>
        <v>2</v>
      </c>
      <c r="AF88" s="156"/>
      <c r="AG88" s="156"/>
      <c r="AH88" s="113">
        <f t="shared" si="22"/>
        <v>17</v>
      </c>
      <c r="AI88" s="157">
        <v>65</v>
      </c>
      <c r="AJ88" s="113">
        <f t="shared" si="23"/>
        <v>82</v>
      </c>
      <c r="AK88" s="113">
        <f t="shared" si="24"/>
        <v>82</v>
      </c>
      <c r="AL88" s="158">
        <f t="shared" si="25"/>
        <v>1.02</v>
      </c>
      <c r="AM88" s="159"/>
      <c r="AN88" s="160">
        <f t="shared" si="16"/>
        <v>1</v>
      </c>
      <c r="AO88" s="160">
        <f t="shared" si="16"/>
        <v>2</v>
      </c>
      <c r="AP88" s="133"/>
      <c r="AQ88" s="134"/>
      <c r="AR88" s="161"/>
      <c r="AS88" s="161"/>
      <c r="AT88" s="161"/>
      <c r="AU88" s="161"/>
      <c r="AV88" s="162"/>
      <c r="AW88" s="137">
        <f t="shared" si="26"/>
        <v>0</v>
      </c>
      <c r="AX88" s="137">
        <f t="shared" si="27"/>
        <v>0</v>
      </c>
    </row>
    <row r="89" ht="46.5" customHeight="1" spans="1:50" s="97" customFormat="1" x14ac:dyDescent="0.25">
      <c r="A89" s="100"/>
      <c r="B89" s="100"/>
      <c r="C89" s="100"/>
      <c r="D89" s="100"/>
      <c r="E89" s="100"/>
      <c r="F89" s="100"/>
      <c r="G89" s="103"/>
      <c r="H89" s="186"/>
      <c r="I89" s="195">
        <v>0.51</v>
      </c>
      <c r="J89" s="107">
        <v>0.49</v>
      </c>
      <c r="K89" s="107"/>
      <c r="L89" s="107"/>
      <c r="M89" s="187"/>
      <c r="N89" s="169">
        <f t="shared" si="14"/>
        <v>1</v>
      </c>
      <c r="O89" s="144">
        <v>1</v>
      </c>
      <c r="P89" s="145">
        <v>15</v>
      </c>
      <c r="Q89" s="113">
        <v>15</v>
      </c>
      <c r="R89" s="113"/>
      <c r="S89" s="113"/>
      <c r="T89" s="146"/>
      <c r="U89" s="148">
        <f t="shared" si="17"/>
        <v>15</v>
      </c>
      <c r="V89" s="149">
        <f t="shared" si="18"/>
        <v>15</v>
      </c>
      <c r="W89" s="189"/>
      <c r="X89" s="199"/>
      <c r="Y89" s="151"/>
      <c r="Z89" s="190"/>
      <c r="AA89" s="153"/>
      <c r="AB89" s="154">
        <f t="shared" si="19"/>
        <v>0</v>
      </c>
      <c r="AC89" s="149">
        <f t="shared" si="20"/>
        <v>0</v>
      </c>
      <c r="AD89" s="125">
        <v>2</v>
      </c>
      <c r="AE89" s="148">
        <f t="shared" si="21"/>
        <v>2</v>
      </c>
      <c r="AF89" s="156"/>
      <c r="AG89" s="156"/>
      <c r="AH89" s="113">
        <f t="shared" si="22"/>
        <v>17</v>
      </c>
      <c r="AI89" s="157">
        <v>65</v>
      </c>
      <c r="AJ89" s="113">
        <f t="shared" si="23"/>
        <v>82</v>
      </c>
      <c r="AK89" s="113">
        <f t="shared" si="24"/>
        <v>82</v>
      </c>
      <c r="AL89" s="158">
        <f t="shared" si="25"/>
        <v>1.02</v>
      </c>
      <c r="AM89" s="159"/>
      <c r="AN89" s="160">
        <f t="shared" si="16"/>
        <v>1</v>
      </c>
      <c r="AO89" s="160">
        <f t="shared" si="16"/>
        <v>2</v>
      </c>
      <c r="AP89" s="133"/>
      <c r="AQ89" s="134"/>
      <c r="AR89" s="161"/>
      <c r="AS89" s="161"/>
      <c r="AT89" s="161"/>
      <c r="AU89" s="161"/>
      <c r="AV89" s="162"/>
      <c r="AW89" s="137">
        <f t="shared" si="26"/>
        <v>0</v>
      </c>
      <c r="AX89" s="137">
        <f t="shared" si="27"/>
        <v>0</v>
      </c>
    </row>
    <row r="90" ht="46.5" customHeight="1" spans="1:50" s="97" customFormat="1" x14ac:dyDescent="0.25">
      <c r="A90" s="100"/>
      <c r="B90" s="100"/>
      <c r="C90" s="100"/>
      <c r="D90" s="100"/>
      <c r="E90" s="100"/>
      <c r="F90" s="100"/>
      <c r="G90" s="103"/>
      <c r="H90" s="186"/>
      <c r="I90" s="195">
        <v>0.51</v>
      </c>
      <c r="J90" s="107">
        <v>0.49</v>
      </c>
      <c r="K90" s="107"/>
      <c r="L90" s="107"/>
      <c r="M90" s="187"/>
      <c r="N90" s="169">
        <f t="shared" si="14"/>
        <v>1</v>
      </c>
      <c r="O90" s="144">
        <v>1</v>
      </c>
      <c r="P90" s="145">
        <v>15</v>
      </c>
      <c r="Q90" s="113">
        <v>15</v>
      </c>
      <c r="R90" s="113"/>
      <c r="S90" s="113"/>
      <c r="T90" s="146"/>
      <c r="U90" s="148">
        <f t="shared" si="17"/>
        <v>15</v>
      </c>
      <c r="V90" s="149">
        <f t="shared" si="18"/>
        <v>15</v>
      </c>
      <c r="W90" s="189"/>
      <c r="X90" s="199"/>
      <c r="Y90" s="151"/>
      <c r="Z90" s="190"/>
      <c r="AA90" s="153"/>
      <c r="AB90" s="154">
        <f t="shared" si="19"/>
        <v>0</v>
      </c>
      <c r="AC90" s="149">
        <f t="shared" si="20"/>
        <v>0</v>
      </c>
      <c r="AD90" s="125">
        <v>2</v>
      </c>
      <c r="AE90" s="148">
        <f t="shared" si="21"/>
        <v>2</v>
      </c>
      <c r="AF90" s="156"/>
      <c r="AG90" s="156"/>
      <c r="AH90" s="113">
        <f t="shared" si="22"/>
        <v>17</v>
      </c>
      <c r="AI90" s="157">
        <v>65</v>
      </c>
      <c r="AJ90" s="113">
        <f t="shared" si="23"/>
        <v>82</v>
      </c>
      <c r="AK90" s="113">
        <f t="shared" si="24"/>
        <v>82</v>
      </c>
      <c r="AL90" s="158">
        <f t="shared" si="25"/>
        <v>1.02</v>
      </c>
      <c r="AM90" s="159"/>
      <c r="AN90" s="160">
        <f t="shared" si="16"/>
        <v>1</v>
      </c>
      <c r="AO90" s="160">
        <f t="shared" si="16"/>
        <v>2</v>
      </c>
      <c r="AP90" s="133"/>
      <c r="AQ90" s="134"/>
      <c r="AR90" s="161"/>
      <c r="AS90" s="161"/>
      <c r="AT90" s="161"/>
      <c r="AU90" s="161"/>
      <c r="AV90" s="162"/>
      <c r="AW90" s="137">
        <f t="shared" si="26"/>
        <v>0</v>
      </c>
      <c r="AX90" s="137">
        <f t="shared" si="27"/>
        <v>0</v>
      </c>
    </row>
    <row r="91" ht="46.5" customHeight="1" spans="1:50" s="97" customFormat="1" x14ac:dyDescent="0.25">
      <c r="A91" s="100"/>
      <c r="B91" s="100"/>
      <c r="C91" s="100"/>
      <c r="D91" s="100"/>
      <c r="E91" s="100"/>
      <c r="F91" s="100"/>
      <c r="G91" s="103"/>
      <c r="H91" s="186"/>
      <c r="I91" s="195">
        <v>0.51</v>
      </c>
      <c r="J91" s="107">
        <v>0.49</v>
      </c>
      <c r="K91" s="107"/>
      <c r="L91" s="107"/>
      <c r="M91" s="187"/>
      <c r="N91" s="169">
        <f t="shared" si="14"/>
        <v>1</v>
      </c>
      <c r="O91" s="144">
        <v>1</v>
      </c>
      <c r="P91" s="145">
        <v>15</v>
      </c>
      <c r="Q91" s="113">
        <v>15</v>
      </c>
      <c r="R91" s="113"/>
      <c r="S91" s="113"/>
      <c r="T91" s="146"/>
      <c r="U91" s="148">
        <f t="shared" si="17"/>
        <v>15</v>
      </c>
      <c r="V91" s="149">
        <f t="shared" si="18"/>
        <v>15</v>
      </c>
      <c r="W91" s="189"/>
      <c r="X91" s="199"/>
      <c r="Y91" s="151"/>
      <c r="Z91" s="190"/>
      <c r="AA91" s="153"/>
      <c r="AB91" s="154">
        <f t="shared" si="19"/>
        <v>0</v>
      </c>
      <c r="AC91" s="149">
        <f t="shared" si="20"/>
        <v>0</v>
      </c>
      <c r="AD91" s="125">
        <v>2</v>
      </c>
      <c r="AE91" s="148">
        <f t="shared" si="21"/>
        <v>2</v>
      </c>
      <c r="AF91" s="156"/>
      <c r="AG91" s="156"/>
      <c r="AH91" s="113">
        <f t="shared" si="22"/>
        <v>17</v>
      </c>
      <c r="AI91" s="157">
        <v>65</v>
      </c>
      <c r="AJ91" s="113">
        <f t="shared" si="23"/>
        <v>82</v>
      </c>
      <c r="AK91" s="113">
        <f t="shared" si="24"/>
        <v>82</v>
      </c>
      <c r="AL91" s="158">
        <f t="shared" si="25"/>
        <v>1.02</v>
      </c>
      <c r="AM91" s="159"/>
      <c r="AN91" s="160">
        <f t="shared" ref="AN91:AO110" si="28">100%+AM91</f>
        <v>1</v>
      </c>
      <c r="AO91" s="160">
        <f t="shared" si="28"/>
        <v>2</v>
      </c>
      <c r="AP91" s="133"/>
      <c r="AQ91" s="134"/>
      <c r="AR91" s="161"/>
      <c r="AS91" s="161"/>
      <c r="AT91" s="161"/>
      <c r="AU91" s="161"/>
      <c r="AV91" s="162"/>
      <c r="AW91" s="137">
        <f t="shared" si="26"/>
        <v>0</v>
      </c>
      <c r="AX91" s="137">
        <f t="shared" si="27"/>
        <v>0</v>
      </c>
    </row>
    <row r="92" ht="46.5" customHeight="1" spans="1:50" s="97" customFormat="1" x14ac:dyDescent="0.25">
      <c r="A92" s="100"/>
      <c r="B92" s="100"/>
      <c r="C92" s="100"/>
      <c r="D92" s="100"/>
      <c r="E92" s="100"/>
      <c r="F92" s="100"/>
      <c r="G92" s="103"/>
      <c r="H92" s="186"/>
      <c r="I92" s="195">
        <v>0.51</v>
      </c>
      <c r="J92" s="107">
        <v>0.49</v>
      </c>
      <c r="K92" s="107"/>
      <c r="L92" s="107"/>
      <c r="M92" s="187"/>
      <c r="N92" s="169">
        <f t="shared" si="14"/>
        <v>1</v>
      </c>
      <c r="O92" s="144">
        <v>1</v>
      </c>
      <c r="P92" s="145">
        <v>15</v>
      </c>
      <c r="Q92" s="113">
        <v>15</v>
      </c>
      <c r="R92" s="113"/>
      <c r="S92" s="113"/>
      <c r="T92" s="146"/>
      <c r="U92" s="148">
        <f t="shared" si="17"/>
        <v>15</v>
      </c>
      <c r="V92" s="149">
        <f t="shared" si="18"/>
        <v>15</v>
      </c>
      <c r="W92" s="189"/>
      <c r="X92" s="199"/>
      <c r="Y92" s="151"/>
      <c r="Z92" s="190"/>
      <c r="AA92" s="153"/>
      <c r="AB92" s="154">
        <f t="shared" si="19"/>
        <v>0</v>
      </c>
      <c r="AC92" s="149">
        <f t="shared" si="20"/>
        <v>0</v>
      </c>
      <c r="AD92" s="125">
        <v>2</v>
      </c>
      <c r="AE92" s="148">
        <f t="shared" si="21"/>
        <v>2</v>
      </c>
      <c r="AF92" s="156"/>
      <c r="AG92" s="156"/>
      <c r="AH92" s="113">
        <f t="shared" si="22"/>
        <v>17</v>
      </c>
      <c r="AI92" s="157">
        <v>65</v>
      </c>
      <c r="AJ92" s="113">
        <f t="shared" si="23"/>
        <v>82</v>
      </c>
      <c r="AK92" s="113">
        <f t="shared" si="24"/>
        <v>82</v>
      </c>
      <c r="AL92" s="158">
        <f t="shared" si="25"/>
        <v>1.02</v>
      </c>
      <c r="AM92" s="159"/>
      <c r="AN92" s="160">
        <f t="shared" si="28"/>
        <v>1</v>
      </c>
      <c r="AO92" s="160">
        <f t="shared" si="28"/>
        <v>2</v>
      </c>
      <c r="AP92" s="133"/>
      <c r="AQ92" s="134"/>
      <c r="AR92" s="161"/>
      <c r="AS92" s="161"/>
      <c r="AT92" s="161"/>
      <c r="AU92" s="161"/>
      <c r="AV92" s="162"/>
      <c r="AW92" s="137">
        <f t="shared" si="26"/>
        <v>0</v>
      </c>
      <c r="AX92" s="137">
        <f t="shared" si="27"/>
        <v>0</v>
      </c>
    </row>
    <row r="93" ht="46.5" customHeight="1" spans="1:50" s="97" customFormat="1" x14ac:dyDescent="0.25">
      <c r="A93" s="100"/>
      <c r="B93" s="100"/>
      <c r="C93" s="100"/>
      <c r="D93" s="100"/>
      <c r="E93" s="100"/>
      <c r="F93" s="100"/>
      <c r="G93" s="103"/>
      <c r="H93" s="186"/>
      <c r="I93" s="195">
        <v>0.51</v>
      </c>
      <c r="J93" s="107">
        <v>0.49</v>
      </c>
      <c r="K93" s="107"/>
      <c r="L93" s="107"/>
      <c r="M93" s="187"/>
      <c r="N93" s="169">
        <f t="shared" si="14"/>
        <v>1</v>
      </c>
      <c r="O93" s="144">
        <v>1</v>
      </c>
      <c r="P93" s="145">
        <v>15</v>
      </c>
      <c r="Q93" s="113">
        <v>15</v>
      </c>
      <c r="R93" s="113"/>
      <c r="S93" s="113"/>
      <c r="T93" s="146"/>
      <c r="U93" s="148">
        <f t="shared" si="17"/>
        <v>15</v>
      </c>
      <c r="V93" s="149">
        <f t="shared" si="18"/>
        <v>15</v>
      </c>
      <c r="W93" s="189"/>
      <c r="X93" s="199"/>
      <c r="Y93" s="151"/>
      <c r="Z93" s="190"/>
      <c r="AA93" s="153"/>
      <c r="AB93" s="154">
        <f t="shared" si="19"/>
        <v>0</v>
      </c>
      <c r="AC93" s="149">
        <f t="shared" si="20"/>
        <v>0</v>
      </c>
      <c r="AD93" s="125">
        <v>2</v>
      </c>
      <c r="AE93" s="148">
        <f t="shared" si="21"/>
        <v>2</v>
      </c>
      <c r="AF93" s="156"/>
      <c r="AG93" s="156"/>
      <c r="AH93" s="113">
        <f t="shared" si="22"/>
        <v>17</v>
      </c>
      <c r="AI93" s="157">
        <v>65</v>
      </c>
      <c r="AJ93" s="113">
        <f t="shared" si="23"/>
        <v>82</v>
      </c>
      <c r="AK93" s="113">
        <f t="shared" si="24"/>
        <v>82</v>
      </c>
      <c r="AL93" s="158">
        <f t="shared" si="25"/>
        <v>1.02</v>
      </c>
      <c r="AM93" s="159"/>
      <c r="AN93" s="160">
        <f t="shared" si="28"/>
        <v>1</v>
      </c>
      <c r="AO93" s="160">
        <f t="shared" si="28"/>
        <v>2</v>
      </c>
      <c r="AP93" s="133"/>
      <c r="AQ93" s="134"/>
      <c r="AR93" s="161"/>
      <c r="AS93" s="161"/>
      <c r="AT93" s="161"/>
      <c r="AU93" s="161"/>
      <c r="AV93" s="162"/>
      <c r="AW93" s="137">
        <f t="shared" si="26"/>
        <v>0</v>
      </c>
      <c r="AX93" s="137">
        <f t="shared" si="27"/>
        <v>0</v>
      </c>
    </row>
    <row r="94" ht="46.5" customHeight="1" spans="1:50" s="97" customFormat="1" x14ac:dyDescent="0.25">
      <c r="A94" s="100"/>
      <c r="B94" s="100"/>
      <c r="C94" s="100"/>
      <c r="D94" s="100"/>
      <c r="E94" s="100"/>
      <c r="F94" s="100"/>
      <c r="G94" s="103"/>
      <c r="H94" s="186"/>
      <c r="I94" s="195">
        <v>0.51</v>
      </c>
      <c r="J94" s="107">
        <v>0.49</v>
      </c>
      <c r="K94" s="107"/>
      <c r="L94" s="107"/>
      <c r="M94" s="187"/>
      <c r="N94" s="169">
        <f t="shared" si="14"/>
        <v>1</v>
      </c>
      <c r="O94" s="144">
        <v>1</v>
      </c>
      <c r="P94" s="145">
        <v>15</v>
      </c>
      <c r="Q94" s="113">
        <v>15</v>
      </c>
      <c r="R94" s="113"/>
      <c r="S94" s="113"/>
      <c r="T94" s="146"/>
      <c r="U94" s="148">
        <f t="shared" si="17"/>
        <v>15</v>
      </c>
      <c r="V94" s="149">
        <f t="shared" si="18"/>
        <v>15</v>
      </c>
      <c r="W94" s="189"/>
      <c r="X94" s="199"/>
      <c r="Y94" s="151"/>
      <c r="Z94" s="190"/>
      <c r="AA94" s="153"/>
      <c r="AB94" s="154">
        <f t="shared" si="19"/>
        <v>0</v>
      </c>
      <c r="AC94" s="149">
        <f t="shared" si="20"/>
        <v>0</v>
      </c>
      <c r="AD94" s="125">
        <v>2</v>
      </c>
      <c r="AE94" s="148">
        <f t="shared" si="21"/>
        <v>2</v>
      </c>
      <c r="AF94" s="156"/>
      <c r="AG94" s="156"/>
      <c r="AH94" s="113">
        <f t="shared" si="22"/>
        <v>17</v>
      </c>
      <c r="AI94" s="157">
        <v>65</v>
      </c>
      <c r="AJ94" s="113">
        <f t="shared" si="23"/>
        <v>82</v>
      </c>
      <c r="AK94" s="113">
        <f t="shared" si="24"/>
        <v>82</v>
      </c>
      <c r="AL94" s="158">
        <f t="shared" si="25"/>
        <v>1.02</v>
      </c>
      <c r="AM94" s="159"/>
      <c r="AN94" s="160">
        <f t="shared" si="28"/>
        <v>1</v>
      </c>
      <c r="AO94" s="160">
        <f t="shared" si="28"/>
        <v>2</v>
      </c>
      <c r="AP94" s="133"/>
      <c r="AQ94" s="134"/>
      <c r="AR94" s="161"/>
      <c r="AS94" s="161"/>
      <c r="AT94" s="161"/>
      <c r="AU94" s="161"/>
      <c r="AV94" s="162"/>
      <c r="AW94" s="137">
        <f t="shared" si="26"/>
        <v>0</v>
      </c>
      <c r="AX94" s="137">
        <f t="shared" si="27"/>
        <v>0</v>
      </c>
    </row>
    <row r="95" ht="46.5" customHeight="1" spans="1:50" s="97" customFormat="1" x14ac:dyDescent="0.25">
      <c r="A95" s="100"/>
      <c r="B95" s="100"/>
      <c r="C95" s="100"/>
      <c r="D95" s="100"/>
      <c r="E95" s="100"/>
      <c r="F95" s="100"/>
      <c r="G95" s="103"/>
      <c r="H95" s="186"/>
      <c r="I95" s="195">
        <v>0.51</v>
      </c>
      <c r="J95" s="107">
        <v>0.49</v>
      </c>
      <c r="K95" s="107"/>
      <c r="L95" s="107"/>
      <c r="M95" s="187"/>
      <c r="N95" s="169">
        <f t="shared" si="14"/>
        <v>1</v>
      </c>
      <c r="O95" s="144">
        <v>1</v>
      </c>
      <c r="P95" s="145">
        <v>15</v>
      </c>
      <c r="Q95" s="113">
        <v>15</v>
      </c>
      <c r="R95" s="113"/>
      <c r="S95" s="113"/>
      <c r="T95" s="146"/>
      <c r="U95" s="148">
        <f t="shared" si="17"/>
        <v>15</v>
      </c>
      <c r="V95" s="149">
        <f t="shared" si="18"/>
        <v>15</v>
      </c>
      <c r="W95" s="189"/>
      <c r="X95" s="199"/>
      <c r="Y95" s="151"/>
      <c r="Z95" s="190"/>
      <c r="AA95" s="153"/>
      <c r="AB95" s="154">
        <f t="shared" si="19"/>
        <v>0</v>
      </c>
      <c r="AC95" s="149">
        <f t="shared" si="20"/>
        <v>0</v>
      </c>
      <c r="AD95" s="125">
        <v>2</v>
      </c>
      <c r="AE95" s="148">
        <f t="shared" si="21"/>
        <v>2</v>
      </c>
      <c r="AF95" s="156"/>
      <c r="AG95" s="156"/>
      <c r="AH95" s="113">
        <f t="shared" si="22"/>
        <v>17</v>
      </c>
      <c r="AI95" s="157">
        <v>65</v>
      </c>
      <c r="AJ95" s="113">
        <f t="shared" si="23"/>
        <v>82</v>
      </c>
      <c r="AK95" s="113">
        <f t="shared" si="24"/>
        <v>82</v>
      </c>
      <c r="AL95" s="158">
        <f t="shared" si="25"/>
        <v>1.02</v>
      </c>
      <c r="AM95" s="159"/>
      <c r="AN95" s="160">
        <f t="shared" si="28"/>
        <v>1</v>
      </c>
      <c r="AO95" s="160">
        <f t="shared" si="28"/>
        <v>2</v>
      </c>
      <c r="AP95" s="133"/>
      <c r="AQ95" s="134"/>
      <c r="AR95" s="161"/>
      <c r="AS95" s="161"/>
      <c r="AT95" s="161"/>
      <c r="AU95" s="161"/>
      <c r="AV95" s="162"/>
      <c r="AW95" s="137">
        <f t="shared" si="26"/>
        <v>0</v>
      </c>
      <c r="AX95" s="137">
        <f t="shared" si="27"/>
        <v>0</v>
      </c>
    </row>
    <row r="96" ht="46.5" customHeight="1" spans="1:50" s="97" customFormat="1" x14ac:dyDescent="0.25">
      <c r="A96" s="100"/>
      <c r="B96" s="100"/>
      <c r="C96" s="100"/>
      <c r="D96" s="100"/>
      <c r="E96" s="100"/>
      <c r="F96" s="100"/>
      <c r="G96" s="103"/>
      <c r="H96" s="186"/>
      <c r="I96" s="195">
        <v>0.51</v>
      </c>
      <c r="J96" s="107">
        <v>0.49</v>
      </c>
      <c r="K96" s="107"/>
      <c r="L96" s="107"/>
      <c r="M96" s="187"/>
      <c r="N96" s="169">
        <f t="shared" si="14"/>
        <v>1</v>
      </c>
      <c r="O96" s="144">
        <v>1</v>
      </c>
      <c r="P96" s="145">
        <v>15</v>
      </c>
      <c r="Q96" s="113">
        <v>15</v>
      </c>
      <c r="R96" s="113"/>
      <c r="S96" s="113"/>
      <c r="T96" s="146"/>
      <c r="U96" s="148">
        <f t="shared" si="17"/>
        <v>15</v>
      </c>
      <c r="V96" s="149">
        <f t="shared" si="18"/>
        <v>15</v>
      </c>
      <c r="W96" s="189"/>
      <c r="X96" s="199"/>
      <c r="Y96" s="151"/>
      <c r="Z96" s="190"/>
      <c r="AA96" s="153"/>
      <c r="AB96" s="154">
        <f t="shared" si="19"/>
        <v>0</v>
      </c>
      <c r="AC96" s="149">
        <f t="shared" si="20"/>
        <v>0</v>
      </c>
      <c r="AD96" s="125">
        <v>2</v>
      </c>
      <c r="AE96" s="148">
        <f t="shared" si="21"/>
        <v>2</v>
      </c>
      <c r="AF96" s="156"/>
      <c r="AG96" s="156"/>
      <c r="AH96" s="113">
        <f t="shared" si="22"/>
        <v>17</v>
      </c>
      <c r="AI96" s="157">
        <v>65</v>
      </c>
      <c r="AJ96" s="113">
        <f t="shared" si="23"/>
        <v>82</v>
      </c>
      <c r="AK96" s="113">
        <f t="shared" si="24"/>
        <v>82</v>
      </c>
      <c r="AL96" s="158">
        <f t="shared" si="25"/>
        <v>1.02</v>
      </c>
      <c r="AM96" s="159"/>
      <c r="AN96" s="160">
        <f t="shared" si="28"/>
        <v>1</v>
      </c>
      <c r="AO96" s="160">
        <f t="shared" si="28"/>
        <v>2</v>
      </c>
      <c r="AP96" s="133"/>
      <c r="AQ96" s="134"/>
      <c r="AR96" s="161"/>
      <c r="AS96" s="161"/>
      <c r="AT96" s="161"/>
      <c r="AU96" s="161"/>
      <c r="AV96" s="162"/>
      <c r="AW96" s="137">
        <f t="shared" si="26"/>
        <v>0</v>
      </c>
      <c r="AX96" s="137">
        <f t="shared" si="27"/>
        <v>0</v>
      </c>
    </row>
    <row r="97" ht="46.5" customHeight="1" spans="1:50" s="97" customFormat="1" x14ac:dyDescent="0.25">
      <c r="A97" s="100"/>
      <c r="B97" s="100"/>
      <c r="C97" s="100"/>
      <c r="D97" s="100"/>
      <c r="E97" s="100"/>
      <c r="F97" s="100"/>
      <c r="G97" s="103"/>
      <c r="H97" s="186"/>
      <c r="I97" s="195">
        <v>0.51</v>
      </c>
      <c r="J97" s="107">
        <v>0.49</v>
      </c>
      <c r="K97" s="107"/>
      <c r="L97" s="107"/>
      <c r="M97" s="187"/>
      <c r="N97" s="169">
        <f t="shared" si="14"/>
        <v>1</v>
      </c>
      <c r="O97" s="144">
        <v>1</v>
      </c>
      <c r="P97" s="145">
        <v>15</v>
      </c>
      <c r="Q97" s="113">
        <v>15</v>
      </c>
      <c r="R97" s="113"/>
      <c r="S97" s="113"/>
      <c r="T97" s="146"/>
      <c r="U97" s="148">
        <f t="shared" si="17"/>
        <v>15</v>
      </c>
      <c r="V97" s="149">
        <f t="shared" si="18"/>
        <v>15</v>
      </c>
      <c r="W97" s="189"/>
      <c r="X97" s="199"/>
      <c r="Y97" s="151"/>
      <c r="Z97" s="190"/>
      <c r="AA97" s="153"/>
      <c r="AB97" s="154">
        <f t="shared" si="19"/>
        <v>0</v>
      </c>
      <c r="AC97" s="149">
        <f t="shared" si="20"/>
        <v>0</v>
      </c>
      <c r="AD97" s="125">
        <v>2</v>
      </c>
      <c r="AE97" s="148">
        <f t="shared" si="21"/>
        <v>2</v>
      </c>
      <c r="AF97" s="156"/>
      <c r="AG97" s="156"/>
      <c r="AH97" s="113">
        <f t="shared" si="22"/>
        <v>17</v>
      </c>
      <c r="AI97" s="157">
        <v>65</v>
      </c>
      <c r="AJ97" s="113">
        <f t="shared" si="23"/>
        <v>82</v>
      </c>
      <c r="AK97" s="113">
        <f t="shared" si="24"/>
        <v>82</v>
      </c>
      <c r="AL97" s="158">
        <f t="shared" si="25"/>
        <v>1.02</v>
      </c>
      <c r="AM97" s="159"/>
      <c r="AN97" s="160">
        <f t="shared" si="28"/>
        <v>1</v>
      </c>
      <c r="AO97" s="160">
        <f t="shared" si="28"/>
        <v>2</v>
      </c>
      <c r="AP97" s="133"/>
      <c r="AQ97" s="134"/>
      <c r="AR97" s="161"/>
      <c r="AS97" s="161"/>
      <c r="AT97" s="161"/>
      <c r="AU97" s="161"/>
      <c r="AV97" s="162"/>
      <c r="AW97" s="137">
        <f t="shared" si="26"/>
        <v>0</v>
      </c>
      <c r="AX97" s="137">
        <f t="shared" si="27"/>
        <v>0</v>
      </c>
    </row>
    <row r="98" ht="64.5" customHeight="1" spans="1:50" s="56" customFormat="1" x14ac:dyDescent="0.25">
      <c r="A98" s="100"/>
      <c r="B98" s="100"/>
      <c r="C98" s="100"/>
      <c r="D98" s="100"/>
      <c r="E98" s="100"/>
      <c r="F98" s="100"/>
      <c r="G98" s="103"/>
      <c r="H98" s="186"/>
      <c r="I98" s="195">
        <v>0.51</v>
      </c>
      <c r="J98" s="107">
        <v>0.49</v>
      </c>
      <c r="K98" s="107"/>
      <c r="L98" s="107"/>
      <c r="M98" s="187"/>
      <c r="N98" s="169">
        <f t="shared" si="14"/>
        <v>1</v>
      </c>
      <c r="O98" s="144">
        <v>1</v>
      </c>
      <c r="P98" s="145">
        <v>15</v>
      </c>
      <c r="Q98" s="113">
        <v>15</v>
      </c>
      <c r="R98" s="113"/>
      <c r="S98" s="113"/>
      <c r="T98" s="146"/>
      <c r="U98" s="148">
        <f t="shared" si="17"/>
        <v>15</v>
      </c>
      <c r="V98" s="149">
        <f t="shared" si="18"/>
        <v>15</v>
      </c>
      <c r="W98" s="189"/>
      <c r="X98" s="199"/>
      <c r="Y98" s="151"/>
      <c r="Z98" s="190"/>
      <c r="AA98" s="153"/>
      <c r="AB98" s="154">
        <f t="shared" si="19"/>
        <v>0</v>
      </c>
      <c r="AC98" s="149">
        <f t="shared" si="20"/>
        <v>0</v>
      </c>
      <c r="AD98" s="125">
        <v>2</v>
      </c>
      <c r="AE98" s="148">
        <f t="shared" si="21"/>
        <v>2</v>
      </c>
      <c r="AF98" s="156"/>
      <c r="AG98" s="156"/>
      <c r="AH98" s="113">
        <f t="shared" si="22"/>
        <v>17</v>
      </c>
      <c r="AI98" s="157">
        <v>65</v>
      </c>
      <c r="AJ98" s="113">
        <f t="shared" si="23"/>
        <v>82</v>
      </c>
      <c r="AK98" s="113">
        <f t="shared" si="24"/>
        <v>82</v>
      </c>
      <c r="AL98" s="158">
        <f t="shared" si="25"/>
        <v>1.02</v>
      </c>
      <c r="AM98" s="159"/>
      <c r="AN98" s="160">
        <f t="shared" si="28"/>
        <v>1</v>
      </c>
      <c r="AO98" s="160">
        <f t="shared" si="28"/>
        <v>2</v>
      </c>
      <c r="AP98" s="133"/>
      <c r="AQ98" s="134"/>
      <c r="AR98" s="161"/>
      <c r="AS98" s="161"/>
      <c r="AT98" s="161"/>
      <c r="AU98" s="161"/>
      <c r="AV98" s="162"/>
      <c r="AW98" s="137">
        <f t="shared" si="26"/>
        <v>0</v>
      </c>
      <c r="AX98" s="137">
        <f t="shared" si="27"/>
        <v>0</v>
      </c>
    </row>
    <row r="99" ht="46.5" customHeight="1" spans="1:50" s="97" customFormat="1" x14ac:dyDescent="0.25">
      <c r="A99" s="100"/>
      <c r="B99" s="100"/>
      <c r="C99" s="100"/>
      <c r="D99" s="100"/>
      <c r="E99" s="100"/>
      <c r="F99" s="100"/>
      <c r="G99" s="103"/>
      <c r="H99" s="186"/>
      <c r="I99" s="195">
        <v>0.51</v>
      </c>
      <c r="J99" s="107">
        <v>0.49</v>
      </c>
      <c r="K99" s="107"/>
      <c r="L99" s="107"/>
      <c r="M99" s="187"/>
      <c r="N99" s="169">
        <f t="shared" si="14"/>
        <v>1</v>
      </c>
      <c r="O99" s="144">
        <v>1</v>
      </c>
      <c r="P99" s="145">
        <v>15</v>
      </c>
      <c r="Q99" s="113">
        <v>15</v>
      </c>
      <c r="R99" s="113"/>
      <c r="S99" s="113"/>
      <c r="T99" s="146"/>
      <c r="U99" s="148">
        <f t="shared" si="17"/>
        <v>15</v>
      </c>
      <c r="V99" s="149">
        <f t="shared" si="18"/>
        <v>15</v>
      </c>
      <c r="W99" s="189"/>
      <c r="X99" s="199"/>
      <c r="Y99" s="151"/>
      <c r="Z99" s="190"/>
      <c r="AA99" s="153"/>
      <c r="AB99" s="154">
        <f t="shared" si="19"/>
        <v>0</v>
      </c>
      <c r="AC99" s="149">
        <f t="shared" si="20"/>
        <v>0</v>
      </c>
      <c r="AD99" s="125">
        <v>2</v>
      </c>
      <c r="AE99" s="148">
        <f t="shared" si="21"/>
        <v>2</v>
      </c>
      <c r="AF99" s="156"/>
      <c r="AG99" s="156"/>
      <c r="AH99" s="113">
        <f t="shared" si="22"/>
        <v>17</v>
      </c>
      <c r="AI99" s="157">
        <v>65</v>
      </c>
      <c r="AJ99" s="113">
        <f t="shared" si="23"/>
        <v>82</v>
      </c>
      <c r="AK99" s="113">
        <f t="shared" si="24"/>
        <v>82</v>
      </c>
      <c r="AL99" s="158">
        <f t="shared" si="25"/>
        <v>1.02</v>
      </c>
      <c r="AM99" s="159"/>
      <c r="AN99" s="160">
        <f t="shared" si="28"/>
        <v>1</v>
      </c>
      <c r="AO99" s="160">
        <f t="shared" si="28"/>
        <v>2</v>
      </c>
      <c r="AP99" s="133"/>
      <c r="AQ99" s="134"/>
      <c r="AR99" s="161"/>
      <c r="AS99" s="161"/>
      <c r="AT99" s="161"/>
      <c r="AU99" s="161"/>
      <c r="AV99" s="162"/>
      <c r="AW99" s="137">
        <f t="shared" si="26"/>
        <v>0</v>
      </c>
      <c r="AX99" s="137">
        <f t="shared" si="27"/>
        <v>0</v>
      </c>
    </row>
    <row r="100" ht="46.5" customHeight="1" spans="1:50" s="97" customFormat="1" x14ac:dyDescent="0.25">
      <c r="A100" s="100"/>
      <c r="B100" s="100"/>
      <c r="C100" s="100"/>
      <c r="D100" s="100"/>
      <c r="E100" s="100"/>
      <c r="F100" s="100"/>
      <c r="G100" s="103"/>
      <c r="H100" s="186"/>
      <c r="I100" s="195">
        <v>0.51</v>
      </c>
      <c r="J100" s="107">
        <v>0.49</v>
      </c>
      <c r="K100" s="107"/>
      <c r="L100" s="107"/>
      <c r="M100" s="187"/>
      <c r="N100" s="169">
        <f t="shared" si="14"/>
        <v>1</v>
      </c>
      <c r="O100" s="144">
        <v>1</v>
      </c>
      <c r="P100" s="145">
        <v>15</v>
      </c>
      <c r="Q100" s="113">
        <v>15</v>
      </c>
      <c r="R100" s="113"/>
      <c r="S100" s="113"/>
      <c r="T100" s="146"/>
      <c r="U100" s="148">
        <f t="shared" si="17"/>
        <v>15</v>
      </c>
      <c r="V100" s="149">
        <f t="shared" si="18"/>
        <v>15</v>
      </c>
      <c r="W100" s="189"/>
      <c r="X100" s="199"/>
      <c r="Y100" s="151"/>
      <c r="Z100" s="190"/>
      <c r="AA100" s="153"/>
      <c r="AB100" s="154">
        <f t="shared" si="19"/>
        <v>0</v>
      </c>
      <c r="AC100" s="149">
        <f t="shared" si="20"/>
        <v>0</v>
      </c>
      <c r="AD100" s="125">
        <v>2</v>
      </c>
      <c r="AE100" s="148">
        <f t="shared" si="21"/>
        <v>2</v>
      </c>
      <c r="AF100" s="156"/>
      <c r="AG100" s="156"/>
      <c r="AH100" s="113">
        <f t="shared" si="22"/>
        <v>17</v>
      </c>
      <c r="AI100" s="157">
        <v>65</v>
      </c>
      <c r="AJ100" s="113">
        <f t="shared" si="23"/>
        <v>82</v>
      </c>
      <c r="AK100" s="113">
        <f t="shared" si="24"/>
        <v>82</v>
      </c>
      <c r="AL100" s="158">
        <f t="shared" si="25"/>
        <v>1.02</v>
      </c>
      <c r="AM100" s="159"/>
      <c r="AN100" s="160">
        <f t="shared" si="28"/>
        <v>1</v>
      </c>
      <c r="AO100" s="160">
        <f t="shared" si="28"/>
        <v>2</v>
      </c>
      <c r="AP100" s="133"/>
      <c r="AQ100" s="134"/>
      <c r="AR100" s="161"/>
      <c r="AS100" s="161"/>
      <c r="AT100" s="161"/>
      <c r="AU100" s="161"/>
      <c r="AV100" s="162"/>
      <c r="AW100" s="137">
        <f t="shared" si="26"/>
        <v>0</v>
      </c>
      <c r="AX100" s="137">
        <f t="shared" si="27"/>
        <v>0</v>
      </c>
    </row>
    <row r="101" ht="46.5" customHeight="1" spans="1:50" s="97" customFormat="1" x14ac:dyDescent="0.25">
      <c r="A101" s="100"/>
      <c r="B101" s="100"/>
      <c r="C101" s="100"/>
      <c r="D101" s="100"/>
      <c r="E101" s="100"/>
      <c r="F101" s="100"/>
      <c r="G101" s="103"/>
      <c r="H101" s="186"/>
      <c r="I101" s="195">
        <v>0.51</v>
      </c>
      <c r="J101" s="107">
        <v>0.49</v>
      </c>
      <c r="K101" s="107"/>
      <c r="L101" s="107"/>
      <c r="M101" s="187"/>
      <c r="N101" s="169">
        <f t="shared" si="14"/>
        <v>1</v>
      </c>
      <c r="O101" s="144">
        <v>1</v>
      </c>
      <c r="P101" s="145">
        <v>15</v>
      </c>
      <c r="Q101" s="113">
        <v>15</v>
      </c>
      <c r="R101" s="113"/>
      <c r="S101" s="113"/>
      <c r="T101" s="146"/>
      <c r="U101" s="148">
        <f t="shared" si="17"/>
        <v>15</v>
      </c>
      <c r="V101" s="149">
        <f t="shared" si="18"/>
        <v>15</v>
      </c>
      <c r="W101" s="189"/>
      <c r="X101" s="199"/>
      <c r="Y101" s="151"/>
      <c r="Z101" s="190"/>
      <c r="AA101" s="153"/>
      <c r="AB101" s="154">
        <f t="shared" si="19"/>
        <v>0</v>
      </c>
      <c r="AC101" s="149">
        <f t="shared" si="20"/>
        <v>0</v>
      </c>
      <c r="AD101" s="125">
        <v>2</v>
      </c>
      <c r="AE101" s="148">
        <f t="shared" si="21"/>
        <v>2</v>
      </c>
      <c r="AF101" s="156"/>
      <c r="AG101" s="156"/>
      <c r="AH101" s="113">
        <f t="shared" si="22"/>
        <v>17</v>
      </c>
      <c r="AI101" s="157">
        <v>65</v>
      </c>
      <c r="AJ101" s="113">
        <f t="shared" si="23"/>
        <v>82</v>
      </c>
      <c r="AK101" s="113">
        <f t="shared" si="24"/>
        <v>82</v>
      </c>
      <c r="AL101" s="158">
        <f t="shared" si="25"/>
        <v>1.02</v>
      </c>
      <c r="AM101" s="159"/>
      <c r="AN101" s="160">
        <f t="shared" si="28"/>
        <v>1</v>
      </c>
      <c r="AO101" s="160">
        <f t="shared" si="28"/>
        <v>2</v>
      </c>
      <c r="AP101" s="133"/>
      <c r="AQ101" s="134"/>
      <c r="AR101" s="161"/>
      <c r="AS101" s="161"/>
      <c r="AT101" s="161"/>
      <c r="AU101" s="161"/>
      <c r="AV101" s="162"/>
      <c r="AW101" s="137">
        <f t="shared" si="26"/>
        <v>0</v>
      </c>
      <c r="AX101" s="137">
        <f t="shared" si="27"/>
        <v>0</v>
      </c>
    </row>
    <row r="102" ht="47.25" customHeight="1" spans="1:50" s="97" customFormat="1" x14ac:dyDescent="0.25">
      <c r="A102" s="100"/>
      <c r="B102" s="100"/>
      <c r="C102" s="100"/>
      <c r="D102" s="100"/>
      <c r="E102" s="100"/>
      <c r="F102" s="100"/>
      <c r="G102" s="103"/>
      <c r="H102" s="186"/>
      <c r="I102" s="195">
        <v>0.51</v>
      </c>
      <c r="J102" s="107">
        <v>0.49</v>
      </c>
      <c r="K102" s="107"/>
      <c r="L102" s="107"/>
      <c r="M102" s="187"/>
      <c r="N102" s="169">
        <f t="shared" si="14"/>
        <v>1</v>
      </c>
      <c r="O102" s="144">
        <v>1</v>
      </c>
      <c r="P102" s="145">
        <v>15</v>
      </c>
      <c r="Q102" s="113">
        <v>15</v>
      </c>
      <c r="R102" s="113"/>
      <c r="S102" s="113"/>
      <c r="T102" s="146"/>
      <c r="U102" s="148">
        <f t="shared" si="17"/>
        <v>15</v>
      </c>
      <c r="V102" s="149">
        <f t="shared" si="18"/>
        <v>15</v>
      </c>
      <c r="W102" s="189"/>
      <c r="X102" s="199"/>
      <c r="Y102" s="151"/>
      <c r="Z102" s="190"/>
      <c r="AA102" s="153"/>
      <c r="AB102" s="154">
        <f t="shared" si="19"/>
        <v>0</v>
      </c>
      <c r="AC102" s="149">
        <f t="shared" si="20"/>
        <v>0</v>
      </c>
      <c r="AD102" s="125">
        <v>2</v>
      </c>
      <c r="AE102" s="148">
        <f t="shared" si="21"/>
        <v>2</v>
      </c>
      <c r="AF102" s="156"/>
      <c r="AG102" s="156"/>
      <c r="AH102" s="113">
        <f t="shared" si="22"/>
        <v>17</v>
      </c>
      <c r="AI102" s="157">
        <v>65</v>
      </c>
      <c r="AJ102" s="113">
        <f t="shared" si="23"/>
        <v>82</v>
      </c>
      <c r="AK102" s="113">
        <f t="shared" si="24"/>
        <v>82</v>
      </c>
      <c r="AL102" s="158">
        <f t="shared" si="25"/>
        <v>1.02</v>
      </c>
      <c r="AM102" s="159"/>
      <c r="AN102" s="160">
        <f t="shared" si="28"/>
        <v>1</v>
      </c>
      <c r="AO102" s="160">
        <f t="shared" si="28"/>
        <v>2</v>
      </c>
      <c r="AP102" s="133"/>
      <c r="AQ102" s="134"/>
      <c r="AR102" s="161"/>
      <c r="AS102" s="161"/>
      <c r="AT102" s="161"/>
      <c r="AU102" s="161"/>
      <c r="AV102" s="162"/>
      <c r="AW102" s="137">
        <f t="shared" si="26"/>
        <v>0</v>
      </c>
      <c r="AX102" s="137">
        <f t="shared" si="27"/>
        <v>0</v>
      </c>
    </row>
    <row r="103" ht="46.5" customHeight="1" spans="1:50" s="97" customFormat="1" x14ac:dyDescent="0.25">
      <c r="A103" s="100"/>
      <c r="B103" s="100"/>
      <c r="C103" s="100"/>
      <c r="D103" s="100"/>
      <c r="E103" s="100"/>
      <c r="F103" s="100"/>
      <c r="G103" s="103"/>
      <c r="H103" s="186"/>
      <c r="I103" s="195">
        <v>0.51</v>
      </c>
      <c r="J103" s="107">
        <v>0.49</v>
      </c>
      <c r="K103" s="107"/>
      <c r="L103" s="107"/>
      <c r="M103" s="187"/>
      <c r="N103" s="169">
        <f t="shared" si="14"/>
        <v>1</v>
      </c>
      <c r="O103" s="144">
        <v>1</v>
      </c>
      <c r="P103" s="145">
        <v>15</v>
      </c>
      <c r="Q103" s="113">
        <v>15</v>
      </c>
      <c r="R103" s="113"/>
      <c r="S103" s="113"/>
      <c r="T103" s="146"/>
      <c r="U103" s="148">
        <f t="shared" si="17"/>
        <v>15</v>
      </c>
      <c r="V103" s="149">
        <f t="shared" si="18"/>
        <v>15</v>
      </c>
      <c r="W103" s="189"/>
      <c r="X103" s="199"/>
      <c r="Y103" s="151"/>
      <c r="Z103" s="190"/>
      <c r="AA103" s="153"/>
      <c r="AB103" s="154">
        <f t="shared" si="19"/>
        <v>0</v>
      </c>
      <c r="AC103" s="149">
        <f t="shared" si="20"/>
        <v>0</v>
      </c>
      <c r="AD103" s="125">
        <v>2</v>
      </c>
      <c r="AE103" s="148">
        <f t="shared" si="21"/>
        <v>2</v>
      </c>
      <c r="AF103" s="156"/>
      <c r="AG103" s="156"/>
      <c r="AH103" s="113">
        <f t="shared" si="22"/>
        <v>17</v>
      </c>
      <c r="AI103" s="157">
        <v>65</v>
      </c>
      <c r="AJ103" s="113">
        <f t="shared" si="23"/>
        <v>82</v>
      </c>
      <c r="AK103" s="113">
        <f t="shared" si="24"/>
        <v>82</v>
      </c>
      <c r="AL103" s="158">
        <f t="shared" si="25"/>
        <v>1.02</v>
      </c>
      <c r="AM103" s="159"/>
      <c r="AN103" s="160">
        <f t="shared" si="28"/>
        <v>1</v>
      </c>
      <c r="AO103" s="160">
        <f t="shared" si="28"/>
        <v>2</v>
      </c>
      <c r="AP103" s="133"/>
      <c r="AQ103" s="134"/>
      <c r="AR103" s="161"/>
      <c r="AS103" s="161"/>
      <c r="AT103" s="161"/>
      <c r="AU103" s="161"/>
      <c r="AV103" s="162"/>
      <c r="AW103" s="137">
        <f t="shared" si="26"/>
        <v>0</v>
      </c>
      <c r="AX103" s="137">
        <f t="shared" si="27"/>
        <v>0</v>
      </c>
    </row>
    <row r="104" ht="46.5" customHeight="1" spans="1:50" s="97" customFormat="1" x14ac:dyDescent="0.25">
      <c r="A104" s="100"/>
      <c r="B104" s="100"/>
      <c r="C104" s="100"/>
      <c r="D104" s="100"/>
      <c r="E104" s="100"/>
      <c r="F104" s="100"/>
      <c r="G104" s="103"/>
      <c r="H104" s="186"/>
      <c r="I104" s="195">
        <v>0.51</v>
      </c>
      <c r="J104" s="107">
        <v>0.49</v>
      </c>
      <c r="K104" s="107"/>
      <c r="L104" s="107"/>
      <c r="M104" s="187"/>
      <c r="N104" s="169">
        <f t="shared" si="14"/>
        <v>1</v>
      </c>
      <c r="O104" s="144">
        <v>1</v>
      </c>
      <c r="P104" s="145">
        <v>15</v>
      </c>
      <c r="Q104" s="113">
        <v>15</v>
      </c>
      <c r="R104" s="113"/>
      <c r="S104" s="113"/>
      <c r="T104" s="146"/>
      <c r="U104" s="148">
        <f t="shared" si="17"/>
        <v>15</v>
      </c>
      <c r="V104" s="149">
        <f t="shared" si="18"/>
        <v>15</v>
      </c>
      <c r="W104" s="189"/>
      <c r="X104" s="199"/>
      <c r="Y104" s="151"/>
      <c r="Z104" s="190"/>
      <c r="AA104" s="153"/>
      <c r="AB104" s="154">
        <f t="shared" si="19"/>
        <v>0</v>
      </c>
      <c r="AC104" s="149">
        <f t="shared" si="20"/>
        <v>0</v>
      </c>
      <c r="AD104" s="125">
        <v>2</v>
      </c>
      <c r="AE104" s="148">
        <f t="shared" si="21"/>
        <v>2</v>
      </c>
      <c r="AF104" s="156"/>
      <c r="AG104" s="156"/>
      <c r="AH104" s="113">
        <f t="shared" si="22"/>
        <v>17</v>
      </c>
      <c r="AI104" s="157">
        <v>65</v>
      </c>
      <c r="AJ104" s="113">
        <f t="shared" si="23"/>
        <v>82</v>
      </c>
      <c r="AK104" s="113">
        <f t="shared" si="24"/>
        <v>82</v>
      </c>
      <c r="AL104" s="158">
        <f t="shared" si="25"/>
        <v>1.02</v>
      </c>
      <c r="AM104" s="159"/>
      <c r="AN104" s="160">
        <f t="shared" si="28"/>
        <v>1</v>
      </c>
      <c r="AO104" s="160">
        <f t="shared" si="28"/>
        <v>2</v>
      </c>
      <c r="AP104" s="133"/>
      <c r="AQ104" s="134"/>
      <c r="AR104" s="161"/>
      <c r="AS104" s="161"/>
      <c r="AT104" s="161"/>
      <c r="AU104" s="161"/>
      <c r="AV104" s="162"/>
      <c r="AW104" s="137">
        <f t="shared" si="26"/>
        <v>0</v>
      </c>
      <c r="AX104" s="137">
        <f t="shared" si="27"/>
        <v>0</v>
      </c>
    </row>
    <row r="105" ht="46.5" customHeight="1" spans="1:50" s="97" customFormat="1" x14ac:dyDescent="0.25">
      <c r="A105" s="100"/>
      <c r="B105" s="100"/>
      <c r="C105" s="100"/>
      <c r="D105" s="100"/>
      <c r="E105" s="100"/>
      <c r="F105" s="100"/>
      <c r="G105" s="103"/>
      <c r="H105" s="186"/>
      <c r="I105" s="195">
        <v>0.51</v>
      </c>
      <c r="J105" s="107">
        <v>0.49</v>
      </c>
      <c r="K105" s="107"/>
      <c r="L105" s="107"/>
      <c r="M105" s="187"/>
      <c r="N105" s="169">
        <f t="shared" si="14"/>
        <v>1</v>
      </c>
      <c r="O105" s="144">
        <v>1</v>
      </c>
      <c r="P105" s="145">
        <v>15</v>
      </c>
      <c r="Q105" s="113">
        <v>15</v>
      </c>
      <c r="R105" s="113"/>
      <c r="S105" s="113"/>
      <c r="T105" s="146"/>
      <c r="U105" s="148">
        <f t="shared" si="17"/>
        <v>15</v>
      </c>
      <c r="V105" s="149">
        <f t="shared" si="18"/>
        <v>15</v>
      </c>
      <c r="W105" s="189"/>
      <c r="X105" s="199"/>
      <c r="Y105" s="151"/>
      <c r="Z105" s="190"/>
      <c r="AA105" s="153"/>
      <c r="AB105" s="154">
        <f t="shared" si="19"/>
        <v>0</v>
      </c>
      <c r="AC105" s="149">
        <f t="shared" si="20"/>
        <v>0</v>
      </c>
      <c r="AD105" s="125">
        <v>2</v>
      </c>
      <c r="AE105" s="148">
        <f t="shared" si="21"/>
        <v>2</v>
      </c>
      <c r="AF105" s="156"/>
      <c r="AG105" s="156"/>
      <c r="AH105" s="113">
        <f t="shared" si="22"/>
        <v>17</v>
      </c>
      <c r="AI105" s="157">
        <v>65</v>
      </c>
      <c r="AJ105" s="113">
        <f t="shared" si="23"/>
        <v>82</v>
      </c>
      <c r="AK105" s="113">
        <f t="shared" si="24"/>
        <v>82</v>
      </c>
      <c r="AL105" s="158">
        <f t="shared" si="25"/>
        <v>1.02</v>
      </c>
      <c r="AM105" s="159"/>
      <c r="AN105" s="160">
        <f t="shared" si="28"/>
        <v>1</v>
      </c>
      <c r="AO105" s="160">
        <f t="shared" si="28"/>
        <v>2</v>
      </c>
      <c r="AP105" s="133"/>
      <c r="AQ105" s="134"/>
      <c r="AR105" s="161"/>
      <c r="AS105" s="161"/>
      <c r="AT105" s="161"/>
      <c r="AU105" s="161"/>
      <c r="AV105" s="162"/>
      <c r="AW105" s="137">
        <f t="shared" si="26"/>
        <v>0</v>
      </c>
      <c r="AX105" s="137">
        <f t="shared" si="27"/>
        <v>0</v>
      </c>
    </row>
    <row r="106" ht="46.5" customHeight="1" spans="1:50" s="97" customFormat="1" x14ac:dyDescent="0.25">
      <c r="A106" s="100"/>
      <c r="B106" s="100"/>
      <c r="C106" s="100"/>
      <c r="D106" s="100"/>
      <c r="E106" s="100"/>
      <c r="F106" s="100"/>
      <c r="G106" s="103"/>
      <c r="H106" s="186"/>
      <c r="I106" s="195">
        <v>0.51</v>
      </c>
      <c r="J106" s="107">
        <v>0.49</v>
      </c>
      <c r="K106" s="107"/>
      <c r="L106" s="107"/>
      <c r="M106" s="187"/>
      <c r="N106" s="169">
        <f t="shared" si="14"/>
        <v>1</v>
      </c>
      <c r="O106" s="144">
        <v>1</v>
      </c>
      <c r="P106" s="145">
        <v>15</v>
      </c>
      <c r="Q106" s="113">
        <v>15</v>
      </c>
      <c r="R106" s="113"/>
      <c r="S106" s="113"/>
      <c r="T106" s="146"/>
      <c r="U106" s="148">
        <f t="shared" si="17"/>
        <v>15</v>
      </c>
      <c r="V106" s="149">
        <f t="shared" si="18"/>
        <v>15</v>
      </c>
      <c r="W106" s="189"/>
      <c r="X106" s="199"/>
      <c r="Y106" s="151"/>
      <c r="Z106" s="190"/>
      <c r="AA106" s="153"/>
      <c r="AB106" s="154">
        <f t="shared" si="19"/>
        <v>0</v>
      </c>
      <c r="AC106" s="149">
        <f t="shared" si="20"/>
        <v>0</v>
      </c>
      <c r="AD106" s="125">
        <v>2</v>
      </c>
      <c r="AE106" s="148">
        <f t="shared" si="21"/>
        <v>2</v>
      </c>
      <c r="AF106" s="156"/>
      <c r="AG106" s="156"/>
      <c r="AH106" s="113">
        <f t="shared" si="22"/>
        <v>17</v>
      </c>
      <c r="AI106" s="157">
        <v>65</v>
      </c>
      <c r="AJ106" s="113">
        <f t="shared" si="23"/>
        <v>82</v>
      </c>
      <c r="AK106" s="113">
        <f t="shared" si="24"/>
        <v>82</v>
      </c>
      <c r="AL106" s="158">
        <f t="shared" si="25"/>
        <v>1.02</v>
      </c>
      <c r="AM106" s="159"/>
      <c r="AN106" s="160">
        <f t="shared" si="28"/>
        <v>1</v>
      </c>
      <c r="AO106" s="160">
        <f t="shared" si="28"/>
        <v>2</v>
      </c>
      <c r="AP106" s="133"/>
      <c r="AQ106" s="134"/>
      <c r="AR106" s="161"/>
      <c r="AS106" s="161"/>
      <c r="AT106" s="161"/>
      <c r="AU106" s="161"/>
      <c r="AV106" s="162"/>
      <c r="AW106" s="137">
        <f t="shared" si="26"/>
        <v>0</v>
      </c>
      <c r="AX106" s="137">
        <f t="shared" si="27"/>
        <v>0</v>
      </c>
    </row>
    <row r="107" ht="47.25" customHeight="1" spans="1:50" s="56" customFormat="1" x14ac:dyDescent="0.25">
      <c r="A107" s="100"/>
      <c r="B107" s="100"/>
      <c r="C107" s="100"/>
      <c r="D107" s="100"/>
      <c r="E107" s="100"/>
      <c r="F107" s="100"/>
      <c r="G107" s="103"/>
      <c r="H107" s="186"/>
      <c r="I107" s="195">
        <v>0.51</v>
      </c>
      <c r="J107" s="107">
        <v>0.49</v>
      </c>
      <c r="K107" s="107"/>
      <c r="L107" s="107"/>
      <c r="M107" s="187"/>
      <c r="N107" s="169">
        <f t="shared" ref="N107:N136" si="29">SUM(I107:M107)</f>
        <v>1</v>
      </c>
      <c r="O107" s="144">
        <v>1</v>
      </c>
      <c r="P107" s="145">
        <v>15</v>
      </c>
      <c r="Q107" s="113">
        <v>15</v>
      </c>
      <c r="R107" s="113"/>
      <c r="S107" s="113"/>
      <c r="T107" s="146"/>
      <c r="U107" s="148">
        <f t="shared" si="17"/>
        <v>15</v>
      </c>
      <c r="V107" s="149">
        <f t="shared" si="18"/>
        <v>15</v>
      </c>
      <c r="W107" s="189"/>
      <c r="X107" s="199"/>
      <c r="Y107" s="151"/>
      <c r="Z107" s="190"/>
      <c r="AA107" s="153"/>
      <c r="AB107" s="154">
        <f t="shared" si="19"/>
        <v>0</v>
      </c>
      <c r="AC107" s="149">
        <f t="shared" si="20"/>
        <v>0</v>
      </c>
      <c r="AD107" s="125">
        <v>2</v>
      </c>
      <c r="AE107" s="148">
        <f t="shared" si="21"/>
        <v>2</v>
      </c>
      <c r="AF107" s="156"/>
      <c r="AG107" s="156"/>
      <c r="AH107" s="113">
        <f t="shared" si="22"/>
        <v>17</v>
      </c>
      <c r="AI107" s="157">
        <v>65</v>
      </c>
      <c r="AJ107" s="113">
        <f t="shared" si="23"/>
        <v>82</v>
      </c>
      <c r="AK107" s="113">
        <f t="shared" si="24"/>
        <v>82</v>
      </c>
      <c r="AL107" s="158">
        <f t="shared" si="25"/>
        <v>1.02</v>
      </c>
      <c r="AM107" s="159"/>
      <c r="AN107" s="160">
        <f t="shared" si="28"/>
        <v>1</v>
      </c>
      <c r="AO107" s="160">
        <f t="shared" si="28"/>
        <v>2</v>
      </c>
      <c r="AP107" s="133"/>
      <c r="AQ107" s="134"/>
      <c r="AR107" s="161"/>
      <c r="AS107" s="161"/>
      <c r="AT107" s="161"/>
      <c r="AU107" s="161"/>
      <c r="AV107" s="162"/>
      <c r="AW107" s="137">
        <f t="shared" si="26"/>
        <v>0</v>
      </c>
      <c r="AX107" s="137">
        <f t="shared" si="27"/>
        <v>0</v>
      </c>
    </row>
    <row r="108" ht="57" customHeight="1" spans="1:50" s="97" customFormat="1" x14ac:dyDescent="0.25">
      <c r="A108" s="100"/>
      <c r="B108" s="100"/>
      <c r="C108" s="100"/>
      <c r="D108" s="100"/>
      <c r="E108" s="100"/>
      <c r="F108" s="100"/>
      <c r="G108" s="103"/>
      <c r="H108" s="186"/>
      <c r="I108" s="195">
        <v>0.51</v>
      </c>
      <c r="J108" s="107">
        <v>0.49</v>
      </c>
      <c r="K108" s="107"/>
      <c r="L108" s="107"/>
      <c r="M108" s="187"/>
      <c r="N108" s="169">
        <f t="shared" si="29"/>
        <v>1</v>
      </c>
      <c r="O108" s="144">
        <v>1</v>
      </c>
      <c r="P108" s="145">
        <v>15</v>
      </c>
      <c r="Q108" s="113">
        <v>15</v>
      </c>
      <c r="R108" s="113"/>
      <c r="S108" s="113"/>
      <c r="T108" s="146"/>
      <c r="U108" s="148">
        <f t="shared" si="17"/>
        <v>15</v>
      </c>
      <c r="V108" s="149">
        <f t="shared" si="18"/>
        <v>15</v>
      </c>
      <c r="W108" s="189"/>
      <c r="X108" s="199"/>
      <c r="Y108" s="151"/>
      <c r="Z108" s="190"/>
      <c r="AA108" s="153"/>
      <c r="AB108" s="154">
        <f t="shared" si="19"/>
        <v>0</v>
      </c>
      <c r="AC108" s="149">
        <f t="shared" si="20"/>
        <v>0</v>
      </c>
      <c r="AD108" s="125">
        <v>2</v>
      </c>
      <c r="AE108" s="148">
        <f t="shared" si="21"/>
        <v>2</v>
      </c>
      <c r="AF108" s="156"/>
      <c r="AG108" s="156"/>
      <c r="AH108" s="113">
        <f t="shared" si="22"/>
        <v>17</v>
      </c>
      <c r="AI108" s="157">
        <v>65</v>
      </c>
      <c r="AJ108" s="113">
        <f t="shared" si="23"/>
        <v>82</v>
      </c>
      <c r="AK108" s="113">
        <f t="shared" si="24"/>
        <v>82</v>
      </c>
      <c r="AL108" s="158">
        <f t="shared" si="25"/>
        <v>1.02</v>
      </c>
      <c r="AM108" s="159"/>
      <c r="AN108" s="160">
        <f t="shared" si="28"/>
        <v>1</v>
      </c>
      <c r="AO108" s="160">
        <f t="shared" si="28"/>
        <v>2</v>
      </c>
      <c r="AP108" s="133"/>
      <c r="AQ108" s="134"/>
      <c r="AR108" s="161"/>
      <c r="AS108" s="161"/>
      <c r="AT108" s="161"/>
      <c r="AU108" s="161"/>
      <c r="AV108" s="162"/>
      <c r="AW108" s="137">
        <f t="shared" si="26"/>
        <v>0</v>
      </c>
      <c r="AX108" s="137">
        <f t="shared" si="27"/>
        <v>0</v>
      </c>
    </row>
    <row r="109" ht="46.5" customHeight="1" spans="1:50" s="97" customFormat="1" x14ac:dyDescent="0.25">
      <c r="A109" s="100"/>
      <c r="B109" s="100"/>
      <c r="C109" s="100"/>
      <c r="D109" s="100"/>
      <c r="E109" s="100"/>
      <c r="F109" s="100"/>
      <c r="G109" s="103"/>
      <c r="H109" s="186"/>
      <c r="I109" s="195">
        <v>0.51</v>
      </c>
      <c r="J109" s="107">
        <v>0.49</v>
      </c>
      <c r="K109" s="107"/>
      <c r="L109" s="107"/>
      <c r="M109" s="187"/>
      <c r="N109" s="169">
        <f t="shared" si="29"/>
        <v>1</v>
      </c>
      <c r="O109" s="144">
        <v>1</v>
      </c>
      <c r="P109" s="145">
        <v>15</v>
      </c>
      <c r="Q109" s="113">
        <v>15</v>
      </c>
      <c r="R109" s="113"/>
      <c r="S109" s="113"/>
      <c r="T109" s="146"/>
      <c r="U109" s="148">
        <f t="shared" si="17"/>
        <v>15</v>
      </c>
      <c r="V109" s="149">
        <f t="shared" si="18"/>
        <v>15</v>
      </c>
      <c r="W109" s="189"/>
      <c r="X109" s="199"/>
      <c r="Y109" s="151"/>
      <c r="Z109" s="190"/>
      <c r="AA109" s="153"/>
      <c r="AB109" s="154">
        <f t="shared" si="19"/>
        <v>0</v>
      </c>
      <c r="AC109" s="149">
        <f t="shared" si="20"/>
        <v>0</v>
      </c>
      <c r="AD109" s="125">
        <v>2</v>
      </c>
      <c r="AE109" s="148">
        <f t="shared" si="21"/>
        <v>2</v>
      </c>
      <c r="AF109" s="156"/>
      <c r="AG109" s="156"/>
      <c r="AH109" s="113">
        <f t="shared" si="22"/>
        <v>17</v>
      </c>
      <c r="AI109" s="157">
        <v>65</v>
      </c>
      <c r="AJ109" s="113">
        <f t="shared" si="23"/>
        <v>82</v>
      </c>
      <c r="AK109" s="113">
        <f t="shared" si="24"/>
        <v>82</v>
      </c>
      <c r="AL109" s="158">
        <f t="shared" si="25"/>
        <v>1.02</v>
      </c>
      <c r="AM109" s="159"/>
      <c r="AN109" s="160">
        <f t="shared" si="28"/>
        <v>1</v>
      </c>
      <c r="AO109" s="160">
        <f t="shared" si="28"/>
        <v>2</v>
      </c>
      <c r="AP109" s="133"/>
      <c r="AQ109" s="134"/>
      <c r="AR109" s="161"/>
      <c r="AS109" s="161"/>
      <c r="AT109" s="161"/>
      <c r="AU109" s="161"/>
      <c r="AV109" s="162"/>
      <c r="AW109" s="137">
        <f t="shared" si="26"/>
        <v>0</v>
      </c>
      <c r="AX109" s="137">
        <f t="shared" si="27"/>
        <v>0</v>
      </c>
    </row>
    <row r="110" ht="47.25" customHeight="1" spans="1:50" s="56" customFormat="1" x14ac:dyDescent="0.25">
      <c r="A110" s="100"/>
      <c r="B110" s="100"/>
      <c r="C110" s="100"/>
      <c r="D110" s="100"/>
      <c r="E110" s="100"/>
      <c r="F110" s="100"/>
      <c r="G110" s="103"/>
      <c r="H110" s="186"/>
      <c r="I110" s="195">
        <v>0.51</v>
      </c>
      <c r="J110" s="107">
        <v>0.49</v>
      </c>
      <c r="K110" s="107"/>
      <c r="L110" s="107"/>
      <c r="M110" s="187"/>
      <c r="N110" s="169">
        <f t="shared" si="29"/>
        <v>1</v>
      </c>
      <c r="O110" s="144">
        <v>1</v>
      </c>
      <c r="P110" s="145">
        <v>15</v>
      </c>
      <c r="Q110" s="113">
        <v>15</v>
      </c>
      <c r="R110" s="113"/>
      <c r="S110" s="113"/>
      <c r="T110" s="146"/>
      <c r="U110" s="148">
        <f t="shared" si="17"/>
        <v>15</v>
      </c>
      <c r="V110" s="149">
        <f t="shared" si="18"/>
        <v>15</v>
      </c>
      <c r="W110" s="189"/>
      <c r="X110" s="199"/>
      <c r="Y110" s="151"/>
      <c r="Z110" s="190"/>
      <c r="AA110" s="153"/>
      <c r="AB110" s="154">
        <f t="shared" si="19"/>
        <v>0</v>
      </c>
      <c r="AC110" s="149">
        <f t="shared" si="20"/>
        <v>0</v>
      </c>
      <c r="AD110" s="125">
        <v>2</v>
      </c>
      <c r="AE110" s="148">
        <f t="shared" si="21"/>
        <v>2</v>
      </c>
      <c r="AF110" s="156"/>
      <c r="AG110" s="156"/>
      <c r="AH110" s="113">
        <f t="shared" si="22"/>
        <v>17</v>
      </c>
      <c r="AI110" s="157">
        <v>65</v>
      </c>
      <c r="AJ110" s="113">
        <f t="shared" si="23"/>
        <v>82</v>
      </c>
      <c r="AK110" s="113">
        <f t="shared" si="24"/>
        <v>82</v>
      </c>
      <c r="AL110" s="158">
        <f t="shared" si="25"/>
        <v>1.02</v>
      </c>
      <c r="AM110" s="159"/>
      <c r="AN110" s="160">
        <f t="shared" si="28"/>
        <v>1</v>
      </c>
      <c r="AO110" s="160">
        <f t="shared" si="28"/>
        <v>2</v>
      </c>
      <c r="AP110" s="133"/>
      <c r="AQ110" s="134"/>
      <c r="AR110" s="161"/>
      <c r="AS110" s="161"/>
      <c r="AT110" s="161"/>
      <c r="AU110" s="161"/>
      <c r="AV110" s="162"/>
      <c r="AW110" s="137">
        <f t="shared" si="26"/>
        <v>0</v>
      </c>
      <c r="AX110" s="137">
        <f t="shared" si="27"/>
        <v>0</v>
      </c>
    </row>
    <row r="111" ht="46.5" customHeight="1" spans="1:50" s="97" customFormat="1" x14ac:dyDescent="0.25">
      <c r="A111" s="100"/>
      <c r="B111" s="100"/>
      <c r="C111" s="100"/>
      <c r="D111" s="100"/>
      <c r="E111" s="100"/>
      <c r="F111" s="100"/>
      <c r="G111" s="103"/>
      <c r="H111" s="186"/>
      <c r="I111" s="195">
        <v>0.51</v>
      </c>
      <c r="J111" s="107">
        <v>0.49</v>
      </c>
      <c r="K111" s="107"/>
      <c r="L111" s="107"/>
      <c r="M111" s="187"/>
      <c r="N111" s="169">
        <f t="shared" si="29"/>
        <v>1</v>
      </c>
      <c r="O111" s="144">
        <v>1</v>
      </c>
      <c r="P111" s="145">
        <v>15</v>
      </c>
      <c r="Q111" s="113">
        <v>15</v>
      </c>
      <c r="R111" s="113"/>
      <c r="S111" s="113"/>
      <c r="T111" s="146"/>
      <c r="U111" s="148">
        <f t="shared" si="17"/>
        <v>15</v>
      </c>
      <c r="V111" s="149">
        <f t="shared" si="18"/>
        <v>15</v>
      </c>
      <c r="W111" s="189"/>
      <c r="X111" s="199"/>
      <c r="Y111" s="151"/>
      <c r="Z111" s="190"/>
      <c r="AA111" s="153"/>
      <c r="AB111" s="154">
        <f t="shared" si="19"/>
        <v>0</v>
      </c>
      <c r="AC111" s="149">
        <f t="shared" si="20"/>
        <v>0</v>
      </c>
      <c r="AD111" s="125">
        <v>2</v>
      </c>
      <c r="AE111" s="148">
        <f t="shared" si="21"/>
        <v>2</v>
      </c>
      <c r="AF111" s="156"/>
      <c r="AG111" s="156"/>
      <c r="AH111" s="113">
        <f t="shared" si="22"/>
        <v>17</v>
      </c>
      <c r="AI111" s="157">
        <v>65</v>
      </c>
      <c r="AJ111" s="113">
        <f t="shared" si="23"/>
        <v>82</v>
      </c>
      <c r="AK111" s="113">
        <f t="shared" si="24"/>
        <v>82</v>
      </c>
      <c r="AL111" s="158">
        <f t="shared" si="25"/>
        <v>1.02</v>
      </c>
      <c r="AM111" s="159"/>
      <c r="AN111" s="160">
        <f t="shared" ref="AN111:AO130" si="30">100%+AM111</f>
        <v>1</v>
      </c>
      <c r="AO111" s="160">
        <f t="shared" si="30"/>
        <v>2</v>
      </c>
      <c r="AP111" s="133"/>
      <c r="AQ111" s="134"/>
      <c r="AR111" s="161"/>
      <c r="AS111" s="161"/>
      <c r="AT111" s="161"/>
      <c r="AU111" s="161"/>
      <c r="AV111" s="162"/>
      <c r="AW111" s="137">
        <f t="shared" si="26"/>
        <v>0</v>
      </c>
      <c r="AX111" s="137">
        <f t="shared" si="27"/>
        <v>0</v>
      </c>
    </row>
    <row r="112" ht="46.5" customHeight="1" spans="1:50" s="97" customFormat="1" x14ac:dyDescent="0.25">
      <c r="A112" s="100"/>
      <c r="B112" s="100"/>
      <c r="C112" s="100"/>
      <c r="D112" s="100"/>
      <c r="E112" s="100"/>
      <c r="F112" s="100"/>
      <c r="G112" s="103"/>
      <c r="H112" s="186"/>
      <c r="I112" s="195">
        <v>0.51</v>
      </c>
      <c r="J112" s="107">
        <v>0.49</v>
      </c>
      <c r="K112" s="107"/>
      <c r="L112" s="107"/>
      <c r="M112" s="187"/>
      <c r="N112" s="169">
        <f t="shared" si="29"/>
        <v>1</v>
      </c>
      <c r="O112" s="144">
        <v>1</v>
      </c>
      <c r="P112" s="145">
        <v>15</v>
      </c>
      <c r="Q112" s="113">
        <v>15</v>
      </c>
      <c r="R112" s="113"/>
      <c r="S112" s="113"/>
      <c r="T112" s="146"/>
      <c r="U112" s="148">
        <f t="shared" si="17"/>
        <v>15</v>
      </c>
      <c r="V112" s="149">
        <f t="shared" si="18"/>
        <v>15</v>
      </c>
      <c r="W112" s="189"/>
      <c r="X112" s="199"/>
      <c r="Y112" s="151"/>
      <c r="Z112" s="190"/>
      <c r="AA112" s="153"/>
      <c r="AB112" s="154">
        <f t="shared" si="19"/>
        <v>0</v>
      </c>
      <c r="AC112" s="149">
        <f t="shared" si="20"/>
        <v>0</v>
      </c>
      <c r="AD112" s="125">
        <v>2</v>
      </c>
      <c r="AE112" s="148">
        <f t="shared" si="21"/>
        <v>2</v>
      </c>
      <c r="AF112" s="156"/>
      <c r="AG112" s="156"/>
      <c r="AH112" s="113">
        <f t="shared" si="22"/>
        <v>17</v>
      </c>
      <c r="AI112" s="157">
        <v>65</v>
      </c>
      <c r="AJ112" s="113">
        <f t="shared" si="23"/>
        <v>82</v>
      </c>
      <c r="AK112" s="113">
        <f t="shared" si="24"/>
        <v>82</v>
      </c>
      <c r="AL112" s="158">
        <f t="shared" si="25"/>
        <v>1.02</v>
      </c>
      <c r="AM112" s="159"/>
      <c r="AN112" s="160">
        <f t="shared" si="30"/>
        <v>1</v>
      </c>
      <c r="AO112" s="160">
        <f t="shared" si="30"/>
        <v>2</v>
      </c>
      <c r="AP112" s="133"/>
      <c r="AQ112" s="134"/>
      <c r="AR112" s="161"/>
      <c r="AS112" s="161"/>
      <c r="AT112" s="161"/>
      <c r="AU112" s="161"/>
      <c r="AV112" s="162"/>
      <c r="AW112" s="137">
        <f t="shared" si="26"/>
        <v>0</v>
      </c>
      <c r="AX112" s="137">
        <f t="shared" si="27"/>
        <v>0</v>
      </c>
    </row>
    <row r="113" ht="46.5" customHeight="1" spans="1:50" s="97" customFormat="1" x14ac:dyDescent="0.25">
      <c r="A113" s="100"/>
      <c r="B113" s="100"/>
      <c r="C113" s="100"/>
      <c r="D113" s="100"/>
      <c r="E113" s="100"/>
      <c r="F113" s="100"/>
      <c r="G113" s="103"/>
      <c r="H113" s="186"/>
      <c r="I113" s="195">
        <v>0.51</v>
      </c>
      <c r="J113" s="107">
        <v>0.49</v>
      </c>
      <c r="K113" s="107"/>
      <c r="L113" s="107"/>
      <c r="M113" s="187"/>
      <c r="N113" s="169">
        <f t="shared" si="29"/>
        <v>1</v>
      </c>
      <c r="O113" s="144">
        <v>1</v>
      </c>
      <c r="P113" s="145">
        <v>15</v>
      </c>
      <c r="Q113" s="113">
        <v>15</v>
      </c>
      <c r="R113" s="113"/>
      <c r="S113" s="113"/>
      <c r="T113" s="146"/>
      <c r="U113" s="148">
        <f t="shared" si="17"/>
        <v>15</v>
      </c>
      <c r="V113" s="149">
        <f t="shared" si="18"/>
        <v>15</v>
      </c>
      <c r="W113" s="189"/>
      <c r="X113" s="199"/>
      <c r="Y113" s="151"/>
      <c r="Z113" s="190"/>
      <c r="AA113" s="153"/>
      <c r="AB113" s="154">
        <f t="shared" si="19"/>
        <v>0</v>
      </c>
      <c r="AC113" s="149">
        <f t="shared" si="20"/>
        <v>0</v>
      </c>
      <c r="AD113" s="125">
        <v>2</v>
      </c>
      <c r="AE113" s="148">
        <f t="shared" si="21"/>
        <v>2</v>
      </c>
      <c r="AF113" s="156"/>
      <c r="AG113" s="156"/>
      <c r="AH113" s="113">
        <f t="shared" si="22"/>
        <v>17</v>
      </c>
      <c r="AI113" s="157">
        <v>65</v>
      </c>
      <c r="AJ113" s="113">
        <f t="shared" si="23"/>
        <v>82</v>
      </c>
      <c r="AK113" s="113">
        <f t="shared" si="24"/>
        <v>82</v>
      </c>
      <c r="AL113" s="158">
        <f t="shared" si="25"/>
        <v>1.02</v>
      </c>
      <c r="AM113" s="159"/>
      <c r="AN113" s="160">
        <f t="shared" si="30"/>
        <v>1</v>
      </c>
      <c r="AO113" s="160">
        <f t="shared" si="30"/>
        <v>2</v>
      </c>
      <c r="AP113" s="133"/>
      <c r="AQ113" s="134"/>
      <c r="AR113" s="161"/>
      <c r="AS113" s="161"/>
      <c r="AT113" s="161"/>
      <c r="AU113" s="161"/>
      <c r="AV113" s="162"/>
      <c r="AW113" s="137">
        <f t="shared" si="26"/>
        <v>0</v>
      </c>
      <c r="AX113" s="137">
        <f t="shared" si="27"/>
        <v>0</v>
      </c>
    </row>
    <row r="114" ht="53.25" customHeight="1" spans="1:50" s="97" customFormat="1" x14ac:dyDescent="0.25">
      <c r="A114" s="100"/>
      <c r="B114" s="100"/>
      <c r="C114" s="100"/>
      <c r="D114" s="100"/>
      <c r="E114" s="100"/>
      <c r="F114" s="100"/>
      <c r="G114" s="103"/>
      <c r="H114" s="186"/>
      <c r="I114" s="195">
        <v>0.51</v>
      </c>
      <c r="J114" s="107">
        <v>0.49</v>
      </c>
      <c r="K114" s="107"/>
      <c r="L114" s="107"/>
      <c r="M114" s="187"/>
      <c r="N114" s="169">
        <f t="shared" si="29"/>
        <v>1</v>
      </c>
      <c r="O114" s="144">
        <v>1</v>
      </c>
      <c r="P114" s="145">
        <v>15</v>
      </c>
      <c r="Q114" s="113">
        <v>15</v>
      </c>
      <c r="R114" s="113"/>
      <c r="S114" s="113"/>
      <c r="T114" s="146"/>
      <c r="U114" s="148">
        <f t="shared" si="17"/>
        <v>15</v>
      </c>
      <c r="V114" s="149">
        <f t="shared" si="18"/>
        <v>15</v>
      </c>
      <c r="W114" s="189"/>
      <c r="X114" s="199"/>
      <c r="Y114" s="151"/>
      <c r="Z114" s="190"/>
      <c r="AA114" s="153"/>
      <c r="AB114" s="154">
        <f t="shared" si="19"/>
        <v>0</v>
      </c>
      <c r="AC114" s="149">
        <f t="shared" si="20"/>
        <v>0</v>
      </c>
      <c r="AD114" s="125">
        <v>2</v>
      </c>
      <c r="AE114" s="148">
        <f t="shared" si="21"/>
        <v>2</v>
      </c>
      <c r="AF114" s="156"/>
      <c r="AG114" s="156"/>
      <c r="AH114" s="113">
        <f t="shared" si="22"/>
        <v>17</v>
      </c>
      <c r="AI114" s="157">
        <v>65</v>
      </c>
      <c r="AJ114" s="113">
        <f t="shared" si="23"/>
        <v>82</v>
      </c>
      <c r="AK114" s="113">
        <f t="shared" si="24"/>
        <v>82</v>
      </c>
      <c r="AL114" s="158">
        <f t="shared" si="25"/>
        <v>1.02</v>
      </c>
      <c r="AM114" s="159"/>
      <c r="AN114" s="160">
        <f t="shared" si="30"/>
        <v>1</v>
      </c>
      <c r="AO114" s="160">
        <f t="shared" si="30"/>
        <v>2</v>
      </c>
      <c r="AP114" s="133"/>
      <c r="AQ114" s="134"/>
      <c r="AR114" s="161"/>
      <c r="AS114" s="161"/>
      <c r="AT114" s="161"/>
      <c r="AU114" s="161"/>
      <c r="AV114" s="162"/>
      <c r="AW114" s="137">
        <f t="shared" si="26"/>
        <v>0</v>
      </c>
      <c r="AX114" s="137">
        <f t="shared" si="27"/>
        <v>0</v>
      </c>
    </row>
    <row r="115" ht="46.5" customHeight="1" spans="1:50" s="97" customFormat="1" x14ac:dyDescent="0.25">
      <c r="A115" s="100"/>
      <c r="B115" s="100"/>
      <c r="C115" s="100"/>
      <c r="D115" s="100"/>
      <c r="E115" s="100"/>
      <c r="F115" s="100"/>
      <c r="G115" s="103"/>
      <c r="H115" s="186"/>
      <c r="I115" s="195">
        <v>0.51</v>
      </c>
      <c r="J115" s="107">
        <v>0.49</v>
      </c>
      <c r="K115" s="107"/>
      <c r="L115" s="107"/>
      <c r="M115" s="187"/>
      <c r="N115" s="169">
        <f t="shared" si="29"/>
        <v>1</v>
      </c>
      <c r="O115" s="144">
        <v>1</v>
      </c>
      <c r="P115" s="145">
        <v>15</v>
      </c>
      <c r="Q115" s="113">
        <v>15</v>
      </c>
      <c r="R115" s="113"/>
      <c r="S115" s="113"/>
      <c r="T115" s="146"/>
      <c r="U115" s="148">
        <f t="shared" si="17"/>
        <v>15</v>
      </c>
      <c r="V115" s="149">
        <f t="shared" si="18"/>
        <v>15</v>
      </c>
      <c r="W115" s="189"/>
      <c r="X115" s="199"/>
      <c r="Y115" s="151"/>
      <c r="Z115" s="190"/>
      <c r="AA115" s="153"/>
      <c r="AB115" s="154">
        <f t="shared" si="19"/>
        <v>0</v>
      </c>
      <c r="AC115" s="149">
        <f t="shared" si="20"/>
        <v>0</v>
      </c>
      <c r="AD115" s="125">
        <v>2</v>
      </c>
      <c r="AE115" s="148">
        <f t="shared" si="21"/>
        <v>2</v>
      </c>
      <c r="AF115" s="156"/>
      <c r="AG115" s="156"/>
      <c r="AH115" s="113">
        <f t="shared" si="22"/>
        <v>17</v>
      </c>
      <c r="AI115" s="157">
        <v>65</v>
      </c>
      <c r="AJ115" s="113">
        <f t="shared" si="23"/>
        <v>82</v>
      </c>
      <c r="AK115" s="113">
        <f t="shared" si="24"/>
        <v>82</v>
      </c>
      <c r="AL115" s="158">
        <f t="shared" si="25"/>
        <v>1.02</v>
      </c>
      <c r="AM115" s="159"/>
      <c r="AN115" s="160">
        <f t="shared" si="30"/>
        <v>1</v>
      </c>
      <c r="AO115" s="160">
        <f t="shared" si="30"/>
        <v>2</v>
      </c>
      <c r="AP115" s="133"/>
      <c r="AQ115" s="134"/>
      <c r="AR115" s="161"/>
      <c r="AS115" s="161"/>
      <c r="AT115" s="161"/>
      <c r="AU115" s="161"/>
      <c r="AV115" s="162"/>
      <c r="AW115" s="137">
        <f t="shared" si="26"/>
        <v>0</v>
      </c>
      <c r="AX115" s="137">
        <f t="shared" si="27"/>
        <v>0</v>
      </c>
    </row>
    <row r="116" ht="46.5" customHeight="1" spans="1:50" s="97" customFormat="1" x14ac:dyDescent="0.25">
      <c r="A116" s="100"/>
      <c r="B116" s="100"/>
      <c r="C116" s="100"/>
      <c r="D116" s="100"/>
      <c r="E116" s="100"/>
      <c r="F116" s="100"/>
      <c r="G116" s="103"/>
      <c r="H116" s="186"/>
      <c r="I116" s="195">
        <v>0.51</v>
      </c>
      <c r="J116" s="107">
        <v>0.49</v>
      </c>
      <c r="K116" s="107"/>
      <c r="L116" s="107"/>
      <c r="M116" s="187"/>
      <c r="N116" s="169">
        <f t="shared" si="29"/>
        <v>1</v>
      </c>
      <c r="O116" s="144">
        <v>1</v>
      </c>
      <c r="P116" s="145">
        <v>15</v>
      </c>
      <c r="Q116" s="113">
        <v>15</v>
      </c>
      <c r="R116" s="113"/>
      <c r="S116" s="113"/>
      <c r="T116" s="146"/>
      <c r="U116" s="148">
        <f t="shared" si="17"/>
        <v>15</v>
      </c>
      <c r="V116" s="149">
        <f t="shared" si="18"/>
        <v>15</v>
      </c>
      <c r="W116" s="189"/>
      <c r="X116" s="199"/>
      <c r="Y116" s="151"/>
      <c r="Z116" s="190"/>
      <c r="AA116" s="153"/>
      <c r="AB116" s="154">
        <f t="shared" si="19"/>
        <v>0</v>
      </c>
      <c r="AC116" s="149">
        <f t="shared" si="20"/>
        <v>0</v>
      </c>
      <c r="AD116" s="125">
        <v>2</v>
      </c>
      <c r="AE116" s="148">
        <f t="shared" si="21"/>
        <v>2</v>
      </c>
      <c r="AF116" s="156"/>
      <c r="AG116" s="156"/>
      <c r="AH116" s="113">
        <f t="shared" si="22"/>
        <v>17</v>
      </c>
      <c r="AI116" s="157">
        <v>65</v>
      </c>
      <c r="AJ116" s="113">
        <f t="shared" si="23"/>
        <v>82</v>
      </c>
      <c r="AK116" s="113">
        <f t="shared" si="24"/>
        <v>82</v>
      </c>
      <c r="AL116" s="158">
        <f t="shared" si="25"/>
        <v>1.02</v>
      </c>
      <c r="AM116" s="159"/>
      <c r="AN116" s="160">
        <f t="shared" si="30"/>
        <v>1</v>
      </c>
      <c r="AO116" s="160">
        <f t="shared" si="30"/>
        <v>2</v>
      </c>
      <c r="AP116" s="133"/>
      <c r="AQ116" s="134"/>
      <c r="AR116" s="161"/>
      <c r="AS116" s="161"/>
      <c r="AT116" s="161"/>
      <c r="AU116" s="161"/>
      <c r="AV116" s="162"/>
      <c r="AW116" s="137">
        <f t="shared" si="26"/>
        <v>0</v>
      </c>
      <c r="AX116" s="137">
        <f t="shared" si="27"/>
        <v>0</v>
      </c>
    </row>
    <row r="117" ht="46.5" customHeight="1" spans="1:50" s="97" customFormat="1" x14ac:dyDescent="0.25">
      <c r="A117" s="100"/>
      <c r="B117" s="100"/>
      <c r="C117" s="100"/>
      <c r="D117" s="100"/>
      <c r="E117" s="100"/>
      <c r="F117" s="100"/>
      <c r="G117" s="103"/>
      <c r="H117" s="186"/>
      <c r="I117" s="195">
        <v>0.51</v>
      </c>
      <c r="J117" s="107">
        <v>0.49</v>
      </c>
      <c r="K117" s="107"/>
      <c r="L117" s="107"/>
      <c r="M117" s="187"/>
      <c r="N117" s="169">
        <f t="shared" si="29"/>
        <v>1</v>
      </c>
      <c r="O117" s="144">
        <v>1</v>
      </c>
      <c r="P117" s="145">
        <v>15</v>
      </c>
      <c r="Q117" s="113">
        <v>15</v>
      </c>
      <c r="R117" s="113"/>
      <c r="S117" s="113"/>
      <c r="T117" s="146"/>
      <c r="U117" s="148">
        <f t="shared" si="17"/>
        <v>15</v>
      </c>
      <c r="V117" s="149">
        <f t="shared" si="18"/>
        <v>15</v>
      </c>
      <c r="W117" s="189"/>
      <c r="X117" s="199"/>
      <c r="Y117" s="151"/>
      <c r="Z117" s="190"/>
      <c r="AA117" s="153"/>
      <c r="AB117" s="154">
        <f t="shared" si="19"/>
        <v>0</v>
      </c>
      <c r="AC117" s="149">
        <f t="shared" si="20"/>
        <v>0</v>
      </c>
      <c r="AD117" s="125">
        <v>2</v>
      </c>
      <c r="AE117" s="148">
        <f t="shared" si="21"/>
        <v>2</v>
      </c>
      <c r="AF117" s="156"/>
      <c r="AG117" s="156"/>
      <c r="AH117" s="113">
        <f t="shared" si="22"/>
        <v>17</v>
      </c>
      <c r="AI117" s="157">
        <v>65</v>
      </c>
      <c r="AJ117" s="113">
        <f t="shared" si="23"/>
        <v>82</v>
      </c>
      <c r="AK117" s="113">
        <f t="shared" si="24"/>
        <v>82</v>
      </c>
      <c r="AL117" s="158">
        <f t="shared" si="25"/>
        <v>1.02</v>
      </c>
      <c r="AM117" s="159"/>
      <c r="AN117" s="160">
        <f t="shared" si="30"/>
        <v>1</v>
      </c>
      <c r="AO117" s="160">
        <f t="shared" si="30"/>
        <v>2</v>
      </c>
      <c r="AP117" s="133"/>
      <c r="AQ117" s="134"/>
      <c r="AR117" s="161"/>
      <c r="AS117" s="161"/>
      <c r="AT117" s="161"/>
      <c r="AU117" s="161"/>
      <c r="AV117" s="162"/>
      <c r="AW117" s="137">
        <f t="shared" si="26"/>
        <v>0</v>
      </c>
      <c r="AX117" s="137">
        <f t="shared" si="27"/>
        <v>0</v>
      </c>
    </row>
    <row r="118" ht="47.25" customHeight="1" spans="1:50" s="56" customFormat="1" x14ac:dyDescent="0.25">
      <c r="A118" s="100"/>
      <c r="B118" s="100"/>
      <c r="C118" s="100"/>
      <c r="D118" s="100"/>
      <c r="E118" s="100"/>
      <c r="F118" s="100"/>
      <c r="G118" s="103"/>
      <c r="H118" s="186"/>
      <c r="I118" s="195">
        <v>0.51</v>
      </c>
      <c r="J118" s="107">
        <v>0.49</v>
      </c>
      <c r="K118" s="107"/>
      <c r="L118" s="107"/>
      <c r="M118" s="187"/>
      <c r="N118" s="169">
        <f t="shared" si="29"/>
        <v>1</v>
      </c>
      <c r="O118" s="144">
        <v>1</v>
      </c>
      <c r="P118" s="145">
        <v>15</v>
      </c>
      <c r="Q118" s="113">
        <v>15</v>
      </c>
      <c r="R118" s="113"/>
      <c r="S118" s="113"/>
      <c r="T118" s="146"/>
      <c r="U118" s="148">
        <f t="shared" si="17"/>
        <v>15</v>
      </c>
      <c r="V118" s="149">
        <f t="shared" si="18"/>
        <v>15</v>
      </c>
      <c r="W118" s="189"/>
      <c r="X118" s="199"/>
      <c r="Y118" s="151"/>
      <c r="Z118" s="190"/>
      <c r="AA118" s="153"/>
      <c r="AB118" s="154">
        <f t="shared" si="19"/>
        <v>0</v>
      </c>
      <c r="AC118" s="149">
        <f t="shared" si="20"/>
        <v>0</v>
      </c>
      <c r="AD118" s="125">
        <v>2</v>
      </c>
      <c r="AE118" s="148">
        <f t="shared" si="21"/>
        <v>2</v>
      </c>
      <c r="AF118" s="156"/>
      <c r="AG118" s="156"/>
      <c r="AH118" s="113">
        <f t="shared" si="22"/>
        <v>17</v>
      </c>
      <c r="AI118" s="157">
        <v>65</v>
      </c>
      <c r="AJ118" s="113">
        <f t="shared" si="23"/>
        <v>82</v>
      </c>
      <c r="AK118" s="113">
        <f t="shared" si="24"/>
        <v>82</v>
      </c>
      <c r="AL118" s="158">
        <f t="shared" si="25"/>
        <v>1.02</v>
      </c>
      <c r="AM118" s="159"/>
      <c r="AN118" s="160">
        <f t="shared" si="30"/>
        <v>1</v>
      </c>
      <c r="AO118" s="160">
        <f t="shared" si="30"/>
        <v>2</v>
      </c>
      <c r="AP118" s="133"/>
      <c r="AQ118" s="134"/>
      <c r="AR118" s="161"/>
      <c r="AS118" s="161"/>
      <c r="AT118" s="161"/>
      <c r="AU118" s="161"/>
      <c r="AV118" s="162"/>
      <c r="AW118" s="137">
        <f t="shared" si="26"/>
        <v>0</v>
      </c>
      <c r="AX118" s="137">
        <f t="shared" si="27"/>
        <v>0</v>
      </c>
    </row>
    <row r="119" ht="47.25" customHeight="1" spans="1:50" s="56" customFormat="1" x14ac:dyDescent="0.25">
      <c r="A119" s="100"/>
      <c r="B119" s="100"/>
      <c r="C119" s="100"/>
      <c r="D119" s="100"/>
      <c r="E119" s="100"/>
      <c r="F119" s="100"/>
      <c r="G119" s="103"/>
      <c r="H119" s="186"/>
      <c r="I119" s="195">
        <v>0.51</v>
      </c>
      <c r="J119" s="107">
        <v>0.49</v>
      </c>
      <c r="K119" s="107"/>
      <c r="L119" s="107"/>
      <c r="M119" s="187"/>
      <c r="N119" s="169">
        <f t="shared" si="29"/>
        <v>1</v>
      </c>
      <c r="O119" s="144">
        <v>1</v>
      </c>
      <c r="P119" s="145">
        <v>15</v>
      </c>
      <c r="Q119" s="113">
        <v>15</v>
      </c>
      <c r="R119" s="113"/>
      <c r="S119" s="113"/>
      <c r="T119" s="146"/>
      <c r="U119" s="148">
        <f t="shared" si="17"/>
        <v>15</v>
      </c>
      <c r="V119" s="149">
        <f t="shared" si="18"/>
        <v>15</v>
      </c>
      <c r="W119" s="189"/>
      <c r="X119" s="199"/>
      <c r="Y119" s="151"/>
      <c r="Z119" s="190"/>
      <c r="AA119" s="153"/>
      <c r="AB119" s="154">
        <f t="shared" si="19"/>
        <v>0</v>
      </c>
      <c r="AC119" s="149">
        <f t="shared" si="20"/>
        <v>0</v>
      </c>
      <c r="AD119" s="125">
        <v>2</v>
      </c>
      <c r="AE119" s="148">
        <f t="shared" si="21"/>
        <v>2</v>
      </c>
      <c r="AF119" s="156"/>
      <c r="AG119" s="156"/>
      <c r="AH119" s="113">
        <f t="shared" si="22"/>
        <v>17</v>
      </c>
      <c r="AI119" s="157">
        <v>65</v>
      </c>
      <c r="AJ119" s="113">
        <f t="shared" si="23"/>
        <v>82</v>
      </c>
      <c r="AK119" s="113">
        <f t="shared" si="24"/>
        <v>82</v>
      </c>
      <c r="AL119" s="158">
        <f t="shared" si="25"/>
        <v>1.02</v>
      </c>
      <c r="AM119" s="159"/>
      <c r="AN119" s="160">
        <f t="shared" si="30"/>
        <v>1</v>
      </c>
      <c r="AO119" s="160">
        <f t="shared" si="30"/>
        <v>2</v>
      </c>
      <c r="AP119" s="133"/>
      <c r="AQ119" s="134"/>
      <c r="AR119" s="161"/>
      <c r="AS119" s="161"/>
      <c r="AT119" s="161"/>
      <c r="AU119" s="161"/>
      <c r="AV119" s="162"/>
      <c r="AW119" s="137">
        <f t="shared" si="26"/>
        <v>0</v>
      </c>
      <c r="AX119" s="137">
        <f t="shared" si="27"/>
        <v>0</v>
      </c>
    </row>
    <row r="120" ht="46.5" customHeight="1" spans="1:50" s="97" customFormat="1" x14ac:dyDescent="0.25">
      <c r="A120" s="100"/>
      <c r="B120" s="100"/>
      <c r="C120" s="100"/>
      <c r="D120" s="100"/>
      <c r="E120" s="100"/>
      <c r="F120" s="100"/>
      <c r="G120" s="103"/>
      <c r="H120" s="186"/>
      <c r="I120" s="195">
        <v>0.51</v>
      </c>
      <c r="J120" s="107">
        <v>0.49</v>
      </c>
      <c r="K120" s="107"/>
      <c r="L120" s="107"/>
      <c r="M120" s="187"/>
      <c r="N120" s="169">
        <f t="shared" si="29"/>
        <v>1</v>
      </c>
      <c r="O120" s="144">
        <v>1</v>
      </c>
      <c r="P120" s="145">
        <v>15</v>
      </c>
      <c r="Q120" s="113">
        <v>15</v>
      </c>
      <c r="R120" s="113"/>
      <c r="S120" s="113"/>
      <c r="T120" s="146"/>
      <c r="U120" s="148">
        <f t="shared" si="17"/>
        <v>15</v>
      </c>
      <c r="V120" s="149">
        <f t="shared" si="18"/>
        <v>15</v>
      </c>
      <c r="W120" s="189"/>
      <c r="X120" s="199"/>
      <c r="Y120" s="151"/>
      <c r="Z120" s="190"/>
      <c r="AA120" s="153"/>
      <c r="AB120" s="154">
        <f t="shared" si="19"/>
        <v>0</v>
      </c>
      <c r="AC120" s="149">
        <f t="shared" si="20"/>
        <v>0</v>
      </c>
      <c r="AD120" s="125">
        <v>2</v>
      </c>
      <c r="AE120" s="148">
        <f t="shared" si="21"/>
        <v>2</v>
      </c>
      <c r="AF120" s="156"/>
      <c r="AG120" s="156"/>
      <c r="AH120" s="113">
        <f t="shared" si="22"/>
        <v>17</v>
      </c>
      <c r="AI120" s="157">
        <v>65</v>
      </c>
      <c r="AJ120" s="113">
        <f t="shared" si="23"/>
        <v>82</v>
      </c>
      <c r="AK120" s="113">
        <f t="shared" si="24"/>
        <v>82</v>
      </c>
      <c r="AL120" s="158">
        <f t="shared" si="25"/>
        <v>1.02</v>
      </c>
      <c r="AM120" s="159"/>
      <c r="AN120" s="160">
        <f t="shared" si="30"/>
        <v>1</v>
      </c>
      <c r="AO120" s="160">
        <f t="shared" si="30"/>
        <v>2</v>
      </c>
      <c r="AP120" s="133"/>
      <c r="AQ120" s="134"/>
      <c r="AR120" s="161"/>
      <c r="AS120" s="161"/>
      <c r="AT120" s="161"/>
      <c r="AU120" s="161"/>
      <c r="AV120" s="162"/>
      <c r="AW120" s="137">
        <f t="shared" si="26"/>
        <v>0</v>
      </c>
      <c r="AX120" s="137">
        <f t="shared" si="27"/>
        <v>0</v>
      </c>
    </row>
    <row r="121" ht="47.25" customHeight="1" spans="1:50" s="56" customFormat="1" x14ac:dyDescent="0.25">
      <c r="A121" s="100"/>
      <c r="B121" s="100"/>
      <c r="C121" s="100"/>
      <c r="D121" s="100"/>
      <c r="E121" s="100"/>
      <c r="F121" s="100"/>
      <c r="G121" s="103"/>
      <c r="H121" s="186"/>
      <c r="I121" s="195">
        <v>0.51</v>
      </c>
      <c r="J121" s="107">
        <v>0.49</v>
      </c>
      <c r="K121" s="107"/>
      <c r="L121" s="107"/>
      <c r="M121" s="187"/>
      <c r="N121" s="169">
        <f t="shared" si="29"/>
        <v>1</v>
      </c>
      <c r="O121" s="144">
        <v>1</v>
      </c>
      <c r="P121" s="145">
        <v>15</v>
      </c>
      <c r="Q121" s="113">
        <v>15</v>
      </c>
      <c r="R121" s="113"/>
      <c r="S121" s="113"/>
      <c r="T121" s="146"/>
      <c r="U121" s="148">
        <f t="shared" si="17"/>
        <v>15</v>
      </c>
      <c r="V121" s="149">
        <f t="shared" si="18"/>
        <v>15</v>
      </c>
      <c r="W121" s="189"/>
      <c r="X121" s="199"/>
      <c r="Y121" s="151"/>
      <c r="Z121" s="190"/>
      <c r="AA121" s="153"/>
      <c r="AB121" s="154">
        <f t="shared" si="19"/>
        <v>0</v>
      </c>
      <c r="AC121" s="149">
        <f t="shared" si="20"/>
        <v>0</v>
      </c>
      <c r="AD121" s="125">
        <v>2</v>
      </c>
      <c r="AE121" s="148">
        <f t="shared" si="21"/>
        <v>2</v>
      </c>
      <c r="AF121" s="156"/>
      <c r="AG121" s="156"/>
      <c r="AH121" s="113">
        <f t="shared" si="22"/>
        <v>17</v>
      </c>
      <c r="AI121" s="157">
        <v>65</v>
      </c>
      <c r="AJ121" s="113">
        <f t="shared" si="23"/>
        <v>82</v>
      </c>
      <c r="AK121" s="113">
        <f t="shared" si="24"/>
        <v>82</v>
      </c>
      <c r="AL121" s="158">
        <f t="shared" si="25"/>
        <v>1.02</v>
      </c>
      <c r="AM121" s="159"/>
      <c r="AN121" s="160">
        <f t="shared" si="30"/>
        <v>1</v>
      </c>
      <c r="AO121" s="160">
        <f t="shared" si="30"/>
        <v>2</v>
      </c>
      <c r="AP121" s="133"/>
      <c r="AQ121" s="134"/>
      <c r="AR121" s="161"/>
      <c r="AS121" s="161"/>
      <c r="AT121" s="161"/>
      <c r="AU121" s="161"/>
      <c r="AV121" s="162"/>
      <c r="AW121" s="137">
        <f t="shared" si="26"/>
        <v>0</v>
      </c>
      <c r="AX121" s="137">
        <f t="shared" si="27"/>
        <v>0</v>
      </c>
    </row>
    <row r="122" ht="47.25" customHeight="1" spans="1:50" s="97" customFormat="1" x14ac:dyDescent="0.25">
      <c r="A122" s="100"/>
      <c r="B122" s="100"/>
      <c r="C122" s="100"/>
      <c r="D122" s="100"/>
      <c r="E122" s="100"/>
      <c r="F122" s="100"/>
      <c r="G122" s="103"/>
      <c r="H122" s="186"/>
      <c r="I122" s="195">
        <v>0.51</v>
      </c>
      <c r="J122" s="107">
        <v>0.49</v>
      </c>
      <c r="K122" s="107"/>
      <c r="L122" s="107"/>
      <c r="M122" s="187"/>
      <c r="N122" s="169">
        <f t="shared" si="29"/>
        <v>1</v>
      </c>
      <c r="O122" s="144">
        <v>1</v>
      </c>
      <c r="P122" s="145">
        <v>15</v>
      </c>
      <c r="Q122" s="113">
        <v>15</v>
      </c>
      <c r="R122" s="113"/>
      <c r="S122" s="113"/>
      <c r="T122" s="146"/>
      <c r="U122" s="148">
        <f t="shared" si="17"/>
        <v>15</v>
      </c>
      <c r="V122" s="149">
        <f t="shared" si="18"/>
        <v>15</v>
      </c>
      <c r="W122" s="189"/>
      <c r="X122" s="199"/>
      <c r="Y122" s="151"/>
      <c r="Z122" s="190"/>
      <c r="AA122" s="153"/>
      <c r="AB122" s="154">
        <f t="shared" si="19"/>
        <v>0</v>
      </c>
      <c r="AC122" s="149">
        <f t="shared" si="20"/>
        <v>0</v>
      </c>
      <c r="AD122" s="125">
        <v>2</v>
      </c>
      <c r="AE122" s="148">
        <f t="shared" si="21"/>
        <v>2</v>
      </c>
      <c r="AF122" s="156"/>
      <c r="AG122" s="156"/>
      <c r="AH122" s="113">
        <f t="shared" si="22"/>
        <v>17</v>
      </c>
      <c r="AI122" s="157">
        <v>65</v>
      </c>
      <c r="AJ122" s="113">
        <f t="shared" si="23"/>
        <v>82</v>
      </c>
      <c r="AK122" s="113">
        <f t="shared" si="24"/>
        <v>82</v>
      </c>
      <c r="AL122" s="158">
        <f t="shared" si="25"/>
        <v>1.02</v>
      </c>
      <c r="AM122" s="159"/>
      <c r="AN122" s="160">
        <f t="shared" si="30"/>
        <v>1</v>
      </c>
      <c r="AO122" s="160">
        <f t="shared" si="30"/>
        <v>2</v>
      </c>
      <c r="AP122" s="133"/>
      <c r="AQ122" s="134"/>
      <c r="AR122" s="161"/>
      <c r="AS122" s="161"/>
      <c r="AT122" s="161"/>
      <c r="AU122" s="161"/>
      <c r="AV122" s="162"/>
      <c r="AW122" s="137">
        <f t="shared" si="26"/>
        <v>0</v>
      </c>
      <c r="AX122" s="137">
        <f t="shared" si="27"/>
        <v>0</v>
      </c>
    </row>
    <row r="123" ht="47.25" customHeight="1" spans="1:50" s="97" customFormat="1" x14ac:dyDescent="0.25">
      <c r="A123" s="100"/>
      <c r="B123" s="100"/>
      <c r="C123" s="100"/>
      <c r="D123" s="100"/>
      <c r="E123" s="100"/>
      <c r="F123" s="100"/>
      <c r="G123" s="103"/>
      <c r="H123" s="186"/>
      <c r="I123" s="195">
        <v>0.51</v>
      </c>
      <c r="J123" s="107">
        <v>0.49</v>
      </c>
      <c r="K123" s="107"/>
      <c r="L123" s="107"/>
      <c r="M123" s="187"/>
      <c r="N123" s="169">
        <f t="shared" si="29"/>
        <v>1</v>
      </c>
      <c r="O123" s="144">
        <v>1</v>
      </c>
      <c r="P123" s="145">
        <v>15</v>
      </c>
      <c r="Q123" s="113">
        <v>15</v>
      </c>
      <c r="R123" s="113"/>
      <c r="S123" s="113"/>
      <c r="T123" s="146"/>
      <c r="U123" s="148">
        <f t="shared" si="17"/>
        <v>15</v>
      </c>
      <c r="V123" s="149">
        <f t="shared" si="18"/>
        <v>15</v>
      </c>
      <c r="W123" s="189"/>
      <c r="X123" s="199"/>
      <c r="Y123" s="151"/>
      <c r="Z123" s="190"/>
      <c r="AA123" s="153"/>
      <c r="AB123" s="154">
        <f t="shared" si="19"/>
        <v>0</v>
      </c>
      <c r="AC123" s="149">
        <f t="shared" si="20"/>
        <v>0</v>
      </c>
      <c r="AD123" s="125">
        <v>2</v>
      </c>
      <c r="AE123" s="148">
        <f t="shared" si="21"/>
        <v>2</v>
      </c>
      <c r="AF123" s="156"/>
      <c r="AG123" s="156"/>
      <c r="AH123" s="113">
        <f t="shared" si="22"/>
        <v>17</v>
      </c>
      <c r="AI123" s="157">
        <v>65</v>
      </c>
      <c r="AJ123" s="113">
        <f t="shared" si="23"/>
        <v>82</v>
      </c>
      <c r="AK123" s="113">
        <f t="shared" si="24"/>
        <v>82</v>
      </c>
      <c r="AL123" s="158">
        <f t="shared" si="25"/>
        <v>1.02</v>
      </c>
      <c r="AM123" s="159"/>
      <c r="AN123" s="160">
        <f t="shared" si="30"/>
        <v>1</v>
      </c>
      <c r="AO123" s="160">
        <f t="shared" si="30"/>
        <v>2</v>
      </c>
      <c r="AP123" s="133"/>
      <c r="AQ123" s="134"/>
      <c r="AR123" s="161"/>
      <c r="AS123" s="161"/>
      <c r="AT123" s="161"/>
      <c r="AU123" s="161"/>
      <c r="AV123" s="162"/>
      <c r="AW123" s="137">
        <f t="shared" si="26"/>
        <v>0</v>
      </c>
      <c r="AX123" s="137">
        <f t="shared" si="27"/>
        <v>0</v>
      </c>
    </row>
    <row r="124" ht="46.5" customHeight="1" spans="1:50" s="97" customFormat="1" x14ac:dyDescent="0.25">
      <c r="A124" s="100"/>
      <c r="B124" s="100"/>
      <c r="C124" s="100"/>
      <c r="D124" s="100"/>
      <c r="E124" s="100"/>
      <c r="F124" s="100"/>
      <c r="G124" s="103"/>
      <c r="H124" s="186"/>
      <c r="I124" s="195">
        <v>0.51</v>
      </c>
      <c r="J124" s="107">
        <v>0.49</v>
      </c>
      <c r="K124" s="107"/>
      <c r="L124" s="107"/>
      <c r="M124" s="187"/>
      <c r="N124" s="169">
        <f t="shared" si="29"/>
        <v>1</v>
      </c>
      <c r="O124" s="144">
        <v>1</v>
      </c>
      <c r="P124" s="145">
        <v>15</v>
      </c>
      <c r="Q124" s="113">
        <v>15</v>
      </c>
      <c r="R124" s="113"/>
      <c r="S124" s="113"/>
      <c r="T124" s="146"/>
      <c r="U124" s="148">
        <f t="shared" si="17"/>
        <v>15</v>
      </c>
      <c r="V124" s="149">
        <f t="shared" si="18"/>
        <v>15</v>
      </c>
      <c r="W124" s="189"/>
      <c r="X124" s="199"/>
      <c r="Y124" s="151"/>
      <c r="Z124" s="190"/>
      <c r="AA124" s="153"/>
      <c r="AB124" s="154">
        <f t="shared" si="19"/>
        <v>0</v>
      </c>
      <c r="AC124" s="149">
        <f t="shared" si="20"/>
        <v>0</v>
      </c>
      <c r="AD124" s="125">
        <v>2</v>
      </c>
      <c r="AE124" s="148">
        <f t="shared" si="21"/>
        <v>2</v>
      </c>
      <c r="AF124" s="156"/>
      <c r="AG124" s="156"/>
      <c r="AH124" s="113">
        <f t="shared" si="22"/>
        <v>17</v>
      </c>
      <c r="AI124" s="157">
        <v>65</v>
      </c>
      <c r="AJ124" s="113">
        <f t="shared" si="23"/>
        <v>82</v>
      </c>
      <c r="AK124" s="113">
        <f t="shared" si="24"/>
        <v>82</v>
      </c>
      <c r="AL124" s="158">
        <f t="shared" si="25"/>
        <v>1.02</v>
      </c>
      <c r="AM124" s="159"/>
      <c r="AN124" s="160">
        <f t="shared" si="30"/>
        <v>1</v>
      </c>
      <c r="AO124" s="160">
        <f t="shared" si="30"/>
        <v>2</v>
      </c>
      <c r="AP124" s="133"/>
      <c r="AQ124" s="134"/>
      <c r="AR124" s="161"/>
      <c r="AS124" s="161"/>
      <c r="AT124" s="161"/>
      <c r="AU124" s="161"/>
      <c r="AV124" s="162"/>
      <c r="AW124" s="137">
        <f t="shared" si="26"/>
        <v>0</v>
      </c>
      <c r="AX124" s="137">
        <f t="shared" si="27"/>
        <v>0</v>
      </c>
    </row>
    <row r="125" ht="46.5" customHeight="1" spans="1:50" s="97" customFormat="1" x14ac:dyDescent="0.25">
      <c r="A125" s="100"/>
      <c r="B125" s="100"/>
      <c r="C125" s="100"/>
      <c r="D125" s="100"/>
      <c r="E125" s="100"/>
      <c r="F125" s="100"/>
      <c r="G125" s="103"/>
      <c r="H125" s="186"/>
      <c r="I125" s="195">
        <v>0.51</v>
      </c>
      <c r="J125" s="107">
        <v>0.49</v>
      </c>
      <c r="K125" s="107"/>
      <c r="L125" s="107"/>
      <c r="M125" s="187"/>
      <c r="N125" s="169">
        <f t="shared" si="29"/>
        <v>1</v>
      </c>
      <c r="O125" s="144">
        <v>1</v>
      </c>
      <c r="P125" s="145">
        <v>15</v>
      </c>
      <c r="Q125" s="113">
        <v>15</v>
      </c>
      <c r="R125" s="113"/>
      <c r="S125" s="113"/>
      <c r="T125" s="146"/>
      <c r="U125" s="148">
        <f t="shared" si="17"/>
        <v>15</v>
      </c>
      <c r="V125" s="149">
        <f t="shared" si="18"/>
        <v>15</v>
      </c>
      <c r="W125" s="189"/>
      <c r="X125" s="199"/>
      <c r="Y125" s="151"/>
      <c r="Z125" s="190"/>
      <c r="AA125" s="153"/>
      <c r="AB125" s="154">
        <f t="shared" si="19"/>
        <v>0</v>
      </c>
      <c r="AC125" s="149">
        <f t="shared" si="20"/>
        <v>0</v>
      </c>
      <c r="AD125" s="125">
        <v>2</v>
      </c>
      <c r="AE125" s="148">
        <f t="shared" si="21"/>
        <v>2</v>
      </c>
      <c r="AF125" s="156"/>
      <c r="AG125" s="156"/>
      <c r="AH125" s="113">
        <f t="shared" si="22"/>
        <v>17</v>
      </c>
      <c r="AI125" s="157">
        <v>65</v>
      </c>
      <c r="AJ125" s="113">
        <f t="shared" si="23"/>
        <v>82</v>
      </c>
      <c r="AK125" s="113">
        <f t="shared" si="24"/>
        <v>82</v>
      </c>
      <c r="AL125" s="158">
        <f t="shared" si="25"/>
        <v>1.02</v>
      </c>
      <c r="AM125" s="159"/>
      <c r="AN125" s="160">
        <f t="shared" si="30"/>
        <v>1</v>
      </c>
      <c r="AO125" s="160">
        <f t="shared" si="30"/>
        <v>2</v>
      </c>
      <c r="AP125" s="133"/>
      <c r="AQ125" s="134"/>
      <c r="AR125" s="161"/>
      <c r="AS125" s="161"/>
      <c r="AT125" s="161"/>
      <c r="AU125" s="161"/>
      <c r="AV125" s="162"/>
      <c r="AW125" s="137">
        <f t="shared" si="26"/>
        <v>0</v>
      </c>
      <c r="AX125" s="137">
        <f t="shared" si="27"/>
        <v>0</v>
      </c>
    </row>
    <row r="126" ht="47.25" customHeight="1" spans="1:50" s="56" customFormat="1" x14ac:dyDescent="0.25">
      <c r="A126" s="100"/>
      <c r="B126" s="100"/>
      <c r="C126" s="100"/>
      <c r="D126" s="100"/>
      <c r="E126" s="100"/>
      <c r="F126" s="100"/>
      <c r="G126" s="103"/>
      <c r="H126" s="186"/>
      <c r="I126" s="195">
        <v>0.51</v>
      </c>
      <c r="J126" s="107">
        <v>0.49</v>
      </c>
      <c r="K126" s="107"/>
      <c r="L126" s="107"/>
      <c r="M126" s="187"/>
      <c r="N126" s="169">
        <f t="shared" si="29"/>
        <v>1</v>
      </c>
      <c r="O126" s="144">
        <v>1</v>
      </c>
      <c r="P126" s="145">
        <v>15</v>
      </c>
      <c r="Q126" s="113">
        <v>15</v>
      </c>
      <c r="R126" s="113"/>
      <c r="S126" s="113"/>
      <c r="T126" s="146"/>
      <c r="U126" s="148">
        <f t="shared" si="17"/>
        <v>15</v>
      </c>
      <c r="V126" s="149">
        <f t="shared" si="18"/>
        <v>15</v>
      </c>
      <c r="W126" s="189"/>
      <c r="X126" s="199"/>
      <c r="Y126" s="151"/>
      <c r="Z126" s="190"/>
      <c r="AA126" s="153"/>
      <c r="AB126" s="154">
        <f t="shared" si="19"/>
        <v>0</v>
      </c>
      <c r="AC126" s="149">
        <f t="shared" si="20"/>
        <v>0</v>
      </c>
      <c r="AD126" s="125">
        <v>2</v>
      </c>
      <c r="AE126" s="148">
        <f t="shared" si="21"/>
        <v>2</v>
      </c>
      <c r="AF126" s="156"/>
      <c r="AG126" s="156"/>
      <c r="AH126" s="113">
        <f t="shared" si="22"/>
        <v>17</v>
      </c>
      <c r="AI126" s="157">
        <v>65</v>
      </c>
      <c r="AJ126" s="113">
        <f t="shared" si="23"/>
        <v>82</v>
      </c>
      <c r="AK126" s="113">
        <f t="shared" si="24"/>
        <v>82</v>
      </c>
      <c r="AL126" s="158">
        <f t="shared" si="25"/>
        <v>1.02</v>
      </c>
      <c r="AM126" s="159"/>
      <c r="AN126" s="160">
        <f t="shared" si="30"/>
        <v>1</v>
      </c>
      <c r="AO126" s="160">
        <f t="shared" si="30"/>
        <v>2</v>
      </c>
      <c r="AP126" s="133"/>
      <c r="AQ126" s="134"/>
      <c r="AR126" s="161"/>
      <c r="AS126" s="161"/>
      <c r="AT126" s="161"/>
      <c r="AU126" s="161"/>
      <c r="AV126" s="162"/>
      <c r="AW126" s="137">
        <f t="shared" si="26"/>
        <v>0</v>
      </c>
      <c r="AX126" s="137">
        <f t="shared" si="27"/>
        <v>0</v>
      </c>
    </row>
    <row r="127" ht="46.5" customHeight="1" spans="1:50" s="97" customFormat="1" x14ac:dyDescent="0.25">
      <c r="A127" s="100"/>
      <c r="B127" s="100"/>
      <c r="C127" s="100"/>
      <c r="D127" s="100"/>
      <c r="E127" s="100"/>
      <c r="F127" s="100"/>
      <c r="G127" s="103"/>
      <c r="H127" s="186"/>
      <c r="I127" s="195">
        <v>0.51</v>
      </c>
      <c r="J127" s="107">
        <v>0.49</v>
      </c>
      <c r="K127" s="107"/>
      <c r="L127" s="107"/>
      <c r="M127" s="187"/>
      <c r="N127" s="169">
        <f t="shared" si="29"/>
        <v>1</v>
      </c>
      <c r="O127" s="144">
        <v>1</v>
      </c>
      <c r="P127" s="145">
        <v>15</v>
      </c>
      <c r="Q127" s="113">
        <v>15</v>
      </c>
      <c r="R127" s="113"/>
      <c r="S127" s="113"/>
      <c r="T127" s="146"/>
      <c r="U127" s="148">
        <f t="shared" si="17"/>
        <v>15</v>
      </c>
      <c r="V127" s="149">
        <f t="shared" si="18"/>
        <v>15</v>
      </c>
      <c r="W127" s="189"/>
      <c r="X127" s="199"/>
      <c r="Y127" s="151"/>
      <c r="Z127" s="190"/>
      <c r="AA127" s="153"/>
      <c r="AB127" s="154">
        <f t="shared" si="19"/>
        <v>0</v>
      </c>
      <c r="AC127" s="149">
        <f t="shared" si="20"/>
        <v>0</v>
      </c>
      <c r="AD127" s="125">
        <v>2</v>
      </c>
      <c r="AE127" s="148">
        <f t="shared" si="21"/>
        <v>2</v>
      </c>
      <c r="AF127" s="156"/>
      <c r="AG127" s="156"/>
      <c r="AH127" s="113">
        <f t="shared" si="22"/>
        <v>17</v>
      </c>
      <c r="AI127" s="157">
        <v>65</v>
      </c>
      <c r="AJ127" s="113">
        <f t="shared" si="23"/>
        <v>82</v>
      </c>
      <c r="AK127" s="113">
        <f t="shared" si="24"/>
        <v>82</v>
      </c>
      <c r="AL127" s="158">
        <f t="shared" si="25"/>
        <v>1.02</v>
      </c>
      <c r="AM127" s="159"/>
      <c r="AN127" s="160">
        <f t="shared" si="30"/>
        <v>1</v>
      </c>
      <c r="AO127" s="160">
        <f t="shared" si="30"/>
        <v>2</v>
      </c>
      <c r="AP127" s="133"/>
      <c r="AQ127" s="134"/>
      <c r="AR127" s="161"/>
      <c r="AS127" s="161"/>
      <c r="AT127" s="161"/>
      <c r="AU127" s="161"/>
      <c r="AV127" s="162"/>
      <c r="AW127" s="137">
        <f t="shared" si="26"/>
        <v>0</v>
      </c>
      <c r="AX127" s="137">
        <f t="shared" si="27"/>
        <v>0</v>
      </c>
    </row>
    <row r="128" ht="47.25" customHeight="1" spans="1:50" s="56" customFormat="1" x14ac:dyDescent="0.25">
      <c r="A128" s="100"/>
      <c r="B128" s="100"/>
      <c r="C128" s="100"/>
      <c r="D128" s="100"/>
      <c r="E128" s="100"/>
      <c r="F128" s="100"/>
      <c r="G128" s="103"/>
      <c r="H128" s="186"/>
      <c r="I128" s="195">
        <v>0.51</v>
      </c>
      <c r="J128" s="107">
        <v>0.49</v>
      </c>
      <c r="K128" s="107"/>
      <c r="L128" s="107"/>
      <c r="M128" s="187"/>
      <c r="N128" s="169">
        <f t="shared" si="29"/>
        <v>1</v>
      </c>
      <c r="O128" s="144">
        <v>1</v>
      </c>
      <c r="P128" s="145">
        <v>15</v>
      </c>
      <c r="Q128" s="113">
        <v>15</v>
      </c>
      <c r="R128" s="113"/>
      <c r="S128" s="113"/>
      <c r="T128" s="146"/>
      <c r="U128" s="148">
        <f t="shared" si="17"/>
        <v>15</v>
      </c>
      <c r="V128" s="149">
        <f t="shared" si="18"/>
        <v>15</v>
      </c>
      <c r="W128" s="189"/>
      <c r="X128" s="199"/>
      <c r="Y128" s="151"/>
      <c r="Z128" s="190"/>
      <c r="AA128" s="153"/>
      <c r="AB128" s="154">
        <f t="shared" si="19"/>
        <v>0</v>
      </c>
      <c r="AC128" s="149">
        <f t="shared" si="20"/>
        <v>0</v>
      </c>
      <c r="AD128" s="125">
        <v>2</v>
      </c>
      <c r="AE128" s="148">
        <f t="shared" si="21"/>
        <v>2</v>
      </c>
      <c r="AF128" s="156"/>
      <c r="AG128" s="156"/>
      <c r="AH128" s="113">
        <f t="shared" si="22"/>
        <v>17</v>
      </c>
      <c r="AI128" s="157">
        <v>65</v>
      </c>
      <c r="AJ128" s="113">
        <f t="shared" si="23"/>
        <v>82</v>
      </c>
      <c r="AK128" s="113">
        <f t="shared" si="24"/>
        <v>82</v>
      </c>
      <c r="AL128" s="158">
        <f t="shared" si="25"/>
        <v>1.02</v>
      </c>
      <c r="AM128" s="159"/>
      <c r="AN128" s="160">
        <f t="shared" si="30"/>
        <v>1</v>
      </c>
      <c r="AO128" s="160">
        <f t="shared" si="30"/>
        <v>2</v>
      </c>
      <c r="AP128" s="133"/>
      <c r="AQ128" s="134"/>
      <c r="AR128" s="161"/>
      <c r="AS128" s="161"/>
      <c r="AT128" s="161"/>
      <c r="AU128" s="161"/>
      <c r="AV128" s="162"/>
      <c r="AW128" s="137">
        <f t="shared" si="26"/>
        <v>0</v>
      </c>
      <c r="AX128" s="137">
        <f t="shared" si="27"/>
        <v>0</v>
      </c>
    </row>
    <row r="129" ht="46.5" customHeight="1" spans="1:50" s="97" customFormat="1" x14ac:dyDescent="0.25">
      <c r="A129" s="100"/>
      <c r="B129" s="100"/>
      <c r="C129" s="100"/>
      <c r="D129" s="100"/>
      <c r="E129" s="100"/>
      <c r="F129" s="100"/>
      <c r="G129" s="103"/>
      <c r="H129" s="186"/>
      <c r="I129" s="195">
        <v>0.51</v>
      </c>
      <c r="J129" s="107">
        <v>0.49</v>
      </c>
      <c r="K129" s="107"/>
      <c r="L129" s="107"/>
      <c r="M129" s="187"/>
      <c r="N129" s="169">
        <f t="shared" si="29"/>
        <v>1</v>
      </c>
      <c r="O129" s="144">
        <v>1</v>
      </c>
      <c r="P129" s="145">
        <v>15</v>
      </c>
      <c r="Q129" s="113">
        <v>15</v>
      </c>
      <c r="R129" s="113"/>
      <c r="S129" s="113"/>
      <c r="T129" s="146"/>
      <c r="U129" s="148">
        <f t="shared" si="17"/>
        <v>15</v>
      </c>
      <c r="V129" s="149">
        <f t="shared" si="18"/>
        <v>15</v>
      </c>
      <c r="W129" s="189"/>
      <c r="X129" s="199"/>
      <c r="Y129" s="151"/>
      <c r="Z129" s="190"/>
      <c r="AA129" s="153"/>
      <c r="AB129" s="154">
        <f t="shared" si="19"/>
        <v>0</v>
      </c>
      <c r="AC129" s="149">
        <f t="shared" si="20"/>
        <v>0</v>
      </c>
      <c r="AD129" s="125">
        <v>2</v>
      </c>
      <c r="AE129" s="148">
        <f t="shared" si="21"/>
        <v>2</v>
      </c>
      <c r="AF129" s="156"/>
      <c r="AG129" s="156"/>
      <c r="AH129" s="113">
        <f t="shared" si="22"/>
        <v>17</v>
      </c>
      <c r="AI129" s="157">
        <v>65</v>
      </c>
      <c r="AJ129" s="113">
        <f t="shared" si="23"/>
        <v>82</v>
      </c>
      <c r="AK129" s="113">
        <f t="shared" si="24"/>
        <v>82</v>
      </c>
      <c r="AL129" s="158">
        <f t="shared" si="25"/>
        <v>1.02</v>
      </c>
      <c r="AM129" s="159"/>
      <c r="AN129" s="160">
        <f t="shared" si="30"/>
        <v>1</v>
      </c>
      <c r="AO129" s="160">
        <f t="shared" si="30"/>
        <v>2</v>
      </c>
      <c r="AP129" s="133"/>
      <c r="AQ129" s="134"/>
      <c r="AR129" s="161"/>
      <c r="AS129" s="161"/>
      <c r="AT129" s="161"/>
      <c r="AU129" s="161"/>
      <c r="AV129" s="162"/>
      <c r="AW129" s="137">
        <f t="shared" si="26"/>
        <v>0</v>
      </c>
      <c r="AX129" s="137">
        <f t="shared" si="27"/>
        <v>0</v>
      </c>
    </row>
    <row r="130" ht="46.5" customHeight="1" spans="1:50" s="97" customFormat="1" x14ac:dyDescent="0.25">
      <c r="A130" s="100"/>
      <c r="B130" s="100"/>
      <c r="C130" s="100"/>
      <c r="D130" s="100"/>
      <c r="E130" s="100"/>
      <c r="F130" s="100"/>
      <c r="G130" s="103"/>
      <c r="H130" s="186"/>
      <c r="I130" s="195">
        <v>0.51</v>
      </c>
      <c r="J130" s="107">
        <v>0.49</v>
      </c>
      <c r="K130" s="107"/>
      <c r="L130" s="107"/>
      <c r="M130" s="187"/>
      <c r="N130" s="169">
        <f t="shared" si="29"/>
        <v>1</v>
      </c>
      <c r="O130" s="144">
        <v>1</v>
      </c>
      <c r="P130" s="145">
        <v>15</v>
      </c>
      <c r="Q130" s="113">
        <v>15</v>
      </c>
      <c r="R130" s="113"/>
      <c r="S130" s="113"/>
      <c r="T130" s="146"/>
      <c r="U130" s="148">
        <f t="shared" si="17"/>
        <v>15</v>
      </c>
      <c r="V130" s="149">
        <f t="shared" si="18"/>
        <v>15</v>
      </c>
      <c r="W130" s="189"/>
      <c r="X130" s="199"/>
      <c r="Y130" s="151"/>
      <c r="Z130" s="190"/>
      <c r="AA130" s="153"/>
      <c r="AB130" s="154">
        <f t="shared" si="19"/>
        <v>0</v>
      </c>
      <c r="AC130" s="149">
        <f t="shared" si="20"/>
        <v>0</v>
      </c>
      <c r="AD130" s="125">
        <v>2</v>
      </c>
      <c r="AE130" s="148">
        <f t="shared" si="21"/>
        <v>2</v>
      </c>
      <c r="AF130" s="156"/>
      <c r="AG130" s="156"/>
      <c r="AH130" s="113">
        <f t="shared" si="22"/>
        <v>17</v>
      </c>
      <c r="AI130" s="157">
        <v>65</v>
      </c>
      <c r="AJ130" s="113">
        <f t="shared" si="23"/>
        <v>82</v>
      </c>
      <c r="AK130" s="113">
        <f t="shared" si="24"/>
        <v>82</v>
      </c>
      <c r="AL130" s="158">
        <f t="shared" si="25"/>
        <v>1.02</v>
      </c>
      <c r="AM130" s="159"/>
      <c r="AN130" s="160">
        <f t="shared" si="30"/>
        <v>1</v>
      </c>
      <c r="AO130" s="160">
        <f t="shared" si="30"/>
        <v>2</v>
      </c>
      <c r="AP130" s="133"/>
      <c r="AQ130" s="134"/>
      <c r="AR130" s="161"/>
      <c r="AS130" s="161"/>
      <c r="AT130" s="161"/>
      <c r="AU130" s="161"/>
      <c r="AV130" s="162"/>
      <c r="AW130" s="137">
        <f t="shared" si="26"/>
        <v>0</v>
      </c>
      <c r="AX130" s="137">
        <f t="shared" si="27"/>
        <v>0</v>
      </c>
    </row>
    <row r="131" ht="47.25" customHeight="1" spans="1:50" s="97" customFormat="1" x14ac:dyDescent="0.25">
      <c r="A131" s="100"/>
      <c r="B131" s="100"/>
      <c r="C131" s="100"/>
      <c r="D131" s="100"/>
      <c r="E131" s="100"/>
      <c r="F131" s="100"/>
      <c r="G131" s="103"/>
      <c r="H131" s="186"/>
      <c r="I131" s="195">
        <v>0.51</v>
      </c>
      <c r="J131" s="107">
        <v>0.49</v>
      </c>
      <c r="K131" s="107"/>
      <c r="L131" s="107"/>
      <c r="M131" s="187"/>
      <c r="N131" s="169">
        <f t="shared" si="29"/>
        <v>1</v>
      </c>
      <c r="O131" s="144">
        <v>1</v>
      </c>
      <c r="P131" s="145">
        <v>15</v>
      </c>
      <c r="Q131" s="113">
        <v>15</v>
      </c>
      <c r="R131" s="113"/>
      <c r="S131" s="113"/>
      <c r="T131" s="146"/>
      <c r="U131" s="148">
        <f t="shared" si="17"/>
        <v>15</v>
      </c>
      <c r="V131" s="149">
        <f t="shared" si="18"/>
        <v>15</v>
      </c>
      <c r="W131" s="189"/>
      <c r="X131" s="199"/>
      <c r="Y131" s="151"/>
      <c r="Z131" s="190"/>
      <c r="AA131" s="153"/>
      <c r="AB131" s="154">
        <f t="shared" si="19"/>
        <v>0</v>
      </c>
      <c r="AC131" s="149">
        <f t="shared" si="20"/>
        <v>0</v>
      </c>
      <c r="AD131" s="125">
        <v>2</v>
      </c>
      <c r="AE131" s="148">
        <f t="shared" si="21"/>
        <v>2</v>
      </c>
      <c r="AF131" s="156"/>
      <c r="AG131" s="156"/>
      <c r="AH131" s="113">
        <f t="shared" si="22"/>
        <v>17</v>
      </c>
      <c r="AI131" s="157">
        <v>65</v>
      </c>
      <c r="AJ131" s="113">
        <f t="shared" si="23"/>
        <v>82</v>
      </c>
      <c r="AK131" s="113">
        <f t="shared" si="24"/>
        <v>82</v>
      </c>
      <c r="AL131" s="158">
        <f t="shared" si="25"/>
        <v>1.02</v>
      </c>
      <c r="AM131" s="159"/>
      <c r="AN131" s="160">
        <f t="shared" ref="AN131:AO136" si="31">100%+AM131</f>
        <v>1</v>
      </c>
      <c r="AO131" s="160">
        <f t="shared" si="31"/>
        <v>2</v>
      </c>
      <c r="AP131" s="133"/>
      <c r="AQ131" s="134"/>
      <c r="AR131" s="161"/>
      <c r="AS131" s="161"/>
      <c r="AT131" s="161"/>
      <c r="AU131" s="161"/>
      <c r="AV131" s="162"/>
      <c r="AW131" s="137">
        <f t="shared" si="26"/>
        <v>0</v>
      </c>
      <c r="AX131" s="137">
        <f t="shared" si="27"/>
        <v>0</v>
      </c>
    </row>
    <row r="132" ht="47.25" customHeight="1" spans="1:50" s="56" customFormat="1" x14ac:dyDescent="0.25">
      <c r="A132" s="100"/>
      <c r="B132" s="100"/>
      <c r="C132" s="100"/>
      <c r="D132" s="100"/>
      <c r="E132" s="100"/>
      <c r="F132" s="100"/>
      <c r="G132" s="103"/>
      <c r="H132" s="186"/>
      <c r="I132" s="195">
        <v>0.51</v>
      </c>
      <c r="J132" s="107">
        <v>0.49</v>
      </c>
      <c r="K132" s="107"/>
      <c r="L132" s="107"/>
      <c r="M132" s="187"/>
      <c r="N132" s="169">
        <f t="shared" si="29"/>
        <v>1</v>
      </c>
      <c r="O132" s="144">
        <v>1</v>
      </c>
      <c r="P132" s="145">
        <v>15</v>
      </c>
      <c r="Q132" s="113">
        <v>15</v>
      </c>
      <c r="R132" s="113"/>
      <c r="S132" s="113"/>
      <c r="T132" s="146"/>
      <c r="U132" s="148">
        <f t="shared" si="17"/>
        <v>15</v>
      </c>
      <c r="V132" s="149">
        <f t="shared" si="18"/>
        <v>15</v>
      </c>
      <c r="W132" s="189"/>
      <c r="X132" s="199"/>
      <c r="Y132" s="151"/>
      <c r="Z132" s="190"/>
      <c r="AA132" s="153"/>
      <c r="AB132" s="154">
        <f t="shared" si="19"/>
        <v>0</v>
      </c>
      <c r="AC132" s="149">
        <f t="shared" si="20"/>
        <v>0</v>
      </c>
      <c r="AD132" s="125">
        <v>2</v>
      </c>
      <c r="AE132" s="148">
        <f t="shared" si="21"/>
        <v>2</v>
      </c>
      <c r="AF132" s="156"/>
      <c r="AG132" s="156"/>
      <c r="AH132" s="113">
        <f t="shared" si="22"/>
        <v>17</v>
      </c>
      <c r="AI132" s="157">
        <v>65</v>
      </c>
      <c r="AJ132" s="113">
        <f t="shared" si="23"/>
        <v>82</v>
      </c>
      <c r="AK132" s="113">
        <f t="shared" si="24"/>
        <v>82</v>
      </c>
      <c r="AL132" s="158">
        <f t="shared" si="25"/>
        <v>1.02</v>
      </c>
      <c r="AM132" s="159"/>
      <c r="AN132" s="160">
        <f t="shared" si="31"/>
        <v>1</v>
      </c>
      <c r="AO132" s="160">
        <f t="shared" si="31"/>
        <v>2</v>
      </c>
      <c r="AP132" s="133"/>
      <c r="AQ132" s="134"/>
      <c r="AR132" s="161"/>
      <c r="AS132" s="161"/>
      <c r="AT132" s="161"/>
      <c r="AU132" s="161"/>
      <c r="AV132" s="162"/>
      <c r="AW132" s="137">
        <f t="shared" si="26"/>
        <v>0</v>
      </c>
      <c r="AX132" s="137">
        <f t="shared" si="27"/>
        <v>0</v>
      </c>
    </row>
    <row r="133" ht="46.5" customHeight="1" spans="1:50" s="97" customFormat="1" x14ac:dyDescent="0.25">
      <c r="A133" s="100"/>
      <c r="B133" s="100"/>
      <c r="C133" s="100"/>
      <c r="D133" s="100"/>
      <c r="E133" s="100"/>
      <c r="F133" s="100"/>
      <c r="G133" s="103"/>
      <c r="H133" s="186"/>
      <c r="I133" s="195">
        <v>0.51</v>
      </c>
      <c r="J133" s="107">
        <v>0.49</v>
      </c>
      <c r="K133" s="107"/>
      <c r="L133" s="107"/>
      <c r="M133" s="187"/>
      <c r="N133" s="169">
        <f t="shared" si="29"/>
        <v>1</v>
      </c>
      <c r="O133" s="144">
        <v>1</v>
      </c>
      <c r="P133" s="145">
        <v>15</v>
      </c>
      <c r="Q133" s="113">
        <v>15</v>
      </c>
      <c r="R133" s="113"/>
      <c r="S133" s="113"/>
      <c r="T133" s="146"/>
      <c r="U133" s="148">
        <f t="shared" si="17"/>
        <v>15</v>
      </c>
      <c r="V133" s="149">
        <f t="shared" si="18"/>
        <v>15</v>
      </c>
      <c r="W133" s="189"/>
      <c r="X133" s="199"/>
      <c r="Y133" s="151"/>
      <c r="Z133" s="190"/>
      <c r="AA133" s="153"/>
      <c r="AB133" s="154">
        <f t="shared" si="19"/>
        <v>0</v>
      </c>
      <c r="AC133" s="149">
        <f t="shared" si="20"/>
        <v>0</v>
      </c>
      <c r="AD133" s="125">
        <v>2</v>
      </c>
      <c r="AE133" s="148">
        <f t="shared" si="21"/>
        <v>2</v>
      </c>
      <c r="AF133" s="156"/>
      <c r="AG133" s="156"/>
      <c r="AH133" s="113">
        <f t="shared" si="22"/>
        <v>17</v>
      </c>
      <c r="AI133" s="157">
        <v>65</v>
      </c>
      <c r="AJ133" s="113">
        <f t="shared" si="23"/>
        <v>82</v>
      </c>
      <c r="AK133" s="113">
        <f t="shared" si="24"/>
        <v>82</v>
      </c>
      <c r="AL133" s="158">
        <f t="shared" si="25"/>
        <v>1.02</v>
      </c>
      <c r="AM133" s="159"/>
      <c r="AN133" s="160">
        <f t="shared" si="31"/>
        <v>1</v>
      </c>
      <c r="AO133" s="160">
        <f t="shared" si="31"/>
        <v>2</v>
      </c>
      <c r="AP133" s="133"/>
      <c r="AQ133" s="134"/>
      <c r="AR133" s="161"/>
      <c r="AS133" s="161"/>
      <c r="AT133" s="161"/>
      <c r="AU133" s="161"/>
      <c r="AV133" s="162"/>
      <c r="AW133" s="137">
        <f t="shared" si="26"/>
        <v>0</v>
      </c>
      <c r="AX133" s="137">
        <f t="shared" si="27"/>
        <v>0</v>
      </c>
    </row>
    <row r="134" ht="47.25" customHeight="1" spans="1:50" s="56" customFormat="1" x14ac:dyDescent="0.25">
      <c r="A134" s="100"/>
      <c r="B134" s="100"/>
      <c r="C134" s="100"/>
      <c r="D134" s="100"/>
      <c r="E134" s="100"/>
      <c r="F134" s="100"/>
      <c r="G134" s="103"/>
      <c r="H134" s="186"/>
      <c r="I134" s="195">
        <v>0.51</v>
      </c>
      <c r="J134" s="107">
        <v>0.49</v>
      </c>
      <c r="K134" s="107"/>
      <c r="L134" s="107"/>
      <c r="M134" s="187"/>
      <c r="N134" s="169">
        <f t="shared" si="29"/>
        <v>1</v>
      </c>
      <c r="O134" s="144">
        <v>1</v>
      </c>
      <c r="P134" s="145">
        <v>15</v>
      </c>
      <c r="Q134" s="113">
        <v>15</v>
      </c>
      <c r="R134" s="113"/>
      <c r="S134" s="113"/>
      <c r="T134" s="146"/>
      <c r="U134" s="148">
        <f t="shared" si="17"/>
        <v>15</v>
      </c>
      <c r="V134" s="149">
        <f t="shared" si="18"/>
        <v>15</v>
      </c>
      <c r="W134" s="189"/>
      <c r="X134" s="199"/>
      <c r="Y134" s="151"/>
      <c r="Z134" s="190"/>
      <c r="AA134" s="153"/>
      <c r="AB134" s="154">
        <f t="shared" si="19"/>
        <v>0</v>
      </c>
      <c r="AC134" s="149">
        <f t="shared" si="20"/>
        <v>0</v>
      </c>
      <c r="AD134" s="125">
        <v>2</v>
      </c>
      <c r="AE134" s="148">
        <f t="shared" si="21"/>
        <v>2</v>
      </c>
      <c r="AF134" s="156"/>
      <c r="AG134" s="156"/>
      <c r="AH134" s="113">
        <f t="shared" si="22"/>
        <v>17</v>
      </c>
      <c r="AI134" s="157">
        <v>65</v>
      </c>
      <c r="AJ134" s="113">
        <f t="shared" si="23"/>
        <v>82</v>
      </c>
      <c r="AK134" s="113">
        <f t="shared" si="24"/>
        <v>82</v>
      </c>
      <c r="AL134" s="158">
        <f t="shared" si="25"/>
        <v>1.02</v>
      </c>
      <c r="AM134" s="159"/>
      <c r="AN134" s="160">
        <f t="shared" si="31"/>
        <v>1</v>
      </c>
      <c r="AO134" s="160">
        <f t="shared" si="31"/>
        <v>2</v>
      </c>
      <c r="AP134" s="133"/>
      <c r="AQ134" s="134"/>
      <c r="AR134" s="161"/>
      <c r="AS134" s="161"/>
      <c r="AT134" s="161"/>
      <c r="AU134" s="161"/>
      <c r="AV134" s="162"/>
      <c r="AW134" s="137">
        <f t="shared" si="26"/>
        <v>0</v>
      </c>
      <c r="AX134" s="137">
        <f t="shared" si="27"/>
        <v>0</v>
      </c>
    </row>
    <row r="135" ht="47.25" customHeight="1" spans="1:50" s="97" customFormat="1" x14ac:dyDescent="0.25">
      <c r="A135" s="100"/>
      <c r="B135" s="100"/>
      <c r="C135" s="100"/>
      <c r="D135" s="100"/>
      <c r="E135" s="100"/>
      <c r="F135" s="100"/>
      <c r="G135" s="103"/>
      <c r="H135" s="186"/>
      <c r="I135" s="195">
        <v>0.51</v>
      </c>
      <c r="J135" s="107">
        <v>0.49</v>
      </c>
      <c r="K135" s="107"/>
      <c r="L135" s="107"/>
      <c r="M135" s="187"/>
      <c r="N135" s="169">
        <f t="shared" si="29"/>
        <v>1</v>
      </c>
      <c r="O135" s="144">
        <v>1</v>
      </c>
      <c r="P135" s="145">
        <v>15</v>
      </c>
      <c r="Q135" s="113">
        <v>15</v>
      </c>
      <c r="R135" s="113"/>
      <c r="S135" s="113"/>
      <c r="T135" s="146"/>
      <c r="U135" s="148">
        <f t="shared" si="17"/>
        <v>15</v>
      </c>
      <c r="V135" s="149">
        <f t="shared" si="18"/>
        <v>15</v>
      </c>
      <c r="W135" s="189"/>
      <c r="X135" s="199"/>
      <c r="Y135" s="151"/>
      <c r="Z135" s="190"/>
      <c r="AA135" s="153"/>
      <c r="AB135" s="154">
        <f t="shared" si="19"/>
        <v>0</v>
      </c>
      <c r="AC135" s="149">
        <f t="shared" si="20"/>
        <v>0</v>
      </c>
      <c r="AD135" s="125">
        <v>2</v>
      </c>
      <c r="AE135" s="148">
        <f t="shared" si="21"/>
        <v>2</v>
      </c>
      <c r="AF135" s="156"/>
      <c r="AG135" s="156"/>
      <c r="AH135" s="113">
        <f t="shared" si="22"/>
        <v>17</v>
      </c>
      <c r="AI135" s="157">
        <v>65</v>
      </c>
      <c r="AJ135" s="113">
        <f t="shared" si="23"/>
        <v>82</v>
      </c>
      <c r="AK135" s="113">
        <f t="shared" si="24"/>
        <v>82</v>
      </c>
      <c r="AL135" s="158">
        <f t="shared" si="25"/>
        <v>1.02</v>
      </c>
      <c r="AM135" s="159"/>
      <c r="AN135" s="160">
        <f t="shared" si="31"/>
        <v>1</v>
      </c>
      <c r="AO135" s="160">
        <f t="shared" si="31"/>
        <v>2</v>
      </c>
      <c r="AP135" s="133"/>
      <c r="AQ135" s="134"/>
      <c r="AR135" s="161"/>
      <c r="AS135" s="161"/>
      <c r="AT135" s="161"/>
      <c r="AU135" s="161"/>
      <c r="AV135" s="162"/>
      <c r="AW135" s="137">
        <f t="shared" si="26"/>
        <v>0</v>
      </c>
      <c r="AX135" s="137">
        <f t="shared" si="27"/>
        <v>0</v>
      </c>
    </row>
    <row r="136" ht="46.5" customHeight="1" spans="1:50" s="97" customFormat="1" x14ac:dyDescent="0.25">
      <c r="A136" s="100"/>
      <c r="B136" s="100"/>
      <c r="C136" s="100"/>
      <c r="D136" s="100"/>
      <c r="E136" s="100"/>
      <c r="F136" s="100"/>
      <c r="G136" s="103"/>
      <c r="H136" s="186"/>
      <c r="I136" s="195">
        <v>0.51</v>
      </c>
      <c r="J136" s="107">
        <v>0.49</v>
      </c>
      <c r="K136" s="107"/>
      <c r="L136" s="107"/>
      <c r="M136" s="187"/>
      <c r="N136" s="169">
        <f t="shared" si="29"/>
        <v>1</v>
      </c>
      <c r="O136" s="144">
        <v>1</v>
      </c>
      <c r="P136" s="145">
        <v>15</v>
      </c>
      <c r="Q136" s="113">
        <v>15</v>
      </c>
      <c r="R136" s="113"/>
      <c r="S136" s="113"/>
      <c r="T136" s="146"/>
      <c r="U136" s="148">
        <f t="shared" si="17"/>
        <v>15</v>
      </c>
      <c r="V136" s="149">
        <f t="shared" si="18"/>
        <v>15</v>
      </c>
      <c r="W136" s="189"/>
      <c r="X136" s="199"/>
      <c r="Y136" s="151"/>
      <c r="Z136" s="190"/>
      <c r="AA136" s="153"/>
      <c r="AB136" s="154">
        <f t="shared" si="19"/>
        <v>0</v>
      </c>
      <c r="AC136" s="149">
        <f t="shared" si="20"/>
        <v>0</v>
      </c>
      <c r="AD136" s="125">
        <v>2</v>
      </c>
      <c r="AE136" s="148">
        <f t="shared" si="21"/>
        <v>2</v>
      </c>
      <c r="AF136" s="156"/>
      <c r="AG136" s="156"/>
      <c r="AH136" s="113">
        <f t="shared" si="22"/>
        <v>17</v>
      </c>
      <c r="AI136" s="157">
        <v>65</v>
      </c>
      <c r="AJ136" s="113">
        <f t="shared" si="23"/>
        <v>82</v>
      </c>
      <c r="AK136" s="113">
        <f t="shared" si="24"/>
        <v>82</v>
      </c>
      <c r="AL136" s="158">
        <f t="shared" si="25"/>
        <v>1.02</v>
      </c>
      <c r="AM136" s="159"/>
      <c r="AN136" s="160">
        <f t="shared" si="31"/>
        <v>1</v>
      </c>
      <c r="AO136" s="160">
        <f t="shared" si="31"/>
        <v>2</v>
      </c>
      <c r="AP136" s="133"/>
      <c r="AQ136" s="134"/>
      <c r="AR136" s="161"/>
      <c r="AS136" s="161"/>
      <c r="AT136" s="161"/>
      <c r="AU136" s="161"/>
      <c r="AV136" s="162"/>
      <c r="AW136" s="137">
        <f t="shared" si="26"/>
        <v>0</v>
      </c>
      <c r="AX136" s="137">
        <f t="shared" si="27"/>
        <v>0</v>
      </c>
    </row>
  </sheetData>
  <mergeCells count="43">
    <mergeCell ref="D1:E1"/>
    <mergeCell ref="F1:G1"/>
    <mergeCell ref="I1:J1"/>
    <mergeCell ref="Y1:Z1"/>
    <mergeCell ref="AA1:AC1"/>
    <mergeCell ref="AD1:AE1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AG2:AH2"/>
    <mergeCell ref="AI2:AK2"/>
    <mergeCell ref="AS2:AT2"/>
    <mergeCell ref="C3:H3"/>
    <mergeCell ref="I3:M3"/>
    <mergeCell ref="P3:U3"/>
    <mergeCell ref="W3:AE3"/>
    <mergeCell ref="A3:A4"/>
    <mergeCell ref="B3:B4"/>
    <mergeCell ref="N3:N4"/>
    <mergeCell ref="O3:O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6:H6"/>
    <mergeCell ref="A8:H8"/>
    <mergeCell ref="A10:H10"/>
  </mergeCells>
  <pageMargins left="0.7" right="0.7" top="0.75" bottom="0.75" header="0.3" footer="0.3"/>
  <pageSetup paperSize="9" orientation="portrait" horizontalDpi="4294967295" verticalDpi="4294967295" scale="40" fitToWidth="1" fitToHeight="1" firstPageNumber="1" useFirstPageNumber="1" copies="1"/>
</worksheet>
</file>

<file path=xl/worksheets/sheet8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X142"/>
  <sheetViews>
    <sheetView workbookViewId="0" zoomScale="80" zoomScaleNormal="80">
      <selection activeCell="J16" sqref="J16"/>
    </sheetView>
  </sheetViews>
  <sheetFormatPr defaultRowHeight="13.5" outlineLevelRow="0" outlineLevelCol="0" x14ac:dyDescent="0.15" defaultColWidth="8.88671875" customHeight="1"/>
  <cols>
    <col min="1" max="1" width="5.33203125" style="1" customWidth="1"/>
    <col min="2" max="2" width="5.109375" style="2" customWidth="1"/>
    <col min="3" max="3" width="8.33203125" style="3" customWidth="1"/>
    <col min="4" max="7" width="8.33203125" style="1" customWidth="1"/>
    <col min="8" max="13" width="8.109375" style="1" customWidth="1"/>
    <col min="14" max="14" width="8.33203125" style="1" customWidth="1"/>
    <col min="15" max="15" width="5.88671875" style="1" customWidth="1"/>
    <col min="16" max="21" width="7.5546875" style="1" customWidth="1"/>
    <col min="22" max="22" width="7.6640625" style="4" hidden="1" customWidth="1"/>
    <col min="23" max="27" width="8.33203125" style="1" customWidth="1"/>
    <col min="28" max="28" width="7.6640625" style="1" customWidth="1"/>
    <col min="29" max="29" width="7.6640625" style="4" hidden="1" customWidth="1"/>
    <col min="30" max="31" width="7.6640625" style="4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 customWidth="1"/>
    <col min="49" max="50" width="15.109375" style="1" customWidth="1"/>
    <col min="51" max="16384" width="8.88671875" style="1" customWidth="1"/>
  </cols>
  <sheetData>
    <row r="1" ht="32.25" customHeight="1" spans="3:42" x14ac:dyDescent="0.25">
      <c r="C1" s="5" t="s">
        <v>0</v>
      </c>
      <c r="D1" s="6">
        <v>4992656000</v>
      </c>
      <c r="E1" s="7"/>
      <c r="F1" s="6"/>
      <c r="G1" s="7"/>
      <c r="H1" s="8" t="s">
        <v>1</v>
      </c>
      <c r="I1" s="9">
        <v>5439217000</v>
      </c>
      <c r="J1" s="9"/>
      <c r="K1" s="10" t="s">
        <v>123</v>
      </c>
      <c r="L1" s="11"/>
      <c r="M1" s="11"/>
      <c r="N1" s="12"/>
      <c r="O1" s="12"/>
      <c r="P1" s="12"/>
      <c r="Q1" s="12"/>
      <c r="R1" s="12"/>
      <c r="S1" s="12"/>
      <c r="T1" s="12"/>
      <c r="U1" s="12"/>
      <c r="V1" s="12"/>
      <c r="W1" s="12"/>
      <c r="X1" s="13"/>
      <c r="Y1" s="14" t="s">
        <v>3</v>
      </c>
      <c r="Z1" s="14"/>
      <c r="AA1" s="15" t="s">
        <v>4</v>
      </c>
      <c r="AB1" s="16"/>
      <c r="AC1" s="17"/>
      <c r="AD1" s="18" t="s">
        <v>5</v>
      </c>
      <c r="AE1" s="19"/>
      <c r="AF1" s="20"/>
      <c r="AG1" s="21" t="s">
        <v>6</v>
      </c>
      <c r="AH1" s="22"/>
      <c r="AI1" s="23"/>
      <c r="AJ1" s="24"/>
      <c r="AK1" s="24"/>
      <c r="AL1" s="25" t="s">
        <v>7</v>
      </c>
      <c r="AM1" s="26"/>
      <c r="AN1" s="26"/>
      <c r="AO1" s="26"/>
      <c r="AP1" s="12"/>
    </row>
    <row r="2" ht="29.25" customHeight="1" spans="1:49" s="27" customFormat="1" x14ac:dyDescent="0.25">
      <c r="A2" s="20"/>
      <c r="B2" s="28"/>
      <c r="C2" s="29" t="s">
        <v>8</v>
      </c>
      <c r="D2" s="30">
        <v>5161537000</v>
      </c>
      <c r="E2" s="31"/>
      <c r="F2" s="32"/>
      <c r="G2" s="33"/>
      <c r="H2" s="5" t="s">
        <v>9</v>
      </c>
      <c r="I2" s="34">
        <f>D2*1</f>
        <v>5161537000</v>
      </c>
      <c r="J2" s="32"/>
      <c r="K2" s="35" t="s">
        <v>10</v>
      </c>
      <c r="L2" s="36" t="s">
        <v>11</v>
      </c>
      <c r="M2" s="37">
        <v>45908.66666666667</v>
      </c>
      <c r="N2" s="37"/>
      <c r="O2" s="37"/>
      <c r="P2" s="37"/>
      <c r="Q2" s="38" t="s">
        <v>84</v>
      </c>
      <c r="R2" s="38"/>
      <c r="S2" s="38"/>
      <c r="T2" s="39"/>
      <c r="U2" s="40"/>
      <c r="V2" s="40"/>
      <c r="W2" s="41"/>
      <c r="X2" s="42"/>
      <c r="Y2" s="202">
        <v>2878500000</v>
      </c>
      <c r="Z2" s="202"/>
      <c r="AA2" s="44">
        <f>I1</f>
        <v>5439217000</v>
      </c>
      <c r="AB2" s="45"/>
      <c r="AC2" s="46"/>
      <c r="AD2" s="47">
        <f>TRUNC(Y2/AA2,4)</f>
        <v>0.5292</v>
      </c>
      <c r="AE2" s="48"/>
      <c r="AF2" s="49"/>
      <c r="AG2" s="21" t="s">
        <v>13</v>
      </c>
      <c r="AH2" s="22"/>
      <c r="AI2" s="23">
        <v>4992656000</v>
      </c>
      <c r="AJ2" s="24"/>
      <c r="AK2" s="24"/>
      <c r="AL2" s="50"/>
      <c r="AM2" s="50"/>
      <c r="AN2" s="51" t="s">
        <v>14</v>
      </c>
      <c r="AP2" s="1"/>
      <c r="AQ2" s="1"/>
      <c r="AR2" s="52" t="s">
        <v>15</v>
      </c>
      <c r="AS2" s="53">
        <f>AI1</f>
        <v>0</v>
      </c>
      <c r="AT2" s="54"/>
      <c r="AW2" s="55"/>
    </row>
    <row r="3" ht="24.95" customHeight="1" spans="1:50" s="56" customFormat="1" x14ac:dyDescent="0.25">
      <c r="A3" s="57" t="s">
        <v>16</v>
      </c>
      <c r="B3" s="58" t="s">
        <v>17</v>
      </c>
      <c r="C3" s="59" t="s">
        <v>18</v>
      </c>
      <c r="D3" s="60"/>
      <c r="E3" s="60"/>
      <c r="F3" s="60"/>
      <c r="G3" s="60"/>
      <c r="H3" s="61"/>
      <c r="I3" s="59" t="s">
        <v>19</v>
      </c>
      <c r="J3" s="60"/>
      <c r="K3" s="60"/>
      <c r="L3" s="60"/>
      <c r="M3" s="61"/>
      <c r="N3" s="62" t="s">
        <v>20</v>
      </c>
      <c r="O3" s="63" t="s">
        <v>21</v>
      </c>
      <c r="P3" s="59" t="s">
        <v>22</v>
      </c>
      <c r="Q3" s="60"/>
      <c r="R3" s="64"/>
      <c r="S3" s="64"/>
      <c r="T3" s="60"/>
      <c r="U3" s="61"/>
      <c r="V3" s="65"/>
      <c r="W3" s="59" t="s">
        <v>23</v>
      </c>
      <c r="X3" s="60"/>
      <c r="Y3" s="60"/>
      <c r="Z3" s="60"/>
      <c r="AA3" s="60"/>
      <c r="AB3" s="60"/>
      <c r="AC3" s="60"/>
      <c r="AD3" s="60"/>
      <c r="AE3" s="61"/>
      <c r="AF3" s="60"/>
      <c r="AG3" s="60"/>
      <c r="AH3" s="60"/>
      <c r="AI3" s="60"/>
      <c r="AJ3" s="60"/>
      <c r="AK3" s="61"/>
      <c r="AL3" s="66" t="s">
        <v>24</v>
      </c>
      <c r="AM3" s="67" t="s">
        <v>25</v>
      </c>
      <c r="AN3" s="68" t="s">
        <v>26</v>
      </c>
      <c r="AO3" s="69" t="s">
        <v>27</v>
      </c>
      <c r="AP3" s="70" t="s">
        <v>28</v>
      </c>
      <c r="AQ3" s="65" t="s">
        <v>29</v>
      </c>
      <c r="AR3" s="67" t="s">
        <v>30</v>
      </c>
      <c r="AS3" s="65" t="s">
        <v>31</v>
      </c>
      <c r="AT3" s="65" t="s">
        <v>32</v>
      </c>
      <c r="AU3" s="65" t="s">
        <v>33</v>
      </c>
      <c r="AV3" s="71" t="s">
        <v>34</v>
      </c>
      <c r="AW3" s="65" t="s">
        <v>35</v>
      </c>
      <c r="AX3" s="65" t="s">
        <v>36</v>
      </c>
    </row>
    <row r="4" ht="39.75" customHeight="1" spans="1:50" s="56" customFormat="1" x14ac:dyDescent="0.25">
      <c r="A4" s="72"/>
      <c r="B4" s="73"/>
      <c r="C4" s="74" t="s">
        <v>37</v>
      </c>
      <c r="D4" s="75" t="s">
        <v>38</v>
      </c>
      <c r="E4" s="76" t="s">
        <v>39</v>
      </c>
      <c r="F4" s="76" t="s">
        <v>40</v>
      </c>
      <c r="G4" s="77" t="s">
        <v>41</v>
      </c>
      <c r="H4" s="65"/>
      <c r="I4" s="78" t="s">
        <v>37</v>
      </c>
      <c r="J4" s="79" t="s">
        <v>38</v>
      </c>
      <c r="K4" s="75" t="s">
        <v>39</v>
      </c>
      <c r="L4" s="75" t="s">
        <v>40</v>
      </c>
      <c r="M4" s="80" t="s">
        <v>41</v>
      </c>
      <c r="N4" s="81"/>
      <c r="O4" s="82"/>
      <c r="P4" s="78" t="s">
        <v>37</v>
      </c>
      <c r="Q4" s="79" t="s">
        <v>38</v>
      </c>
      <c r="R4" s="75" t="s">
        <v>39</v>
      </c>
      <c r="S4" s="75" t="s">
        <v>40</v>
      </c>
      <c r="T4" s="80" t="s">
        <v>41</v>
      </c>
      <c r="U4" s="83" t="s">
        <v>42</v>
      </c>
      <c r="V4" s="84" t="s">
        <v>43</v>
      </c>
      <c r="W4" s="85" t="s">
        <v>37</v>
      </c>
      <c r="X4" s="79" t="s">
        <v>38</v>
      </c>
      <c r="Y4" s="79" t="s">
        <v>39</v>
      </c>
      <c r="Z4" s="79" t="s">
        <v>40</v>
      </c>
      <c r="AA4" s="80" t="s">
        <v>41</v>
      </c>
      <c r="AB4" s="86" t="s">
        <v>44</v>
      </c>
      <c r="AC4" s="87" t="s">
        <v>45</v>
      </c>
      <c r="AD4" s="88" t="s">
        <v>46</v>
      </c>
      <c r="AE4" s="88" t="s">
        <v>47</v>
      </c>
      <c r="AF4" s="89" t="s">
        <v>48</v>
      </c>
      <c r="AG4" s="89" t="s">
        <v>49</v>
      </c>
      <c r="AH4" s="90" t="s">
        <v>50</v>
      </c>
      <c r="AI4" s="91" t="s">
        <v>51</v>
      </c>
      <c r="AJ4" s="91"/>
      <c r="AK4" s="91" t="s">
        <v>52</v>
      </c>
      <c r="AL4" s="92"/>
      <c r="AM4" s="93"/>
      <c r="AN4" s="94"/>
      <c r="AO4" s="95"/>
      <c r="AP4" s="70"/>
      <c r="AQ4" s="65"/>
      <c r="AR4" s="93"/>
      <c r="AS4" s="65"/>
      <c r="AT4" s="65"/>
      <c r="AU4" s="65"/>
      <c r="AV4" s="96"/>
      <c r="AW4" s="65"/>
      <c r="AX4" s="65"/>
    </row>
    <row r="5" ht="46.5" customHeight="1" spans="1:50" s="97" customFormat="1" x14ac:dyDescent="0.25">
      <c r="A5" s="98">
        <v>1</v>
      </c>
      <c r="B5" s="99"/>
      <c r="C5" s="203" t="s">
        <v>54</v>
      </c>
      <c r="D5" s="102"/>
      <c r="E5" s="102"/>
      <c r="F5" s="102"/>
      <c r="G5" s="103"/>
      <c r="H5" s="104"/>
      <c r="I5" s="105">
        <v>1</v>
      </c>
      <c r="J5" s="106"/>
      <c r="K5" s="107"/>
      <c r="L5" s="108"/>
      <c r="M5" s="109"/>
      <c r="N5" s="110">
        <f>SUM(I5:M5)</f>
        <v>1</v>
      </c>
      <c r="O5" s="111">
        <v>1</v>
      </c>
      <c r="P5" s="112">
        <v>15</v>
      </c>
      <c r="Q5" s="113"/>
      <c r="R5" s="112"/>
      <c r="S5" s="114"/>
      <c r="T5" s="115"/>
      <c r="U5" s="116">
        <f>ROUND(((P5*I5)+(Q5*J5)+(R5*K5)+(S5*L5)+(T5*M5))*O5,2)</f>
        <v>15</v>
      </c>
      <c r="V5" s="117">
        <f>IF(U5&gt;=15,15,U5)</f>
        <v>15</v>
      </c>
      <c r="W5" s="204">
        <v>21672377000</v>
      </c>
      <c r="X5" s="119"/>
      <c r="Y5" s="120"/>
      <c r="Z5" s="121"/>
      <c r="AA5" s="122"/>
      <c r="AB5" s="123">
        <f>ROUND((((W5*I5)+(X5*J5)+(Y5*K5)+(Z5*L5)+(AA5*M5))/$I$2),2)*13</f>
        <v>54.6</v>
      </c>
      <c r="AC5" s="124">
        <f>IF(AB5&gt;=13,13,AB5)</f>
        <v>13</v>
      </c>
      <c r="AD5" s="125">
        <v>2</v>
      </c>
      <c r="AE5" s="116">
        <f>IF((AC5+AD5)&gt;=15,15,(AC5+AD5))</f>
        <v>15</v>
      </c>
      <c r="AF5" s="126"/>
      <c r="AG5" s="127">
        <v>3.8</v>
      </c>
      <c r="AH5" s="128">
        <f>IF((V5+AE5+AF5)&gt;=30,30,(V5+AE5+AF5))</f>
        <v>30</v>
      </c>
      <c r="AI5" s="129">
        <v>65</v>
      </c>
      <c r="AJ5" s="128">
        <f>V5+AE5+AF5+AI5+AG5</f>
        <v>98.8</v>
      </c>
      <c r="AK5" s="128">
        <f>IF(AH5+AI5+AG5&gt;=95,95,AH5+AI5+AG5)</f>
        <v>95</v>
      </c>
      <c r="AL5" s="130">
        <f>-((50-((176+(45+(50-AH5)))))/200)</f>
        <v>0.955</v>
      </c>
      <c r="AM5" s="131"/>
      <c r="AN5" s="132">
        <f>100%+AM5</f>
        <v>1</v>
      </c>
      <c r="AO5" s="132">
        <f>100%+AN5</f>
        <v>2</v>
      </c>
      <c r="AP5" s="133"/>
      <c r="AQ5" s="134"/>
      <c r="AR5" s="135"/>
      <c r="AS5" s="135"/>
      <c r="AT5" s="135"/>
      <c r="AU5" s="135"/>
      <c r="AV5" s="136"/>
      <c r="AW5" s="137">
        <f>AR5+AS5+AT5+AU5+AV5</f>
        <v>0</v>
      </c>
      <c r="AX5" s="137">
        <f>(AR5*I5)+(AS5*J5)+(AT5*K5)+(AU5*L5)+(AV5*M5)</f>
        <v>0</v>
      </c>
    </row>
    <row r="6" ht="21.95" customHeight="1" spans="1:50" s="97" customFormat="1" x14ac:dyDescent="0.25">
      <c r="A6" s="138" t="s">
        <v>56</v>
      </c>
      <c r="B6" s="139"/>
      <c r="C6" s="139"/>
      <c r="D6" s="139"/>
      <c r="E6" s="139"/>
      <c r="F6" s="139"/>
      <c r="G6" s="139"/>
      <c r="H6" s="140"/>
      <c r="I6" s="142">
        <v>85</v>
      </c>
      <c r="J6" s="142"/>
      <c r="K6" s="142"/>
      <c r="L6" s="142"/>
      <c r="M6" s="142"/>
      <c r="N6" s="143">
        <f>I6*I5+J6*J5+K6*K5+L6*L5+M6*M5</f>
        <v>85</v>
      </c>
      <c r="O6" s="144"/>
      <c r="P6" s="145"/>
      <c r="Q6" s="113"/>
      <c r="R6" s="113"/>
      <c r="S6" s="146"/>
      <c r="T6" s="147"/>
      <c r="U6" s="148"/>
      <c r="V6" s="149"/>
      <c r="W6" s="150"/>
      <c r="X6" s="151"/>
      <c r="Y6" s="152"/>
      <c r="Z6" s="151"/>
      <c r="AA6" s="153"/>
      <c r="AB6" s="154"/>
      <c r="AC6" s="149"/>
      <c r="AD6" s="148"/>
      <c r="AE6" s="148"/>
      <c r="AF6" s="155"/>
      <c r="AG6" s="156"/>
      <c r="AH6" s="113"/>
      <c r="AI6" s="157"/>
      <c r="AJ6" s="113"/>
      <c r="AK6" s="113"/>
      <c r="AL6" s="158"/>
      <c r="AM6" s="159"/>
      <c r="AN6" s="160"/>
      <c r="AO6" s="160"/>
      <c r="AP6" s="133"/>
      <c r="AQ6" s="134"/>
      <c r="AR6" s="161"/>
      <c r="AS6" s="161"/>
      <c r="AT6" s="161"/>
      <c r="AU6" s="161"/>
      <c r="AV6" s="162"/>
      <c r="AW6" s="137"/>
      <c r="AX6" s="137"/>
    </row>
    <row r="7" ht="46.5" customHeight="1" spans="1:50" s="97" customFormat="1" x14ac:dyDescent="0.25">
      <c r="A7" s="98">
        <v>2</v>
      </c>
      <c r="B7" s="99"/>
      <c r="C7" s="205" t="s">
        <v>124</v>
      </c>
      <c r="D7" s="102" t="s">
        <v>125</v>
      </c>
      <c r="E7" s="174" t="s">
        <v>126</v>
      </c>
      <c r="F7" s="163"/>
      <c r="G7" s="164"/>
      <c r="H7" s="165" t="s">
        <v>127</v>
      </c>
      <c r="I7" s="166">
        <v>0.207</v>
      </c>
      <c r="J7" s="107">
        <v>0.4</v>
      </c>
      <c r="K7" s="107">
        <v>0.2</v>
      </c>
      <c r="L7" s="167"/>
      <c r="M7" s="168"/>
      <c r="N7" s="230">
        <f>SUM(I7:M7)</f>
        <v>0.8069999999999999</v>
      </c>
      <c r="O7" s="229">
        <v>1.1</v>
      </c>
      <c r="P7" s="112">
        <v>15</v>
      </c>
      <c r="Q7" s="113">
        <v>15</v>
      </c>
      <c r="R7" s="113">
        <v>15</v>
      </c>
      <c r="S7" s="113"/>
      <c r="T7" s="147"/>
      <c r="U7" s="148">
        <f>ROUND(((P7*I7)+(Q7*J7)+(R7*K7)+(S7*L7)+(T7*M7))*O7,2)</f>
        <v>13.32</v>
      </c>
      <c r="V7" s="149">
        <f>IF(U7&gt;=15,15,U7)</f>
        <v>13.32</v>
      </c>
      <c r="W7" s="120">
        <v>1555486000</v>
      </c>
      <c r="X7" s="120">
        <v>14338094000</v>
      </c>
      <c r="Y7" s="120">
        <v>3412721000</v>
      </c>
      <c r="Z7" s="151"/>
      <c r="AA7" s="153"/>
      <c r="AB7" s="154">
        <f>ROUND((((W7*I7)+(X7*J7)+(Y7*K7)+(Z7*L7)+(AA7*M7))/$I$2),2)*13</f>
        <v>17.03</v>
      </c>
      <c r="AC7" s="149">
        <f>IF(AB7&gt;=13,13,AB7)</f>
        <v>13</v>
      </c>
      <c r="AD7" s="125">
        <v>0</v>
      </c>
      <c r="AE7" s="148">
        <f>IF((AC7+AD7)&gt;=15,15,(AC7+AD7))</f>
        <v>13</v>
      </c>
      <c r="AF7" s="155"/>
      <c r="AG7" s="127">
        <v>3.8</v>
      </c>
      <c r="AH7" s="113">
        <f>IF((V7+AE7+AF7)&gt;=30,30,(V7+AE7+AF7))</f>
        <v>26.32</v>
      </c>
      <c r="AI7" s="157">
        <v>65</v>
      </c>
      <c r="AJ7" s="113">
        <f>V7+AE7+AF7+AI7+AG7</f>
        <v>95.11999999999999</v>
      </c>
      <c r="AK7" s="113">
        <f>IF(AH7+AI7+AG7&gt;=95,95,AH7+AI7+AG7)</f>
        <v>95</v>
      </c>
      <c r="AL7" s="158">
        <f>-((50-((176+(45+(50-AH7)))))/200)</f>
        <v>0.9734</v>
      </c>
      <c r="AM7" s="159"/>
      <c r="AN7" s="160">
        <f>100%+AM7</f>
        <v>1</v>
      </c>
      <c r="AO7" s="160">
        <f>100%+AN7</f>
        <v>2</v>
      </c>
      <c r="AP7" s="133"/>
      <c r="AQ7" s="134"/>
      <c r="AR7" s="161"/>
      <c r="AS7" s="161"/>
      <c r="AT7" s="161"/>
      <c r="AU7" s="161"/>
      <c r="AV7" s="162"/>
      <c r="AW7" s="137">
        <f>AR7+AS7+AT7+AU7+AV7</f>
        <v>0</v>
      </c>
      <c r="AX7" s="137">
        <f>(AR7*I7)+(AS7*J7)+(AT7*K7)+(AU7*L7)+(AV7*M7)</f>
        <v>0</v>
      </c>
    </row>
    <row r="8" ht="21.95" customHeight="1" spans="1:50" s="97" customFormat="1" x14ac:dyDescent="0.25">
      <c r="A8" s="138" t="s">
        <v>56</v>
      </c>
      <c r="B8" s="139"/>
      <c r="C8" s="139"/>
      <c r="D8" s="139"/>
      <c r="E8" s="139"/>
      <c r="F8" s="139"/>
      <c r="G8" s="139"/>
      <c r="H8" s="140"/>
      <c r="I8" s="142">
        <v>85</v>
      </c>
      <c r="J8" s="142">
        <v>85</v>
      </c>
      <c r="K8" s="142">
        <v>85</v>
      </c>
      <c r="L8" s="142"/>
      <c r="M8" s="142"/>
      <c r="N8" s="170">
        <f>I8*I7+J8*J7+K8*K7+L8*L7+M8*M7</f>
        <v>68.595</v>
      </c>
      <c r="O8" s="144"/>
      <c r="P8" s="145"/>
      <c r="Q8" s="113"/>
      <c r="R8" s="113"/>
      <c r="S8" s="146"/>
      <c r="T8" s="147"/>
      <c r="U8" s="148"/>
      <c r="V8" s="149"/>
      <c r="W8" s="150"/>
      <c r="X8" s="151"/>
      <c r="Y8" s="152"/>
      <c r="Z8" s="151"/>
      <c r="AA8" s="153"/>
      <c r="AB8" s="154"/>
      <c r="AC8" s="149"/>
      <c r="AD8" s="148"/>
      <c r="AE8" s="148"/>
      <c r="AF8" s="155"/>
      <c r="AG8" s="156"/>
      <c r="AH8" s="113"/>
      <c r="AI8" s="157"/>
      <c r="AJ8" s="113"/>
      <c r="AK8" s="113"/>
      <c r="AL8" s="158"/>
      <c r="AM8" s="159"/>
      <c r="AN8" s="160"/>
      <c r="AO8" s="160"/>
      <c r="AP8" s="133"/>
      <c r="AQ8" s="134"/>
      <c r="AR8" s="161"/>
      <c r="AS8" s="161"/>
      <c r="AT8" s="161"/>
      <c r="AU8" s="161"/>
      <c r="AV8" s="162"/>
      <c r="AW8" s="137"/>
      <c r="AX8" s="137"/>
    </row>
    <row r="9" ht="46.5" customHeight="1" spans="1:50" s="97" customFormat="1" x14ac:dyDescent="0.25">
      <c r="A9" s="98">
        <v>3</v>
      </c>
      <c r="B9" s="99"/>
      <c r="C9" s="205" t="s">
        <v>59</v>
      </c>
      <c r="D9" s="102"/>
      <c r="E9" s="102"/>
      <c r="F9" s="163"/>
      <c r="G9" s="103"/>
      <c r="H9" s="171"/>
      <c r="I9" s="166">
        <v>1</v>
      </c>
      <c r="J9" s="107"/>
      <c r="K9" s="107"/>
      <c r="L9" s="167"/>
      <c r="M9" s="168"/>
      <c r="N9" s="169">
        <f>SUM(I9:M9)</f>
        <v>1</v>
      </c>
      <c r="O9" s="144">
        <v>1</v>
      </c>
      <c r="P9" s="112">
        <v>15</v>
      </c>
      <c r="Q9" s="112"/>
      <c r="R9" s="112"/>
      <c r="S9" s="146"/>
      <c r="T9" s="147"/>
      <c r="U9" s="148">
        <f>ROUND(((P9*I9)+(Q9*J9)+(R9*K9)+(S9*L9)+(T9*M9))*O9,2)</f>
        <v>15</v>
      </c>
      <c r="V9" s="149">
        <f>IF(U9&gt;=15,15,U9)</f>
        <v>15</v>
      </c>
      <c r="W9" s="206">
        <v>7038779000</v>
      </c>
      <c r="X9" s="120"/>
      <c r="Y9" s="120"/>
      <c r="Z9" s="151"/>
      <c r="AA9" s="153"/>
      <c r="AB9" s="154">
        <f>ROUND((((W9*I9)+(X9*J9)+(Y9*K9)+(Z9*L9)+(AA9*M9))/$I$2),2)*13</f>
        <v>17.68</v>
      </c>
      <c r="AC9" s="149">
        <f>IF(AB9&gt;=13,13,AB9)</f>
        <v>13</v>
      </c>
      <c r="AD9" s="125">
        <v>2</v>
      </c>
      <c r="AE9" s="148">
        <f>IF((AC9+AD9)&gt;=15,15,(AC9+AD9))</f>
        <v>15</v>
      </c>
      <c r="AF9" s="155"/>
      <c r="AG9" s="127">
        <v>3.8</v>
      </c>
      <c r="AH9" s="113">
        <f>IF((V9+AE9+AF9)&gt;=30,30,(V9+AE9+AF9))</f>
        <v>30</v>
      </c>
      <c r="AI9" s="157">
        <v>65</v>
      </c>
      <c r="AJ9" s="113">
        <f>V9+AE9+AF9+AI9+AG9</f>
        <v>98.8</v>
      </c>
      <c r="AK9" s="113">
        <f>IF(AH9+AI9+AG9&gt;=95,95,AH9+AI9+AG9)</f>
        <v>95</v>
      </c>
      <c r="AL9" s="158">
        <f>-((50-((176+(45+(50-AH9)))))/200)</f>
        <v>0.955</v>
      </c>
      <c r="AM9" s="159"/>
      <c r="AN9" s="160">
        <f>100%+AM9</f>
        <v>1</v>
      </c>
      <c r="AO9" s="160">
        <f>100%+AN9</f>
        <v>2</v>
      </c>
      <c r="AP9" s="133"/>
      <c r="AQ9" s="134"/>
      <c r="AR9" s="161"/>
      <c r="AS9" s="161"/>
      <c r="AT9" s="161"/>
      <c r="AU9" s="161"/>
      <c r="AV9" s="162"/>
      <c r="AW9" s="172">
        <f>AR9+AS9+AT9+AU9+AV9</f>
        <v>0</v>
      </c>
      <c r="AX9" s="172">
        <f>(AR9*I9)+(AS9*J9)+(AT9*K9)+(AU9*L9)+(AV9*M9)</f>
        <v>0</v>
      </c>
    </row>
    <row r="10" ht="21.95" customHeight="1" spans="1:50" s="97" customFormat="1" x14ac:dyDescent="0.25">
      <c r="A10" s="138" t="s">
        <v>56</v>
      </c>
      <c r="B10" s="139"/>
      <c r="C10" s="139"/>
      <c r="D10" s="139"/>
      <c r="E10" s="139"/>
      <c r="F10" s="139"/>
      <c r="G10" s="139"/>
      <c r="H10" s="140"/>
      <c r="I10" s="142">
        <v>85</v>
      </c>
      <c r="J10" s="142"/>
      <c r="K10" s="142"/>
      <c r="L10" s="142"/>
      <c r="M10" s="142"/>
      <c r="N10" s="170">
        <f>I10*I9+J10*J9+K10*K9+L10*L9+M10*M9</f>
        <v>85</v>
      </c>
      <c r="O10" s="144"/>
      <c r="P10" s="145"/>
      <c r="Q10" s="113"/>
      <c r="R10" s="113"/>
      <c r="S10" s="146"/>
      <c r="T10" s="147"/>
      <c r="U10" s="148"/>
      <c r="V10" s="149"/>
      <c r="W10" s="150"/>
      <c r="X10" s="151"/>
      <c r="Y10" s="152"/>
      <c r="Z10" s="151"/>
      <c r="AA10" s="153"/>
      <c r="AB10" s="154"/>
      <c r="AC10" s="149"/>
      <c r="AD10" s="148"/>
      <c r="AE10" s="148"/>
      <c r="AF10" s="155"/>
      <c r="AG10" s="156"/>
      <c r="AH10" s="113"/>
      <c r="AI10" s="157"/>
      <c r="AJ10" s="113"/>
      <c r="AK10" s="113"/>
      <c r="AL10" s="158"/>
      <c r="AM10" s="159"/>
      <c r="AN10" s="160"/>
      <c r="AO10" s="160"/>
      <c r="AP10" s="133"/>
      <c r="AQ10" s="134"/>
      <c r="AR10" s="161"/>
      <c r="AS10" s="161"/>
      <c r="AT10" s="161"/>
      <c r="AU10" s="161"/>
      <c r="AV10" s="162"/>
      <c r="AW10" s="137"/>
      <c r="AX10" s="137"/>
    </row>
    <row r="11" ht="46.5" customHeight="1" spans="1:50" s="97" customFormat="1" x14ac:dyDescent="0.25">
      <c r="A11" s="98">
        <v>4</v>
      </c>
      <c r="B11" s="99"/>
      <c r="C11" s="205" t="s">
        <v>57</v>
      </c>
      <c r="D11" s="102"/>
      <c r="E11" s="100"/>
      <c r="F11" s="163"/>
      <c r="G11" s="103"/>
      <c r="H11" s="171"/>
      <c r="I11" s="166">
        <v>1</v>
      </c>
      <c r="J11" s="175"/>
      <c r="K11" s="107"/>
      <c r="L11" s="176"/>
      <c r="M11" s="168"/>
      <c r="N11" s="169">
        <f>SUM(I11:M11)</f>
        <v>1</v>
      </c>
      <c r="O11" s="144">
        <v>1</v>
      </c>
      <c r="P11" s="112">
        <v>15</v>
      </c>
      <c r="Q11" s="178"/>
      <c r="R11" s="178"/>
      <c r="S11" s="113"/>
      <c r="T11" s="147"/>
      <c r="U11" s="148">
        <f>ROUND(((P11*I11)+(Q11*J11)+(R11*K11)+(S11*L11)+(T11*M11))*O11,2)</f>
        <v>15</v>
      </c>
      <c r="V11" s="149">
        <f>IF(U11&gt;=15,15,U11)</f>
        <v>15</v>
      </c>
      <c r="W11" s="206">
        <v>15563060000</v>
      </c>
      <c r="X11" s="120"/>
      <c r="Y11" s="120"/>
      <c r="Z11" s="151"/>
      <c r="AA11" s="153"/>
      <c r="AB11" s="154">
        <f>ROUND((((W11*I11)+(X11*J11)+(Y11*K11)+(Z11*L11)+(AA11*M11))/$I$2),2)*13</f>
        <v>39.26</v>
      </c>
      <c r="AC11" s="149">
        <f>IF(AB11&gt;=13,13,AB11)</f>
        <v>13</v>
      </c>
      <c r="AD11" s="125">
        <v>2</v>
      </c>
      <c r="AE11" s="148">
        <f>IF((AC11+AD11)&gt;=15,15,(AC11+AD11))</f>
        <v>15</v>
      </c>
      <c r="AF11" s="207"/>
      <c r="AG11" s="127">
        <v>3.8</v>
      </c>
      <c r="AH11" s="113">
        <f>IF((V11+AE11+AF11)&gt;=30,30,(V11+AE11+AF11))</f>
        <v>30</v>
      </c>
      <c r="AI11" s="157">
        <v>65</v>
      </c>
      <c r="AJ11" s="113">
        <f>V11+AE11+AF11+AI11+AG11</f>
        <v>98.8</v>
      </c>
      <c r="AK11" s="113">
        <f>IF(AH11+AI11+AG11&gt;=95,95,AH11+AI11+AG11)</f>
        <v>95</v>
      </c>
      <c r="AL11" s="158">
        <f>-((50-((176+(45+(50-AH11)))))/200)</f>
        <v>0.955</v>
      </c>
      <c r="AM11" s="159"/>
      <c r="AN11" s="160">
        <f>100%+AM11</f>
        <v>1</v>
      </c>
      <c r="AO11" s="160">
        <f>100%+AN11</f>
        <v>2</v>
      </c>
      <c r="AP11" s="133"/>
      <c r="AQ11" s="134"/>
      <c r="AR11" s="161"/>
      <c r="AS11" s="161"/>
      <c r="AT11" s="161"/>
      <c r="AU11" s="161"/>
      <c r="AV11" s="162"/>
      <c r="AW11" s="137">
        <f>AR11+AS11+AT11+AU11+AV11</f>
        <v>0</v>
      </c>
      <c r="AX11" s="137">
        <f>(AR11*I11)+(AS11*J11)+(AT11*K11)+(AU11*L11)+(AV11*M11)</f>
        <v>0</v>
      </c>
    </row>
    <row r="12" ht="21.95" customHeight="1" spans="1:50" s="97" customFormat="1" x14ac:dyDescent="0.25">
      <c r="A12" s="138" t="s">
        <v>56</v>
      </c>
      <c r="B12" s="139"/>
      <c r="C12" s="139"/>
      <c r="D12" s="139"/>
      <c r="E12" s="139"/>
      <c r="F12" s="139"/>
      <c r="G12" s="139"/>
      <c r="H12" s="140"/>
      <c r="I12" s="181">
        <v>85</v>
      </c>
      <c r="J12" s="142"/>
      <c r="K12" s="142"/>
      <c r="L12" s="142"/>
      <c r="M12" s="142"/>
      <c r="N12" s="170">
        <f>I12*I11+J12*J11+K12*K11+L12*L11+M12*M11</f>
        <v>85</v>
      </c>
      <c r="O12" s="144"/>
      <c r="P12" s="145"/>
      <c r="Q12" s="113"/>
      <c r="R12" s="113"/>
      <c r="S12" s="146"/>
      <c r="T12" s="147"/>
      <c r="U12" s="148"/>
      <c r="V12" s="149"/>
      <c r="W12" s="150"/>
      <c r="X12" s="151"/>
      <c r="Y12" s="152"/>
      <c r="Z12" s="151"/>
      <c r="AA12" s="153"/>
      <c r="AB12" s="154"/>
      <c r="AC12" s="149"/>
      <c r="AD12" s="148"/>
      <c r="AE12" s="148"/>
      <c r="AF12" s="155"/>
      <c r="AG12" s="156"/>
      <c r="AH12" s="113"/>
      <c r="AI12" s="157"/>
      <c r="AJ12" s="113"/>
      <c r="AK12" s="113"/>
      <c r="AL12" s="158"/>
      <c r="AM12" s="159"/>
      <c r="AN12" s="160"/>
      <c r="AO12" s="160"/>
      <c r="AP12" s="133"/>
      <c r="AQ12" s="134"/>
      <c r="AR12" s="161"/>
      <c r="AS12" s="161"/>
      <c r="AT12" s="161"/>
      <c r="AU12" s="161"/>
      <c r="AV12" s="162"/>
      <c r="AW12" s="137"/>
      <c r="AX12" s="137"/>
    </row>
    <row r="13" ht="46.5" customHeight="1" spans="1:50" s="97" customFormat="1" x14ac:dyDescent="0.25">
      <c r="A13" s="98">
        <v>5</v>
      </c>
      <c r="B13" s="99"/>
      <c r="C13" s="205" t="s">
        <v>63</v>
      </c>
      <c r="D13" s="100"/>
      <c r="E13" s="100"/>
      <c r="F13" s="163"/>
      <c r="G13" s="103"/>
      <c r="H13" s="182"/>
      <c r="I13" s="166">
        <v>1</v>
      </c>
      <c r="J13" s="107"/>
      <c r="K13" s="107"/>
      <c r="L13" s="167"/>
      <c r="M13" s="168"/>
      <c r="N13" s="169">
        <f>SUM(I13:M13)</f>
        <v>1</v>
      </c>
      <c r="O13" s="144">
        <v>1</v>
      </c>
      <c r="P13" s="112">
        <v>15</v>
      </c>
      <c r="Q13" s="178"/>
      <c r="R13" s="112"/>
      <c r="S13" s="146"/>
      <c r="T13" s="120"/>
      <c r="U13" s="148">
        <f>ROUND(((P13*I13)+(Q13*J13)+(R13*K13)+(S13*L13)+(T13*M13))*O13,2)</f>
        <v>15</v>
      </c>
      <c r="V13" s="149">
        <f>IF(U13&gt;=15,15,U13)</f>
        <v>15</v>
      </c>
      <c r="W13" s="206">
        <v>11716746000</v>
      </c>
      <c r="X13" s="120"/>
      <c r="Y13" s="183"/>
      <c r="Z13" s="151"/>
      <c r="AA13" s="153"/>
      <c r="AB13" s="154">
        <f>ROUND((((W13*I13)+(X13*J13)+(Y13*K13)+(Z13*L13)+(AA13*M13))/$I$2),2)*13</f>
        <v>29.51</v>
      </c>
      <c r="AC13" s="149">
        <f>IF(AB13&gt;=13,13,AB13)</f>
        <v>13</v>
      </c>
      <c r="AD13" s="125">
        <v>2</v>
      </c>
      <c r="AE13" s="148">
        <f>IF((AC13+AD13)&gt;=15,15,(AC13+AD13))</f>
        <v>15</v>
      </c>
      <c r="AF13" s="207"/>
      <c r="AG13" s="127">
        <v>3.8</v>
      </c>
      <c r="AH13" s="113">
        <f>IF((V13+AE13+AF13)&gt;=30,30,(V13+AE13+AF13))</f>
        <v>30</v>
      </c>
      <c r="AI13" s="157">
        <v>65</v>
      </c>
      <c r="AJ13" s="113">
        <f>V13+AE13+AF13+AI13+AG13</f>
        <v>98.8</v>
      </c>
      <c r="AK13" s="113">
        <f>IF(AH13+AI13+AG13&gt;=95,95,AH13+AI13+AG13)</f>
        <v>95</v>
      </c>
      <c r="AL13" s="158">
        <f>-((50-((176+(45+(50-AH13)))))/200)</f>
        <v>0.955</v>
      </c>
      <c r="AM13" s="159"/>
      <c r="AN13" s="160">
        <f>100%+AM13</f>
        <v>1</v>
      </c>
      <c r="AO13" s="160">
        <f>100%+AN13</f>
        <v>2</v>
      </c>
      <c r="AP13" s="133"/>
      <c r="AQ13" s="134"/>
      <c r="AR13" s="161"/>
      <c r="AS13" s="161"/>
      <c r="AT13" s="161"/>
      <c r="AU13" s="161"/>
      <c r="AV13" s="162"/>
      <c r="AW13" s="137">
        <f>AR13+AS13+AT13+AU13+AV13</f>
        <v>0</v>
      </c>
      <c r="AX13" s="137">
        <f>(AR13*I13)+(AS13*J13)+(AT13*K13)+(AU13*L13)+(AV13*M13)</f>
        <v>0</v>
      </c>
    </row>
    <row r="14" ht="21.95" customHeight="1" spans="1:50" s="97" customFormat="1" x14ac:dyDescent="0.25">
      <c r="A14" s="138" t="s">
        <v>56</v>
      </c>
      <c r="B14" s="139"/>
      <c r="C14" s="139"/>
      <c r="D14" s="139"/>
      <c r="E14" s="139"/>
      <c r="F14" s="139"/>
      <c r="G14" s="139"/>
      <c r="H14" s="140"/>
      <c r="I14" s="142">
        <v>85</v>
      </c>
      <c r="J14" s="142"/>
      <c r="K14" s="142"/>
      <c r="L14" s="142"/>
      <c r="M14" s="142"/>
      <c r="N14" s="170">
        <f>I14*I13+J14*J13+K14*K13+L14*L13+M14*M13</f>
        <v>85</v>
      </c>
      <c r="O14" s="144"/>
      <c r="P14" s="145"/>
      <c r="Q14" s="113"/>
      <c r="R14" s="113"/>
      <c r="S14" s="146"/>
      <c r="T14" s="147"/>
      <c r="U14" s="148"/>
      <c r="V14" s="149"/>
      <c r="W14" s="150"/>
      <c r="X14" s="151"/>
      <c r="Y14" s="152"/>
      <c r="Z14" s="151"/>
      <c r="AA14" s="153"/>
      <c r="AB14" s="154"/>
      <c r="AC14" s="149"/>
      <c r="AD14" s="148"/>
      <c r="AE14" s="148"/>
      <c r="AF14" s="155"/>
      <c r="AG14" s="156"/>
      <c r="AH14" s="113"/>
      <c r="AI14" s="157"/>
      <c r="AJ14" s="113"/>
      <c r="AK14" s="113"/>
      <c r="AL14" s="158"/>
      <c r="AM14" s="159"/>
      <c r="AN14" s="160"/>
      <c r="AO14" s="160"/>
      <c r="AP14" s="133"/>
      <c r="AQ14" s="134"/>
      <c r="AR14" s="161"/>
      <c r="AS14" s="161"/>
      <c r="AT14" s="161"/>
      <c r="AU14" s="161"/>
      <c r="AV14" s="162"/>
      <c r="AW14" s="137"/>
      <c r="AX14" s="137"/>
    </row>
    <row r="15" ht="46.5" customHeight="1" spans="1:50" s="97" customFormat="1" x14ac:dyDescent="0.25">
      <c r="A15" s="98">
        <v>6</v>
      </c>
      <c r="B15" s="99"/>
      <c r="C15" s="209" t="s">
        <v>128</v>
      </c>
      <c r="D15" s="174" t="s">
        <v>94</v>
      </c>
      <c r="E15" s="100"/>
      <c r="F15" s="100"/>
      <c r="G15" s="103"/>
      <c r="H15" s="231" t="s">
        <v>129</v>
      </c>
      <c r="I15" s="232">
        <v>0.5047</v>
      </c>
      <c r="J15" s="107">
        <v>0.49</v>
      </c>
      <c r="K15" s="107"/>
      <c r="L15" s="167"/>
      <c r="M15" s="168"/>
      <c r="N15" s="230">
        <f>SUM(I15:M15)</f>
        <v>0.9947</v>
      </c>
      <c r="O15" s="144">
        <v>1</v>
      </c>
      <c r="P15" s="112">
        <v>15</v>
      </c>
      <c r="Q15" s="112">
        <v>15</v>
      </c>
      <c r="R15" s="184"/>
      <c r="S15" s="146"/>
      <c r="T15" s="147"/>
      <c r="U15" s="148">
        <f>ROUND(((P15*I15)+(Q15*J15)+(R15*K15)+(S15*L15)+(T15*M15))*O15,2)</f>
        <v>14.92</v>
      </c>
      <c r="V15" s="149">
        <f>IF(U15&gt;=15,15,U15)</f>
        <v>14.92</v>
      </c>
      <c r="W15" s="211">
        <v>7643696000</v>
      </c>
      <c r="X15" s="211">
        <v>14294711000</v>
      </c>
      <c r="Y15" s="120"/>
      <c r="Z15" s="151"/>
      <c r="AA15" s="153"/>
      <c r="AB15" s="154">
        <f>ROUND((((W15*I15)+(X15*J15)+(Y15*K15)+(Z15*L15)+(AA15*M15))/$I$2),2)*13</f>
        <v>27.3</v>
      </c>
      <c r="AC15" s="149">
        <f>IF(AB15&gt;=13,13,AB15)</f>
        <v>13</v>
      </c>
      <c r="AD15" s="125">
        <v>1.5</v>
      </c>
      <c r="AE15" s="148">
        <f>IF((AC15+AD15)&gt;=15,15,(AC15+AD15))</f>
        <v>14.5</v>
      </c>
      <c r="AF15" s="155"/>
      <c r="AG15" s="127">
        <v>3.8</v>
      </c>
      <c r="AH15" s="113">
        <f>IF((V15+AE15+AF15)&gt;=30,30,(V15+AE15+AF15))</f>
        <v>29.42</v>
      </c>
      <c r="AI15" s="157">
        <v>65</v>
      </c>
      <c r="AJ15" s="113">
        <f>V15+AE15+AF15+AI15+AG15</f>
        <v>98.22</v>
      </c>
      <c r="AK15" s="113">
        <f>IF(AH15+AI15+AG15&gt;=95,95,AH15+AI15+AG15)</f>
        <v>95</v>
      </c>
      <c r="AL15" s="158">
        <f>-((50-((176+(45+(50-AH15)))))/200)</f>
        <v>0.9579</v>
      </c>
      <c r="AM15" s="159"/>
      <c r="AN15" s="160">
        <f>100%+AM15</f>
        <v>1</v>
      </c>
      <c r="AO15" s="160">
        <f>100%+AN15</f>
        <v>2</v>
      </c>
      <c r="AP15" s="133"/>
      <c r="AQ15" s="134"/>
      <c r="AR15" s="161"/>
      <c r="AS15" s="161"/>
      <c r="AT15" s="161"/>
      <c r="AU15" s="161"/>
      <c r="AV15" s="162"/>
      <c r="AW15" s="137">
        <f>AR15+AS15+AT15+AU15+AV15</f>
        <v>0</v>
      </c>
      <c r="AX15" s="137">
        <f>(AR15*I15)+(AS15*J15)+(AT15*K15)+(AU15*L15)+(AV15*M15)</f>
        <v>0</v>
      </c>
    </row>
    <row r="16" ht="21.95" customHeight="1" spans="1:50" s="97" customFormat="1" x14ac:dyDescent="0.25">
      <c r="A16" s="138" t="s">
        <v>56</v>
      </c>
      <c r="B16" s="139"/>
      <c r="C16" s="139"/>
      <c r="D16" s="139"/>
      <c r="E16" s="139"/>
      <c r="F16" s="139"/>
      <c r="G16" s="139"/>
      <c r="H16" s="140"/>
      <c r="I16" s="181">
        <v>85</v>
      </c>
      <c r="J16" s="142">
        <v>85</v>
      </c>
      <c r="K16" s="142"/>
      <c r="L16" s="142"/>
      <c r="M16" s="142"/>
      <c r="N16" s="170">
        <f>I16*I15+J16*J15+K16*K15+L16*L15+M16*M15</f>
        <v>84.5495</v>
      </c>
      <c r="O16" s="144"/>
      <c r="P16" s="145"/>
      <c r="Q16" s="113"/>
      <c r="R16" s="113"/>
      <c r="S16" s="146"/>
      <c r="T16" s="147"/>
      <c r="U16" s="148"/>
      <c r="V16" s="149"/>
      <c r="W16" s="150"/>
      <c r="X16" s="151"/>
      <c r="Y16" s="152"/>
      <c r="Z16" s="151"/>
      <c r="AA16" s="153"/>
      <c r="AB16" s="154"/>
      <c r="AC16" s="149"/>
      <c r="AD16" s="148"/>
      <c r="AE16" s="148"/>
      <c r="AF16" s="155"/>
      <c r="AG16" s="156"/>
      <c r="AH16" s="113"/>
      <c r="AI16" s="157"/>
      <c r="AJ16" s="113"/>
      <c r="AK16" s="113"/>
      <c r="AL16" s="158"/>
      <c r="AM16" s="159"/>
      <c r="AN16" s="160"/>
      <c r="AO16" s="160"/>
      <c r="AP16" s="133"/>
      <c r="AQ16" s="134"/>
      <c r="AR16" s="161"/>
      <c r="AS16" s="161"/>
      <c r="AT16" s="161"/>
      <c r="AU16" s="161"/>
      <c r="AV16" s="162"/>
      <c r="AW16" s="137"/>
      <c r="AX16" s="137"/>
    </row>
    <row r="17" ht="46.5" customHeight="1" spans="1:50" s="97" customFormat="1" x14ac:dyDescent="0.25">
      <c r="A17" s="98">
        <v>7</v>
      </c>
      <c r="B17" s="99"/>
      <c r="C17" s="100" t="s">
        <v>130</v>
      </c>
      <c r="D17" s="174" t="s">
        <v>131</v>
      </c>
      <c r="E17" s="100"/>
      <c r="F17" s="100"/>
      <c r="G17" s="103"/>
      <c r="H17" s="171" t="s">
        <v>132</v>
      </c>
      <c r="I17" s="166">
        <v>0.6</v>
      </c>
      <c r="J17" s="226">
        <v>0.305</v>
      </c>
      <c r="K17" s="107"/>
      <c r="L17" s="167"/>
      <c r="M17" s="168"/>
      <c r="N17" s="230">
        <f>SUM(I17:M17)</f>
        <v>0.905</v>
      </c>
      <c r="O17" s="144">
        <v>1</v>
      </c>
      <c r="P17" s="112">
        <v>15</v>
      </c>
      <c r="Q17" s="112">
        <v>15</v>
      </c>
      <c r="R17" s="113"/>
      <c r="S17" s="146"/>
      <c r="T17" s="147"/>
      <c r="U17" s="148">
        <f>ROUND(((P17*I17)+(Q17*J17)+(R17*K17)+(S17*L17)+(T17*M17))*O17,2)</f>
        <v>13.58</v>
      </c>
      <c r="V17" s="149">
        <f>IF(U17&gt;=15,15,U17)</f>
        <v>13.58</v>
      </c>
      <c r="W17" s="211">
        <v>129427822000</v>
      </c>
      <c r="X17" s="211">
        <v>2682494000</v>
      </c>
      <c r="Y17" s="120"/>
      <c r="Z17" s="151"/>
      <c r="AA17" s="153"/>
      <c r="AB17" s="154">
        <f>ROUND((((W17*I17)+(X17*J17)+(Y17*K17)+(Z17*L17)+(AA17*M17))/$I$2),2)*13</f>
        <v>197.6</v>
      </c>
      <c r="AC17" s="149">
        <f>IF(AB17&gt;=13,13,AB17)</f>
        <v>13</v>
      </c>
      <c r="AD17" s="125">
        <v>0</v>
      </c>
      <c r="AE17" s="148">
        <f>IF((AC17+AD17)&gt;=15,15,(AC17+AD17))</f>
        <v>13</v>
      </c>
      <c r="AF17" s="156"/>
      <c r="AG17" s="127">
        <v>3.8</v>
      </c>
      <c r="AH17" s="113">
        <f>IF((V17+AE17+AF17)&gt;=30,30,(V17+AE17+AF17))</f>
        <v>26.58</v>
      </c>
      <c r="AI17" s="157">
        <v>65</v>
      </c>
      <c r="AJ17" s="113">
        <f>V17+AE17+AF17+AI17+AG17</f>
        <v>95.38</v>
      </c>
      <c r="AK17" s="113">
        <f>IF(AH17+AI17+AG17&gt;=95,95,AH17+AI17+AG17)</f>
        <v>95</v>
      </c>
      <c r="AL17" s="158">
        <f>-((50-((176+(45+(50-AH17)))))/200)</f>
        <v>0.9721000000000001</v>
      </c>
      <c r="AM17" s="159"/>
      <c r="AN17" s="160">
        <f>100%+AM17</f>
        <v>1</v>
      </c>
      <c r="AO17" s="160">
        <f>100%+AN17</f>
        <v>2</v>
      </c>
      <c r="AP17" s="133"/>
      <c r="AQ17" s="134"/>
      <c r="AR17" s="161"/>
      <c r="AS17" s="161"/>
      <c r="AT17" s="161"/>
      <c r="AU17" s="161"/>
      <c r="AV17" s="162"/>
      <c r="AW17" s="137">
        <f>AR17+AS17+AT17+AU17+AV17</f>
        <v>0</v>
      </c>
      <c r="AX17" s="137">
        <f>(AR17*I17)+(AS17*J17)+(AT17*K17)+(AU17*L17)+(AV17*M17)</f>
        <v>0</v>
      </c>
    </row>
    <row r="18" ht="21.95" customHeight="1" spans="1:50" s="97" customFormat="1" x14ac:dyDescent="0.25">
      <c r="A18" s="138" t="s">
        <v>56</v>
      </c>
      <c r="B18" s="139"/>
      <c r="C18" s="139"/>
      <c r="D18" s="139"/>
      <c r="E18" s="139"/>
      <c r="F18" s="139"/>
      <c r="G18" s="139"/>
      <c r="H18" s="140"/>
      <c r="I18" s="181">
        <v>85</v>
      </c>
      <c r="J18" s="142">
        <v>85</v>
      </c>
      <c r="K18" s="142"/>
      <c r="L18" s="142"/>
      <c r="M18" s="142"/>
      <c r="N18" s="170">
        <f>I18*I17+J18*J17+K18*K17+L18*L17+M18*M17</f>
        <v>76.925</v>
      </c>
      <c r="O18" s="144"/>
      <c r="P18" s="145"/>
      <c r="Q18" s="113"/>
      <c r="R18" s="113"/>
      <c r="S18" s="146"/>
      <c r="T18" s="147"/>
      <c r="U18" s="148"/>
      <c r="V18" s="149"/>
      <c r="W18" s="150"/>
      <c r="X18" s="151"/>
      <c r="Y18" s="152"/>
      <c r="Z18" s="151"/>
      <c r="AA18" s="153"/>
      <c r="AB18" s="154"/>
      <c r="AC18" s="149"/>
      <c r="AD18" s="148"/>
      <c r="AE18" s="148"/>
      <c r="AF18" s="155"/>
      <c r="AG18" s="156"/>
      <c r="AH18" s="113"/>
      <c r="AI18" s="157"/>
      <c r="AJ18" s="113"/>
      <c r="AK18" s="113"/>
      <c r="AL18" s="158"/>
      <c r="AM18" s="159"/>
      <c r="AN18" s="160"/>
      <c r="AO18" s="160"/>
      <c r="AP18" s="133"/>
      <c r="AQ18" s="134"/>
      <c r="AR18" s="161"/>
      <c r="AS18" s="161"/>
      <c r="AT18" s="161"/>
      <c r="AU18" s="161"/>
      <c r="AV18" s="162"/>
      <c r="AW18" s="137"/>
      <c r="AX18" s="137"/>
    </row>
    <row r="19" ht="46.5" customHeight="1" spans="1:50" s="97" customFormat="1" x14ac:dyDescent="0.25">
      <c r="A19" s="98">
        <v>8</v>
      </c>
      <c r="B19" s="99"/>
      <c r="C19" s="212" t="s">
        <v>133</v>
      </c>
      <c r="D19" s="174" t="s">
        <v>134</v>
      </c>
      <c r="E19" s="100"/>
      <c r="F19" s="100"/>
      <c r="G19" s="103"/>
      <c r="H19" s="233" t="s">
        <v>135</v>
      </c>
      <c r="I19" s="166">
        <v>0.7</v>
      </c>
      <c r="J19" s="226">
        <v>0.194</v>
      </c>
      <c r="K19" s="107"/>
      <c r="L19" s="167"/>
      <c r="M19" s="168"/>
      <c r="N19" s="230">
        <f>SUM(I19:M19)</f>
        <v>0.8939999999999999</v>
      </c>
      <c r="O19" s="144">
        <v>1</v>
      </c>
      <c r="P19" s="112">
        <v>15</v>
      </c>
      <c r="Q19" s="112">
        <v>15</v>
      </c>
      <c r="R19" s="184"/>
      <c r="S19" s="146"/>
      <c r="T19" s="147"/>
      <c r="U19" s="148">
        <f>ROUND(((P19*I19)+(Q19*J19)+(R19*K19)+(S19*L19)+(T19*M19))*O19,2)</f>
        <v>13.41</v>
      </c>
      <c r="V19" s="149">
        <f>IF(U19&gt;=15,15,U19)</f>
        <v>13.41</v>
      </c>
      <c r="W19" s="211">
        <v>109829864000</v>
      </c>
      <c r="X19" s="211">
        <v>483084000</v>
      </c>
      <c r="Y19" s="120"/>
      <c r="Z19" s="151"/>
      <c r="AA19" s="153"/>
      <c r="AB19" s="154">
        <f>ROUND((((W19*I19)+(X19*J19)+(Y19*K19)+(Z19*L19)+(AA19*M19))/$I$2),2)*13</f>
        <v>193.83</v>
      </c>
      <c r="AC19" s="149">
        <f>IF(AB19&gt;=13,13,AB19)</f>
        <v>13</v>
      </c>
      <c r="AD19" s="125">
        <v>0</v>
      </c>
      <c r="AE19" s="148">
        <f>IF((AC19+AD19)&gt;=15,15,(AC19+AD19))</f>
        <v>13</v>
      </c>
      <c r="AF19" s="156"/>
      <c r="AG19" s="127">
        <v>3.8</v>
      </c>
      <c r="AH19" s="113">
        <f>IF((V19+AE19+AF19)&gt;=30,30,(V19+AE19+AF19))</f>
        <v>26.41</v>
      </c>
      <c r="AI19" s="157">
        <v>65</v>
      </c>
      <c r="AJ19" s="113">
        <f>V19+AE19+AF19+AI19+AG19</f>
        <v>95.21</v>
      </c>
      <c r="AK19" s="113">
        <f>IF(AH19+AI19+AG19&gt;=95,95,AH19+AI19+AG19)</f>
        <v>95</v>
      </c>
      <c r="AL19" s="158">
        <f>-((50-((176+(45+(50-AH19)))))/200)</f>
        <v>0.97295</v>
      </c>
      <c r="AM19" s="159"/>
      <c r="AN19" s="160">
        <f>100%+AM19</f>
        <v>1</v>
      </c>
      <c r="AO19" s="160">
        <f>100%+AN19</f>
        <v>2</v>
      </c>
      <c r="AP19" s="133"/>
      <c r="AQ19" s="134"/>
      <c r="AR19" s="161"/>
      <c r="AS19" s="161"/>
      <c r="AT19" s="161"/>
      <c r="AU19" s="161"/>
      <c r="AV19" s="162"/>
      <c r="AW19" s="137">
        <f>AR19+AS19+AT19+AU19+AV19</f>
        <v>0</v>
      </c>
      <c r="AX19" s="137">
        <f>(AR19*I19)+(AS19*J19)+(AT19*K19)+(AU19*L19)+(AV19*M19)</f>
        <v>0</v>
      </c>
    </row>
    <row r="20" ht="21.95" customHeight="1" spans="1:50" s="97" customFormat="1" x14ac:dyDescent="0.25">
      <c r="A20" s="138" t="s">
        <v>56</v>
      </c>
      <c r="B20" s="139"/>
      <c r="C20" s="139"/>
      <c r="D20" s="139"/>
      <c r="E20" s="139"/>
      <c r="F20" s="139"/>
      <c r="G20" s="139"/>
      <c r="H20" s="140"/>
      <c r="I20" s="142">
        <v>85</v>
      </c>
      <c r="J20" s="142">
        <v>85</v>
      </c>
      <c r="K20" s="142"/>
      <c r="L20" s="142"/>
      <c r="M20" s="142"/>
      <c r="N20" s="170">
        <f>I20*I19+J20*J19+K20*K19+L20*L19+M20*M19</f>
        <v>75.99</v>
      </c>
      <c r="O20" s="144"/>
      <c r="P20" s="145"/>
      <c r="Q20" s="113"/>
      <c r="R20" s="113"/>
      <c r="S20" s="146"/>
      <c r="T20" s="147"/>
      <c r="U20" s="148"/>
      <c r="V20" s="149"/>
      <c r="W20" s="150"/>
      <c r="X20" s="151"/>
      <c r="Y20" s="152"/>
      <c r="Z20" s="151"/>
      <c r="AA20" s="153"/>
      <c r="AB20" s="154"/>
      <c r="AC20" s="149"/>
      <c r="AD20" s="148"/>
      <c r="AE20" s="148"/>
      <c r="AF20" s="155"/>
      <c r="AG20" s="156"/>
      <c r="AH20" s="113"/>
      <c r="AI20" s="157"/>
      <c r="AJ20" s="113"/>
      <c r="AK20" s="113"/>
      <c r="AL20" s="158"/>
      <c r="AM20" s="159"/>
      <c r="AN20" s="160"/>
      <c r="AO20" s="160"/>
      <c r="AP20" s="133"/>
      <c r="AQ20" s="134"/>
      <c r="AR20" s="161"/>
      <c r="AS20" s="161"/>
      <c r="AT20" s="161"/>
      <c r="AU20" s="161"/>
      <c r="AV20" s="162"/>
      <c r="AW20" s="137"/>
      <c r="AX20" s="137"/>
    </row>
    <row r="21" ht="46.5" customHeight="1" spans="1:50" s="97" customFormat="1" x14ac:dyDescent="0.25">
      <c r="A21" s="98">
        <v>9</v>
      </c>
      <c r="B21" s="99"/>
      <c r="C21" s="209" t="s">
        <v>136</v>
      </c>
      <c r="D21" s="234" t="s">
        <v>137</v>
      </c>
      <c r="E21" s="174" t="s">
        <v>138</v>
      </c>
      <c r="F21" s="100"/>
      <c r="G21" s="103"/>
      <c r="H21" s="233" t="s">
        <v>139</v>
      </c>
      <c r="I21" s="166">
        <v>0.6</v>
      </c>
      <c r="J21" s="226">
        <v>0.107</v>
      </c>
      <c r="K21" s="107">
        <v>0.25</v>
      </c>
      <c r="L21" s="107"/>
      <c r="M21" s="187"/>
      <c r="N21" s="230">
        <f>SUM(I21:M21)</f>
        <v>0.957</v>
      </c>
      <c r="O21" s="144">
        <v>1</v>
      </c>
      <c r="P21" s="112">
        <v>15</v>
      </c>
      <c r="Q21" s="112">
        <v>15</v>
      </c>
      <c r="R21" s="113">
        <v>15</v>
      </c>
      <c r="S21" s="113"/>
      <c r="T21" s="146"/>
      <c r="U21" s="148">
        <f>ROUND(((P21*I21)+(Q21*J21)+(R21*K21)+(S21*L21)+(T21*M21))*O21,2)</f>
        <v>14.36</v>
      </c>
      <c r="V21" s="149">
        <f>IF(U21&gt;=15,15,U21)</f>
        <v>14.36</v>
      </c>
      <c r="W21" s="235">
        <v>14559047000</v>
      </c>
      <c r="X21" s="236">
        <v>517643000</v>
      </c>
      <c r="Y21" s="211">
        <v>6158057000</v>
      </c>
      <c r="Z21" s="211"/>
      <c r="AA21" s="153"/>
      <c r="AB21" s="154">
        <f>ROUND((((W21*I21)+(X21*J21)+(Y21*K21)+(Z21*L21)+(AA21*M21))/$I$2),2)*13</f>
        <v>26</v>
      </c>
      <c r="AC21" s="149">
        <f>IF(AB21&gt;=13,13,AB21)</f>
        <v>13</v>
      </c>
      <c r="AD21" s="125">
        <v>1</v>
      </c>
      <c r="AE21" s="148">
        <f>IF((AC21+AD21)&gt;=15,15,(AC21+AD21))</f>
        <v>14</v>
      </c>
      <c r="AF21" s="156"/>
      <c r="AG21" s="127">
        <v>3.8</v>
      </c>
      <c r="AH21" s="113">
        <f>IF((V21+AE21+AF21)&gt;=30,30,(V21+AE21+AF21))</f>
        <v>28.36</v>
      </c>
      <c r="AI21" s="157">
        <v>65</v>
      </c>
      <c r="AJ21" s="113">
        <f>V21+AE21+AF21+AI21+AG21</f>
        <v>97.16</v>
      </c>
      <c r="AK21" s="113">
        <f>IF(AH21+AI21+AG21&gt;=95,95,AH21+AI21+AG21)</f>
        <v>95</v>
      </c>
      <c r="AL21" s="158">
        <f>-((50-((176+(45+(50-AH21)))))/200)</f>
        <v>0.9632</v>
      </c>
      <c r="AM21" s="159"/>
      <c r="AN21" s="160">
        <f>100%+AM21</f>
        <v>1</v>
      </c>
      <c r="AO21" s="160">
        <f>100%+AN21</f>
        <v>2</v>
      </c>
      <c r="AP21" s="133"/>
      <c r="AQ21" s="134"/>
      <c r="AR21" s="161"/>
      <c r="AS21" s="161"/>
      <c r="AT21" s="161"/>
      <c r="AU21" s="161"/>
      <c r="AV21" s="162"/>
      <c r="AW21" s="137">
        <f>AR21+AS21+AT21+AU21+AV21</f>
        <v>0</v>
      </c>
      <c r="AX21" s="137">
        <f>(AR21*I21)+(AS21*J21)+(AT21*K21)+(AU21*L21)+(AV21*M21)</f>
        <v>0</v>
      </c>
    </row>
    <row r="22" ht="21.95" customHeight="1" spans="1:50" s="97" customFormat="1" x14ac:dyDescent="0.25">
      <c r="A22" s="138" t="s">
        <v>56</v>
      </c>
      <c r="B22" s="139"/>
      <c r="C22" s="139"/>
      <c r="D22" s="139"/>
      <c r="E22" s="139"/>
      <c r="F22" s="139"/>
      <c r="G22" s="139"/>
      <c r="H22" s="140"/>
      <c r="I22" s="142">
        <v>85</v>
      </c>
      <c r="J22" s="142">
        <v>85</v>
      </c>
      <c r="K22" s="142">
        <v>85</v>
      </c>
      <c r="L22" s="142"/>
      <c r="M22" s="142"/>
      <c r="N22" s="170">
        <f>I22*I21+J22*J21+K22*K21+L22*L21+M22*M21</f>
        <v>81.345</v>
      </c>
      <c r="O22" s="144"/>
      <c r="P22" s="145"/>
      <c r="Q22" s="113"/>
      <c r="R22" s="113"/>
      <c r="S22" s="146"/>
      <c r="T22" s="147"/>
      <c r="U22" s="148"/>
      <c r="V22" s="149"/>
      <c r="W22" s="150"/>
      <c r="X22" s="151"/>
      <c r="Y22" s="152"/>
      <c r="Z22" s="151"/>
      <c r="AA22" s="153"/>
      <c r="AB22" s="154"/>
      <c r="AC22" s="149"/>
      <c r="AD22" s="148"/>
      <c r="AE22" s="148"/>
      <c r="AF22" s="155"/>
      <c r="AG22" s="156"/>
      <c r="AH22" s="113"/>
      <c r="AI22" s="157"/>
      <c r="AJ22" s="113"/>
      <c r="AK22" s="113"/>
      <c r="AL22" s="158"/>
      <c r="AM22" s="159"/>
      <c r="AN22" s="160"/>
      <c r="AO22" s="160"/>
      <c r="AP22" s="133"/>
      <c r="AQ22" s="134"/>
      <c r="AR22" s="161"/>
      <c r="AS22" s="161"/>
      <c r="AT22" s="161"/>
      <c r="AU22" s="161"/>
      <c r="AV22" s="162"/>
      <c r="AW22" s="137"/>
      <c r="AX22" s="137"/>
    </row>
    <row r="23" ht="46.5" customHeight="1" spans="1:50" s="97" customFormat="1" x14ac:dyDescent="0.25">
      <c r="A23" s="98">
        <v>10</v>
      </c>
      <c r="B23" s="99"/>
      <c r="C23" s="212" t="s">
        <v>140</v>
      </c>
      <c r="D23" s="101" t="s">
        <v>141</v>
      </c>
      <c r="E23" s="100"/>
      <c r="F23" s="100"/>
      <c r="G23" s="103"/>
      <c r="H23" s="233" t="s">
        <v>142</v>
      </c>
      <c r="I23" s="166">
        <v>0.7</v>
      </c>
      <c r="J23" s="226">
        <v>0.19</v>
      </c>
      <c r="K23" s="191"/>
      <c r="L23" s="107"/>
      <c r="M23" s="187"/>
      <c r="N23" s="230">
        <f>SUM(I23:M23)</f>
        <v>0.8899999999999999</v>
      </c>
      <c r="O23" s="144">
        <v>1</v>
      </c>
      <c r="P23" s="112">
        <v>15</v>
      </c>
      <c r="Q23" s="112">
        <v>15</v>
      </c>
      <c r="R23" s="113"/>
      <c r="S23" s="113"/>
      <c r="T23" s="146"/>
      <c r="U23" s="148">
        <f>ROUND(((P23*I23)+(Q23*J23)+(R23*K23)+(S23*L23)+(T23*M23))*O23,2)</f>
        <v>13.35</v>
      </c>
      <c r="V23" s="149">
        <f>IF(U23&gt;=15,15,U23)</f>
        <v>13.35</v>
      </c>
      <c r="W23" s="211">
        <v>25134355000</v>
      </c>
      <c r="X23" s="236">
        <v>222174000</v>
      </c>
      <c r="Y23" s="211"/>
      <c r="Z23" s="190"/>
      <c r="AA23" s="153"/>
      <c r="AB23" s="154">
        <f>ROUND((((W23*I23)+(X23*J23)+(Y23*K23)+(Z23*L23)+(AA23*M23))/$I$2),2)*13</f>
        <v>44.46</v>
      </c>
      <c r="AC23" s="149">
        <f>IF(AB23&gt;=13,13,AB23)</f>
        <v>13</v>
      </c>
      <c r="AD23" s="125">
        <v>0</v>
      </c>
      <c r="AE23" s="148">
        <f>IF((AC23+AD23)&gt;=15,15,(AC23+AD23))</f>
        <v>13</v>
      </c>
      <c r="AF23" s="156"/>
      <c r="AG23" s="237">
        <v>3.8</v>
      </c>
      <c r="AH23" s="113">
        <f>IF((V23+AE23+AF23)&gt;=30,30,(V23+AE23+AF23))</f>
        <v>26.35</v>
      </c>
      <c r="AI23" s="157">
        <v>65</v>
      </c>
      <c r="AJ23" s="113">
        <f>V23+AE23+AF23+AI23+AG23</f>
        <v>95.14999999999999</v>
      </c>
      <c r="AK23" s="113">
        <f>IF(AH23+AI23+AG23&gt;=95,95,AH23+AI23+AG23)</f>
        <v>95</v>
      </c>
      <c r="AL23" s="158">
        <f>-((50-((176+(45+(50-AH23)))))/200)</f>
        <v>0.9732500000000001</v>
      </c>
      <c r="AM23" s="159"/>
      <c r="AN23" s="160">
        <f>100%+AM23</f>
        <v>1</v>
      </c>
      <c r="AO23" s="160">
        <f>100%+AN23</f>
        <v>2</v>
      </c>
      <c r="AP23" s="133"/>
      <c r="AQ23" s="134"/>
      <c r="AR23" s="161"/>
      <c r="AS23" s="161"/>
      <c r="AT23" s="161"/>
      <c r="AU23" s="161"/>
      <c r="AV23" s="162"/>
      <c r="AW23" s="137">
        <f>AR23+AS23+AT23+AU23+AV23</f>
        <v>0</v>
      </c>
      <c r="AX23" s="137">
        <f>(AR23*I23)+(AS23*J23)+(AT23*K23)+(AU23*L23)+(AV23*M23)</f>
        <v>0</v>
      </c>
    </row>
    <row r="24" ht="21.95" customHeight="1" spans="1:50" s="97" customFormat="1" x14ac:dyDescent="0.25">
      <c r="A24" s="138" t="s">
        <v>56</v>
      </c>
      <c r="B24" s="139"/>
      <c r="C24" s="139"/>
      <c r="D24" s="139"/>
      <c r="E24" s="139"/>
      <c r="F24" s="139"/>
      <c r="G24" s="139"/>
      <c r="H24" s="140"/>
      <c r="I24" s="142">
        <v>85</v>
      </c>
      <c r="J24" s="142">
        <v>85</v>
      </c>
      <c r="K24" s="142"/>
      <c r="L24" s="142"/>
      <c r="M24" s="142"/>
      <c r="N24" s="170">
        <f>I24*I23+J24*J23+K24*K23+L24*L23+M24*M23</f>
        <v>75.64999999999999</v>
      </c>
      <c r="O24" s="144"/>
      <c r="P24" s="145"/>
      <c r="Q24" s="113"/>
      <c r="R24" s="113"/>
      <c r="S24" s="146"/>
      <c r="T24" s="147"/>
      <c r="U24" s="148"/>
      <c r="V24" s="149"/>
      <c r="W24" s="150"/>
      <c r="X24" s="151"/>
      <c r="Y24" s="152"/>
      <c r="Z24" s="151"/>
      <c r="AA24" s="153"/>
      <c r="AB24" s="154"/>
      <c r="AC24" s="149"/>
      <c r="AD24" s="148"/>
      <c r="AE24" s="148"/>
      <c r="AF24" s="155"/>
      <c r="AG24" s="156"/>
      <c r="AH24" s="113"/>
      <c r="AI24" s="157"/>
      <c r="AJ24" s="113"/>
      <c r="AK24" s="113"/>
      <c r="AL24" s="158"/>
      <c r="AM24" s="159"/>
      <c r="AN24" s="160"/>
      <c r="AO24" s="160"/>
      <c r="AP24" s="133"/>
      <c r="AQ24" s="134"/>
      <c r="AR24" s="161"/>
      <c r="AS24" s="161"/>
      <c r="AT24" s="161"/>
      <c r="AU24" s="161"/>
      <c r="AV24" s="162"/>
      <c r="AW24" s="137"/>
      <c r="AX24" s="137"/>
    </row>
    <row r="25" ht="46.5" customHeight="1" spans="1:50" s="97" customFormat="1" x14ac:dyDescent="0.25">
      <c r="A25" s="98">
        <v>11</v>
      </c>
      <c r="B25" s="102"/>
      <c r="C25" s="209" t="s">
        <v>143</v>
      </c>
      <c r="D25" s="174" t="s">
        <v>144</v>
      </c>
      <c r="E25" s="238"/>
      <c r="F25" s="100"/>
      <c r="G25" s="103"/>
      <c r="H25" s="233" t="s">
        <v>145</v>
      </c>
      <c r="I25" s="232">
        <v>0.428</v>
      </c>
      <c r="J25" s="107">
        <v>0.49</v>
      </c>
      <c r="K25" s="107"/>
      <c r="L25" s="107"/>
      <c r="M25" s="187"/>
      <c r="N25" s="230">
        <f>SUM(I25:M25)</f>
        <v>0.9179999999999999</v>
      </c>
      <c r="O25" s="144">
        <v>1</v>
      </c>
      <c r="P25" s="145">
        <v>15</v>
      </c>
      <c r="Q25" s="217">
        <v>15</v>
      </c>
      <c r="R25" s="217"/>
      <c r="S25" s="113"/>
      <c r="T25" s="146"/>
      <c r="U25" s="148">
        <f>ROUND(((P25*I25)+(Q25*J25)+(R25*K25)+(S25*L25)+(T25*M25))*O25,2)</f>
        <v>13.77</v>
      </c>
      <c r="V25" s="149">
        <f>IF(U25&gt;=15,15,U25)</f>
        <v>13.77</v>
      </c>
      <c r="W25" s="192">
        <v>3966791000</v>
      </c>
      <c r="X25" s="120">
        <v>8200197000</v>
      </c>
      <c r="Y25" s="211"/>
      <c r="Z25" s="190"/>
      <c r="AA25" s="153"/>
      <c r="AB25" s="154">
        <f>ROUND((((W25*I25)+(X25*J25)+(Y25*K25)+(Z25*L25)+(AA25*M25))/$I$2),2)*13</f>
        <v>14.430000000000001</v>
      </c>
      <c r="AC25" s="149">
        <f>IF(AB25&gt;=13,13,AB25)</f>
        <v>13</v>
      </c>
      <c r="AD25" s="125">
        <v>0</v>
      </c>
      <c r="AE25" s="148">
        <f>IF((AC25+AD25)&gt;=15,15,(AC25+AD25))</f>
        <v>13</v>
      </c>
      <c r="AF25" s="184"/>
      <c r="AG25" s="237">
        <v>3.8</v>
      </c>
      <c r="AH25" s="113">
        <f>IF((V25+AE25+AF25)&gt;=30,30,(V25+AE25+AF25))</f>
        <v>26.77</v>
      </c>
      <c r="AI25" s="157">
        <v>65</v>
      </c>
      <c r="AJ25" s="113">
        <f>V25+AE25+AF25+AI25+AG25</f>
        <v>95.57</v>
      </c>
      <c r="AK25" s="113">
        <f>IF(AH25+AI25+AG25&gt;=95,95,AH25+AI25+AG25)</f>
        <v>95</v>
      </c>
      <c r="AL25" s="158">
        <f>-((50-((176+(45+(50-AH25)))))/200)</f>
        <v>0.9711500000000001</v>
      </c>
      <c r="AM25" s="159"/>
      <c r="AN25" s="160">
        <f>100%+AM25</f>
        <v>1</v>
      </c>
      <c r="AO25" s="160">
        <f>100%+AN25</f>
        <v>2</v>
      </c>
      <c r="AP25" s="133"/>
      <c r="AQ25" s="134"/>
      <c r="AR25" s="161"/>
      <c r="AS25" s="161"/>
      <c r="AT25" s="161"/>
      <c r="AU25" s="161"/>
      <c r="AV25" s="162"/>
      <c r="AW25" s="137">
        <f>AR25+AS25+AT25+AU25+AV25</f>
        <v>0</v>
      </c>
      <c r="AX25" s="137">
        <f>(AR25*I25)+(AS25*J25)+(AT25*K25)+(AU25*L25)+(AV25*M25)</f>
        <v>0</v>
      </c>
    </row>
    <row r="26" ht="21.95" customHeight="1" spans="1:50" s="97" customFormat="1" x14ac:dyDescent="0.25">
      <c r="A26" s="138" t="s">
        <v>56</v>
      </c>
      <c r="B26" s="139"/>
      <c r="C26" s="139"/>
      <c r="D26" s="139"/>
      <c r="E26" s="139"/>
      <c r="F26" s="139"/>
      <c r="G26" s="139"/>
      <c r="H26" s="140"/>
      <c r="I26" s="142">
        <v>85</v>
      </c>
      <c r="J26" s="142">
        <v>85</v>
      </c>
      <c r="K26" s="142"/>
      <c r="L26" s="142"/>
      <c r="M26" s="142"/>
      <c r="N26" s="170">
        <f>I26*I25+J26*J25+K26*K25+L26*L25+M26*M25</f>
        <v>78.03</v>
      </c>
      <c r="O26" s="144"/>
      <c r="P26" s="145"/>
      <c r="Q26" s="113"/>
      <c r="R26" s="113"/>
      <c r="S26" s="146"/>
      <c r="T26" s="147"/>
      <c r="U26" s="148"/>
      <c r="V26" s="149"/>
      <c r="W26" s="150"/>
      <c r="X26" s="151"/>
      <c r="Y26" s="152"/>
      <c r="Z26" s="151"/>
      <c r="AA26" s="153"/>
      <c r="AB26" s="154"/>
      <c r="AC26" s="149"/>
      <c r="AD26" s="148"/>
      <c r="AE26" s="148"/>
      <c r="AF26" s="155"/>
      <c r="AG26" s="156"/>
      <c r="AH26" s="113"/>
      <c r="AI26" s="157"/>
      <c r="AJ26" s="113"/>
      <c r="AK26" s="113"/>
      <c r="AL26" s="158"/>
      <c r="AM26" s="159"/>
      <c r="AN26" s="160"/>
      <c r="AO26" s="160"/>
      <c r="AP26" s="133"/>
      <c r="AQ26" s="134"/>
      <c r="AR26" s="161"/>
      <c r="AS26" s="161"/>
      <c r="AT26" s="161"/>
      <c r="AU26" s="161"/>
      <c r="AV26" s="162"/>
      <c r="AW26" s="137"/>
      <c r="AX26" s="137"/>
    </row>
    <row r="27" ht="46.5" customHeight="1" spans="1:50" s="97" customFormat="1" x14ac:dyDescent="0.25">
      <c r="A27" s="98">
        <v>12</v>
      </c>
      <c r="B27" s="196"/>
      <c r="C27" s="209" t="s">
        <v>146</v>
      </c>
      <c r="D27" s="174" t="s">
        <v>147</v>
      </c>
      <c r="E27" s="100"/>
      <c r="F27" s="100"/>
      <c r="G27" s="103"/>
      <c r="H27" s="233" t="s">
        <v>148</v>
      </c>
      <c r="I27" s="195">
        <v>0.7</v>
      </c>
      <c r="J27" s="226">
        <v>0.196</v>
      </c>
      <c r="K27" s="107"/>
      <c r="L27" s="107"/>
      <c r="M27" s="187"/>
      <c r="N27" s="230">
        <f>SUM(I27:M27)</f>
        <v>0.8959999999999999</v>
      </c>
      <c r="O27" s="144">
        <v>1</v>
      </c>
      <c r="P27" s="145">
        <v>15</v>
      </c>
      <c r="Q27" s="113">
        <v>15</v>
      </c>
      <c r="R27" s="156"/>
      <c r="S27" s="113"/>
      <c r="T27" s="146"/>
      <c r="U27" s="148">
        <f>ROUND(((P27*I27)+(Q27*J27)+(R27*K27)+(S27*L27)+(T27*M27))*O27,2)</f>
        <v>13.44</v>
      </c>
      <c r="V27" s="149">
        <f>IF(U27&gt;=15,15,U27)</f>
        <v>13.44</v>
      </c>
      <c r="W27" s="192">
        <v>56126180000</v>
      </c>
      <c r="X27" s="211">
        <v>1466594000</v>
      </c>
      <c r="Y27" s="120"/>
      <c r="Z27" s="190"/>
      <c r="AA27" s="153"/>
      <c r="AB27" s="154">
        <f>ROUND((((W27*I27)+(X27*J27)+(Y27*K27)+(Z27*L27)+(AA27*M27))/$I$2),2)*13</f>
        <v>99.71</v>
      </c>
      <c r="AC27" s="149">
        <f>IF(AB27&gt;=13,13,AB27)</f>
        <v>13</v>
      </c>
      <c r="AD27" s="125">
        <v>0</v>
      </c>
      <c r="AE27" s="148">
        <f>IF((AC27+AD27)&gt;=15,15,(AC27+AD27))</f>
        <v>13</v>
      </c>
      <c r="AF27" s="156"/>
      <c r="AG27" s="156">
        <v>3.8</v>
      </c>
      <c r="AH27" s="113">
        <f>IF((V27+AE27+AF27)&gt;=30,30,(V27+AE27+AF27))</f>
        <v>26.439999999999998</v>
      </c>
      <c r="AI27" s="157">
        <v>65</v>
      </c>
      <c r="AJ27" s="113">
        <f>V27+AE27+AF27+AI27+AG27</f>
        <v>95.24</v>
      </c>
      <c r="AK27" s="113">
        <f>IF(AH27+AI27+AG27&gt;=95,95,AH27+AI27+AG27)</f>
        <v>95</v>
      </c>
      <c r="AL27" s="158">
        <f>-((50-((176+(45+(50-AH27)))))/200)</f>
        <v>0.9728</v>
      </c>
      <c r="AM27" s="159"/>
      <c r="AN27" s="160">
        <f>100%+AM27</f>
        <v>1</v>
      </c>
      <c r="AO27" s="160">
        <f>100%+AN27</f>
        <v>2</v>
      </c>
      <c r="AP27" s="133"/>
      <c r="AQ27" s="134"/>
      <c r="AR27" s="161"/>
      <c r="AS27" s="161"/>
      <c r="AT27" s="161"/>
      <c r="AU27" s="161"/>
      <c r="AV27" s="162"/>
      <c r="AW27" s="137">
        <f>AR27+AS27+AT27+AU27+AV27</f>
        <v>0</v>
      </c>
      <c r="AX27" s="137">
        <f>(AR27*I27)+(AS27*J27)+(AT27*K27)+(AU27*L27)+(AV27*M27)</f>
        <v>0</v>
      </c>
    </row>
    <row r="28" ht="21.95" customHeight="1" spans="1:50" s="97" customFormat="1" x14ac:dyDescent="0.25">
      <c r="A28" s="138" t="s">
        <v>56</v>
      </c>
      <c r="B28" s="139"/>
      <c r="C28" s="139"/>
      <c r="D28" s="139"/>
      <c r="E28" s="139"/>
      <c r="F28" s="139"/>
      <c r="G28" s="139"/>
      <c r="H28" s="140"/>
      <c r="I28" s="142">
        <v>85</v>
      </c>
      <c r="J28" s="142">
        <v>85</v>
      </c>
      <c r="K28" s="142"/>
      <c r="L28" s="142"/>
      <c r="M28" s="142"/>
      <c r="N28" s="170">
        <f>I28*I27+J28*J27+K28*K27+L28*L27+M28*M27</f>
        <v>76.16</v>
      </c>
      <c r="O28" s="144"/>
      <c r="P28" s="145"/>
      <c r="Q28" s="113"/>
      <c r="R28" s="113"/>
      <c r="S28" s="146"/>
      <c r="T28" s="147"/>
      <c r="U28" s="148"/>
      <c r="V28" s="149"/>
      <c r="W28" s="150"/>
      <c r="X28" s="151"/>
      <c r="Y28" s="152"/>
      <c r="Z28" s="151"/>
      <c r="AA28" s="153"/>
      <c r="AB28" s="154"/>
      <c r="AC28" s="149"/>
      <c r="AD28" s="148"/>
      <c r="AE28" s="148"/>
      <c r="AF28" s="155"/>
      <c r="AG28" s="156"/>
      <c r="AH28" s="113"/>
      <c r="AI28" s="157"/>
      <c r="AJ28" s="113"/>
      <c r="AK28" s="113"/>
      <c r="AL28" s="158"/>
      <c r="AM28" s="159"/>
      <c r="AN28" s="160"/>
      <c r="AO28" s="160"/>
      <c r="AP28" s="133"/>
      <c r="AQ28" s="134"/>
      <c r="AR28" s="161"/>
      <c r="AS28" s="161"/>
      <c r="AT28" s="161"/>
      <c r="AU28" s="161"/>
      <c r="AV28" s="162"/>
      <c r="AW28" s="137"/>
      <c r="AX28" s="137"/>
    </row>
    <row r="29" ht="46.5" customHeight="1" spans="1:50" s="97" customFormat="1" x14ac:dyDescent="0.25">
      <c r="A29" s="239">
        <v>13</v>
      </c>
      <c r="B29" s="100"/>
      <c r="C29" s="174" t="s">
        <v>149</v>
      </c>
      <c r="D29" s="100" t="s">
        <v>71</v>
      </c>
      <c r="E29" s="100"/>
      <c r="F29" s="100"/>
      <c r="G29" s="103"/>
      <c r="H29" s="186"/>
      <c r="I29" s="195">
        <v>0.51</v>
      </c>
      <c r="J29" s="107">
        <v>0.49</v>
      </c>
      <c r="K29" s="107"/>
      <c r="L29" s="107"/>
      <c r="M29" s="187"/>
      <c r="N29" s="169">
        <f>SUM(I29:M29)</f>
        <v>1</v>
      </c>
      <c r="O29" s="144">
        <v>1</v>
      </c>
      <c r="P29" s="145">
        <v>15</v>
      </c>
      <c r="Q29" s="113">
        <v>15</v>
      </c>
      <c r="R29" s="113"/>
      <c r="S29" s="113"/>
      <c r="T29" s="146"/>
      <c r="U29" s="148">
        <f>ROUND(((P29*I29)+(Q29*J29)+(R29*K29)+(S29*L29)+(T29*M29))*O29,2)</f>
        <v>15</v>
      </c>
      <c r="V29" s="149">
        <f>IF(U29&gt;=15,15,U29)</f>
        <v>15</v>
      </c>
      <c r="W29" s="189">
        <v>4518360000</v>
      </c>
      <c r="X29" s="211">
        <v>63305526000</v>
      </c>
      <c r="Y29" s="151"/>
      <c r="Z29" s="190"/>
      <c r="AA29" s="153"/>
      <c r="AB29" s="154">
        <f>ROUND((((W29*I29)+(X29*J29)+(Y29*K29)+(Z29*L29)+(AA29*M29))/$I$2),2)*13</f>
        <v>83.98</v>
      </c>
      <c r="AC29" s="149">
        <f>IF(AB29&gt;=13,13,AB29)</f>
        <v>13</v>
      </c>
      <c r="AD29" s="125">
        <v>2</v>
      </c>
      <c r="AE29" s="148">
        <f>IF((AC29+AD29)&gt;=15,15,(AC29+AD29))</f>
        <v>15</v>
      </c>
      <c r="AF29" s="156"/>
      <c r="AG29" s="156">
        <v>3.8</v>
      </c>
      <c r="AH29" s="113">
        <f>IF((V29+AE29+AF29)&gt;=30,30,(V29+AE29+AF29))</f>
        <v>30</v>
      </c>
      <c r="AI29" s="157">
        <v>65</v>
      </c>
      <c r="AJ29" s="113">
        <f>V29+AE29+AF29+AI29+AG29</f>
        <v>98.8</v>
      </c>
      <c r="AK29" s="113">
        <f>IF(AH29+AI29+AG29&gt;=95,95,AH29+AI29+AG29)</f>
        <v>95</v>
      </c>
      <c r="AL29" s="158">
        <f>-((50-((176+(45+(50-AH29)))))/200)</f>
        <v>0.955</v>
      </c>
      <c r="AM29" s="159"/>
      <c r="AN29" s="160">
        <f>100%+AM29</f>
        <v>1</v>
      </c>
      <c r="AO29" s="160">
        <f>100%+AN29</f>
        <v>2</v>
      </c>
      <c r="AP29" s="133"/>
      <c r="AQ29" s="134"/>
      <c r="AR29" s="161"/>
      <c r="AS29" s="161"/>
      <c r="AT29" s="161"/>
      <c r="AU29" s="161"/>
      <c r="AV29" s="162"/>
      <c r="AW29" s="137">
        <f>AR29+AS29+AT29+AU29+AV29</f>
        <v>0</v>
      </c>
      <c r="AX29" s="137">
        <f>(AR29*I29)+(AS29*J29)+(AT29*K29)+(AU29*L29)+(AV29*M29)</f>
        <v>0</v>
      </c>
    </row>
    <row r="30" ht="21.95" customHeight="1" spans="1:50" s="97" customFormat="1" x14ac:dyDescent="0.25">
      <c r="A30" s="138" t="s">
        <v>56</v>
      </c>
      <c r="B30" s="139"/>
      <c r="C30" s="139"/>
      <c r="D30" s="139"/>
      <c r="E30" s="139"/>
      <c r="F30" s="139"/>
      <c r="G30" s="139"/>
      <c r="H30" s="140"/>
      <c r="I30" s="142">
        <v>85</v>
      </c>
      <c r="J30" s="142">
        <v>85</v>
      </c>
      <c r="K30" s="142"/>
      <c r="L30" s="142"/>
      <c r="M30" s="142"/>
      <c r="N30" s="170">
        <f>I30*I29+J30*J29+K30*K29+L30*L29+M30*M29</f>
        <v>85</v>
      </c>
      <c r="O30" s="144"/>
      <c r="P30" s="145"/>
      <c r="Q30" s="113"/>
      <c r="R30" s="113"/>
      <c r="S30" s="146"/>
      <c r="T30" s="147"/>
      <c r="U30" s="148"/>
      <c r="V30" s="149"/>
      <c r="W30" s="150"/>
      <c r="X30" s="151"/>
      <c r="Y30" s="152"/>
      <c r="Z30" s="151"/>
      <c r="AA30" s="153"/>
      <c r="AB30" s="154"/>
      <c r="AC30" s="149"/>
      <c r="AD30" s="148"/>
      <c r="AE30" s="148"/>
      <c r="AF30" s="155"/>
      <c r="AG30" s="156"/>
      <c r="AH30" s="113"/>
      <c r="AI30" s="157"/>
      <c r="AJ30" s="113"/>
      <c r="AK30" s="113"/>
      <c r="AL30" s="158"/>
      <c r="AM30" s="159"/>
      <c r="AN30" s="160"/>
      <c r="AO30" s="160"/>
      <c r="AP30" s="133"/>
      <c r="AQ30" s="134"/>
      <c r="AR30" s="161"/>
      <c r="AS30" s="161"/>
      <c r="AT30" s="161"/>
      <c r="AU30" s="161"/>
      <c r="AV30" s="162"/>
      <c r="AW30" s="137"/>
      <c r="AX30" s="137"/>
    </row>
    <row r="31" ht="46.5" customHeight="1" spans="1:50" s="97" customFormat="1" x14ac:dyDescent="0.25">
      <c r="A31" s="239">
        <v>14</v>
      </c>
      <c r="B31" s="100"/>
      <c r="C31" s="100" t="s">
        <v>150</v>
      </c>
      <c r="D31" s="174" t="s">
        <v>151</v>
      </c>
      <c r="E31" s="100"/>
      <c r="F31" s="100"/>
      <c r="G31" s="103"/>
      <c r="H31" s="233" t="s">
        <v>152</v>
      </c>
      <c r="I31" s="195">
        <v>0.6</v>
      </c>
      <c r="J31" s="226">
        <v>0.328</v>
      </c>
      <c r="K31" s="107"/>
      <c r="L31" s="107"/>
      <c r="M31" s="187"/>
      <c r="N31" s="230">
        <f>SUM(I31:M31)</f>
        <v>0.9279999999999999</v>
      </c>
      <c r="O31" s="144">
        <v>1</v>
      </c>
      <c r="P31" s="145">
        <v>15</v>
      </c>
      <c r="Q31" s="113">
        <v>15</v>
      </c>
      <c r="R31" s="113"/>
      <c r="S31" s="113"/>
      <c r="T31" s="146"/>
      <c r="U31" s="148">
        <f>ROUND(((P31*I31)+(Q31*J31)+(R31*K31)+(S31*L31)+(T31*M31))*O31,2)</f>
        <v>13.92</v>
      </c>
      <c r="V31" s="149">
        <f>IF(U31&gt;=15,15,U31)</f>
        <v>13.92</v>
      </c>
      <c r="W31" s="240">
        <v>60895199000</v>
      </c>
      <c r="X31" s="199">
        <v>2073378000</v>
      </c>
      <c r="Y31" s="120"/>
      <c r="Z31" s="189"/>
      <c r="AA31" s="153"/>
      <c r="AB31" s="154">
        <f>ROUND((((W31*I31)+(X31*J31)+(Y31*K31)+(Z31*L31)+(AA31*M31))/$I$2),2)*13</f>
        <v>93.73</v>
      </c>
      <c r="AC31" s="149">
        <f>IF(AB31&gt;=13,13,AB31)</f>
        <v>13</v>
      </c>
      <c r="AD31" s="125">
        <v>0</v>
      </c>
      <c r="AE31" s="148">
        <f>IF((AC31+AD31)&gt;=15,15,(AC31+AD31))</f>
        <v>13</v>
      </c>
      <c r="AF31" s="156"/>
      <c r="AG31" s="156">
        <v>3.8</v>
      </c>
      <c r="AH31" s="113">
        <f>IF((V31+AE31+AF31)&gt;=30,30,(V31+AE31+AF31))</f>
        <v>26.92</v>
      </c>
      <c r="AI31" s="157">
        <v>65</v>
      </c>
      <c r="AJ31" s="113">
        <f>V31+AE31+AF31+AI31+AG31</f>
        <v>95.72</v>
      </c>
      <c r="AK31" s="113">
        <f>IF(AH31+AI31+AG31&gt;=95,95,AH31+AI31+AG31)</f>
        <v>95</v>
      </c>
      <c r="AL31" s="158">
        <f>-((50-((176+(45+(50-AH31)))))/200)</f>
        <v>0.9703999999999999</v>
      </c>
      <c r="AM31" s="159"/>
      <c r="AN31" s="160">
        <f>100%+AM31</f>
        <v>1</v>
      </c>
      <c r="AO31" s="160">
        <f>100%+AN31</f>
        <v>2</v>
      </c>
      <c r="AP31" s="133"/>
      <c r="AQ31" s="134"/>
      <c r="AR31" s="161"/>
      <c r="AS31" s="161"/>
      <c r="AT31" s="161"/>
      <c r="AU31" s="161"/>
      <c r="AV31" s="162"/>
      <c r="AW31" s="137">
        <f>AR31+AS31+AT31+AU31+AV31</f>
        <v>0</v>
      </c>
      <c r="AX31" s="137">
        <f>(AR31*I31)+(AS31*J31)+(AT31*K31)+(AU31*L31)+(AV31*M31)</f>
        <v>0</v>
      </c>
    </row>
    <row r="32" ht="21.95" customHeight="1" spans="1:50" s="97" customFormat="1" x14ac:dyDescent="0.25">
      <c r="A32" s="138" t="s">
        <v>56</v>
      </c>
      <c r="B32" s="139"/>
      <c r="C32" s="139"/>
      <c r="D32" s="139"/>
      <c r="E32" s="139"/>
      <c r="F32" s="139"/>
      <c r="G32" s="139"/>
      <c r="H32" s="140"/>
      <c r="I32" s="142">
        <v>85</v>
      </c>
      <c r="J32" s="142">
        <v>85</v>
      </c>
      <c r="K32" s="142"/>
      <c r="L32" s="142"/>
      <c r="M32" s="142"/>
      <c r="N32" s="170">
        <f>I32*I31+J32*J31+K32*K31+L32*L31+M32*M31</f>
        <v>78.88</v>
      </c>
      <c r="O32" s="144"/>
      <c r="P32" s="145"/>
      <c r="Q32" s="113"/>
      <c r="R32" s="113"/>
      <c r="S32" s="146"/>
      <c r="T32" s="147"/>
      <c r="U32" s="148"/>
      <c r="V32" s="149"/>
      <c r="W32" s="150"/>
      <c r="X32" s="151"/>
      <c r="Y32" s="152"/>
      <c r="Z32" s="151"/>
      <c r="AA32" s="153"/>
      <c r="AB32" s="154"/>
      <c r="AC32" s="149"/>
      <c r="AD32" s="148"/>
      <c r="AE32" s="148"/>
      <c r="AF32" s="155"/>
      <c r="AG32" s="156"/>
      <c r="AH32" s="113"/>
      <c r="AI32" s="157"/>
      <c r="AJ32" s="113"/>
      <c r="AK32" s="113"/>
      <c r="AL32" s="158"/>
      <c r="AM32" s="159"/>
      <c r="AN32" s="160"/>
      <c r="AO32" s="160"/>
      <c r="AP32" s="133"/>
      <c r="AQ32" s="134"/>
      <c r="AR32" s="161"/>
      <c r="AS32" s="161"/>
      <c r="AT32" s="161"/>
      <c r="AU32" s="161"/>
      <c r="AV32" s="162"/>
      <c r="AW32" s="137"/>
      <c r="AX32" s="137"/>
    </row>
    <row r="33" ht="46.5" customHeight="1" spans="1:50" s="97" customFormat="1" x14ac:dyDescent="0.25">
      <c r="A33" s="239">
        <v>15</v>
      </c>
      <c r="B33" s="100"/>
      <c r="C33" s="102" t="s">
        <v>153</v>
      </c>
      <c r="D33" s="210" t="s">
        <v>154</v>
      </c>
      <c r="E33" s="100"/>
      <c r="F33" s="100"/>
      <c r="G33" s="103"/>
      <c r="H33" s="233"/>
      <c r="I33" s="195">
        <v>0.55</v>
      </c>
      <c r="J33" s="106">
        <v>0.45</v>
      </c>
      <c r="K33" s="107"/>
      <c r="L33" s="107"/>
      <c r="M33" s="187"/>
      <c r="N33" s="241">
        <f>SUM(I33:M33)</f>
        <v>1</v>
      </c>
      <c r="O33" s="144">
        <v>1</v>
      </c>
      <c r="P33" s="145">
        <v>15</v>
      </c>
      <c r="Q33" s="113">
        <v>15</v>
      </c>
      <c r="R33" s="113"/>
      <c r="S33" s="113"/>
      <c r="T33" s="146"/>
      <c r="U33" s="148">
        <f>ROUND(((P33*I33)+(Q33*J33)+(R33*K33)+(S33*L33)+(T33*M33))*O33,2)</f>
        <v>15</v>
      </c>
      <c r="V33" s="149">
        <f>IF(U33&gt;=15,15,U33)</f>
        <v>15</v>
      </c>
      <c r="W33" s="189">
        <v>17785414000</v>
      </c>
      <c r="X33" s="199">
        <v>2705226000</v>
      </c>
      <c r="Y33" s="151"/>
      <c r="Z33" s="190"/>
      <c r="AA33" s="153"/>
      <c r="AB33" s="154">
        <f>ROUND((((W33*I33)+(X33*J33)+(Y33*K33)+(Z33*L33)+(AA33*M33))/$I$2),2)*13</f>
        <v>27.689999999999998</v>
      </c>
      <c r="AC33" s="149">
        <f>IF(AB33&gt;=13,13,AB33)</f>
        <v>13</v>
      </c>
      <c r="AD33" s="125">
        <v>2</v>
      </c>
      <c r="AE33" s="148">
        <f>IF((AC33+AD33)&gt;=15,15,(AC33+AD33))</f>
        <v>15</v>
      </c>
      <c r="AF33" s="156"/>
      <c r="AG33" s="156">
        <v>3.8</v>
      </c>
      <c r="AH33" s="113">
        <f>IF((V33+AE33+AF33)&gt;=30,30,(V33+AE33+AF33))</f>
        <v>30</v>
      </c>
      <c r="AI33" s="157">
        <v>65</v>
      </c>
      <c r="AJ33" s="113">
        <f>V33+AE33+AF33+AI33+AG33</f>
        <v>98.8</v>
      </c>
      <c r="AK33" s="113">
        <f>IF(AH33+AI33+AG33&gt;=95,95,AH33+AI33+AG33)</f>
        <v>95</v>
      </c>
      <c r="AL33" s="158">
        <f>-((50-((176+(45+(50-AH33)))))/200)</f>
        <v>0.955</v>
      </c>
      <c r="AM33" s="159"/>
      <c r="AN33" s="160">
        <f>100%+AM33</f>
        <v>1</v>
      </c>
      <c r="AO33" s="160">
        <f>100%+AN33</f>
        <v>2</v>
      </c>
      <c r="AP33" s="133"/>
      <c r="AQ33" s="134"/>
      <c r="AR33" s="161"/>
      <c r="AS33" s="161"/>
      <c r="AT33" s="161"/>
      <c r="AU33" s="161"/>
      <c r="AV33" s="162"/>
      <c r="AW33" s="137">
        <f>AR33+AS33+AT33+AU33+AV33</f>
        <v>0</v>
      </c>
      <c r="AX33" s="137">
        <f>(AR33*I33)+(AS33*J33)+(AT33*K33)+(AU33*L33)+(AV33*M33)</f>
        <v>0</v>
      </c>
    </row>
    <row r="34" ht="21.95" customHeight="1" spans="1:50" s="97" customFormat="1" x14ac:dyDescent="0.25">
      <c r="A34" s="138" t="s">
        <v>56</v>
      </c>
      <c r="B34" s="139"/>
      <c r="C34" s="139"/>
      <c r="D34" s="139"/>
      <c r="E34" s="139"/>
      <c r="F34" s="139"/>
      <c r="G34" s="139"/>
      <c r="H34" s="140"/>
      <c r="I34" s="142">
        <v>85</v>
      </c>
      <c r="J34" s="142">
        <v>85</v>
      </c>
      <c r="K34" s="142"/>
      <c r="L34" s="142"/>
      <c r="M34" s="142"/>
      <c r="N34" s="170">
        <f>I34*I33+J34*J33+K34*K33+L34*L33+M34*M33</f>
        <v>85</v>
      </c>
      <c r="O34" s="144"/>
      <c r="P34" s="145"/>
      <c r="Q34" s="113"/>
      <c r="R34" s="113"/>
      <c r="S34" s="146"/>
      <c r="T34" s="147"/>
      <c r="U34" s="148"/>
      <c r="V34" s="149"/>
      <c r="W34" s="150"/>
      <c r="X34" s="151"/>
      <c r="Y34" s="152"/>
      <c r="Z34" s="151"/>
      <c r="AA34" s="153"/>
      <c r="AB34" s="154"/>
      <c r="AC34" s="149"/>
      <c r="AD34" s="148"/>
      <c r="AE34" s="148"/>
      <c r="AF34" s="155"/>
      <c r="AG34" s="156"/>
      <c r="AH34" s="113"/>
      <c r="AI34" s="157"/>
      <c r="AJ34" s="113"/>
      <c r="AK34" s="113"/>
      <c r="AL34" s="158"/>
      <c r="AM34" s="159"/>
      <c r="AN34" s="160"/>
      <c r="AO34" s="160"/>
      <c r="AP34" s="133"/>
      <c r="AQ34" s="134"/>
      <c r="AR34" s="161"/>
      <c r="AS34" s="161"/>
      <c r="AT34" s="161"/>
      <c r="AU34" s="161"/>
      <c r="AV34" s="162"/>
      <c r="AW34" s="137"/>
      <c r="AX34" s="137"/>
    </row>
    <row r="35" ht="46.5" customHeight="1" spans="1:50" s="97" customFormat="1" x14ac:dyDescent="0.25">
      <c r="A35" s="239">
        <v>16</v>
      </c>
      <c r="B35" s="100"/>
      <c r="C35" s="174" t="s">
        <v>155</v>
      </c>
      <c r="D35" s="100" t="s">
        <v>156</v>
      </c>
      <c r="E35" s="100"/>
      <c r="F35" s="100"/>
      <c r="G35" s="103"/>
      <c r="H35" s="186"/>
      <c r="I35" s="195">
        <v>0.51</v>
      </c>
      <c r="J35" s="107">
        <v>0.49</v>
      </c>
      <c r="K35" s="107"/>
      <c r="L35" s="107"/>
      <c r="M35" s="187"/>
      <c r="N35" s="169">
        <f>SUM(I35:M35)</f>
        <v>1</v>
      </c>
      <c r="O35" s="144">
        <v>1</v>
      </c>
      <c r="P35" s="145">
        <v>15</v>
      </c>
      <c r="Q35" s="217">
        <v>15</v>
      </c>
      <c r="R35" s="113"/>
      <c r="S35" s="113"/>
      <c r="T35" s="146"/>
      <c r="U35" s="148">
        <f>ROUND(((P35*I35)+(Q35*J35)+(R35*K35)+(S35*L35)+(T35*M35))*O35,2)</f>
        <v>15</v>
      </c>
      <c r="V35" s="149">
        <f>IF(U35&gt;=15,15,U35)</f>
        <v>15</v>
      </c>
      <c r="W35" s="189">
        <v>36613423000</v>
      </c>
      <c r="X35" s="199">
        <v>11566060000</v>
      </c>
      <c r="Y35" s="120"/>
      <c r="Z35" s="199"/>
      <c r="AA35" s="153"/>
      <c r="AB35" s="154">
        <f>ROUND((((W35*I35)+(X35*J35)+(Y35*K35)+(Z35*L35)+(AA35*M35))/$I$2),2)*13</f>
        <v>61.36</v>
      </c>
      <c r="AC35" s="149">
        <f>IF(AB35&gt;=13,13,AB35)</f>
        <v>13</v>
      </c>
      <c r="AD35" s="125">
        <v>2</v>
      </c>
      <c r="AE35" s="148">
        <f>IF((AC35+AD35)&gt;=15,15,(AC35+AD35))</f>
        <v>15</v>
      </c>
      <c r="AF35" s="156"/>
      <c r="AG35" s="156">
        <v>3.8</v>
      </c>
      <c r="AH35" s="113">
        <f>IF((V35+AE35+AF35)&gt;=30,30,(V35+AE35+AF35))</f>
        <v>30</v>
      </c>
      <c r="AI35" s="157">
        <v>65</v>
      </c>
      <c r="AJ35" s="113">
        <f>V35+AE35+AF35+AI35+AG35</f>
        <v>98.8</v>
      </c>
      <c r="AK35" s="113">
        <f>IF(AH35+AI35+AG35&gt;=95,95,AH35+AI35+AG35)</f>
        <v>95</v>
      </c>
      <c r="AL35" s="158">
        <f>-((50-((176+(45+(50-AH35)))))/200)</f>
        <v>0.955</v>
      </c>
      <c r="AM35" s="159"/>
      <c r="AN35" s="160">
        <f>100%+AM35</f>
        <v>1</v>
      </c>
      <c r="AO35" s="160">
        <f>100%+AN35</f>
        <v>2</v>
      </c>
      <c r="AP35" s="133"/>
      <c r="AQ35" s="134"/>
      <c r="AR35" s="161"/>
      <c r="AS35" s="161"/>
      <c r="AT35" s="161"/>
      <c r="AU35" s="161"/>
      <c r="AV35" s="162"/>
      <c r="AW35" s="137">
        <f>AR35+AS35+AT35+AU35+AV35</f>
        <v>0</v>
      </c>
      <c r="AX35" s="137">
        <f>(AR35*I35)+(AS35*J35)+(AT35*K35)+(AU35*L35)+(AV35*M35)</f>
        <v>0</v>
      </c>
    </row>
    <row r="36" ht="21.95" customHeight="1" spans="1:50" s="97" customFormat="1" x14ac:dyDescent="0.25">
      <c r="A36" s="138" t="s">
        <v>56</v>
      </c>
      <c r="B36" s="139"/>
      <c r="C36" s="139"/>
      <c r="D36" s="139"/>
      <c r="E36" s="139"/>
      <c r="F36" s="139"/>
      <c r="G36" s="139"/>
      <c r="H36" s="140"/>
      <c r="I36" s="142">
        <v>85</v>
      </c>
      <c r="J36" s="142">
        <v>85</v>
      </c>
      <c r="K36" s="142"/>
      <c r="L36" s="142"/>
      <c r="M36" s="142"/>
      <c r="N36" s="170">
        <f>I36*I35+J36*J35+K36*K35+L36*L35+M36*M35</f>
        <v>85</v>
      </c>
      <c r="O36" s="144"/>
      <c r="P36" s="145"/>
      <c r="Q36" s="113"/>
      <c r="R36" s="113"/>
      <c r="S36" s="146"/>
      <c r="T36" s="147"/>
      <c r="U36" s="148"/>
      <c r="V36" s="149"/>
      <c r="W36" s="150"/>
      <c r="X36" s="151"/>
      <c r="Y36" s="152"/>
      <c r="Z36" s="151"/>
      <c r="AA36" s="153"/>
      <c r="AB36" s="154"/>
      <c r="AC36" s="149"/>
      <c r="AD36" s="148"/>
      <c r="AE36" s="148"/>
      <c r="AF36" s="155"/>
      <c r="AG36" s="156"/>
      <c r="AH36" s="113"/>
      <c r="AI36" s="157"/>
      <c r="AJ36" s="113"/>
      <c r="AK36" s="113"/>
      <c r="AL36" s="158"/>
      <c r="AM36" s="159"/>
      <c r="AN36" s="160"/>
      <c r="AO36" s="160"/>
      <c r="AP36" s="133"/>
      <c r="AQ36" s="134"/>
      <c r="AR36" s="161"/>
      <c r="AS36" s="161"/>
      <c r="AT36" s="161"/>
      <c r="AU36" s="161"/>
      <c r="AV36" s="162"/>
      <c r="AW36" s="137"/>
      <c r="AX36" s="137"/>
    </row>
    <row r="37" ht="46.5" customHeight="1" spans="1:50" s="97" customFormat="1" x14ac:dyDescent="0.25">
      <c r="A37" s="239">
        <v>17</v>
      </c>
      <c r="B37" s="100"/>
      <c r="C37" s="102" t="s">
        <v>157</v>
      </c>
      <c r="D37" s="174" t="s">
        <v>158</v>
      </c>
      <c r="E37" s="100"/>
      <c r="F37" s="100"/>
      <c r="G37" s="103"/>
      <c r="H37" s="233" t="s">
        <v>159</v>
      </c>
      <c r="I37" s="195">
        <v>0.6</v>
      </c>
      <c r="J37" s="107">
        <v>0.378</v>
      </c>
      <c r="K37" s="107"/>
      <c r="L37" s="107"/>
      <c r="M37" s="187"/>
      <c r="N37" s="169">
        <f>SUM(I37:M37)</f>
        <v>0.978</v>
      </c>
      <c r="O37" s="144">
        <v>1</v>
      </c>
      <c r="P37" s="145">
        <v>15</v>
      </c>
      <c r="Q37" s="113">
        <v>15</v>
      </c>
      <c r="R37" s="113"/>
      <c r="S37" s="113"/>
      <c r="T37" s="146"/>
      <c r="U37" s="148">
        <f>ROUND(((P37*I37)+(Q37*J37)+(R37*K37)+(S37*L37)+(T37*M37))*O37,2)</f>
        <v>14.67</v>
      </c>
      <c r="V37" s="149">
        <f>IF(U37&gt;=15,15,U37)</f>
        <v>14.67</v>
      </c>
      <c r="W37" s="189">
        <v>15442996000</v>
      </c>
      <c r="X37" s="199">
        <v>3143872000</v>
      </c>
      <c r="Y37" s="151"/>
      <c r="Z37" s="190"/>
      <c r="AA37" s="153"/>
      <c r="AB37" s="154">
        <f>ROUND((((W37*I37)+(X37*J37)+(Y37*K37)+(Z37*L37)+(AA37*M37))/$I$2),2)*13</f>
        <v>26.389999999999997</v>
      </c>
      <c r="AC37" s="149">
        <f>IF(AB37&gt;=13,13,AB37)</f>
        <v>13</v>
      </c>
      <c r="AD37" s="125">
        <v>1.5</v>
      </c>
      <c r="AE37" s="148">
        <f>IF((AC37+AD37)&gt;=15,15,(AC37+AD37))</f>
        <v>14.5</v>
      </c>
      <c r="AF37" s="156"/>
      <c r="AG37" s="156">
        <v>3.8</v>
      </c>
      <c r="AH37" s="113">
        <f>IF((V37+AE37+AF37)&gt;=30,30,(V37+AE37+AF37))</f>
        <v>29.17</v>
      </c>
      <c r="AI37" s="157">
        <v>65</v>
      </c>
      <c r="AJ37" s="113">
        <f>V37+AE37+AF37+AI37+AG37</f>
        <v>97.97</v>
      </c>
      <c r="AK37" s="113">
        <f>IF(AH37+AI37+AG37&gt;=95,95,AH37+AI37+AG37)</f>
        <v>95</v>
      </c>
      <c r="AL37" s="158">
        <f>-((50-((176+(45+(50-AH37)))))/200)</f>
        <v>0.95915</v>
      </c>
      <c r="AM37" s="159"/>
      <c r="AN37" s="160">
        <f>100%+AM37</f>
        <v>1</v>
      </c>
      <c r="AO37" s="160">
        <f>100%+AN37</f>
        <v>2</v>
      </c>
      <c r="AP37" s="133"/>
      <c r="AQ37" s="134"/>
      <c r="AR37" s="161"/>
      <c r="AS37" s="161"/>
      <c r="AT37" s="161"/>
      <c r="AU37" s="161"/>
      <c r="AV37" s="162"/>
      <c r="AW37" s="137">
        <f>AR37+AS37+AT37+AU37+AV37</f>
        <v>0</v>
      </c>
      <c r="AX37" s="137">
        <f>(AR37*I37)+(AS37*J37)+(AT37*K37)+(AU37*L37)+(AV37*M37)</f>
        <v>0</v>
      </c>
    </row>
    <row r="38" ht="21.95" customHeight="1" spans="1:50" s="97" customFormat="1" x14ac:dyDescent="0.25">
      <c r="A38" s="138" t="s">
        <v>56</v>
      </c>
      <c r="B38" s="139"/>
      <c r="C38" s="139"/>
      <c r="D38" s="139"/>
      <c r="E38" s="139"/>
      <c r="F38" s="139"/>
      <c r="G38" s="139"/>
      <c r="H38" s="140"/>
      <c r="I38" s="142">
        <v>85</v>
      </c>
      <c r="J38" s="142">
        <v>85</v>
      </c>
      <c r="K38" s="142"/>
      <c r="L38" s="142"/>
      <c r="M38" s="142"/>
      <c r="N38" s="170">
        <f>I38*I37+J38*J37+K38*K37+L38*L37+M38*M37</f>
        <v>83.13</v>
      </c>
      <c r="O38" s="144"/>
      <c r="P38" s="145"/>
      <c r="Q38" s="113"/>
      <c r="R38" s="113"/>
      <c r="S38" s="146"/>
      <c r="T38" s="147"/>
      <c r="U38" s="148"/>
      <c r="V38" s="149"/>
      <c r="W38" s="150"/>
      <c r="X38" s="151"/>
      <c r="Y38" s="152"/>
      <c r="Z38" s="151"/>
      <c r="AA38" s="153"/>
      <c r="AB38" s="154"/>
      <c r="AC38" s="149"/>
      <c r="AD38" s="148"/>
      <c r="AE38" s="148"/>
      <c r="AF38" s="155"/>
      <c r="AG38" s="156"/>
      <c r="AH38" s="113"/>
      <c r="AI38" s="157"/>
      <c r="AJ38" s="113"/>
      <c r="AK38" s="113"/>
      <c r="AL38" s="158"/>
      <c r="AM38" s="159"/>
      <c r="AN38" s="160"/>
      <c r="AO38" s="160"/>
      <c r="AP38" s="133"/>
      <c r="AQ38" s="134"/>
      <c r="AR38" s="161"/>
      <c r="AS38" s="161"/>
      <c r="AT38" s="161"/>
      <c r="AU38" s="161"/>
      <c r="AV38" s="162"/>
      <c r="AW38" s="137"/>
      <c r="AX38" s="137"/>
    </row>
    <row r="39" ht="46.5" customHeight="1" spans="1:50" s="97" customFormat="1" x14ac:dyDescent="0.25">
      <c r="A39" s="239">
        <v>18</v>
      </c>
      <c r="B39" s="100"/>
      <c r="C39" s="212" t="s">
        <v>160</v>
      </c>
      <c r="D39" s="174" t="s">
        <v>161</v>
      </c>
      <c r="E39" s="102" t="s">
        <v>78</v>
      </c>
      <c r="F39" s="100"/>
      <c r="G39" s="103"/>
      <c r="H39" s="233" t="s">
        <v>162</v>
      </c>
      <c r="I39" s="195">
        <v>0.4</v>
      </c>
      <c r="J39" s="107">
        <v>0.2483</v>
      </c>
      <c r="K39" s="107">
        <v>0.3</v>
      </c>
      <c r="L39" s="107"/>
      <c r="M39" s="187"/>
      <c r="N39" s="230">
        <f>SUM(I39:M39)</f>
        <v>0.9482999999999999</v>
      </c>
      <c r="O39" s="229">
        <v>1.1</v>
      </c>
      <c r="P39" s="145">
        <v>15</v>
      </c>
      <c r="Q39" s="113">
        <v>15</v>
      </c>
      <c r="R39" s="113">
        <v>15</v>
      </c>
      <c r="S39" s="113"/>
      <c r="T39" s="146"/>
      <c r="U39" s="148">
        <f>ROUND(((P39*I39)+(Q39*J39)+(R39*K39)+(S39*L39)+(T39*M39))*O39,2)</f>
        <v>15.65</v>
      </c>
      <c r="V39" s="149">
        <f>IF(U39&gt;=15,15,U39)</f>
        <v>15</v>
      </c>
      <c r="W39" s="189">
        <v>3270462000</v>
      </c>
      <c r="X39" s="120">
        <v>2164716000</v>
      </c>
      <c r="Y39" s="151">
        <v>21720797000</v>
      </c>
      <c r="Z39" s="190"/>
      <c r="AA39" s="153"/>
      <c r="AB39" s="154">
        <f>ROUND((((W39*I39)+(X39*J39)+(Y39*K39)+(Z39*L39)+(AA39*M39))/$I$2),2)*13</f>
        <v>21.060000000000002</v>
      </c>
      <c r="AC39" s="149">
        <f>IF(AB39&gt;=13,13,AB39)</f>
        <v>13</v>
      </c>
      <c r="AD39" s="125">
        <v>1</v>
      </c>
      <c r="AE39" s="148">
        <f>IF((AC39+AD39)&gt;=15,15,(AC39+AD39))</f>
        <v>14</v>
      </c>
      <c r="AF39" s="156"/>
      <c r="AG39" s="156">
        <v>3.8</v>
      </c>
      <c r="AH39" s="113">
        <f>IF((V39+AE39+AF39)&gt;=30,30,(V39+AE39+AF39))</f>
        <v>29</v>
      </c>
      <c r="AI39" s="157">
        <v>65</v>
      </c>
      <c r="AJ39" s="113">
        <f>V39+AE39+AF39+AI39+AG39</f>
        <v>97.8</v>
      </c>
      <c r="AK39" s="113">
        <f>IF(AH39+AI39+AG39&gt;=95,95,AH39+AI39+AG39)</f>
        <v>95</v>
      </c>
      <c r="AL39" s="158">
        <f>-((50-((176+(45+(50-AH39)))))/200)</f>
        <v>0.96</v>
      </c>
      <c r="AM39" s="159"/>
      <c r="AN39" s="160">
        <f>100%+AM39</f>
        <v>1</v>
      </c>
      <c r="AO39" s="160">
        <f>100%+AN39</f>
        <v>2</v>
      </c>
      <c r="AP39" s="133"/>
      <c r="AQ39" s="134"/>
      <c r="AR39" s="161"/>
      <c r="AS39" s="161"/>
      <c r="AT39" s="161"/>
      <c r="AU39" s="161"/>
      <c r="AV39" s="162"/>
      <c r="AW39" s="137">
        <f>AR39+AS39+AT39+AU39+AV39</f>
        <v>0</v>
      </c>
      <c r="AX39" s="137">
        <f>(AR39*I39)+(AS39*J39)+(AT39*K39)+(AU39*L39)+(AV39*M39)</f>
        <v>0</v>
      </c>
    </row>
    <row r="40" ht="21.95" customHeight="1" spans="1:50" s="97" customFormat="1" x14ac:dyDescent="0.25">
      <c r="A40" s="138" t="s">
        <v>56</v>
      </c>
      <c r="B40" s="139"/>
      <c r="C40" s="139"/>
      <c r="D40" s="139"/>
      <c r="E40" s="139"/>
      <c r="F40" s="139"/>
      <c r="G40" s="139"/>
      <c r="H40" s="140"/>
      <c r="I40" s="142">
        <v>85</v>
      </c>
      <c r="J40" s="142">
        <v>85</v>
      </c>
      <c r="K40" s="142">
        <v>85</v>
      </c>
      <c r="L40" s="142"/>
      <c r="M40" s="142"/>
      <c r="N40" s="170">
        <f>I40*I39+J40*J39+K40*K39+L40*L39+M40*M39</f>
        <v>80.6055</v>
      </c>
      <c r="O40" s="144"/>
      <c r="P40" s="145"/>
      <c r="Q40" s="113"/>
      <c r="R40" s="113"/>
      <c r="S40" s="146"/>
      <c r="T40" s="147"/>
      <c r="U40" s="148"/>
      <c r="V40" s="149"/>
      <c r="W40" s="150"/>
      <c r="X40" s="151"/>
      <c r="Y40" s="152"/>
      <c r="Z40" s="151"/>
      <c r="AA40" s="153"/>
      <c r="AB40" s="154"/>
      <c r="AC40" s="149"/>
      <c r="AD40" s="148"/>
      <c r="AE40" s="148"/>
      <c r="AF40" s="155"/>
      <c r="AG40" s="156"/>
      <c r="AH40" s="113"/>
      <c r="AI40" s="157"/>
      <c r="AJ40" s="113"/>
      <c r="AK40" s="113"/>
      <c r="AL40" s="158"/>
      <c r="AM40" s="159"/>
      <c r="AN40" s="160"/>
      <c r="AO40" s="160"/>
      <c r="AP40" s="133"/>
      <c r="AQ40" s="134"/>
      <c r="AR40" s="161"/>
      <c r="AS40" s="161"/>
      <c r="AT40" s="161"/>
      <c r="AU40" s="161"/>
      <c r="AV40" s="162"/>
      <c r="AW40" s="137"/>
      <c r="AX40" s="137"/>
    </row>
    <row r="41" ht="46.5" customHeight="1" spans="1:50" s="97" customFormat="1" x14ac:dyDescent="0.25">
      <c r="A41" s="239">
        <v>19</v>
      </c>
      <c r="B41" s="100"/>
      <c r="C41" s="174" t="s">
        <v>163</v>
      </c>
      <c r="D41" s="100" t="s">
        <v>164</v>
      </c>
      <c r="E41" s="100"/>
      <c r="F41" s="100"/>
      <c r="G41" s="103"/>
      <c r="H41" s="186"/>
      <c r="I41" s="195">
        <v>0.51</v>
      </c>
      <c r="J41" s="107">
        <v>0.49</v>
      </c>
      <c r="K41" s="107"/>
      <c r="L41" s="107"/>
      <c r="M41" s="187"/>
      <c r="N41" s="169">
        <f>SUM(I41:M41)</f>
        <v>1</v>
      </c>
      <c r="O41" s="144">
        <v>1</v>
      </c>
      <c r="P41" s="145">
        <v>15</v>
      </c>
      <c r="Q41" s="113">
        <v>15</v>
      </c>
      <c r="R41" s="113"/>
      <c r="S41" s="113"/>
      <c r="T41" s="146"/>
      <c r="U41" s="148">
        <f>ROUND(((P41*I41)+(Q41*J41)+(R41*K41)+(S41*L41)+(T41*M41))*O41,2)</f>
        <v>15</v>
      </c>
      <c r="V41" s="149">
        <f>IF(U41&gt;=15,15,U41)</f>
        <v>15</v>
      </c>
      <c r="W41" s="189">
        <v>3157334000</v>
      </c>
      <c r="X41" s="161">
        <v>36613423000</v>
      </c>
      <c r="Y41" s="199"/>
      <c r="Z41" s="190"/>
      <c r="AA41" s="153"/>
      <c r="AB41" s="154">
        <f>ROUND((((W41*I41)+(X41*J41)+(Y41*K41)+(Z41*L41)+(AA41*M41))/$I$2),2)*13</f>
        <v>49.27</v>
      </c>
      <c r="AC41" s="149">
        <f>IF(AB41&gt;=13,13,AB41)</f>
        <v>13</v>
      </c>
      <c r="AD41" s="125">
        <v>2</v>
      </c>
      <c r="AE41" s="148">
        <f>IF((AC41+AD41)&gt;=15,15,(AC41+AD41))</f>
        <v>15</v>
      </c>
      <c r="AF41" s="156"/>
      <c r="AG41" s="156">
        <v>3.8</v>
      </c>
      <c r="AH41" s="113">
        <f>IF((V41+AE41+AF41)&gt;=30,30,(V41+AE41+AF41))</f>
        <v>30</v>
      </c>
      <c r="AI41" s="157">
        <v>65</v>
      </c>
      <c r="AJ41" s="113">
        <f>V41+AE41+AF41+AI41+AG41</f>
        <v>98.8</v>
      </c>
      <c r="AK41" s="113">
        <f>IF(AH41+AI41+AG41&gt;=95,95,AH41+AI41+AG41)</f>
        <v>95</v>
      </c>
      <c r="AL41" s="158">
        <f>-((50-((176+(45+(50-AH41)))))/200)</f>
        <v>0.955</v>
      </c>
      <c r="AM41" s="159"/>
      <c r="AN41" s="160">
        <f>100%+AM41</f>
        <v>1</v>
      </c>
      <c r="AO41" s="160">
        <f>100%+AN41</f>
        <v>2</v>
      </c>
      <c r="AP41" s="133"/>
      <c r="AQ41" s="134"/>
      <c r="AR41" s="161"/>
      <c r="AS41" s="161"/>
      <c r="AT41" s="161"/>
      <c r="AU41" s="161"/>
      <c r="AV41" s="162"/>
      <c r="AW41" s="137">
        <f>AR41+AS41+AT41+AU41+AV41</f>
        <v>0</v>
      </c>
      <c r="AX41" s="137">
        <f>(AR41*I41)+(AS41*J41)+(AT41*K41)+(AU41*L41)+(AV41*M41)</f>
        <v>0</v>
      </c>
    </row>
    <row r="42" ht="21.95" customHeight="1" spans="1:50" s="97" customFormat="1" x14ac:dyDescent="0.25">
      <c r="A42" s="138" t="s">
        <v>56</v>
      </c>
      <c r="B42" s="139"/>
      <c r="C42" s="139"/>
      <c r="D42" s="139"/>
      <c r="E42" s="139"/>
      <c r="F42" s="139"/>
      <c r="G42" s="139"/>
      <c r="H42" s="140"/>
      <c r="I42" s="142">
        <v>85</v>
      </c>
      <c r="J42" s="142">
        <v>85</v>
      </c>
      <c r="K42" s="142"/>
      <c r="L42" s="142"/>
      <c r="M42" s="142"/>
      <c r="N42" s="170">
        <f>I42*I41+J42*J41+K42*K41+L42*L41+M42*M41</f>
        <v>85</v>
      </c>
      <c r="O42" s="144"/>
      <c r="P42" s="145"/>
      <c r="Q42" s="113"/>
      <c r="R42" s="113"/>
      <c r="S42" s="146"/>
      <c r="T42" s="147"/>
      <c r="U42" s="148"/>
      <c r="V42" s="149"/>
      <c r="W42" s="150"/>
      <c r="X42" s="151"/>
      <c r="Y42" s="152"/>
      <c r="Z42" s="151"/>
      <c r="AA42" s="153"/>
      <c r="AB42" s="154"/>
      <c r="AC42" s="149"/>
      <c r="AD42" s="148"/>
      <c r="AE42" s="148"/>
      <c r="AF42" s="155"/>
      <c r="AG42" s="156"/>
      <c r="AH42" s="113"/>
      <c r="AI42" s="157"/>
      <c r="AJ42" s="113"/>
      <c r="AK42" s="113"/>
      <c r="AL42" s="158"/>
      <c r="AM42" s="159"/>
      <c r="AN42" s="160"/>
      <c r="AO42" s="160"/>
      <c r="AP42" s="133"/>
      <c r="AQ42" s="134"/>
      <c r="AR42" s="161"/>
      <c r="AS42" s="161"/>
      <c r="AT42" s="161"/>
      <c r="AU42" s="161"/>
      <c r="AV42" s="162"/>
      <c r="AW42" s="137"/>
      <c r="AX42" s="137"/>
    </row>
    <row r="43" ht="46.5" customHeight="1" spans="1:50" s="97" customFormat="1" x14ac:dyDescent="0.25">
      <c r="A43" s="100"/>
      <c r="B43" s="100"/>
      <c r="C43" s="102"/>
      <c r="D43" s="100"/>
      <c r="E43" s="212"/>
      <c r="F43" s="238"/>
      <c r="G43" s="103"/>
      <c r="H43" s="186"/>
      <c r="I43" s="195">
        <v>0.51</v>
      </c>
      <c r="J43" s="107">
        <v>0.49</v>
      </c>
      <c r="K43" s="107"/>
      <c r="L43" s="107"/>
      <c r="M43" s="187"/>
      <c r="N43" s="169">
        <f t="shared" ref="N43:N74" si="0">SUM(I43:M43)</f>
        <v>1</v>
      </c>
      <c r="O43" s="144">
        <v>1</v>
      </c>
      <c r="P43" s="145">
        <v>15</v>
      </c>
      <c r="Q43" s="113">
        <v>15</v>
      </c>
      <c r="R43" s="113"/>
      <c r="S43" s="113"/>
      <c r="T43" s="146"/>
      <c r="U43" s="148">
        <f t="shared" ref="U43:U74" si="1">ROUND(((P43*I43)+(Q43*J43)+(R43*K43)+(S43*L43)+(T43*M43))*O43,2)</f>
        <v>15</v>
      </c>
      <c r="V43" s="149">
        <f t="shared" ref="V43:V74" si="2">IF(U43&gt;=15,15,U43)</f>
        <v>15</v>
      </c>
      <c r="W43" s="189"/>
      <c r="X43" s="199"/>
      <c r="Y43" s="151"/>
      <c r="Z43" s="190"/>
      <c r="AA43" s="153"/>
      <c r="AB43" s="154">
        <f t="shared" ref="AB43:AB74" si="3">ROUND((((W43*I43)+(X43*J43)+(Y43*K43)+(Z43*L43)+(AA43*M43))/$I$2),2)*13</f>
        <v>0</v>
      </c>
      <c r="AC43" s="149">
        <f t="shared" ref="AC43:AC74" si="4">IF(AB43&gt;=13,13,AB43)</f>
        <v>0</v>
      </c>
      <c r="AD43" s="125">
        <v>2</v>
      </c>
      <c r="AE43" s="148">
        <f t="shared" ref="AE43:AE74" si="5">IF((AC43+AD43)&gt;=15,15,(AC43+AD43))</f>
        <v>2</v>
      </c>
      <c r="AF43" s="156"/>
      <c r="AG43" s="156"/>
      <c r="AH43" s="113">
        <f t="shared" ref="AH43:AH74" si="6">IF((V43+AE43+AF43)&gt;=30,30,(V43+AE43+AF43))</f>
        <v>17</v>
      </c>
      <c r="AI43" s="157">
        <v>65</v>
      </c>
      <c r="AJ43" s="113">
        <f t="shared" ref="AJ43:AJ74" si="7">V43+AE43+AF43+AI43+AG43</f>
        <v>82</v>
      </c>
      <c r="AK43" s="113">
        <f t="shared" ref="AK43:AK74" si="8">IF(AH43+AI43+AG43&gt;=95,95,AH43+AI43+AG43)</f>
        <v>82</v>
      </c>
      <c r="AL43" s="158">
        <f t="shared" ref="AL43:AL74" si="9">-((50-((176+(45+(50-AH43)))))/200)</f>
        <v>1.02</v>
      </c>
      <c r="AM43" s="159"/>
      <c r="AN43" s="160">
        <f t="shared" ref="AN43:AO62" si="10">100%+AM43</f>
        <v>1</v>
      </c>
      <c r="AO43" s="160">
        <f t="shared" si="10"/>
        <v>2</v>
      </c>
      <c r="AP43" s="133"/>
      <c r="AQ43" s="134"/>
      <c r="AR43" s="161"/>
      <c r="AS43" s="161"/>
      <c r="AT43" s="161"/>
      <c r="AU43" s="161"/>
      <c r="AV43" s="162"/>
      <c r="AW43" s="137">
        <f t="shared" ref="AW43:AW74" si="11">AR43+AS43+AT43+AU43+AV43</f>
        <v>0</v>
      </c>
      <c r="AX43" s="137">
        <f t="shared" ref="AX43:AX74" si="12">(AR43*I43)+(AS43*J43)+(AT43*K43)+(AU43*L43)+(AV43*M43)</f>
        <v>0</v>
      </c>
    </row>
    <row r="44" ht="46.5" customHeight="1" spans="1:50" s="97" customFormat="1" x14ac:dyDescent="0.25">
      <c r="A44" s="100"/>
      <c r="B44" s="100"/>
      <c r="C44" s="100"/>
      <c r="D44" s="100"/>
      <c r="E44" s="100"/>
      <c r="F44" s="100"/>
      <c r="G44" s="103"/>
      <c r="H44" s="186"/>
      <c r="I44" s="195">
        <v>0.51</v>
      </c>
      <c r="J44" s="107">
        <v>0.49</v>
      </c>
      <c r="K44" s="107"/>
      <c r="L44" s="107"/>
      <c r="M44" s="187"/>
      <c r="N44" s="169">
        <f t="shared" si="0"/>
        <v>1</v>
      </c>
      <c r="O44" s="144">
        <v>1</v>
      </c>
      <c r="P44" s="145">
        <v>15</v>
      </c>
      <c r="Q44" s="113">
        <v>15</v>
      </c>
      <c r="R44" s="113"/>
      <c r="S44" s="113"/>
      <c r="T44" s="146"/>
      <c r="U44" s="148">
        <f t="shared" si="1"/>
        <v>15</v>
      </c>
      <c r="V44" s="149">
        <f t="shared" si="2"/>
        <v>15</v>
      </c>
      <c r="W44" s="189"/>
      <c r="X44" s="199"/>
      <c r="Y44" s="151"/>
      <c r="Z44" s="190"/>
      <c r="AA44" s="153"/>
      <c r="AB44" s="154">
        <f t="shared" si="3"/>
        <v>0</v>
      </c>
      <c r="AC44" s="149">
        <f t="shared" si="4"/>
        <v>0</v>
      </c>
      <c r="AD44" s="125">
        <v>2</v>
      </c>
      <c r="AE44" s="148">
        <f t="shared" si="5"/>
        <v>2</v>
      </c>
      <c r="AF44" s="156"/>
      <c r="AG44" s="156"/>
      <c r="AH44" s="113">
        <f t="shared" si="6"/>
        <v>17</v>
      </c>
      <c r="AI44" s="157">
        <v>65</v>
      </c>
      <c r="AJ44" s="113">
        <f t="shared" si="7"/>
        <v>82</v>
      </c>
      <c r="AK44" s="113">
        <f t="shared" si="8"/>
        <v>82</v>
      </c>
      <c r="AL44" s="158">
        <f t="shared" si="9"/>
        <v>1.02</v>
      </c>
      <c r="AM44" s="159"/>
      <c r="AN44" s="160">
        <f t="shared" si="10"/>
        <v>1</v>
      </c>
      <c r="AO44" s="160">
        <f t="shared" si="10"/>
        <v>2</v>
      </c>
      <c r="AP44" s="133"/>
      <c r="AQ44" s="134"/>
      <c r="AR44" s="161"/>
      <c r="AS44" s="161"/>
      <c r="AT44" s="161"/>
      <c r="AU44" s="161"/>
      <c r="AV44" s="162"/>
      <c r="AW44" s="137">
        <f t="shared" si="11"/>
        <v>0</v>
      </c>
      <c r="AX44" s="137">
        <f t="shared" si="12"/>
        <v>0</v>
      </c>
    </row>
    <row r="45" ht="46.5" customHeight="1" spans="1:50" s="97" customFormat="1" x14ac:dyDescent="0.25">
      <c r="A45" s="100"/>
      <c r="B45" s="100"/>
      <c r="C45" s="100"/>
      <c r="D45" s="100"/>
      <c r="E45" s="100"/>
      <c r="F45" s="100"/>
      <c r="G45" s="103"/>
      <c r="H45" s="186"/>
      <c r="I45" s="195">
        <v>0.51</v>
      </c>
      <c r="J45" s="107">
        <v>0.49</v>
      </c>
      <c r="K45" s="107"/>
      <c r="L45" s="107"/>
      <c r="M45" s="187"/>
      <c r="N45" s="169">
        <f t="shared" si="0"/>
        <v>1</v>
      </c>
      <c r="O45" s="144">
        <v>1</v>
      </c>
      <c r="P45" s="145">
        <v>15</v>
      </c>
      <c r="Q45" s="113">
        <v>15</v>
      </c>
      <c r="R45" s="113"/>
      <c r="S45" s="113"/>
      <c r="T45" s="146"/>
      <c r="U45" s="148">
        <f t="shared" si="1"/>
        <v>15</v>
      </c>
      <c r="V45" s="149">
        <f t="shared" si="2"/>
        <v>15</v>
      </c>
      <c r="W45" s="189"/>
      <c r="X45" s="199"/>
      <c r="Y45" s="151"/>
      <c r="Z45" s="190"/>
      <c r="AA45" s="153"/>
      <c r="AB45" s="154">
        <f t="shared" si="3"/>
        <v>0</v>
      </c>
      <c r="AC45" s="149">
        <f t="shared" si="4"/>
        <v>0</v>
      </c>
      <c r="AD45" s="125">
        <v>2</v>
      </c>
      <c r="AE45" s="148">
        <f t="shared" si="5"/>
        <v>2</v>
      </c>
      <c r="AF45" s="156"/>
      <c r="AG45" s="156"/>
      <c r="AH45" s="113">
        <f t="shared" si="6"/>
        <v>17</v>
      </c>
      <c r="AI45" s="157">
        <v>65</v>
      </c>
      <c r="AJ45" s="113">
        <f t="shared" si="7"/>
        <v>82</v>
      </c>
      <c r="AK45" s="113">
        <f t="shared" si="8"/>
        <v>82</v>
      </c>
      <c r="AL45" s="158">
        <f t="shared" si="9"/>
        <v>1.02</v>
      </c>
      <c r="AM45" s="159"/>
      <c r="AN45" s="160">
        <f t="shared" si="10"/>
        <v>1</v>
      </c>
      <c r="AO45" s="160">
        <f t="shared" si="10"/>
        <v>2</v>
      </c>
      <c r="AP45" s="133"/>
      <c r="AQ45" s="134"/>
      <c r="AR45" s="161"/>
      <c r="AS45" s="161"/>
      <c r="AT45" s="161"/>
      <c r="AU45" s="161"/>
      <c r="AV45" s="162"/>
      <c r="AW45" s="137">
        <f t="shared" si="11"/>
        <v>0</v>
      </c>
      <c r="AX45" s="137">
        <f t="shared" si="12"/>
        <v>0</v>
      </c>
    </row>
    <row r="46" ht="46.5" customHeight="1" spans="1:50" s="97" customFormat="1" x14ac:dyDescent="0.25">
      <c r="A46" s="100"/>
      <c r="B46" s="100"/>
      <c r="C46" s="100" t="s">
        <v>58</v>
      </c>
      <c r="D46" s="100" t="s">
        <v>165</v>
      </c>
      <c r="E46" s="174" t="s">
        <v>166</v>
      </c>
      <c r="F46" s="174" t="s">
        <v>167</v>
      </c>
      <c r="G46" s="103"/>
      <c r="H46" s="186"/>
      <c r="I46" s="195">
        <v>0.51</v>
      </c>
      <c r="J46" s="107">
        <v>0.49</v>
      </c>
      <c r="K46" s="107"/>
      <c r="L46" s="107"/>
      <c r="M46" s="187"/>
      <c r="N46" s="169">
        <f t="shared" si="0"/>
        <v>1</v>
      </c>
      <c r="O46" s="144">
        <v>1</v>
      </c>
      <c r="P46" s="145">
        <v>15</v>
      </c>
      <c r="Q46" s="113">
        <v>15</v>
      </c>
      <c r="R46" s="113"/>
      <c r="S46" s="113"/>
      <c r="T46" s="146"/>
      <c r="U46" s="148">
        <f t="shared" si="1"/>
        <v>15</v>
      </c>
      <c r="V46" s="149">
        <f t="shared" si="2"/>
        <v>15</v>
      </c>
      <c r="W46" s="189"/>
      <c r="X46" s="199"/>
      <c r="Y46" s="151"/>
      <c r="Z46" s="190"/>
      <c r="AA46" s="153"/>
      <c r="AB46" s="154">
        <f t="shared" si="3"/>
        <v>0</v>
      </c>
      <c r="AC46" s="149">
        <f t="shared" si="4"/>
        <v>0</v>
      </c>
      <c r="AD46" s="125">
        <v>2</v>
      </c>
      <c r="AE46" s="148">
        <f t="shared" si="5"/>
        <v>2</v>
      </c>
      <c r="AF46" s="156"/>
      <c r="AG46" s="156"/>
      <c r="AH46" s="113">
        <f t="shared" si="6"/>
        <v>17</v>
      </c>
      <c r="AI46" s="157">
        <v>65</v>
      </c>
      <c r="AJ46" s="113">
        <f t="shared" si="7"/>
        <v>82</v>
      </c>
      <c r="AK46" s="113">
        <f t="shared" si="8"/>
        <v>82</v>
      </c>
      <c r="AL46" s="158">
        <f t="shared" si="9"/>
        <v>1.02</v>
      </c>
      <c r="AM46" s="159"/>
      <c r="AN46" s="160">
        <f t="shared" si="10"/>
        <v>1</v>
      </c>
      <c r="AO46" s="160">
        <f t="shared" si="10"/>
        <v>2</v>
      </c>
      <c r="AP46" s="133"/>
      <c r="AQ46" s="134"/>
      <c r="AR46" s="161"/>
      <c r="AS46" s="161"/>
      <c r="AT46" s="161"/>
      <c r="AU46" s="161"/>
      <c r="AV46" s="162"/>
      <c r="AW46" s="137">
        <f t="shared" si="11"/>
        <v>0</v>
      </c>
      <c r="AX46" s="137">
        <f t="shared" si="12"/>
        <v>0</v>
      </c>
    </row>
    <row r="47" ht="46.5" customHeight="1" spans="1:50" s="97" customFormat="1" x14ac:dyDescent="0.25">
      <c r="A47" s="100"/>
      <c r="B47" s="100"/>
      <c r="C47" s="102" t="s">
        <v>55</v>
      </c>
      <c r="D47" s="100" t="s">
        <v>168</v>
      </c>
      <c r="E47" s="212" t="s">
        <v>160</v>
      </c>
      <c r="F47" s="210" t="s">
        <v>169</v>
      </c>
      <c r="G47" s="103"/>
      <c r="H47" s="186"/>
      <c r="I47" s="195">
        <v>0.51</v>
      </c>
      <c r="J47" s="107">
        <v>0.49</v>
      </c>
      <c r="K47" s="107"/>
      <c r="L47" s="107"/>
      <c r="M47" s="187"/>
      <c r="N47" s="169">
        <f t="shared" si="0"/>
        <v>1</v>
      </c>
      <c r="O47" s="144">
        <v>1</v>
      </c>
      <c r="P47" s="145">
        <v>15</v>
      </c>
      <c r="Q47" s="113">
        <v>15</v>
      </c>
      <c r="R47" s="113"/>
      <c r="S47" s="113"/>
      <c r="T47" s="146"/>
      <c r="U47" s="148">
        <f t="shared" si="1"/>
        <v>15</v>
      </c>
      <c r="V47" s="149">
        <f t="shared" si="2"/>
        <v>15</v>
      </c>
      <c r="W47" s="189"/>
      <c r="X47" s="199"/>
      <c r="Y47" s="151"/>
      <c r="Z47" s="190"/>
      <c r="AA47" s="153"/>
      <c r="AB47" s="154">
        <f t="shared" si="3"/>
        <v>0</v>
      </c>
      <c r="AC47" s="149">
        <f t="shared" si="4"/>
        <v>0</v>
      </c>
      <c r="AD47" s="125">
        <v>2</v>
      </c>
      <c r="AE47" s="148">
        <f t="shared" si="5"/>
        <v>2</v>
      </c>
      <c r="AF47" s="156"/>
      <c r="AG47" s="156"/>
      <c r="AH47" s="113">
        <f t="shared" si="6"/>
        <v>17</v>
      </c>
      <c r="AI47" s="157">
        <v>65</v>
      </c>
      <c r="AJ47" s="113">
        <f t="shared" si="7"/>
        <v>82</v>
      </c>
      <c r="AK47" s="113">
        <f t="shared" si="8"/>
        <v>82</v>
      </c>
      <c r="AL47" s="158">
        <f t="shared" si="9"/>
        <v>1.02</v>
      </c>
      <c r="AM47" s="159"/>
      <c r="AN47" s="160">
        <f t="shared" si="10"/>
        <v>1</v>
      </c>
      <c r="AO47" s="160">
        <f t="shared" si="10"/>
        <v>2</v>
      </c>
      <c r="AP47" s="133"/>
      <c r="AQ47" s="134"/>
      <c r="AR47" s="161"/>
      <c r="AS47" s="161"/>
      <c r="AT47" s="161"/>
      <c r="AU47" s="161"/>
      <c r="AV47" s="162"/>
      <c r="AW47" s="137">
        <f t="shared" si="11"/>
        <v>0</v>
      </c>
      <c r="AX47" s="137">
        <f t="shared" si="12"/>
        <v>0</v>
      </c>
    </row>
    <row r="48" ht="46.5" customHeight="1" spans="1:50" s="97" customFormat="1" x14ac:dyDescent="0.25">
      <c r="A48" s="100"/>
      <c r="B48" s="100"/>
      <c r="C48" s="100"/>
      <c r="D48" s="100"/>
      <c r="E48" s="100"/>
      <c r="F48" s="100"/>
      <c r="G48" s="103"/>
      <c r="H48" s="186"/>
      <c r="I48" s="195">
        <v>0.51</v>
      </c>
      <c r="J48" s="107">
        <v>0.49</v>
      </c>
      <c r="K48" s="107"/>
      <c r="L48" s="107"/>
      <c r="M48" s="187"/>
      <c r="N48" s="169">
        <f t="shared" si="0"/>
        <v>1</v>
      </c>
      <c r="O48" s="144">
        <v>1</v>
      </c>
      <c r="P48" s="145">
        <v>15</v>
      </c>
      <c r="Q48" s="113">
        <v>15</v>
      </c>
      <c r="R48" s="113"/>
      <c r="S48" s="113"/>
      <c r="T48" s="146"/>
      <c r="U48" s="148">
        <f t="shared" si="1"/>
        <v>15</v>
      </c>
      <c r="V48" s="149">
        <f t="shared" si="2"/>
        <v>15</v>
      </c>
      <c r="W48" s="189"/>
      <c r="X48" s="199"/>
      <c r="Y48" s="151"/>
      <c r="Z48" s="190"/>
      <c r="AA48" s="153"/>
      <c r="AB48" s="154">
        <f t="shared" si="3"/>
        <v>0</v>
      </c>
      <c r="AC48" s="149">
        <f t="shared" si="4"/>
        <v>0</v>
      </c>
      <c r="AD48" s="125">
        <v>2</v>
      </c>
      <c r="AE48" s="148">
        <f t="shared" si="5"/>
        <v>2</v>
      </c>
      <c r="AF48" s="156"/>
      <c r="AG48" s="156"/>
      <c r="AH48" s="113">
        <f t="shared" si="6"/>
        <v>17</v>
      </c>
      <c r="AI48" s="157">
        <v>65</v>
      </c>
      <c r="AJ48" s="113">
        <f t="shared" si="7"/>
        <v>82</v>
      </c>
      <c r="AK48" s="113">
        <f t="shared" si="8"/>
        <v>82</v>
      </c>
      <c r="AL48" s="158">
        <f t="shared" si="9"/>
        <v>1.02</v>
      </c>
      <c r="AM48" s="159"/>
      <c r="AN48" s="160">
        <f t="shared" si="10"/>
        <v>1</v>
      </c>
      <c r="AO48" s="160">
        <f t="shared" si="10"/>
        <v>2</v>
      </c>
      <c r="AP48" s="133"/>
      <c r="AQ48" s="134"/>
      <c r="AR48" s="161"/>
      <c r="AS48" s="161"/>
      <c r="AT48" s="161"/>
      <c r="AU48" s="161"/>
      <c r="AV48" s="162"/>
      <c r="AW48" s="137">
        <f t="shared" si="11"/>
        <v>0</v>
      </c>
      <c r="AX48" s="137">
        <f t="shared" si="12"/>
        <v>0</v>
      </c>
    </row>
    <row r="49" ht="46.5" customHeight="1" spans="1:50" s="97" customFormat="1" x14ac:dyDescent="0.25">
      <c r="A49" s="100"/>
      <c r="B49" s="100"/>
      <c r="C49" s="100"/>
      <c r="D49" s="100"/>
      <c r="E49" s="100"/>
      <c r="F49" s="100"/>
      <c r="G49" s="103"/>
      <c r="H49" s="186"/>
      <c r="I49" s="195">
        <v>0.51</v>
      </c>
      <c r="J49" s="107">
        <v>0.49</v>
      </c>
      <c r="K49" s="107"/>
      <c r="L49" s="107"/>
      <c r="M49" s="187"/>
      <c r="N49" s="169">
        <f t="shared" si="0"/>
        <v>1</v>
      </c>
      <c r="O49" s="144">
        <v>1</v>
      </c>
      <c r="P49" s="145">
        <v>15</v>
      </c>
      <c r="Q49" s="113">
        <v>15</v>
      </c>
      <c r="R49" s="113"/>
      <c r="S49" s="113"/>
      <c r="T49" s="146"/>
      <c r="U49" s="148">
        <f t="shared" si="1"/>
        <v>15</v>
      </c>
      <c r="V49" s="149">
        <f t="shared" si="2"/>
        <v>15</v>
      </c>
      <c r="W49" s="189"/>
      <c r="X49" s="199"/>
      <c r="Y49" s="151"/>
      <c r="Z49" s="190"/>
      <c r="AA49" s="153"/>
      <c r="AB49" s="154">
        <f t="shared" si="3"/>
        <v>0</v>
      </c>
      <c r="AC49" s="149">
        <f t="shared" si="4"/>
        <v>0</v>
      </c>
      <c r="AD49" s="125">
        <v>2</v>
      </c>
      <c r="AE49" s="148">
        <f t="shared" si="5"/>
        <v>2</v>
      </c>
      <c r="AF49" s="156"/>
      <c r="AG49" s="156"/>
      <c r="AH49" s="113">
        <f t="shared" si="6"/>
        <v>17</v>
      </c>
      <c r="AI49" s="157">
        <v>65</v>
      </c>
      <c r="AJ49" s="113">
        <f t="shared" si="7"/>
        <v>82</v>
      </c>
      <c r="AK49" s="113">
        <f t="shared" si="8"/>
        <v>82</v>
      </c>
      <c r="AL49" s="158">
        <f t="shared" si="9"/>
        <v>1.02</v>
      </c>
      <c r="AM49" s="159"/>
      <c r="AN49" s="160">
        <f t="shared" si="10"/>
        <v>1</v>
      </c>
      <c r="AO49" s="160">
        <f t="shared" si="10"/>
        <v>2</v>
      </c>
      <c r="AP49" s="133"/>
      <c r="AQ49" s="134"/>
      <c r="AR49" s="161"/>
      <c r="AS49" s="161"/>
      <c r="AT49" s="161"/>
      <c r="AU49" s="161"/>
      <c r="AV49" s="162"/>
      <c r="AW49" s="137">
        <f t="shared" si="11"/>
        <v>0</v>
      </c>
      <c r="AX49" s="137">
        <f t="shared" si="12"/>
        <v>0</v>
      </c>
    </row>
    <row r="50" ht="46.5" customHeight="1" spans="1:50" s="97" customFormat="1" x14ac:dyDescent="0.25">
      <c r="A50" s="100"/>
      <c r="B50" s="100"/>
      <c r="C50" s="100"/>
      <c r="D50" s="100"/>
      <c r="E50" s="100"/>
      <c r="F50" s="100"/>
      <c r="G50" s="103"/>
      <c r="H50" s="186"/>
      <c r="I50" s="195">
        <v>0.51</v>
      </c>
      <c r="J50" s="107">
        <v>0.49</v>
      </c>
      <c r="K50" s="107"/>
      <c r="L50" s="107"/>
      <c r="M50" s="187"/>
      <c r="N50" s="169">
        <f t="shared" si="0"/>
        <v>1</v>
      </c>
      <c r="O50" s="144">
        <v>1</v>
      </c>
      <c r="P50" s="145">
        <v>15</v>
      </c>
      <c r="Q50" s="113">
        <v>15</v>
      </c>
      <c r="R50" s="113"/>
      <c r="S50" s="113"/>
      <c r="T50" s="146"/>
      <c r="U50" s="148">
        <f t="shared" si="1"/>
        <v>15</v>
      </c>
      <c r="V50" s="149">
        <f t="shared" si="2"/>
        <v>15</v>
      </c>
      <c r="W50" s="189"/>
      <c r="X50" s="199"/>
      <c r="Y50" s="151"/>
      <c r="Z50" s="190"/>
      <c r="AA50" s="153"/>
      <c r="AB50" s="154">
        <f t="shared" si="3"/>
        <v>0</v>
      </c>
      <c r="AC50" s="149">
        <f t="shared" si="4"/>
        <v>0</v>
      </c>
      <c r="AD50" s="125">
        <v>2</v>
      </c>
      <c r="AE50" s="148">
        <f t="shared" si="5"/>
        <v>2</v>
      </c>
      <c r="AF50" s="156"/>
      <c r="AG50" s="156"/>
      <c r="AH50" s="113">
        <f t="shared" si="6"/>
        <v>17</v>
      </c>
      <c r="AI50" s="157">
        <v>65</v>
      </c>
      <c r="AJ50" s="113">
        <f t="shared" si="7"/>
        <v>82</v>
      </c>
      <c r="AK50" s="113">
        <f t="shared" si="8"/>
        <v>82</v>
      </c>
      <c r="AL50" s="158">
        <f t="shared" si="9"/>
        <v>1.02</v>
      </c>
      <c r="AM50" s="159"/>
      <c r="AN50" s="160">
        <f t="shared" si="10"/>
        <v>1</v>
      </c>
      <c r="AO50" s="160">
        <f t="shared" si="10"/>
        <v>2</v>
      </c>
      <c r="AP50" s="133"/>
      <c r="AQ50" s="134"/>
      <c r="AR50" s="161"/>
      <c r="AS50" s="161"/>
      <c r="AT50" s="161"/>
      <c r="AU50" s="161"/>
      <c r="AV50" s="162"/>
      <c r="AW50" s="137">
        <f t="shared" si="11"/>
        <v>0</v>
      </c>
      <c r="AX50" s="137">
        <f t="shared" si="12"/>
        <v>0</v>
      </c>
    </row>
    <row r="51" ht="46.5" customHeight="1" spans="1:50" s="97" customFormat="1" x14ac:dyDescent="0.25">
      <c r="A51" s="100"/>
      <c r="B51" s="100"/>
      <c r="C51" s="100"/>
      <c r="D51" s="100"/>
      <c r="E51" s="100"/>
      <c r="F51" s="100"/>
      <c r="G51" s="103"/>
      <c r="H51" s="186"/>
      <c r="I51" s="195">
        <v>0.51</v>
      </c>
      <c r="J51" s="107">
        <v>0.49</v>
      </c>
      <c r="K51" s="107"/>
      <c r="L51" s="107"/>
      <c r="M51" s="187"/>
      <c r="N51" s="169">
        <f t="shared" si="0"/>
        <v>1</v>
      </c>
      <c r="O51" s="144">
        <v>1</v>
      </c>
      <c r="P51" s="145">
        <v>15</v>
      </c>
      <c r="Q51" s="113">
        <v>15</v>
      </c>
      <c r="R51" s="113"/>
      <c r="S51" s="113"/>
      <c r="T51" s="146"/>
      <c r="U51" s="148">
        <f t="shared" si="1"/>
        <v>15</v>
      </c>
      <c r="V51" s="149">
        <f t="shared" si="2"/>
        <v>15</v>
      </c>
      <c r="W51" s="189"/>
      <c r="X51" s="199"/>
      <c r="Y51" s="151"/>
      <c r="Z51" s="190"/>
      <c r="AA51" s="153"/>
      <c r="AB51" s="154">
        <f t="shared" si="3"/>
        <v>0</v>
      </c>
      <c r="AC51" s="149">
        <f t="shared" si="4"/>
        <v>0</v>
      </c>
      <c r="AD51" s="125">
        <v>2</v>
      </c>
      <c r="AE51" s="148">
        <f t="shared" si="5"/>
        <v>2</v>
      </c>
      <c r="AF51" s="156"/>
      <c r="AG51" s="156"/>
      <c r="AH51" s="113">
        <f t="shared" si="6"/>
        <v>17</v>
      </c>
      <c r="AI51" s="157">
        <v>65</v>
      </c>
      <c r="AJ51" s="113">
        <f t="shared" si="7"/>
        <v>82</v>
      </c>
      <c r="AK51" s="113">
        <f t="shared" si="8"/>
        <v>82</v>
      </c>
      <c r="AL51" s="158">
        <f t="shared" si="9"/>
        <v>1.02</v>
      </c>
      <c r="AM51" s="159"/>
      <c r="AN51" s="160">
        <f t="shared" si="10"/>
        <v>1</v>
      </c>
      <c r="AO51" s="160">
        <f t="shared" si="10"/>
        <v>2</v>
      </c>
      <c r="AP51" s="133"/>
      <c r="AQ51" s="134"/>
      <c r="AR51" s="161"/>
      <c r="AS51" s="161"/>
      <c r="AT51" s="161"/>
      <c r="AU51" s="161"/>
      <c r="AV51" s="162"/>
      <c r="AW51" s="137">
        <f t="shared" si="11"/>
        <v>0</v>
      </c>
      <c r="AX51" s="137">
        <f t="shared" si="12"/>
        <v>0</v>
      </c>
    </row>
    <row r="52" ht="46.5" customHeight="1" spans="1:50" s="97" customFormat="1" x14ac:dyDescent="0.25">
      <c r="A52" s="100"/>
      <c r="B52" s="100"/>
      <c r="C52" s="100"/>
      <c r="D52" s="100"/>
      <c r="E52" s="100"/>
      <c r="F52" s="100"/>
      <c r="G52" s="103"/>
      <c r="H52" s="186"/>
      <c r="I52" s="195">
        <v>0.51</v>
      </c>
      <c r="J52" s="107">
        <v>0.49</v>
      </c>
      <c r="K52" s="107"/>
      <c r="L52" s="107"/>
      <c r="M52" s="187"/>
      <c r="N52" s="169">
        <f t="shared" si="0"/>
        <v>1</v>
      </c>
      <c r="O52" s="144">
        <v>1</v>
      </c>
      <c r="P52" s="145">
        <v>15</v>
      </c>
      <c r="Q52" s="113">
        <v>15</v>
      </c>
      <c r="R52" s="113"/>
      <c r="S52" s="113"/>
      <c r="T52" s="146"/>
      <c r="U52" s="148">
        <f t="shared" si="1"/>
        <v>15</v>
      </c>
      <c r="V52" s="149">
        <f t="shared" si="2"/>
        <v>15</v>
      </c>
      <c r="W52" s="189"/>
      <c r="X52" s="199"/>
      <c r="Y52" s="151"/>
      <c r="Z52" s="190"/>
      <c r="AA52" s="153"/>
      <c r="AB52" s="154">
        <f t="shared" si="3"/>
        <v>0</v>
      </c>
      <c r="AC52" s="149">
        <f t="shared" si="4"/>
        <v>0</v>
      </c>
      <c r="AD52" s="125">
        <v>2</v>
      </c>
      <c r="AE52" s="148">
        <f t="shared" si="5"/>
        <v>2</v>
      </c>
      <c r="AF52" s="156"/>
      <c r="AG52" s="156"/>
      <c r="AH52" s="113">
        <f t="shared" si="6"/>
        <v>17</v>
      </c>
      <c r="AI52" s="157">
        <v>65</v>
      </c>
      <c r="AJ52" s="113">
        <f t="shared" si="7"/>
        <v>82</v>
      </c>
      <c r="AK52" s="113">
        <f t="shared" si="8"/>
        <v>82</v>
      </c>
      <c r="AL52" s="158">
        <f t="shared" si="9"/>
        <v>1.02</v>
      </c>
      <c r="AM52" s="159"/>
      <c r="AN52" s="160">
        <f t="shared" si="10"/>
        <v>1</v>
      </c>
      <c r="AO52" s="160">
        <f t="shared" si="10"/>
        <v>2</v>
      </c>
      <c r="AP52" s="133"/>
      <c r="AQ52" s="134"/>
      <c r="AR52" s="161"/>
      <c r="AS52" s="161"/>
      <c r="AT52" s="161"/>
      <c r="AU52" s="161"/>
      <c r="AV52" s="162"/>
      <c r="AW52" s="137">
        <f t="shared" si="11"/>
        <v>0</v>
      </c>
      <c r="AX52" s="137">
        <f t="shared" si="12"/>
        <v>0</v>
      </c>
    </row>
    <row r="53" ht="46.5" customHeight="1" spans="1:50" s="97" customFormat="1" x14ac:dyDescent="0.25">
      <c r="A53" s="100"/>
      <c r="B53" s="100"/>
      <c r="C53" s="100"/>
      <c r="D53" s="100"/>
      <c r="E53" s="100"/>
      <c r="F53" s="100"/>
      <c r="G53" s="103"/>
      <c r="H53" s="186"/>
      <c r="I53" s="195">
        <v>0.51</v>
      </c>
      <c r="J53" s="107">
        <v>0.49</v>
      </c>
      <c r="K53" s="107"/>
      <c r="L53" s="107"/>
      <c r="M53" s="187"/>
      <c r="N53" s="169">
        <f t="shared" si="0"/>
        <v>1</v>
      </c>
      <c r="O53" s="144">
        <v>1</v>
      </c>
      <c r="P53" s="145">
        <v>15</v>
      </c>
      <c r="Q53" s="113">
        <v>15</v>
      </c>
      <c r="R53" s="113"/>
      <c r="S53" s="113"/>
      <c r="T53" s="146"/>
      <c r="U53" s="148">
        <f t="shared" si="1"/>
        <v>15</v>
      </c>
      <c r="V53" s="149">
        <f t="shared" si="2"/>
        <v>15</v>
      </c>
      <c r="W53" s="189"/>
      <c r="X53" s="199"/>
      <c r="Y53" s="151"/>
      <c r="Z53" s="190"/>
      <c r="AA53" s="153"/>
      <c r="AB53" s="154">
        <f t="shared" si="3"/>
        <v>0</v>
      </c>
      <c r="AC53" s="149">
        <f t="shared" si="4"/>
        <v>0</v>
      </c>
      <c r="AD53" s="125">
        <v>2</v>
      </c>
      <c r="AE53" s="148">
        <f t="shared" si="5"/>
        <v>2</v>
      </c>
      <c r="AF53" s="156"/>
      <c r="AG53" s="156"/>
      <c r="AH53" s="113">
        <f t="shared" si="6"/>
        <v>17</v>
      </c>
      <c r="AI53" s="157">
        <v>65</v>
      </c>
      <c r="AJ53" s="113">
        <f t="shared" si="7"/>
        <v>82</v>
      </c>
      <c r="AK53" s="113">
        <f t="shared" si="8"/>
        <v>82</v>
      </c>
      <c r="AL53" s="158">
        <f t="shared" si="9"/>
        <v>1.02</v>
      </c>
      <c r="AM53" s="159"/>
      <c r="AN53" s="160">
        <f t="shared" si="10"/>
        <v>1</v>
      </c>
      <c r="AO53" s="160">
        <f t="shared" si="10"/>
        <v>2</v>
      </c>
      <c r="AP53" s="133"/>
      <c r="AQ53" s="134"/>
      <c r="AR53" s="161"/>
      <c r="AS53" s="161"/>
      <c r="AT53" s="161"/>
      <c r="AU53" s="161"/>
      <c r="AV53" s="162"/>
      <c r="AW53" s="137">
        <f t="shared" si="11"/>
        <v>0</v>
      </c>
      <c r="AX53" s="137">
        <f t="shared" si="12"/>
        <v>0</v>
      </c>
    </row>
    <row r="54" ht="46.5" customHeight="1" spans="1:50" s="97" customFormat="1" x14ac:dyDescent="0.25">
      <c r="A54" s="100"/>
      <c r="B54" s="100"/>
      <c r="C54" s="100"/>
      <c r="D54" s="100"/>
      <c r="E54" s="100"/>
      <c r="F54" s="100"/>
      <c r="G54" s="103"/>
      <c r="H54" s="186"/>
      <c r="I54" s="195">
        <v>0.51</v>
      </c>
      <c r="J54" s="107">
        <v>0.49</v>
      </c>
      <c r="K54" s="107"/>
      <c r="L54" s="107"/>
      <c r="M54" s="187"/>
      <c r="N54" s="169">
        <f t="shared" si="0"/>
        <v>1</v>
      </c>
      <c r="O54" s="144">
        <v>1</v>
      </c>
      <c r="P54" s="145">
        <v>15</v>
      </c>
      <c r="Q54" s="113">
        <v>15</v>
      </c>
      <c r="R54" s="113"/>
      <c r="S54" s="113"/>
      <c r="T54" s="146"/>
      <c r="U54" s="148">
        <f t="shared" si="1"/>
        <v>15</v>
      </c>
      <c r="V54" s="149">
        <f t="shared" si="2"/>
        <v>15</v>
      </c>
      <c r="W54" s="189"/>
      <c r="X54" s="199"/>
      <c r="Y54" s="151"/>
      <c r="Z54" s="190"/>
      <c r="AA54" s="153"/>
      <c r="AB54" s="154">
        <f t="shared" si="3"/>
        <v>0</v>
      </c>
      <c r="AC54" s="149">
        <f t="shared" si="4"/>
        <v>0</v>
      </c>
      <c r="AD54" s="125">
        <v>2</v>
      </c>
      <c r="AE54" s="148">
        <f t="shared" si="5"/>
        <v>2</v>
      </c>
      <c r="AF54" s="156"/>
      <c r="AG54" s="156"/>
      <c r="AH54" s="113">
        <f t="shared" si="6"/>
        <v>17</v>
      </c>
      <c r="AI54" s="157">
        <v>65</v>
      </c>
      <c r="AJ54" s="113">
        <f t="shared" si="7"/>
        <v>82</v>
      </c>
      <c r="AK54" s="113">
        <f t="shared" si="8"/>
        <v>82</v>
      </c>
      <c r="AL54" s="158">
        <f t="shared" si="9"/>
        <v>1.02</v>
      </c>
      <c r="AM54" s="159"/>
      <c r="AN54" s="160">
        <f t="shared" si="10"/>
        <v>1</v>
      </c>
      <c r="AO54" s="160">
        <f t="shared" si="10"/>
        <v>2</v>
      </c>
      <c r="AP54" s="133"/>
      <c r="AQ54" s="134"/>
      <c r="AR54" s="161"/>
      <c r="AS54" s="161"/>
      <c r="AT54" s="161"/>
      <c r="AU54" s="161"/>
      <c r="AV54" s="162"/>
      <c r="AW54" s="137">
        <f t="shared" si="11"/>
        <v>0</v>
      </c>
      <c r="AX54" s="137">
        <f t="shared" si="12"/>
        <v>0</v>
      </c>
    </row>
    <row r="55" ht="46.5" customHeight="1" spans="1:50" s="97" customFormat="1" x14ac:dyDescent="0.25">
      <c r="A55" s="100"/>
      <c r="B55" s="100"/>
      <c r="C55" s="100"/>
      <c r="D55" s="100"/>
      <c r="E55" s="100"/>
      <c r="F55" s="100"/>
      <c r="G55" s="103"/>
      <c r="H55" s="186"/>
      <c r="I55" s="195">
        <v>0.51</v>
      </c>
      <c r="J55" s="107">
        <v>0.49</v>
      </c>
      <c r="K55" s="107"/>
      <c r="L55" s="107"/>
      <c r="M55" s="187"/>
      <c r="N55" s="169">
        <f t="shared" si="0"/>
        <v>1</v>
      </c>
      <c r="O55" s="144">
        <v>1</v>
      </c>
      <c r="P55" s="145">
        <v>15</v>
      </c>
      <c r="Q55" s="113">
        <v>15</v>
      </c>
      <c r="R55" s="113"/>
      <c r="S55" s="113"/>
      <c r="T55" s="146"/>
      <c r="U55" s="148">
        <f t="shared" si="1"/>
        <v>15</v>
      </c>
      <c r="V55" s="149">
        <f t="shared" si="2"/>
        <v>15</v>
      </c>
      <c r="W55" s="189"/>
      <c r="X55" s="199"/>
      <c r="Y55" s="151"/>
      <c r="Z55" s="190"/>
      <c r="AA55" s="153"/>
      <c r="AB55" s="154">
        <f t="shared" si="3"/>
        <v>0</v>
      </c>
      <c r="AC55" s="149">
        <f t="shared" si="4"/>
        <v>0</v>
      </c>
      <c r="AD55" s="125">
        <v>2</v>
      </c>
      <c r="AE55" s="148">
        <f t="shared" si="5"/>
        <v>2</v>
      </c>
      <c r="AF55" s="156"/>
      <c r="AG55" s="156"/>
      <c r="AH55" s="113">
        <f t="shared" si="6"/>
        <v>17</v>
      </c>
      <c r="AI55" s="157">
        <v>65</v>
      </c>
      <c r="AJ55" s="113">
        <f t="shared" si="7"/>
        <v>82</v>
      </c>
      <c r="AK55" s="113">
        <f t="shared" si="8"/>
        <v>82</v>
      </c>
      <c r="AL55" s="158">
        <f t="shared" si="9"/>
        <v>1.02</v>
      </c>
      <c r="AM55" s="159"/>
      <c r="AN55" s="160">
        <f t="shared" si="10"/>
        <v>1</v>
      </c>
      <c r="AO55" s="160">
        <f t="shared" si="10"/>
        <v>2</v>
      </c>
      <c r="AP55" s="133"/>
      <c r="AQ55" s="134"/>
      <c r="AR55" s="161"/>
      <c r="AS55" s="161"/>
      <c r="AT55" s="161"/>
      <c r="AU55" s="161"/>
      <c r="AV55" s="162"/>
      <c r="AW55" s="137">
        <f t="shared" si="11"/>
        <v>0</v>
      </c>
      <c r="AX55" s="137">
        <f t="shared" si="12"/>
        <v>0</v>
      </c>
    </row>
    <row r="56" ht="46.5" customHeight="1" spans="1:50" s="97" customFormat="1" x14ac:dyDescent="0.25">
      <c r="A56" s="100"/>
      <c r="B56" s="100"/>
      <c r="C56" s="100"/>
      <c r="D56" s="100"/>
      <c r="E56" s="100"/>
      <c r="F56" s="100"/>
      <c r="G56" s="103"/>
      <c r="H56" s="186"/>
      <c r="I56" s="195">
        <v>0.51</v>
      </c>
      <c r="J56" s="107">
        <v>0.49</v>
      </c>
      <c r="K56" s="107"/>
      <c r="L56" s="107"/>
      <c r="M56" s="187"/>
      <c r="N56" s="169">
        <f t="shared" si="0"/>
        <v>1</v>
      </c>
      <c r="O56" s="144">
        <v>1</v>
      </c>
      <c r="P56" s="145">
        <v>15</v>
      </c>
      <c r="Q56" s="113">
        <v>15</v>
      </c>
      <c r="R56" s="113"/>
      <c r="S56" s="113"/>
      <c r="T56" s="146"/>
      <c r="U56" s="148">
        <f t="shared" si="1"/>
        <v>15</v>
      </c>
      <c r="V56" s="149">
        <f t="shared" si="2"/>
        <v>15</v>
      </c>
      <c r="W56" s="189"/>
      <c r="X56" s="199"/>
      <c r="Y56" s="151"/>
      <c r="Z56" s="190"/>
      <c r="AA56" s="153"/>
      <c r="AB56" s="154">
        <f t="shared" si="3"/>
        <v>0</v>
      </c>
      <c r="AC56" s="149">
        <f t="shared" si="4"/>
        <v>0</v>
      </c>
      <c r="AD56" s="125">
        <v>2</v>
      </c>
      <c r="AE56" s="148">
        <f t="shared" si="5"/>
        <v>2</v>
      </c>
      <c r="AF56" s="156"/>
      <c r="AG56" s="156"/>
      <c r="AH56" s="113">
        <f t="shared" si="6"/>
        <v>17</v>
      </c>
      <c r="AI56" s="157">
        <v>65</v>
      </c>
      <c r="AJ56" s="113">
        <f t="shared" si="7"/>
        <v>82</v>
      </c>
      <c r="AK56" s="113">
        <f t="shared" si="8"/>
        <v>82</v>
      </c>
      <c r="AL56" s="158">
        <f t="shared" si="9"/>
        <v>1.02</v>
      </c>
      <c r="AM56" s="159"/>
      <c r="AN56" s="160">
        <f t="shared" si="10"/>
        <v>1</v>
      </c>
      <c r="AO56" s="160">
        <f t="shared" si="10"/>
        <v>2</v>
      </c>
      <c r="AP56" s="133"/>
      <c r="AQ56" s="134"/>
      <c r="AR56" s="161"/>
      <c r="AS56" s="161"/>
      <c r="AT56" s="161"/>
      <c r="AU56" s="161"/>
      <c r="AV56" s="162"/>
      <c r="AW56" s="137">
        <f t="shared" si="11"/>
        <v>0</v>
      </c>
      <c r="AX56" s="137">
        <f t="shared" si="12"/>
        <v>0</v>
      </c>
    </row>
    <row r="57" ht="46.5" customHeight="1" spans="1:50" s="97" customFormat="1" x14ac:dyDescent="0.25">
      <c r="A57" s="100"/>
      <c r="B57" s="100"/>
      <c r="C57" s="100"/>
      <c r="D57" s="100"/>
      <c r="E57" s="100"/>
      <c r="F57" s="100"/>
      <c r="G57" s="103"/>
      <c r="H57" s="186"/>
      <c r="I57" s="195">
        <v>0.51</v>
      </c>
      <c r="J57" s="107">
        <v>0.49</v>
      </c>
      <c r="K57" s="107"/>
      <c r="L57" s="107"/>
      <c r="M57" s="187"/>
      <c r="N57" s="169">
        <f t="shared" si="0"/>
        <v>1</v>
      </c>
      <c r="O57" s="144">
        <v>1</v>
      </c>
      <c r="P57" s="145">
        <v>15</v>
      </c>
      <c r="Q57" s="113">
        <v>15</v>
      </c>
      <c r="R57" s="113"/>
      <c r="S57" s="113"/>
      <c r="T57" s="146"/>
      <c r="U57" s="148">
        <f t="shared" si="1"/>
        <v>15</v>
      </c>
      <c r="V57" s="149">
        <f t="shared" si="2"/>
        <v>15</v>
      </c>
      <c r="W57" s="189"/>
      <c r="X57" s="199"/>
      <c r="Y57" s="151"/>
      <c r="Z57" s="190"/>
      <c r="AA57" s="153"/>
      <c r="AB57" s="154">
        <f t="shared" si="3"/>
        <v>0</v>
      </c>
      <c r="AC57" s="149">
        <f t="shared" si="4"/>
        <v>0</v>
      </c>
      <c r="AD57" s="125">
        <v>2</v>
      </c>
      <c r="AE57" s="148">
        <f t="shared" si="5"/>
        <v>2</v>
      </c>
      <c r="AF57" s="156"/>
      <c r="AG57" s="156"/>
      <c r="AH57" s="113">
        <f t="shared" si="6"/>
        <v>17</v>
      </c>
      <c r="AI57" s="157">
        <v>65</v>
      </c>
      <c r="AJ57" s="113">
        <f t="shared" si="7"/>
        <v>82</v>
      </c>
      <c r="AK57" s="113">
        <f t="shared" si="8"/>
        <v>82</v>
      </c>
      <c r="AL57" s="158">
        <f t="shared" si="9"/>
        <v>1.02</v>
      </c>
      <c r="AM57" s="159"/>
      <c r="AN57" s="160">
        <f t="shared" si="10"/>
        <v>1</v>
      </c>
      <c r="AO57" s="160">
        <f t="shared" si="10"/>
        <v>2</v>
      </c>
      <c r="AP57" s="133"/>
      <c r="AQ57" s="134"/>
      <c r="AR57" s="161"/>
      <c r="AS57" s="161"/>
      <c r="AT57" s="161"/>
      <c r="AU57" s="161"/>
      <c r="AV57" s="162"/>
      <c r="AW57" s="137">
        <f t="shared" si="11"/>
        <v>0</v>
      </c>
      <c r="AX57" s="137">
        <f t="shared" si="12"/>
        <v>0</v>
      </c>
    </row>
    <row r="58" ht="46.5" customHeight="1" spans="1:50" s="97" customFormat="1" x14ac:dyDescent="0.25">
      <c r="A58" s="100"/>
      <c r="B58" s="100"/>
      <c r="C58" s="100"/>
      <c r="D58" s="100"/>
      <c r="E58" s="100"/>
      <c r="F58" s="100"/>
      <c r="G58" s="103"/>
      <c r="H58" s="186"/>
      <c r="I58" s="195">
        <v>0.51</v>
      </c>
      <c r="J58" s="107">
        <v>0.49</v>
      </c>
      <c r="K58" s="107"/>
      <c r="L58" s="107"/>
      <c r="M58" s="187"/>
      <c r="N58" s="169">
        <f t="shared" si="0"/>
        <v>1</v>
      </c>
      <c r="O58" s="144">
        <v>1</v>
      </c>
      <c r="P58" s="145">
        <v>15</v>
      </c>
      <c r="Q58" s="113">
        <v>15</v>
      </c>
      <c r="R58" s="113"/>
      <c r="S58" s="113"/>
      <c r="T58" s="146"/>
      <c r="U58" s="148">
        <f t="shared" si="1"/>
        <v>15</v>
      </c>
      <c r="V58" s="149">
        <f t="shared" si="2"/>
        <v>15</v>
      </c>
      <c r="W58" s="189"/>
      <c r="X58" s="199"/>
      <c r="Y58" s="151"/>
      <c r="Z58" s="190"/>
      <c r="AA58" s="153"/>
      <c r="AB58" s="154">
        <f t="shared" si="3"/>
        <v>0</v>
      </c>
      <c r="AC58" s="149">
        <f t="shared" si="4"/>
        <v>0</v>
      </c>
      <c r="AD58" s="125">
        <v>2</v>
      </c>
      <c r="AE58" s="148">
        <f t="shared" si="5"/>
        <v>2</v>
      </c>
      <c r="AF58" s="156"/>
      <c r="AG58" s="156"/>
      <c r="AH58" s="113">
        <f t="shared" si="6"/>
        <v>17</v>
      </c>
      <c r="AI58" s="157">
        <v>65</v>
      </c>
      <c r="AJ58" s="113">
        <f t="shared" si="7"/>
        <v>82</v>
      </c>
      <c r="AK58" s="113">
        <f t="shared" si="8"/>
        <v>82</v>
      </c>
      <c r="AL58" s="158">
        <f t="shared" si="9"/>
        <v>1.02</v>
      </c>
      <c r="AM58" s="159"/>
      <c r="AN58" s="160">
        <f t="shared" si="10"/>
        <v>1</v>
      </c>
      <c r="AO58" s="160">
        <f t="shared" si="10"/>
        <v>2</v>
      </c>
      <c r="AP58" s="133"/>
      <c r="AQ58" s="134"/>
      <c r="AR58" s="161"/>
      <c r="AS58" s="161"/>
      <c r="AT58" s="161"/>
      <c r="AU58" s="161"/>
      <c r="AV58" s="162"/>
      <c r="AW58" s="137">
        <f t="shared" si="11"/>
        <v>0</v>
      </c>
      <c r="AX58" s="137">
        <f t="shared" si="12"/>
        <v>0</v>
      </c>
    </row>
    <row r="59" ht="46.5" customHeight="1" spans="1:50" s="97" customFormat="1" x14ac:dyDescent="0.25">
      <c r="A59" s="100"/>
      <c r="B59" s="100"/>
      <c r="C59" s="100"/>
      <c r="D59" s="100"/>
      <c r="E59" s="100"/>
      <c r="F59" s="100"/>
      <c r="G59" s="103"/>
      <c r="H59" s="186"/>
      <c r="I59" s="195">
        <v>0.51</v>
      </c>
      <c r="J59" s="107">
        <v>0.49</v>
      </c>
      <c r="K59" s="107"/>
      <c r="L59" s="107"/>
      <c r="M59" s="187"/>
      <c r="N59" s="169">
        <f t="shared" si="0"/>
        <v>1</v>
      </c>
      <c r="O59" s="144">
        <v>1</v>
      </c>
      <c r="P59" s="145">
        <v>15</v>
      </c>
      <c r="Q59" s="113">
        <v>15</v>
      </c>
      <c r="R59" s="113"/>
      <c r="S59" s="113"/>
      <c r="T59" s="146"/>
      <c r="U59" s="148">
        <f t="shared" si="1"/>
        <v>15</v>
      </c>
      <c r="V59" s="149">
        <f t="shared" si="2"/>
        <v>15</v>
      </c>
      <c r="W59" s="189"/>
      <c r="X59" s="199"/>
      <c r="Y59" s="151"/>
      <c r="Z59" s="190"/>
      <c r="AA59" s="153"/>
      <c r="AB59" s="154">
        <f t="shared" si="3"/>
        <v>0</v>
      </c>
      <c r="AC59" s="149">
        <f t="shared" si="4"/>
        <v>0</v>
      </c>
      <c r="AD59" s="125">
        <v>2</v>
      </c>
      <c r="AE59" s="148">
        <f t="shared" si="5"/>
        <v>2</v>
      </c>
      <c r="AF59" s="156"/>
      <c r="AG59" s="156"/>
      <c r="AH59" s="113">
        <f t="shared" si="6"/>
        <v>17</v>
      </c>
      <c r="AI59" s="157">
        <v>65</v>
      </c>
      <c r="AJ59" s="113">
        <f t="shared" si="7"/>
        <v>82</v>
      </c>
      <c r="AK59" s="113">
        <f t="shared" si="8"/>
        <v>82</v>
      </c>
      <c r="AL59" s="158">
        <f t="shared" si="9"/>
        <v>1.02</v>
      </c>
      <c r="AM59" s="159"/>
      <c r="AN59" s="160">
        <f t="shared" si="10"/>
        <v>1</v>
      </c>
      <c r="AO59" s="160">
        <f t="shared" si="10"/>
        <v>2</v>
      </c>
      <c r="AP59" s="133"/>
      <c r="AQ59" s="134"/>
      <c r="AR59" s="161"/>
      <c r="AS59" s="161"/>
      <c r="AT59" s="161"/>
      <c r="AU59" s="161"/>
      <c r="AV59" s="162"/>
      <c r="AW59" s="137">
        <f t="shared" si="11"/>
        <v>0</v>
      </c>
      <c r="AX59" s="137">
        <f t="shared" si="12"/>
        <v>0</v>
      </c>
    </row>
    <row r="60" ht="46.5" customHeight="1" spans="1:50" s="97" customFormat="1" x14ac:dyDescent="0.25">
      <c r="A60" s="100"/>
      <c r="B60" s="100"/>
      <c r="C60" s="100"/>
      <c r="D60" s="100"/>
      <c r="E60" s="100"/>
      <c r="F60" s="100"/>
      <c r="G60" s="103"/>
      <c r="H60" s="186"/>
      <c r="I60" s="195">
        <v>0.51</v>
      </c>
      <c r="J60" s="107">
        <v>0.49</v>
      </c>
      <c r="K60" s="107"/>
      <c r="L60" s="107"/>
      <c r="M60" s="187"/>
      <c r="N60" s="169">
        <f t="shared" si="0"/>
        <v>1</v>
      </c>
      <c r="O60" s="144">
        <v>1</v>
      </c>
      <c r="P60" s="145">
        <v>15</v>
      </c>
      <c r="Q60" s="113">
        <v>15</v>
      </c>
      <c r="R60" s="113"/>
      <c r="S60" s="113"/>
      <c r="T60" s="146"/>
      <c r="U60" s="148">
        <f t="shared" si="1"/>
        <v>15</v>
      </c>
      <c r="V60" s="149">
        <f t="shared" si="2"/>
        <v>15</v>
      </c>
      <c r="W60" s="189"/>
      <c r="X60" s="199"/>
      <c r="Y60" s="151"/>
      <c r="Z60" s="190"/>
      <c r="AA60" s="153"/>
      <c r="AB60" s="154">
        <f t="shared" si="3"/>
        <v>0</v>
      </c>
      <c r="AC60" s="149">
        <f t="shared" si="4"/>
        <v>0</v>
      </c>
      <c r="AD60" s="125">
        <v>2</v>
      </c>
      <c r="AE60" s="148">
        <f t="shared" si="5"/>
        <v>2</v>
      </c>
      <c r="AF60" s="156"/>
      <c r="AG60" s="156"/>
      <c r="AH60" s="113">
        <f t="shared" si="6"/>
        <v>17</v>
      </c>
      <c r="AI60" s="157">
        <v>65</v>
      </c>
      <c r="AJ60" s="113">
        <f t="shared" si="7"/>
        <v>82</v>
      </c>
      <c r="AK60" s="113">
        <f t="shared" si="8"/>
        <v>82</v>
      </c>
      <c r="AL60" s="158">
        <f t="shared" si="9"/>
        <v>1.02</v>
      </c>
      <c r="AM60" s="159"/>
      <c r="AN60" s="160">
        <f t="shared" si="10"/>
        <v>1</v>
      </c>
      <c r="AO60" s="160">
        <f t="shared" si="10"/>
        <v>2</v>
      </c>
      <c r="AP60" s="133"/>
      <c r="AQ60" s="134"/>
      <c r="AR60" s="161"/>
      <c r="AS60" s="161"/>
      <c r="AT60" s="161"/>
      <c r="AU60" s="161"/>
      <c r="AV60" s="162"/>
      <c r="AW60" s="137">
        <f t="shared" si="11"/>
        <v>0</v>
      </c>
      <c r="AX60" s="137">
        <f t="shared" si="12"/>
        <v>0</v>
      </c>
    </row>
    <row r="61" ht="46.5" customHeight="1" spans="1:50" s="97" customFormat="1" x14ac:dyDescent="0.25">
      <c r="A61" s="100"/>
      <c r="B61" s="100"/>
      <c r="C61" s="100"/>
      <c r="D61" s="100"/>
      <c r="E61" s="100"/>
      <c r="F61" s="100"/>
      <c r="G61" s="103"/>
      <c r="H61" s="186"/>
      <c r="I61" s="195">
        <v>0.51</v>
      </c>
      <c r="J61" s="107">
        <v>0.49</v>
      </c>
      <c r="K61" s="107"/>
      <c r="L61" s="107"/>
      <c r="M61" s="187"/>
      <c r="N61" s="169">
        <f t="shared" si="0"/>
        <v>1</v>
      </c>
      <c r="O61" s="144">
        <v>1</v>
      </c>
      <c r="P61" s="145">
        <v>15</v>
      </c>
      <c r="Q61" s="113">
        <v>15</v>
      </c>
      <c r="R61" s="113"/>
      <c r="S61" s="113"/>
      <c r="T61" s="146"/>
      <c r="U61" s="148">
        <f t="shared" si="1"/>
        <v>15</v>
      </c>
      <c r="V61" s="149">
        <f t="shared" si="2"/>
        <v>15</v>
      </c>
      <c r="W61" s="189"/>
      <c r="X61" s="199"/>
      <c r="Y61" s="151"/>
      <c r="Z61" s="190"/>
      <c r="AA61" s="153"/>
      <c r="AB61" s="154">
        <f t="shared" si="3"/>
        <v>0</v>
      </c>
      <c r="AC61" s="149">
        <f t="shared" si="4"/>
        <v>0</v>
      </c>
      <c r="AD61" s="125">
        <v>2</v>
      </c>
      <c r="AE61" s="148">
        <f t="shared" si="5"/>
        <v>2</v>
      </c>
      <c r="AF61" s="156"/>
      <c r="AG61" s="156"/>
      <c r="AH61" s="113">
        <f t="shared" si="6"/>
        <v>17</v>
      </c>
      <c r="AI61" s="157">
        <v>65</v>
      </c>
      <c r="AJ61" s="113">
        <f t="shared" si="7"/>
        <v>82</v>
      </c>
      <c r="AK61" s="113">
        <f t="shared" si="8"/>
        <v>82</v>
      </c>
      <c r="AL61" s="158">
        <f t="shared" si="9"/>
        <v>1.02</v>
      </c>
      <c r="AM61" s="159"/>
      <c r="AN61" s="160">
        <f t="shared" si="10"/>
        <v>1</v>
      </c>
      <c r="AO61" s="160">
        <f t="shared" si="10"/>
        <v>2</v>
      </c>
      <c r="AP61" s="133"/>
      <c r="AQ61" s="134"/>
      <c r="AR61" s="161"/>
      <c r="AS61" s="161"/>
      <c r="AT61" s="161"/>
      <c r="AU61" s="161"/>
      <c r="AV61" s="162"/>
      <c r="AW61" s="137">
        <f t="shared" si="11"/>
        <v>0</v>
      </c>
      <c r="AX61" s="137">
        <f t="shared" si="12"/>
        <v>0</v>
      </c>
    </row>
    <row r="62" ht="46.5" customHeight="1" spans="1:50" s="97" customFormat="1" x14ac:dyDescent="0.25">
      <c r="A62" s="100"/>
      <c r="B62" s="100"/>
      <c r="C62" s="100"/>
      <c r="D62" s="100"/>
      <c r="E62" s="100"/>
      <c r="F62" s="100"/>
      <c r="G62" s="103"/>
      <c r="H62" s="186"/>
      <c r="I62" s="195">
        <v>0.51</v>
      </c>
      <c r="J62" s="107">
        <v>0.49</v>
      </c>
      <c r="K62" s="107"/>
      <c r="L62" s="107"/>
      <c r="M62" s="187"/>
      <c r="N62" s="169">
        <f t="shared" si="0"/>
        <v>1</v>
      </c>
      <c r="O62" s="144">
        <v>1</v>
      </c>
      <c r="P62" s="145">
        <v>15</v>
      </c>
      <c r="Q62" s="113">
        <v>15</v>
      </c>
      <c r="R62" s="113"/>
      <c r="S62" s="113"/>
      <c r="T62" s="146"/>
      <c r="U62" s="148">
        <f t="shared" si="1"/>
        <v>15</v>
      </c>
      <c r="V62" s="149">
        <f t="shared" si="2"/>
        <v>15</v>
      </c>
      <c r="W62" s="189"/>
      <c r="X62" s="199"/>
      <c r="Y62" s="151"/>
      <c r="Z62" s="190"/>
      <c r="AA62" s="153"/>
      <c r="AB62" s="154">
        <f t="shared" si="3"/>
        <v>0</v>
      </c>
      <c r="AC62" s="149">
        <f t="shared" si="4"/>
        <v>0</v>
      </c>
      <c r="AD62" s="125">
        <v>2</v>
      </c>
      <c r="AE62" s="148">
        <f t="shared" si="5"/>
        <v>2</v>
      </c>
      <c r="AF62" s="156"/>
      <c r="AG62" s="156"/>
      <c r="AH62" s="113">
        <f t="shared" si="6"/>
        <v>17</v>
      </c>
      <c r="AI62" s="157">
        <v>65</v>
      </c>
      <c r="AJ62" s="113">
        <f t="shared" si="7"/>
        <v>82</v>
      </c>
      <c r="AK62" s="113">
        <f t="shared" si="8"/>
        <v>82</v>
      </c>
      <c r="AL62" s="158">
        <f t="shared" si="9"/>
        <v>1.02</v>
      </c>
      <c r="AM62" s="159"/>
      <c r="AN62" s="160">
        <f t="shared" si="10"/>
        <v>1</v>
      </c>
      <c r="AO62" s="160">
        <f t="shared" si="10"/>
        <v>2</v>
      </c>
      <c r="AP62" s="133"/>
      <c r="AQ62" s="134"/>
      <c r="AR62" s="161"/>
      <c r="AS62" s="161"/>
      <c r="AT62" s="161"/>
      <c r="AU62" s="161"/>
      <c r="AV62" s="162"/>
      <c r="AW62" s="137">
        <f t="shared" si="11"/>
        <v>0</v>
      </c>
      <c r="AX62" s="137">
        <f t="shared" si="12"/>
        <v>0</v>
      </c>
    </row>
    <row r="63" ht="46.5" customHeight="1" spans="1:50" s="97" customFormat="1" x14ac:dyDescent="0.25">
      <c r="A63" s="100"/>
      <c r="B63" s="100"/>
      <c r="C63" s="100"/>
      <c r="D63" s="100"/>
      <c r="E63" s="100"/>
      <c r="F63" s="100"/>
      <c r="G63" s="103"/>
      <c r="H63" s="186"/>
      <c r="I63" s="195">
        <v>0.51</v>
      </c>
      <c r="J63" s="107">
        <v>0.49</v>
      </c>
      <c r="K63" s="107"/>
      <c r="L63" s="107"/>
      <c r="M63" s="187"/>
      <c r="N63" s="169">
        <f t="shared" si="0"/>
        <v>1</v>
      </c>
      <c r="O63" s="144">
        <v>1</v>
      </c>
      <c r="P63" s="145">
        <v>15</v>
      </c>
      <c r="Q63" s="113">
        <v>15</v>
      </c>
      <c r="R63" s="113"/>
      <c r="S63" s="113"/>
      <c r="T63" s="146"/>
      <c r="U63" s="148">
        <f t="shared" si="1"/>
        <v>15</v>
      </c>
      <c r="V63" s="149">
        <f t="shared" si="2"/>
        <v>15</v>
      </c>
      <c r="W63" s="189"/>
      <c r="X63" s="199"/>
      <c r="Y63" s="151"/>
      <c r="Z63" s="190"/>
      <c r="AA63" s="153"/>
      <c r="AB63" s="154">
        <f t="shared" si="3"/>
        <v>0</v>
      </c>
      <c r="AC63" s="149">
        <f t="shared" si="4"/>
        <v>0</v>
      </c>
      <c r="AD63" s="125">
        <v>2</v>
      </c>
      <c r="AE63" s="148">
        <f t="shared" si="5"/>
        <v>2</v>
      </c>
      <c r="AF63" s="156"/>
      <c r="AG63" s="156"/>
      <c r="AH63" s="113">
        <f t="shared" si="6"/>
        <v>17</v>
      </c>
      <c r="AI63" s="157">
        <v>65</v>
      </c>
      <c r="AJ63" s="113">
        <f t="shared" si="7"/>
        <v>82</v>
      </c>
      <c r="AK63" s="113">
        <f t="shared" si="8"/>
        <v>82</v>
      </c>
      <c r="AL63" s="158">
        <f t="shared" si="9"/>
        <v>1.02</v>
      </c>
      <c r="AM63" s="159"/>
      <c r="AN63" s="160">
        <f t="shared" ref="AN63:AO82" si="13">100%+AM63</f>
        <v>1</v>
      </c>
      <c r="AO63" s="160">
        <f t="shared" si="13"/>
        <v>2</v>
      </c>
      <c r="AP63" s="133"/>
      <c r="AQ63" s="134"/>
      <c r="AR63" s="161"/>
      <c r="AS63" s="161"/>
      <c r="AT63" s="161"/>
      <c r="AU63" s="161"/>
      <c r="AV63" s="162"/>
      <c r="AW63" s="137">
        <f t="shared" si="11"/>
        <v>0</v>
      </c>
      <c r="AX63" s="137">
        <f t="shared" si="12"/>
        <v>0</v>
      </c>
    </row>
    <row r="64" ht="46.5" customHeight="1" spans="1:50" s="97" customFormat="1" x14ac:dyDescent="0.25">
      <c r="A64" s="100"/>
      <c r="B64" s="100"/>
      <c r="C64" s="100"/>
      <c r="D64" s="100"/>
      <c r="E64" s="100"/>
      <c r="F64" s="100"/>
      <c r="G64" s="103"/>
      <c r="H64" s="186"/>
      <c r="I64" s="195">
        <v>0.51</v>
      </c>
      <c r="J64" s="107">
        <v>0.49</v>
      </c>
      <c r="K64" s="107"/>
      <c r="L64" s="107"/>
      <c r="M64" s="187"/>
      <c r="N64" s="169">
        <f t="shared" si="0"/>
        <v>1</v>
      </c>
      <c r="O64" s="144">
        <v>1</v>
      </c>
      <c r="P64" s="145">
        <v>15</v>
      </c>
      <c r="Q64" s="113">
        <v>15</v>
      </c>
      <c r="R64" s="113"/>
      <c r="S64" s="113"/>
      <c r="T64" s="146"/>
      <c r="U64" s="148">
        <f t="shared" si="1"/>
        <v>15</v>
      </c>
      <c r="V64" s="149">
        <f t="shared" si="2"/>
        <v>15</v>
      </c>
      <c r="W64" s="189"/>
      <c r="X64" s="199"/>
      <c r="Y64" s="151"/>
      <c r="Z64" s="190"/>
      <c r="AA64" s="153"/>
      <c r="AB64" s="154">
        <f t="shared" si="3"/>
        <v>0</v>
      </c>
      <c r="AC64" s="149">
        <f t="shared" si="4"/>
        <v>0</v>
      </c>
      <c r="AD64" s="125">
        <v>2</v>
      </c>
      <c r="AE64" s="148">
        <f t="shared" si="5"/>
        <v>2</v>
      </c>
      <c r="AF64" s="156"/>
      <c r="AG64" s="156"/>
      <c r="AH64" s="113">
        <f t="shared" si="6"/>
        <v>17</v>
      </c>
      <c r="AI64" s="157">
        <v>65</v>
      </c>
      <c r="AJ64" s="113">
        <f t="shared" si="7"/>
        <v>82</v>
      </c>
      <c r="AK64" s="113">
        <f t="shared" si="8"/>
        <v>82</v>
      </c>
      <c r="AL64" s="158">
        <f t="shared" si="9"/>
        <v>1.02</v>
      </c>
      <c r="AM64" s="159"/>
      <c r="AN64" s="160">
        <f t="shared" si="13"/>
        <v>1</v>
      </c>
      <c r="AO64" s="160">
        <f t="shared" si="13"/>
        <v>2</v>
      </c>
      <c r="AP64" s="133"/>
      <c r="AQ64" s="134"/>
      <c r="AR64" s="161"/>
      <c r="AS64" s="161"/>
      <c r="AT64" s="161"/>
      <c r="AU64" s="161"/>
      <c r="AV64" s="162"/>
      <c r="AW64" s="137">
        <f t="shared" si="11"/>
        <v>0</v>
      </c>
      <c r="AX64" s="137">
        <f t="shared" si="12"/>
        <v>0</v>
      </c>
    </row>
    <row r="65" ht="46.5" customHeight="1" spans="1:50" s="97" customFormat="1" x14ac:dyDescent="0.25">
      <c r="A65" s="100"/>
      <c r="B65" s="100"/>
      <c r="C65" s="100"/>
      <c r="D65" s="100"/>
      <c r="E65" s="100"/>
      <c r="F65" s="100"/>
      <c r="G65" s="103"/>
      <c r="H65" s="186"/>
      <c r="I65" s="195">
        <v>0.51</v>
      </c>
      <c r="J65" s="107">
        <v>0.49</v>
      </c>
      <c r="K65" s="107"/>
      <c r="L65" s="107"/>
      <c r="M65" s="187"/>
      <c r="N65" s="169">
        <f t="shared" si="0"/>
        <v>1</v>
      </c>
      <c r="O65" s="144">
        <v>1</v>
      </c>
      <c r="P65" s="145">
        <v>15</v>
      </c>
      <c r="Q65" s="113">
        <v>15</v>
      </c>
      <c r="R65" s="113"/>
      <c r="S65" s="113"/>
      <c r="T65" s="146"/>
      <c r="U65" s="148">
        <f t="shared" si="1"/>
        <v>15</v>
      </c>
      <c r="V65" s="149">
        <f t="shared" si="2"/>
        <v>15</v>
      </c>
      <c r="W65" s="189"/>
      <c r="X65" s="199"/>
      <c r="Y65" s="151"/>
      <c r="Z65" s="190"/>
      <c r="AA65" s="153"/>
      <c r="AB65" s="154">
        <f t="shared" si="3"/>
        <v>0</v>
      </c>
      <c r="AC65" s="149">
        <f t="shared" si="4"/>
        <v>0</v>
      </c>
      <c r="AD65" s="125">
        <v>2</v>
      </c>
      <c r="AE65" s="148">
        <f t="shared" si="5"/>
        <v>2</v>
      </c>
      <c r="AF65" s="156"/>
      <c r="AG65" s="156"/>
      <c r="AH65" s="113">
        <f t="shared" si="6"/>
        <v>17</v>
      </c>
      <c r="AI65" s="157">
        <v>65</v>
      </c>
      <c r="AJ65" s="113">
        <f t="shared" si="7"/>
        <v>82</v>
      </c>
      <c r="AK65" s="113">
        <f t="shared" si="8"/>
        <v>82</v>
      </c>
      <c r="AL65" s="158">
        <f t="shared" si="9"/>
        <v>1.02</v>
      </c>
      <c r="AM65" s="159"/>
      <c r="AN65" s="160">
        <f t="shared" si="13"/>
        <v>1</v>
      </c>
      <c r="AO65" s="160">
        <f t="shared" si="13"/>
        <v>2</v>
      </c>
      <c r="AP65" s="133"/>
      <c r="AQ65" s="134"/>
      <c r="AR65" s="161"/>
      <c r="AS65" s="161"/>
      <c r="AT65" s="161"/>
      <c r="AU65" s="161"/>
      <c r="AV65" s="162"/>
      <c r="AW65" s="137">
        <f t="shared" si="11"/>
        <v>0</v>
      </c>
      <c r="AX65" s="137">
        <f t="shared" si="12"/>
        <v>0</v>
      </c>
    </row>
    <row r="66" ht="46.5" customHeight="1" spans="1:50" s="97" customFormat="1" x14ac:dyDescent="0.25">
      <c r="A66" s="100"/>
      <c r="B66" s="100"/>
      <c r="C66" s="100"/>
      <c r="D66" s="100"/>
      <c r="E66" s="100"/>
      <c r="F66" s="100"/>
      <c r="G66" s="103"/>
      <c r="H66" s="186"/>
      <c r="I66" s="195">
        <v>0.51</v>
      </c>
      <c r="J66" s="107">
        <v>0.49</v>
      </c>
      <c r="K66" s="107"/>
      <c r="L66" s="107"/>
      <c r="M66" s="187"/>
      <c r="N66" s="169">
        <f t="shared" si="0"/>
        <v>1</v>
      </c>
      <c r="O66" s="144">
        <v>1</v>
      </c>
      <c r="P66" s="145">
        <v>15</v>
      </c>
      <c r="Q66" s="113">
        <v>15</v>
      </c>
      <c r="R66" s="113"/>
      <c r="S66" s="113"/>
      <c r="T66" s="146"/>
      <c r="U66" s="148">
        <f t="shared" si="1"/>
        <v>15</v>
      </c>
      <c r="V66" s="149">
        <f t="shared" si="2"/>
        <v>15</v>
      </c>
      <c r="W66" s="189"/>
      <c r="X66" s="199"/>
      <c r="Y66" s="151"/>
      <c r="Z66" s="190"/>
      <c r="AA66" s="153"/>
      <c r="AB66" s="154">
        <f t="shared" si="3"/>
        <v>0</v>
      </c>
      <c r="AC66" s="149">
        <f t="shared" si="4"/>
        <v>0</v>
      </c>
      <c r="AD66" s="125">
        <v>2</v>
      </c>
      <c r="AE66" s="148">
        <f t="shared" si="5"/>
        <v>2</v>
      </c>
      <c r="AF66" s="156"/>
      <c r="AG66" s="156"/>
      <c r="AH66" s="113">
        <f t="shared" si="6"/>
        <v>17</v>
      </c>
      <c r="AI66" s="157">
        <v>65</v>
      </c>
      <c r="AJ66" s="113">
        <f t="shared" si="7"/>
        <v>82</v>
      </c>
      <c r="AK66" s="113">
        <f t="shared" si="8"/>
        <v>82</v>
      </c>
      <c r="AL66" s="158">
        <f t="shared" si="9"/>
        <v>1.02</v>
      </c>
      <c r="AM66" s="159"/>
      <c r="AN66" s="160">
        <f t="shared" si="13"/>
        <v>1</v>
      </c>
      <c r="AO66" s="160">
        <f t="shared" si="13"/>
        <v>2</v>
      </c>
      <c r="AP66" s="133"/>
      <c r="AQ66" s="134"/>
      <c r="AR66" s="161"/>
      <c r="AS66" s="161"/>
      <c r="AT66" s="161"/>
      <c r="AU66" s="161"/>
      <c r="AV66" s="162"/>
      <c r="AW66" s="137">
        <f t="shared" si="11"/>
        <v>0</v>
      </c>
      <c r="AX66" s="137">
        <f t="shared" si="12"/>
        <v>0</v>
      </c>
    </row>
    <row r="67" ht="46.5" customHeight="1" spans="1:50" s="97" customFormat="1" x14ac:dyDescent="0.25">
      <c r="A67" s="100"/>
      <c r="B67" s="100"/>
      <c r="C67" s="100"/>
      <c r="D67" s="100"/>
      <c r="E67" s="100"/>
      <c r="F67" s="100"/>
      <c r="G67" s="103"/>
      <c r="H67" s="186"/>
      <c r="I67" s="195">
        <v>0.51</v>
      </c>
      <c r="J67" s="107">
        <v>0.49</v>
      </c>
      <c r="K67" s="107"/>
      <c r="L67" s="107"/>
      <c r="M67" s="187"/>
      <c r="N67" s="169">
        <f t="shared" si="0"/>
        <v>1</v>
      </c>
      <c r="O67" s="144">
        <v>1</v>
      </c>
      <c r="P67" s="145">
        <v>15</v>
      </c>
      <c r="Q67" s="113">
        <v>15</v>
      </c>
      <c r="R67" s="113"/>
      <c r="S67" s="113"/>
      <c r="T67" s="146"/>
      <c r="U67" s="148">
        <f t="shared" si="1"/>
        <v>15</v>
      </c>
      <c r="V67" s="149">
        <f t="shared" si="2"/>
        <v>15</v>
      </c>
      <c r="W67" s="189"/>
      <c r="X67" s="199"/>
      <c r="Y67" s="151"/>
      <c r="Z67" s="190"/>
      <c r="AA67" s="153"/>
      <c r="AB67" s="154">
        <f t="shared" si="3"/>
        <v>0</v>
      </c>
      <c r="AC67" s="149">
        <f t="shared" si="4"/>
        <v>0</v>
      </c>
      <c r="AD67" s="125">
        <v>2</v>
      </c>
      <c r="AE67" s="148">
        <f t="shared" si="5"/>
        <v>2</v>
      </c>
      <c r="AF67" s="156"/>
      <c r="AG67" s="156"/>
      <c r="AH67" s="113">
        <f t="shared" si="6"/>
        <v>17</v>
      </c>
      <c r="AI67" s="157">
        <v>65</v>
      </c>
      <c r="AJ67" s="113">
        <f t="shared" si="7"/>
        <v>82</v>
      </c>
      <c r="AK67" s="113">
        <f t="shared" si="8"/>
        <v>82</v>
      </c>
      <c r="AL67" s="158">
        <f t="shared" si="9"/>
        <v>1.02</v>
      </c>
      <c r="AM67" s="159"/>
      <c r="AN67" s="160">
        <f t="shared" si="13"/>
        <v>1</v>
      </c>
      <c r="AO67" s="160">
        <f t="shared" si="13"/>
        <v>2</v>
      </c>
      <c r="AP67" s="133"/>
      <c r="AQ67" s="134"/>
      <c r="AR67" s="161"/>
      <c r="AS67" s="161"/>
      <c r="AT67" s="161"/>
      <c r="AU67" s="161"/>
      <c r="AV67" s="162"/>
      <c r="AW67" s="137">
        <f t="shared" si="11"/>
        <v>0</v>
      </c>
      <c r="AX67" s="137">
        <f t="shared" si="12"/>
        <v>0</v>
      </c>
    </row>
    <row r="68" ht="46.5" customHeight="1" spans="1:50" s="97" customFormat="1" x14ac:dyDescent="0.25">
      <c r="A68" s="100"/>
      <c r="B68" s="100"/>
      <c r="C68" s="100"/>
      <c r="D68" s="100"/>
      <c r="E68" s="100"/>
      <c r="F68" s="100"/>
      <c r="G68" s="103"/>
      <c r="H68" s="186"/>
      <c r="I68" s="195">
        <v>0.51</v>
      </c>
      <c r="J68" s="107">
        <v>0.49</v>
      </c>
      <c r="K68" s="107"/>
      <c r="L68" s="107"/>
      <c r="M68" s="187"/>
      <c r="N68" s="169">
        <f t="shared" si="0"/>
        <v>1</v>
      </c>
      <c r="O68" s="144">
        <v>1</v>
      </c>
      <c r="P68" s="145">
        <v>15</v>
      </c>
      <c r="Q68" s="113">
        <v>15</v>
      </c>
      <c r="R68" s="113"/>
      <c r="S68" s="113"/>
      <c r="T68" s="146"/>
      <c r="U68" s="148">
        <f t="shared" si="1"/>
        <v>15</v>
      </c>
      <c r="V68" s="149">
        <f t="shared" si="2"/>
        <v>15</v>
      </c>
      <c r="W68" s="189"/>
      <c r="X68" s="199"/>
      <c r="Y68" s="151"/>
      <c r="Z68" s="190"/>
      <c r="AA68" s="153"/>
      <c r="AB68" s="154">
        <f t="shared" si="3"/>
        <v>0</v>
      </c>
      <c r="AC68" s="149">
        <f t="shared" si="4"/>
        <v>0</v>
      </c>
      <c r="AD68" s="125">
        <v>2</v>
      </c>
      <c r="AE68" s="148">
        <f t="shared" si="5"/>
        <v>2</v>
      </c>
      <c r="AF68" s="156"/>
      <c r="AG68" s="156"/>
      <c r="AH68" s="113">
        <f t="shared" si="6"/>
        <v>17</v>
      </c>
      <c r="AI68" s="157">
        <v>65</v>
      </c>
      <c r="AJ68" s="113">
        <f t="shared" si="7"/>
        <v>82</v>
      </c>
      <c r="AK68" s="113">
        <f t="shared" si="8"/>
        <v>82</v>
      </c>
      <c r="AL68" s="158">
        <f t="shared" si="9"/>
        <v>1.02</v>
      </c>
      <c r="AM68" s="159"/>
      <c r="AN68" s="160">
        <f t="shared" si="13"/>
        <v>1</v>
      </c>
      <c r="AO68" s="160">
        <f t="shared" si="13"/>
        <v>2</v>
      </c>
      <c r="AP68" s="133"/>
      <c r="AQ68" s="134"/>
      <c r="AR68" s="161"/>
      <c r="AS68" s="161"/>
      <c r="AT68" s="161"/>
      <c r="AU68" s="161"/>
      <c r="AV68" s="162"/>
      <c r="AW68" s="137">
        <f t="shared" si="11"/>
        <v>0</v>
      </c>
      <c r="AX68" s="137">
        <f t="shared" si="12"/>
        <v>0</v>
      </c>
    </row>
    <row r="69" ht="46.5" customHeight="1" spans="1:50" s="97" customFormat="1" x14ac:dyDescent="0.25">
      <c r="A69" s="100"/>
      <c r="B69" s="100"/>
      <c r="C69" s="100"/>
      <c r="D69" s="100"/>
      <c r="E69" s="100"/>
      <c r="F69" s="100"/>
      <c r="G69" s="103"/>
      <c r="H69" s="186"/>
      <c r="I69" s="195">
        <v>0.51</v>
      </c>
      <c r="J69" s="107">
        <v>0.49</v>
      </c>
      <c r="K69" s="107"/>
      <c r="L69" s="107"/>
      <c r="M69" s="187"/>
      <c r="N69" s="169">
        <f t="shared" si="0"/>
        <v>1</v>
      </c>
      <c r="O69" s="144">
        <v>1</v>
      </c>
      <c r="P69" s="145">
        <v>15</v>
      </c>
      <c r="Q69" s="113">
        <v>15</v>
      </c>
      <c r="R69" s="113"/>
      <c r="S69" s="113"/>
      <c r="T69" s="146"/>
      <c r="U69" s="148">
        <f t="shared" si="1"/>
        <v>15</v>
      </c>
      <c r="V69" s="149">
        <f t="shared" si="2"/>
        <v>15</v>
      </c>
      <c r="W69" s="189"/>
      <c r="X69" s="199"/>
      <c r="Y69" s="151"/>
      <c r="Z69" s="190"/>
      <c r="AA69" s="153"/>
      <c r="AB69" s="154">
        <f t="shared" si="3"/>
        <v>0</v>
      </c>
      <c r="AC69" s="149">
        <f t="shared" si="4"/>
        <v>0</v>
      </c>
      <c r="AD69" s="125">
        <v>2</v>
      </c>
      <c r="AE69" s="148">
        <f t="shared" si="5"/>
        <v>2</v>
      </c>
      <c r="AF69" s="156"/>
      <c r="AG69" s="156"/>
      <c r="AH69" s="113">
        <f t="shared" si="6"/>
        <v>17</v>
      </c>
      <c r="AI69" s="157">
        <v>65</v>
      </c>
      <c r="AJ69" s="113">
        <f t="shared" si="7"/>
        <v>82</v>
      </c>
      <c r="AK69" s="113">
        <f t="shared" si="8"/>
        <v>82</v>
      </c>
      <c r="AL69" s="158">
        <f t="shared" si="9"/>
        <v>1.02</v>
      </c>
      <c r="AM69" s="159"/>
      <c r="AN69" s="160">
        <f t="shared" si="13"/>
        <v>1</v>
      </c>
      <c r="AO69" s="160">
        <f t="shared" si="13"/>
        <v>2</v>
      </c>
      <c r="AP69" s="133"/>
      <c r="AQ69" s="134"/>
      <c r="AR69" s="161"/>
      <c r="AS69" s="161"/>
      <c r="AT69" s="161"/>
      <c r="AU69" s="161"/>
      <c r="AV69" s="162"/>
      <c r="AW69" s="137">
        <f t="shared" si="11"/>
        <v>0</v>
      </c>
      <c r="AX69" s="137">
        <f t="shared" si="12"/>
        <v>0</v>
      </c>
    </row>
    <row r="70" ht="46.5" customHeight="1" spans="1:50" s="97" customFormat="1" x14ac:dyDescent="0.25">
      <c r="A70" s="100"/>
      <c r="B70" s="100"/>
      <c r="C70" s="100"/>
      <c r="D70" s="100"/>
      <c r="E70" s="100"/>
      <c r="F70" s="100"/>
      <c r="G70" s="103"/>
      <c r="H70" s="186"/>
      <c r="I70" s="195">
        <v>0.51</v>
      </c>
      <c r="J70" s="107">
        <v>0.49</v>
      </c>
      <c r="K70" s="107"/>
      <c r="L70" s="107"/>
      <c r="M70" s="187"/>
      <c r="N70" s="169">
        <f t="shared" si="0"/>
        <v>1</v>
      </c>
      <c r="O70" s="144">
        <v>1</v>
      </c>
      <c r="P70" s="145">
        <v>15</v>
      </c>
      <c r="Q70" s="113">
        <v>15</v>
      </c>
      <c r="R70" s="113"/>
      <c r="S70" s="113"/>
      <c r="T70" s="146"/>
      <c r="U70" s="148">
        <f t="shared" si="1"/>
        <v>15</v>
      </c>
      <c r="V70" s="149">
        <f t="shared" si="2"/>
        <v>15</v>
      </c>
      <c r="W70" s="189"/>
      <c r="X70" s="199"/>
      <c r="Y70" s="151"/>
      <c r="Z70" s="190"/>
      <c r="AA70" s="153"/>
      <c r="AB70" s="154">
        <f t="shared" si="3"/>
        <v>0</v>
      </c>
      <c r="AC70" s="149">
        <f t="shared" si="4"/>
        <v>0</v>
      </c>
      <c r="AD70" s="125">
        <v>2</v>
      </c>
      <c r="AE70" s="148">
        <f t="shared" si="5"/>
        <v>2</v>
      </c>
      <c r="AF70" s="156"/>
      <c r="AG70" s="156"/>
      <c r="AH70" s="113">
        <f t="shared" si="6"/>
        <v>17</v>
      </c>
      <c r="AI70" s="157">
        <v>65</v>
      </c>
      <c r="AJ70" s="113">
        <f t="shared" si="7"/>
        <v>82</v>
      </c>
      <c r="AK70" s="113">
        <f t="shared" si="8"/>
        <v>82</v>
      </c>
      <c r="AL70" s="158">
        <f t="shared" si="9"/>
        <v>1.02</v>
      </c>
      <c r="AM70" s="159"/>
      <c r="AN70" s="160">
        <f t="shared" si="13"/>
        <v>1</v>
      </c>
      <c r="AO70" s="160">
        <f t="shared" si="13"/>
        <v>2</v>
      </c>
      <c r="AP70" s="133"/>
      <c r="AQ70" s="134"/>
      <c r="AR70" s="161"/>
      <c r="AS70" s="161"/>
      <c r="AT70" s="161"/>
      <c r="AU70" s="161"/>
      <c r="AV70" s="162"/>
      <c r="AW70" s="137">
        <f t="shared" si="11"/>
        <v>0</v>
      </c>
      <c r="AX70" s="137">
        <f t="shared" si="12"/>
        <v>0</v>
      </c>
    </row>
    <row r="71" ht="46.5" customHeight="1" spans="1:50" s="97" customFormat="1" x14ac:dyDescent="0.25">
      <c r="A71" s="100"/>
      <c r="B71" s="100"/>
      <c r="C71" s="100"/>
      <c r="D71" s="100"/>
      <c r="E71" s="100"/>
      <c r="F71" s="100"/>
      <c r="G71" s="103"/>
      <c r="H71" s="186"/>
      <c r="I71" s="195">
        <v>0.51</v>
      </c>
      <c r="J71" s="107">
        <v>0.49</v>
      </c>
      <c r="K71" s="107"/>
      <c r="L71" s="107"/>
      <c r="M71" s="187"/>
      <c r="N71" s="169">
        <f t="shared" si="0"/>
        <v>1</v>
      </c>
      <c r="O71" s="144">
        <v>1</v>
      </c>
      <c r="P71" s="145">
        <v>15</v>
      </c>
      <c r="Q71" s="113">
        <v>15</v>
      </c>
      <c r="R71" s="113"/>
      <c r="S71" s="113"/>
      <c r="T71" s="146"/>
      <c r="U71" s="148">
        <f t="shared" si="1"/>
        <v>15</v>
      </c>
      <c r="V71" s="149">
        <f t="shared" si="2"/>
        <v>15</v>
      </c>
      <c r="W71" s="189"/>
      <c r="X71" s="199"/>
      <c r="Y71" s="151"/>
      <c r="Z71" s="190"/>
      <c r="AA71" s="153"/>
      <c r="AB71" s="154">
        <f t="shared" si="3"/>
        <v>0</v>
      </c>
      <c r="AC71" s="149">
        <f t="shared" si="4"/>
        <v>0</v>
      </c>
      <c r="AD71" s="125">
        <v>2</v>
      </c>
      <c r="AE71" s="148">
        <f t="shared" si="5"/>
        <v>2</v>
      </c>
      <c r="AF71" s="156"/>
      <c r="AG71" s="156"/>
      <c r="AH71" s="113">
        <f t="shared" si="6"/>
        <v>17</v>
      </c>
      <c r="AI71" s="157">
        <v>65</v>
      </c>
      <c r="AJ71" s="113">
        <f t="shared" si="7"/>
        <v>82</v>
      </c>
      <c r="AK71" s="113">
        <f t="shared" si="8"/>
        <v>82</v>
      </c>
      <c r="AL71" s="158">
        <f t="shared" si="9"/>
        <v>1.02</v>
      </c>
      <c r="AM71" s="159"/>
      <c r="AN71" s="160">
        <f t="shared" si="13"/>
        <v>1</v>
      </c>
      <c r="AO71" s="160">
        <f t="shared" si="13"/>
        <v>2</v>
      </c>
      <c r="AP71" s="133"/>
      <c r="AQ71" s="134"/>
      <c r="AR71" s="161"/>
      <c r="AS71" s="161"/>
      <c r="AT71" s="161"/>
      <c r="AU71" s="161"/>
      <c r="AV71" s="162"/>
      <c r="AW71" s="137">
        <f t="shared" si="11"/>
        <v>0</v>
      </c>
      <c r="AX71" s="137">
        <f t="shared" si="12"/>
        <v>0</v>
      </c>
    </row>
    <row r="72" ht="46.5" customHeight="1" spans="1:50" s="97" customFormat="1" x14ac:dyDescent="0.25">
      <c r="A72" s="100"/>
      <c r="B72" s="100"/>
      <c r="C72" s="100"/>
      <c r="D72" s="100"/>
      <c r="E72" s="100"/>
      <c r="F72" s="100"/>
      <c r="G72" s="103"/>
      <c r="H72" s="186"/>
      <c r="I72" s="195">
        <v>0.51</v>
      </c>
      <c r="J72" s="107">
        <v>0.49</v>
      </c>
      <c r="K72" s="107"/>
      <c r="L72" s="107"/>
      <c r="M72" s="187"/>
      <c r="N72" s="169">
        <f t="shared" si="0"/>
        <v>1</v>
      </c>
      <c r="O72" s="144">
        <v>1</v>
      </c>
      <c r="P72" s="145">
        <v>15</v>
      </c>
      <c r="Q72" s="113">
        <v>15</v>
      </c>
      <c r="R72" s="113"/>
      <c r="S72" s="113"/>
      <c r="T72" s="146"/>
      <c r="U72" s="148">
        <f t="shared" si="1"/>
        <v>15</v>
      </c>
      <c r="V72" s="149">
        <f t="shared" si="2"/>
        <v>15</v>
      </c>
      <c r="W72" s="189"/>
      <c r="X72" s="199"/>
      <c r="Y72" s="151"/>
      <c r="Z72" s="190"/>
      <c r="AA72" s="153"/>
      <c r="AB72" s="154">
        <f t="shared" si="3"/>
        <v>0</v>
      </c>
      <c r="AC72" s="149">
        <f t="shared" si="4"/>
        <v>0</v>
      </c>
      <c r="AD72" s="125">
        <v>2</v>
      </c>
      <c r="AE72" s="148">
        <f t="shared" si="5"/>
        <v>2</v>
      </c>
      <c r="AF72" s="156"/>
      <c r="AG72" s="156"/>
      <c r="AH72" s="113">
        <f t="shared" si="6"/>
        <v>17</v>
      </c>
      <c r="AI72" s="157">
        <v>65</v>
      </c>
      <c r="AJ72" s="113">
        <f t="shared" si="7"/>
        <v>82</v>
      </c>
      <c r="AK72" s="113">
        <f t="shared" si="8"/>
        <v>82</v>
      </c>
      <c r="AL72" s="158">
        <f t="shared" si="9"/>
        <v>1.02</v>
      </c>
      <c r="AM72" s="159"/>
      <c r="AN72" s="160">
        <f t="shared" si="13"/>
        <v>1</v>
      </c>
      <c r="AO72" s="160">
        <f t="shared" si="13"/>
        <v>2</v>
      </c>
      <c r="AP72" s="133"/>
      <c r="AQ72" s="134"/>
      <c r="AR72" s="161"/>
      <c r="AS72" s="161"/>
      <c r="AT72" s="161"/>
      <c r="AU72" s="161"/>
      <c r="AV72" s="162"/>
      <c r="AW72" s="137">
        <f t="shared" si="11"/>
        <v>0</v>
      </c>
      <c r="AX72" s="137">
        <f t="shared" si="12"/>
        <v>0</v>
      </c>
    </row>
    <row r="73" ht="46.5" customHeight="1" spans="1:50" s="97" customFormat="1" x14ac:dyDescent="0.25">
      <c r="A73" s="100"/>
      <c r="B73" s="100"/>
      <c r="C73" s="100"/>
      <c r="D73" s="100"/>
      <c r="E73" s="100"/>
      <c r="F73" s="100"/>
      <c r="G73" s="103"/>
      <c r="H73" s="186"/>
      <c r="I73" s="195">
        <v>0.51</v>
      </c>
      <c r="J73" s="107">
        <v>0.49</v>
      </c>
      <c r="K73" s="107"/>
      <c r="L73" s="107"/>
      <c r="M73" s="187"/>
      <c r="N73" s="169">
        <f t="shared" si="0"/>
        <v>1</v>
      </c>
      <c r="O73" s="144">
        <v>1</v>
      </c>
      <c r="P73" s="145">
        <v>15</v>
      </c>
      <c r="Q73" s="113">
        <v>15</v>
      </c>
      <c r="R73" s="113"/>
      <c r="S73" s="113"/>
      <c r="T73" s="146"/>
      <c r="U73" s="148">
        <f t="shared" si="1"/>
        <v>15</v>
      </c>
      <c r="V73" s="149">
        <f t="shared" si="2"/>
        <v>15</v>
      </c>
      <c r="W73" s="189"/>
      <c r="X73" s="199"/>
      <c r="Y73" s="151"/>
      <c r="Z73" s="190"/>
      <c r="AA73" s="153"/>
      <c r="AB73" s="154">
        <f t="shared" si="3"/>
        <v>0</v>
      </c>
      <c r="AC73" s="149">
        <f t="shared" si="4"/>
        <v>0</v>
      </c>
      <c r="AD73" s="125">
        <v>2</v>
      </c>
      <c r="AE73" s="148">
        <f t="shared" si="5"/>
        <v>2</v>
      </c>
      <c r="AF73" s="156"/>
      <c r="AG73" s="156"/>
      <c r="AH73" s="113">
        <f t="shared" si="6"/>
        <v>17</v>
      </c>
      <c r="AI73" s="157">
        <v>65</v>
      </c>
      <c r="AJ73" s="113">
        <f t="shared" si="7"/>
        <v>82</v>
      </c>
      <c r="AK73" s="113">
        <f t="shared" si="8"/>
        <v>82</v>
      </c>
      <c r="AL73" s="158">
        <f t="shared" si="9"/>
        <v>1.02</v>
      </c>
      <c r="AM73" s="159"/>
      <c r="AN73" s="160">
        <f t="shared" si="13"/>
        <v>1</v>
      </c>
      <c r="AO73" s="160">
        <f t="shared" si="13"/>
        <v>2</v>
      </c>
      <c r="AP73" s="133"/>
      <c r="AQ73" s="134"/>
      <c r="AR73" s="161"/>
      <c r="AS73" s="161"/>
      <c r="AT73" s="161"/>
      <c r="AU73" s="161"/>
      <c r="AV73" s="162"/>
      <c r="AW73" s="137">
        <f t="shared" si="11"/>
        <v>0</v>
      </c>
      <c r="AX73" s="137">
        <f t="shared" si="12"/>
        <v>0</v>
      </c>
    </row>
    <row r="74" ht="46.5" customHeight="1" spans="1:50" s="97" customFormat="1" x14ac:dyDescent="0.25">
      <c r="A74" s="100"/>
      <c r="B74" s="100"/>
      <c r="C74" s="100"/>
      <c r="D74" s="100"/>
      <c r="E74" s="100"/>
      <c r="F74" s="100"/>
      <c r="G74" s="103"/>
      <c r="H74" s="186"/>
      <c r="I74" s="195">
        <v>0.51</v>
      </c>
      <c r="J74" s="107">
        <v>0.49</v>
      </c>
      <c r="K74" s="107"/>
      <c r="L74" s="107"/>
      <c r="M74" s="187"/>
      <c r="N74" s="169">
        <f t="shared" si="0"/>
        <v>1</v>
      </c>
      <c r="O74" s="144">
        <v>1</v>
      </c>
      <c r="P74" s="145">
        <v>15</v>
      </c>
      <c r="Q74" s="113">
        <v>15</v>
      </c>
      <c r="R74" s="113"/>
      <c r="S74" s="113"/>
      <c r="T74" s="146"/>
      <c r="U74" s="148">
        <f t="shared" si="1"/>
        <v>15</v>
      </c>
      <c r="V74" s="149">
        <f t="shared" si="2"/>
        <v>15</v>
      </c>
      <c r="W74" s="189"/>
      <c r="X74" s="199"/>
      <c r="Y74" s="151"/>
      <c r="Z74" s="190"/>
      <c r="AA74" s="153"/>
      <c r="AB74" s="154">
        <f t="shared" si="3"/>
        <v>0</v>
      </c>
      <c r="AC74" s="149">
        <f t="shared" si="4"/>
        <v>0</v>
      </c>
      <c r="AD74" s="125">
        <v>2</v>
      </c>
      <c r="AE74" s="148">
        <f t="shared" si="5"/>
        <v>2</v>
      </c>
      <c r="AF74" s="156"/>
      <c r="AG74" s="156"/>
      <c r="AH74" s="113">
        <f t="shared" si="6"/>
        <v>17</v>
      </c>
      <c r="AI74" s="157">
        <v>65</v>
      </c>
      <c r="AJ74" s="113">
        <f t="shared" si="7"/>
        <v>82</v>
      </c>
      <c r="AK74" s="113">
        <f t="shared" si="8"/>
        <v>82</v>
      </c>
      <c r="AL74" s="158">
        <f t="shared" si="9"/>
        <v>1.02</v>
      </c>
      <c r="AM74" s="159"/>
      <c r="AN74" s="160">
        <f t="shared" si="13"/>
        <v>1</v>
      </c>
      <c r="AO74" s="160">
        <f t="shared" si="13"/>
        <v>2</v>
      </c>
      <c r="AP74" s="133"/>
      <c r="AQ74" s="134"/>
      <c r="AR74" s="161"/>
      <c r="AS74" s="161"/>
      <c r="AT74" s="161"/>
      <c r="AU74" s="161"/>
      <c r="AV74" s="162"/>
      <c r="AW74" s="137">
        <f t="shared" si="11"/>
        <v>0</v>
      </c>
      <c r="AX74" s="137">
        <f t="shared" si="12"/>
        <v>0</v>
      </c>
    </row>
    <row r="75" ht="46.5" customHeight="1" spans="1:50" s="97" customFormat="1" x14ac:dyDescent="0.25">
      <c r="A75" s="100"/>
      <c r="B75" s="100"/>
      <c r="C75" s="100"/>
      <c r="D75" s="100"/>
      <c r="E75" s="100"/>
      <c r="F75" s="100"/>
      <c r="G75" s="103"/>
      <c r="H75" s="186"/>
      <c r="I75" s="195">
        <v>0.51</v>
      </c>
      <c r="J75" s="107">
        <v>0.49</v>
      </c>
      <c r="K75" s="107"/>
      <c r="L75" s="107"/>
      <c r="M75" s="187"/>
      <c r="N75" s="169">
        <f t="shared" ref="N75:N106" si="14">SUM(I75:M75)</f>
        <v>1</v>
      </c>
      <c r="O75" s="144">
        <v>1</v>
      </c>
      <c r="P75" s="145">
        <v>15</v>
      </c>
      <c r="Q75" s="113">
        <v>15</v>
      </c>
      <c r="R75" s="113"/>
      <c r="S75" s="113"/>
      <c r="T75" s="146"/>
      <c r="U75" s="148">
        <f t="shared" ref="U75:U106" si="15">ROUND(((P75*I75)+(Q75*J75)+(R75*K75)+(S75*L75)+(T75*M75))*O75,2)</f>
        <v>15</v>
      </c>
      <c r="V75" s="149">
        <f t="shared" ref="V75:V106" si="16">IF(U75&gt;=15,15,U75)</f>
        <v>15</v>
      </c>
      <c r="W75" s="189"/>
      <c r="X75" s="199"/>
      <c r="Y75" s="151"/>
      <c r="Z75" s="190"/>
      <c r="AA75" s="153"/>
      <c r="AB75" s="154">
        <f t="shared" ref="AB75:AB106" si="17">ROUND((((W75*I75)+(X75*J75)+(Y75*K75)+(Z75*L75)+(AA75*M75))/$I$2),2)*13</f>
        <v>0</v>
      </c>
      <c r="AC75" s="149">
        <f t="shared" ref="AC75:AC106" si="18">IF(AB75&gt;=13,13,AB75)</f>
        <v>0</v>
      </c>
      <c r="AD75" s="125">
        <v>2</v>
      </c>
      <c r="AE75" s="148">
        <f t="shared" ref="AE75:AE106" si="19">IF((AC75+AD75)&gt;=15,15,(AC75+AD75))</f>
        <v>2</v>
      </c>
      <c r="AF75" s="156"/>
      <c r="AG75" s="156"/>
      <c r="AH75" s="113">
        <f t="shared" ref="AH75:AH106" si="20">IF((V75+AE75+AF75)&gt;=30,30,(V75+AE75+AF75))</f>
        <v>17</v>
      </c>
      <c r="AI75" s="157">
        <v>65</v>
      </c>
      <c r="AJ75" s="113">
        <f t="shared" ref="AJ75:AJ106" si="21">V75+AE75+AF75+AI75+AG75</f>
        <v>82</v>
      </c>
      <c r="AK75" s="113">
        <f t="shared" ref="AK75:AK106" si="22">IF(AH75+AI75+AG75&gt;=95,95,AH75+AI75+AG75)</f>
        <v>82</v>
      </c>
      <c r="AL75" s="158">
        <f t="shared" ref="AL75:AL106" si="23">-((50-((176+(45+(50-AH75)))))/200)</f>
        <v>1.02</v>
      </c>
      <c r="AM75" s="159"/>
      <c r="AN75" s="160">
        <f t="shared" si="13"/>
        <v>1</v>
      </c>
      <c r="AO75" s="160">
        <f t="shared" si="13"/>
        <v>2</v>
      </c>
      <c r="AP75" s="133"/>
      <c r="AQ75" s="134"/>
      <c r="AR75" s="161"/>
      <c r="AS75" s="161"/>
      <c r="AT75" s="161"/>
      <c r="AU75" s="161"/>
      <c r="AV75" s="162"/>
      <c r="AW75" s="137">
        <f t="shared" ref="AW75:AW106" si="24">AR75+AS75+AT75+AU75+AV75</f>
        <v>0</v>
      </c>
      <c r="AX75" s="137">
        <f t="shared" ref="AX75:AX106" si="25">(AR75*I75)+(AS75*J75)+(AT75*K75)+(AU75*L75)+(AV75*M75)</f>
        <v>0</v>
      </c>
    </row>
    <row r="76" ht="46.5" customHeight="1" spans="1:50" s="97" customFormat="1" x14ac:dyDescent="0.25">
      <c r="A76" s="100"/>
      <c r="B76" s="100"/>
      <c r="C76" s="100"/>
      <c r="D76" s="100"/>
      <c r="E76" s="100"/>
      <c r="F76" s="100"/>
      <c r="G76" s="103"/>
      <c r="H76" s="186"/>
      <c r="I76" s="195">
        <v>0.51</v>
      </c>
      <c r="J76" s="107">
        <v>0.49</v>
      </c>
      <c r="K76" s="107"/>
      <c r="L76" s="107"/>
      <c r="M76" s="187"/>
      <c r="N76" s="169">
        <f t="shared" si="14"/>
        <v>1</v>
      </c>
      <c r="O76" s="144">
        <v>1</v>
      </c>
      <c r="P76" s="145">
        <v>15</v>
      </c>
      <c r="Q76" s="113">
        <v>15</v>
      </c>
      <c r="R76" s="113"/>
      <c r="S76" s="113"/>
      <c r="T76" s="146"/>
      <c r="U76" s="148">
        <f t="shared" si="15"/>
        <v>15</v>
      </c>
      <c r="V76" s="149">
        <f t="shared" si="16"/>
        <v>15</v>
      </c>
      <c r="W76" s="189"/>
      <c r="X76" s="199"/>
      <c r="Y76" s="151"/>
      <c r="Z76" s="190"/>
      <c r="AA76" s="153"/>
      <c r="AB76" s="154">
        <f t="shared" si="17"/>
        <v>0</v>
      </c>
      <c r="AC76" s="149">
        <f t="shared" si="18"/>
        <v>0</v>
      </c>
      <c r="AD76" s="125">
        <v>2</v>
      </c>
      <c r="AE76" s="148">
        <f t="shared" si="19"/>
        <v>2</v>
      </c>
      <c r="AF76" s="156"/>
      <c r="AG76" s="156"/>
      <c r="AH76" s="113">
        <f t="shared" si="20"/>
        <v>17</v>
      </c>
      <c r="AI76" s="157">
        <v>65</v>
      </c>
      <c r="AJ76" s="113">
        <f t="shared" si="21"/>
        <v>82</v>
      </c>
      <c r="AK76" s="113">
        <f t="shared" si="22"/>
        <v>82</v>
      </c>
      <c r="AL76" s="158">
        <f t="shared" si="23"/>
        <v>1.02</v>
      </c>
      <c r="AM76" s="159"/>
      <c r="AN76" s="160">
        <f t="shared" si="13"/>
        <v>1</v>
      </c>
      <c r="AO76" s="160">
        <f t="shared" si="13"/>
        <v>2</v>
      </c>
      <c r="AP76" s="133"/>
      <c r="AQ76" s="134"/>
      <c r="AR76" s="161"/>
      <c r="AS76" s="161"/>
      <c r="AT76" s="161"/>
      <c r="AU76" s="161"/>
      <c r="AV76" s="162"/>
      <c r="AW76" s="137">
        <f t="shared" si="24"/>
        <v>0</v>
      </c>
      <c r="AX76" s="137">
        <f t="shared" si="25"/>
        <v>0</v>
      </c>
    </row>
    <row r="77" ht="46.5" customHeight="1" spans="1:50" s="97" customFormat="1" x14ac:dyDescent="0.25">
      <c r="A77" s="100"/>
      <c r="B77" s="100"/>
      <c r="C77" s="100"/>
      <c r="D77" s="100"/>
      <c r="E77" s="100"/>
      <c r="F77" s="100"/>
      <c r="G77" s="103"/>
      <c r="H77" s="186"/>
      <c r="I77" s="195">
        <v>0.51</v>
      </c>
      <c r="J77" s="107">
        <v>0.49</v>
      </c>
      <c r="K77" s="107"/>
      <c r="L77" s="107"/>
      <c r="M77" s="187"/>
      <c r="N77" s="169">
        <f t="shared" si="14"/>
        <v>1</v>
      </c>
      <c r="O77" s="144">
        <v>1</v>
      </c>
      <c r="P77" s="145">
        <v>15</v>
      </c>
      <c r="Q77" s="113">
        <v>15</v>
      </c>
      <c r="R77" s="113"/>
      <c r="S77" s="113"/>
      <c r="T77" s="146"/>
      <c r="U77" s="148">
        <f t="shared" si="15"/>
        <v>15</v>
      </c>
      <c r="V77" s="149">
        <f t="shared" si="16"/>
        <v>15</v>
      </c>
      <c r="W77" s="189"/>
      <c r="X77" s="199"/>
      <c r="Y77" s="151"/>
      <c r="Z77" s="190"/>
      <c r="AA77" s="153"/>
      <c r="AB77" s="154">
        <f t="shared" si="17"/>
        <v>0</v>
      </c>
      <c r="AC77" s="149">
        <f t="shared" si="18"/>
        <v>0</v>
      </c>
      <c r="AD77" s="125">
        <v>2</v>
      </c>
      <c r="AE77" s="148">
        <f t="shared" si="19"/>
        <v>2</v>
      </c>
      <c r="AF77" s="156"/>
      <c r="AG77" s="156"/>
      <c r="AH77" s="113">
        <f t="shared" si="20"/>
        <v>17</v>
      </c>
      <c r="AI77" s="157">
        <v>65</v>
      </c>
      <c r="AJ77" s="113">
        <f t="shared" si="21"/>
        <v>82</v>
      </c>
      <c r="AK77" s="113">
        <f t="shared" si="22"/>
        <v>82</v>
      </c>
      <c r="AL77" s="158">
        <f t="shared" si="23"/>
        <v>1.02</v>
      </c>
      <c r="AM77" s="159"/>
      <c r="AN77" s="160">
        <f t="shared" si="13"/>
        <v>1</v>
      </c>
      <c r="AO77" s="160">
        <f t="shared" si="13"/>
        <v>2</v>
      </c>
      <c r="AP77" s="133"/>
      <c r="AQ77" s="134"/>
      <c r="AR77" s="161"/>
      <c r="AS77" s="161"/>
      <c r="AT77" s="161"/>
      <c r="AU77" s="161"/>
      <c r="AV77" s="162"/>
      <c r="AW77" s="137">
        <f t="shared" si="24"/>
        <v>0</v>
      </c>
      <c r="AX77" s="137">
        <f t="shared" si="25"/>
        <v>0</v>
      </c>
    </row>
    <row r="78" ht="46.5" customHeight="1" spans="1:50" s="97" customFormat="1" x14ac:dyDescent="0.25">
      <c r="A78" s="100"/>
      <c r="B78" s="100"/>
      <c r="C78" s="100"/>
      <c r="D78" s="100"/>
      <c r="E78" s="100"/>
      <c r="F78" s="100"/>
      <c r="G78" s="103"/>
      <c r="H78" s="186"/>
      <c r="I78" s="195">
        <v>0.51</v>
      </c>
      <c r="J78" s="107">
        <v>0.49</v>
      </c>
      <c r="K78" s="107"/>
      <c r="L78" s="107"/>
      <c r="M78" s="187"/>
      <c r="N78" s="169">
        <f t="shared" si="14"/>
        <v>1</v>
      </c>
      <c r="O78" s="144">
        <v>1</v>
      </c>
      <c r="P78" s="145">
        <v>15</v>
      </c>
      <c r="Q78" s="113">
        <v>15</v>
      </c>
      <c r="R78" s="113"/>
      <c r="S78" s="113"/>
      <c r="T78" s="146"/>
      <c r="U78" s="148">
        <f t="shared" si="15"/>
        <v>15</v>
      </c>
      <c r="V78" s="149">
        <f t="shared" si="16"/>
        <v>15</v>
      </c>
      <c r="W78" s="189"/>
      <c r="X78" s="199"/>
      <c r="Y78" s="151"/>
      <c r="Z78" s="190"/>
      <c r="AA78" s="153"/>
      <c r="AB78" s="154">
        <f t="shared" si="17"/>
        <v>0</v>
      </c>
      <c r="AC78" s="149">
        <f t="shared" si="18"/>
        <v>0</v>
      </c>
      <c r="AD78" s="125">
        <v>2</v>
      </c>
      <c r="AE78" s="148">
        <f t="shared" si="19"/>
        <v>2</v>
      </c>
      <c r="AF78" s="156"/>
      <c r="AG78" s="156"/>
      <c r="AH78" s="113">
        <f t="shared" si="20"/>
        <v>17</v>
      </c>
      <c r="AI78" s="157">
        <v>65</v>
      </c>
      <c r="AJ78" s="113">
        <f t="shared" si="21"/>
        <v>82</v>
      </c>
      <c r="AK78" s="113">
        <f t="shared" si="22"/>
        <v>82</v>
      </c>
      <c r="AL78" s="158">
        <f t="shared" si="23"/>
        <v>1.02</v>
      </c>
      <c r="AM78" s="159"/>
      <c r="AN78" s="160">
        <f t="shared" si="13"/>
        <v>1</v>
      </c>
      <c r="AO78" s="160">
        <f t="shared" si="13"/>
        <v>2</v>
      </c>
      <c r="AP78" s="133"/>
      <c r="AQ78" s="134"/>
      <c r="AR78" s="161"/>
      <c r="AS78" s="161"/>
      <c r="AT78" s="161"/>
      <c r="AU78" s="161"/>
      <c r="AV78" s="162"/>
      <c r="AW78" s="137">
        <f t="shared" si="24"/>
        <v>0</v>
      </c>
      <c r="AX78" s="137">
        <f t="shared" si="25"/>
        <v>0</v>
      </c>
    </row>
    <row r="79" ht="46.5" customHeight="1" spans="1:50" s="97" customFormat="1" x14ac:dyDescent="0.25">
      <c r="A79" s="100"/>
      <c r="B79" s="100"/>
      <c r="C79" s="100"/>
      <c r="D79" s="100"/>
      <c r="E79" s="100"/>
      <c r="F79" s="100"/>
      <c r="G79" s="103"/>
      <c r="H79" s="186"/>
      <c r="I79" s="195">
        <v>0.51</v>
      </c>
      <c r="J79" s="107">
        <v>0.49</v>
      </c>
      <c r="K79" s="107"/>
      <c r="L79" s="107"/>
      <c r="M79" s="187"/>
      <c r="N79" s="169">
        <f t="shared" si="14"/>
        <v>1</v>
      </c>
      <c r="O79" s="144">
        <v>1</v>
      </c>
      <c r="P79" s="145">
        <v>15</v>
      </c>
      <c r="Q79" s="113">
        <v>15</v>
      </c>
      <c r="R79" s="113"/>
      <c r="S79" s="113"/>
      <c r="T79" s="146"/>
      <c r="U79" s="148">
        <f t="shared" si="15"/>
        <v>15</v>
      </c>
      <c r="V79" s="149">
        <f t="shared" si="16"/>
        <v>15</v>
      </c>
      <c r="W79" s="189"/>
      <c r="X79" s="199"/>
      <c r="Y79" s="151"/>
      <c r="Z79" s="190"/>
      <c r="AA79" s="153"/>
      <c r="AB79" s="154">
        <f t="shared" si="17"/>
        <v>0</v>
      </c>
      <c r="AC79" s="149">
        <f t="shared" si="18"/>
        <v>0</v>
      </c>
      <c r="AD79" s="125">
        <v>2</v>
      </c>
      <c r="AE79" s="148">
        <f t="shared" si="19"/>
        <v>2</v>
      </c>
      <c r="AF79" s="156"/>
      <c r="AG79" s="156"/>
      <c r="AH79" s="113">
        <f t="shared" si="20"/>
        <v>17</v>
      </c>
      <c r="AI79" s="157">
        <v>65</v>
      </c>
      <c r="AJ79" s="113">
        <f t="shared" si="21"/>
        <v>82</v>
      </c>
      <c r="AK79" s="113">
        <f t="shared" si="22"/>
        <v>82</v>
      </c>
      <c r="AL79" s="158">
        <f t="shared" si="23"/>
        <v>1.02</v>
      </c>
      <c r="AM79" s="159"/>
      <c r="AN79" s="160">
        <f t="shared" si="13"/>
        <v>1</v>
      </c>
      <c r="AO79" s="160">
        <f t="shared" si="13"/>
        <v>2</v>
      </c>
      <c r="AP79" s="133"/>
      <c r="AQ79" s="134"/>
      <c r="AR79" s="161"/>
      <c r="AS79" s="161"/>
      <c r="AT79" s="161"/>
      <c r="AU79" s="161"/>
      <c r="AV79" s="162"/>
      <c r="AW79" s="137">
        <f t="shared" si="24"/>
        <v>0</v>
      </c>
      <c r="AX79" s="137">
        <f t="shared" si="25"/>
        <v>0</v>
      </c>
    </row>
    <row r="80" ht="46.5" customHeight="1" spans="1:50" s="97" customFormat="1" x14ac:dyDescent="0.25">
      <c r="A80" s="100"/>
      <c r="B80" s="100"/>
      <c r="C80" s="100"/>
      <c r="D80" s="100"/>
      <c r="E80" s="100"/>
      <c r="F80" s="100"/>
      <c r="G80" s="103"/>
      <c r="H80" s="186"/>
      <c r="I80" s="195">
        <v>0.51</v>
      </c>
      <c r="J80" s="107">
        <v>0.49</v>
      </c>
      <c r="K80" s="107"/>
      <c r="L80" s="107"/>
      <c r="M80" s="187"/>
      <c r="N80" s="169">
        <f t="shared" si="14"/>
        <v>1</v>
      </c>
      <c r="O80" s="144">
        <v>1</v>
      </c>
      <c r="P80" s="145">
        <v>15</v>
      </c>
      <c r="Q80" s="113">
        <v>15</v>
      </c>
      <c r="R80" s="113"/>
      <c r="S80" s="113"/>
      <c r="T80" s="146"/>
      <c r="U80" s="148">
        <f t="shared" si="15"/>
        <v>15</v>
      </c>
      <c r="V80" s="149">
        <f t="shared" si="16"/>
        <v>15</v>
      </c>
      <c r="W80" s="189"/>
      <c r="X80" s="199"/>
      <c r="Y80" s="151"/>
      <c r="Z80" s="190"/>
      <c r="AA80" s="153"/>
      <c r="AB80" s="154">
        <f t="shared" si="17"/>
        <v>0</v>
      </c>
      <c r="AC80" s="149">
        <f t="shared" si="18"/>
        <v>0</v>
      </c>
      <c r="AD80" s="125">
        <v>2</v>
      </c>
      <c r="AE80" s="148">
        <f t="shared" si="19"/>
        <v>2</v>
      </c>
      <c r="AF80" s="156"/>
      <c r="AG80" s="156"/>
      <c r="AH80" s="113">
        <f t="shared" si="20"/>
        <v>17</v>
      </c>
      <c r="AI80" s="157">
        <v>65</v>
      </c>
      <c r="AJ80" s="113">
        <f t="shared" si="21"/>
        <v>82</v>
      </c>
      <c r="AK80" s="113">
        <f t="shared" si="22"/>
        <v>82</v>
      </c>
      <c r="AL80" s="158">
        <f t="shared" si="23"/>
        <v>1.02</v>
      </c>
      <c r="AM80" s="159"/>
      <c r="AN80" s="160">
        <f t="shared" si="13"/>
        <v>1</v>
      </c>
      <c r="AO80" s="160">
        <f t="shared" si="13"/>
        <v>2</v>
      </c>
      <c r="AP80" s="133"/>
      <c r="AQ80" s="134"/>
      <c r="AR80" s="161"/>
      <c r="AS80" s="161"/>
      <c r="AT80" s="161"/>
      <c r="AU80" s="161"/>
      <c r="AV80" s="162"/>
      <c r="AW80" s="137">
        <f t="shared" si="24"/>
        <v>0</v>
      </c>
      <c r="AX80" s="137">
        <f t="shared" si="25"/>
        <v>0</v>
      </c>
    </row>
    <row r="81" ht="46.5" customHeight="1" spans="1:50" s="97" customFormat="1" x14ac:dyDescent="0.25">
      <c r="A81" s="100"/>
      <c r="B81" s="100"/>
      <c r="C81" s="100"/>
      <c r="D81" s="100"/>
      <c r="E81" s="100"/>
      <c r="F81" s="100"/>
      <c r="G81" s="103"/>
      <c r="H81" s="186"/>
      <c r="I81" s="195">
        <v>0.51</v>
      </c>
      <c r="J81" s="107">
        <v>0.49</v>
      </c>
      <c r="K81" s="107"/>
      <c r="L81" s="107"/>
      <c r="M81" s="187"/>
      <c r="N81" s="169">
        <f t="shared" si="14"/>
        <v>1</v>
      </c>
      <c r="O81" s="144">
        <v>1</v>
      </c>
      <c r="P81" s="145">
        <v>15</v>
      </c>
      <c r="Q81" s="113">
        <v>15</v>
      </c>
      <c r="R81" s="113"/>
      <c r="S81" s="113"/>
      <c r="T81" s="146"/>
      <c r="U81" s="148">
        <f t="shared" si="15"/>
        <v>15</v>
      </c>
      <c r="V81" s="149">
        <f t="shared" si="16"/>
        <v>15</v>
      </c>
      <c r="W81" s="189"/>
      <c r="X81" s="199"/>
      <c r="Y81" s="151"/>
      <c r="Z81" s="190"/>
      <c r="AA81" s="153"/>
      <c r="AB81" s="154">
        <f t="shared" si="17"/>
        <v>0</v>
      </c>
      <c r="AC81" s="149">
        <f t="shared" si="18"/>
        <v>0</v>
      </c>
      <c r="AD81" s="125">
        <v>2</v>
      </c>
      <c r="AE81" s="148">
        <f t="shared" si="19"/>
        <v>2</v>
      </c>
      <c r="AF81" s="156"/>
      <c r="AG81" s="156"/>
      <c r="AH81" s="113">
        <f t="shared" si="20"/>
        <v>17</v>
      </c>
      <c r="AI81" s="157">
        <v>65</v>
      </c>
      <c r="AJ81" s="113">
        <f t="shared" si="21"/>
        <v>82</v>
      </c>
      <c r="AK81" s="113">
        <f t="shared" si="22"/>
        <v>82</v>
      </c>
      <c r="AL81" s="158">
        <f t="shared" si="23"/>
        <v>1.02</v>
      </c>
      <c r="AM81" s="159"/>
      <c r="AN81" s="160">
        <f t="shared" si="13"/>
        <v>1</v>
      </c>
      <c r="AO81" s="160">
        <f t="shared" si="13"/>
        <v>2</v>
      </c>
      <c r="AP81" s="133"/>
      <c r="AQ81" s="134"/>
      <c r="AR81" s="161"/>
      <c r="AS81" s="161"/>
      <c r="AT81" s="161"/>
      <c r="AU81" s="161"/>
      <c r="AV81" s="162"/>
      <c r="AW81" s="137">
        <f t="shared" si="24"/>
        <v>0</v>
      </c>
      <c r="AX81" s="137">
        <f t="shared" si="25"/>
        <v>0</v>
      </c>
    </row>
    <row r="82" ht="46.5" customHeight="1" spans="1:50" s="97" customFormat="1" x14ac:dyDescent="0.25">
      <c r="A82" s="100"/>
      <c r="B82" s="100"/>
      <c r="C82" s="100"/>
      <c r="D82" s="100"/>
      <c r="E82" s="100"/>
      <c r="F82" s="100"/>
      <c r="G82" s="103"/>
      <c r="H82" s="186"/>
      <c r="I82" s="195">
        <v>0.51</v>
      </c>
      <c r="J82" s="107">
        <v>0.49</v>
      </c>
      <c r="K82" s="107"/>
      <c r="L82" s="107"/>
      <c r="M82" s="187"/>
      <c r="N82" s="169">
        <f t="shared" si="14"/>
        <v>1</v>
      </c>
      <c r="O82" s="144">
        <v>1</v>
      </c>
      <c r="P82" s="145">
        <v>15</v>
      </c>
      <c r="Q82" s="113">
        <v>15</v>
      </c>
      <c r="R82" s="113"/>
      <c r="S82" s="113"/>
      <c r="T82" s="146"/>
      <c r="U82" s="148">
        <f t="shared" si="15"/>
        <v>15</v>
      </c>
      <c r="V82" s="149">
        <f t="shared" si="16"/>
        <v>15</v>
      </c>
      <c r="W82" s="189"/>
      <c r="X82" s="199"/>
      <c r="Y82" s="151"/>
      <c r="Z82" s="190"/>
      <c r="AA82" s="153"/>
      <c r="AB82" s="154">
        <f t="shared" si="17"/>
        <v>0</v>
      </c>
      <c r="AC82" s="149">
        <f t="shared" si="18"/>
        <v>0</v>
      </c>
      <c r="AD82" s="125">
        <v>2</v>
      </c>
      <c r="AE82" s="148">
        <f t="shared" si="19"/>
        <v>2</v>
      </c>
      <c r="AF82" s="156"/>
      <c r="AG82" s="156"/>
      <c r="AH82" s="113">
        <f t="shared" si="20"/>
        <v>17</v>
      </c>
      <c r="AI82" s="157">
        <v>65</v>
      </c>
      <c r="AJ82" s="113">
        <f t="shared" si="21"/>
        <v>82</v>
      </c>
      <c r="AK82" s="113">
        <f t="shared" si="22"/>
        <v>82</v>
      </c>
      <c r="AL82" s="158">
        <f t="shared" si="23"/>
        <v>1.02</v>
      </c>
      <c r="AM82" s="159"/>
      <c r="AN82" s="160">
        <f t="shared" si="13"/>
        <v>1</v>
      </c>
      <c r="AO82" s="160">
        <f t="shared" si="13"/>
        <v>2</v>
      </c>
      <c r="AP82" s="133"/>
      <c r="AQ82" s="134"/>
      <c r="AR82" s="161"/>
      <c r="AS82" s="161"/>
      <c r="AT82" s="161"/>
      <c r="AU82" s="161"/>
      <c r="AV82" s="162"/>
      <c r="AW82" s="137">
        <f t="shared" si="24"/>
        <v>0</v>
      </c>
      <c r="AX82" s="137">
        <f t="shared" si="25"/>
        <v>0</v>
      </c>
    </row>
    <row r="83" ht="46.5" customHeight="1" spans="1:50" s="97" customFormat="1" x14ac:dyDescent="0.25">
      <c r="A83" s="100"/>
      <c r="B83" s="100"/>
      <c r="C83" s="100"/>
      <c r="D83" s="100"/>
      <c r="E83" s="100"/>
      <c r="F83" s="100"/>
      <c r="G83" s="103"/>
      <c r="H83" s="186"/>
      <c r="I83" s="195">
        <v>0.51</v>
      </c>
      <c r="J83" s="107">
        <v>0.49</v>
      </c>
      <c r="K83" s="107"/>
      <c r="L83" s="107"/>
      <c r="M83" s="187"/>
      <c r="N83" s="169">
        <f t="shared" si="14"/>
        <v>1</v>
      </c>
      <c r="O83" s="144">
        <v>1</v>
      </c>
      <c r="P83" s="145">
        <v>15</v>
      </c>
      <c r="Q83" s="113">
        <v>15</v>
      </c>
      <c r="R83" s="113"/>
      <c r="S83" s="113"/>
      <c r="T83" s="146"/>
      <c r="U83" s="148">
        <f t="shared" si="15"/>
        <v>15</v>
      </c>
      <c r="V83" s="149">
        <f t="shared" si="16"/>
        <v>15</v>
      </c>
      <c r="W83" s="189"/>
      <c r="X83" s="199"/>
      <c r="Y83" s="151"/>
      <c r="Z83" s="190"/>
      <c r="AA83" s="153"/>
      <c r="AB83" s="154">
        <f t="shared" si="17"/>
        <v>0</v>
      </c>
      <c r="AC83" s="149">
        <f t="shared" si="18"/>
        <v>0</v>
      </c>
      <c r="AD83" s="125">
        <v>2</v>
      </c>
      <c r="AE83" s="148">
        <f t="shared" si="19"/>
        <v>2</v>
      </c>
      <c r="AF83" s="156"/>
      <c r="AG83" s="156"/>
      <c r="AH83" s="113">
        <f t="shared" si="20"/>
        <v>17</v>
      </c>
      <c r="AI83" s="157">
        <v>65</v>
      </c>
      <c r="AJ83" s="113">
        <f t="shared" si="21"/>
        <v>82</v>
      </c>
      <c r="AK83" s="113">
        <f t="shared" si="22"/>
        <v>82</v>
      </c>
      <c r="AL83" s="158">
        <f t="shared" si="23"/>
        <v>1.02</v>
      </c>
      <c r="AM83" s="159"/>
      <c r="AN83" s="160">
        <f t="shared" ref="AN83:AO102" si="26">100%+AM83</f>
        <v>1</v>
      </c>
      <c r="AO83" s="160">
        <f t="shared" si="26"/>
        <v>2</v>
      </c>
      <c r="AP83" s="133"/>
      <c r="AQ83" s="134"/>
      <c r="AR83" s="161"/>
      <c r="AS83" s="161"/>
      <c r="AT83" s="161"/>
      <c r="AU83" s="161"/>
      <c r="AV83" s="162"/>
      <c r="AW83" s="137">
        <f t="shared" si="24"/>
        <v>0</v>
      </c>
      <c r="AX83" s="137">
        <f t="shared" si="25"/>
        <v>0</v>
      </c>
    </row>
    <row r="84" ht="46.5" customHeight="1" spans="1:50" s="97" customFormat="1" x14ac:dyDescent="0.25">
      <c r="A84" s="100"/>
      <c r="B84" s="100"/>
      <c r="C84" s="100"/>
      <c r="D84" s="100"/>
      <c r="E84" s="100"/>
      <c r="F84" s="100"/>
      <c r="G84" s="103"/>
      <c r="H84" s="186"/>
      <c r="I84" s="195">
        <v>0.51</v>
      </c>
      <c r="J84" s="107">
        <v>0.49</v>
      </c>
      <c r="K84" s="107"/>
      <c r="L84" s="107"/>
      <c r="M84" s="187"/>
      <c r="N84" s="169">
        <f t="shared" si="14"/>
        <v>1</v>
      </c>
      <c r="O84" s="144">
        <v>1</v>
      </c>
      <c r="P84" s="145">
        <v>15</v>
      </c>
      <c r="Q84" s="113">
        <v>15</v>
      </c>
      <c r="R84" s="113"/>
      <c r="S84" s="113"/>
      <c r="T84" s="146"/>
      <c r="U84" s="148">
        <f t="shared" si="15"/>
        <v>15</v>
      </c>
      <c r="V84" s="149">
        <f t="shared" si="16"/>
        <v>15</v>
      </c>
      <c r="W84" s="189"/>
      <c r="X84" s="199"/>
      <c r="Y84" s="151"/>
      <c r="Z84" s="190"/>
      <c r="AA84" s="153"/>
      <c r="AB84" s="154">
        <f t="shared" si="17"/>
        <v>0</v>
      </c>
      <c r="AC84" s="149">
        <f t="shared" si="18"/>
        <v>0</v>
      </c>
      <c r="AD84" s="125">
        <v>2</v>
      </c>
      <c r="AE84" s="148">
        <f t="shared" si="19"/>
        <v>2</v>
      </c>
      <c r="AF84" s="156"/>
      <c r="AG84" s="156"/>
      <c r="AH84" s="113">
        <f t="shared" si="20"/>
        <v>17</v>
      </c>
      <c r="AI84" s="157">
        <v>65</v>
      </c>
      <c r="AJ84" s="113">
        <f t="shared" si="21"/>
        <v>82</v>
      </c>
      <c r="AK84" s="113">
        <f t="shared" si="22"/>
        <v>82</v>
      </c>
      <c r="AL84" s="158">
        <f t="shared" si="23"/>
        <v>1.02</v>
      </c>
      <c r="AM84" s="159"/>
      <c r="AN84" s="160">
        <f t="shared" si="26"/>
        <v>1</v>
      </c>
      <c r="AO84" s="160">
        <f t="shared" si="26"/>
        <v>2</v>
      </c>
      <c r="AP84" s="133"/>
      <c r="AQ84" s="134"/>
      <c r="AR84" s="161"/>
      <c r="AS84" s="161"/>
      <c r="AT84" s="161"/>
      <c r="AU84" s="161"/>
      <c r="AV84" s="162"/>
      <c r="AW84" s="137">
        <f t="shared" si="24"/>
        <v>0</v>
      </c>
      <c r="AX84" s="137">
        <f t="shared" si="25"/>
        <v>0</v>
      </c>
    </row>
    <row r="85" ht="46.5" customHeight="1" spans="1:50" s="97" customFormat="1" x14ac:dyDescent="0.25">
      <c r="A85" s="100"/>
      <c r="B85" s="100"/>
      <c r="C85" s="100"/>
      <c r="D85" s="100"/>
      <c r="E85" s="100"/>
      <c r="F85" s="100"/>
      <c r="G85" s="103"/>
      <c r="H85" s="186"/>
      <c r="I85" s="195">
        <v>0.51</v>
      </c>
      <c r="J85" s="107">
        <v>0.49</v>
      </c>
      <c r="K85" s="107"/>
      <c r="L85" s="107"/>
      <c r="M85" s="187"/>
      <c r="N85" s="169">
        <f t="shared" si="14"/>
        <v>1</v>
      </c>
      <c r="O85" s="144">
        <v>1</v>
      </c>
      <c r="P85" s="145">
        <v>15</v>
      </c>
      <c r="Q85" s="113">
        <v>15</v>
      </c>
      <c r="R85" s="113"/>
      <c r="S85" s="113"/>
      <c r="T85" s="146"/>
      <c r="U85" s="148">
        <f t="shared" si="15"/>
        <v>15</v>
      </c>
      <c r="V85" s="149">
        <f t="shared" si="16"/>
        <v>15</v>
      </c>
      <c r="W85" s="189"/>
      <c r="X85" s="199"/>
      <c r="Y85" s="151"/>
      <c r="Z85" s="190"/>
      <c r="AA85" s="153"/>
      <c r="AB85" s="154">
        <f t="shared" si="17"/>
        <v>0</v>
      </c>
      <c r="AC85" s="149">
        <f t="shared" si="18"/>
        <v>0</v>
      </c>
      <c r="AD85" s="125">
        <v>2</v>
      </c>
      <c r="AE85" s="148">
        <f t="shared" si="19"/>
        <v>2</v>
      </c>
      <c r="AF85" s="156"/>
      <c r="AG85" s="156"/>
      <c r="AH85" s="113">
        <f t="shared" si="20"/>
        <v>17</v>
      </c>
      <c r="AI85" s="157">
        <v>65</v>
      </c>
      <c r="AJ85" s="113">
        <f t="shared" si="21"/>
        <v>82</v>
      </c>
      <c r="AK85" s="113">
        <f t="shared" si="22"/>
        <v>82</v>
      </c>
      <c r="AL85" s="158">
        <f t="shared" si="23"/>
        <v>1.02</v>
      </c>
      <c r="AM85" s="159"/>
      <c r="AN85" s="160">
        <f t="shared" si="26"/>
        <v>1</v>
      </c>
      <c r="AO85" s="160">
        <f t="shared" si="26"/>
        <v>2</v>
      </c>
      <c r="AP85" s="133"/>
      <c r="AQ85" s="134"/>
      <c r="AR85" s="161"/>
      <c r="AS85" s="161"/>
      <c r="AT85" s="161"/>
      <c r="AU85" s="161"/>
      <c r="AV85" s="162"/>
      <c r="AW85" s="137">
        <f t="shared" si="24"/>
        <v>0</v>
      </c>
      <c r="AX85" s="137">
        <f t="shared" si="25"/>
        <v>0</v>
      </c>
    </row>
    <row r="86" ht="46.5" customHeight="1" spans="1:50" s="97" customFormat="1" x14ac:dyDescent="0.25">
      <c r="A86" s="100"/>
      <c r="B86" s="100"/>
      <c r="C86" s="100"/>
      <c r="D86" s="100"/>
      <c r="E86" s="100"/>
      <c r="F86" s="100"/>
      <c r="G86" s="103"/>
      <c r="H86" s="186"/>
      <c r="I86" s="195">
        <v>0.51</v>
      </c>
      <c r="J86" s="107">
        <v>0.49</v>
      </c>
      <c r="K86" s="107"/>
      <c r="L86" s="107"/>
      <c r="M86" s="187"/>
      <c r="N86" s="169">
        <f t="shared" si="14"/>
        <v>1</v>
      </c>
      <c r="O86" s="144">
        <v>1</v>
      </c>
      <c r="P86" s="145">
        <v>15</v>
      </c>
      <c r="Q86" s="113">
        <v>15</v>
      </c>
      <c r="R86" s="113"/>
      <c r="S86" s="113"/>
      <c r="T86" s="146"/>
      <c r="U86" s="148">
        <f t="shared" si="15"/>
        <v>15</v>
      </c>
      <c r="V86" s="149">
        <f t="shared" si="16"/>
        <v>15</v>
      </c>
      <c r="W86" s="189"/>
      <c r="X86" s="199"/>
      <c r="Y86" s="151"/>
      <c r="Z86" s="190"/>
      <c r="AA86" s="153"/>
      <c r="AB86" s="154">
        <f t="shared" si="17"/>
        <v>0</v>
      </c>
      <c r="AC86" s="149">
        <f t="shared" si="18"/>
        <v>0</v>
      </c>
      <c r="AD86" s="125">
        <v>2</v>
      </c>
      <c r="AE86" s="148">
        <f t="shared" si="19"/>
        <v>2</v>
      </c>
      <c r="AF86" s="156"/>
      <c r="AG86" s="156"/>
      <c r="AH86" s="113">
        <f t="shared" si="20"/>
        <v>17</v>
      </c>
      <c r="AI86" s="157">
        <v>65</v>
      </c>
      <c r="AJ86" s="113">
        <f t="shared" si="21"/>
        <v>82</v>
      </c>
      <c r="AK86" s="113">
        <f t="shared" si="22"/>
        <v>82</v>
      </c>
      <c r="AL86" s="158">
        <f t="shared" si="23"/>
        <v>1.02</v>
      </c>
      <c r="AM86" s="159"/>
      <c r="AN86" s="160">
        <f t="shared" si="26"/>
        <v>1</v>
      </c>
      <c r="AO86" s="160">
        <f t="shared" si="26"/>
        <v>2</v>
      </c>
      <c r="AP86" s="133"/>
      <c r="AQ86" s="134"/>
      <c r="AR86" s="161"/>
      <c r="AS86" s="161"/>
      <c r="AT86" s="161"/>
      <c r="AU86" s="161"/>
      <c r="AV86" s="162"/>
      <c r="AW86" s="137">
        <f t="shared" si="24"/>
        <v>0</v>
      </c>
      <c r="AX86" s="137">
        <f t="shared" si="25"/>
        <v>0</v>
      </c>
    </row>
    <row r="87" ht="46.5" customHeight="1" spans="1:50" s="97" customFormat="1" x14ac:dyDescent="0.25">
      <c r="A87" s="100"/>
      <c r="B87" s="100"/>
      <c r="C87" s="100"/>
      <c r="D87" s="100"/>
      <c r="E87" s="100"/>
      <c r="F87" s="100"/>
      <c r="G87" s="103"/>
      <c r="H87" s="186"/>
      <c r="I87" s="195">
        <v>0.51</v>
      </c>
      <c r="J87" s="107">
        <v>0.49</v>
      </c>
      <c r="K87" s="107"/>
      <c r="L87" s="107"/>
      <c r="M87" s="187"/>
      <c r="N87" s="169">
        <f t="shared" si="14"/>
        <v>1</v>
      </c>
      <c r="O87" s="144">
        <v>1</v>
      </c>
      <c r="P87" s="145">
        <v>15</v>
      </c>
      <c r="Q87" s="113">
        <v>15</v>
      </c>
      <c r="R87" s="113"/>
      <c r="S87" s="113"/>
      <c r="T87" s="146"/>
      <c r="U87" s="148">
        <f t="shared" si="15"/>
        <v>15</v>
      </c>
      <c r="V87" s="149">
        <f t="shared" si="16"/>
        <v>15</v>
      </c>
      <c r="W87" s="189"/>
      <c r="X87" s="199"/>
      <c r="Y87" s="151"/>
      <c r="Z87" s="190"/>
      <c r="AA87" s="153"/>
      <c r="AB87" s="154">
        <f t="shared" si="17"/>
        <v>0</v>
      </c>
      <c r="AC87" s="149">
        <f t="shared" si="18"/>
        <v>0</v>
      </c>
      <c r="AD87" s="125">
        <v>2</v>
      </c>
      <c r="AE87" s="148">
        <f t="shared" si="19"/>
        <v>2</v>
      </c>
      <c r="AF87" s="156"/>
      <c r="AG87" s="156"/>
      <c r="AH87" s="113">
        <f t="shared" si="20"/>
        <v>17</v>
      </c>
      <c r="AI87" s="157">
        <v>65</v>
      </c>
      <c r="AJ87" s="113">
        <f t="shared" si="21"/>
        <v>82</v>
      </c>
      <c r="AK87" s="113">
        <f t="shared" si="22"/>
        <v>82</v>
      </c>
      <c r="AL87" s="158">
        <f t="shared" si="23"/>
        <v>1.02</v>
      </c>
      <c r="AM87" s="159"/>
      <c r="AN87" s="160">
        <f t="shared" si="26"/>
        <v>1</v>
      </c>
      <c r="AO87" s="160">
        <f t="shared" si="26"/>
        <v>2</v>
      </c>
      <c r="AP87" s="133"/>
      <c r="AQ87" s="134"/>
      <c r="AR87" s="161"/>
      <c r="AS87" s="161"/>
      <c r="AT87" s="161"/>
      <c r="AU87" s="161"/>
      <c r="AV87" s="162"/>
      <c r="AW87" s="137">
        <f t="shared" si="24"/>
        <v>0</v>
      </c>
      <c r="AX87" s="137">
        <f t="shared" si="25"/>
        <v>0</v>
      </c>
    </row>
    <row r="88" ht="46.5" customHeight="1" spans="1:50" s="97" customFormat="1" x14ac:dyDescent="0.25">
      <c r="A88" s="100"/>
      <c r="B88" s="100"/>
      <c r="C88" s="100"/>
      <c r="D88" s="100"/>
      <c r="E88" s="100"/>
      <c r="F88" s="100"/>
      <c r="G88" s="103"/>
      <c r="H88" s="186"/>
      <c r="I88" s="195">
        <v>0.51</v>
      </c>
      <c r="J88" s="107">
        <v>0.49</v>
      </c>
      <c r="K88" s="107"/>
      <c r="L88" s="107"/>
      <c r="M88" s="187"/>
      <c r="N88" s="169">
        <f t="shared" si="14"/>
        <v>1</v>
      </c>
      <c r="O88" s="144">
        <v>1</v>
      </c>
      <c r="P88" s="145">
        <v>15</v>
      </c>
      <c r="Q88" s="113">
        <v>15</v>
      </c>
      <c r="R88" s="113"/>
      <c r="S88" s="113"/>
      <c r="T88" s="146"/>
      <c r="U88" s="148">
        <f t="shared" si="15"/>
        <v>15</v>
      </c>
      <c r="V88" s="149">
        <f t="shared" si="16"/>
        <v>15</v>
      </c>
      <c r="W88" s="189"/>
      <c r="X88" s="199"/>
      <c r="Y88" s="151"/>
      <c r="Z88" s="190"/>
      <c r="AA88" s="153"/>
      <c r="AB88" s="154">
        <f t="shared" si="17"/>
        <v>0</v>
      </c>
      <c r="AC88" s="149">
        <f t="shared" si="18"/>
        <v>0</v>
      </c>
      <c r="AD88" s="125">
        <v>2</v>
      </c>
      <c r="AE88" s="148">
        <f t="shared" si="19"/>
        <v>2</v>
      </c>
      <c r="AF88" s="156"/>
      <c r="AG88" s="156"/>
      <c r="AH88" s="113">
        <f t="shared" si="20"/>
        <v>17</v>
      </c>
      <c r="AI88" s="157">
        <v>65</v>
      </c>
      <c r="AJ88" s="113">
        <f t="shared" si="21"/>
        <v>82</v>
      </c>
      <c r="AK88" s="113">
        <f t="shared" si="22"/>
        <v>82</v>
      </c>
      <c r="AL88" s="158">
        <f t="shared" si="23"/>
        <v>1.02</v>
      </c>
      <c r="AM88" s="159"/>
      <c r="AN88" s="160">
        <f t="shared" si="26"/>
        <v>1</v>
      </c>
      <c r="AO88" s="160">
        <f t="shared" si="26"/>
        <v>2</v>
      </c>
      <c r="AP88" s="133"/>
      <c r="AQ88" s="134"/>
      <c r="AR88" s="161"/>
      <c r="AS88" s="161"/>
      <c r="AT88" s="161"/>
      <c r="AU88" s="161"/>
      <c r="AV88" s="162"/>
      <c r="AW88" s="137">
        <f t="shared" si="24"/>
        <v>0</v>
      </c>
      <c r="AX88" s="137">
        <f t="shared" si="25"/>
        <v>0</v>
      </c>
    </row>
    <row r="89" ht="46.5" customHeight="1" spans="1:50" s="97" customFormat="1" x14ac:dyDescent="0.25">
      <c r="A89" s="100"/>
      <c r="B89" s="100"/>
      <c r="C89" s="100"/>
      <c r="D89" s="100"/>
      <c r="E89" s="100"/>
      <c r="F89" s="100"/>
      <c r="G89" s="103"/>
      <c r="H89" s="186"/>
      <c r="I89" s="195">
        <v>0.51</v>
      </c>
      <c r="J89" s="107">
        <v>0.49</v>
      </c>
      <c r="K89" s="107"/>
      <c r="L89" s="107"/>
      <c r="M89" s="187"/>
      <c r="N89" s="169">
        <f t="shared" si="14"/>
        <v>1</v>
      </c>
      <c r="O89" s="144">
        <v>1</v>
      </c>
      <c r="P89" s="145">
        <v>15</v>
      </c>
      <c r="Q89" s="113">
        <v>15</v>
      </c>
      <c r="R89" s="113"/>
      <c r="S89" s="113"/>
      <c r="T89" s="146"/>
      <c r="U89" s="148">
        <f t="shared" si="15"/>
        <v>15</v>
      </c>
      <c r="V89" s="149">
        <f t="shared" si="16"/>
        <v>15</v>
      </c>
      <c r="W89" s="189"/>
      <c r="X89" s="199"/>
      <c r="Y89" s="151"/>
      <c r="Z89" s="190"/>
      <c r="AA89" s="153"/>
      <c r="AB89" s="154">
        <f t="shared" si="17"/>
        <v>0</v>
      </c>
      <c r="AC89" s="149">
        <f t="shared" si="18"/>
        <v>0</v>
      </c>
      <c r="AD89" s="125">
        <v>2</v>
      </c>
      <c r="AE89" s="148">
        <f t="shared" si="19"/>
        <v>2</v>
      </c>
      <c r="AF89" s="156"/>
      <c r="AG89" s="156"/>
      <c r="AH89" s="113">
        <f t="shared" si="20"/>
        <v>17</v>
      </c>
      <c r="AI89" s="157">
        <v>65</v>
      </c>
      <c r="AJ89" s="113">
        <f t="shared" si="21"/>
        <v>82</v>
      </c>
      <c r="AK89" s="113">
        <f t="shared" si="22"/>
        <v>82</v>
      </c>
      <c r="AL89" s="158">
        <f t="shared" si="23"/>
        <v>1.02</v>
      </c>
      <c r="AM89" s="159"/>
      <c r="AN89" s="160">
        <f t="shared" si="26"/>
        <v>1</v>
      </c>
      <c r="AO89" s="160">
        <f t="shared" si="26"/>
        <v>2</v>
      </c>
      <c r="AP89" s="133"/>
      <c r="AQ89" s="134"/>
      <c r="AR89" s="161"/>
      <c r="AS89" s="161"/>
      <c r="AT89" s="161"/>
      <c r="AU89" s="161"/>
      <c r="AV89" s="162"/>
      <c r="AW89" s="137">
        <f t="shared" si="24"/>
        <v>0</v>
      </c>
      <c r="AX89" s="137">
        <f t="shared" si="25"/>
        <v>0</v>
      </c>
    </row>
    <row r="90" ht="46.5" customHeight="1" spans="1:50" s="97" customFormat="1" x14ac:dyDescent="0.25">
      <c r="A90" s="100"/>
      <c r="B90" s="100"/>
      <c r="C90" s="100"/>
      <c r="D90" s="100"/>
      <c r="E90" s="100"/>
      <c r="F90" s="100"/>
      <c r="G90" s="103"/>
      <c r="H90" s="186"/>
      <c r="I90" s="195">
        <v>0.51</v>
      </c>
      <c r="J90" s="107">
        <v>0.49</v>
      </c>
      <c r="K90" s="107"/>
      <c r="L90" s="107"/>
      <c r="M90" s="187"/>
      <c r="N90" s="169">
        <f t="shared" si="14"/>
        <v>1</v>
      </c>
      <c r="O90" s="144">
        <v>1</v>
      </c>
      <c r="P90" s="145">
        <v>15</v>
      </c>
      <c r="Q90" s="113">
        <v>15</v>
      </c>
      <c r="R90" s="113"/>
      <c r="S90" s="113"/>
      <c r="T90" s="146"/>
      <c r="U90" s="148">
        <f t="shared" si="15"/>
        <v>15</v>
      </c>
      <c r="V90" s="149">
        <f t="shared" si="16"/>
        <v>15</v>
      </c>
      <c r="W90" s="189"/>
      <c r="X90" s="199"/>
      <c r="Y90" s="151"/>
      <c r="Z90" s="190"/>
      <c r="AA90" s="153"/>
      <c r="AB90" s="154">
        <f t="shared" si="17"/>
        <v>0</v>
      </c>
      <c r="AC90" s="149">
        <f t="shared" si="18"/>
        <v>0</v>
      </c>
      <c r="AD90" s="125">
        <v>2</v>
      </c>
      <c r="AE90" s="148">
        <f t="shared" si="19"/>
        <v>2</v>
      </c>
      <c r="AF90" s="156"/>
      <c r="AG90" s="156"/>
      <c r="AH90" s="113">
        <f t="shared" si="20"/>
        <v>17</v>
      </c>
      <c r="AI90" s="157">
        <v>65</v>
      </c>
      <c r="AJ90" s="113">
        <f t="shared" si="21"/>
        <v>82</v>
      </c>
      <c r="AK90" s="113">
        <f t="shared" si="22"/>
        <v>82</v>
      </c>
      <c r="AL90" s="158">
        <f t="shared" si="23"/>
        <v>1.02</v>
      </c>
      <c r="AM90" s="159"/>
      <c r="AN90" s="160">
        <f t="shared" si="26"/>
        <v>1</v>
      </c>
      <c r="AO90" s="160">
        <f t="shared" si="26"/>
        <v>2</v>
      </c>
      <c r="AP90" s="133"/>
      <c r="AQ90" s="134"/>
      <c r="AR90" s="161"/>
      <c r="AS90" s="161"/>
      <c r="AT90" s="161"/>
      <c r="AU90" s="161"/>
      <c r="AV90" s="162"/>
      <c r="AW90" s="137">
        <f t="shared" si="24"/>
        <v>0</v>
      </c>
      <c r="AX90" s="137">
        <f t="shared" si="25"/>
        <v>0</v>
      </c>
    </row>
    <row r="91" ht="46.5" customHeight="1" spans="1:50" s="97" customFormat="1" x14ac:dyDescent="0.25">
      <c r="A91" s="100"/>
      <c r="B91" s="100"/>
      <c r="C91" s="100"/>
      <c r="D91" s="100"/>
      <c r="E91" s="100"/>
      <c r="F91" s="100"/>
      <c r="G91" s="103"/>
      <c r="H91" s="186"/>
      <c r="I91" s="195">
        <v>0.51</v>
      </c>
      <c r="J91" s="107">
        <v>0.49</v>
      </c>
      <c r="K91" s="107"/>
      <c r="L91" s="107"/>
      <c r="M91" s="187"/>
      <c r="N91" s="169">
        <f t="shared" si="14"/>
        <v>1</v>
      </c>
      <c r="O91" s="144">
        <v>1</v>
      </c>
      <c r="P91" s="145">
        <v>15</v>
      </c>
      <c r="Q91" s="113">
        <v>15</v>
      </c>
      <c r="R91" s="113"/>
      <c r="S91" s="113"/>
      <c r="T91" s="146"/>
      <c r="U91" s="148">
        <f t="shared" si="15"/>
        <v>15</v>
      </c>
      <c r="V91" s="149">
        <f t="shared" si="16"/>
        <v>15</v>
      </c>
      <c r="W91" s="189"/>
      <c r="X91" s="199"/>
      <c r="Y91" s="151"/>
      <c r="Z91" s="190"/>
      <c r="AA91" s="153"/>
      <c r="AB91" s="154">
        <f t="shared" si="17"/>
        <v>0</v>
      </c>
      <c r="AC91" s="149">
        <f t="shared" si="18"/>
        <v>0</v>
      </c>
      <c r="AD91" s="125">
        <v>2</v>
      </c>
      <c r="AE91" s="148">
        <f t="shared" si="19"/>
        <v>2</v>
      </c>
      <c r="AF91" s="156"/>
      <c r="AG91" s="156"/>
      <c r="AH91" s="113">
        <f t="shared" si="20"/>
        <v>17</v>
      </c>
      <c r="AI91" s="157">
        <v>65</v>
      </c>
      <c r="AJ91" s="113">
        <f t="shared" si="21"/>
        <v>82</v>
      </c>
      <c r="AK91" s="113">
        <f t="shared" si="22"/>
        <v>82</v>
      </c>
      <c r="AL91" s="158">
        <f t="shared" si="23"/>
        <v>1.02</v>
      </c>
      <c r="AM91" s="159"/>
      <c r="AN91" s="160">
        <f t="shared" si="26"/>
        <v>1</v>
      </c>
      <c r="AO91" s="160">
        <f t="shared" si="26"/>
        <v>2</v>
      </c>
      <c r="AP91" s="133"/>
      <c r="AQ91" s="134"/>
      <c r="AR91" s="161"/>
      <c r="AS91" s="161"/>
      <c r="AT91" s="161"/>
      <c r="AU91" s="161"/>
      <c r="AV91" s="162"/>
      <c r="AW91" s="137">
        <f t="shared" si="24"/>
        <v>0</v>
      </c>
      <c r="AX91" s="137">
        <f t="shared" si="25"/>
        <v>0</v>
      </c>
    </row>
    <row r="92" ht="46.5" customHeight="1" spans="1:50" s="97" customFormat="1" x14ac:dyDescent="0.25">
      <c r="A92" s="100"/>
      <c r="B92" s="100"/>
      <c r="C92" s="100"/>
      <c r="D92" s="100"/>
      <c r="E92" s="100"/>
      <c r="F92" s="100"/>
      <c r="G92" s="103"/>
      <c r="H92" s="186"/>
      <c r="I92" s="195">
        <v>0.51</v>
      </c>
      <c r="J92" s="107">
        <v>0.49</v>
      </c>
      <c r="K92" s="107"/>
      <c r="L92" s="107"/>
      <c r="M92" s="187"/>
      <c r="N92" s="169">
        <f t="shared" si="14"/>
        <v>1</v>
      </c>
      <c r="O92" s="144">
        <v>1</v>
      </c>
      <c r="P92" s="145">
        <v>15</v>
      </c>
      <c r="Q92" s="113">
        <v>15</v>
      </c>
      <c r="R92" s="113"/>
      <c r="S92" s="113"/>
      <c r="T92" s="146"/>
      <c r="U92" s="148">
        <f t="shared" si="15"/>
        <v>15</v>
      </c>
      <c r="V92" s="149">
        <f t="shared" si="16"/>
        <v>15</v>
      </c>
      <c r="W92" s="189"/>
      <c r="X92" s="199"/>
      <c r="Y92" s="151"/>
      <c r="Z92" s="190"/>
      <c r="AA92" s="153"/>
      <c r="AB92" s="154">
        <f t="shared" si="17"/>
        <v>0</v>
      </c>
      <c r="AC92" s="149">
        <f t="shared" si="18"/>
        <v>0</v>
      </c>
      <c r="AD92" s="125">
        <v>2</v>
      </c>
      <c r="AE92" s="148">
        <f t="shared" si="19"/>
        <v>2</v>
      </c>
      <c r="AF92" s="156"/>
      <c r="AG92" s="156"/>
      <c r="AH92" s="113">
        <f t="shared" si="20"/>
        <v>17</v>
      </c>
      <c r="AI92" s="157">
        <v>65</v>
      </c>
      <c r="AJ92" s="113">
        <f t="shared" si="21"/>
        <v>82</v>
      </c>
      <c r="AK92" s="113">
        <f t="shared" si="22"/>
        <v>82</v>
      </c>
      <c r="AL92" s="158">
        <f t="shared" si="23"/>
        <v>1.02</v>
      </c>
      <c r="AM92" s="159"/>
      <c r="AN92" s="160">
        <f t="shared" si="26"/>
        <v>1</v>
      </c>
      <c r="AO92" s="160">
        <f t="shared" si="26"/>
        <v>2</v>
      </c>
      <c r="AP92" s="133"/>
      <c r="AQ92" s="134"/>
      <c r="AR92" s="161"/>
      <c r="AS92" s="161"/>
      <c r="AT92" s="161"/>
      <c r="AU92" s="161"/>
      <c r="AV92" s="162"/>
      <c r="AW92" s="137">
        <f t="shared" si="24"/>
        <v>0</v>
      </c>
      <c r="AX92" s="137">
        <f t="shared" si="25"/>
        <v>0</v>
      </c>
    </row>
    <row r="93" ht="46.5" customHeight="1" spans="1:50" s="97" customFormat="1" x14ac:dyDescent="0.25">
      <c r="A93" s="100"/>
      <c r="B93" s="100"/>
      <c r="C93" s="100"/>
      <c r="D93" s="100"/>
      <c r="E93" s="100"/>
      <c r="F93" s="100"/>
      <c r="G93" s="103"/>
      <c r="H93" s="186"/>
      <c r="I93" s="195">
        <v>0.51</v>
      </c>
      <c r="J93" s="107">
        <v>0.49</v>
      </c>
      <c r="K93" s="107"/>
      <c r="L93" s="107"/>
      <c r="M93" s="187"/>
      <c r="N93" s="169">
        <f t="shared" si="14"/>
        <v>1</v>
      </c>
      <c r="O93" s="144">
        <v>1</v>
      </c>
      <c r="P93" s="145">
        <v>15</v>
      </c>
      <c r="Q93" s="113">
        <v>15</v>
      </c>
      <c r="R93" s="113"/>
      <c r="S93" s="113"/>
      <c r="T93" s="146"/>
      <c r="U93" s="148">
        <f t="shared" si="15"/>
        <v>15</v>
      </c>
      <c r="V93" s="149">
        <f t="shared" si="16"/>
        <v>15</v>
      </c>
      <c r="W93" s="189"/>
      <c r="X93" s="199"/>
      <c r="Y93" s="151"/>
      <c r="Z93" s="190"/>
      <c r="AA93" s="153"/>
      <c r="AB93" s="154">
        <f t="shared" si="17"/>
        <v>0</v>
      </c>
      <c r="AC93" s="149">
        <f t="shared" si="18"/>
        <v>0</v>
      </c>
      <c r="AD93" s="125">
        <v>2</v>
      </c>
      <c r="AE93" s="148">
        <f t="shared" si="19"/>
        <v>2</v>
      </c>
      <c r="AF93" s="156"/>
      <c r="AG93" s="156"/>
      <c r="AH93" s="113">
        <f t="shared" si="20"/>
        <v>17</v>
      </c>
      <c r="AI93" s="157">
        <v>65</v>
      </c>
      <c r="AJ93" s="113">
        <f t="shared" si="21"/>
        <v>82</v>
      </c>
      <c r="AK93" s="113">
        <f t="shared" si="22"/>
        <v>82</v>
      </c>
      <c r="AL93" s="158">
        <f t="shared" si="23"/>
        <v>1.02</v>
      </c>
      <c r="AM93" s="159"/>
      <c r="AN93" s="160">
        <f t="shared" si="26"/>
        <v>1</v>
      </c>
      <c r="AO93" s="160">
        <f t="shared" si="26"/>
        <v>2</v>
      </c>
      <c r="AP93" s="133"/>
      <c r="AQ93" s="134"/>
      <c r="AR93" s="161"/>
      <c r="AS93" s="161"/>
      <c r="AT93" s="161"/>
      <c r="AU93" s="161"/>
      <c r="AV93" s="162"/>
      <c r="AW93" s="137">
        <f t="shared" si="24"/>
        <v>0</v>
      </c>
      <c r="AX93" s="137">
        <f t="shared" si="25"/>
        <v>0</v>
      </c>
    </row>
    <row r="94" ht="46.5" customHeight="1" spans="1:50" s="97" customFormat="1" x14ac:dyDescent="0.25">
      <c r="A94" s="100"/>
      <c r="B94" s="100"/>
      <c r="C94" s="100"/>
      <c r="D94" s="100"/>
      <c r="E94" s="100"/>
      <c r="F94" s="100"/>
      <c r="G94" s="103"/>
      <c r="H94" s="186"/>
      <c r="I94" s="195">
        <v>0.51</v>
      </c>
      <c r="J94" s="107">
        <v>0.49</v>
      </c>
      <c r="K94" s="107"/>
      <c r="L94" s="107"/>
      <c r="M94" s="187"/>
      <c r="N94" s="169">
        <f t="shared" si="14"/>
        <v>1</v>
      </c>
      <c r="O94" s="144">
        <v>1</v>
      </c>
      <c r="P94" s="145">
        <v>15</v>
      </c>
      <c r="Q94" s="113">
        <v>15</v>
      </c>
      <c r="R94" s="113"/>
      <c r="S94" s="113"/>
      <c r="T94" s="146"/>
      <c r="U94" s="148">
        <f t="shared" si="15"/>
        <v>15</v>
      </c>
      <c r="V94" s="149">
        <f t="shared" si="16"/>
        <v>15</v>
      </c>
      <c r="W94" s="189"/>
      <c r="X94" s="199"/>
      <c r="Y94" s="151"/>
      <c r="Z94" s="190"/>
      <c r="AA94" s="153"/>
      <c r="AB94" s="154">
        <f t="shared" si="17"/>
        <v>0</v>
      </c>
      <c r="AC94" s="149">
        <f t="shared" si="18"/>
        <v>0</v>
      </c>
      <c r="AD94" s="125">
        <v>2</v>
      </c>
      <c r="AE94" s="148">
        <f t="shared" si="19"/>
        <v>2</v>
      </c>
      <c r="AF94" s="156"/>
      <c r="AG94" s="156"/>
      <c r="AH94" s="113">
        <f t="shared" si="20"/>
        <v>17</v>
      </c>
      <c r="AI94" s="157">
        <v>65</v>
      </c>
      <c r="AJ94" s="113">
        <f t="shared" si="21"/>
        <v>82</v>
      </c>
      <c r="AK94" s="113">
        <f t="shared" si="22"/>
        <v>82</v>
      </c>
      <c r="AL94" s="158">
        <f t="shared" si="23"/>
        <v>1.02</v>
      </c>
      <c r="AM94" s="159"/>
      <c r="AN94" s="160">
        <f t="shared" si="26"/>
        <v>1</v>
      </c>
      <c r="AO94" s="160">
        <f t="shared" si="26"/>
        <v>2</v>
      </c>
      <c r="AP94" s="133"/>
      <c r="AQ94" s="134"/>
      <c r="AR94" s="161"/>
      <c r="AS94" s="161"/>
      <c r="AT94" s="161"/>
      <c r="AU94" s="161"/>
      <c r="AV94" s="162"/>
      <c r="AW94" s="137">
        <f t="shared" si="24"/>
        <v>0</v>
      </c>
      <c r="AX94" s="137">
        <f t="shared" si="25"/>
        <v>0</v>
      </c>
    </row>
    <row r="95" ht="46.5" customHeight="1" spans="1:50" s="97" customFormat="1" x14ac:dyDescent="0.25">
      <c r="A95" s="100"/>
      <c r="B95" s="100"/>
      <c r="C95" s="100"/>
      <c r="D95" s="100"/>
      <c r="E95" s="100"/>
      <c r="F95" s="100"/>
      <c r="G95" s="103"/>
      <c r="H95" s="186"/>
      <c r="I95" s="195">
        <v>0.51</v>
      </c>
      <c r="J95" s="107">
        <v>0.49</v>
      </c>
      <c r="K95" s="107"/>
      <c r="L95" s="107"/>
      <c r="M95" s="187"/>
      <c r="N95" s="169">
        <f t="shared" si="14"/>
        <v>1</v>
      </c>
      <c r="O95" s="144">
        <v>1</v>
      </c>
      <c r="P95" s="145">
        <v>15</v>
      </c>
      <c r="Q95" s="113">
        <v>15</v>
      </c>
      <c r="R95" s="113"/>
      <c r="S95" s="113"/>
      <c r="T95" s="146"/>
      <c r="U95" s="148">
        <f t="shared" si="15"/>
        <v>15</v>
      </c>
      <c r="V95" s="149">
        <f t="shared" si="16"/>
        <v>15</v>
      </c>
      <c r="W95" s="189"/>
      <c r="X95" s="199"/>
      <c r="Y95" s="151"/>
      <c r="Z95" s="190"/>
      <c r="AA95" s="153"/>
      <c r="AB95" s="154">
        <f t="shared" si="17"/>
        <v>0</v>
      </c>
      <c r="AC95" s="149">
        <f t="shared" si="18"/>
        <v>0</v>
      </c>
      <c r="AD95" s="125">
        <v>2</v>
      </c>
      <c r="AE95" s="148">
        <f t="shared" si="19"/>
        <v>2</v>
      </c>
      <c r="AF95" s="156"/>
      <c r="AG95" s="156"/>
      <c r="AH95" s="113">
        <f t="shared" si="20"/>
        <v>17</v>
      </c>
      <c r="AI95" s="157">
        <v>65</v>
      </c>
      <c r="AJ95" s="113">
        <f t="shared" si="21"/>
        <v>82</v>
      </c>
      <c r="AK95" s="113">
        <f t="shared" si="22"/>
        <v>82</v>
      </c>
      <c r="AL95" s="158">
        <f t="shared" si="23"/>
        <v>1.02</v>
      </c>
      <c r="AM95" s="159"/>
      <c r="AN95" s="160">
        <f t="shared" si="26"/>
        <v>1</v>
      </c>
      <c r="AO95" s="160">
        <f t="shared" si="26"/>
        <v>2</v>
      </c>
      <c r="AP95" s="133"/>
      <c r="AQ95" s="134"/>
      <c r="AR95" s="161"/>
      <c r="AS95" s="161"/>
      <c r="AT95" s="161"/>
      <c r="AU95" s="161"/>
      <c r="AV95" s="162"/>
      <c r="AW95" s="137">
        <f t="shared" si="24"/>
        <v>0</v>
      </c>
      <c r="AX95" s="137">
        <f t="shared" si="25"/>
        <v>0</v>
      </c>
    </row>
    <row r="96" ht="46.5" customHeight="1" spans="1:50" s="97" customFormat="1" x14ac:dyDescent="0.25">
      <c r="A96" s="100"/>
      <c r="B96" s="100"/>
      <c r="C96" s="100"/>
      <c r="D96" s="100"/>
      <c r="E96" s="100"/>
      <c r="F96" s="100"/>
      <c r="G96" s="103"/>
      <c r="H96" s="186"/>
      <c r="I96" s="195">
        <v>0.51</v>
      </c>
      <c r="J96" s="107">
        <v>0.49</v>
      </c>
      <c r="K96" s="107"/>
      <c r="L96" s="107"/>
      <c r="M96" s="187"/>
      <c r="N96" s="169">
        <f t="shared" si="14"/>
        <v>1</v>
      </c>
      <c r="O96" s="144">
        <v>1</v>
      </c>
      <c r="P96" s="145">
        <v>15</v>
      </c>
      <c r="Q96" s="113">
        <v>15</v>
      </c>
      <c r="R96" s="113"/>
      <c r="S96" s="113"/>
      <c r="T96" s="146"/>
      <c r="U96" s="148">
        <f t="shared" si="15"/>
        <v>15</v>
      </c>
      <c r="V96" s="149">
        <f t="shared" si="16"/>
        <v>15</v>
      </c>
      <c r="W96" s="189"/>
      <c r="X96" s="199"/>
      <c r="Y96" s="151"/>
      <c r="Z96" s="190"/>
      <c r="AA96" s="153"/>
      <c r="AB96" s="154">
        <f t="shared" si="17"/>
        <v>0</v>
      </c>
      <c r="AC96" s="149">
        <f t="shared" si="18"/>
        <v>0</v>
      </c>
      <c r="AD96" s="125">
        <v>2</v>
      </c>
      <c r="AE96" s="148">
        <f t="shared" si="19"/>
        <v>2</v>
      </c>
      <c r="AF96" s="156"/>
      <c r="AG96" s="156"/>
      <c r="AH96" s="113">
        <f t="shared" si="20"/>
        <v>17</v>
      </c>
      <c r="AI96" s="157">
        <v>65</v>
      </c>
      <c r="AJ96" s="113">
        <f t="shared" si="21"/>
        <v>82</v>
      </c>
      <c r="AK96" s="113">
        <f t="shared" si="22"/>
        <v>82</v>
      </c>
      <c r="AL96" s="158">
        <f t="shared" si="23"/>
        <v>1.02</v>
      </c>
      <c r="AM96" s="159"/>
      <c r="AN96" s="160">
        <f t="shared" si="26"/>
        <v>1</v>
      </c>
      <c r="AO96" s="160">
        <f t="shared" si="26"/>
        <v>2</v>
      </c>
      <c r="AP96" s="133"/>
      <c r="AQ96" s="134"/>
      <c r="AR96" s="161"/>
      <c r="AS96" s="161"/>
      <c r="AT96" s="161"/>
      <c r="AU96" s="161"/>
      <c r="AV96" s="162"/>
      <c r="AW96" s="137">
        <f t="shared" si="24"/>
        <v>0</v>
      </c>
      <c r="AX96" s="137">
        <f t="shared" si="25"/>
        <v>0</v>
      </c>
    </row>
    <row r="97" ht="46.5" customHeight="1" spans="1:50" s="97" customFormat="1" x14ac:dyDescent="0.25">
      <c r="A97" s="100"/>
      <c r="B97" s="100"/>
      <c r="C97" s="100"/>
      <c r="D97" s="100"/>
      <c r="E97" s="100"/>
      <c r="F97" s="100"/>
      <c r="G97" s="103"/>
      <c r="H97" s="186"/>
      <c r="I97" s="195">
        <v>0.51</v>
      </c>
      <c r="J97" s="107">
        <v>0.49</v>
      </c>
      <c r="K97" s="107"/>
      <c r="L97" s="107"/>
      <c r="M97" s="187"/>
      <c r="N97" s="169">
        <f t="shared" si="14"/>
        <v>1</v>
      </c>
      <c r="O97" s="144">
        <v>1</v>
      </c>
      <c r="P97" s="145">
        <v>15</v>
      </c>
      <c r="Q97" s="113">
        <v>15</v>
      </c>
      <c r="R97" s="113"/>
      <c r="S97" s="113"/>
      <c r="T97" s="146"/>
      <c r="U97" s="148">
        <f t="shared" si="15"/>
        <v>15</v>
      </c>
      <c r="V97" s="149">
        <f t="shared" si="16"/>
        <v>15</v>
      </c>
      <c r="W97" s="189"/>
      <c r="X97" s="199"/>
      <c r="Y97" s="151"/>
      <c r="Z97" s="190"/>
      <c r="AA97" s="153"/>
      <c r="AB97" s="154">
        <f t="shared" si="17"/>
        <v>0</v>
      </c>
      <c r="AC97" s="149">
        <f t="shared" si="18"/>
        <v>0</v>
      </c>
      <c r="AD97" s="125">
        <v>2</v>
      </c>
      <c r="AE97" s="148">
        <f t="shared" si="19"/>
        <v>2</v>
      </c>
      <c r="AF97" s="156"/>
      <c r="AG97" s="156"/>
      <c r="AH97" s="113">
        <f t="shared" si="20"/>
        <v>17</v>
      </c>
      <c r="AI97" s="157">
        <v>65</v>
      </c>
      <c r="AJ97" s="113">
        <f t="shared" si="21"/>
        <v>82</v>
      </c>
      <c r="AK97" s="113">
        <f t="shared" si="22"/>
        <v>82</v>
      </c>
      <c r="AL97" s="158">
        <f t="shared" si="23"/>
        <v>1.02</v>
      </c>
      <c r="AM97" s="159"/>
      <c r="AN97" s="160">
        <f t="shared" si="26"/>
        <v>1</v>
      </c>
      <c r="AO97" s="160">
        <f t="shared" si="26"/>
        <v>2</v>
      </c>
      <c r="AP97" s="133"/>
      <c r="AQ97" s="134"/>
      <c r="AR97" s="161"/>
      <c r="AS97" s="161"/>
      <c r="AT97" s="161"/>
      <c r="AU97" s="161"/>
      <c r="AV97" s="162"/>
      <c r="AW97" s="137">
        <f t="shared" si="24"/>
        <v>0</v>
      </c>
      <c r="AX97" s="137">
        <f t="shared" si="25"/>
        <v>0</v>
      </c>
    </row>
    <row r="98" ht="46.5" customHeight="1" spans="1:50" s="97" customFormat="1" x14ac:dyDescent="0.25">
      <c r="A98" s="100"/>
      <c r="B98" s="100"/>
      <c r="C98" s="100"/>
      <c r="D98" s="100"/>
      <c r="E98" s="100"/>
      <c r="F98" s="100"/>
      <c r="G98" s="103"/>
      <c r="H98" s="186"/>
      <c r="I98" s="195">
        <v>0.51</v>
      </c>
      <c r="J98" s="107">
        <v>0.49</v>
      </c>
      <c r="K98" s="107"/>
      <c r="L98" s="107"/>
      <c r="M98" s="187"/>
      <c r="N98" s="169">
        <f t="shared" si="14"/>
        <v>1</v>
      </c>
      <c r="O98" s="144">
        <v>1</v>
      </c>
      <c r="P98" s="145">
        <v>15</v>
      </c>
      <c r="Q98" s="113">
        <v>15</v>
      </c>
      <c r="R98" s="113"/>
      <c r="S98" s="113"/>
      <c r="T98" s="146"/>
      <c r="U98" s="148">
        <f t="shared" si="15"/>
        <v>15</v>
      </c>
      <c r="V98" s="149">
        <f t="shared" si="16"/>
        <v>15</v>
      </c>
      <c r="W98" s="189"/>
      <c r="X98" s="199"/>
      <c r="Y98" s="151"/>
      <c r="Z98" s="190"/>
      <c r="AA98" s="153"/>
      <c r="AB98" s="154">
        <f t="shared" si="17"/>
        <v>0</v>
      </c>
      <c r="AC98" s="149">
        <f t="shared" si="18"/>
        <v>0</v>
      </c>
      <c r="AD98" s="125">
        <v>2</v>
      </c>
      <c r="AE98" s="148">
        <f t="shared" si="19"/>
        <v>2</v>
      </c>
      <c r="AF98" s="156"/>
      <c r="AG98" s="156"/>
      <c r="AH98" s="113">
        <f t="shared" si="20"/>
        <v>17</v>
      </c>
      <c r="AI98" s="157">
        <v>65</v>
      </c>
      <c r="AJ98" s="113">
        <f t="shared" si="21"/>
        <v>82</v>
      </c>
      <c r="AK98" s="113">
        <f t="shared" si="22"/>
        <v>82</v>
      </c>
      <c r="AL98" s="158">
        <f t="shared" si="23"/>
        <v>1.02</v>
      </c>
      <c r="AM98" s="159"/>
      <c r="AN98" s="160">
        <f t="shared" si="26"/>
        <v>1</v>
      </c>
      <c r="AO98" s="160">
        <f t="shared" si="26"/>
        <v>2</v>
      </c>
      <c r="AP98" s="133"/>
      <c r="AQ98" s="134"/>
      <c r="AR98" s="161"/>
      <c r="AS98" s="161"/>
      <c r="AT98" s="161"/>
      <c r="AU98" s="161"/>
      <c r="AV98" s="162"/>
      <c r="AW98" s="137">
        <f t="shared" si="24"/>
        <v>0</v>
      </c>
      <c r="AX98" s="137">
        <f t="shared" si="25"/>
        <v>0</v>
      </c>
    </row>
    <row r="99" ht="46.5" customHeight="1" spans="1:50" s="97" customFormat="1" x14ac:dyDescent="0.25">
      <c r="A99" s="100"/>
      <c r="B99" s="100"/>
      <c r="C99" s="100"/>
      <c r="D99" s="100"/>
      <c r="E99" s="100"/>
      <c r="F99" s="100"/>
      <c r="G99" s="103"/>
      <c r="H99" s="186"/>
      <c r="I99" s="195">
        <v>0.51</v>
      </c>
      <c r="J99" s="107">
        <v>0.49</v>
      </c>
      <c r="K99" s="107"/>
      <c r="L99" s="107"/>
      <c r="M99" s="187"/>
      <c r="N99" s="169">
        <f t="shared" si="14"/>
        <v>1</v>
      </c>
      <c r="O99" s="144">
        <v>1</v>
      </c>
      <c r="P99" s="145">
        <v>15</v>
      </c>
      <c r="Q99" s="113">
        <v>15</v>
      </c>
      <c r="R99" s="113"/>
      <c r="S99" s="113"/>
      <c r="T99" s="146"/>
      <c r="U99" s="148">
        <f t="shared" si="15"/>
        <v>15</v>
      </c>
      <c r="V99" s="149">
        <f t="shared" si="16"/>
        <v>15</v>
      </c>
      <c r="W99" s="189"/>
      <c r="X99" s="199"/>
      <c r="Y99" s="151"/>
      <c r="Z99" s="190"/>
      <c r="AA99" s="153"/>
      <c r="AB99" s="154">
        <f t="shared" si="17"/>
        <v>0</v>
      </c>
      <c r="AC99" s="149">
        <f t="shared" si="18"/>
        <v>0</v>
      </c>
      <c r="AD99" s="125">
        <v>2</v>
      </c>
      <c r="AE99" s="148">
        <f t="shared" si="19"/>
        <v>2</v>
      </c>
      <c r="AF99" s="156"/>
      <c r="AG99" s="156"/>
      <c r="AH99" s="113">
        <f t="shared" si="20"/>
        <v>17</v>
      </c>
      <c r="AI99" s="157">
        <v>65</v>
      </c>
      <c r="AJ99" s="113">
        <f t="shared" si="21"/>
        <v>82</v>
      </c>
      <c r="AK99" s="113">
        <f t="shared" si="22"/>
        <v>82</v>
      </c>
      <c r="AL99" s="158">
        <f t="shared" si="23"/>
        <v>1.02</v>
      </c>
      <c r="AM99" s="159"/>
      <c r="AN99" s="160">
        <f t="shared" si="26"/>
        <v>1</v>
      </c>
      <c r="AO99" s="160">
        <f t="shared" si="26"/>
        <v>2</v>
      </c>
      <c r="AP99" s="133"/>
      <c r="AQ99" s="134"/>
      <c r="AR99" s="161"/>
      <c r="AS99" s="161"/>
      <c r="AT99" s="161"/>
      <c r="AU99" s="161"/>
      <c r="AV99" s="162"/>
      <c r="AW99" s="137">
        <f t="shared" si="24"/>
        <v>0</v>
      </c>
      <c r="AX99" s="137">
        <f t="shared" si="25"/>
        <v>0</v>
      </c>
    </row>
    <row r="100" ht="46.5" customHeight="1" spans="1:50" s="97" customFormat="1" x14ac:dyDescent="0.25">
      <c r="A100" s="100"/>
      <c r="B100" s="100"/>
      <c r="C100" s="100"/>
      <c r="D100" s="100"/>
      <c r="E100" s="100"/>
      <c r="F100" s="100"/>
      <c r="G100" s="103"/>
      <c r="H100" s="186"/>
      <c r="I100" s="195">
        <v>0.51</v>
      </c>
      <c r="J100" s="107">
        <v>0.49</v>
      </c>
      <c r="K100" s="107"/>
      <c r="L100" s="107"/>
      <c r="M100" s="187"/>
      <c r="N100" s="169">
        <f t="shared" si="14"/>
        <v>1</v>
      </c>
      <c r="O100" s="144">
        <v>1</v>
      </c>
      <c r="P100" s="145">
        <v>15</v>
      </c>
      <c r="Q100" s="113">
        <v>15</v>
      </c>
      <c r="R100" s="113"/>
      <c r="S100" s="113"/>
      <c r="T100" s="146"/>
      <c r="U100" s="148">
        <f t="shared" si="15"/>
        <v>15</v>
      </c>
      <c r="V100" s="149">
        <f t="shared" si="16"/>
        <v>15</v>
      </c>
      <c r="W100" s="189"/>
      <c r="X100" s="199"/>
      <c r="Y100" s="151"/>
      <c r="Z100" s="190"/>
      <c r="AA100" s="153"/>
      <c r="AB100" s="154">
        <f t="shared" si="17"/>
        <v>0</v>
      </c>
      <c r="AC100" s="149">
        <f t="shared" si="18"/>
        <v>0</v>
      </c>
      <c r="AD100" s="125">
        <v>2</v>
      </c>
      <c r="AE100" s="148">
        <f t="shared" si="19"/>
        <v>2</v>
      </c>
      <c r="AF100" s="156"/>
      <c r="AG100" s="156"/>
      <c r="AH100" s="113">
        <f t="shared" si="20"/>
        <v>17</v>
      </c>
      <c r="AI100" s="157">
        <v>65</v>
      </c>
      <c r="AJ100" s="113">
        <f t="shared" si="21"/>
        <v>82</v>
      </c>
      <c r="AK100" s="113">
        <f t="shared" si="22"/>
        <v>82</v>
      </c>
      <c r="AL100" s="158">
        <f t="shared" si="23"/>
        <v>1.02</v>
      </c>
      <c r="AM100" s="159"/>
      <c r="AN100" s="160">
        <f t="shared" si="26"/>
        <v>1</v>
      </c>
      <c r="AO100" s="160">
        <f t="shared" si="26"/>
        <v>2</v>
      </c>
      <c r="AP100" s="133"/>
      <c r="AQ100" s="134"/>
      <c r="AR100" s="161"/>
      <c r="AS100" s="161"/>
      <c r="AT100" s="161"/>
      <c r="AU100" s="161"/>
      <c r="AV100" s="162"/>
      <c r="AW100" s="137">
        <f t="shared" si="24"/>
        <v>0</v>
      </c>
      <c r="AX100" s="137">
        <f t="shared" si="25"/>
        <v>0</v>
      </c>
    </row>
    <row r="101" ht="46.5" customHeight="1" spans="1:50" s="97" customFormat="1" x14ac:dyDescent="0.25">
      <c r="A101" s="100"/>
      <c r="B101" s="100"/>
      <c r="C101" s="100"/>
      <c r="D101" s="100"/>
      <c r="E101" s="100"/>
      <c r="F101" s="100"/>
      <c r="G101" s="103"/>
      <c r="H101" s="186"/>
      <c r="I101" s="195">
        <v>0.51</v>
      </c>
      <c r="J101" s="107">
        <v>0.49</v>
      </c>
      <c r="K101" s="107"/>
      <c r="L101" s="107"/>
      <c r="M101" s="187"/>
      <c r="N101" s="169">
        <f t="shared" si="14"/>
        <v>1</v>
      </c>
      <c r="O101" s="144">
        <v>1</v>
      </c>
      <c r="P101" s="145">
        <v>15</v>
      </c>
      <c r="Q101" s="113">
        <v>15</v>
      </c>
      <c r="R101" s="113"/>
      <c r="S101" s="113"/>
      <c r="T101" s="146"/>
      <c r="U101" s="148">
        <f t="shared" si="15"/>
        <v>15</v>
      </c>
      <c r="V101" s="149">
        <f t="shared" si="16"/>
        <v>15</v>
      </c>
      <c r="W101" s="189"/>
      <c r="X101" s="199"/>
      <c r="Y101" s="151"/>
      <c r="Z101" s="190"/>
      <c r="AA101" s="153"/>
      <c r="AB101" s="154">
        <f t="shared" si="17"/>
        <v>0</v>
      </c>
      <c r="AC101" s="149">
        <f t="shared" si="18"/>
        <v>0</v>
      </c>
      <c r="AD101" s="125">
        <v>2</v>
      </c>
      <c r="AE101" s="148">
        <f t="shared" si="19"/>
        <v>2</v>
      </c>
      <c r="AF101" s="156"/>
      <c r="AG101" s="156"/>
      <c r="AH101" s="113">
        <f t="shared" si="20"/>
        <v>17</v>
      </c>
      <c r="AI101" s="157">
        <v>65</v>
      </c>
      <c r="AJ101" s="113">
        <f t="shared" si="21"/>
        <v>82</v>
      </c>
      <c r="AK101" s="113">
        <f t="shared" si="22"/>
        <v>82</v>
      </c>
      <c r="AL101" s="158">
        <f t="shared" si="23"/>
        <v>1.02</v>
      </c>
      <c r="AM101" s="159"/>
      <c r="AN101" s="160">
        <f t="shared" si="26"/>
        <v>1</v>
      </c>
      <c r="AO101" s="160">
        <f t="shared" si="26"/>
        <v>2</v>
      </c>
      <c r="AP101" s="133"/>
      <c r="AQ101" s="134"/>
      <c r="AR101" s="161"/>
      <c r="AS101" s="161"/>
      <c r="AT101" s="161"/>
      <c r="AU101" s="161"/>
      <c r="AV101" s="162"/>
      <c r="AW101" s="137">
        <f t="shared" si="24"/>
        <v>0</v>
      </c>
      <c r="AX101" s="137">
        <f t="shared" si="25"/>
        <v>0</v>
      </c>
    </row>
    <row r="102" ht="46.5" customHeight="1" spans="1:50" s="97" customFormat="1" x14ac:dyDescent="0.25">
      <c r="A102" s="100"/>
      <c r="B102" s="100"/>
      <c r="C102" s="100"/>
      <c r="D102" s="100"/>
      <c r="E102" s="100"/>
      <c r="F102" s="100"/>
      <c r="G102" s="103"/>
      <c r="H102" s="186"/>
      <c r="I102" s="195">
        <v>0.51</v>
      </c>
      <c r="J102" s="107">
        <v>0.49</v>
      </c>
      <c r="K102" s="107"/>
      <c r="L102" s="107"/>
      <c r="M102" s="187"/>
      <c r="N102" s="169">
        <f t="shared" si="14"/>
        <v>1</v>
      </c>
      <c r="O102" s="144">
        <v>1</v>
      </c>
      <c r="P102" s="145">
        <v>15</v>
      </c>
      <c r="Q102" s="113">
        <v>15</v>
      </c>
      <c r="R102" s="113"/>
      <c r="S102" s="113"/>
      <c r="T102" s="146"/>
      <c r="U102" s="148">
        <f t="shared" si="15"/>
        <v>15</v>
      </c>
      <c r="V102" s="149">
        <f t="shared" si="16"/>
        <v>15</v>
      </c>
      <c r="W102" s="189"/>
      <c r="X102" s="199"/>
      <c r="Y102" s="151"/>
      <c r="Z102" s="190"/>
      <c r="AA102" s="153"/>
      <c r="AB102" s="154">
        <f t="shared" si="17"/>
        <v>0</v>
      </c>
      <c r="AC102" s="149">
        <f t="shared" si="18"/>
        <v>0</v>
      </c>
      <c r="AD102" s="125">
        <v>2</v>
      </c>
      <c r="AE102" s="148">
        <f t="shared" si="19"/>
        <v>2</v>
      </c>
      <c r="AF102" s="156"/>
      <c r="AG102" s="156"/>
      <c r="AH102" s="113">
        <f t="shared" si="20"/>
        <v>17</v>
      </c>
      <c r="AI102" s="157">
        <v>65</v>
      </c>
      <c r="AJ102" s="113">
        <f t="shared" si="21"/>
        <v>82</v>
      </c>
      <c r="AK102" s="113">
        <f t="shared" si="22"/>
        <v>82</v>
      </c>
      <c r="AL102" s="158">
        <f t="shared" si="23"/>
        <v>1.02</v>
      </c>
      <c r="AM102" s="159"/>
      <c r="AN102" s="160">
        <f t="shared" si="26"/>
        <v>1</v>
      </c>
      <c r="AO102" s="160">
        <f t="shared" si="26"/>
        <v>2</v>
      </c>
      <c r="AP102" s="133"/>
      <c r="AQ102" s="134"/>
      <c r="AR102" s="161"/>
      <c r="AS102" s="161"/>
      <c r="AT102" s="161"/>
      <c r="AU102" s="161"/>
      <c r="AV102" s="162"/>
      <c r="AW102" s="137">
        <f t="shared" si="24"/>
        <v>0</v>
      </c>
      <c r="AX102" s="137">
        <f t="shared" si="25"/>
        <v>0</v>
      </c>
    </row>
    <row r="103" ht="46.5" customHeight="1" spans="1:50" s="97" customFormat="1" x14ac:dyDescent="0.25">
      <c r="A103" s="100"/>
      <c r="B103" s="100"/>
      <c r="C103" s="100"/>
      <c r="D103" s="100"/>
      <c r="E103" s="100"/>
      <c r="F103" s="100"/>
      <c r="G103" s="103"/>
      <c r="H103" s="186"/>
      <c r="I103" s="195">
        <v>0.51</v>
      </c>
      <c r="J103" s="107">
        <v>0.49</v>
      </c>
      <c r="K103" s="107"/>
      <c r="L103" s="107"/>
      <c r="M103" s="187"/>
      <c r="N103" s="169">
        <f t="shared" si="14"/>
        <v>1</v>
      </c>
      <c r="O103" s="144">
        <v>1</v>
      </c>
      <c r="P103" s="145">
        <v>15</v>
      </c>
      <c r="Q103" s="113">
        <v>15</v>
      </c>
      <c r="R103" s="113"/>
      <c r="S103" s="113"/>
      <c r="T103" s="146"/>
      <c r="U103" s="148">
        <f t="shared" si="15"/>
        <v>15</v>
      </c>
      <c r="V103" s="149">
        <f t="shared" si="16"/>
        <v>15</v>
      </c>
      <c r="W103" s="189"/>
      <c r="X103" s="199"/>
      <c r="Y103" s="151"/>
      <c r="Z103" s="190"/>
      <c r="AA103" s="153"/>
      <c r="AB103" s="154">
        <f t="shared" si="17"/>
        <v>0</v>
      </c>
      <c r="AC103" s="149">
        <f t="shared" si="18"/>
        <v>0</v>
      </c>
      <c r="AD103" s="125">
        <v>2</v>
      </c>
      <c r="AE103" s="148">
        <f t="shared" si="19"/>
        <v>2</v>
      </c>
      <c r="AF103" s="156"/>
      <c r="AG103" s="156"/>
      <c r="AH103" s="113">
        <f t="shared" si="20"/>
        <v>17</v>
      </c>
      <c r="AI103" s="157">
        <v>65</v>
      </c>
      <c r="AJ103" s="113">
        <f t="shared" si="21"/>
        <v>82</v>
      </c>
      <c r="AK103" s="113">
        <f t="shared" si="22"/>
        <v>82</v>
      </c>
      <c r="AL103" s="158">
        <f t="shared" si="23"/>
        <v>1.02</v>
      </c>
      <c r="AM103" s="159"/>
      <c r="AN103" s="160">
        <f t="shared" ref="AN103:AO122" si="27">100%+AM103</f>
        <v>1</v>
      </c>
      <c r="AO103" s="160">
        <f t="shared" si="27"/>
        <v>2</v>
      </c>
      <c r="AP103" s="133"/>
      <c r="AQ103" s="134"/>
      <c r="AR103" s="161"/>
      <c r="AS103" s="161"/>
      <c r="AT103" s="161"/>
      <c r="AU103" s="161"/>
      <c r="AV103" s="162"/>
      <c r="AW103" s="137">
        <f t="shared" si="24"/>
        <v>0</v>
      </c>
      <c r="AX103" s="137">
        <f t="shared" si="25"/>
        <v>0</v>
      </c>
    </row>
    <row r="104" ht="64.5" customHeight="1" spans="1:50" s="56" customFormat="1" x14ac:dyDescent="0.25">
      <c r="A104" s="100"/>
      <c r="B104" s="100"/>
      <c r="C104" s="100"/>
      <c r="D104" s="100"/>
      <c r="E104" s="100"/>
      <c r="F104" s="100"/>
      <c r="G104" s="103"/>
      <c r="H104" s="186"/>
      <c r="I104" s="195">
        <v>0.51</v>
      </c>
      <c r="J104" s="107">
        <v>0.49</v>
      </c>
      <c r="K104" s="107"/>
      <c r="L104" s="107"/>
      <c r="M104" s="187"/>
      <c r="N104" s="169">
        <f t="shared" si="14"/>
        <v>1</v>
      </c>
      <c r="O104" s="144">
        <v>1</v>
      </c>
      <c r="P104" s="145">
        <v>15</v>
      </c>
      <c r="Q104" s="113">
        <v>15</v>
      </c>
      <c r="R104" s="113"/>
      <c r="S104" s="113"/>
      <c r="T104" s="146"/>
      <c r="U104" s="148">
        <f t="shared" si="15"/>
        <v>15</v>
      </c>
      <c r="V104" s="149">
        <f t="shared" si="16"/>
        <v>15</v>
      </c>
      <c r="W104" s="189"/>
      <c r="X104" s="199"/>
      <c r="Y104" s="151"/>
      <c r="Z104" s="190"/>
      <c r="AA104" s="153"/>
      <c r="AB104" s="154">
        <f t="shared" si="17"/>
        <v>0</v>
      </c>
      <c r="AC104" s="149">
        <f t="shared" si="18"/>
        <v>0</v>
      </c>
      <c r="AD104" s="125">
        <v>2</v>
      </c>
      <c r="AE104" s="148">
        <f t="shared" si="19"/>
        <v>2</v>
      </c>
      <c r="AF104" s="156"/>
      <c r="AG104" s="156"/>
      <c r="AH104" s="113">
        <f t="shared" si="20"/>
        <v>17</v>
      </c>
      <c r="AI104" s="157">
        <v>65</v>
      </c>
      <c r="AJ104" s="113">
        <f t="shared" si="21"/>
        <v>82</v>
      </c>
      <c r="AK104" s="113">
        <f t="shared" si="22"/>
        <v>82</v>
      </c>
      <c r="AL104" s="158">
        <f t="shared" si="23"/>
        <v>1.02</v>
      </c>
      <c r="AM104" s="159"/>
      <c r="AN104" s="160">
        <f t="shared" si="27"/>
        <v>1</v>
      </c>
      <c r="AO104" s="160">
        <f t="shared" si="27"/>
        <v>2</v>
      </c>
      <c r="AP104" s="133"/>
      <c r="AQ104" s="134"/>
      <c r="AR104" s="161"/>
      <c r="AS104" s="161"/>
      <c r="AT104" s="161"/>
      <c r="AU104" s="161"/>
      <c r="AV104" s="162"/>
      <c r="AW104" s="137">
        <f t="shared" si="24"/>
        <v>0</v>
      </c>
      <c r="AX104" s="137">
        <f t="shared" si="25"/>
        <v>0</v>
      </c>
    </row>
    <row r="105" ht="46.5" customHeight="1" spans="1:50" s="97" customFormat="1" x14ac:dyDescent="0.25">
      <c r="A105" s="100"/>
      <c r="B105" s="100"/>
      <c r="C105" s="100"/>
      <c r="D105" s="100"/>
      <c r="E105" s="100"/>
      <c r="F105" s="100"/>
      <c r="G105" s="103"/>
      <c r="H105" s="186"/>
      <c r="I105" s="195">
        <v>0.51</v>
      </c>
      <c r="J105" s="107">
        <v>0.49</v>
      </c>
      <c r="K105" s="107"/>
      <c r="L105" s="107"/>
      <c r="M105" s="187"/>
      <c r="N105" s="169">
        <f t="shared" si="14"/>
        <v>1</v>
      </c>
      <c r="O105" s="144">
        <v>1</v>
      </c>
      <c r="P105" s="145">
        <v>15</v>
      </c>
      <c r="Q105" s="113">
        <v>15</v>
      </c>
      <c r="R105" s="113"/>
      <c r="S105" s="113"/>
      <c r="T105" s="146"/>
      <c r="U105" s="148">
        <f t="shared" si="15"/>
        <v>15</v>
      </c>
      <c r="V105" s="149">
        <f t="shared" si="16"/>
        <v>15</v>
      </c>
      <c r="W105" s="189"/>
      <c r="X105" s="199"/>
      <c r="Y105" s="151"/>
      <c r="Z105" s="190"/>
      <c r="AA105" s="153"/>
      <c r="AB105" s="154">
        <f t="shared" si="17"/>
        <v>0</v>
      </c>
      <c r="AC105" s="149">
        <f t="shared" si="18"/>
        <v>0</v>
      </c>
      <c r="AD105" s="125">
        <v>2</v>
      </c>
      <c r="AE105" s="148">
        <f t="shared" si="19"/>
        <v>2</v>
      </c>
      <c r="AF105" s="156"/>
      <c r="AG105" s="156"/>
      <c r="AH105" s="113">
        <f t="shared" si="20"/>
        <v>17</v>
      </c>
      <c r="AI105" s="157">
        <v>65</v>
      </c>
      <c r="AJ105" s="113">
        <f t="shared" si="21"/>
        <v>82</v>
      </c>
      <c r="AK105" s="113">
        <f t="shared" si="22"/>
        <v>82</v>
      </c>
      <c r="AL105" s="158">
        <f t="shared" si="23"/>
        <v>1.02</v>
      </c>
      <c r="AM105" s="159"/>
      <c r="AN105" s="160">
        <f t="shared" si="27"/>
        <v>1</v>
      </c>
      <c r="AO105" s="160">
        <f t="shared" si="27"/>
        <v>2</v>
      </c>
      <c r="AP105" s="133"/>
      <c r="AQ105" s="134"/>
      <c r="AR105" s="161"/>
      <c r="AS105" s="161"/>
      <c r="AT105" s="161"/>
      <c r="AU105" s="161"/>
      <c r="AV105" s="162"/>
      <c r="AW105" s="137">
        <f t="shared" si="24"/>
        <v>0</v>
      </c>
      <c r="AX105" s="137">
        <f t="shared" si="25"/>
        <v>0</v>
      </c>
    </row>
    <row r="106" ht="46.5" customHeight="1" spans="1:50" s="97" customFormat="1" x14ac:dyDescent="0.25">
      <c r="A106" s="100"/>
      <c r="B106" s="100"/>
      <c r="C106" s="100"/>
      <c r="D106" s="100"/>
      <c r="E106" s="100"/>
      <c r="F106" s="100"/>
      <c r="G106" s="103"/>
      <c r="H106" s="186"/>
      <c r="I106" s="195">
        <v>0.51</v>
      </c>
      <c r="J106" s="107">
        <v>0.49</v>
      </c>
      <c r="K106" s="107"/>
      <c r="L106" s="107"/>
      <c r="M106" s="187"/>
      <c r="N106" s="169">
        <f t="shared" si="14"/>
        <v>1</v>
      </c>
      <c r="O106" s="144">
        <v>1</v>
      </c>
      <c r="P106" s="145">
        <v>15</v>
      </c>
      <c r="Q106" s="113">
        <v>15</v>
      </c>
      <c r="R106" s="113"/>
      <c r="S106" s="113"/>
      <c r="T106" s="146"/>
      <c r="U106" s="148">
        <f t="shared" si="15"/>
        <v>15</v>
      </c>
      <c r="V106" s="149">
        <f t="shared" si="16"/>
        <v>15</v>
      </c>
      <c r="W106" s="189"/>
      <c r="X106" s="199"/>
      <c r="Y106" s="151"/>
      <c r="Z106" s="190"/>
      <c r="AA106" s="153"/>
      <c r="AB106" s="154">
        <f t="shared" si="17"/>
        <v>0</v>
      </c>
      <c r="AC106" s="149">
        <f t="shared" si="18"/>
        <v>0</v>
      </c>
      <c r="AD106" s="125">
        <v>2</v>
      </c>
      <c r="AE106" s="148">
        <f t="shared" si="19"/>
        <v>2</v>
      </c>
      <c r="AF106" s="156"/>
      <c r="AG106" s="156"/>
      <c r="AH106" s="113">
        <f t="shared" si="20"/>
        <v>17</v>
      </c>
      <c r="AI106" s="157">
        <v>65</v>
      </c>
      <c r="AJ106" s="113">
        <f t="shared" si="21"/>
        <v>82</v>
      </c>
      <c r="AK106" s="113">
        <f t="shared" si="22"/>
        <v>82</v>
      </c>
      <c r="AL106" s="158">
        <f t="shared" si="23"/>
        <v>1.02</v>
      </c>
      <c r="AM106" s="159"/>
      <c r="AN106" s="160">
        <f t="shared" si="27"/>
        <v>1</v>
      </c>
      <c r="AO106" s="160">
        <f t="shared" si="27"/>
        <v>2</v>
      </c>
      <c r="AP106" s="133"/>
      <c r="AQ106" s="134"/>
      <c r="AR106" s="161"/>
      <c r="AS106" s="161"/>
      <c r="AT106" s="161"/>
      <c r="AU106" s="161"/>
      <c r="AV106" s="162"/>
      <c r="AW106" s="137">
        <f t="shared" si="24"/>
        <v>0</v>
      </c>
      <c r="AX106" s="137">
        <f t="shared" si="25"/>
        <v>0</v>
      </c>
    </row>
    <row r="107" ht="46.5" customHeight="1" spans="1:50" s="97" customFormat="1" x14ac:dyDescent="0.25">
      <c r="A107" s="100"/>
      <c r="B107" s="100"/>
      <c r="C107" s="100"/>
      <c r="D107" s="100"/>
      <c r="E107" s="100"/>
      <c r="F107" s="100"/>
      <c r="G107" s="103"/>
      <c r="H107" s="186"/>
      <c r="I107" s="195">
        <v>0.51</v>
      </c>
      <c r="J107" s="107">
        <v>0.49</v>
      </c>
      <c r="K107" s="107"/>
      <c r="L107" s="107"/>
      <c r="M107" s="187"/>
      <c r="N107" s="169">
        <f t="shared" ref="N107:N138" si="28">SUM(I107:M107)</f>
        <v>1</v>
      </c>
      <c r="O107" s="144">
        <v>1</v>
      </c>
      <c r="P107" s="145">
        <v>15</v>
      </c>
      <c r="Q107" s="113">
        <v>15</v>
      </c>
      <c r="R107" s="113"/>
      <c r="S107" s="113"/>
      <c r="T107" s="146"/>
      <c r="U107" s="148">
        <f t="shared" ref="U107:U138" si="29">ROUND(((P107*I107)+(Q107*J107)+(R107*K107)+(S107*L107)+(T107*M107))*O107,2)</f>
        <v>15</v>
      </c>
      <c r="V107" s="149">
        <f t="shared" ref="V107:V138" si="30">IF(U107&gt;=15,15,U107)</f>
        <v>15</v>
      </c>
      <c r="W107" s="189"/>
      <c r="X107" s="199"/>
      <c r="Y107" s="151"/>
      <c r="Z107" s="190"/>
      <c r="AA107" s="153"/>
      <c r="AB107" s="154">
        <f t="shared" ref="AB107:AB138" si="31">ROUND((((W107*I107)+(X107*J107)+(Y107*K107)+(Z107*L107)+(AA107*M107))/$I$2),2)*13</f>
        <v>0</v>
      </c>
      <c r="AC107" s="149">
        <f t="shared" ref="AC107:AC138" si="32">IF(AB107&gt;=13,13,AB107)</f>
        <v>0</v>
      </c>
      <c r="AD107" s="125">
        <v>2</v>
      </c>
      <c r="AE107" s="148">
        <f t="shared" ref="AE107:AE138" si="33">IF((AC107+AD107)&gt;=15,15,(AC107+AD107))</f>
        <v>2</v>
      </c>
      <c r="AF107" s="156"/>
      <c r="AG107" s="156"/>
      <c r="AH107" s="113">
        <f t="shared" ref="AH107:AH142" si="34">IF((V107+AE107+AF107)&gt;=30,30,(V107+AE107+AF107))</f>
        <v>17</v>
      </c>
      <c r="AI107" s="157">
        <v>65</v>
      </c>
      <c r="AJ107" s="113">
        <f t="shared" ref="AJ107:AJ138" si="35">V107+AE107+AF107+AI107+AG107</f>
        <v>82</v>
      </c>
      <c r="AK107" s="113">
        <f t="shared" ref="AK107:AK142" si="36">IF(AH107+AI107+AG107&gt;=95,95,AH107+AI107+AG107)</f>
        <v>82</v>
      </c>
      <c r="AL107" s="158">
        <f t="shared" ref="AL107:AL142" si="37">-((50-((176+(45+(50-AH107)))))/200)</f>
        <v>1.02</v>
      </c>
      <c r="AM107" s="159"/>
      <c r="AN107" s="160">
        <f t="shared" si="27"/>
        <v>1</v>
      </c>
      <c r="AO107" s="160">
        <f t="shared" si="27"/>
        <v>2</v>
      </c>
      <c r="AP107" s="133"/>
      <c r="AQ107" s="134"/>
      <c r="AR107" s="161"/>
      <c r="AS107" s="161"/>
      <c r="AT107" s="161"/>
      <c r="AU107" s="161"/>
      <c r="AV107" s="162"/>
      <c r="AW107" s="137">
        <f t="shared" ref="AW107:AW138" si="38">AR107+AS107+AT107+AU107+AV107</f>
        <v>0</v>
      </c>
      <c r="AX107" s="137">
        <f t="shared" ref="AX107:AX142" si="39">(AR107*I107)+(AS107*J107)+(AT107*K107)+(AU107*L107)+(AV107*M107)</f>
        <v>0</v>
      </c>
    </row>
    <row r="108" ht="47.25" customHeight="1" spans="1:50" s="97" customFormat="1" x14ac:dyDescent="0.25">
      <c r="A108" s="100"/>
      <c r="B108" s="100"/>
      <c r="C108" s="100"/>
      <c r="D108" s="100"/>
      <c r="E108" s="100"/>
      <c r="F108" s="100"/>
      <c r="G108" s="103"/>
      <c r="H108" s="186"/>
      <c r="I108" s="195">
        <v>0.51</v>
      </c>
      <c r="J108" s="107">
        <v>0.49</v>
      </c>
      <c r="K108" s="107"/>
      <c r="L108" s="107"/>
      <c r="M108" s="187"/>
      <c r="N108" s="169">
        <f t="shared" si="28"/>
        <v>1</v>
      </c>
      <c r="O108" s="144">
        <v>1</v>
      </c>
      <c r="P108" s="145">
        <v>15</v>
      </c>
      <c r="Q108" s="113">
        <v>15</v>
      </c>
      <c r="R108" s="113"/>
      <c r="S108" s="113"/>
      <c r="T108" s="146"/>
      <c r="U108" s="148">
        <f t="shared" si="29"/>
        <v>15</v>
      </c>
      <c r="V108" s="149">
        <f t="shared" si="30"/>
        <v>15</v>
      </c>
      <c r="W108" s="189"/>
      <c r="X108" s="199"/>
      <c r="Y108" s="151"/>
      <c r="Z108" s="190"/>
      <c r="AA108" s="153"/>
      <c r="AB108" s="154">
        <f t="shared" si="31"/>
        <v>0</v>
      </c>
      <c r="AC108" s="149">
        <f t="shared" si="32"/>
        <v>0</v>
      </c>
      <c r="AD108" s="125">
        <v>2</v>
      </c>
      <c r="AE108" s="148">
        <f t="shared" si="33"/>
        <v>2</v>
      </c>
      <c r="AF108" s="156"/>
      <c r="AG108" s="156"/>
      <c r="AH108" s="113">
        <f t="shared" si="34"/>
        <v>17</v>
      </c>
      <c r="AI108" s="157">
        <v>65</v>
      </c>
      <c r="AJ108" s="113">
        <f t="shared" si="35"/>
        <v>82</v>
      </c>
      <c r="AK108" s="113">
        <f t="shared" si="36"/>
        <v>82</v>
      </c>
      <c r="AL108" s="158">
        <f t="shared" si="37"/>
        <v>1.02</v>
      </c>
      <c r="AM108" s="159"/>
      <c r="AN108" s="160">
        <f t="shared" si="27"/>
        <v>1</v>
      </c>
      <c r="AO108" s="160">
        <f t="shared" si="27"/>
        <v>2</v>
      </c>
      <c r="AP108" s="133"/>
      <c r="AQ108" s="134"/>
      <c r="AR108" s="161"/>
      <c r="AS108" s="161"/>
      <c r="AT108" s="161"/>
      <c r="AU108" s="161"/>
      <c r="AV108" s="162"/>
      <c r="AW108" s="137">
        <f t="shared" si="38"/>
        <v>0</v>
      </c>
      <c r="AX108" s="137">
        <f t="shared" si="39"/>
        <v>0</v>
      </c>
    </row>
    <row r="109" ht="46.5" customHeight="1" spans="1:50" s="97" customFormat="1" x14ac:dyDescent="0.25">
      <c r="A109" s="100"/>
      <c r="B109" s="100"/>
      <c r="C109" s="100"/>
      <c r="D109" s="100"/>
      <c r="E109" s="100"/>
      <c r="F109" s="100"/>
      <c r="G109" s="103"/>
      <c r="H109" s="186"/>
      <c r="I109" s="195">
        <v>0.51</v>
      </c>
      <c r="J109" s="107">
        <v>0.49</v>
      </c>
      <c r="K109" s="107"/>
      <c r="L109" s="107"/>
      <c r="M109" s="187"/>
      <c r="N109" s="169">
        <f t="shared" si="28"/>
        <v>1</v>
      </c>
      <c r="O109" s="144">
        <v>1</v>
      </c>
      <c r="P109" s="145">
        <v>15</v>
      </c>
      <c r="Q109" s="113">
        <v>15</v>
      </c>
      <c r="R109" s="113"/>
      <c r="S109" s="113"/>
      <c r="T109" s="146"/>
      <c r="U109" s="148">
        <f t="shared" si="29"/>
        <v>15</v>
      </c>
      <c r="V109" s="149">
        <f t="shared" si="30"/>
        <v>15</v>
      </c>
      <c r="W109" s="189"/>
      <c r="X109" s="199"/>
      <c r="Y109" s="151"/>
      <c r="Z109" s="190"/>
      <c r="AA109" s="153"/>
      <c r="AB109" s="154">
        <f t="shared" si="31"/>
        <v>0</v>
      </c>
      <c r="AC109" s="149">
        <f t="shared" si="32"/>
        <v>0</v>
      </c>
      <c r="AD109" s="125">
        <v>2</v>
      </c>
      <c r="AE109" s="148">
        <f t="shared" si="33"/>
        <v>2</v>
      </c>
      <c r="AF109" s="156"/>
      <c r="AG109" s="156"/>
      <c r="AH109" s="113">
        <f t="shared" si="34"/>
        <v>17</v>
      </c>
      <c r="AI109" s="157">
        <v>65</v>
      </c>
      <c r="AJ109" s="113">
        <f t="shared" si="35"/>
        <v>82</v>
      </c>
      <c r="AK109" s="113">
        <f t="shared" si="36"/>
        <v>82</v>
      </c>
      <c r="AL109" s="158">
        <f t="shared" si="37"/>
        <v>1.02</v>
      </c>
      <c r="AM109" s="159"/>
      <c r="AN109" s="160">
        <f t="shared" si="27"/>
        <v>1</v>
      </c>
      <c r="AO109" s="160">
        <f t="shared" si="27"/>
        <v>2</v>
      </c>
      <c r="AP109" s="133"/>
      <c r="AQ109" s="134"/>
      <c r="AR109" s="161"/>
      <c r="AS109" s="161"/>
      <c r="AT109" s="161"/>
      <c r="AU109" s="161"/>
      <c r="AV109" s="162"/>
      <c r="AW109" s="137">
        <f t="shared" si="38"/>
        <v>0</v>
      </c>
      <c r="AX109" s="137">
        <f t="shared" si="39"/>
        <v>0</v>
      </c>
    </row>
    <row r="110" ht="46.5" customHeight="1" spans="1:50" s="97" customFormat="1" x14ac:dyDescent="0.25">
      <c r="A110" s="100"/>
      <c r="B110" s="100"/>
      <c r="C110" s="100"/>
      <c r="D110" s="100"/>
      <c r="E110" s="100"/>
      <c r="F110" s="100"/>
      <c r="G110" s="103"/>
      <c r="H110" s="186"/>
      <c r="I110" s="195">
        <v>0.51</v>
      </c>
      <c r="J110" s="107">
        <v>0.49</v>
      </c>
      <c r="K110" s="107"/>
      <c r="L110" s="107"/>
      <c r="M110" s="187"/>
      <c r="N110" s="169">
        <f t="shared" si="28"/>
        <v>1</v>
      </c>
      <c r="O110" s="144">
        <v>1</v>
      </c>
      <c r="P110" s="145">
        <v>15</v>
      </c>
      <c r="Q110" s="113">
        <v>15</v>
      </c>
      <c r="R110" s="113"/>
      <c r="S110" s="113"/>
      <c r="T110" s="146"/>
      <c r="U110" s="148">
        <f t="shared" si="29"/>
        <v>15</v>
      </c>
      <c r="V110" s="149">
        <f t="shared" si="30"/>
        <v>15</v>
      </c>
      <c r="W110" s="189"/>
      <c r="X110" s="199"/>
      <c r="Y110" s="151"/>
      <c r="Z110" s="190"/>
      <c r="AA110" s="153"/>
      <c r="AB110" s="154">
        <f t="shared" si="31"/>
        <v>0</v>
      </c>
      <c r="AC110" s="149">
        <f t="shared" si="32"/>
        <v>0</v>
      </c>
      <c r="AD110" s="125">
        <v>2</v>
      </c>
      <c r="AE110" s="148">
        <f t="shared" si="33"/>
        <v>2</v>
      </c>
      <c r="AF110" s="156"/>
      <c r="AG110" s="156"/>
      <c r="AH110" s="113">
        <f t="shared" si="34"/>
        <v>17</v>
      </c>
      <c r="AI110" s="157">
        <v>65</v>
      </c>
      <c r="AJ110" s="113">
        <f t="shared" si="35"/>
        <v>82</v>
      </c>
      <c r="AK110" s="113">
        <f t="shared" si="36"/>
        <v>82</v>
      </c>
      <c r="AL110" s="158">
        <f t="shared" si="37"/>
        <v>1.02</v>
      </c>
      <c r="AM110" s="159"/>
      <c r="AN110" s="160">
        <f t="shared" si="27"/>
        <v>1</v>
      </c>
      <c r="AO110" s="160">
        <f t="shared" si="27"/>
        <v>2</v>
      </c>
      <c r="AP110" s="133"/>
      <c r="AQ110" s="134"/>
      <c r="AR110" s="161"/>
      <c r="AS110" s="161"/>
      <c r="AT110" s="161"/>
      <c r="AU110" s="161"/>
      <c r="AV110" s="162"/>
      <c r="AW110" s="137">
        <f t="shared" si="38"/>
        <v>0</v>
      </c>
      <c r="AX110" s="137">
        <f t="shared" si="39"/>
        <v>0</v>
      </c>
    </row>
    <row r="111" ht="46.5" customHeight="1" spans="1:50" s="97" customFormat="1" x14ac:dyDescent="0.25">
      <c r="A111" s="100"/>
      <c r="B111" s="100"/>
      <c r="C111" s="100"/>
      <c r="D111" s="100"/>
      <c r="E111" s="100"/>
      <c r="F111" s="100"/>
      <c r="G111" s="103"/>
      <c r="H111" s="186"/>
      <c r="I111" s="195">
        <v>0.51</v>
      </c>
      <c r="J111" s="107">
        <v>0.49</v>
      </c>
      <c r="K111" s="107"/>
      <c r="L111" s="107"/>
      <c r="M111" s="187"/>
      <c r="N111" s="169">
        <f t="shared" si="28"/>
        <v>1</v>
      </c>
      <c r="O111" s="144">
        <v>1</v>
      </c>
      <c r="P111" s="145">
        <v>15</v>
      </c>
      <c r="Q111" s="113">
        <v>15</v>
      </c>
      <c r="R111" s="113"/>
      <c r="S111" s="113"/>
      <c r="T111" s="146"/>
      <c r="U111" s="148">
        <f t="shared" si="29"/>
        <v>15</v>
      </c>
      <c r="V111" s="149">
        <f t="shared" si="30"/>
        <v>15</v>
      </c>
      <c r="W111" s="189"/>
      <c r="X111" s="199"/>
      <c r="Y111" s="151"/>
      <c r="Z111" s="190"/>
      <c r="AA111" s="153"/>
      <c r="AB111" s="154">
        <f t="shared" si="31"/>
        <v>0</v>
      </c>
      <c r="AC111" s="149">
        <f t="shared" si="32"/>
        <v>0</v>
      </c>
      <c r="AD111" s="125">
        <v>2</v>
      </c>
      <c r="AE111" s="148">
        <f t="shared" si="33"/>
        <v>2</v>
      </c>
      <c r="AF111" s="156"/>
      <c r="AG111" s="156"/>
      <c r="AH111" s="113">
        <f t="shared" si="34"/>
        <v>17</v>
      </c>
      <c r="AI111" s="157">
        <v>65</v>
      </c>
      <c r="AJ111" s="113">
        <f t="shared" si="35"/>
        <v>82</v>
      </c>
      <c r="AK111" s="113">
        <f t="shared" si="36"/>
        <v>82</v>
      </c>
      <c r="AL111" s="158">
        <f t="shared" si="37"/>
        <v>1.02</v>
      </c>
      <c r="AM111" s="159"/>
      <c r="AN111" s="160">
        <f t="shared" si="27"/>
        <v>1</v>
      </c>
      <c r="AO111" s="160">
        <f t="shared" si="27"/>
        <v>2</v>
      </c>
      <c r="AP111" s="133"/>
      <c r="AQ111" s="134"/>
      <c r="AR111" s="161"/>
      <c r="AS111" s="161"/>
      <c r="AT111" s="161"/>
      <c r="AU111" s="161"/>
      <c r="AV111" s="162"/>
      <c r="AW111" s="137">
        <f t="shared" si="38"/>
        <v>0</v>
      </c>
      <c r="AX111" s="137">
        <f t="shared" si="39"/>
        <v>0</v>
      </c>
    </row>
    <row r="112" ht="46.5" customHeight="1" spans="1:50" s="97" customFormat="1" x14ac:dyDescent="0.25">
      <c r="A112" s="100"/>
      <c r="B112" s="100"/>
      <c r="C112" s="100"/>
      <c r="D112" s="100"/>
      <c r="E112" s="100"/>
      <c r="F112" s="100"/>
      <c r="G112" s="103"/>
      <c r="H112" s="186"/>
      <c r="I112" s="195">
        <v>0.51</v>
      </c>
      <c r="J112" s="107">
        <v>0.49</v>
      </c>
      <c r="K112" s="107"/>
      <c r="L112" s="107"/>
      <c r="M112" s="187"/>
      <c r="N112" s="169">
        <f t="shared" si="28"/>
        <v>1</v>
      </c>
      <c r="O112" s="144">
        <v>1</v>
      </c>
      <c r="P112" s="145">
        <v>15</v>
      </c>
      <c r="Q112" s="113">
        <v>15</v>
      </c>
      <c r="R112" s="113"/>
      <c r="S112" s="113"/>
      <c r="T112" s="146"/>
      <c r="U112" s="148">
        <f t="shared" si="29"/>
        <v>15</v>
      </c>
      <c r="V112" s="149">
        <f t="shared" si="30"/>
        <v>15</v>
      </c>
      <c r="W112" s="189"/>
      <c r="X112" s="199"/>
      <c r="Y112" s="151"/>
      <c r="Z112" s="190"/>
      <c r="AA112" s="153"/>
      <c r="AB112" s="154">
        <f t="shared" si="31"/>
        <v>0</v>
      </c>
      <c r="AC112" s="149">
        <f t="shared" si="32"/>
        <v>0</v>
      </c>
      <c r="AD112" s="125">
        <v>2</v>
      </c>
      <c r="AE112" s="148">
        <f t="shared" si="33"/>
        <v>2</v>
      </c>
      <c r="AF112" s="156"/>
      <c r="AG112" s="156"/>
      <c r="AH112" s="113">
        <f t="shared" si="34"/>
        <v>17</v>
      </c>
      <c r="AI112" s="157">
        <v>65</v>
      </c>
      <c r="AJ112" s="113">
        <f t="shared" si="35"/>
        <v>82</v>
      </c>
      <c r="AK112" s="113">
        <f t="shared" si="36"/>
        <v>82</v>
      </c>
      <c r="AL112" s="158">
        <f t="shared" si="37"/>
        <v>1.02</v>
      </c>
      <c r="AM112" s="159"/>
      <c r="AN112" s="160">
        <f t="shared" si="27"/>
        <v>1</v>
      </c>
      <c r="AO112" s="160">
        <f t="shared" si="27"/>
        <v>2</v>
      </c>
      <c r="AP112" s="133"/>
      <c r="AQ112" s="134"/>
      <c r="AR112" s="161"/>
      <c r="AS112" s="161"/>
      <c r="AT112" s="161"/>
      <c r="AU112" s="161"/>
      <c r="AV112" s="162"/>
      <c r="AW112" s="137">
        <f t="shared" si="38"/>
        <v>0</v>
      </c>
      <c r="AX112" s="137">
        <f t="shared" si="39"/>
        <v>0</v>
      </c>
    </row>
    <row r="113" ht="47.25" customHeight="1" spans="1:50" s="56" customFormat="1" x14ac:dyDescent="0.25">
      <c r="A113" s="100"/>
      <c r="B113" s="100"/>
      <c r="C113" s="100"/>
      <c r="D113" s="100"/>
      <c r="E113" s="100"/>
      <c r="F113" s="100"/>
      <c r="G113" s="103"/>
      <c r="H113" s="186"/>
      <c r="I113" s="195">
        <v>0.51</v>
      </c>
      <c r="J113" s="107">
        <v>0.49</v>
      </c>
      <c r="K113" s="107"/>
      <c r="L113" s="107"/>
      <c r="M113" s="187"/>
      <c r="N113" s="169">
        <f t="shared" si="28"/>
        <v>1</v>
      </c>
      <c r="O113" s="144">
        <v>1</v>
      </c>
      <c r="P113" s="145">
        <v>15</v>
      </c>
      <c r="Q113" s="113">
        <v>15</v>
      </c>
      <c r="R113" s="113"/>
      <c r="S113" s="113"/>
      <c r="T113" s="146"/>
      <c r="U113" s="148">
        <f t="shared" si="29"/>
        <v>15</v>
      </c>
      <c r="V113" s="149">
        <f t="shared" si="30"/>
        <v>15</v>
      </c>
      <c r="W113" s="189"/>
      <c r="X113" s="199"/>
      <c r="Y113" s="151"/>
      <c r="Z113" s="190"/>
      <c r="AA113" s="153"/>
      <c r="AB113" s="154">
        <f t="shared" si="31"/>
        <v>0</v>
      </c>
      <c r="AC113" s="149">
        <f t="shared" si="32"/>
        <v>0</v>
      </c>
      <c r="AD113" s="125">
        <v>2</v>
      </c>
      <c r="AE113" s="148">
        <f t="shared" si="33"/>
        <v>2</v>
      </c>
      <c r="AF113" s="156"/>
      <c r="AG113" s="156"/>
      <c r="AH113" s="113">
        <f t="shared" si="34"/>
        <v>17</v>
      </c>
      <c r="AI113" s="157">
        <v>65</v>
      </c>
      <c r="AJ113" s="113">
        <f t="shared" si="35"/>
        <v>82</v>
      </c>
      <c r="AK113" s="113">
        <f t="shared" si="36"/>
        <v>82</v>
      </c>
      <c r="AL113" s="158">
        <f t="shared" si="37"/>
        <v>1.02</v>
      </c>
      <c r="AM113" s="159"/>
      <c r="AN113" s="160">
        <f t="shared" si="27"/>
        <v>1</v>
      </c>
      <c r="AO113" s="160">
        <f t="shared" si="27"/>
        <v>2</v>
      </c>
      <c r="AP113" s="133"/>
      <c r="AQ113" s="134"/>
      <c r="AR113" s="161"/>
      <c r="AS113" s="161"/>
      <c r="AT113" s="161"/>
      <c r="AU113" s="161"/>
      <c r="AV113" s="162"/>
      <c r="AW113" s="137">
        <f t="shared" si="38"/>
        <v>0</v>
      </c>
      <c r="AX113" s="137">
        <f t="shared" si="39"/>
        <v>0</v>
      </c>
    </row>
    <row r="114" ht="57" customHeight="1" spans="1:50" s="97" customFormat="1" x14ac:dyDescent="0.25">
      <c r="A114" s="100"/>
      <c r="B114" s="100"/>
      <c r="C114" s="100"/>
      <c r="D114" s="100"/>
      <c r="E114" s="100"/>
      <c r="F114" s="100"/>
      <c r="G114" s="103"/>
      <c r="H114" s="186"/>
      <c r="I114" s="195">
        <v>0.51</v>
      </c>
      <c r="J114" s="107">
        <v>0.49</v>
      </c>
      <c r="K114" s="107"/>
      <c r="L114" s="107"/>
      <c r="M114" s="187"/>
      <c r="N114" s="169">
        <f t="shared" si="28"/>
        <v>1</v>
      </c>
      <c r="O114" s="144">
        <v>1</v>
      </c>
      <c r="P114" s="145">
        <v>15</v>
      </c>
      <c r="Q114" s="113">
        <v>15</v>
      </c>
      <c r="R114" s="113"/>
      <c r="S114" s="113"/>
      <c r="T114" s="146"/>
      <c r="U114" s="148">
        <f t="shared" si="29"/>
        <v>15</v>
      </c>
      <c r="V114" s="149">
        <f t="shared" si="30"/>
        <v>15</v>
      </c>
      <c r="W114" s="189"/>
      <c r="X114" s="199"/>
      <c r="Y114" s="151"/>
      <c r="Z114" s="190"/>
      <c r="AA114" s="153"/>
      <c r="AB114" s="154">
        <f t="shared" si="31"/>
        <v>0</v>
      </c>
      <c r="AC114" s="149">
        <f t="shared" si="32"/>
        <v>0</v>
      </c>
      <c r="AD114" s="125">
        <v>2</v>
      </c>
      <c r="AE114" s="148">
        <f t="shared" si="33"/>
        <v>2</v>
      </c>
      <c r="AF114" s="156"/>
      <c r="AG114" s="156"/>
      <c r="AH114" s="113">
        <f t="shared" si="34"/>
        <v>17</v>
      </c>
      <c r="AI114" s="157">
        <v>65</v>
      </c>
      <c r="AJ114" s="113">
        <f t="shared" si="35"/>
        <v>82</v>
      </c>
      <c r="AK114" s="113">
        <f t="shared" si="36"/>
        <v>82</v>
      </c>
      <c r="AL114" s="158">
        <f t="shared" si="37"/>
        <v>1.02</v>
      </c>
      <c r="AM114" s="159"/>
      <c r="AN114" s="160">
        <f t="shared" si="27"/>
        <v>1</v>
      </c>
      <c r="AO114" s="160">
        <f t="shared" si="27"/>
        <v>2</v>
      </c>
      <c r="AP114" s="133"/>
      <c r="AQ114" s="134"/>
      <c r="AR114" s="161"/>
      <c r="AS114" s="161"/>
      <c r="AT114" s="161"/>
      <c r="AU114" s="161"/>
      <c r="AV114" s="162"/>
      <c r="AW114" s="137">
        <f t="shared" si="38"/>
        <v>0</v>
      </c>
      <c r="AX114" s="137">
        <f t="shared" si="39"/>
        <v>0</v>
      </c>
    </row>
    <row r="115" ht="46.5" customHeight="1" spans="1:50" s="97" customFormat="1" x14ac:dyDescent="0.25">
      <c r="A115" s="100"/>
      <c r="B115" s="100"/>
      <c r="C115" s="100"/>
      <c r="D115" s="100"/>
      <c r="E115" s="100"/>
      <c r="F115" s="100"/>
      <c r="G115" s="103"/>
      <c r="H115" s="186"/>
      <c r="I115" s="195">
        <v>0.51</v>
      </c>
      <c r="J115" s="107">
        <v>0.49</v>
      </c>
      <c r="K115" s="107"/>
      <c r="L115" s="107"/>
      <c r="M115" s="187"/>
      <c r="N115" s="169">
        <f t="shared" si="28"/>
        <v>1</v>
      </c>
      <c r="O115" s="144">
        <v>1</v>
      </c>
      <c r="P115" s="145">
        <v>15</v>
      </c>
      <c r="Q115" s="113">
        <v>15</v>
      </c>
      <c r="R115" s="113"/>
      <c r="S115" s="113"/>
      <c r="T115" s="146"/>
      <c r="U115" s="148">
        <f t="shared" si="29"/>
        <v>15</v>
      </c>
      <c r="V115" s="149">
        <f t="shared" si="30"/>
        <v>15</v>
      </c>
      <c r="W115" s="189"/>
      <c r="X115" s="199"/>
      <c r="Y115" s="151"/>
      <c r="Z115" s="190"/>
      <c r="AA115" s="153"/>
      <c r="AB115" s="154">
        <f t="shared" si="31"/>
        <v>0</v>
      </c>
      <c r="AC115" s="149">
        <f t="shared" si="32"/>
        <v>0</v>
      </c>
      <c r="AD115" s="125">
        <v>2</v>
      </c>
      <c r="AE115" s="148">
        <f t="shared" si="33"/>
        <v>2</v>
      </c>
      <c r="AF115" s="156"/>
      <c r="AG115" s="156"/>
      <c r="AH115" s="113">
        <f t="shared" si="34"/>
        <v>17</v>
      </c>
      <c r="AI115" s="157">
        <v>65</v>
      </c>
      <c r="AJ115" s="113">
        <f t="shared" si="35"/>
        <v>82</v>
      </c>
      <c r="AK115" s="113">
        <f t="shared" si="36"/>
        <v>82</v>
      </c>
      <c r="AL115" s="158">
        <f t="shared" si="37"/>
        <v>1.02</v>
      </c>
      <c r="AM115" s="159"/>
      <c r="AN115" s="160">
        <f t="shared" si="27"/>
        <v>1</v>
      </c>
      <c r="AO115" s="160">
        <f t="shared" si="27"/>
        <v>2</v>
      </c>
      <c r="AP115" s="133"/>
      <c r="AQ115" s="134"/>
      <c r="AR115" s="161"/>
      <c r="AS115" s="161"/>
      <c r="AT115" s="161"/>
      <c r="AU115" s="161"/>
      <c r="AV115" s="162"/>
      <c r="AW115" s="137">
        <f t="shared" si="38"/>
        <v>0</v>
      </c>
      <c r="AX115" s="137">
        <f t="shared" si="39"/>
        <v>0</v>
      </c>
    </row>
    <row r="116" ht="47.25" customHeight="1" spans="1:50" s="56" customFormat="1" x14ac:dyDescent="0.25">
      <c r="A116" s="100"/>
      <c r="B116" s="100"/>
      <c r="C116" s="100"/>
      <c r="D116" s="100"/>
      <c r="E116" s="100"/>
      <c r="F116" s="100"/>
      <c r="G116" s="103"/>
      <c r="H116" s="186"/>
      <c r="I116" s="195">
        <v>0.51</v>
      </c>
      <c r="J116" s="107">
        <v>0.49</v>
      </c>
      <c r="K116" s="107"/>
      <c r="L116" s="107"/>
      <c r="M116" s="187"/>
      <c r="N116" s="169">
        <f t="shared" si="28"/>
        <v>1</v>
      </c>
      <c r="O116" s="144">
        <v>1</v>
      </c>
      <c r="P116" s="145">
        <v>15</v>
      </c>
      <c r="Q116" s="113">
        <v>15</v>
      </c>
      <c r="R116" s="113"/>
      <c r="S116" s="113"/>
      <c r="T116" s="146"/>
      <c r="U116" s="148">
        <f t="shared" si="29"/>
        <v>15</v>
      </c>
      <c r="V116" s="149">
        <f t="shared" si="30"/>
        <v>15</v>
      </c>
      <c r="W116" s="189"/>
      <c r="X116" s="199"/>
      <c r="Y116" s="151"/>
      <c r="Z116" s="190"/>
      <c r="AA116" s="153"/>
      <c r="AB116" s="154">
        <f t="shared" si="31"/>
        <v>0</v>
      </c>
      <c r="AC116" s="149">
        <f t="shared" si="32"/>
        <v>0</v>
      </c>
      <c r="AD116" s="125">
        <v>2</v>
      </c>
      <c r="AE116" s="148">
        <f t="shared" si="33"/>
        <v>2</v>
      </c>
      <c r="AF116" s="156"/>
      <c r="AG116" s="156"/>
      <c r="AH116" s="113">
        <f t="shared" si="34"/>
        <v>17</v>
      </c>
      <c r="AI116" s="157">
        <v>65</v>
      </c>
      <c r="AJ116" s="113">
        <f t="shared" si="35"/>
        <v>82</v>
      </c>
      <c r="AK116" s="113">
        <f t="shared" si="36"/>
        <v>82</v>
      </c>
      <c r="AL116" s="158">
        <f t="shared" si="37"/>
        <v>1.02</v>
      </c>
      <c r="AM116" s="159"/>
      <c r="AN116" s="160">
        <f t="shared" si="27"/>
        <v>1</v>
      </c>
      <c r="AO116" s="160">
        <f t="shared" si="27"/>
        <v>2</v>
      </c>
      <c r="AP116" s="133"/>
      <c r="AQ116" s="134"/>
      <c r="AR116" s="161"/>
      <c r="AS116" s="161"/>
      <c r="AT116" s="161"/>
      <c r="AU116" s="161"/>
      <c r="AV116" s="162"/>
      <c r="AW116" s="137">
        <f t="shared" si="38"/>
        <v>0</v>
      </c>
      <c r="AX116" s="137">
        <f t="shared" si="39"/>
        <v>0</v>
      </c>
    </row>
    <row r="117" ht="46.5" customHeight="1" spans="1:50" s="97" customFormat="1" x14ac:dyDescent="0.25">
      <c r="A117" s="100"/>
      <c r="B117" s="100"/>
      <c r="C117" s="100"/>
      <c r="D117" s="100"/>
      <c r="E117" s="100"/>
      <c r="F117" s="100"/>
      <c r="G117" s="103"/>
      <c r="H117" s="186"/>
      <c r="I117" s="195">
        <v>0.51</v>
      </c>
      <c r="J117" s="107">
        <v>0.49</v>
      </c>
      <c r="K117" s="107"/>
      <c r="L117" s="107"/>
      <c r="M117" s="187"/>
      <c r="N117" s="169">
        <f t="shared" si="28"/>
        <v>1</v>
      </c>
      <c r="O117" s="144">
        <v>1</v>
      </c>
      <c r="P117" s="145">
        <v>15</v>
      </c>
      <c r="Q117" s="113">
        <v>15</v>
      </c>
      <c r="R117" s="113"/>
      <c r="S117" s="113"/>
      <c r="T117" s="146"/>
      <c r="U117" s="148">
        <f t="shared" si="29"/>
        <v>15</v>
      </c>
      <c r="V117" s="149">
        <f t="shared" si="30"/>
        <v>15</v>
      </c>
      <c r="W117" s="189"/>
      <c r="X117" s="199"/>
      <c r="Y117" s="151"/>
      <c r="Z117" s="190"/>
      <c r="AA117" s="153"/>
      <c r="AB117" s="154">
        <f t="shared" si="31"/>
        <v>0</v>
      </c>
      <c r="AC117" s="149">
        <f t="shared" si="32"/>
        <v>0</v>
      </c>
      <c r="AD117" s="125">
        <v>2</v>
      </c>
      <c r="AE117" s="148">
        <f t="shared" si="33"/>
        <v>2</v>
      </c>
      <c r="AF117" s="156"/>
      <c r="AG117" s="156"/>
      <c r="AH117" s="113">
        <f t="shared" si="34"/>
        <v>17</v>
      </c>
      <c r="AI117" s="157">
        <v>65</v>
      </c>
      <c r="AJ117" s="113">
        <f t="shared" si="35"/>
        <v>82</v>
      </c>
      <c r="AK117" s="113">
        <f t="shared" si="36"/>
        <v>82</v>
      </c>
      <c r="AL117" s="158">
        <f t="shared" si="37"/>
        <v>1.02</v>
      </c>
      <c r="AM117" s="159"/>
      <c r="AN117" s="160">
        <f t="shared" si="27"/>
        <v>1</v>
      </c>
      <c r="AO117" s="160">
        <f t="shared" si="27"/>
        <v>2</v>
      </c>
      <c r="AP117" s="133"/>
      <c r="AQ117" s="134"/>
      <c r="AR117" s="161"/>
      <c r="AS117" s="161"/>
      <c r="AT117" s="161"/>
      <c r="AU117" s="161"/>
      <c r="AV117" s="162"/>
      <c r="AW117" s="137">
        <f t="shared" si="38"/>
        <v>0</v>
      </c>
      <c r="AX117" s="137">
        <f t="shared" si="39"/>
        <v>0</v>
      </c>
    </row>
    <row r="118" ht="46.5" customHeight="1" spans="1:50" s="97" customFormat="1" x14ac:dyDescent="0.25">
      <c r="A118" s="100"/>
      <c r="B118" s="100"/>
      <c r="C118" s="100"/>
      <c r="D118" s="100"/>
      <c r="E118" s="100"/>
      <c r="F118" s="100"/>
      <c r="G118" s="103"/>
      <c r="H118" s="186"/>
      <c r="I118" s="195">
        <v>0.51</v>
      </c>
      <c r="J118" s="107">
        <v>0.49</v>
      </c>
      <c r="K118" s="107"/>
      <c r="L118" s="107"/>
      <c r="M118" s="187"/>
      <c r="N118" s="169">
        <f t="shared" si="28"/>
        <v>1</v>
      </c>
      <c r="O118" s="144">
        <v>1</v>
      </c>
      <c r="P118" s="145">
        <v>15</v>
      </c>
      <c r="Q118" s="113">
        <v>15</v>
      </c>
      <c r="R118" s="113"/>
      <c r="S118" s="113"/>
      <c r="T118" s="146"/>
      <c r="U118" s="148">
        <f t="shared" si="29"/>
        <v>15</v>
      </c>
      <c r="V118" s="149">
        <f t="shared" si="30"/>
        <v>15</v>
      </c>
      <c r="W118" s="189"/>
      <c r="X118" s="199"/>
      <c r="Y118" s="151"/>
      <c r="Z118" s="190"/>
      <c r="AA118" s="153"/>
      <c r="AB118" s="154">
        <f t="shared" si="31"/>
        <v>0</v>
      </c>
      <c r="AC118" s="149">
        <f t="shared" si="32"/>
        <v>0</v>
      </c>
      <c r="AD118" s="125">
        <v>2</v>
      </c>
      <c r="AE118" s="148">
        <f t="shared" si="33"/>
        <v>2</v>
      </c>
      <c r="AF118" s="156"/>
      <c r="AG118" s="156"/>
      <c r="AH118" s="113">
        <f t="shared" si="34"/>
        <v>17</v>
      </c>
      <c r="AI118" s="157">
        <v>65</v>
      </c>
      <c r="AJ118" s="113">
        <f t="shared" si="35"/>
        <v>82</v>
      </c>
      <c r="AK118" s="113">
        <f t="shared" si="36"/>
        <v>82</v>
      </c>
      <c r="AL118" s="158">
        <f t="shared" si="37"/>
        <v>1.02</v>
      </c>
      <c r="AM118" s="159"/>
      <c r="AN118" s="160">
        <f t="shared" si="27"/>
        <v>1</v>
      </c>
      <c r="AO118" s="160">
        <f t="shared" si="27"/>
        <v>2</v>
      </c>
      <c r="AP118" s="133"/>
      <c r="AQ118" s="134"/>
      <c r="AR118" s="161"/>
      <c r="AS118" s="161"/>
      <c r="AT118" s="161"/>
      <c r="AU118" s="161"/>
      <c r="AV118" s="162"/>
      <c r="AW118" s="137">
        <f t="shared" si="38"/>
        <v>0</v>
      </c>
      <c r="AX118" s="137">
        <f t="shared" si="39"/>
        <v>0</v>
      </c>
    </row>
    <row r="119" ht="46.5" customHeight="1" spans="1:50" s="97" customFormat="1" x14ac:dyDescent="0.25">
      <c r="A119" s="100"/>
      <c r="B119" s="100"/>
      <c r="C119" s="100"/>
      <c r="D119" s="100"/>
      <c r="E119" s="100"/>
      <c r="F119" s="100"/>
      <c r="G119" s="103"/>
      <c r="H119" s="186"/>
      <c r="I119" s="195">
        <v>0.51</v>
      </c>
      <c r="J119" s="107">
        <v>0.49</v>
      </c>
      <c r="K119" s="107"/>
      <c r="L119" s="107"/>
      <c r="M119" s="187"/>
      <c r="N119" s="169">
        <f t="shared" si="28"/>
        <v>1</v>
      </c>
      <c r="O119" s="144">
        <v>1</v>
      </c>
      <c r="P119" s="145">
        <v>15</v>
      </c>
      <c r="Q119" s="113">
        <v>15</v>
      </c>
      <c r="R119" s="113"/>
      <c r="S119" s="113"/>
      <c r="T119" s="146"/>
      <c r="U119" s="148">
        <f t="shared" si="29"/>
        <v>15</v>
      </c>
      <c r="V119" s="149">
        <f t="shared" si="30"/>
        <v>15</v>
      </c>
      <c r="W119" s="189"/>
      <c r="X119" s="199"/>
      <c r="Y119" s="151"/>
      <c r="Z119" s="190"/>
      <c r="AA119" s="153"/>
      <c r="AB119" s="154">
        <f t="shared" si="31"/>
        <v>0</v>
      </c>
      <c r="AC119" s="149">
        <f t="shared" si="32"/>
        <v>0</v>
      </c>
      <c r="AD119" s="125">
        <v>2</v>
      </c>
      <c r="AE119" s="148">
        <f t="shared" si="33"/>
        <v>2</v>
      </c>
      <c r="AF119" s="156"/>
      <c r="AG119" s="156"/>
      <c r="AH119" s="113">
        <f t="shared" si="34"/>
        <v>17</v>
      </c>
      <c r="AI119" s="157">
        <v>65</v>
      </c>
      <c r="AJ119" s="113">
        <f t="shared" si="35"/>
        <v>82</v>
      </c>
      <c r="AK119" s="113">
        <f t="shared" si="36"/>
        <v>82</v>
      </c>
      <c r="AL119" s="158">
        <f t="shared" si="37"/>
        <v>1.02</v>
      </c>
      <c r="AM119" s="159"/>
      <c r="AN119" s="160">
        <f t="shared" si="27"/>
        <v>1</v>
      </c>
      <c r="AO119" s="160">
        <f t="shared" si="27"/>
        <v>2</v>
      </c>
      <c r="AP119" s="133"/>
      <c r="AQ119" s="134"/>
      <c r="AR119" s="161"/>
      <c r="AS119" s="161"/>
      <c r="AT119" s="161"/>
      <c r="AU119" s="161"/>
      <c r="AV119" s="162"/>
      <c r="AW119" s="137">
        <f t="shared" si="38"/>
        <v>0</v>
      </c>
      <c r="AX119" s="137">
        <f t="shared" si="39"/>
        <v>0</v>
      </c>
    </row>
    <row r="120" ht="53.25" customHeight="1" spans="1:50" s="97" customFormat="1" x14ac:dyDescent="0.25">
      <c r="A120" s="100"/>
      <c r="B120" s="100"/>
      <c r="C120" s="100"/>
      <c r="D120" s="100"/>
      <c r="E120" s="100"/>
      <c r="F120" s="100"/>
      <c r="G120" s="103"/>
      <c r="H120" s="186"/>
      <c r="I120" s="195">
        <v>0.51</v>
      </c>
      <c r="J120" s="107">
        <v>0.49</v>
      </c>
      <c r="K120" s="107"/>
      <c r="L120" s="107"/>
      <c r="M120" s="187"/>
      <c r="N120" s="169">
        <f t="shared" si="28"/>
        <v>1</v>
      </c>
      <c r="O120" s="144">
        <v>1</v>
      </c>
      <c r="P120" s="145">
        <v>15</v>
      </c>
      <c r="Q120" s="113">
        <v>15</v>
      </c>
      <c r="R120" s="113"/>
      <c r="S120" s="113"/>
      <c r="T120" s="146"/>
      <c r="U120" s="148">
        <f t="shared" si="29"/>
        <v>15</v>
      </c>
      <c r="V120" s="149">
        <f t="shared" si="30"/>
        <v>15</v>
      </c>
      <c r="W120" s="189"/>
      <c r="X120" s="199"/>
      <c r="Y120" s="151"/>
      <c r="Z120" s="190"/>
      <c r="AA120" s="153"/>
      <c r="AB120" s="154">
        <f t="shared" si="31"/>
        <v>0</v>
      </c>
      <c r="AC120" s="149">
        <f t="shared" si="32"/>
        <v>0</v>
      </c>
      <c r="AD120" s="125">
        <v>2</v>
      </c>
      <c r="AE120" s="148">
        <f t="shared" si="33"/>
        <v>2</v>
      </c>
      <c r="AF120" s="156"/>
      <c r="AG120" s="156"/>
      <c r="AH120" s="113">
        <f t="shared" si="34"/>
        <v>17</v>
      </c>
      <c r="AI120" s="157">
        <v>65</v>
      </c>
      <c r="AJ120" s="113">
        <f t="shared" si="35"/>
        <v>82</v>
      </c>
      <c r="AK120" s="113">
        <f t="shared" si="36"/>
        <v>82</v>
      </c>
      <c r="AL120" s="158">
        <f t="shared" si="37"/>
        <v>1.02</v>
      </c>
      <c r="AM120" s="159"/>
      <c r="AN120" s="160">
        <f t="shared" si="27"/>
        <v>1</v>
      </c>
      <c r="AO120" s="160">
        <f t="shared" si="27"/>
        <v>2</v>
      </c>
      <c r="AP120" s="133"/>
      <c r="AQ120" s="134"/>
      <c r="AR120" s="161"/>
      <c r="AS120" s="161"/>
      <c r="AT120" s="161"/>
      <c r="AU120" s="161"/>
      <c r="AV120" s="162"/>
      <c r="AW120" s="137">
        <f t="shared" si="38"/>
        <v>0</v>
      </c>
      <c r="AX120" s="137">
        <f t="shared" si="39"/>
        <v>0</v>
      </c>
    </row>
    <row r="121" ht="46.5" customHeight="1" spans="1:50" s="97" customFormat="1" x14ac:dyDescent="0.25">
      <c r="A121" s="100"/>
      <c r="B121" s="100"/>
      <c r="C121" s="100"/>
      <c r="D121" s="100"/>
      <c r="E121" s="100"/>
      <c r="F121" s="100"/>
      <c r="G121" s="103"/>
      <c r="H121" s="186"/>
      <c r="I121" s="195">
        <v>0.51</v>
      </c>
      <c r="J121" s="107">
        <v>0.49</v>
      </c>
      <c r="K121" s="107"/>
      <c r="L121" s="107"/>
      <c r="M121" s="187"/>
      <c r="N121" s="169">
        <f t="shared" si="28"/>
        <v>1</v>
      </c>
      <c r="O121" s="144">
        <v>1</v>
      </c>
      <c r="P121" s="145">
        <v>15</v>
      </c>
      <c r="Q121" s="113">
        <v>15</v>
      </c>
      <c r="R121" s="113"/>
      <c r="S121" s="113"/>
      <c r="T121" s="146"/>
      <c r="U121" s="148">
        <f t="shared" si="29"/>
        <v>15</v>
      </c>
      <c r="V121" s="149">
        <f t="shared" si="30"/>
        <v>15</v>
      </c>
      <c r="W121" s="189"/>
      <c r="X121" s="199"/>
      <c r="Y121" s="151"/>
      <c r="Z121" s="190"/>
      <c r="AA121" s="153"/>
      <c r="AB121" s="154">
        <f t="shared" si="31"/>
        <v>0</v>
      </c>
      <c r="AC121" s="149">
        <f t="shared" si="32"/>
        <v>0</v>
      </c>
      <c r="AD121" s="125">
        <v>2</v>
      </c>
      <c r="AE121" s="148">
        <f t="shared" si="33"/>
        <v>2</v>
      </c>
      <c r="AF121" s="156"/>
      <c r="AG121" s="156"/>
      <c r="AH121" s="113">
        <f t="shared" si="34"/>
        <v>17</v>
      </c>
      <c r="AI121" s="157">
        <v>65</v>
      </c>
      <c r="AJ121" s="113">
        <f t="shared" si="35"/>
        <v>82</v>
      </c>
      <c r="AK121" s="113">
        <f t="shared" si="36"/>
        <v>82</v>
      </c>
      <c r="AL121" s="158">
        <f t="shared" si="37"/>
        <v>1.02</v>
      </c>
      <c r="AM121" s="159"/>
      <c r="AN121" s="160">
        <f t="shared" si="27"/>
        <v>1</v>
      </c>
      <c r="AO121" s="160">
        <f t="shared" si="27"/>
        <v>2</v>
      </c>
      <c r="AP121" s="133"/>
      <c r="AQ121" s="134"/>
      <c r="AR121" s="161"/>
      <c r="AS121" s="161"/>
      <c r="AT121" s="161"/>
      <c r="AU121" s="161"/>
      <c r="AV121" s="162"/>
      <c r="AW121" s="137">
        <f t="shared" si="38"/>
        <v>0</v>
      </c>
      <c r="AX121" s="137">
        <f t="shared" si="39"/>
        <v>0</v>
      </c>
    </row>
    <row r="122" ht="46.5" customHeight="1" spans="1:50" s="97" customFormat="1" x14ac:dyDescent="0.25">
      <c r="A122" s="100"/>
      <c r="B122" s="100"/>
      <c r="C122" s="100"/>
      <c r="D122" s="100"/>
      <c r="E122" s="100"/>
      <c r="F122" s="100"/>
      <c r="G122" s="103"/>
      <c r="H122" s="186"/>
      <c r="I122" s="195">
        <v>0.51</v>
      </c>
      <c r="J122" s="107">
        <v>0.49</v>
      </c>
      <c r="K122" s="107"/>
      <c r="L122" s="107"/>
      <c r="M122" s="187"/>
      <c r="N122" s="169">
        <f t="shared" si="28"/>
        <v>1</v>
      </c>
      <c r="O122" s="144">
        <v>1</v>
      </c>
      <c r="P122" s="145">
        <v>15</v>
      </c>
      <c r="Q122" s="113">
        <v>15</v>
      </c>
      <c r="R122" s="113"/>
      <c r="S122" s="113"/>
      <c r="T122" s="146"/>
      <c r="U122" s="148">
        <f t="shared" si="29"/>
        <v>15</v>
      </c>
      <c r="V122" s="149">
        <f t="shared" si="30"/>
        <v>15</v>
      </c>
      <c r="W122" s="189"/>
      <c r="X122" s="199"/>
      <c r="Y122" s="151"/>
      <c r="Z122" s="190"/>
      <c r="AA122" s="153"/>
      <c r="AB122" s="154">
        <f t="shared" si="31"/>
        <v>0</v>
      </c>
      <c r="AC122" s="149">
        <f t="shared" si="32"/>
        <v>0</v>
      </c>
      <c r="AD122" s="125">
        <v>2</v>
      </c>
      <c r="AE122" s="148">
        <f t="shared" si="33"/>
        <v>2</v>
      </c>
      <c r="AF122" s="156"/>
      <c r="AG122" s="156"/>
      <c r="AH122" s="113">
        <f t="shared" si="34"/>
        <v>17</v>
      </c>
      <c r="AI122" s="157">
        <v>65</v>
      </c>
      <c r="AJ122" s="113">
        <f t="shared" si="35"/>
        <v>82</v>
      </c>
      <c r="AK122" s="113">
        <f t="shared" si="36"/>
        <v>82</v>
      </c>
      <c r="AL122" s="158">
        <f t="shared" si="37"/>
        <v>1.02</v>
      </c>
      <c r="AM122" s="159"/>
      <c r="AN122" s="160">
        <f t="shared" si="27"/>
        <v>1</v>
      </c>
      <c r="AO122" s="160">
        <f t="shared" si="27"/>
        <v>2</v>
      </c>
      <c r="AP122" s="133"/>
      <c r="AQ122" s="134"/>
      <c r="AR122" s="161"/>
      <c r="AS122" s="161"/>
      <c r="AT122" s="161"/>
      <c r="AU122" s="161"/>
      <c r="AV122" s="162"/>
      <c r="AW122" s="137">
        <f t="shared" si="38"/>
        <v>0</v>
      </c>
      <c r="AX122" s="137">
        <f t="shared" si="39"/>
        <v>0</v>
      </c>
    </row>
    <row r="123" ht="46.5" customHeight="1" spans="1:50" s="97" customFormat="1" x14ac:dyDescent="0.25">
      <c r="A123" s="100"/>
      <c r="B123" s="100"/>
      <c r="C123" s="100"/>
      <c r="D123" s="100"/>
      <c r="E123" s="100"/>
      <c r="F123" s="100"/>
      <c r="G123" s="103"/>
      <c r="H123" s="186"/>
      <c r="I123" s="195">
        <v>0.51</v>
      </c>
      <c r="J123" s="107">
        <v>0.49</v>
      </c>
      <c r="K123" s="107"/>
      <c r="L123" s="107"/>
      <c r="M123" s="187"/>
      <c r="N123" s="169">
        <f t="shared" si="28"/>
        <v>1</v>
      </c>
      <c r="O123" s="144">
        <v>1</v>
      </c>
      <c r="P123" s="145">
        <v>15</v>
      </c>
      <c r="Q123" s="113">
        <v>15</v>
      </c>
      <c r="R123" s="113"/>
      <c r="S123" s="113"/>
      <c r="T123" s="146"/>
      <c r="U123" s="148">
        <f t="shared" si="29"/>
        <v>15</v>
      </c>
      <c r="V123" s="149">
        <f t="shared" si="30"/>
        <v>15</v>
      </c>
      <c r="W123" s="189"/>
      <c r="X123" s="199"/>
      <c r="Y123" s="151"/>
      <c r="Z123" s="190"/>
      <c r="AA123" s="153"/>
      <c r="AB123" s="154">
        <f t="shared" si="31"/>
        <v>0</v>
      </c>
      <c r="AC123" s="149">
        <f t="shared" si="32"/>
        <v>0</v>
      </c>
      <c r="AD123" s="125">
        <v>2</v>
      </c>
      <c r="AE123" s="148">
        <f t="shared" si="33"/>
        <v>2</v>
      </c>
      <c r="AF123" s="156"/>
      <c r="AG123" s="156"/>
      <c r="AH123" s="113">
        <f t="shared" si="34"/>
        <v>17</v>
      </c>
      <c r="AI123" s="157">
        <v>65</v>
      </c>
      <c r="AJ123" s="113">
        <f t="shared" si="35"/>
        <v>82</v>
      </c>
      <c r="AK123" s="113">
        <f t="shared" si="36"/>
        <v>82</v>
      </c>
      <c r="AL123" s="158">
        <f t="shared" si="37"/>
        <v>1.02</v>
      </c>
      <c r="AM123" s="159"/>
      <c r="AN123" s="160">
        <f t="shared" ref="AN123:AO142" si="40">100%+AM123</f>
        <v>1</v>
      </c>
      <c r="AO123" s="160">
        <f t="shared" si="40"/>
        <v>2</v>
      </c>
      <c r="AP123" s="133"/>
      <c r="AQ123" s="134"/>
      <c r="AR123" s="161"/>
      <c r="AS123" s="161"/>
      <c r="AT123" s="161"/>
      <c r="AU123" s="161"/>
      <c r="AV123" s="162"/>
      <c r="AW123" s="137">
        <f t="shared" si="38"/>
        <v>0</v>
      </c>
      <c r="AX123" s="137">
        <f t="shared" si="39"/>
        <v>0</v>
      </c>
    </row>
    <row r="124" ht="47.25" customHeight="1" spans="1:50" s="56" customFormat="1" x14ac:dyDescent="0.25">
      <c r="A124" s="100"/>
      <c r="B124" s="100"/>
      <c r="C124" s="100"/>
      <c r="D124" s="100"/>
      <c r="E124" s="100"/>
      <c r="F124" s="100"/>
      <c r="G124" s="103"/>
      <c r="H124" s="186"/>
      <c r="I124" s="195">
        <v>0.51</v>
      </c>
      <c r="J124" s="107">
        <v>0.49</v>
      </c>
      <c r="K124" s="107"/>
      <c r="L124" s="107"/>
      <c r="M124" s="187"/>
      <c r="N124" s="169">
        <f t="shared" si="28"/>
        <v>1</v>
      </c>
      <c r="O124" s="144">
        <v>1</v>
      </c>
      <c r="P124" s="145">
        <v>15</v>
      </c>
      <c r="Q124" s="113">
        <v>15</v>
      </c>
      <c r="R124" s="113"/>
      <c r="S124" s="113"/>
      <c r="T124" s="146"/>
      <c r="U124" s="148">
        <f t="shared" si="29"/>
        <v>15</v>
      </c>
      <c r="V124" s="149">
        <f t="shared" si="30"/>
        <v>15</v>
      </c>
      <c r="W124" s="189"/>
      <c r="X124" s="199"/>
      <c r="Y124" s="151"/>
      <c r="Z124" s="190"/>
      <c r="AA124" s="153"/>
      <c r="AB124" s="154">
        <f t="shared" si="31"/>
        <v>0</v>
      </c>
      <c r="AC124" s="149">
        <f t="shared" si="32"/>
        <v>0</v>
      </c>
      <c r="AD124" s="125">
        <v>2</v>
      </c>
      <c r="AE124" s="148">
        <f t="shared" si="33"/>
        <v>2</v>
      </c>
      <c r="AF124" s="156"/>
      <c r="AG124" s="156"/>
      <c r="AH124" s="113">
        <f t="shared" si="34"/>
        <v>17</v>
      </c>
      <c r="AI124" s="157">
        <v>65</v>
      </c>
      <c r="AJ124" s="113">
        <f t="shared" si="35"/>
        <v>82</v>
      </c>
      <c r="AK124" s="113">
        <f t="shared" si="36"/>
        <v>82</v>
      </c>
      <c r="AL124" s="158">
        <f t="shared" si="37"/>
        <v>1.02</v>
      </c>
      <c r="AM124" s="159"/>
      <c r="AN124" s="160">
        <f t="shared" si="40"/>
        <v>1</v>
      </c>
      <c r="AO124" s="160">
        <f t="shared" si="40"/>
        <v>2</v>
      </c>
      <c r="AP124" s="133"/>
      <c r="AQ124" s="134"/>
      <c r="AR124" s="161"/>
      <c r="AS124" s="161"/>
      <c r="AT124" s="161"/>
      <c r="AU124" s="161"/>
      <c r="AV124" s="162"/>
      <c r="AW124" s="137">
        <f t="shared" si="38"/>
        <v>0</v>
      </c>
      <c r="AX124" s="137">
        <f t="shared" si="39"/>
        <v>0</v>
      </c>
    </row>
    <row r="125" ht="47.25" customHeight="1" spans="1:50" s="56" customFormat="1" x14ac:dyDescent="0.25">
      <c r="A125" s="100"/>
      <c r="B125" s="100"/>
      <c r="C125" s="100"/>
      <c r="D125" s="100"/>
      <c r="E125" s="100"/>
      <c r="F125" s="100"/>
      <c r="G125" s="103"/>
      <c r="H125" s="186"/>
      <c r="I125" s="195">
        <v>0.51</v>
      </c>
      <c r="J125" s="107">
        <v>0.49</v>
      </c>
      <c r="K125" s="107"/>
      <c r="L125" s="107"/>
      <c r="M125" s="187"/>
      <c r="N125" s="169">
        <f t="shared" si="28"/>
        <v>1</v>
      </c>
      <c r="O125" s="144">
        <v>1</v>
      </c>
      <c r="P125" s="145">
        <v>15</v>
      </c>
      <c r="Q125" s="113">
        <v>15</v>
      </c>
      <c r="R125" s="113"/>
      <c r="S125" s="113"/>
      <c r="T125" s="146"/>
      <c r="U125" s="148">
        <f t="shared" si="29"/>
        <v>15</v>
      </c>
      <c r="V125" s="149">
        <f t="shared" si="30"/>
        <v>15</v>
      </c>
      <c r="W125" s="189"/>
      <c r="X125" s="199"/>
      <c r="Y125" s="151"/>
      <c r="Z125" s="190"/>
      <c r="AA125" s="153"/>
      <c r="AB125" s="154">
        <f t="shared" si="31"/>
        <v>0</v>
      </c>
      <c r="AC125" s="149">
        <f t="shared" si="32"/>
        <v>0</v>
      </c>
      <c r="AD125" s="125">
        <v>2</v>
      </c>
      <c r="AE125" s="148">
        <f t="shared" si="33"/>
        <v>2</v>
      </c>
      <c r="AF125" s="156"/>
      <c r="AG125" s="156"/>
      <c r="AH125" s="113">
        <f t="shared" si="34"/>
        <v>17</v>
      </c>
      <c r="AI125" s="157">
        <v>65</v>
      </c>
      <c r="AJ125" s="113">
        <f t="shared" si="35"/>
        <v>82</v>
      </c>
      <c r="AK125" s="113">
        <f t="shared" si="36"/>
        <v>82</v>
      </c>
      <c r="AL125" s="158">
        <f t="shared" si="37"/>
        <v>1.02</v>
      </c>
      <c r="AM125" s="159"/>
      <c r="AN125" s="160">
        <f t="shared" si="40"/>
        <v>1</v>
      </c>
      <c r="AO125" s="160">
        <f t="shared" si="40"/>
        <v>2</v>
      </c>
      <c r="AP125" s="133"/>
      <c r="AQ125" s="134"/>
      <c r="AR125" s="161"/>
      <c r="AS125" s="161"/>
      <c r="AT125" s="161"/>
      <c r="AU125" s="161"/>
      <c r="AV125" s="162"/>
      <c r="AW125" s="137">
        <f t="shared" si="38"/>
        <v>0</v>
      </c>
      <c r="AX125" s="137">
        <f t="shared" si="39"/>
        <v>0</v>
      </c>
    </row>
    <row r="126" ht="46.5" customHeight="1" spans="1:50" s="97" customFormat="1" x14ac:dyDescent="0.25">
      <c r="A126" s="100"/>
      <c r="B126" s="100"/>
      <c r="C126" s="100"/>
      <c r="D126" s="100"/>
      <c r="E126" s="100"/>
      <c r="F126" s="100"/>
      <c r="G126" s="103"/>
      <c r="H126" s="186"/>
      <c r="I126" s="195">
        <v>0.51</v>
      </c>
      <c r="J126" s="107">
        <v>0.49</v>
      </c>
      <c r="K126" s="107"/>
      <c r="L126" s="107"/>
      <c r="M126" s="187"/>
      <c r="N126" s="169">
        <f t="shared" si="28"/>
        <v>1</v>
      </c>
      <c r="O126" s="144">
        <v>1</v>
      </c>
      <c r="P126" s="145">
        <v>15</v>
      </c>
      <c r="Q126" s="113">
        <v>15</v>
      </c>
      <c r="R126" s="113"/>
      <c r="S126" s="113"/>
      <c r="T126" s="146"/>
      <c r="U126" s="148">
        <f t="shared" si="29"/>
        <v>15</v>
      </c>
      <c r="V126" s="149">
        <f t="shared" si="30"/>
        <v>15</v>
      </c>
      <c r="W126" s="189"/>
      <c r="X126" s="199"/>
      <c r="Y126" s="151"/>
      <c r="Z126" s="190"/>
      <c r="AA126" s="153"/>
      <c r="AB126" s="154">
        <f t="shared" si="31"/>
        <v>0</v>
      </c>
      <c r="AC126" s="149">
        <f t="shared" si="32"/>
        <v>0</v>
      </c>
      <c r="AD126" s="125">
        <v>2</v>
      </c>
      <c r="AE126" s="148">
        <f t="shared" si="33"/>
        <v>2</v>
      </c>
      <c r="AF126" s="156"/>
      <c r="AG126" s="156"/>
      <c r="AH126" s="113">
        <f t="shared" si="34"/>
        <v>17</v>
      </c>
      <c r="AI126" s="157">
        <v>65</v>
      </c>
      <c r="AJ126" s="113">
        <f t="shared" si="35"/>
        <v>82</v>
      </c>
      <c r="AK126" s="113">
        <f t="shared" si="36"/>
        <v>82</v>
      </c>
      <c r="AL126" s="158">
        <f t="shared" si="37"/>
        <v>1.02</v>
      </c>
      <c r="AM126" s="159"/>
      <c r="AN126" s="160">
        <f t="shared" si="40"/>
        <v>1</v>
      </c>
      <c r="AO126" s="160">
        <f t="shared" si="40"/>
        <v>2</v>
      </c>
      <c r="AP126" s="133"/>
      <c r="AQ126" s="134"/>
      <c r="AR126" s="161"/>
      <c r="AS126" s="161"/>
      <c r="AT126" s="161"/>
      <c r="AU126" s="161"/>
      <c r="AV126" s="162"/>
      <c r="AW126" s="137">
        <f t="shared" si="38"/>
        <v>0</v>
      </c>
      <c r="AX126" s="137">
        <f t="shared" si="39"/>
        <v>0</v>
      </c>
    </row>
    <row r="127" ht="47.25" customHeight="1" spans="1:50" s="56" customFormat="1" x14ac:dyDescent="0.25">
      <c r="A127" s="100"/>
      <c r="B127" s="100"/>
      <c r="C127" s="100"/>
      <c r="D127" s="100"/>
      <c r="E127" s="100"/>
      <c r="F127" s="100"/>
      <c r="G127" s="103"/>
      <c r="H127" s="186"/>
      <c r="I127" s="195">
        <v>0.51</v>
      </c>
      <c r="J127" s="107">
        <v>0.49</v>
      </c>
      <c r="K127" s="107"/>
      <c r="L127" s="107"/>
      <c r="M127" s="187"/>
      <c r="N127" s="169">
        <f t="shared" si="28"/>
        <v>1</v>
      </c>
      <c r="O127" s="144">
        <v>1</v>
      </c>
      <c r="P127" s="145">
        <v>15</v>
      </c>
      <c r="Q127" s="113">
        <v>15</v>
      </c>
      <c r="R127" s="113"/>
      <c r="S127" s="113"/>
      <c r="T127" s="146"/>
      <c r="U127" s="148">
        <f t="shared" si="29"/>
        <v>15</v>
      </c>
      <c r="V127" s="149">
        <f t="shared" si="30"/>
        <v>15</v>
      </c>
      <c r="W127" s="189"/>
      <c r="X127" s="199"/>
      <c r="Y127" s="151"/>
      <c r="Z127" s="190"/>
      <c r="AA127" s="153"/>
      <c r="AB127" s="154">
        <f t="shared" si="31"/>
        <v>0</v>
      </c>
      <c r="AC127" s="149">
        <f t="shared" si="32"/>
        <v>0</v>
      </c>
      <c r="AD127" s="125">
        <v>2</v>
      </c>
      <c r="AE127" s="148">
        <f t="shared" si="33"/>
        <v>2</v>
      </c>
      <c r="AF127" s="156"/>
      <c r="AG127" s="156"/>
      <c r="AH127" s="113">
        <f t="shared" si="34"/>
        <v>17</v>
      </c>
      <c r="AI127" s="157">
        <v>65</v>
      </c>
      <c r="AJ127" s="113">
        <f t="shared" si="35"/>
        <v>82</v>
      </c>
      <c r="AK127" s="113">
        <f t="shared" si="36"/>
        <v>82</v>
      </c>
      <c r="AL127" s="158">
        <f t="shared" si="37"/>
        <v>1.02</v>
      </c>
      <c r="AM127" s="159"/>
      <c r="AN127" s="160">
        <f t="shared" si="40"/>
        <v>1</v>
      </c>
      <c r="AO127" s="160">
        <f t="shared" si="40"/>
        <v>2</v>
      </c>
      <c r="AP127" s="133"/>
      <c r="AQ127" s="134"/>
      <c r="AR127" s="161"/>
      <c r="AS127" s="161"/>
      <c r="AT127" s="161"/>
      <c r="AU127" s="161"/>
      <c r="AV127" s="162"/>
      <c r="AW127" s="137">
        <f t="shared" si="38"/>
        <v>0</v>
      </c>
      <c r="AX127" s="137">
        <f t="shared" si="39"/>
        <v>0</v>
      </c>
    </row>
    <row r="128" ht="47.25" customHeight="1" spans="1:50" s="97" customFormat="1" x14ac:dyDescent="0.25">
      <c r="A128" s="100"/>
      <c r="B128" s="100"/>
      <c r="C128" s="100"/>
      <c r="D128" s="100"/>
      <c r="E128" s="100"/>
      <c r="F128" s="100"/>
      <c r="G128" s="103"/>
      <c r="H128" s="186"/>
      <c r="I128" s="195">
        <v>0.51</v>
      </c>
      <c r="J128" s="107">
        <v>0.49</v>
      </c>
      <c r="K128" s="107"/>
      <c r="L128" s="107"/>
      <c r="M128" s="187"/>
      <c r="N128" s="169">
        <f t="shared" si="28"/>
        <v>1</v>
      </c>
      <c r="O128" s="144">
        <v>1</v>
      </c>
      <c r="P128" s="145">
        <v>15</v>
      </c>
      <c r="Q128" s="113">
        <v>15</v>
      </c>
      <c r="R128" s="113"/>
      <c r="S128" s="113"/>
      <c r="T128" s="146"/>
      <c r="U128" s="148">
        <f t="shared" si="29"/>
        <v>15</v>
      </c>
      <c r="V128" s="149">
        <f t="shared" si="30"/>
        <v>15</v>
      </c>
      <c r="W128" s="189"/>
      <c r="X128" s="199"/>
      <c r="Y128" s="151"/>
      <c r="Z128" s="190"/>
      <c r="AA128" s="153"/>
      <c r="AB128" s="154">
        <f t="shared" si="31"/>
        <v>0</v>
      </c>
      <c r="AC128" s="149">
        <f t="shared" si="32"/>
        <v>0</v>
      </c>
      <c r="AD128" s="125">
        <v>2</v>
      </c>
      <c r="AE128" s="148">
        <f t="shared" si="33"/>
        <v>2</v>
      </c>
      <c r="AF128" s="156"/>
      <c r="AG128" s="156"/>
      <c r="AH128" s="113">
        <f t="shared" si="34"/>
        <v>17</v>
      </c>
      <c r="AI128" s="157">
        <v>65</v>
      </c>
      <c r="AJ128" s="113">
        <f t="shared" si="35"/>
        <v>82</v>
      </c>
      <c r="AK128" s="113">
        <f t="shared" si="36"/>
        <v>82</v>
      </c>
      <c r="AL128" s="158">
        <f t="shared" si="37"/>
        <v>1.02</v>
      </c>
      <c r="AM128" s="159"/>
      <c r="AN128" s="160">
        <f t="shared" si="40"/>
        <v>1</v>
      </c>
      <c r="AO128" s="160">
        <f t="shared" si="40"/>
        <v>2</v>
      </c>
      <c r="AP128" s="133"/>
      <c r="AQ128" s="134"/>
      <c r="AR128" s="161"/>
      <c r="AS128" s="161"/>
      <c r="AT128" s="161"/>
      <c r="AU128" s="161"/>
      <c r="AV128" s="162"/>
      <c r="AW128" s="137">
        <f t="shared" si="38"/>
        <v>0</v>
      </c>
      <c r="AX128" s="137">
        <f t="shared" si="39"/>
        <v>0</v>
      </c>
    </row>
    <row r="129" ht="47.25" customHeight="1" spans="1:50" s="97" customFormat="1" x14ac:dyDescent="0.25">
      <c r="A129" s="100"/>
      <c r="B129" s="100"/>
      <c r="C129" s="100"/>
      <c r="D129" s="100"/>
      <c r="E129" s="100"/>
      <c r="F129" s="100"/>
      <c r="G129" s="103"/>
      <c r="H129" s="186"/>
      <c r="I129" s="195">
        <v>0.51</v>
      </c>
      <c r="J129" s="107">
        <v>0.49</v>
      </c>
      <c r="K129" s="107"/>
      <c r="L129" s="107"/>
      <c r="M129" s="187"/>
      <c r="N129" s="169">
        <f t="shared" si="28"/>
        <v>1</v>
      </c>
      <c r="O129" s="144">
        <v>1</v>
      </c>
      <c r="P129" s="145">
        <v>15</v>
      </c>
      <c r="Q129" s="113">
        <v>15</v>
      </c>
      <c r="R129" s="113"/>
      <c r="S129" s="113"/>
      <c r="T129" s="146"/>
      <c r="U129" s="148">
        <f t="shared" si="29"/>
        <v>15</v>
      </c>
      <c r="V129" s="149">
        <f t="shared" si="30"/>
        <v>15</v>
      </c>
      <c r="W129" s="189"/>
      <c r="X129" s="199"/>
      <c r="Y129" s="151"/>
      <c r="Z129" s="190"/>
      <c r="AA129" s="153"/>
      <c r="AB129" s="154">
        <f t="shared" si="31"/>
        <v>0</v>
      </c>
      <c r="AC129" s="149">
        <f t="shared" si="32"/>
        <v>0</v>
      </c>
      <c r="AD129" s="125">
        <v>2</v>
      </c>
      <c r="AE129" s="148">
        <f t="shared" si="33"/>
        <v>2</v>
      </c>
      <c r="AF129" s="156"/>
      <c r="AG129" s="156"/>
      <c r="AH129" s="113">
        <f t="shared" si="34"/>
        <v>17</v>
      </c>
      <c r="AI129" s="157">
        <v>65</v>
      </c>
      <c r="AJ129" s="113">
        <f t="shared" si="35"/>
        <v>82</v>
      </c>
      <c r="AK129" s="113">
        <f t="shared" si="36"/>
        <v>82</v>
      </c>
      <c r="AL129" s="158">
        <f t="shared" si="37"/>
        <v>1.02</v>
      </c>
      <c r="AM129" s="159"/>
      <c r="AN129" s="160">
        <f t="shared" si="40"/>
        <v>1</v>
      </c>
      <c r="AO129" s="160">
        <f t="shared" si="40"/>
        <v>2</v>
      </c>
      <c r="AP129" s="133"/>
      <c r="AQ129" s="134"/>
      <c r="AR129" s="161"/>
      <c r="AS129" s="161"/>
      <c r="AT129" s="161"/>
      <c r="AU129" s="161"/>
      <c r="AV129" s="162"/>
      <c r="AW129" s="137">
        <f t="shared" si="38"/>
        <v>0</v>
      </c>
      <c r="AX129" s="137">
        <f t="shared" si="39"/>
        <v>0</v>
      </c>
    </row>
    <row r="130" ht="46.5" customHeight="1" spans="1:50" s="97" customFormat="1" x14ac:dyDescent="0.25">
      <c r="A130" s="100"/>
      <c r="B130" s="100"/>
      <c r="C130" s="100"/>
      <c r="D130" s="100"/>
      <c r="E130" s="100"/>
      <c r="F130" s="100"/>
      <c r="G130" s="103"/>
      <c r="H130" s="186"/>
      <c r="I130" s="195">
        <v>0.51</v>
      </c>
      <c r="J130" s="107">
        <v>0.49</v>
      </c>
      <c r="K130" s="107"/>
      <c r="L130" s="107"/>
      <c r="M130" s="187"/>
      <c r="N130" s="169">
        <f t="shared" si="28"/>
        <v>1</v>
      </c>
      <c r="O130" s="144">
        <v>1</v>
      </c>
      <c r="P130" s="145">
        <v>15</v>
      </c>
      <c r="Q130" s="113">
        <v>15</v>
      </c>
      <c r="R130" s="113"/>
      <c r="S130" s="113"/>
      <c r="T130" s="146"/>
      <c r="U130" s="148">
        <f t="shared" si="29"/>
        <v>15</v>
      </c>
      <c r="V130" s="149">
        <f t="shared" si="30"/>
        <v>15</v>
      </c>
      <c r="W130" s="189"/>
      <c r="X130" s="199"/>
      <c r="Y130" s="151"/>
      <c r="Z130" s="190"/>
      <c r="AA130" s="153"/>
      <c r="AB130" s="154">
        <f t="shared" si="31"/>
        <v>0</v>
      </c>
      <c r="AC130" s="149">
        <f t="shared" si="32"/>
        <v>0</v>
      </c>
      <c r="AD130" s="125">
        <v>2</v>
      </c>
      <c r="AE130" s="148">
        <f t="shared" si="33"/>
        <v>2</v>
      </c>
      <c r="AF130" s="156"/>
      <c r="AG130" s="156"/>
      <c r="AH130" s="113">
        <f t="shared" si="34"/>
        <v>17</v>
      </c>
      <c r="AI130" s="157">
        <v>65</v>
      </c>
      <c r="AJ130" s="113">
        <f t="shared" si="35"/>
        <v>82</v>
      </c>
      <c r="AK130" s="113">
        <f t="shared" si="36"/>
        <v>82</v>
      </c>
      <c r="AL130" s="158">
        <f t="shared" si="37"/>
        <v>1.02</v>
      </c>
      <c r="AM130" s="159"/>
      <c r="AN130" s="160">
        <f t="shared" si="40"/>
        <v>1</v>
      </c>
      <c r="AO130" s="160">
        <f t="shared" si="40"/>
        <v>2</v>
      </c>
      <c r="AP130" s="133"/>
      <c r="AQ130" s="134"/>
      <c r="AR130" s="161"/>
      <c r="AS130" s="161"/>
      <c r="AT130" s="161"/>
      <c r="AU130" s="161"/>
      <c r="AV130" s="162"/>
      <c r="AW130" s="137">
        <f t="shared" si="38"/>
        <v>0</v>
      </c>
      <c r="AX130" s="137">
        <f t="shared" si="39"/>
        <v>0</v>
      </c>
    </row>
    <row r="131" ht="46.5" customHeight="1" spans="1:50" s="97" customFormat="1" x14ac:dyDescent="0.25">
      <c r="A131" s="100"/>
      <c r="B131" s="100"/>
      <c r="C131" s="100"/>
      <c r="D131" s="100"/>
      <c r="E131" s="100"/>
      <c r="F131" s="100"/>
      <c r="G131" s="103"/>
      <c r="H131" s="186"/>
      <c r="I131" s="195">
        <v>0.51</v>
      </c>
      <c r="J131" s="107">
        <v>0.49</v>
      </c>
      <c r="K131" s="107"/>
      <c r="L131" s="107"/>
      <c r="M131" s="187"/>
      <c r="N131" s="169">
        <f t="shared" si="28"/>
        <v>1</v>
      </c>
      <c r="O131" s="144">
        <v>1</v>
      </c>
      <c r="P131" s="145">
        <v>15</v>
      </c>
      <c r="Q131" s="113">
        <v>15</v>
      </c>
      <c r="R131" s="113"/>
      <c r="S131" s="113"/>
      <c r="T131" s="146"/>
      <c r="U131" s="148">
        <f t="shared" si="29"/>
        <v>15</v>
      </c>
      <c r="V131" s="149">
        <f t="shared" si="30"/>
        <v>15</v>
      </c>
      <c r="W131" s="189"/>
      <c r="X131" s="199"/>
      <c r="Y131" s="151"/>
      <c r="Z131" s="190"/>
      <c r="AA131" s="153"/>
      <c r="AB131" s="154">
        <f t="shared" si="31"/>
        <v>0</v>
      </c>
      <c r="AC131" s="149">
        <f t="shared" si="32"/>
        <v>0</v>
      </c>
      <c r="AD131" s="125">
        <v>2</v>
      </c>
      <c r="AE131" s="148">
        <f t="shared" si="33"/>
        <v>2</v>
      </c>
      <c r="AF131" s="156"/>
      <c r="AG131" s="156"/>
      <c r="AH131" s="113">
        <f t="shared" si="34"/>
        <v>17</v>
      </c>
      <c r="AI131" s="157">
        <v>65</v>
      </c>
      <c r="AJ131" s="113">
        <f t="shared" si="35"/>
        <v>82</v>
      </c>
      <c r="AK131" s="113">
        <f t="shared" si="36"/>
        <v>82</v>
      </c>
      <c r="AL131" s="158">
        <f t="shared" si="37"/>
        <v>1.02</v>
      </c>
      <c r="AM131" s="159"/>
      <c r="AN131" s="160">
        <f t="shared" si="40"/>
        <v>1</v>
      </c>
      <c r="AO131" s="160">
        <f t="shared" si="40"/>
        <v>2</v>
      </c>
      <c r="AP131" s="133"/>
      <c r="AQ131" s="134"/>
      <c r="AR131" s="161"/>
      <c r="AS131" s="161"/>
      <c r="AT131" s="161"/>
      <c r="AU131" s="161"/>
      <c r="AV131" s="162"/>
      <c r="AW131" s="137">
        <f t="shared" si="38"/>
        <v>0</v>
      </c>
      <c r="AX131" s="137">
        <f t="shared" si="39"/>
        <v>0</v>
      </c>
    </row>
    <row r="132" ht="47.25" customHeight="1" spans="1:50" s="56" customFormat="1" x14ac:dyDescent="0.25">
      <c r="A132" s="100"/>
      <c r="B132" s="100"/>
      <c r="C132" s="100"/>
      <c r="D132" s="100"/>
      <c r="E132" s="100"/>
      <c r="F132" s="100"/>
      <c r="G132" s="103"/>
      <c r="H132" s="186"/>
      <c r="I132" s="195">
        <v>0.51</v>
      </c>
      <c r="J132" s="107">
        <v>0.49</v>
      </c>
      <c r="K132" s="107"/>
      <c r="L132" s="107"/>
      <c r="M132" s="187"/>
      <c r="N132" s="169">
        <f t="shared" si="28"/>
        <v>1</v>
      </c>
      <c r="O132" s="144">
        <v>1</v>
      </c>
      <c r="P132" s="145">
        <v>15</v>
      </c>
      <c r="Q132" s="113">
        <v>15</v>
      </c>
      <c r="R132" s="113"/>
      <c r="S132" s="113"/>
      <c r="T132" s="146"/>
      <c r="U132" s="148">
        <f t="shared" si="29"/>
        <v>15</v>
      </c>
      <c r="V132" s="149">
        <f t="shared" si="30"/>
        <v>15</v>
      </c>
      <c r="W132" s="189"/>
      <c r="X132" s="199"/>
      <c r="Y132" s="151"/>
      <c r="Z132" s="190"/>
      <c r="AA132" s="153"/>
      <c r="AB132" s="154">
        <f t="shared" si="31"/>
        <v>0</v>
      </c>
      <c r="AC132" s="149">
        <f t="shared" si="32"/>
        <v>0</v>
      </c>
      <c r="AD132" s="125">
        <v>2</v>
      </c>
      <c r="AE132" s="148">
        <f t="shared" si="33"/>
        <v>2</v>
      </c>
      <c r="AF132" s="156"/>
      <c r="AG132" s="156"/>
      <c r="AH132" s="113">
        <f t="shared" si="34"/>
        <v>17</v>
      </c>
      <c r="AI132" s="157">
        <v>65</v>
      </c>
      <c r="AJ132" s="113">
        <f t="shared" si="35"/>
        <v>82</v>
      </c>
      <c r="AK132" s="113">
        <f t="shared" si="36"/>
        <v>82</v>
      </c>
      <c r="AL132" s="158">
        <f t="shared" si="37"/>
        <v>1.02</v>
      </c>
      <c r="AM132" s="159"/>
      <c r="AN132" s="160">
        <f t="shared" si="40"/>
        <v>1</v>
      </c>
      <c r="AO132" s="160">
        <f t="shared" si="40"/>
        <v>2</v>
      </c>
      <c r="AP132" s="133"/>
      <c r="AQ132" s="134"/>
      <c r="AR132" s="161"/>
      <c r="AS132" s="161"/>
      <c r="AT132" s="161"/>
      <c r="AU132" s="161"/>
      <c r="AV132" s="162"/>
      <c r="AW132" s="137">
        <f t="shared" si="38"/>
        <v>0</v>
      </c>
      <c r="AX132" s="137">
        <f t="shared" si="39"/>
        <v>0</v>
      </c>
    </row>
    <row r="133" ht="46.5" customHeight="1" spans="1:50" s="97" customFormat="1" x14ac:dyDescent="0.25">
      <c r="A133" s="100"/>
      <c r="B133" s="100"/>
      <c r="C133" s="100"/>
      <c r="D133" s="100"/>
      <c r="E133" s="100"/>
      <c r="F133" s="100"/>
      <c r="G133" s="103"/>
      <c r="H133" s="186"/>
      <c r="I133" s="195">
        <v>0.51</v>
      </c>
      <c r="J133" s="107">
        <v>0.49</v>
      </c>
      <c r="K133" s="107"/>
      <c r="L133" s="107"/>
      <c r="M133" s="187"/>
      <c r="N133" s="169">
        <f t="shared" si="28"/>
        <v>1</v>
      </c>
      <c r="O133" s="144">
        <v>1</v>
      </c>
      <c r="P133" s="145">
        <v>15</v>
      </c>
      <c r="Q133" s="113">
        <v>15</v>
      </c>
      <c r="R133" s="113"/>
      <c r="S133" s="113"/>
      <c r="T133" s="146"/>
      <c r="U133" s="148">
        <f t="shared" si="29"/>
        <v>15</v>
      </c>
      <c r="V133" s="149">
        <f t="shared" si="30"/>
        <v>15</v>
      </c>
      <c r="W133" s="189"/>
      <c r="X133" s="199"/>
      <c r="Y133" s="151"/>
      <c r="Z133" s="190"/>
      <c r="AA133" s="153"/>
      <c r="AB133" s="154">
        <f t="shared" si="31"/>
        <v>0</v>
      </c>
      <c r="AC133" s="149">
        <f t="shared" si="32"/>
        <v>0</v>
      </c>
      <c r="AD133" s="125">
        <v>2</v>
      </c>
      <c r="AE133" s="148">
        <f t="shared" si="33"/>
        <v>2</v>
      </c>
      <c r="AF133" s="156"/>
      <c r="AG133" s="156"/>
      <c r="AH133" s="113">
        <f t="shared" si="34"/>
        <v>17</v>
      </c>
      <c r="AI133" s="157">
        <v>65</v>
      </c>
      <c r="AJ133" s="113">
        <f t="shared" si="35"/>
        <v>82</v>
      </c>
      <c r="AK133" s="113">
        <f t="shared" si="36"/>
        <v>82</v>
      </c>
      <c r="AL133" s="158">
        <f t="shared" si="37"/>
        <v>1.02</v>
      </c>
      <c r="AM133" s="159"/>
      <c r="AN133" s="160">
        <f t="shared" si="40"/>
        <v>1</v>
      </c>
      <c r="AO133" s="160">
        <f t="shared" si="40"/>
        <v>2</v>
      </c>
      <c r="AP133" s="133"/>
      <c r="AQ133" s="134"/>
      <c r="AR133" s="161"/>
      <c r="AS133" s="161"/>
      <c r="AT133" s="161"/>
      <c r="AU133" s="161"/>
      <c r="AV133" s="162"/>
      <c r="AW133" s="137">
        <f t="shared" si="38"/>
        <v>0</v>
      </c>
      <c r="AX133" s="137">
        <f t="shared" si="39"/>
        <v>0</v>
      </c>
    </row>
    <row r="134" ht="47.25" customHeight="1" spans="1:50" s="56" customFormat="1" x14ac:dyDescent="0.25">
      <c r="A134" s="100"/>
      <c r="B134" s="100"/>
      <c r="C134" s="100"/>
      <c r="D134" s="100"/>
      <c r="E134" s="100"/>
      <c r="F134" s="100"/>
      <c r="G134" s="103"/>
      <c r="H134" s="186"/>
      <c r="I134" s="195">
        <v>0.51</v>
      </c>
      <c r="J134" s="107">
        <v>0.49</v>
      </c>
      <c r="K134" s="107"/>
      <c r="L134" s="107"/>
      <c r="M134" s="187"/>
      <c r="N134" s="169">
        <f t="shared" si="28"/>
        <v>1</v>
      </c>
      <c r="O134" s="144">
        <v>1</v>
      </c>
      <c r="P134" s="145">
        <v>15</v>
      </c>
      <c r="Q134" s="113">
        <v>15</v>
      </c>
      <c r="R134" s="113"/>
      <c r="S134" s="113"/>
      <c r="T134" s="146"/>
      <c r="U134" s="148">
        <f t="shared" si="29"/>
        <v>15</v>
      </c>
      <c r="V134" s="149">
        <f t="shared" si="30"/>
        <v>15</v>
      </c>
      <c r="W134" s="189"/>
      <c r="X134" s="199"/>
      <c r="Y134" s="151"/>
      <c r="Z134" s="190"/>
      <c r="AA134" s="153"/>
      <c r="AB134" s="154">
        <f t="shared" si="31"/>
        <v>0</v>
      </c>
      <c r="AC134" s="149">
        <f t="shared" si="32"/>
        <v>0</v>
      </c>
      <c r="AD134" s="125">
        <v>2</v>
      </c>
      <c r="AE134" s="148">
        <f t="shared" si="33"/>
        <v>2</v>
      </c>
      <c r="AF134" s="156"/>
      <c r="AG134" s="156"/>
      <c r="AH134" s="113">
        <f t="shared" si="34"/>
        <v>17</v>
      </c>
      <c r="AI134" s="157">
        <v>65</v>
      </c>
      <c r="AJ134" s="113">
        <f t="shared" si="35"/>
        <v>82</v>
      </c>
      <c r="AK134" s="113">
        <f t="shared" si="36"/>
        <v>82</v>
      </c>
      <c r="AL134" s="158">
        <f t="shared" si="37"/>
        <v>1.02</v>
      </c>
      <c r="AM134" s="159"/>
      <c r="AN134" s="160">
        <f t="shared" si="40"/>
        <v>1</v>
      </c>
      <c r="AO134" s="160">
        <f t="shared" si="40"/>
        <v>2</v>
      </c>
      <c r="AP134" s="133"/>
      <c r="AQ134" s="134"/>
      <c r="AR134" s="161"/>
      <c r="AS134" s="161"/>
      <c r="AT134" s="161"/>
      <c r="AU134" s="161"/>
      <c r="AV134" s="162"/>
      <c r="AW134" s="137">
        <f t="shared" si="38"/>
        <v>0</v>
      </c>
      <c r="AX134" s="137">
        <f t="shared" si="39"/>
        <v>0</v>
      </c>
    </row>
    <row r="135" ht="46.5" customHeight="1" spans="1:50" s="97" customFormat="1" x14ac:dyDescent="0.25">
      <c r="A135" s="100"/>
      <c r="B135" s="100"/>
      <c r="C135" s="100"/>
      <c r="D135" s="100"/>
      <c r="E135" s="100"/>
      <c r="F135" s="100"/>
      <c r="G135" s="103"/>
      <c r="H135" s="186"/>
      <c r="I135" s="195">
        <v>0.51</v>
      </c>
      <c r="J135" s="107">
        <v>0.49</v>
      </c>
      <c r="K135" s="107"/>
      <c r="L135" s="107"/>
      <c r="M135" s="187"/>
      <c r="N135" s="169">
        <f t="shared" si="28"/>
        <v>1</v>
      </c>
      <c r="O135" s="144">
        <v>1</v>
      </c>
      <c r="P135" s="145">
        <v>15</v>
      </c>
      <c r="Q135" s="113">
        <v>15</v>
      </c>
      <c r="R135" s="113"/>
      <c r="S135" s="113"/>
      <c r="T135" s="146"/>
      <c r="U135" s="148">
        <f t="shared" si="29"/>
        <v>15</v>
      </c>
      <c r="V135" s="149">
        <f t="shared" si="30"/>
        <v>15</v>
      </c>
      <c r="W135" s="189"/>
      <c r="X135" s="199"/>
      <c r="Y135" s="151"/>
      <c r="Z135" s="190"/>
      <c r="AA135" s="153"/>
      <c r="AB135" s="154">
        <f t="shared" si="31"/>
        <v>0</v>
      </c>
      <c r="AC135" s="149">
        <f t="shared" si="32"/>
        <v>0</v>
      </c>
      <c r="AD135" s="125">
        <v>2</v>
      </c>
      <c r="AE135" s="148">
        <f t="shared" si="33"/>
        <v>2</v>
      </c>
      <c r="AF135" s="156"/>
      <c r="AG135" s="156"/>
      <c r="AH135" s="113">
        <f t="shared" si="34"/>
        <v>17</v>
      </c>
      <c r="AI135" s="157">
        <v>65</v>
      </c>
      <c r="AJ135" s="113">
        <f t="shared" si="35"/>
        <v>82</v>
      </c>
      <c r="AK135" s="113">
        <f t="shared" si="36"/>
        <v>82</v>
      </c>
      <c r="AL135" s="158">
        <f t="shared" si="37"/>
        <v>1.02</v>
      </c>
      <c r="AM135" s="159"/>
      <c r="AN135" s="160">
        <f t="shared" si="40"/>
        <v>1</v>
      </c>
      <c r="AO135" s="160">
        <f t="shared" si="40"/>
        <v>2</v>
      </c>
      <c r="AP135" s="133"/>
      <c r="AQ135" s="134"/>
      <c r="AR135" s="161"/>
      <c r="AS135" s="161"/>
      <c r="AT135" s="161"/>
      <c r="AU135" s="161"/>
      <c r="AV135" s="162"/>
      <c r="AW135" s="137">
        <f t="shared" si="38"/>
        <v>0</v>
      </c>
      <c r="AX135" s="137">
        <f t="shared" si="39"/>
        <v>0</v>
      </c>
    </row>
    <row r="136" ht="46.5" customHeight="1" spans="1:50" s="97" customFormat="1" x14ac:dyDescent="0.25">
      <c r="A136" s="100"/>
      <c r="B136" s="100"/>
      <c r="C136" s="100"/>
      <c r="D136" s="100"/>
      <c r="E136" s="100"/>
      <c r="F136" s="100"/>
      <c r="G136" s="103"/>
      <c r="H136" s="186"/>
      <c r="I136" s="195">
        <v>0.51</v>
      </c>
      <c r="J136" s="107">
        <v>0.49</v>
      </c>
      <c r="K136" s="107"/>
      <c r="L136" s="107"/>
      <c r="M136" s="187"/>
      <c r="N136" s="169">
        <f t="shared" si="28"/>
        <v>1</v>
      </c>
      <c r="O136" s="144">
        <v>1</v>
      </c>
      <c r="P136" s="145">
        <v>15</v>
      </c>
      <c r="Q136" s="113">
        <v>15</v>
      </c>
      <c r="R136" s="113"/>
      <c r="S136" s="113"/>
      <c r="T136" s="146"/>
      <c r="U136" s="148">
        <f t="shared" si="29"/>
        <v>15</v>
      </c>
      <c r="V136" s="149">
        <f t="shared" si="30"/>
        <v>15</v>
      </c>
      <c r="W136" s="189"/>
      <c r="X136" s="199"/>
      <c r="Y136" s="151"/>
      <c r="Z136" s="190"/>
      <c r="AA136" s="153"/>
      <c r="AB136" s="154">
        <f t="shared" si="31"/>
        <v>0</v>
      </c>
      <c r="AC136" s="149">
        <f t="shared" si="32"/>
        <v>0</v>
      </c>
      <c r="AD136" s="125">
        <v>2</v>
      </c>
      <c r="AE136" s="148">
        <f t="shared" si="33"/>
        <v>2</v>
      </c>
      <c r="AF136" s="156"/>
      <c r="AG136" s="156"/>
      <c r="AH136" s="113">
        <f t="shared" si="34"/>
        <v>17</v>
      </c>
      <c r="AI136" s="157">
        <v>65</v>
      </c>
      <c r="AJ136" s="113">
        <f t="shared" si="35"/>
        <v>82</v>
      </c>
      <c r="AK136" s="113">
        <f t="shared" si="36"/>
        <v>82</v>
      </c>
      <c r="AL136" s="158">
        <f t="shared" si="37"/>
        <v>1.02</v>
      </c>
      <c r="AM136" s="159"/>
      <c r="AN136" s="160">
        <f t="shared" si="40"/>
        <v>1</v>
      </c>
      <c r="AO136" s="160">
        <f t="shared" si="40"/>
        <v>2</v>
      </c>
      <c r="AP136" s="133"/>
      <c r="AQ136" s="134"/>
      <c r="AR136" s="161"/>
      <c r="AS136" s="161"/>
      <c r="AT136" s="161"/>
      <c r="AU136" s="161"/>
      <c r="AV136" s="162"/>
      <c r="AW136" s="137">
        <f t="shared" si="38"/>
        <v>0</v>
      </c>
      <c r="AX136" s="137">
        <f t="shared" si="39"/>
        <v>0</v>
      </c>
    </row>
    <row r="137" ht="47.25" customHeight="1" spans="1:50" s="97" customFormat="1" x14ac:dyDescent="0.25">
      <c r="A137" s="100"/>
      <c r="B137" s="100"/>
      <c r="C137" s="100"/>
      <c r="D137" s="100"/>
      <c r="E137" s="100"/>
      <c r="F137" s="100"/>
      <c r="G137" s="103"/>
      <c r="H137" s="186"/>
      <c r="I137" s="195">
        <v>0.51</v>
      </c>
      <c r="J137" s="107">
        <v>0.49</v>
      </c>
      <c r="K137" s="107"/>
      <c r="L137" s="107"/>
      <c r="M137" s="187"/>
      <c r="N137" s="169">
        <f t="shared" si="28"/>
        <v>1</v>
      </c>
      <c r="O137" s="144">
        <v>1</v>
      </c>
      <c r="P137" s="145">
        <v>15</v>
      </c>
      <c r="Q137" s="113">
        <v>15</v>
      </c>
      <c r="R137" s="113"/>
      <c r="S137" s="113"/>
      <c r="T137" s="146"/>
      <c r="U137" s="148">
        <f t="shared" si="29"/>
        <v>15</v>
      </c>
      <c r="V137" s="149">
        <f t="shared" si="30"/>
        <v>15</v>
      </c>
      <c r="W137" s="189"/>
      <c r="X137" s="199"/>
      <c r="Y137" s="151"/>
      <c r="Z137" s="190"/>
      <c r="AA137" s="153"/>
      <c r="AB137" s="154">
        <f t="shared" si="31"/>
        <v>0</v>
      </c>
      <c r="AC137" s="149">
        <f t="shared" si="32"/>
        <v>0</v>
      </c>
      <c r="AD137" s="125">
        <v>2</v>
      </c>
      <c r="AE137" s="148">
        <f t="shared" si="33"/>
        <v>2</v>
      </c>
      <c r="AF137" s="156"/>
      <c r="AG137" s="156"/>
      <c r="AH137" s="113">
        <f t="shared" si="34"/>
        <v>17</v>
      </c>
      <c r="AI137" s="157">
        <v>65</v>
      </c>
      <c r="AJ137" s="113">
        <f t="shared" si="35"/>
        <v>82</v>
      </c>
      <c r="AK137" s="113">
        <f t="shared" si="36"/>
        <v>82</v>
      </c>
      <c r="AL137" s="158">
        <f t="shared" si="37"/>
        <v>1.02</v>
      </c>
      <c r="AM137" s="159"/>
      <c r="AN137" s="160">
        <f t="shared" si="40"/>
        <v>1</v>
      </c>
      <c r="AO137" s="160">
        <f t="shared" si="40"/>
        <v>2</v>
      </c>
      <c r="AP137" s="133"/>
      <c r="AQ137" s="134"/>
      <c r="AR137" s="161"/>
      <c r="AS137" s="161"/>
      <c r="AT137" s="161"/>
      <c r="AU137" s="161"/>
      <c r="AV137" s="162"/>
      <c r="AW137" s="137">
        <f t="shared" si="38"/>
        <v>0</v>
      </c>
      <c r="AX137" s="137">
        <f t="shared" si="39"/>
        <v>0</v>
      </c>
    </row>
    <row r="138" ht="47.25" customHeight="1" spans="1:50" s="56" customFormat="1" x14ac:dyDescent="0.25">
      <c r="A138" s="100"/>
      <c r="B138" s="100"/>
      <c r="C138" s="100"/>
      <c r="D138" s="100"/>
      <c r="E138" s="100"/>
      <c r="F138" s="100"/>
      <c r="G138" s="103"/>
      <c r="H138" s="186"/>
      <c r="I138" s="195">
        <v>0.51</v>
      </c>
      <c r="J138" s="107">
        <v>0.49</v>
      </c>
      <c r="K138" s="107"/>
      <c r="L138" s="107"/>
      <c r="M138" s="187"/>
      <c r="N138" s="169">
        <f t="shared" si="28"/>
        <v>1</v>
      </c>
      <c r="O138" s="144">
        <v>1</v>
      </c>
      <c r="P138" s="145">
        <v>15</v>
      </c>
      <c r="Q138" s="113">
        <v>15</v>
      </c>
      <c r="R138" s="113"/>
      <c r="S138" s="113"/>
      <c r="T138" s="146"/>
      <c r="U138" s="148">
        <f t="shared" si="29"/>
        <v>15</v>
      </c>
      <c r="V138" s="149">
        <f t="shared" si="30"/>
        <v>15</v>
      </c>
      <c r="W138" s="189"/>
      <c r="X138" s="199"/>
      <c r="Y138" s="151"/>
      <c r="Z138" s="190"/>
      <c r="AA138" s="153"/>
      <c r="AB138" s="154">
        <f t="shared" si="31"/>
        <v>0</v>
      </c>
      <c r="AC138" s="149">
        <f t="shared" si="32"/>
        <v>0</v>
      </c>
      <c r="AD138" s="125">
        <v>2</v>
      </c>
      <c r="AE138" s="148">
        <f t="shared" si="33"/>
        <v>2</v>
      </c>
      <c r="AF138" s="156"/>
      <c r="AG138" s="156"/>
      <c r="AH138" s="113">
        <f t="shared" si="34"/>
        <v>17</v>
      </c>
      <c r="AI138" s="157">
        <v>65</v>
      </c>
      <c r="AJ138" s="113">
        <f t="shared" si="35"/>
        <v>82</v>
      </c>
      <c r="AK138" s="113">
        <f t="shared" si="36"/>
        <v>82</v>
      </c>
      <c r="AL138" s="158">
        <f t="shared" si="37"/>
        <v>1.02</v>
      </c>
      <c r="AM138" s="159"/>
      <c r="AN138" s="160">
        <f t="shared" si="40"/>
        <v>1</v>
      </c>
      <c r="AO138" s="160">
        <f t="shared" si="40"/>
        <v>2</v>
      </c>
      <c r="AP138" s="133"/>
      <c r="AQ138" s="134"/>
      <c r="AR138" s="161"/>
      <c r="AS138" s="161"/>
      <c r="AT138" s="161"/>
      <c r="AU138" s="161"/>
      <c r="AV138" s="162"/>
      <c r="AW138" s="137">
        <f t="shared" si="38"/>
        <v>0</v>
      </c>
      <c r="AX138" s="137">
        <f t="shared" si="39"/>
        <v>0</v>
      </c>
    </row>
    <row r="139" ht="46.5" customHeight="1" spans="1:50" s="97" customFormat="1" x14ac:dyDescent="0.25">
      <c r="A139" s="100"/>
      <c r="B139" s="100"/>
      <c r="C139" s="100"/>
      <c r="D139" s="100"/>
      <c r="E139" s="100"/>
      <c r="F139" s="100"/>
      <c r="G139" s="103"/>
      <c r="H139" s="186"/>
      <c r="I139" s="195">
        <v>0.51</v>
      </c>
      <c r="J139" s="107">
        <v>0.49</v>
      </c>
      <c r="K139" s="107"/>
      <c r="L139" s="107"/>
      <c r="M139" s="187"/>
      <c r="N139" s="169">
        <f t="shared" ref="N139:N142" si="41">SUM(I139:M139)</f>
        <v>1</v>
      </c>
      <c r="O139" s="144">
        <v>1</v>
      </c>
      <c r="P139" s="145">
        <v>15</v>
      </c>
      <c r="Q139" s="113">
        <v>15</v>
      </c>
      <c r="R139" s="113"/>
      <c r="S139" s="113"/>
      <c r="T139" s="146"/>
      <c r="U139" s="148">
        <f t="shared" ref="U139:U142" si="42">ROUND(((P139*I139)+(Q139*J139)+(R139*K139)+(S139*L139)+(T139*M139))*O139,2)</f>
        <v>15</v>
      </c>
      <c r="V139" s="149">
        <f t="shared" ref="V139:V142" si="43">IF(U139&gt;=15,15,U139)</f>
        <v>15</v>
      </c>
      <c r="W139" s="189"/>
      <c r="X139" s="199"/>
      <c r="Y139" s="151"/>
      <c r="Z139" s="190"/>
      <c r="AA139" s="153"/>
      <c r="AB139" s="154">
        <f t="shared" ref="AB139:AB142" si="44">ROUND((((W139*I139)+(X139*J139)+(Y139*K139)+(Z139*L139)+(AA139*M139))/$I$2),2)*13</f>
        <v>0</v>
      </c>
      <c r="AC139" s="149">
        <f t="shared" ref="AC139:AC142" si="45">IF(AB139&gt;=13,13,AB139)</f>
        <v>0</v>
      </c>
      <c r="AD139" s="125">
        <v>2</v>
      </c>
      <c r="AE139" s="148">
        <f t="shared" ref="AE139:AE142" si="46">IF((AC139+AD139)&gt;=15,15,(AC139+AD139))</f>
        <v>2</v>
      </c>
      <c r="AF139" s="156"/>
      <c r="AG139" s="156"/>
      <c r="AH139" s="113">
        <f t="shared" si="34"/>
        <v>17</v>
      </c>
      <c r="AI139" s="157">
        <v>65</v>
      </c>
      <c r="AJ139" s="113">
        <f t="shared" ref="AJ139:AJ142" si="47">V139+AE139+AF139+AI139+AG139</f>
        <v>82</v>
      </c>
      <c r="AK139" s="113">
        <f t="shared" si="36"/>
        <v>82</v>
      </c>
      <c r="AL139" s="158">
        <f t="shared" si="37"/>
        <v>1.02</v>
      </c>
      <c r="AM139" s="159"/>
      <c r="AN139" s="160">
        <f t="shared" si="40"/>
        <v>1</v>
      </c>
      <c r="AO139" s="160">
        <f t="shared" si="40"/>
        <v>2</v>
      </c>
      <c r="AP139" s="133"/>
      <c r="AQ139" s="134"/>
      <c r="AR139" s="161"/>
      <c r="AS139" s="161"/>
      <c r="AT139" s="161"/>
      <c r="AU139" s="161"/>
      <c r="AV139" s="162"/>
      <c r="AW139" s="137">
        <f t="shared" ref="AW139:AW142" si="48">AR139+AS139+AT139+AU139+AV139</f>
        <v>0</v>
      </c>
      <c r="AX139" s="137">
        <f t="shared" si="39"/>
        <v>0</v>
      </c>
    </row>
    <row r="140" ht="47.25" customHeight="1" spans="1:50" s="56" customFormat="1" x14ac:dyDescent="0.25">
      <c r="A140" s="100"/>
      <c r="B140" s="100"/>
      <c r="C140" s="100"/>
      <c r="D140" s="100"/>
      <c r="E140" s="100"/>
      <c r="F140" s="100"/>
      <c r="G140" s="103"/>
      <c r="H140" s="186"/>
      <c r="I140" s="195">
        <v>0.51</v>
      </c>
      <c r="J140" s="107">
        <v>0.49</v>
      </c>
      <c r="K140" s="107"/>
      <c r="L140" s="107"/>
      <c r="M140" s="187"/>
      <c r="N140" s="169">
        <f t="shared" si="41"/>
        <v>1</v>
      </c>
      <c r="O140" s="144">
        <v>1</v>
      </c>
      <c r="P140" s="145">
        <v>15</v>
      </c>
      <c r="Q140" s="113">
        <v>15</v>
      </c>
      <c r="R140" s="113"/>
      <c r="S140" s="113"/>
      <c r="T140" s="146"/>
      <c r="U140" s="148">
        <f t="shared" si="42"/>
        <v>15</v>
      </c>
      <c r="V140" s="149">
        <f t="shared" si="43"/>
        <v>15</v>
      </c>
      <c r="W140" s="189"/>
      <c r="X140" s="199"/>
      <c r="Y140" s="151"/>
      <c r="Z140" s="190"/>
      <c r="AA140" s="153"/>
      <c r="AB140" s="154">
        <f t="shared" si="44"/>
        <v>0</v>
      </c>
      <c r="AC140" s="149">
        <f t="shared" si="45"/>
        <v>0</v>
      </c>
      <c r="AD140" s="125">
        <v>2</v>
      </c>
      <c r="AE140" s="148">
        <f t="shared" si="46"/>
        <v>2</v>
      </c>
      <c r="AF140" s="156"/>
      <c r="AG140" s="156"/>
      <c r="AH140" s="113">
        <f t="shared" si="34"/>
        <v>17</v>
      </c>
      <c r="AI140" s="157">
        <v>65</v>
      </c>
      <c r="AJ140" s="113">
        <f t="shared" si="47"/>
        <v>82</v>
      </c>
      <c r="AK140" s="113">
        <f t="shared" si="36"/>
        <v>82</v>
      </c>
      <c r="AL140" s="158">
        <f t="shared" si="37"/>
        <v>1.02</v>
      </c>
      <c r="AM140" s="159"/>
      <c r="AN140" s="160">
        <f t="shared" si="40"/>
        <v>1</v>
      </c>
      <c r="AO140" s="160">
        <f t="shared" si="40"/>
        <v>2</v>
      </c>
      <c r="AP140" s="133"/>
      <c r="AQ140" s="134"/>
      <c r="AR140" s="161"/>
      <c r="AS140" s="161"/>
      <c r="AT140" s="161"/>
      <c r="AU140" s="161"/>
      <c r="AV140" s="162"/>
      <c r="AW140" s="137">
        <f t="shared" si="48"/>
        <v>0</v>
      </c>
      <c r="AX140" s="137">
        <f t="shared" si="39"/>
        <v>0</v>
      </c>
    </row>
    <row r="141" ht="47.25" customHeight="1" spans="1:50" s="97" customFormat="1" x14ac:dyDescent="0.25">
      <c r="A141" s="100"/>
      <c r="B141" s="100"/>
      <c r="C141" s="100"/>
      <c r="D141" s="100"/>
      <c r="E141" s="100"/>
      <c r="F141" s="100"/>
      <c r="G141" s="103"/>
      <c r="H141" s="186"/>
      <c r="I141" s="195">
        <v>0.51</v>
      </c>
      <c r="J141" s="107">
        <v>0.49</v>
      </c>
      <c r="K141" s="107"/>
      <c r="L141" s="107"/>
      <c r="M141" s="187"/>
      <c r="N141" s="169">
        <f t="shared" si="41"/>
        <v>1</v>
      </c>
      <c r="O141" s="144">
        <v>1</v>
      </c>
      <c r="P141" s="145">
        <v>15</v>
      </c>
      <c r="Q141" s="113">
        <v>15</v>
      </c>
      <c r="R141" s="113"/>
      <c r="S141" s="113"/>
      <c r="T141" s="146"/>
      <c r="U141" s="148">
        <f t="shared" si="42"/>
        <v>15</v>
      </c>
      <c r="V141" s="149">
        <f t="shared" si="43"/>
        <v>15</v>
      </c>
      <c r="W141" s="189"/>
      <c r="X141" s="199"/>
      <c r="Y141" s="151"/>
      <c r="Z141" s="190"/>
      <c r="AA141" s="153"/>
      <c r="AB141" s="154">
        <f t="shared" si="44"/>
        <v>0</v>
      </c>
      <c r="AC141" s="149">
        <f t="shared" si="45"/>
        <v>0</v>
      </c>
      <c r="AD141" s="125">
        <v>2</v>
      </c>
      <c r="AE141" s="148">
        <f t="shared" si="46"/>
        <v>2</v>
      </c>
      <c r="AF141" s="156"/>
      <c r="AG141" s="156"/>
      <c r="AH141" s="113">
        <f t="shared" si="34"/>
        <v>17</v>
      </c>
      <c r="AI141" s="157">
        <v>65</v>
      </c>
      <c r="AJ141" s="113">
        <f t="shared" si="47"/>
        <v>82</v>
      </c>
      <c r="AK141" s="113">
        <f t="shared" si="36"/>
        <v>82</v>
      </c>
      <c r="AL141" s="158">
        <f t="shared" si="37"/>
        <v>1.02</v>
      </c>
      <c r="AM141" s="159"/>
      <c r="AN141" s="160">
        <f t="shared" si="40"/>
        <v>1</v>
      </c>
      <c r="AO141" s="160">
        <f t="shared" si="40"/>
        <v>2</v>
      </c>
      <c r="AP141" s="133"/>
      <c r="AQ141" s="134"/>
      <c r="AR141" s="161"/>
      <c r="AS141" s="161"/>
      <c r="AT141" s="161"/>
      <c r="AU141" s="161"/>
      <c r="AV141" s="162"/>
      <c r="AW141" s="137">
        <f t="shared" si="48"/>
        <v>0</v>
      </c>
      <c r="AX141" s="137">
        <f t="shared" si="39"/>
        <v>0</v>
      </c>
    </row>
    <row r="142" ht="46.5" customHeight="1" spans="1:50" s="97" customFormat="1" x14ac:dyDescent="0.25">
      <c r="A142" s="100"/>
      <c r="B142" s="100"/>
      <c r="C142" s="100"/>
      <c r="D142" s="100"/>
      <c r="E142" s="100"/>
      <c r="F142" s="100"/>
      <c r="G142" s="103"/>
      <c r="H142" s="186"/>
      <c r="I142" s="195">
        <v>0.51</v>
      </c>
      <c r="J142" s="107">
        <v>0.49</v>
      </c>
      <c r="K142" s="107"/>
      <c r="L142" s="107"/>
      <c r="M142" s="187"/>
      <c r="N142" s="169">
        <f t="shared" si="41"/>
        <v>1</v>
      </c>
      <c r="O142" s="144">
        <v>1</v>
      </c>
      <c r="P142" s="145">
        <v>15</v>
      </c>
      <c r="Q142" s="113">
        <v>15</v>
      </c>
      <c r="R142" s="113"/>
      <c r="S142" s="113"/>
      <c r="T142" s="146"/>
      <c r="U142" s="148">
        <f t="shared" si="42"/>
        <v>15</v>
      </c>
      <c r="V142" s="149">
        <f t="shared" si="43"/>
        <v>15</v>
      </c>
      <c r="W142" s="189"/>
      <c r="X142" s="199"/>
      <c r="Y142" s="151"/>
      <c r="Z142" s="190"/>
      <c r="AA142" s="153"/>
      <c r="AB142" s="154">
        <f t="shared" si="44"/>
        <v>0</v>
      </c>
      <c r="AC142" s="149">
        <f t="shared" si="45"/>
        <v>0</v>
      </c>
      <c r="AD142" s="125">
        <v>2</v>
      </c>
      <c r="AE142" s="148">
        <f t="shared" si="46"/>
        <v>2</v>
      </c>
      <c r="AF142" s="156"/>
      <c r="AG142" s="156"/>
      <c r="AH142" s="113">
        <f t="shared" si="34"/>
        <v>17</v>
      </c>
      <c r="AI142" s="157">
        <v>65</v>
      </c>
      <c r="AJ142" s="113">
        <f t="shared" si="47"/>
        <v>82</v>
      </c>
      <c r="AK142" s="113">
        <f t="shared" si="36"/>
        <v>82</v>
      </c>
      <c r="AL142" s="158">
        <f t="shared" si="37"/>
        <v>1.02</v>
      </c>
      <c r="AM142" s="159"/>
      <c r="AN142" s="160">
        <f t="shared" si="40"/>
        <v>1</v>
      </c>
      <c r="AO142" s="160">
        <f t="shared" si="40"/>
        <v>2</v>
      </c>
      <c r="AP142" s="133"/>
      <c r="AQ142" s="134"/>
      <c r="AR142" s="161"/>
      <c r="AS142" s="161"/>
      <c r="AT142" s="161"/>
      <c r="AU142" s="161"/>
      <c r="AV142" s="162"/>
      <c r="AW142" s="137">
        <f t="shared" si="48"/>
        <v>0</v>
      </c>
      <c r="AX142" s="137">
        <f t="shared" si="39"/>
        <v>0</v>
      </c>
    </row>
  </sheetData>
  <mergeCells count="59">
    <mergeCell ref="D1:E1"/>
    <mergeCell ref="F1:G1"/>
    <mergeCell ref="I1:J1"/>
    <mergeCell ref="Y1:Z1"/>
    <mergeCell ref="AA1:AC1"/>
    <mergeCell ref="AD1:AE1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AG2:AH2"/>
    <mergeCell ref="AI2:AK2"/>
    <mergeCell ref="AS2:AT2"/>
    <mergeCell ref="C3:H3"/>
    <mergeCell ref="I3:M3"/>
    <mergeCell ref="P3:U3"/>
    <mergeCell ref="W3:AE3"/>
    <mergeCell ref="A3:A4"/>
    <mergeCell ref="B3:B4"/>
    <mergeCell ref="N3:N4"/>
    <mergeCell ref="O3:O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6:H6"/>
    <mergeCell ref="A8:H8"/>
    <mergeCell ref="A10:H10"/>
    <mergeCell ref="A12:H12"/>
    <mergeCell ref="A14:H14"/>
    <mergeCell ref="A16:H16"/>
    <mergeCell ref="A18:H18"/>
    <mergeCell ref="A20:H20"/>
    <mergeCell ref="A22:H22"/>
    <mergeCell ref="A24:H24"/>
    <mergeCell ref="A26:H26"/>
    <mergeCell ref="A28:H28"/>
    <mergeCell ref="A30:H30"/>
    <mergeCell ref="A32:H32"/>
    <mergeCell ref="A34:H34"/>
    <mergeCell ref="A36:H36"/>
    <mergeCell ref="A38:H38"/>
    <mergeCell ref="A40:H40"/>
    <mergeCell ref="A42:H42"/>
  </mergeCells>
  <pageMargins left="0.7" right="0.7" top="0.75" bottom="0.75" header="0.3" footer="0.3"/>
  <pageSetup paperSize="9" orientation="portrait" horizontalDpi="4294967295" verticalDpi="4294967295" scale="40" fitToWidth="1" fitToHeight="1" firstPageNumber="1" useFirstPageNumber="1" copies="1"/>
</worksheet>
</file>

<file path=xl/worksheets/sheet8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48"/>
  <sheetViews>
    <sheetView workbookViewId="0" zoomScale="80" zoomScaleNormal="80">
      <selection activeCell="J16" sqref="J16"/>
    </sheetView>
  </sheetViews>
  <sheetFormatPr defaultRowHeight="13.5" outlineLevelRow="0" outlineLevelCol="0" x14ac:dyDescent="0.15" defaultColWidth="8.88671875" customHeight="1"/>
  <cols>
    <col min="1" max="1" width="5.33203125" style="1" customWidth="1"/>
    <col min="2" max="2" width="5.109375" style="2" customWidth="1"/>
    <col min="3" max="3" width="8.33203125" style="3" customWidth="1"/>
    <col min="4" max="7" width="8.33203125" style="1" customWidth="1"/>
    <col min="8" max="13" width="8.109375" style="1" customWidth="1"/>
    <col min="14" max="14" width="8.33203125" style="1" customWidth="1"/>
    <col min="15" max="15" width="5.88671875" style="1" customWidth="1"/>
    <col min="16" max="21" width="7.5546875" style="1" customWidth="1"/>
    <col min="22" max="22" width="7.6640625" style="4" hidden="1" customWidth="1"/>
    <col min="23" max="27" width="8.33203125" style="1" customWidth="1"/>
    <col min="28" max="28" width="7.6640625" style="1" customWidth="1"/>
    <col min="29" max="29" width="7.6640625" style="4" hidden="1" customWidth="1"/>
    <col min="30" max="31" width="7.6640625" style="4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 customWidth="1"/>
    <col min="49" max="50" width="15.109375" style="1" customWidth="1"/>
    <col min="51" max="16384" width="8.88671875" style="1" customWidth="1"/>
  </cols>
  <sheetData>
    <row r="1" ht="32.25" customHeight="1" spans="3:42" x14ac:dyDescent="0.25">
      <c r="C1" s="5" t="s">
        <v>0</v>
      </c>
      <c r="D1" s="6" t="s">
        <v>179</v>
      </c>
      <c r="E1" s="7"/>
      <c r="F1" s="6"/>
      <c r="G1" s="7"/>
      <c r="H1" s="8" t="s">
        <v>1</v>
      </c>
      <c r="I1" s="9">
        <v>5831661000</v>
      </c>
      <c r="J1" s="9"/>
      <c r="K1" s="10" t="s">
        <v>180</v>
      </c>
      <c r="L1" s="11"/>
      <c r="M1" s="11"/>
      <c r="N1" s="12"/>
      <c r="O1" s="12"/>
      <c r="P1" s="12"/>
      <c r="Q1" s="12"/>
      <c r="R1" s="12"/>
      <c r="S1" s="12"/>
      <c r="T1" s="12"/>
      <c r="U1" s="12"/>
      <c r="V1" s="12"/>
      <c r="W1" s="12"/>
      <c r="X1" s="13"/>
      <c r="Y1" s="14" t="s">
        <v>3</v>
      </c>
      <c r="Z1" s="14"/>
      <c r="AA1" s="15" t="s">
        <v>4</v>
      </c>
      <c r="AB1" s="16"/>
      <c r="AC1" s="17"/>
      <c r="AD1" s="18" t="s">
        <v>5</v>
      </c>
      <c r="AE1" s="19"/>
      <c r="AF1" s="20"/>
      <c r="AG1" s="21" t="s">
        <v>6</v>
      </c>
      <c r="AH1" s="22"/>
      <c r="AI1" s="23">
        <v>3551490000</v>
      </c>
      <c r="AJ1" s="24"/>
      <c r="AK1" s="24"/>
      <c r="AL1" s="25" t="s">
        <v>7</v>
      </c>
      <c r="AM1" s="26"/>
      <c r="AN1" s="26"/>
      <c r="AO1" s="26"/>
      <c r="AP1" s="12"/>
    </row>
    <row r="2" ht="29.25" customHeight="1" spans="1:49" s="27" customFormat="1" x14ac:dyDescent="0.25">
      <c r="A2" s="20"/>
      <c r="B2" s="28"/>
      <c r="C2" s="29" t="s">
        <v>8</v>
      </c>
      <c r="D2" s="30">
        <v>3906639000</v>
      </c>
      <c r="E2" s="31"/>
      <c r="F2" s="32"/>
      <c r="G2" s="33"/>
      <c r="H2" s="5" t="s">
        <v>9</v>
      </c>
      <c r="I2" s="34">
        <f>D2*1</f>
        <v>3906639000</v>
      </c>
      <c r="J2" s="32"/>
      <c r="K2" s="35" t="s">
        <v>10</v>
      </c>
      <c r="L2" s="36" t="s">
        <v>11</v>
      </c>
      <c r="M2" s="37">
        <v>45930.45833333333</v>
      </c>
      <c r="N2" s="37"/>
      <c r="O2" s="37"/>
      <c r="P2" s="37"/>
      <c r="Q2" s="38" t="s">
        <v>84</v>
      </c>
      <c r="R2" s="38"/>
      <c r="S2" s="38"/>
      <c r="T2" s="39"/>
      <c r="U2" s="40"/>
      <c r="V2" s="40"/>
      <c r="W2" s="41"/>
      <c r="X2" s="42"/>
      <c r="Y2" s="202">
        <v>2958370000</v>
      </c>
      <c r="Z2" s="202"/>
      <c r="AA2" s="44">
        <f>I1</f>
        <v>5831661000</v>
      </c>
      <c r="AB2" s="45"/>
      <c r="AC2" s="46"/>
      <c r="AD2" s="47">
        <f>TRUNC(Y2/AA2,4)</f>
        <v>0.5072</v>
      </c>
      <c r="AE2" s="48"/>
      <c r="AF2" s="49"/>
      <c r="AG2" s="21" t="s">
        <v>13</v>
      </c>
      <c r="AH2" s="22"/>
      <c r="AI2" s="23"/>
      <c r="AJ2" s="24"/>
      <c r="AK2" s="24"/>
      <c r="AL2" s="50"/>
      <c r="AM2" s="50"/>
      <c r="AN2" s="51" t="s">
        <v>14</v>
      </c>
      <c r="AP2" s="1"/>
      <c r="AQ2" s="1"/>
      <c r="AR2" s="52" t="s">
        <v>15</v>
      </c>
      <c r="AS2" s="53">
        <f>AI1</f>
        <v>3551490000</v>
      </c>
      <c r="AT2" s="54"/>
      <c r="AW2" s="55"/>
    </row>
    <row r="3" ht="24.95" customHeight="1" spans="1:50" s="56" customFormat="1" x14ac:dyDescent="0.25">
      <c r="A3" s="57" t="s">
        <v>16</v>
      </c>
      <c r="B3" s="58" t="s">
        <v>17</v>
      </c>
      <c r="C3" s="59" t="s">
        <v>18</v>
      </c>
      <c r="D3" s="60"/>
      <c r="E3" s="60"/>
      <c r="F3" s="60"/>
      <c r="G3" s="60"/>
      <c r="H3" s="61"/>
      <c r="I3" s="59" t="s">
        <v>19</v>
      </c>
      <c r="J3" s="60"/>
      <c r="K3" s="60"/>
      <c r="L3" s="60"/>
      <c r="M3" s="61"/>
      <c r="N3" s="62" t="s">
        <v>20</v>
      </c>
      <c r="O3" s="63" t="s">
        <v>21</v>
      </c>
      <c r="P3" s="59" t="s">
        <v>22</v>
      </c>
      <c r="Q3" s="60"/>
      <c r="R3" s="64"/>
      <c r="S3" s="64"/>
      <c r="T3" s="60"/>
      <c r="U3" s="61"/>
      <c r="V3" s="65"/>
      <c r="W3" s="59" t="s">
        <v>181</v>
      </c>
      <c r="X3" s="60"/>
      <c r="Y3" s="60"/>
      <c r="Z3" s="60"/>
      <c r="AA3" s="60"/>
      <c r="AB3" s="60"/>
      <c r="AC3" s="60"/>
      <c r="AD3" s="60"/>
      <c r="AE3" s="61"/>
      <c r="AF3" s="60"/>
      <c r="AG3" s="60"/>
      <c r="AH3" s="60"/>
      <c r="AI3" s="60"/>
      <c r="AJ3" s="60"/>
      <c r="AK3" s="61"/>
      <c r="AL3" s="66" t="s">
        <v>24</v>
      </c>
      <c r="AM3" s="67" t="s">
        <v>25</v>
      </c>
      <c r="AN3" s="68" t="s">
        <v>26</v>
      </c>
      <c r="AO3" s="69" t="s">
        <v>27</v>
      </c>
      <c r="AP3" s="70" t="s">
        <v>28</v>
      </c>
      <c r="AQ3" s="65" t="s">
        <v>29</v>
      </c>
      <c r="AR3" s="67" t="s">
        <v>30</v>
      </c>
      <c r="AS3" s="65" t="s">
        <v>31</v>
      </c>
      <c r="AT3" s="65" t="s">
        <v>32</v>
      </c>
      <c r="AU3" s="65" t="s">
        <v>33</v>
      </c>
      <c r="AV3" s="71" t="s">
        <v>34</v>
      </c>
      <c r="AW3" s="65" t="s">
        <v>35</v>
      </c>
      <c r="AX3" s="65" t="s">
        <v>36</v>
      </c>
    </row>
    <row r="4" ht="39.75" customHeight="1" spans="1:50" s="56" customFormat="1" x14ac:dyDescent="0.25">
      <c r="A4" s="72"/>
      <c r="B4" s="73"/>
      <c r="C4" s="74" t="s">
        <v>37</v>
      </c>
      <c r="D4" s="75" t="s">
        <v>38</v>
      </c>
      <c r="E4" s="76" t="s">
        <v>39</v>
      </c>
      <c r="F4" s="76" t="s">
        <v>40</v>
      </c>
      <c r="G4" s="77" t="s">
        <v>41</v>
      </c>
      <c r="H4" s="65"/>
      <c r="I4" s="78" t="s">
        <v>37</v>
      </c>
      <c r="J4" s="79" t="s">
        <v>38</v>
      </c>
      <c r="K4" s="75" t="s">
        <v>39</v>
      </c>
      <c r="L4" s="75" t="s">
        <v>40</v>
      </c>
      <c r="M4" s="80" t="s">
        <v>41</v>
      </c>
      <c r="N4" s="81"/>
      <c r="O4" s="82"/>
      <c r="P4" s="78" t="s">
        <v>37</v>
      </c>
      <c r="Q4" s="79" t="s">
        <v>38</v>
      </c>
      <c r="R4" s="75" t="s">
        <v>39</v>
      </c>
      <c r="S4" s="75" t="s">
        <v>40</v>
      </c>
      <c r="T4" s="80" t="s">
        <v>41</v>
      </c>
      <c r="U4" s="83" t="s">
        <v>42</v>
      </c>
      <c r="V4" s="84" t="s">
        <v>43</v>
      </c>
      <c r="W4" s="85" t="s">
        <v>37</v>
      </c>
      <c r="X4" s="79" t="s">
        <v>38</v>
      </c>
      <c r="Y4" s="79" t="s">
        <v>39</v>
      </c>
      <c r="Z4" s="79" t="s">
        <v>40</v>
      </c>
      <c r="AA4" s="80" t="s">
        <v>41</v>
      </c>
      <c r="AB4" s="86" t="s">
        <v>44</v>
      </c>
      <c r="AC4" s="87" t="s">
        <v>45</v>
      </c>
      <c r="AD4" s="88" t="s">
        <v>46</v>
      </c>
      <c r="AE4" s="88" t="s">
        <v>47</v>
      </c>
      <c r="AF4" s="89" t="s">
        <v>48</v>
      </c>
      <c r="AG4" s="89" t="s">
        <v>49</v>
      </c>
      <c r="AH4" s="90" t="s">
        <v>50</v>
      </c>
      <c r="AI4" s="91" t="s">
        <v>51</v>
      </c>
      <c r="AJ4" s="91"/>
      <c r="AK4" s="91" t="s">
        <v>52</v>
      </c>
      <c r="AL4" s="92"/>
      <c r="AM4" s="93"/>
      <c r="AN4" s="94"/>
      <c r="AO4" s="95"/>
      <c r="AP4" s="70"/>
      <c r="AQ4" s="65"/>
      <c r="AR4" s="93"/>
      <c r="AS4" s="65"/>
      <c r="AT4" s="65"/>
      <c r="AU4" s="65"/>
      <c r="AV4" s="96"/>
      <c r="AW4" s="65"/>
      <c r="AX4" s="65"/>
    </row>
    <row r="5" ht="46.5" customHeight="1" spans="1:50" s="97" customFormat="1" x14ac:dyDescent="0.25">
      <c r="A5" s="98">
        <v>1</v>
      </c>
      <c r="B5" s="99" t="s">
        <v>53</v>
      </c>
      <c r="C5" s="203" t="s">
        <v>54</v>
      </c>
      <c r="D5" s="102"/>
      <c r="E5" s="102"/>
      <c r="F5" s="102"/>
      <c r="G5" s="103"/>
      <c r="H5" s="104"/>
      <c r="I5" s="105">
        <v>1</v>
      </c>
      <c r="J5" s="106"/>
      <c r="K5" s="107"/>
      <c r="L5" s="108"/>
      <c r="M5" s="109"/>
      <c r="N5" s="110">
        <f>SUM(I5:M5)</f>
        <v>1</v>
      </c>
      <c r="O5" s="111">
        <v>1</v>
      </c>
      <c r="P5" s="112">
        <v>15</v>
      </c>
      <c r="Q5" s="113"/>
      <c r="R5" s="112"/>
      <c r="S5" s="114"/>
      <c r="T5" s="115"/>
      <c r="U5" s="116">
        <f>ROUND(((P5*I5)+(Q5*J5)+(R5*K5)+(S5*L5)+(T5*M5))*O5,2)</f>
        <v>15</v>
      </c>
      <c r="V5" s="117">
        <f>IF(U5&gt;=15,15,U5)</f>
        <v>15</v>
      </c>
      <c r="W5" s="204">
        <v>59183685000</v>
      </c>
      <c r="X5" s="119"/>
      <c r="Y5" s="120"/>
      <c r="Z5" s="121"/>
      <c r="AA5" s="122"/>
      <c r="AB5" s="123">
        <f>ROUND((((W5*I5)+(X5*J5)+(Y5*K5)+(Z5*L5)+(AA5*M5))/$I$2),2)*13</f>
        <v>196.95000000000002</v>
      </c>
      <c r="AC5" s="124">
        <f>IF(AB5&gt;=13,13,AB5)</f>
        <v>13</v>
      </c>
      <c r="AD5" s="125">
        <v>5</v>
      </c>
      <c r="AE5" s="116">
        <f>IF((AC5+AD5)&gt;=15,15,(AC5+AD5))</f>
        <v>15</v>
      </c>
      <c r="AF5" s="126"/>
      <c r="AG5" s="127">
        <v>3.08</v>
      </c>
      <c r="AH5" s="128">
        <f>IF((V5+AE5+AF5)&gt;=30,30,(V5+AE5+AF5))</f>
        <v>30</v>
      </c>
      <c r="AI5" s="129">
        <v>65</v>
      </c>
      <c r="AJ5" s="128">
        <f>V5+AE5+AF5+AI5+AG5</f>
        <v>98.08</v>
      </c>
      <c r="AK5" s="128">
        <f>IF(AH5+AI5+AG5&gt;=95,95,AH5+AI5+AG5)</f>
        <v>95</v>
      </c>
      <c r="AL5" s="130">
        <f>-((50-((176+(45+(50-AH5)))))/200)</f>
        <v>0.955</v>
      </c>
      <c r="AM5" s="131"/>
      <c r="AN5" s="132">
        <f>100%+AM5</f>
        <v>1</v>
      </c>
      <c r="AO5" s="132">
        <f>100%+AN5</f>
        <v>2</v>
      </c>
      <c r="AP5" s="133"/>
      <c r="AQ5" s="134"/>
      <c r="AR5" s="135"/>
      <c r="AS5" s="135"/>
      <c r="AT5" s="135"/>
      <c r="AU5" s="135"/>
      <c r="AV5" s="136"/>
      <c r="AW5" s="137">
        <f>AR5+AS5+AT5+AU5+AV5</f>
        <v>0</v>
      </c>
      <c r="AX5" s="137">
        <f>(AR5*I5)+(AS5*J5)+(AT5*K5)+(AU5*L5)+(AV5*M5)</f>
        <v>0</v>
      </c>
    </row>
    <row r="6" ht="21.95" customHeight="1" spans="1:50" s="97" customFormat="1" x14ac:dyDescent="0.25">
      <c r="A6" s="138" t="s">
        <v>56</v>
      </c>
      <c r="B6" s="139"/>
      <c r="C6" s="139"/>
      <c r="D6" s="139"/>
      <c r="E6" s="139"/>
      <c r="F6" s="139"/>
      <c r="G6" s="139"/>
      <c r="H6" s="140"/>
      <c r="I6" s="141">
        <v>93.38</v>
      </c>
      <c r="J6" s="142"/>
      <c r="K6" s="142"/>
      <c r="L6" s="142"/>
      <c r="M6" s="142"/>
      <c r="N6" s="143">
        <f>I6*I5+J6*J5+K6*K5+L6*L5+M6*M5</f>
        <v>93.38</v>
      </c>
      <c r="O6" s="144"/>
      <c r="P6" s="145"/>
      <c r="Q6" s="113"/>
      <c r="R6" s="113"/>
      <c r="S6" s="146"/>
      <c r="T6" s="147"/>
      <c r="U6" s="148"/>
      <c r="V6" s="149"/>
      <c r="W6" s="150"/>
      <c r="X6" s="151"/>
      <c r="Y6" s="152"/>
      <c r="Z6" s="151"/>
      <c r="AA6" s="153"/>
      <c r="AB6" s="154"/>
      <c r="AC6" s="149"/>
      <c r="AD6" s="148"/>
      <c r="AE6" s="148"/>
      <c r="AF6" s="155"/>
      <c r="AG6" s="156"/>
      <c r="AH6" s="113"/>
      <c r="AI6" s="157"/>
      <c r="AJ6" s="113"/>
      <c r="AK6" s="113"/>
      <c r="AL6" s="158"/>
      <c r="AM6" s="159"/>
      <c r="AN6" s="160"/>
      <c r="AO6" s="160"/>
      <c r="AP6" s="133"/>
      <c r="AQ6" s="134"/>
      <c r="AR6" s="161"/>
      <c r="AS6" s="161"/>
      <c r="AT6" s="161"/>
      <c r="AU6" s="161"/>
      <c r="AV6" s="162"/>
      <c r="AW6" s="137"/>
      <c r="AX6" s="137"/>
    </row>
    <row r="7" ht="46.5" customHeight="1" spans="1:50" s="97" customFormat="1" x14ac:dyDescent="0.25">
      <c r="A7" s="98">
        <v>2</v>
      </c>
      <c r="B7" s="99" t="s">
        <v>53</v>
      </c>
      <c r="C7" s="205" t="s">
        <v>66</v>
      </c>
      <c r="D7" s="102"/>
      <c r="E7" s="102"/>
      <c r="F7" s="163"/>
      <c r="G7" s="164"/>
      <c r="H7" s="165"/>
      <c r="I7" s="166">
        <v>1</v>
      </c>
      <c r="J7" s="107"/>
      <c r="K7" s="107"/>
      <c r="L7" s="167"/>
      <c r="M7" s="168"/>
      <c r="N7" s="169">
        <f>SUM(I7:M7)</f>
        <v>1</v>
      </c>
      <c r="O7" s="144">
        <v>1</v>
      </c>
      <c r="P7" s="112">
        <v>15</v>
      </c>
      <c r="Q7" s="113"/>
      <c r="R7" s="112"/>
      <c r="S7" s="113"/>
      <c r="T7" s="147"/>
      <c r="U7" s="148">
        <f>ROUND(((P7*I7)+(Q7*J7)+(R7*K7)+(S7*L7)+(T7*M7))*O7,2)</f>
        <v>15</v>
      </c>
      <c r="V7" s="149">
        <f>IF(U7&gt;=15,15,U7)</f>
        <v>15</v>
      </c>
      <c r="W7" s="120">
        <v>14977246000</v>
      </c>
      <c r="X7" s="120"/>
      <c r="Y7" s="120"/>
      <c r="Z7" s="151"/>
      <c r="AA7" s="153"/>
      <c r="AB7" s="154">
        <f>ROUND((((W7*I7)+(X7*J7)+(Y7*K7)+(Z7*L7)+(AA7*M7))/$I$2),2)*13</f>
        <v>49.79</v>
      </c>
      <c r="AC7" s="149">
        <f>IF(AB7&gt;=13,13,AB7)</f>
        <v>13</v>
      </c>
      <c r="AD7" s="125">
        <v>2</v>
      </c>
      <c r="AE7" s="148">
        <f>IF((AC7+AD7)&gt;=15,15,(AC7+AD7))</f>
        <v>15</v>
      </c>
      <c r="AF7" s="155"/>
      <c r="AG7" s="127">
        <v>3.08</v>
      </c>
      <c r="AH7" s="113">
        <f>IF((V7+AE7+AF7)&gt;=30,30,(V7+AE7+AF7))</f>
        <v>30</v>
      </c>
      <c r="AI7" s="157">
        <v>65</v>
      </c>
      <c r="AJ7" s="113">
        <f>V7+AE7+AF7+AI7+AG7</f>
        <v>98.08</v>
      </c>
      <c r="AK7" s="113">
        <f>IF(AH7+AI7+AG7&gt;=95,95,AH7+AI7+AG7)</f>
        <v>95</v>
      </c>
      <c r="AL7" s="158">
        <f>-((50-((176+(45+(50-AH7)))))/200)</f>
        <v>0.955</v>
      </c>
      <c r="AM7" s="159"/>
      <c r="AN7" s="160">
        <f>100%+AM7</f>
        <v>1</v>
      </c>
      <c r="AO7" s="160">
        <f>100%+AN7</f>
        <v>2</v>
      </c>
      <c r="AP7" s="133"/>
      <c r="AQ7" s="134"/>
      <c r="AR7" s="161"/>
      <c r="AS7" s="161"/>
      <c r="AT7" s="161"/>
      <c r="AU7" s="161"/>
      <c r="AV7" s="162"/>
      <c r="AW7" s="137">
        <f>AR7+AS7+AT7+AU7+AV7</f>
        <v>0</v>
      </c>
      <c r="AX7" s="137">
        <f>(AR7*I7)+(AS7*J7)+(AT7*K7)+(AU7*L7)+(AV7*M7)</f>
        <v>0</v>
      </c>
    </row>
    <row r="8" ht="21.95" customHeight="1" spans="1:50" s="97" customFormat="1" x14ac:dyDescent="0.25">
      <c r="A8" s="138" t="s">
        <v>56</v>
      </c>
      <c r="B8" s="139"/>
      <c r="C8" s="139"/>
      <c r="D8" s="139"/>
      <c r="E8" s="139"/>
      <c r="F8" s="139"/>
      <c r="G8" s="139"/>
      <c r="H8" s="140"/>
      <c r="I8" s="142">
        <v>85</v>
      </c>
      <c r="J8" s="181"/>
      <c r="K8" s="142"/>
      <c r="L8" s="142"/>
      <c r="M8" s="142"/>
      <c r="N8" s="170">
        <f>I8*I7+J8*J7+K8*K7+L8*L7+M8*M7</f>
        <v>85</v>
      </c>
      <c r="O8" s="144"/>
      <c r="P8" s="145"/>
      <c r="Q8" s="113"/>
      <c r="R8" s="113"/>
      <c r="S8" s="146"/>
      <c r="T8" s="147"/>
      <c r="U8" s="148"/>
      <c r="V8" s="149"/>
      <c r="W8" s="150"/>
      <c r="X8" s="151"/>
      <c r="Y8" s="152"/>
      <c r="Z8" s="151"/>
      <c r="AA8" s="153"/>
      <c r="AB8" s="154"/>
      <c r="AC8" s="149"/>
      <c r="AD8" s="148"/>
      <c r="AE8" s="148"/>
      <c r="AF8" s="155"/>
      <c r="AG8" s="156"/>
      <c r="AH8" s="113"/>
      <c r="AI8" s="157"/>
      <c r="AJ8" s="113"/>
      <c r="AK8" s="113"/>
      <c r="AL8" s="158"/>
      <c r="AM8" s="159"/>
      <c r="AN8" s="160"/>
      <c r="AO8" s="160"/>
      <c r="AP8" s="133"/>
      <c r="AQ8" s="134"/>
      <c r="AR8" s="161"/>
      <c r="AS8" s="161"/>
      <c r="AT8" s="161"/>
      <c r="AU8" s="161"/>
      <c r="AV8" s="162"/>
      <c r="AW8" s="137"/>
      <c r="AX8" s="137"/>
    </row>
    <row r="9" ht="46.5" customHeight="1" spans="1:50" s="97" customFormat="1" x14ac:dyDescent="0.25">
      <c r="A9" s="98">
        <v>3</v>
      </c>
      <c r="B9" s="99" t="s">
        <v>53</v>
      </c>
      <c r="C9" s="205" t="s">
        <v>59</v>
      </c>
      <c r="D9" s="102"/>
      <c r="E9" s="102"/>
      <c r="F9" s="163"/>
      <c r="G9" s="103"/>
      <c r="H9" s="171"/>
      <c r="I9" s="166">
        <v>1</v>
      </c>
      <c r="J9" s="107"/>
      <c r="K9" s="107"/>
      <c r="L9" s="167"/>
      <c r="M9" s="168"/>
      <c r="N9" s="169">
        <f>SUM(I9:M9)</f>
        <v>1</v>
      </c>
      <c r="O9" s="144">
        <v>1</v>
      </c>
      <c r="P9" s="112">
        <v>15</v>
      </c>
      <c r="Q9" s="112"/>
      <c r="R9" s="112"/>
      <c r="S9" s="146"/>
      <c r="T9" s="147"/>
      <c r="U9" s="148">
        <f>ROUND(((P9*I9)+(Q9*J9)+(R9*K9)+(S9*L9)+(T9*M9))*O9,2)</f>
        <v>15</v>
      </c>
      <c r="V9" s="149">
        <f>IF(U9&gt;=15,15,U9)</f>
        <v>15</v>
      </c>
      <c r="W9" s="206">
        <v>39361754000</v>
      </c>
      <c r="X9" s="120"/>
      <c r="Y9" s="120"/>
      <c r="Z9" s="151"/>
      <c r="AA9" s="153"/>
      <c r="AB9" s="154">
        <f>ROUND((((W9*I9)+(X9*J9)+(Y9*K9)+(Z9*L9)+(AA9*M9))/$I$2),2)*13</f>
        <v>131.04</v>
      </c>
      <c r="AC9" s="149">
        <f>IF(AB9&gt;=13,13,AB9)</f>
        <v>13</v>
      </c>
      <c r="AD9" s="125">
        <v>5</v>
      </c>
      <c r="AE9" s="148">
        <f>IF((AC9+AD9)&gt;=15,15,(AC9+AD9))</f>
        <v>15</v>
      </c>
      <c r="AF9" s="155"/>
      <c r="AG9" s="127">
        <v>3.08</v>
      </c>
      <c r="AH9" s="113">
        <f>IF((V9+AE9+AF9)&gt;=30,30,(V9+AE9+AF9))</f>
        <v>30</v>
      </c>
      <c r="AI9" s="157">
        <v>65</v>
      </c>
      <c r="AJ9" s="113">
        <f>V9+AE9+AF9+AI9+AG9</f>
        <v>98.08</v>
      </c>
      <c r="AK9" s="113">
        <f>IF(AH9+AI9+AG9&gt;=95,95,AH9+AI9+AG9)</f>
        <v>95</v>
      </c>
      <c r="AL9" s="158">
        <f>-((50-((176+(45+(50-AH9)))))/200)</f>
        <v>0.955</v>
      </c>
      <c r="AM9" s="159"/>
      <c r="AN9" s="160">
        <f>100%+AM9</f>
        <v>1</v>
      </c>
      <c r="AO9" s="160">
        <f>100%+AN9</f>
        <v>2</v>
      </c>
      <c r="AP9" s="133"/>
      <c r="AQ9" s="134"/>
      <c r="AR9" s="161"/>
      <c r="AS9" s="161"/>
      <c r="AT9" s="161"/>
      <c r="AU9" s="161"/>
      <c r="AV9" s="162"/>
      <c r="AW9" s="172">
        <f>AR9+AS9+AT9+AU9+AV9</f>
        <v>0</v>
      </c>
      <c r="AX9" s="172">
        <f>(AR9*I9)+(AS9*J9)+(AT9*K9)+(AU9*L9)+(AV9*M9)</f>
        <v>0</v>
      </c>
    </row>
    <row r="10" ht="21.95" customHeight="1" spans="1:50" s="97" customFormat="1" x14ac:dyDescent="0.25">
      <c r="A10" s="138" t="s">
        <v>56</v>
      </c>
      <c r="B10" s="139"/>
      <c r="C10" s="139"/>
      <c r="D10" s="139"/>
      <c r="E10" s="139"/>
      <c r="F10" s="139"/>
      <c r="G10" s="139"/>
      <c r="H10" s="140"/>
      <c r="I10" s="141">
        <v>90.73</v>
      </c>
      <c r="J10" s="142"/>
      <c r="K10" s="142"/>
      <c r="L10" s="142"/>
      <c r="M10" s="142"/>
      <c r="N10" s="170">
        <f>I10*I9+J10*J9+K10*K9+L10*L9+M10*M9</f>
        <v>90.73</v>
      </c>
      <c r="O10" s="144"/>
      <c r="P10" s="145"/>
      <c r="Q10" s="113"/>
      <c r="R10" s="113"/>
      <c r="S10" s="146"/>
      <c r="T10" s="147"/>
      <c r="U10" s="148"/>
      <c r="V10" s="149"/>
      <c r="W10" s="150"/>
      <c r="X10" s="151"/>
      <c r="Y10" s="152"/>
      <c r="Z10" s="151"/>
      <c r="AA10" s="153"/>
      <c r="AB10" s="154"/>
      <c r="AC10" s="149"/>
      <c r="AD10" s="148"/>
      <c r="AE10" s="148"/>
      <c r="AF10" s="155"/>
      <c r="AG10" s="156"/>
      <c r="AH10" s="113"/>
      <c r="AI10" s="157"/>
      <c r="AJ10" s="113"/>
      <c r="AK10" s="113"/>
      <c r="AL10" s="158"/>
      <c r="AM10" s="159"/>
      <c r="AN10" s="160"/>
      <c r="AO10" s="160"/>
      <c r="AP10" s="133"/>
      <c r="AQ10" s="134"/>
      <c r="AR10" s="161"/>
      <c r="AS10" s="161"/>
      <c r="AT10" s="161"/>
      <c r="AU10" s="161"/>
      <c r="AV10" s="162"/>
      <c r="AW10" s="137"/>
      <c r="AX10" s="137"/>
    </row>
    <row r="11" ht="46.5" customHeight="1" spans="1:50" s="97" customFormat="1" x14ac:dyDescent="0.25">
      <c r="A11" s="98">
        <v>4</v>
      </c>
      <c r="B11" s="99" t="s">
        <v>53</v>
      </c>
      <c r="C11" s="205" t="s">
        <v>57</v>
      </c>
      <c r="D11" s="102"/>
      <c r="E11" s="100"/>
      <c r="F11" s="163"/>
      <c r="G11" s="103"/>
      <c r="H11" s="171"/>
      <c r="I11" s="166">
        <v>1</v>
      </c>
      <c r="J11" s="175"/>
      <c r="K11" s="107"/>
      <c r="L11" s="176"/>
      <c r="M11" s="168"/>
      <c r="N11" s="169">
        <f t="shared" ref="N11:N54" si="0">SUM(I11:M11)</f>
        <v>1</v>
      </c>
      <c r="O11" s="144">
        <v>1</v>
      </c>
      <c r="P11" s="112">
        <v>15</v>
      </c>
      <c r="Q11" s="178"/>
      <c r="R11" s="178"/>
      <c r="S11" s="113"/>
      <c r="T11" s="147"/>
      <c r="U11" s="148">
        <f t="shared" ref="U11:U86" si="1">ROUND(((P11*I11)+(Q11*J11)+(R11*K11)+(S11*L11)+(T11*M11))*O11,2)</f>
        <v>15</v>
      </c>
      <c r="V11" s="149">
        <f t="shared" ref="V11:V86" si="2">IF(U11&gt;=15,15,U11)</f>
        <v>15</v>
      </c>
      <c r="W11" s="206">
        <v>34748832000</v>
      </c>
      <c r="X11" s="120"/>
      <c r="Y11" s="120"/>
      <c r="Z11" s="151"/>
      <c r="AA11" s="153"/>
      <c r="AB11" s="154">
        <f t="shared" ref="AB11:AB86" si="3">ROUND((((W11*I11)+(X11*J11)+(Y11*K11)+(Z11*L11)+(AA11*M11))/$I$2),2)*13</f>
        <v>115.57000000000001</v>
      </c>
      <c r="AC11" s="149">
        <f t="shared" ref="AC11:AC86" si="4">IF(AB11&gt;=13,13,AB11)</f>
        <v>13</v>
      </c>
      <c r="AD11" s="125">
        <v>2</v>
      </c>
      <c r="AE11" s="148">
        <f t="shared" ref="AE11:AE86" si="5">IF((AC11+AD11)&gt;=15,15,(AC11+AD11))</f>
        <v>15</v>
      </c>
      <c r="AF11" s="207"/>
      <c r="AG11" s="127">
        <v>3.08</v>
      </c>
      <c r="AH11" s="113">
        <f t="shared" ref="AH11:AH86" si="6">IF((V11+AE11+AF11)&gt;=30,30,(V11+AE11+AF11))</f>
        <v>30</v>
      </c>
      <c r="AI11" s="157">
        <v>65</v>
      </c>
      <c r="AJ11" s="113">
        <f t="shared" ref="AJ11:AJ86" si="7">V11+AE11+AF11+AI11+AG11</f>
        <v>98.08</v>
      </c>
      <c r="AK11" s="113">
        <f t="shared" ref="AK11:AK86" si="8">IF(AH11+AI11+AG11&gt;=95,95,AH11+AI11+AG11)</f>
        <v>95</v>
      </c>
      <c r="AL11" s="158">
        <f t="shared" ref="AL11:AL86" si="9">-((50-((176+(45+(50-AH11)))))/200)</f>
        <v>0.955</v>
      </c>
      <c r="AM11" s="159"/>
      <c r="AN11" s="160">
        <f t="shared" ref="AN11:AO40" si="10">100%+AM11</f>
        <v>1</v>
      </c>
      <c r="AO11" s="160">
        <f t="shared" si="10"/>
        <v>2</v>
      </c>
      <c r="AP11" s="133"/>
      <c r="AQ11" s="134"/>
      <c r="AR11" s="161"/>
      <c r="AS11" s="161"/>
      <c r="AT11" s="161"/>
      <c r="AU11" s="161"/>
      <c r="AV11" s="162"/>
      <c r="AW11" s="137">
        <f t="shared" ref="AW11:AW86" si="11">AR11+AS11+AT11+AU11+AV11</f>
        <v>0</v>
      </c>
      <c r="AX11" s="137">
        <f t="shared" ref="AX11:AX86" si="12">(AR11*I11)+(AS11*J11)+(AT11*K11)+(AU11*L11)+(AV11*M11)</f>
        <v>0</v>
      </c>
    </row>
    <row r="12" ht="21.95" customHeight="1" spans="1:50" s="97" customFormat="1" x14ac:dyDescent="0.25">
      <c r="A12" s="138" t="s">
        <v>56</v>
      </c>
      <c r="B12" s="139"/>
      <c r="C12" s="139"/>
      <c r="D12" s="139"/>
      <c r="E12" s="139"/>
      <c r="F12" s="139"/>
      <c r="G12" s="139"/>
      <c r="H12" s="140"/>
      <c r="I12" s="181">
        <v>85</v>
      </c>
      <c r="J12" s="142"/>
      <c r="K12" s="142"/>
      <c r="L12" s="142"/>
      <c r="M12" s="142"/>
      <c r="N12" s="170">
        <f>I12*I11+J12*J11+K12*K11+L12*L11+M12*M11</f>
        <v>85</v>
      </c>
      <c r="O12" s="144"/>
      <c r="P12" s="145"/>
      <c r="Q12" s="113"/>
      <c r="R12" s="113"/>
      <c r="S12" s="146"/>
      <c r="T12" s="147"/>
      <c r="U12" s="148"/>
      <c r="V12" s="149"/>
      <c r="W12" s="150"/>
      <c r="X12" s="151"/>
      <c r="Y12" s="152"/>
      <c r="Z12" s="151"/>
      <c r="AA12" s="153"/>
      <c r="AB12" s="154"/>
      <c r="AC12" s="149"/>
      <c r="AD12" s="148"/>
      <c r="AE12" s="148"/>
      <c r="AF12" s="155"/>
      <c r="AG12" s="156"/>
      <c r="AH12" s="113"/>
      <c r="AI12" s="157"/>
      <c r="AJ12" s="113"/>
      <c r="AK12" s="113"/>
      <c r="AL12" s="158"/>
      <c r="AM12" s="159"/>
      <c r="AN12" s="160"/>
      <c r="AO12" s="160"/>
      <c r="AP12" s="133"/>
      <c r="AQ12" s="134"/>
      <c r="AR12" s="161"/>
      <c r="AS12" s="161"/>
      <c r="AT12" s="161"/>
      <c r="AU12" s="161"/>
      <c r="AV12" s="162"/>
      <c r="AW12" s="137"/>
      <c r="AX12" s="137"/>
    </row>
    <row r="13" ht="46.5" customHeight="1" spans="1:50" s="97" customFormat="1" x14ac:dyDescent="0.25">
      <c r="A13" s="98">
        <v>5</v>
      </c>
      <c r="B13" s="99" t="s">
        <v>53</v>
      </c>
      <c r="C13" s="205" t="s">
        <v>63</v>
      </c>
      <c r="D13" s="100"/>
      <c r="E13" s="100"/>
      <c r="F13" s="163"/>
      <c r="G13" s="103"/>
      <c r="H13" s="182"/>
      <c r="I13" s="166">
        <v>1</v>
      </c>
      <c r="J13" s="107"/>
      <c r="K13" s="107"/>
      <c r="L13" s="167"/>
      <c r="M13" s="168"/>
      <c r="N13" s="169">
        <f t="shared" si="0"/>
        <v>1</v>
      </c>
      <c r="O13" s="144">
        <v>1</v>
      </c>
      <c r="P13" s="112">
        <v>15</v>
      </c>
      <c r="Q13" s="178"/>
      <c r="R13" s="112"/>
      <c r="S13" s="146"/>
      <c r="T13" s="120"/>
      <c r="U13" s="148">
        <f t="shared" si="1"/>
        <v>15</v>
      </c>
      <c r="V13" s="149">
        <f t="shared" si="2"/>
        <v>15</v>
      </c>
      <c r="W13" s="206">
        <v>57539030000</v>
      </c>
      <c r="X13" s="120"/>
      <c r="Y13" s="183"/>
      <c r="Z13" s="151"/>
      <c r="AA13" s="153"/>
      <c r="AB13" s="154">
        <f t="shared" si="3"/>
        <v>191.49</v>
      </c>
      <c r="AC13" s="149">
        <f t="shared" si="4"/>
        <v>13</v>
      </c>
      <c r="AD13" s="125">
        <v>2</v>
      </c>
      <c r="AE13" s="148">
        <f t="shared" si="5"/>
        <v>15</v>
      </c>
      <c r="AF13" s="207"/>
      <c r="AG13" s="127">
        <v>3.08</v>
      </c>
      <c r="AH13" s="113">
        <f t="shared" si="6"/>
        <v>30</v>
      </c>
      <c r="AI13" s="157">
        <v>65</v>
      </c>
      <c r="AJ13" s="113">
        <f t="shared" si="7"/>
        <v>98.08</v>
      </c>
      <c r="AK13" s="113">
        <f t="shared" si="8"/>
        <v>95</v>
      </c>
      <c r="AL13" s="158">
        <f t="shared" si="9"/>
        <v>0.955</v>
      </c>
      <c r="AM13" s="159"/>
      <c r="AN13" s="160">
        <f t="shared" si="10"/>
        <v>1</v>
      </c>
      <c r="AO13" s="160">
        <f t="shared" si="10"/>
        <v>2</v>
      </c>
      <c r="AP13" s="133"/>
      <c r="AQ13" s="134"/>
      <c r="AR13" s="161"/>
      <c r="AS13" s="161"/>
      <c r="AT13" s="161"/>
      <c r="AU13" s="161"/>
      <c r="AV13" s="162"/>
      <c r="AW13" s="137">
        <f t="shared" si="11"/>
        <v>0</v>
      </c>
      <c r="AX13" s="137">
        <f t="shared" si="12"/>
        <v>0</v>
      </c>
    </row>
    <row r="14" ht="21.95" customHeight="1" spans="1:50" s="97" customFormat="1" x14ac:dyDescent="0.25">
      <c r="A14" s="138" t="s">
        <v>56</v>
      </c>
      <c r="B14" s="139"/>
      <c r="C14" s="139"/>
      <c r="D14" s="139"/>
      <c r="E14" s="139"/>
      <c r="F14" s="139"/>
      <c r="G14" s="139"/>
      <c r="H14" s="140"/>
      <c r="I14" s="142">
        <v>85</v>
      </c>
      <c r="J14" s="142"/>
      <c r="K14" s="142"/>
      <c r="L14" s="142"/>
      <c r="M14" s="142"/>
      <c r="N14" s="170">
        <f>I14*I13+J14*J13+K14*K13+L14*L13+M14*M13</f>
        <v>85</v>
      </c>
      <c r="O14" s="144"/>
      <c r="P14" s="145"/>
      <c r="Q14" s="113"/>
      <c r="R14" s="113"/>
      <c r="S14" s="146"/>
      <c r="T14" s="147"/>
      <c r="U14" s="148"/>
      <c r="V14" s="149"/>
      <c r="W14" s="150"/>
      <c r="X14" s="151"/>
      <c r="Y14" s="152"/>
      <c r="Z14" s="151"/>
      <c r="AA14" s="153"/>
      <c r="AB14" s="154"/>
      <c r="AC14" s="149"/>
      <c r="AD14" s="148"/>
      <c r="AE14" s="148"/>
      <c r="AF14" s="155"/>
      <c r="AG14" s="156"/>
      <c r="AH14" s="113"/>
      <c r="AI14" s="157"/>
      <c r="AJ14" s="113"/>
      <c r="AK14" s="113"/>
      <c r="AL14" s="158"/>
      <c r="AM14" s="159"/>
      <c r="AN14" s="160"/>
      <c r="AO14" s="160"/>
      <c r="AP14" s="133"/>
      <c r="AQ14" s="134"/>
      <c r="AR14" s="161"/>
      <c r="AS14" s="161"/>
      <c r="AT14" s="161"/>
      <c r="AU14" s="161"/>
      <c r="AV14" s="162"/>
      <c r="AW14" s="137"/>
      <c r="AX14" s="137"/>
    </row>
    <row r="15" ht="46.5" customHeight="1" spans="1:50" s="97" customFormat="1" x14ac:dyDescent="0.25">
      <c r="A15" s="98">
        <v>6</v>
      </c>
      <c r="B15" s="99" t="s">
        <v>53</v>
      </c>
      <c r="C15" s="209" t="s">
        <v>182</v>
      </c>
      <c r="D15" s="210" t="s">
        <v>183</v>
      </c>
      <c r="E15" s="100" t="s">
        <v>55</v>
      </c>
      <c r="F15" s="100"/>
      <c r="G15" s="103"/>
      <c r="H15" s="171" t="s">
        <v>184</v>
      </c>
      <c r="I15" s="166">
        <v>0.4</v>
      </c>
      <c r="J15" s="226">
        <v>0.2425</v>
      </c>
      <c r="K15" s="107">
        <v>0.3</v>
      </c>
      <c r="L15" s="167"/>
      <c r="M15" s="168"/>
      <c r="N15" s="169">
        <f t="shared" si="0"/>
        <v>0.9425000000000001</v>
      </c>
      <c r="O15" s="144">
        <v>1</v>
      </c>
      <c r="P15" s="112">
        <v>15</v>
      </c>
      <c r="Q15" s="112">
        <v>15</v>
      </c>
      <c r="R15" s="112">
        <v>15</v>
      </c>
      <c r="S15" s="146"/>
      <c r="T15" s="147"/>
      <c r="U15" s="148">
        <f t="shared" si="1"/>
        <v>14.14</v>
      </c>
      <c r="V15" s="149">
        <f t="shared" si="2"/>
        <v>14.14</v>
      </c>
      <c r="W15" s="211">
        <v>7486618000</v>
      </c>
      <c r="X15" s="211">
        <v>708518000</v>
      </c>
      <c r="Y15" s="199">
        <v>130509297000</v>
      </c>
      <c r="Z15" s="151"/>
      <c r="AA15" s="153"/>
      <c r="AB15" s="154">
        <f t="shared" si="3"/>
        <v>140.79</v>
      </c>
      <c r="AC15" s="149">
        <f t="shared" si="4"/>
        <v>13</v>
      </c>
      <c r="AD15" s="125">
        <v>1</v>
      </c>
      <c r="AE15" s="148">
        <f t="shared" si="5"/>
        <v>14</v>
      </c>
      <c r="AF15" s="155"/>
      <c r="AG15" s="127">
        <v>3.08</v>
      </c>
      <c r="AH15" s="113">
        <f t="shared" si="6"/>
        <v>28.14</v>
      </c>
      <c r="AI15" s="157">
        <v>65</v>
      </c>
      <c r="AJ15" s="113">
        <f t="shared" si="7"/>
        <v>96.22</v>
      </c>
      <c r="AK15" s="113">
        <f t="shared" si="8"/>
        <v>95</v>
      </c>
      <c r="AL15" s="158">
        <f t="shared" si="9"/>
        <v>0.9643</v>
      </c>
      <c r="AM15" s="159"/>
      <c r="AN15" s="160">
        <f t="shared" si="10"/>
        <v>1</v>
      </c>
      <c r="AO15" s="160">
        <f t="shared" si="10"/>
        <v>2</v>
      </c>
      <c r="AP15" s="133"/>
      <c r="AQ15" s="134"/>
      <c r="AR15" s="161"/>
      <c r="AS15" s="161"/>
      <c r="AT15" s="161"/>
      <c r="AU15" s="161"/>
      <c r="AV15" s="162"/>
      <c r="AW15" s="137">
        <f t="shared" si="11"/>
        <v>0</v>
      </c>
      <c r="AX15" s="137">
        <f t="shared" si="12"/>
        <v>0</v>
      </c>
    </row>
    <row r="16" ht="21.95" customHeight="1" spans="1:50" s="97" customFormat="1" x14ac:dyDescent="0.25">
      <c r="A16" s="138" t="s">
        <v>56</v>
      </c>
      <c r="B16" s="139"/>
      <c r="C16" s="139"/>
      <c r="D16" s="139"/>
      <c r="E16" s="139"/>
      <c r="F16" s="139"/>
      <c r="G16" s="139"/>
      <c r="H16" s="140"/>
      <c r="I16" s="181">
        <v>85</v>
      </c>
      <c r="J16" s="142">
        <v>85</v>
      </c>
      <c r="K16" s="142">
        <v>85</v>
      </c>
      <c r="L16" s="142"/>
      <c r="M16" s="142"/>
      <c r="N16" s="170">
        <f>I16*I15+J16*J15+K16*K15+L16*L15+M16*M15</f>
        <v>80.1125</v>
      </c>
      <c r="O16" s="144"/>
      <c r="P16" s="145"/>
      <c r="Q16" s="113"/>
      <c r="R16" s="113"/>
      <c r="S16" s="146"/>
      <c r="T16" s="147"/>
      <c r="U16" s="148"/>
      <c r="V16" s="149"/>
      <c r="W16" s="150"/>
      <c r="X16" s="151"/>
      <c r="Y16" s="152"/>
      <c r="Z16" s="151"/>
      <c r="AA16" s="153"/>
      <c r="AB16" s="154"/>
      <c r="AC16" s="149"/>
      <c r="AD16" s="148"/>
      <c r="AE16" s="148"/>
      <c r="AF16" s="155"/>
      <c r="AG16" s="156"/>
      <c r="AH16" s="113"/>
      <c r="AI16" s="157"/>
      <c r="AJ16" s="113"/>
      <c r="AK16" s="113"/>
      <c r="AL16" s="158"/>
      <c r="AM16" s="159"/>
      <c r="AN16" s="160"/>
      <c r="AO16" s="160"/>
      <c r="AP16" s="133"/>
      <c r="AQ16" s="134"/>
      <c r="AR16" s="161"/>
      <c r="AS16" s="161"/>
      <c r="AT16" s="161"/>
      <c r="AU16" s="161"/>
      <c r="AV16" s="162"/>
      <c r="AW16" s="137"/>
      <c r="AX16" s="137"/>
    </row>
    <row r="17" ht="46.5" customHeight="1" spans="1:50" s="97" customFormat="1" x14ac:dyDescent="0.25">
      <c r="A17" s="98">
        <v>7</v>
      </c>
      <c r="B17" s="99" t="s">
        <v>53</v>
      </c>
      <c r="C17" s="212" t="s">
        <v>87</v>
      </c>
      <c r="D17" s="205" t="s">
        <v>185</v>
      </c>
      <c r="E17" s="100"/>
      <c r="F17" s="100"/>
      <c r="G17" s="103"/>
      <c r="H17" s="182"/>
      <c r="I17" s="166">
        <v>0.51</v>
      </c>
      <c r="J17" s="107">
        <v>0.49</v>
      </c>
      <c r="K17" s="107"/>
      <c r="L17" s="167"/>
      <c r="M17" s="168"/>
      <c r="N17" s="169">
        <f t="shared" si="0"/>
        <v>1</v>
      </c>
      <c r="O17" s="144">
        <v>1</v>
      </c>
      <c r="P17" s="112">
        <v>15</v>
      </c>
      <c r="Q17" s="112">
        <v>15</v>
      </c>
      <c r="R17" s="113"/>
      <c r="S17" s="146"/>
      <c r="T17" s="147"/>
      <c r="U17" s="148">
        <f t="shared" si="1"/>
        <v>15</v>
      </c>
      <c r="V17" s="149">
        <f t="shared" si="2"/>
        <v>15</v>
      </c>
      <c r="W17" s="211">
        <v>32826052000</v>
      </c>
      <c r="X17" s="213">
        <v>3586189000</v>
      </c>
      <c r="Y17" s="120"/>
      <c r="Z17" s="151"/>
      <c r="AA17" s="153"/>
      <c r="AB17" s="154">
        <f t="shared" si="3"/>
        <v>61.620000000000005</v>
      </c>
      <c r="AC17" s="149">
        <f t="shared" si="4"/>
        <v>13</v>
      </c>
      <c r="AD17" s="125">
        <v>2</v>
      </c>
      <c r="AE17" s="148">
        <f t="shared" si="5"/>
        <v>15</v>
      </c>
      <c r="AF17" s="156"/>
      <c r="AG17" s="127">
        <v>3.08</v>
      </c>
      <c r="AH17" s="113">
        <f t="shared" si="6"/>
        <v>30</v>
      </c>
      <c r="AI17" s="157">
        <v>65</v>
      </c>
      <c r="AJ17" s="113">
        <f t="shared" si="7"/>
        <v>98.08</v>
      </c>
      <c r="AK17" s="113">
        <f t="shared" si="8"/>
        <v>95</v>
      </c>
      <c r="AL17" s="158">
        <f t="shared" si="9"/>
        <v>0.955</v>
      </c>
      <c r="AM17" s="159"/>
      <c r="AN17" s="160">
        <f t="shared" si="10"/>
        <v>1</v>
      </c>
      <c r="AO17" s="160">
        <f t="shared" si="10"/>
        <v>2</v>
      </c>
      <c r="AP17" s="133"/>
      <c r="AQ17" s="134"/>
      <c r="AR17" s="161"/>
      <c r="AS17" s="161"/>
      <c r="AT17" s="161"/>
      <c r="AU17" s="161"/>
      <c r="AV17" s="162"/>
      <c r="AW17" s="137">
        <f t="shared" si="11"/>
        <v>0</v>
      </c>
      <c r="AX17" s="137">
        <f t="shared" si="12"/>
        <v>0</v>
      </c>
    </row>
    <row r="18" ht="21.95" customHeight="1" spans="1:50" s="97" customFormat="1" x14ac:dyDescent="0.25">
      <c r="A18" s="138" t="s">
        <v>56</v>
      </c>
      <c r="B18" s="139"/>
      <c r="C18" s="139"/>
      <c r="D18" s="139"/>
      <c r="E18" s="139"/>
      <c r="F18" s="139"/>
      <c r="G18" s="139"/>
      <c r="H18" s="140"/>
      <c r="I18" s="181">
        <v>85</v>
      </c>
      <c r="J18" s="142">
        <v>85</v>
      </c>
      <c r="K18" s="142"/>
      <c r="L18" s="142"/>
      <c r="M18" s="142"/>
      <c r="N18" s="170">
        <f>I18*I17+J18*J17+K18*K17+L18*L17+M18*M17</f>
        <v>85</v>
      </c>
      <c r="O18" s="144"/>
      <c r="P18" s="145"/>
      <c r="Q18" s="113"/>
      <c r="R18" s="113"/>
      <c r="S18" s="146"/>
      <c r="T18" s="147"/>
      <c r="U18" s="148"/>
      <c r="V18" s="149"/>
      <c r="W18" s="150"/>
      <c r="X18" s="151"/>
      <c r="Y18" s="152"/>
      <c r="Z18" s="151"/>
      <c r="AA18" s="153"/>
      <c r="AB18" s="154"/>
      <c r="AC18" s="149"/>
      <c r="AD18" s="148"/>
      <c r="AE18" s="148"/>
      <c r="AF18" s="155"/>
      <c r="AG18" s="156"/>
      <c r="AH18" s="113"/>
      <c r="AI18" s="157"/>
      <c r="AJ18" s="113"/>
      <c r="AK18" s="113"/>
      <c r="AL18" s="158"/>
      <c r="AM18" s="159"/>
      <c r="AN18" s="160"/>
      <c r="AO18" s="160"/>
      <c r="AP18" s="133"/>
      <c r="AQ18" s="134"/>
      <c r="AR18" s="161"/>
      <c r="AS18" s="161"/>
      <c r="AT18" s="161"/>
      <c r="AU18" s="161"/>
      <c r="AV18" s="162"/>
      <c r="AW18" s="137"/>
      <c r="AX18" s="137"/>
    </row>
    <row r="19" ht="46.5" customHeight="1" spans="1:50" s="97" customFormat="1" x14ac:dyDescent="0.25">
      <c r="A19" s="98">
        <v>8</v>
      </c>
      <c r="B19" s="99" t="s">
        <v>53</v>
      </c>
      <c r="C19" s="209" t="s">
        <v>186</v>
      </c>
      <c r="D19" s="101" t="s">
        <v>97</v>
      </c>
      <c r="E19" s="209"/>
      <c r="F19" s="100"/>
      <c r="G19" s="103"/>
      <c r="H19" s="186"/>
      <c r="I19" s="166">
        <v>0.51</v>
      </c>
      <c r="J19" s="107">
        <v>0.49</v>
      </c>
      <c r="K19" s="107"/>
      <c r="L19" s="107"/>
      <c r="M19" s="187"/>
      <c r="N19" s="169">
        <f t="shared" si="0"/>
        <v>1</v>
      </c>
      <c r="O19" s="144">
        <v>1</v>
      </c>
      <c r="P19" s="112">
        <v>15</v>
      </c>
      <c r="Q19" s="112">
        <v>15</v>
      </c>
      <c r="R19" s="113"/>
      <c r="S19" s="113"/>
      <c r="T19" s="146"/>
      <c r="U19" s="148">
        <f t="shared" si="1"/>
        <v>15</v>
      </c>
      <c r="V19" s="149">
        <f t="shared" si="2"/>
        <v>15</v>
      </c>
      <c r="W19" s="189">
        <v>25680345000</v>
      </c>
      <c r="X19" s="120">
        <v>1956642000</v>
      </c>
      <c r="Y19" s="189"/>
      <c r="Z19" s="190"/>
      <c r="AA19" s="153"/>
      <c r="AB19" s="154">
        <f t="shared" si="3"/>
        <v>46.800000000000004</v>
      </c>
      <c r="AC19" s="149">
        <f t="shared" si="4"/>
        <v>13</v>
      </c>
      <c r="AD19" s="125">
        <v>2</v>
      </c>
      <c r="AE19" s="148">
        <f t="shared" si="5"/>
        <v>15</v>
      </c>
      <c r="AF19" s="156"/>
      <c r="AG19" s="127">
        <v>3.08</v>
      </c>
      <c r="AH19" s="113">
        <f t="shared" si="6"/>
        <v>30</v>
      </c>
      <c r="AI19" s="157">
        <v>65</v>
      </c>
      <c r="AJ19" s="113">
        <f t="shared" si="7"/>
        <v>98.08</v>
      </c>
      <c r="AK19" s="113">
        <f t="shared" si="8"/>
        <v>95</v>
      </c>
      <c r="AL19" s="158">
        <f t="shared" si="9"/>
        <v>0.955</v>
      </c>
      <c r="AM19" s="159"/>
      <c r="AN19" s="160">
        <f t="shared" si="10"/>
        <v>1</v>
      </c>
      <c r="AO19" s="160">
        <f t="shared" si="10"/>
        <v>2</v>
      </c>
      <c r="AP19" s="133"/>
      <c r="AQ19" s="134"/>
      <c r="AR19" s="161"/>
      <c r="AS19" s="161"/>
      <c r="AT19" s="161"/>
      <c r="AU19" s="161"/>
      <c r="AV19" s="162"/>
      <c r="AW19" s="137">
        <f t="shared" si="11"/>
        <v>0</v>
      </c>
      <c r="AX19" s="137">
        <f t="shared" si="12"/>
        <v>0</v>
      </c>
    </row>
    <row r="20" ht="21.95" customHeight="1" spans="1:50" s="97" customFormat="1" x14ac:dyDescent="0.25">
      <c r="A20" s="138" t="s">
        <v>56</v>
      </c>
      <c r="B20" s="139"/>
      <c r="C20" s="139"/>
      <c r="D20" s="139"/>
      <c r="E20" s="139"/>
      <c r="F20" s="139"/>
      <c r="G20" s="139"/>
      <c r="H20" s="140"/>
      <c r="I20" s="142">
        <v>85</v>
      </c>
      <c r="J20" s="142">
        <v>85</v>
      </c>
      <c r="K20" s="142"/>
      <c r="L20" s="142"/>
      <c r="M20" s="142"/>
      <c r="N20" s="170">
        <f>I20*I19+J20*J19+K20*K19+L20*L19+M20*M19</f>
        <v>85</v>
      </c>
      <c r="O20" s="144"/>
      <c r="P20" s="145"/>
      <c r="Q20" s="113"/>
      <c r="R20" s="113"/>
      <c r="S20" s="146"/>
      <c r="T20" s="147"/>
      <c r="U20" s="148"/>
      <c r="V20" s="149"/>
      <c r="W20" s="150"/>
      <c r="X20" s="151"/>
      <c r="Y20" s="152"/>
      <c r="Z20" s="151"/>
      <c r="AA20" s="153"/>
      <c r="AB20" s="154"/>
      <c r="AC20" s="149"/>
      <c r="AD20" s="148"/>
      <c r="AE20" s="148"/>
      <c r="AF20" s="155"/>
      <c r="AG20" s="156"/>
      <c r="AH20" s="113"/>
      <c r="AI20" s="157"/>
      <c r="AJ20" s="113"/>
      <c r="AK20" s="113"/>
      <c r="AL20" s="158"/>
      <c r="AM20" s="159"/>
      <c r="AN20" s="160"/>
      <c r="AO20" s="160"/>
      <c r="AP20" s="133"/>
      <c r="AQ20" s="134"/>
      <c r="AR20" s="161"/>
      <c r="AS20" s="161"/>
      <c r="AT20" s="161"/>
      <c r="AU20" s="161"/>
      <c r="AV20" s="162"/>
      <c r="AW20" s="137"/>
      <c r="AX20" s="137"/>
    </row>
    <row r="21" ht="46.5" customHeight="1" spans="1:50" s="97" customFormat="1" x14ac:dyDescent="0.25">
      <c r="A21" s="98">
        <v>9</v>
      </c>
      <c r="B21" s="208" t="s">
        <v>62</v>
      </c>
      <c r="C21" s="209" t="s">
        <v>187</v>
      </c>
      <c r="D21" s="203" t="s">
        <v>188</v>
      </c>
      <c r="E21" s="100"/>
      <c r="F21" s="209"/>
      <c r="G21" s="103"/>
      <c r="H21" s="171" t="s">
        <v>189</v>
      </c>
      <c r="I21" s="232">
        <v>0.5072</v>
      </c>
      <c r="J21" s="107">
        <v>0.43</v>
      </c>
      <c r="K21" s="191"/>
      <c r="L21" s="107"/>
      <c r="M21" s="187"/>
      <c r="N21" s="169">
        <f t="shared" si="0"/>
        <v>0.9372</v>
      </c>
      <c r="O21" s="144">
        <v>1</v>
      </c>
      <c r="P21" s="112">
        <v>15</v>
      </c>
      <c r="Q21" s="112">
        <v>15</v>
      </c>
      <c r="R21" s="113"/>
      <c r="S21" s="113"/>
      <c r="T21" s="146"/>
      <c r="U21" s="148">
        <f t="shared" si="1"/>
        <v>14.06</v>
      </c>
      <c r="V21" s="149">
        <f t="shared" si="2"/>
        <v>14.06</v>
      </c>
      <c r="W21" s="211">
        <v>5867768000</v>
      </c>
      <c r="X21" s="211">
        <v>4319931000</v>
      </c>
      <c r="Y21" s="211"/>
      <c r="Z21" s="211"/>
      <c r="AA21" s="153"/>
      <c r="AB21" s="154">
        <f t="shared" si="3"/>
        <v>16.12</v>
      </c>
      <c r="AC21" s="149">
        <f t="shared" si="4"/>
        <v>13</v>
      </c>
      <c r="AD21" s="125">
        <v>0</v>
      </c>
      <c r="AE21" s="148">
        <f t="shared" si="5"/>
        <v>13</v>
      </c>
      <c r="AF21" s="156"/>
      <c r="AG21" s="127">
        <v>3.08</v>
      </c>
      <c r="AH21" s="113">
        <f t="shared" si="6"/>
        <v>27.060000000000002</v>
      </c>
      <c r="AI21" s="157">
        <v>65</v>
      </c>
      <c r="AJ21" s="113">
        <f t="shared" si="7"/>
        <v>95.14</v>
      </c>
      <c r="AK21" s="113">
        <f t="shared" si="8"/>
        <v>95</v>
      </c>
      <c r="AL21" s="158">
        <f t="shared" si="9"/>
        <v>0.9697</v>
      </c>
      <c r="AM21" s="159"/>
      <c r="AN21" s="160">
        <f t="shared" si="10"/>
        <v>1</v>
      </c>
      <c r="AO21" s="160">
        <f t="shared" si="10"/>
        <v>2</v>
      </c>
      <c r="AP21" s="133"/>
      <c r="AQ21" s="134"/>
      <c r="AR21" s="161"/>
      <c r="AS21" s="161"/>
      <c r="AT21" s="161"/>
      <c r="AU21" s="161"/>
      <c r="AV21" s="162"/>
      <c r="AW21" s="137">
        <f t="shared" si="11"/>
        <v>0</v>
      </c>
      <c r="AX21" s="137">
        <f t="shared" si="12"/>
        <v>0</v>
      </c>
    </row>
    <row r="22" ht="21.95" customHeight="1" spans="1:50" s="97" customFormat="1" x14ac:dyDescent="0.25">
      <c r="A22" s="138" t="s">
        <v>56</v>
      </c>
      <c r="B22" s="139"/>
      <c r="C22" s="139"/>
      <c r="D22" s="139"/>
      <c r="E22" s="139"/>
      <c r="F22" s="139"/>
      <c r="G22" s="139"/>
      <c r="H22" s="140"/>
      <c r="I22" s="142">
        <v>85</v>
      </c>
      <c r="J22" s="142">
        <v>85</v>
      </c>
      <c r="K22" s="142"/>
      <c r="L22" s="142"/>
      <c r="M22" s="142"/>
      <c r="N22" s="170">
        <f>I22*I21+J22*J21+K22*K21+L22*L21+M22*M21</f>
        <v>79.662</v>
      </c>
      <c r="O22" s="144"/>
      <c r="P22" s="145"/>
      <c r="Q22" s="113"/>
      <c r="R22" s="113"/>
      <c r="S22" s="146"/>
      <c r="T22" s="147"/>
      <c r="U22" s="148"/>
      <c r="V22" s="149"/>
      <c r="W22" s="150"/>
      <c r="X22" s="151"/>
      <c r="Y22" s="152"/>
      <c r="Z22" s="151"/>
      <c r="AA22" s="153"/>
      <c r="AB22" s="154"/>
      <c r="AC22" s="149"/>
      <c r="AD22" s="148"/>
      <c r="AE22" s="148"/>
      <c r="AF22" s="155"/>
      <c r="AG22" s="156"/>
      <c r="AH22" s="113"/>
      <c r="AI22" s="157"/>
      <c r="AJ22" s="113"/>
      <c r="AK22" s="113"/>
      <c r="AL22" s="158"/>
      <c r="AM22" s="159"/>
      <c r="AN22" s="160"/>
      <c r="AO22" s="160"/>
      <c r="AP22" s="133"/>
      <c r="AQ22" s="134"/>
      <c r="AR22" s="161"/>
      <c r="AS22" s="161"/>
      <c r="AT22" s="161"/>
      <c r="AU22" s="161"/>
      <c r="AV22" s="162"/>
      <c r="AW22" s="137"/>
      <c r="AX22" s="137"/>
    </row>
    <row r="23" ht="46.5" customHeight="1" spans="1:50" s="97" customFormat="1" x14ac:dyDescent="0.25">
      <c r="A23" s="98">
        <v>10</v>
      </c>
      <c r="B23" s="99" t="s">
        <v>53</v>
      </c>
      <c r="C23" s="209" t="s">
        <v>190</v>
      </c>
      <c r="D23" s="203" t="s">
        <v>191</v>
      </c>
      <c r="E23" s="193"/>
      <c r="F23" s="100"/>
      <c r="G23" s="103"/>
      <c r="H23" s="171" t="s">
        <v>192</v>
      </c>
      <c r="I23" s="232">
        <v>0.4284</v>
      </c>
      <c r="J23" s="107">
        <v>0.49</v>
      </c>
      <c r="K23" s="107"/>
      <c r="L23" s="107"/>
      <c r="M23" s="187"/>
      <c r="N23" s="169">
        <f t="shared" si="0"/>
        <v>0.9184</v>
      </c>
      <c r="O23" s="144">
        <v>1</v>
      </c>
      <c r="P23" s="145">
        <v>15</v>
      </c>
      <c r="Q23" s="217">
        <v>15</v>
      </c>
      <c r="R23" s="217"/>
      <c r="S23" s="113"/>
      <c r="T23" s="146"/>
      <c r="U23" s="148">
        <f t="shared" si="1"/>
        <v>13.78</v>
      </c>
      <c r="V23" s="149">
        <f t="shared" si="2"/>
        <v>13.78</v>
      </c>
      <c r="W23" s="192">
        <v>8216820000</v>
      </c>
      <c r="X23" s="211">
        <v>14643377000</v>
      </c>
      <c r="Y23" s="120"/>
      <c r="Z23" s="190"/>
      <c r="AA23" s="153"/>
      <c r="AB23" s="154">
        <f t="shared" si="3"/>
        <v>35.620000000000005</v>
      </c>
      <c r="AC23" s="149">
        <f t="shared" si="4"/>
        <v>13</v>
      </c>
      <c r="AD23" s="125">
        <v>1</v>
      </c>
      <c r="AE23" s="148">
        <f t="shared" si="5"/>
        <v>14</v>
      </c>
      <c r="AF23" s="156">
        <f>0.5*I23</f>
        <v>0.2142</v>
      </c>
      <c r="AG23" s="127">
        <v>3.08</v>
      </c>
      <c r="AH23" s="113">
        <f t="shared" si="6"/>
        <v>27.994200000000003</v>
      </c>
      <c r="AI23" s="157">
        <v>65</v>
      </c>
      <c r="AJ23" s="113">
        <f t="shared" si="7"/>
        <v>96.0742</v>
      </c>
      <c r="AK23" s="113">
        <f t="shared" si="8"/>
        <v>95</v>
      </c>
      <c r="AL23" s="158">
        <f t="shared" si="9"/>
        <v>0.9650289999999999</v>
      </c>
      <c r="AM23" s="159"/>
      <c r="AN23" s="160">
        <f t="shared" si="10"/>
        <v>1</v>
      </c>
      <c r="AO23" s="160">
        <f t="shared" si="10"/>
        <v>2</v>
      </c>
      <c r="AP23" s="133"/>
      <c r="AQ23" s="134"/>
      <c r="AR23" s="161"/>
      <c r="AS23" s="161"/>
      <c r="AT23" s="161"/>
      <c r="AU23" s="161"/>
      <c r="AV23" s="162"/>
      <c r="AW23" s="137">
        <f t="shared" si="11"/>
        <v>0</v>
      </c>
      <c r="AX23" s="137">
        <f t="shared" si="12"/>
        <v>0</v>
      </c>
    </row>
    <row r="24" ht="21.95" customHeight="1" spans="1:50" s="97" customFormat="1" x14ac:dyDescent="0.25">
      <c r="A24" s="138" t="s">
        <v>56</v>
      </c>
      <c r="B24" s="139"/>
      <c r="C24" s="139"/>
      <c r="D24" s="139"/>
      <c r="E24" s="139"/>
      <c r="F24" s="139"/>
      <c r="G24" s="139"/>
      <c r="H24" s="140"/>
      <c r="I24" s="142">
        <v>85</v>
      </c>
      <c r="J24" s="141">
        <v>91.63</v>
      </c>
      <c r="K24" s="142">
        <v>85</v>
      </c>
      <c r="L24" s="142"/>
      <c r="M24" s="142"/>
      <c r="N24" s="170">
        <f>I24*I23+J24*J23+K24*K23+L24*L23+M24*M23</f>
        <v>81.3127</v>
      </c>
      <c r="O24" s="144"/>
      <c r="P24" s="145"/>
      <c r="Q24" s="113"/>
      <c r="R24" s="113"/>
      <c r="S24" s="146"/>
      <c r="T24" s="147"/>
      <c r="U24" s="148"/>
      <c r="V24" s="149"/>
      <c r="W24" s="150"/>
      <c r="X24" s="151"/>
      <c r="Y24" s="152"/>
      <c r="Z24" s="151"/>
      <c r="AA24" s="153"/>
      <c r="AB24" s="154"/>
      <c r="AC24" s="149"/>
      <c r="AD24" s="148"/>
      <c r="AE24" s="148"/>
      <c r="AF24" s="155"/>
      <c r="AG24" s="156"/>
      <c r="AH24" s="113"/>
      <c r="AI24" s="157"/>
      <c r="AJ24" s="113"/>
      <c r="AK24" s="113"/>
      <c r="AL24" s="158"/>
      <c r="AM24" s="159"/>
      <c r="AN24" s="160"/>
      <c r="AO24" s="160"/>
      <c r="AP24" s="133"/>
      <c r="AQ24" s="134"/>
      <c r="AR24" s="161"/>
      <c r="AS24" s="161"/>
      <c r="AT24" s="161"/>
      <c r="AU24" s="161"/>
      <c r="AV24" s="162"/>
      <c r="AW24" s="137"/>
      <c r="AX24" s="137"/>
    </row>
    <row r="25" ht="46.5" customHeight="1" spans="1:50" s="97" customFormat="1" x14ac:dyDescent="0.25">
      <c r="A25" s="98">
        <v>11</v>
      </c>
      <c r="B25" s="99" t="s">
        <v>53</v>
      </c>
      <c r="C25" s="102" t="s">
        <v>58</v>
      </c>
      <c r="D25" s="174" t="s">
        <v>193</v>
      </c>
      <c r="E25" s="100"/>
      <c r="F25" s="100"/>
      <c r="G25" s="103"/>
      <c r="H25" s="171" t="s">
        <v>194</v>
      </c>
      <c r="I25" s="195">
        <v>0.7</v>
      </c>
      <c r="J25" s="226">
        <v>0.2291</v>
      </c>
      <c r="K25" s="107"/>
      <c r="L25" s="107"/>
      <c r="M25" s="187"/>
      <c r="N25" s="169">
        <f t="shared" si="0"/>
        <v>0.9290999999999999</v>
      </c>
      <c r="O25" s="144">
        <v>1</v>
      </c>
      <c r="P25" s="145">
        <v>15</v>
      </c>
      <c r="Q25" s="113">
        <v>15</v>
      </c>
      <c r="R25" s="156"/>
      <c r="S25" s="113"/>
      <c r="T25" s="146"/>
      <c r="U25" s="148">
        <f t="shared" si="1"/>
        <v>13.94</v>
      </c>
      <c r="V25" s="149">
        <f t="shared" si="2"/>
        <v>13.94</v>
      </c>
      <c r="W25" s="192">
        <v>328448752000</v>
      </c>
      <c r="X25" s="120">
        <v>724542000</v>
      </c>
      <c r="Y25" s="211"/>
      <c r="Z25" s="190"/>
      <c r="AA25" s="153"/>
      <c r="AB25" s="154">
        <f t="shared" si="3"/>
        <v>765.57</v>
      </c>
      <c r="AC25" s="149">
        <f t="shared" si="4"/>
        <v>13</v>
      </c>
      <c r="AD25" s="125">
        <v>1.5</v>
      </c>
      <c r="AE25" s="148">
        <f t="shared" si="5"/>
        <v>14.5</v>
      </c>
      <c r="AF25" s="156"/>
      <c r="AG25" s="127">
        <v>3.08</v>
      </c>
      <c r="AH25" s="113">
        <f t="shared" si="6"/>
        <v>28.439999999999998</v>
      </c>
      <c r="AI25" s="157">
        <v>65</v>
      </c>
      <c r="AJ25" s="113">
        <f t="shared" si="7"/>
        <v>96.52</v>
      </c>
      <c r="AK25" s="113">
        <f t="shared" si="8"/>
        <v>95</v>
      </c>
      <c r="AL25" s="158">
        <f t="shared" si="9"/>
        <v>0.9628</v>
      </c>
      <c r="AM25" s="159"/>
      <c r="AN25" s="160">
        <f t="shared" si="10"/>
        <v>1</v>
      </c>
      <c r="AO25" s="160">
        <f t="shared" si="10"/>
        <v>2</v>
      </c>
      <c r="AP25" s="133"/>
      <c r="AQ25" s="134"/>
      <c r="AR25" s="161"/>
      <c r="AS25" s="161"/>
      <c r="AT25" s="161"/>
      <c r="AU25" s="161"/>
      <c r="AV25" s="162"/>
      <c r="AW25" s="137">
        <f t="shared" si="11"/>
        <v>0</v>
      </c>
      <c r="AX25" s="137">
        <f t="shared" si="12"/>
        <v>0</v>
      </c>
    </row>
    <row r="26" ht="21.95" customHeight="1" spans="1:50" s="97" customFormat="1" x14ac:dyDescent="0.25">
      <c r="A26" s="138" t="s">
        <v>56</v>
      </c>
      <c r="B26" s="139"/>
      <c r="C26" s="139"/>
      <c r="D26" s="139"/>
      <c r="E26" s="139"/>
      <c r="F26" s="139"/>
      <c r="G26" s="139"/>
      <c r="H26" s="140"/>
      <c r="I26" s="141">
        <v>93.38</v>
      </c>
      <c r="J26" s="142">
        <v>85</v>
      </c>
      <c r="K26" s="142">
        <v>85</v>
      </c>
      <c r="L26" s="142"/>
      <c r="M26" s="142"/>
      <c r="N26" s="170">
        <f>I26*I25+J26*J25+K26*K25+L26*L25+M26*M25</f>
        <v>84.8395</v>
      </c>
      <c r="O26" s="144"/>
      <c r="P26" s="145"/>
      <c r="Q26" s="113"/>
      <c r="R26" s="113"/>
      <c r="S26" s="146"/>
      <c r="T26" s="147"/>
      <c r="U26" s="148"/>
      <c r="V26" s="149"/>
      <c r="W26" s="150"/>
      <c r="X26" s="151"/>
      <c r="Y26" s="152"/>
      <c r="Z26" s="151"/>
      <c r="AA26" s="153"/>
      <c r="AB26" s="154"/>
      <c r="AC26" s="149"/>
      <c r="AD26" s="148"/>
      <c r="AE26" s="148"/>
      <c r="AF26" s="155"/>
      <c r="AG26" s="156"/>
      <c r="AH26" s="113"/>
      <c r="AI26" s="157"/>
      <c r="AJ26" s="113"/>
      <c r="AK26" s="113"/>
      <c r="AL26" s="158"/>
      <c r="AM26" s="159"/>
      <c r="AN26" s="160"/>
      <c r="AO26" s="160"/>
      <c r="AP26" s="133"/>
      <c r="AQ26" s="134"/>
      <c r="AR26" s="161"/>
      <c r="AS26" s="161"/>
      <c r="AT26" s="161"/>
      <c r="AU26" s="161"/>
      <c r="AV26" s="162"/>
      <c r="AW26" s="137"/>
      <c r="AX26" s="137"/>
    </row>
    <row r="27" ht="46.5" customHeight="1" spans="1:50" s="97" customFormat="1" x14ac:dyDescent="0.25">
      <c r="A27" s="239">
        <v>12</v>
      </c>
      <c r="B27" s="99" t="s">
        <v>53</v>
      </c>
      <c r="C27" s="212" t="s">
        <v>195</v>
      </c>
      <c r="D27" s="203" t="s">
        <v>196</v>
      </c>
      <c r="E27" s="174" t="s">
        <v>197</v>
      </c>
      <c r="F27" s="100"/>
      <c r="G27" s="103"/>
      <c r="H27" s="171" t="s">
        <v>198</v>
      </c>
      <c r="I27" s="245">
        <v>0.5071</v>
      </c>
      <c r="J27" s="107">
        <v>0.25</v>
      </c>
      <c r="K27" s="226">
        <v>0.1988</v>
      </c>
      <c r="L27" s="107"/>
      <c r="M27" s="187"/>
      <c r="N27" s="169">
        <f t="shared" si="0"/>
        <v>0.9559</v>
      </c>
      <c r="O27" s="144">
        <v>1</v>
      </c>
      <c r="P27" s="145">
        <v>15</v>
      </c>
      <c r="Q27" s="113">
        <v>15</v>
      </c>
      <c r="R27" s="113">
        <v>15</v>
      </c>
      <c r="S27" s="113"/>
      <c r="T27" s="146"/>
      <c r="U27" s="148">
        <f t="shared" si="1"/>
        <v>14.34</v>
      </c>
      <c r="V27" s="149">
        <f t="shared" si="2"/>
        <v>14.34</v>
      </c>
      <c r="W27" s="189">
        <v>3664456000</v>
      </c>
      <c r="X27" s="199">
        <v>6971585000</v>
      </c>
      <c r="Y27" s="151">
        <v>1346655000</v>
      </c>
      <c r="Z27" s="190"/>
      <c r="AA27" s="153"/>
      <c r="AB27" s="154">
        <f t="shared" si="3"/>
        <v>12.87</v>
      </c>
      <c r="AC27" s="149">
        <f t="shared" si="4"/>
        <v>12.87</v>
      </c>
      <c r="AD27" s="125">
        <v>1</v>
      </c>
      <c r="AE27" s="148">
        <f t="shared" si="5"/>
        <v>13.87</v>
      </c>
      <c r="AF27" s="156"/>
      <c r="AG27" s="127">
        <v>3.08</v>
      </c>
      <c r="AH27" s="113">
        <f t="shared" si="6"/>
        <v>28.21</v>
      </c>
      <c r="AI27" s="157">
        <v>65</v>
      </c>
      <c r="AJ27" s="113">
        <f t="shared" si="7"/>
        <v>96.29</v>
      </c>
      <c r="AK27" s="113">
        <f t="shared" si="8"/>
        <v>95</v>
      </c>
      <c r="AL27" s="158">
        <f t="shared" si="9"/>
        <v>0.96395</v>
      </c>
      <c r="AM27" s="159"/>
      <c r="AN27" s="160">
        <f t="shared" si="10"/>
        <v>1</v>
      </c>
      <c r="AO27" s="160">
        <f t="shared" si="10"/>
        <v>2</v>
      </c>
      <c r="AP27" s="133"/>
      <c r="AQ27" s="134"/>
      <c r="AR27" s="161"/>
      <c r="AS27" s="161"/>
      <c r="AT27" s="161"/>
      <c r="AU27" s="161"/>
      <c r="AV27" s="162"/>
      <c r="AW27" s="137">
        <f t="shared" si="11"/>
        <v>0</v>
      </c>
      <c r="AX27" s="137">
        <f t="shared" si="12"/>
        <v>0</v>
      </c>
    </row>
    <row r="28" ht="21.95" customHeight="1" spans="1:50" s="97" customFormat="1" x14ac:dyDescent="0.25">
      <c r="A28" s="138" t="s">
        <v>56</v>
      </c>
      <c r="B28" s="139"/>
      <c r="C28" s="139"/>
      <c r="D28" s="139"/>
      <c r="E28" s="139"/>
      <c r="F28" s="139"/>
      <c r="G28" s="139"/>
      <c r="H28" s="140"/>
      <c r="I28" s="142">
        <v>85</v>
      </c>
      <c r="J28" s="142">
        <v>85</v>
      </c>
      <c r="K28" s="142">
        <v>85</v>
      </c>
      <c r="L28" s="142"/>
      <c r="M28" s="142"/>
      <c r="N28" s="170">
        <f>I28*I27+J28*J27+K28*K27+L28*L27+M28*M27</f>
        <v>81.2515</v>
      </c>
      <c r="O28" s="144"/>
      <c r="P28" s="145"/>
      <c r="Q28" s="113"/>
      <c r="R28" s="113"/>
      <c r="S28" s="146"/>
      <c r="T28" s="147"/>
      <c r="U28" s="148"/>
      <c r="V28" s="149"/>
      <c r="W28" s="150"/>
      <c r="X28" s="151"/>
      <c r="Y28" s="152"/>
      <c r="Z28" s="151"/>
      <c r="AA28" s="153"/>
      <c r="AB28" s="154"/>
      <c r="AC28" s="149"/>
      <c r="AD28" s="148"/>
      <c r="AE28" s="148"/>
      <c r="AF28" s="155"/>
      <c r="AG28" s="156"/>
      <c r="AH28" s="113"/>
      <c r="AI28" s="157"/>
      <c r="AJ28" s="113"/>
      <c r="AK28" s="113"/>
      <c r="AL28" s="158"/>
      <c r="AM28" s="159"/>
      <c r="AN28" s="160"/>
      <c r="AO28" s="160"/>
      <c r="AP28" s="133"/>
      <c r="AQ28" s="134"/>
      <c r="AR28" s="161"/>
      <c r="AS28" s="161"/>
      <c r="AT28" s="161"/>
      <c r="AU28" s="161"/>
      <c r="AV28" s="162"/>
      <c r="AW28" s="137"/>
      <c r="AX28" s="137"/>
    </row>
    <row r="29" ht="46.5" customHeight="1" spans="1:50" s="97" customFormat="1" x14ac:dyDescent="0.25">
      <c r="A29" s="239">
        <v>13</v>
      </c>
      <c r="B29" s="99" t="s">
        <v>53</v>
      </c>
      <c r="C29" s="209" t="s">
        <v>199</v>
      </c>
      <c r="D29" s="246" t="s">
        <v>200</v>
      </c>
      <c r="E29" s="209"/>
      <c r="F29" s="100"/>
      <c r="G29" s="103"/>
      <c r="H29" s="171" t="s">
        <v>201</v>
      </c>
      <c r="I29" s="195">
        <v>0.7</v>
      </c>
      <c r="J29" s="226">
        <v>0.2501</v>
      </c>
      <c r="K29" s="107"/>
      <c r="L29" s="107"/>
      <c r="M29" s="187"/>
      <c r="N29" s="169">
        <f t="shared" si="0"/>
        <v>0.9501</v>
      </c>
      <c r="O29" s="144">
        <v>1</v>
      </c>
      <c r="P29" s="145">
        <v>15</v>
      </c>
      <c r="Q29" s="218">
        <v>8.6</v>
      </c>
      <c r="R29" s="113"/>
      <c r="S29" s="113"/>
      <c r="T29" s="146"/>
      <c r="U29" s="148">
        <f t="shared" si="1"/>
        <v>12.65</v>
      </c>
      <c r="V29" s="149">
        <f t="shared" si="2"/>
        <v>12.65</v>
      </c>
      <c r="W29" s="189">
        <v>10737437000</v>
      </c>
      <c r="X29" s="199">
        <v>3358650000</v>
      </c>
      <c r="Y29" s="151"/>
      <c r="Z29" s="190"/>
      <c r="AA29" s="153"/>
      <c r="AB29" s="154">
        <f t="shared" si="3"/>
        <v>27.82</v>
      </c>
      <c r="AC29" s="149">
        <f t="shared" si="4"/>
        <v>13</v>
      </c>
      <c r="AD29" s="125">
        <v>1</v>
      </c>
      <c r="AE29" s="148">
        <f t="shared" si="5"/>
        <v>14</v>
      </c>
      <c r="AF29" s="156">
        <f>0.5*I29</f>
        <v>0.35</v>
      </c>
      <c r="AG29" s="127">
        <v>3.08</v>
      </c>
      <c r="AH29" s="113">
        <f t="shared" si="6"/>
        <v>27</v>
      </c>
      <c r="AI29" s="157">
        <v>65</v>
      </c>
      <c r="AJ29" s="113">
        <f t="shared" si="7"/>
        <v>95.08</v>
      </c>
      <c r="AK29" s="113">
        <f t="shared" si="8"/>
        <v>95</v>
      </c>
      <c r="AL29" s="158">
        <f t="shared" si="9"/>
        <v>0.97</v>
      </c>
      <c r="AM29" s="159"/>
      <c r="AN29" s="160">
        <f t="shared" si="10"/>
        <v>1</v>
      </c>
      <c r="AO29" s="160">
        <f t="shared" si="10"/>
        <v>2</v>
      </c>
      <c r="AP29" s="133"/>
      <c r="AQ29" s="134"/>
      <c r="AR29" s="161"/>
      <c r="AS29" s="161"/>
      <c r="AT29" s="161"/>
      <c r="AU29" s="161"/>
      <c r="AV29" s="162"/>
      <c r="AW29" s="137">
        <f t="shared" si="11"/>
        <v>0</v>
      </c>
      <c r="AX29" s="137">
        <f t="shared" si="12"/>
        <v>0</v>
      </c>
    </row>
    <row r="30" ht="21.95" customHeight="1" spans="1:50" s="97" customFormat="1" x14ac:dyDescent="0.25">
      <c r="A30" s="138" t="s">
        <v>56</v>
      </c>
      <c r="B30" s="139"/>
      <c r="C30" s="139"/>
      <c r="D30" s="139"/>
      <c r="E30" s="139"/>
      <c r="F30" s="139"/>
      <c r="G30" s="139"/>
      <c r="H30" s="140"/>
      <c r="I30" s="142">
        <v>85</v>
      </c>
      <c r="J30" s="142">
        <v>85</v>
      </c>
      <c r="K30" s="142">
        <v>85</v>
      </c>
      <c r="L30" s="142"/>
      <c r="M30" s="142"/>
      <c r="N30" s="170">
        <f>I30*I29+J30*J29+K30*K29+L30*L29+M30*M29</f>
        <v>80.7585</v>
      </c>
      <c r="O30" s="144"/>
      <c r="P30" s="145"/>
      <c r="Q30" s="113"/>
      <c r="R30" s="113"/>
      <c r="S30" s="146"/>
      <c r="T30" s="147"/>
      <c r="U30" s="148"/>
      <c r="V30" s="149"/>
      <c r="W30" s="150"/>
      <c r="X30" s="151"/>
      <c r="Y30" s="152"/>
      <c r="Z30" s="151"/>
      <c r="AA30" s="153"/>
      <c r="AB30" s="154"/>
      <c r="AC30" s="149"/>
      <c r="AD30" s="148"/>
      <c r="AE30" s="148"/>
      <c r="AF30" s="155"/>
      <c r="AG30" s="156"/>
      <c r="AH30" s="113"/>
      <c r="AI30" s="157"/>
      <c r="AJ30" s="113"/>
      <c r="AK30" s="113"/>
      <c r="AL30" s="158"/>
      <c r="AM30" s="159"/>
      <c r="AN30" s="160"/>
      <c r="AO30" s="160"/>
      <c r="AP30" s="133"/>
      <c r="AQ30" s="134"/>
      <c r="AR30" s="161"/>
      <c r="AS30" s="161"/>
      <c r="AT30" s="161"/>
      <c r="AU30" s="161"/>
      <c r="AV30" s="162"/>
      <c r="AW30" s="137"/>
      <c r="AX30" s="137"/>
    </row>
    <row r="31" ht="46.5" customHeight="1" spans="1:50" s="97" customFormat="1" x14ac:dyDescent="0.25">
      <c r="A31" s="239">
        <v>14</v>
      </c>
      <c r="B31" s="99" t="s">
        <v>53</v>
      </c>
      <c r="C31" s="209" t="s">
        <v>146</v>
      </c>
      <c r="D31" s="101" t="s">
        <v>202</v>
      </c>
      <c r="E31" s="198"/>
      <c r="F31" s="100"/>
      <c r="G31" s="103"/>
      <c r="H31" s="186"/>
      <c r="I31" s="195">
        <v>0.7</v>
      </c>
      <c r="J31" s="107">
        <v>0.3</v>
      </c>
      <c r="K31" s="107"/>
      <c r="L31" s="107"/>
      <c r="M31" s="187"/>
      <c r="N31" s="169">
        <f t="shared" si="0"/>
        <v>1</v>
      </c>
      <c r="O31" s="144">
        <v>1</v>
      </c>
      <c r="P31" s="145">
        <v>15</v>
      </c>
      <c r="Q31" s="113">
        <v>15</v>
      </c>
      <c r="R31" s="113"/>
      <c r="S31" s="113"/>
      <c r="T31" s="146"/>
      <c r="U31" s="148">
        <f t="shared" si="1"/>
        <v>15</v>
      </c>
      <c r="V31" s="149">
        <f t="shared" si="2"/>
        <v>15</v>
      </c>
      <c r="W31" s="189">
        <v>618668065000</v>
      </c>
      <c r="X31" s="199">
        <v>1810832000</v>
      </c>
      <c r="Y31" s="151"/>
      <c r="Z31" s="190"/>
      <c r="AA31" s="153"/>
      <c r="AB31" s="154">
        <f t="shared" si="3"/>
        <v>1442.87</v>
      </c>
      <c r="AC31" s="149">
        <f t="shared" si="4"/>
        <v>13</v>
      </c>
      <c r="AD31" s="125">
        <v>2</v>
      </c>
      <c r="AE31" s="148">
        <f t="shared" si="5"/>
        <v>15</v>
      </c>
      <c r="AF31" s="156"/>
      <c r="AG31" s="127">
        <v>3.08</v>
      </c>
      <c r="AH31" s="113">
        <f t="shared" si="6"/>
        <v>30</v>
      </c>
      <c r="AI31" s="157">
        <v>65</v>
      </c>
      <c r="AJ31" s="113">
        <f t="shared" si="7"/>
        <v>98.08</v>
      </c>
      <c r="AK31" s="113">
        <f t="shared" si="8"/>
        <v>95</v>
      </c>
      <c r="AL31" s="158">
        <f t="shared" si="9"/>
        <v>0.955</v>
      </c>
      <c r="AM31" s="159"/>
      <c r="AN31" s="160">
        <f t="shared" si="10"/>
        <v>1</v>
      </c>
      <c r="AO31" s="160">
        <f t="shared" si="10"/>
        <v>2</v>
      </c>
      <c r="AP31" s="133"/>
      <c r="AQ31" s="134"/>
      <c r="AR31" s="161"/>
      <c r="AS31" s="161"/>
      <c r="AT31" s="161"/>
      <c r="AU31" s="161"/>
      <c r="AV31" s="162"/>
      <c r="AW31" s="137">
        <f t="shared" si="11"/>
        <v>0</v>
      </c>
      <c r="AX31" s="137">
        <f t="shared" si="12"/>
        <v>0</v>
      </c>
    </row>
    <row r="32" ht="46.5" customHeight="1" spans="1:50" s="97" customFormat="1" x14ac:dyDescent="0.25">
      <c r="A32" s="239">
        <v>15</v>
      </c>
      <c r="B32" s="99" t="s">
        <v>53</v>
      </c>
      <c r="C32" s="100" t="s">
        <v>136</v>
      </c>
      <c r="D32" s="101" t="s">
        <v>203</v>
      </c>
      <c r="E32" s="102"/>
      <c r="F32" s="100"/>
      <c r="G32" s="103"/>
      <c r="H32" s="171" t="s">
        <v>204</v>
      </c>
      <c r="I32" s="195">
        <v>0.65</v>
      </c>
      <c r="J32" s="226">
        <v>0.3409</v>
      </c>
      <c r="K32" s="107"/>
      <c r="L32" s="107"/>
      <c r="M32" s="187"/>
      <c r="N32" s="169">
        <f t="shared" si="0"/>
        <v>0.9909</v>
      </c>
      <c r="O32" s="144">
        <v>1</v>
      </c>
      <c r="P32" s="145">
        <v>15</v>
      </c>
      <c r="Q32" s="113">
        <v>15</v>
      </c>
      <c r="R32" s="113"/>
      <c r="S32" s="113"/>
      <c r="T32" s="146"/>
      <c r="U32" s="148">
        <f t="shared" si="1"/>
        <v>14.86</v>
      </c>
      <c r="V32" s="149">
        <f t="shared" si="2"/>
        <v>14.86</v>
      </c>
      <c r="W32" s="189">
        <v>227887155000</v>
      </c>
      <c r="X32" s="199">
        <v>4102925000</v>
      </c>
      <c r="Y32" s="151"/>
      <c r="Z32" s="190"/>
      <c r="AA32" s="153"/>
      <c r="AB32" s="154">
        <f t="shared" si="3"/>
        <v>497.51000000000005</v>
      </c>
      <c r="AC32" s="149">
        <f t="shared" si="4"/>
        <v>13</v>
      </c>
      <c r="AD32" s="125">
        <v>1.5</v>
      </c>
      <c r="AE32" s="148">
        <f t="shared" si="5"/>
        <v>14.5</v>
      </c>
      <c r="AF32" s="156"/>
      <c r="AG32" s="127">
        <v>3.08</v>
      </c>
      <c r="AH32" s="113">
        <f t="shared" si="6"/>
        <v>29.36</v>
      </c>
      <c r="AI32" s="157">
        <v>65</v>
      </c>
      <c r="AJ32" s="113">
        <f t="shared" si="7"/>
        <v>97.44</v>
      </c>
      <c r="AK32" s="113">
        <f t="shared" si="8"/>
        <v>95</v>
      </c>
      <c r="AL32" s="158">
        <f t="shared" si="9"/>
        <v>0.9581999999999999</v>
      </c>
      <c r="AM32" s="159"/>
      <c r="AN32" s="160">
        <f t="shared" si="10"/>
        <v>1</v>
      </c>
      <c r="AO32" s="160">
        <f t="shared" si="10"/>
        <v>2</v>
      </c>
      <c r="AP32" s="133"/>
      <c r="AQ32" s="134"/>
      <c r="AR32" s="161"/>
      <c r="AS32" s="161"/>
      <c r="AT32" s="161"/>
      <c r="AU32" s="161"/>
      <c r="AV32" s="162"/>
      <c r="AW32" s="137">
        <f t="shared" si="11"/>
        <v>0</v>
      </c>
      <c r="AX32" s="137">
        <f t="shared" si="12"/>
        <v>0</v>
      </c>
    </row>
    <row r="33" ht="21.95" customHeight="1" spans="1:50" s="97" customFormat="1" x14ac:dyDescent="0.25">
      <c r="A33" s="138" t="s">
        <v>56</v>
      </c>
      <c r="B33" s="139"/>
      <c r="C33" s="139"/>
      <c r="D33" s="139"/>
      <c r="E33" s="139"/>
      <c r="F33" s="139"/>
      <c r="G33" s="139"/>
      <c r="H33" s="140"/>
      <c r="I33" s="142">
        <v>85</v>
      </c>
      <c r="J33" s="142">
        <v>85</v>
      </c>
      <c r="K33" s="142">
        <v>85</v>
      </c>
      <c r="L33" s="142"/>
      <c r="M33" s="142"/>
      <c r="N33" s="170">
        <f>I33*I32+J33*J32+K33*K32+L33*L32+M33*M32</f>
        <v>84.2265</v>
      </c>
      <c r="O33" s="144"/>
      <c r="P33" s="145"/>
      <c r="Q33" s="113"/>
      <c r="R33" s="113"/>
      <c r="S33" s="146"/>
      <c r="T33" s="147"/>
      <c r="U33" s="148"/>
      <c r="V33" s="149"/>
      <c r="W33" s="150"/>
      <c r="X33" s="151"/>
      <c r="Y33" s="152"/>
      <c r="Z33" s="151"/>
      <c r="AA33" s="153"/>
      <c r="AB33" s="154"/>
      <c r="AC33" s="149"/>
      <c r="AD33" s="148"/>
      <c r="AE33" s="148"/>
      <c r="AF33" s="155"/>
      <c r="AG33" s="156"/>
      <c r="AH33" s="113"/>
      <c r="AI33" s="157"/>
      <c r="AJ33" s="113"/>
      <c r="AK33" s="113"/>
      <c r="AL33" s="158"/>
      <c r="AM33" s="159"/>
      <c r="AN33" s="160"/>
      <c r="AO33" s="160"/>
      <c r="AP33" s="133"/>
      <c r="AQ33" s="134"/>
      <c r="AR33" s="161"/>
      <c r="AS33" s="161"/>
      <c r="AT33" s="161"/>
      <c r="AU33" s="161"/>
      <c r="AV33" s="162"/>
      <c r="AW33" s="137"/>
      <c r="AX33" s="137"/>
    </row>
    <row r="34" ht="46.5" customHeight="1" spans="1:50" s="97" customFormat="1" x14ac:dyDescent="0.25">
      <c r="A34" s="239">
        <v>16</v>
      </c>
      <c r="B34" s="99" t="s">
        <v>53</v>
      </c>
      <c r="C34" s="174" t="s">
        <v>205</v>
      </c>
      <c r="D34" s="102" t="s">
        <v>206</v>
      </c>
      <c r="E34" s="100"/>
      <c r="F34" s="100"/>
      <c r="G34" s="103"/>
      <c r="H34" s="171" t="s">
        <v>207</v>
      </c>
      <c r="I34" s="245">
        <v>0.5039</v>
      </c>
      <c r="J34" s="107">
        <v>0.49</v>
      </c>
      <c r="K34" s="107"/>
      <c r="L34" s="107"/>
      <c r="M34" s="187"/>
      <c r="N34" s="169">
        <f t="shared" si="0"/>
        <v>0.9939</v>
      </c>
      <c r="O34" s="144">
        <v>1</v>
      </c>
      <c r="P34" s="145">
        <v>15</v>
      </c>
      <c r="Q34" s="113">
        <v>15</v>
      </c>
      <c r="R34" s="113"/>
      <c r="S34" s="113"/>
      <c r="T34" s="146"/>
      <c r="U34" s="148">
        <f t="shared" si="1"/>
        <v>14.91</v>
      </c>
      <c r="V34" s="149">
        <f t="shared" si="2"/>
        <v>14.91</v>
      </c>
      <c r="W34" s="189">
        <v>3425675000</v>
      </c>
      <c r="X34" s="120">
        <v>80267427000</v>
      </c>
      <c r="Y34" s="120"/>
      <c r="Z34" s="190"/>
      <c r="AA34" s="153"/>
      <c r="AB34" s="154">
        <f t="shared" si="3"/>
        <v>136.63</v>
      </c>
      <c r="AC34" s="149">
        <f t="shared" si="4"/>
        <v>13</v>
      </c>
      <c r="AD34" s="125">
        <v>1.5</v>
      </c>
      <c r="AE34" s="148">
        <f t="shared" si="5"/>
        <v>14.5</v>
      </c>
      <c r="AF34" s="156"/>
      <c r="AG34" s="127">
        <v>3.08</v>
      </c>
      <c r="AH34" s="113">
        <f t="shared" si="6"/>
        <v>29.41</v>
      </c>
      <c r="AI34" s="157">
        <v>65</v>
      </c>
      <c r="AJ34" s="113">
        <f t="shared" si="7"/>
        <v>97.49</v>
      </c>
      <c r="AK34" s="113">
        <f t="shared" si="8"/>
        <v>95</v>
      </c>
      <c r="AL34" s="158">
        <f t="shared" si="9"/>
        <v>0.95795</v>
      </c>
      <c r="AM34" s="159"/>
      <c r="AN34" s="160">
        <f t="shared" si="10"/>
        <v>1</v>
      </c>
      <c r="AO34" s="160">
        <f t="shared" si="10"/>
        <v>2</v>
      </c>
      <c r="AP34" s="133"/>
      <c r="AQ34" s="134"/>
      <c r="AR34" s="161"/>
      <c r="AS34" s="161"/>
      <c r="AT34" s="161"/>
      <c r="AU34" s="161"/>
      <c r="AV34" s="162"/>
      <c r="AW34" s="137">
        <f t="shared" si="11"/>
        <v>0</v>
      </c>
      <c r="AX34" s="137">
        <f t="shared" si="12"/>
        <v>0</v>
      </c>
    </row>
    <row r="35" ht="21.95" customHeight="1" spans="1:50" s="97" customFormat="1" x14ac:dyDescent="0.25">
      <c r="A35" s="138" t="s">
        <v>56</v>
      </c>
      <c r="B35" s="139"/>
      <c r="C35" s="139"/>
      <c r="D35" s="139"/>
      <c r="E35" s="139"/>
      <c r="F35" s="139"/>
      <c r="G35" s="139"/>
      <c r="H35" s="140"/>
      <c r="I35" s="142">
        <v>85</v>
      </c>
      <c r="J35" s="142">
        <v>85</v>
      </c>
      <c r="K35" s="142">
        <v>85</v>
      </c>
      <c r="L35" s="142"/>
      <c r="M35" s="142"/>
      <c r="N35" s="170">
        <f>I35*I34+J35*J34+K35*K34+L35*L34+M35*M34</f>
        <v>84.4815</v>
      </c>
      <c r="O35" s="144"/>
      <c r="P35" s="145"/>
      <c r="Q35" s="113"/>
      <c r="R35" s="113"/>
      <c r="S35" s="146"/>
      <c r="T35" s="147"/>
      <c r="U35" s="148"/>
      <c r="V35" s="149"/>
      <c r="W35" s="150"/>
      <c r="X35" s="151"/>
      <c r="Y35" s="152"/>
      <c r="Z35" s="151"/>
      <c r="AA35" s="153"/>
      <c r="AB35" s="154"/>
      <c r="AC35" s="149"/>
      <c r="AD35" s="148"/>
      <c r="AE35" s="148"/>
      <c r="AF35" s="155"/>
      <c r="AG35" s="156"/>
      <c r="AH35" s="113"/>
      <c r="AI35" s="157"/>
      <c r="AJ35" s="113"/>
      <c r="AK35" s="113"/>
      <c r="AL35" s="158"/>
      <c r="AM35" s="159"/>
      <c r="AN35" s="160"/>
      <c r="AO35" s="160"/>
      <c r="AP35" s="133"/>
      <c r="AQ35" s="134"/>
      <c r="AR35" s="161"/>
      <c r="AS35" s="161"/>
      <c r="AT35" s="161"/>
      <c r="AU35" s="161"/>
      <c r="AV35" s="162"/>
      <c r="AW35" s="137"/>
      <c r="AX35" s="137"/>
    </row>
    <row r="36" ht="46.5" customHeight="1" spans="1:50" s="97" customFormat="1" x14ac:dyDescent="0.25">
      <c r="A36" s="239">
        <v>17</v>
      </c>
      <c r="B36" s="99" t="s">
        <v>53</v>
      </c>
      <c r="C36" s="174" t="s">
        <v>208</v>
      </c>
      <c r="D36" s="193" t="s">
        <v>71</v>
      </c>
      <c r="E36" s="100"/>
      <c r="F36" s="100"/>
      <c r="G36" s="103"/>
      <c r="H36" s="186"/>
      <c r="I36" s="195">
        <v>0.51</v>
      </c>
      <c r="J36" s="107">
        <v>0.49</v>
      </c>
      <c r="K36" s="107"/>
      <c r="L36" s="107"/>
      <c r="M36" s="187"/>
      <c r="N36" s="169">
        <f t="shared" si="0"/>
        <v>1</v>
      </c>
      <c r="O36" s="144">
        <v>1</v>
      </c>
      <c r="P36" s="145">
        <v>15</v>
      </c>
      <c r="Q36" s="113">
        <v>15</v>
      </c>
      <c r="R36" s="113"/>
      <c r="S36" s="113"/>
      <c r="T36" s="146"/>
      <c r="U36" s="148">
        <f t="shared" si="1"/>
        <v>15</v>
      </c>
      <c r="V36" s="149">
        <f t="shared" si="2"/>
        <v>15</v>
      </c>
      <c r="W36" s="189">
        <v>7622761000</v>
      </c>
      <c r="X36" s="199">
        <v>78106522000</v>
      </c>
      <c r="Y36" s="151"/>
      <c r="Z36" s="190"/>
      <c r="AA36" s="153"/>
      <c r="AB36" s="154">
        <f t="shared" si="3"/>
        <v>140.26999999999998</v>
      </c>
      <c r="AC36" s="149">
        <f t="shared" si="4"/>
        <v>13</v>
      </c>
      <c r="AD36" s="125">
        <v>2</v>
      </c>
      <c r="AE36" s="148">
        <f t="shared" si="5"/>
        <v>15</v>
      </c>
      <c r="AF36" s="156"/>
      <c r="AG36" s="127">
        <v>3.08</v>
      </c>
      <c r="AH36" s="113">
        <f t="shared" si="6"/>
        <v>30</v>
      </c>
      <c r="AI36" s="157">
        <v>65</v>
      </c>
      <c r="AJ36" s="113">
        <f t="shared" si="7"/>
        <v>98.08</v>
      </c>
      <c r="AK36" s="113">
        <f t="shared" si="8"/>
        <v>95</v>
      </c>
      <c r="AL36" s="158">
        <f t="shared" si="9"/>
        <v>0.955</v>
      </c>
      <c r="AM36" s="159"/>
      <c r="AN36" s="160">
        <f t="shared" si="10"/>
        <v>1</v>
      </c>
      <c r="AO36" s="160">
        <f t="shared" si="10"/>
        <v>2</v>
      </c>
      <c r="AP36" s="133"/>
      <c r="AQ36" s="134"/>
      <c r="AR36" s="161"/>
      <c r="AS36" s="161"/>
      <c r="AT36" s="161"/>
      <c r="AU36" s="161"/>
      <c r="AV36" s="162"/>
      <c r="AW36" s="137">
        <f t="shared" si="11"/>
        <v>0</v>
      </c>
      <c r="AX36" s="137">
        <f t="shared" si="12"/>
        <v>0</v>
      </c>
    </row>
    <row r="37" ht="46.5" customHeight="1" spans="1:50" s="97" customFormat="1" x14ac:dyDescent="0.25">
      <c r="A37" s="239">
        <v>18</v>
      </c>
      <c r="B37" s="99" t="s">
        <v>53</v>
      </c>
      <c r="C37" s="209" t="s">
        <v>209</v>
      </c>
      <c r="D37" s="101" t="s">
        <v>210</v>
      </c>
      <c r="E37" s="100"/>
      <c r="F37" s="100"/>
      <c r="G37" s="103"/>
      <c r="H37" s="186"/>
      <c r="I37" s="195">
        <v>0.65</v>
      </c>
      <c r="J37" s="107">
        <v>0.35</v>
      </c>
      <c r="K37" s="107"/>
      <c r="L37" s="107"/>
      <c r="M37" s="187"/>
      <c r="N37" s="169">
        <f t="shared" si="0"/>
        <v>1</v>
      </c>
      <c r="O37" s="144">
        <v>1</v>
      </c>
      <c r="P37" s="145">
        <v>15</v>
      </c>
      <c r="Q37" s="113">
        <v>15</v>
      </c>
      <c r="R37" s="113"/>
      <c r="S37" s="113"/>
      <c r="T37" s="146"/>
      <c r="U37" s="148">
        <f t="shared" si="1"/>
        <v>15</v>
      </c>
      <c r="V37" s="149">
        <f t="shared" si="2"/>
        <v>15</v>
      </c>
      <c r="W37" s="189">
        <v>41028772000</v>
      </c>
      <c r="X37" s="199">
        <v>3231169000</v>
      </c>
      <c r="Y37" s="151"/>
      <c r="Z37" s="190"/>
      <c r="AA37" s="153"/>
      <c r="AB37" s="154">
        <f t="shared" si="3"/>
        <v>92.56</v>
      </c>
      <c r="AC37" s="149">
        <f t="shared" si="4"/>
        <v>13</v>
      </c>
      <c r="AD37" s="125">
        <v>2</v>
      </c>
      <c r="AE37" s="148">
        <f t="shared" si="5"/>
        <v>15</v>
      </c>
      <c r="AF37" s="156"/>
      <c r="AG37" s="127">
        <v>3.08</v>
      </c>
      <c r="AH37" s="113">
        <f t="shared" si="6"/>
        <v>30</v>
      </c>
      <c r="AI37" s="157">
        <v>65</v>
      </c>
      <c r="AJ37" s="113">
        <f t="shared" si="7"/>
        <v>98.08</v>
      </c>
      <c r="AK37" s="113">
        <f t="shared" si="8"/>
        <v>95</v>
      </c>
      <c r="AL37" s="158">
        <f t="shared" si="9"/>
        <v>0.955</v>
      </c>
      <c r="AM37" s="159"/>
      <c r="AN37" s="160">
        <f t="shared" si="10"/>
        <v>1</v>
      </c>
      <c r="AO37" s="160">
        <f t="shared" si="10"/>
        <v>2</v>
      </c>
      <c r="AP37" s="133"/>
      <c r="AQ37" s="134"/>
      <c r="AR37" s="161"/>
      <c r="AS37" s="161"/>
      <c r="AT37" s="161"/>
      <c r="AU37" s="161"/>
      <c r="AV37" s="162"/>
      <c r="AW37" s="137">
        <f t="shared" si="11"/>
        <v>0</v>
      </c>
      <c r="AX37" s="137">
        <f t="shared" si="12"/>
        <v>0</v>
      </c>
    </row>
    <row r="38" ht="46.5" customHeight="1" spans="1:50" s="97" customFormat="1" x14ac:dyDescent="0.25">
      <c r="A38" s="239">
        <v>19</v>
      </c>
      <c r="B38" s="99" t="s">
        <v>53</v>
      </c>
      <c r="C38" s="209" t="s">
        <v>211</v>
      </c>
      <c r="D38" s="205" t="s">
        <v>212</v>
      </c>
      <c r="E38" s="100"/>
      <c r="F38" s="100"/>
      <c r="G38" s="103"/>
      <c r="H38" s="171"/>
      <c r="I38" s="195">
        <v>0.51</v>
      </c>
      <c r="J38" s="107">
        <v>0.49</v>
      </c>
      <c r="K38" s="107"/>
      <c r="L38" s="107"/>
      <c r="M38" s="187"/>
      <c r="N38" s="169">
        <f t="shared" si="0"/>
        <v>1</v>
      </c>
      <c r="O38" s="144">
        <v>1</v>
      </c>
      <c r="P38" s="145">
        <v>15</v>
      </c>
      <c r="Q38" s="113">
        <v>15</v>
      </c>
      <c r="R38" s="113"/>
      <c r="S38" s="113"/>
      <c r="T38" s="146"/>
      <c r="U38" s="148">
        <f t="shared" si="1"/>
        <v>15</v>
      </c>
      <c r="V38" s="149">
        <f t="shared" si="2"/>
        <v>15</v>
      </c>
      <c r="W38" s="189">
        <v>29846687000</v>
      </c>
      <c r="X38" s="213">
        <v>17523143000</v>
      </c>
      <c r="Y38" s="151"/>
      <c r="Z38" s="190"/>
      <c r="AA38" s="153"/>
      <c r="AB38" s="154">
        <f t="shared" si="3"/>
        <v>79.17</v>
      </c>
      <c r="AC38" s="149">
        <f t="shared" si="4"/>
        <v>13</v>
      </c>
      <c r="AD38" s="125">
        <v>2</v>
      </c>
      <c r="AE38" s="148">
        <f t="shared" si="5"/>
        <v>15</v>
      </c>
      <c r="AF38" s="156"/>
      <c r="AG38" s="127">
        <v>3.08</v>
      </c>
      <c r="AH38" s="113">
        <f t="shared" si="6"/>
        <v>30</v>
      </c>
      <c r="AI38" s="157">
        <v>65</v>
      </c>
      <c r="AJ38" s="113">
        <f t="shared" si="7"/>
        <v>98.08</v>
      </c>
      <c r="AK38" s="113">
        <f t="shared" si="8"/>
        <v>95</v>
      </c>
      <c r="AL38" s="158">
        <f t="shared" si="9"/>
        <v>0.955</v>
      </c>
      <c r="AM38" s="159"/>
      <c r="AN38" s="160">
        <f t="shared" si="10"/>
        <v>1</v>
      </c>
      <c r="AO38" s="160">
        <f t="shared" si="10"/>
        <v>2</v>
      </c>
      <c r="AP38" s="133"/>
      <c r="AQ38" s="134"/>
      <c r="AR38" s="161"/>
      <c r="AS38" s="161"/>
      <c r="AT38" s="161"/>
      <c r="AU38" s="161"/>
      <c r="AV38" s="162"/>
      <c r="AW38" s="137">
        <f t="shared" si="11"/>
        <v>0</v>
      </c>
      <c r="AX38" s="137">
        <f t="shared" si="12"/>
        <v>0</v>
      </c>
    </row>
    <row r="39" ht="21.95" customHeight="1" spans="1:50" s="97" customFormat="1" x14ac:dyDescent="0.25">
      <c r="A39" s="138" t="s">
        <v>56</v>
      </c>
      <c r="B39" s="139"/>
      <c r="C39" s="139"/>
      <c r="D39" s="139"/>
      <c r="E39" s="139"/>
      <c r="F39" s="139"/>
      <c r="G39" s="139"/>
      <c r="H39" s="140"/>
      <c r="I39" s="142">
        <v>85</v>
      </c>
      <c r="J39" s="142">
        <v>85</v>
      </c>
      <c r="K39" s="142">
        <v>85</v>
      </c>
      <c r="L39" s="142"/>
      <c r="M39" s="142"/>
      <c r="N39" s="170">
        <f>I39*I38+J39*J38+K39*K38+L39*L38+M39*M38</f>
        <v>85</v>
      </c>
      <c r="O39" s="144"/>
      <c r="P39" s="145"/>
      <c r="Q39" s="113"/>
      <c r="R39" s="113"/>
      <c r="S39" s="146"/>
      <c r="T39" s="147"/>
      <c r="U39" s="148"/>
      <c r="V39" s="149"/>
      <c r="W39" s="150"/>
      <c r="X39" s="151"/>
      <c r="Y39" s="152"/>
      <c r="Z39" s="151"/>
      <c r="AA39" s="153"/>
      <c r="AB39" s="154"/>
      <c r="AC39" s="149"/>
      <c r="AD39" s="148"/>
      <c r="AE39" s="148"/>
      <c r="AF39" s="155"/>
      <c r="AG39" s="156"/>
      <c r="AH39" s="113"/>
      <c r="AI39" s="157"/>
      <c r="AJ39" s="113"/>
      <c r="AK39" s="113"/>
      <c r="AL39" s="158"/>
      <c r="AM39" s="159"/>
      <c r="AN39" s="160"/>
      <c r="AO39" s="160"/>
      <c r="AP39" s="133"/>
      <c r="AQ39" s="134"/>
      <c r="AR39" s="161"/>
      <c r="AS39" s="161"/>
      <c r="AT39" s="161"/>
      <c r="AU39" s="161"/>
      <c r="AV39" s="162"/>
      <c r="AW39" s="137"/>
      <c r="AX39" s="137"/>
    </row>
    <row r="40" ht="46.5" customHeight="1" spans="1:50" s="97" customFormat="1" x14ac:dyDescent="0.25">
      <c r="A40" s="239">
        <v>20</v>
      </c>
      <c r="B40" s="99" t="s">
        <v>53</v>
      </c>
      <c r="C40" s="100" t="s">
        <v>213</v>
      </c>
      <c r="D40" s="174" t="s">
        <v>214</v>
      </c>
      <c r="E40" s="100"/>
      <c r="F40" s="100"/>
      <c r="G40" s="103"/>
      <c r="H40" s="171" t="s">
        <v>215</v>
      </c>
      <c r="I40" s="195">
        <v>0.7</v>
      </c>
      <c r="J40" s="226">
        <v>0.2903</v>
      </c>
      <c r="K40" s="107"/>
      <c r="L40" s="107"/>
      <c r="M40" s="187"/>
      <c r="N40" s="169">
        <f t="shared" si="0"/>
        <v>0.9903</v>
      </c>
      <c r="O40" s="229">
        <v>1.1</v>
      </c>
      <c r="P40" s="145">
        <v>15</v>
      </c>
      <c r="Q40" s="113">
        <v>15</v>
      </c>
      <c r="R40" s="113"/>
      <c r="S40" s="113"/>
      <c r="T40" s="146"/>
      <c r="U40" s="148">
        <f t="shared" si="1"/>
        <v>16.34</v>
      </c>
      <c r="V40" s="149">
        <f t="shared" si="2"/>
        <v>15</v>
      </c>
      <c r="W40" s="213">
        <v>816103333000</v>
      </c>
      <c r="X40" s="199">
        <v>1880242000</v>
      </c>
      <c r="Y40" s="151"/>
      <c r="Z40" s="190"/>
      <c r="AA40" s="153"/>
      <c r="AB40" s="154">
        <f t="shared" si="3"/>
        <v>1902.81</v>
      </c>
      <c r="AC40" s="149">
        <f t="shared" si="4"/>
        <v>13</v>
      </c>
      <c r="AD40" s="125">
        <v>1.5</v>
      </c>
      <c r="AE40" s="148">
        <f t="shared" si="5"/>
        <v>14.5</v>
      </c>
      <c r="AF40" s="156"/>
      <c r="AG40" s="127">
        <v>3.08</v>
      </c>
      <c r="AH40" s="113">
        <f t="shared" si="6"/>
        <v>29.5</v>
      </c>
      <c r="AI40" s="157">
        <v>65</v>
      </c>
      <c r="AJ40" s="113">
        <f t="shared" si="7"/>
        <v>97.58</v>
      </c>
      <c r="AK40" s="113">
        <f t="shared" si="8"/>
        <v>95</v>
      </c>
      <c r="AL40" s="158">
        <f t="shared" si="9"/>
        <v>0.9575</v>
      </c>
      <c r="AM40" s="159"/>
      <c r="AN40" s="160">
        <f t="shared" si="10"/>
        <v>1</v>
      </c>
      <c r="AO40" s="160">
        <f t="shared" si="10"/>
        <v>2</v>
      </c>
      <c r="AP40" s="133"/>
      <c r="AQ40" s="134"/>
      <c r="AR40" s="161"/>
      <c r="AS40" s="161"/>
      <c r="AT40" s="161"/>
      <c r="AU40" s="161"/>
      <c r="AV40" s="162"/>
      <c r="AW40" s="137">
        <f t="shared" si="11"/>
        <v>0</v>
      </c>
      <c r="AX40" s="137">
        <f t="shared" si="12"/>
        <v>0</v>
      </c>
    </row>
    <row r="41" ht="21.95" customHeight="1" spans="1:50" s="97" customFormat="1" x14ac:dyDescent="0.25">
      <c r="A41" s="138" t="s">
        <v>56</v>
      </c>
      <c r="B41" s="139"/>
      <c r="C41" s="139"/>
      <c r="D41" s="139"/>
      <c r="E41" s="139"/>
      <c r="F41" s="139"/>
      <c r="G41" s="139"/>
      <c r="H41" s="140"/>
      <c r="I41" s="142">
        <v>85</v>
      </c>
      <c r="J41" s="142">
        <v>85</v>
      </c>
      <c r="K41" s="142">
        <v>85</v>
      </c>
      <c r="L41" s="142"/>
      <c r="M41" s="142"/>
      <c r="N41" s="170">
        <f>I41*I40+J41*J40+K41*K40+L41*L40+M41*M40</f>
        <v>84.1755</v>
      </c>
      <c r="O41" s="144"/>
      <c r="P41" s="145"/>
      <c r="Q41" s="113"/>
      <c r="R41" s="113"/>
      <c r="S41" s="146"/>
      <c r="T41" s="147"/>
      <c r="U41" s="148"/>
      <c r="V41" s="149"/>
      <c r="W41" s="150"/>
      <c r="X41" s="151"/>
      <c r="Y41" s="152"/>
      <c r="Z41" s="151"/>
      <c r="AA41" s="153"/>
      <c r="AB41" s="154"/>
      <c r="AC41" s="149"/>
      <c r="AD41" s="148"/>
      <c r="AE41" s="148"/>
      <c r="AF41" s="155"/>
      <c r="AG41" s="156"/>
      <c r="AH41" s="113"/>
      <c r="AI41" s="157"/>
      <c r="AJ41" s="113"/>
      <c r="AK41" s="113"/>
      <c r="AL41" s="158"/>
      <c r="AM41" s="159"/>
      <c r="AN41" s="160"/>
      <c r="AO41" s="160"/>
      <c r="AP41" s="133"/>
      <c r="AQ41" s="134"/>
      <c r="AR41" s="161"/>
      <c r="AS41" s="161"/>
      <c r="AT41" s="161"/>
      <c r="AU41" s="161"/>
      <c r="AV41" s="162"/>
      <c r="AW41" s="137"/>
      <c r="AX41" s="137"/>
    </row>
    <row r="42" ht="46.5" customHeight="1" spans="1:50" s="97" customFormat="1" x14ac:dyDescent="0.25">
      <c r="A42" s="239">
        <v>21</v>
      </c>
      <c r="B42" s="99" t="s">
        <v>53</v>
      </c>
      <c r="C42" s="102" t="s">
        <v>93</v>
      </c>
      <c r="D42" s="203" t="s">
        <v>216</v>
      </c>
      <c r="E42" s="100"/>
      <c r="F42" s="100"/>
      <c r="G42" s="103"/>
      <c r="H42" s="171" t="s">
        <v>217</v>
      </c>
      <c r="I42" s="195">
        <v>0.7</v>
      </c>
      <c r="J42" s="226">
        <v>0.2768</v>
      </c>
      <c r="K42" s="107"/>
      <c r="L42" s="107"/>
      <c r="M42" s="187"/>
      <c r="N42" s="169">
        <f t="shared" si="0"/>
        <v>0.9767999999999999</v>
      </c>
      <c r="O42" s="144">
        <v>1</v>
      </c>
      <c r="P42" s="145">
        <v>15</v>
      </c>
      <c r="Q42" s="113">
        <v>15</v>
      </c>
      <c r="R42" s="113"/>
      <c r="S42" s="113"/>
      <c r="T42" s="146"/>
      <c r="U42" s="148">
        <f t="shared" si="1"/>
        <v>14.65</v>
      </c>
      <c r="V42" s="149">
        <f t="shared" si="2"/>
        <v>14.65</v>
      </c>
      <c r="W42" s="211">
        <v>229675529000</v>
      </c>
      <c r="X42" s="151">
        <v>1281708000</v>
      </c>
      <c r="Y42" s="151"/>
      <c r="Z42" s="190"/>
      <c r="AA42" s="153"/>
      <c r="AB42" s="154">
        <f t="shared" si="3"/>
        <v>536.12</v>
      </c>
      <c r="AC42" s="149">
        <f t="shared" si="4"/>
        <v>13</v>
      </c>
      <c r="AD42" s="125">
        <v>1.5</v>
      </c>
      <c r="AE42" s="148">
        <f t="shared" si="5"/>
        <v>14.5</v>
      </c>
      <c r="AF42" s="156"/>
      <c r="AG42" s="127">
        <v>3.08</v>
      </c>
      <c r="AH42" s="113">
        <f t="shared" si="6"/>
        <v>29.15</v>
      </c>
      <c r="AI42" s="157">
        <v>65</v>
      </c>
      <c r="AJ42" s="113">
        <f t="shared" si="7"/>
        <v>97.23</v>
      </c>
      <c r="AK42" s="113">
        <f t="shared" si="8"/>
        <v>95</v>
      </c>
      <c r="AL42" s="158">
        <f t="shared" si="9"/>
        <v>0.9592499999999999</v>
      </c>
      <c r="AM42" s="159"/>
      <c r="AN42" s="160">
        <f t="shared" ref="AN42:AO62" si="13">100%+AM42</f>
        <v>1</v>
      </c>
      <c r="AO42" s="160">
        <f t="shared" si="13"/>
        <v>2</v>
      </c>
      <c r="AP42" s="133"/>
      <c r="AQ42" s="134"/>
      <c r="AR42" s="161"/>
      <c r="AS42" s="161"/>
      <c r="AT42" s="161"/>
      <c r="AU42" s="161"/>
      <c r="AV42" s="162"/>
      <c r="AW42" s="137">
        <f t="shared" si="11"/>
        <v>0</v>
      </c>
      <c r="AX42" s="137">
        <f t="shared" si="12"/>
        <v>0</v>
      </c>
    </row>
    <row r="43" ht="21.95" customHeight="1" spans="1:50" s="97" customFormat="1" x14ac:dyDescent="0.25">
      <c r="A43" s="138" t="s">
        <v>56</v>
      </c>
      <c r="B43" s="139"/>
      <c r="C43" s="139"/>
      <c r="D43" s="139"/>
      <c r="E43" s="139"/>
      <c r="F43" s="139"/>
      <c r="G43" s="139"/>
      <c r="H43" s="140"/>
      <c r="I43" s="142">
        <v>85</v>
      </c>
      <c r="J43" s="142">
        <v>85</v>
      </c>
      <c r="K43" s="142">
        <v>85</v>
      </c>
      <c r="L43" s="142"/>
      <c r="M43" s="142"/>
      <c r="N43" s="170">
        <f>I43*I42+J43*J42+K43*K42+L43*L42+M43*M42</f>
        <v>83.02799999999999</v>
      </c>
      <c r="O43" s="144"/>
      <c r="P43" s="145"/>
      <c r="Q43" s="113"/>
      <c r="R43" s="113"/>
      <c r="S43" s="146"/>
      <c r="T43" s="147"/>
      <c r="U43" s="148"/>
      <c r="V43" s="149"/>
      <c r="W43" s="150"/>
      <c r="X43" s="151"/>
      <c r="Y43" s="152"/>
      <c r="Z43" s="151"/>
      <c r="AA43" s="153"/>
      <c r="AB43" s="154"/>
      <c r="AC43" s="149"/>
      <c r="AD43" s="148"/>
      <c r="AE43" s="148"/>
      <c r="AF43" s="155"/>
      <c r="AG43" s="156"/>
      <c r="AH43" s="113"/>
      <c r="AI43" s="157"/>
      <c r="AJ43" s="113"/>
      <c r="AK43" s="113"/>
      <c r="AL43" s="158"/>
      <c r="AM43" s="159"/>
      <c r="AN43" s="160"/>
      <c r="AO43" s="160"/>
      <c r="AP43" s="133"/>
      <c r="AQ43" s="134"/>
      <c r="AR43" s="161"/>
      <c r="AS43" s="161"/>
      <c r="AT43" s="161"/>
      <c r="AU43" s="161"/>
      <c r="AV43" s="162"/>
      <c r="AW43" s="137"/>
      <c r="AX43" s="137"/>
    </row>
    <row r="44" ht="46.5" customHeight="1" spans="1:50" s="97" customFormat="1" x14ac:dyDescent="0.25">
      <c r="A44" s="100"/>
      <c r="B44" s="100"/>
      <c r="C44" s="100"/>
      <c r="D44" s="100"/>
      <c r="E44" s="100"/>
      <c r="F44" s="100"/>
      <c r="G44" s="103"/>
      <c r="H44" s="186"/>
      <c r="I44" s="195">
        <v>0.51</v>
      </c>
      <c r="J44" s="107">
        <v>0.49</v>
      </c>
      <c r="K44" s="107"/>
      <c r="L44" s="107"/>
      <c r="M44" s="187"/>
      <c r="N44" s="169">
        <f t="shared" si="0"/>
        <v>1</v>
      </c>
      <c r="O44" s="144">
        <v>1</v>
      </c>
      <c r="P44" s="145">
        <v>15</v>
      </c>
      <c r="Q44" s="113">
        <v>15</v>
      </c>
      <c r="R44" s="113"/>
      <c r="S44" s="113"/>
      <c r="T44" s="146"/>
      <c r="U44" s="148">
        <f t="shared" si="1"/>
        <v>15</v>
      </c>
      <c r="V44" s="149">
        <f t="shared" si="2"/>
        <v>15</v>
      </c>
      <c r="W44" s="189"/>
      <c r="X44" s="199"/>
      <c r="Y44" s="151"/>
      <c r="Z44" s="190"/>
      <c r="AA44" s="153"/>
      <c r="AB44" s="154">
        <f t="shared" si="3"/>
        <v>0</v>
      </c>
      <c r="AC44" s="149">
        <f t="shared" si="4"/>
        <v>0</v>
      </c>
      <c r="AD44" s="125">
        <v>2</v>
      </c>
      <c r="AE44" s="148">
        <f t="shared" si="5"/>
        <v>2</v>
      </c>
      <c r="AF44" s="156"/>
      <c r="AG44" s="156"/>
      <c r="AH44" s="113">
        <f t="shared" si="6"/>
        <v>17</v>
      </c>
      <c r="AI44" s="157">
        <v>65</v>
      </c>
      <c r="AJ44" s="113">
        <f t="shared" si="7"/>
        <v>82</v>
      </c>
      <c r="AK44" s="113">
        <f t="shared" si="8"/>
        <v>82</v>
      </c>
      <c r="AL44" s="158">
        <f t="shared" si="9"/>
        <v>1.02</v>
      </c>
      <c r="AM44" s="159"/>
      <c r="AN44" s="160">
        <f t="shared" si="13"/>
        <v>1</v>
      </c>
      <c r="AO44" s="160">
        <f t="shared" si="13"/>
        <v>2</v>
      </c>
      <c r="AP44" s="133"/>
      <c r="AQ44" s="134"/>
      <c r="AR44" s="161"/>
      <c r="AS44" s="161"/>
      <c r="AT44" s="161"/>
      <c r="AU44" s="161"/>
      <c r="AV44" s="162"/>
      <c r="AW44" s="137">
        <f t="shared" si="11"/>
        <v>0</v>
      </c>
      <c r="AX44" s="137">
        <f t="shared" si="12"/>
        <v>0</v>
      </c>
    </row>
    <row r="45" ht="46.5" customHeight="1" spans="1:50" s="97" customFormat="1" x14ac:dyDescent="0.25">
      <c r="A45" s="100"/>
      <c r="B45" s="100"/>
      <c r="C45" s="100"/>
      <c r="D45" s="100"/>
      <c r="E45" s="100"/>
      <c r="F45" s="100"/>
      <c r="G45" s="103"/>
      <c r="H45" s="186"/>
      <c r="I45" s="195">
        <v>0.51</v>
      </c>
      <c r="J45" s="107">
        <v>0.49</v>
      </c>
      <c r="K45" s="107"/>
      <c r="L45" s="107"/>
      <c r="M45" s="187"/>
      <c r="N45" s="169">
        <f t="shared" si="0"/>
        <v>1</v>
      </c>
      <c r="O45" s="144">
        <v>1</v>
      </c>
      <c r="P45" s="145">
        <v>15</v>
      </c>
      <c r="Q45" s="113">
        <v>15</v>
      </c>
      <c r="R45" s="113"/>
      <c r="S45" s="113"/>
      <c r="T45" s="146"/>
      <c r="U45" s="148">
        <f t="shared" si="1"/>
        <v>15</v>
      </c>
      <c r="V45" s="149">
        <f t="shared" si="2"/>
        <v>15</v>
      </c>
      <c r="W45" s="189"/>
      <c r="X45" s="199"/>
      <c r="Y45" s="151"/>
      <c r="Z45" s="190"/>
      <c r="AA45" s="153"/>
      <c r="AB45" s="154">
        <f t="shared" si="3"/>
        <v>0</v>
      </c>
      <c r="AC45" s="149">
        <f t="shared" si="4"/>
        <v>0</v>
      </c>
      <c r="AD45" s="125">
        <v>2</v>
      </c>
      <c r="AE45" s="148">
        <f t="shared" si="5"/>
        <v>2</v>
      </c>
      <c r="AF45" s="156"/>
      <c r="AG45" s="156"/>
      <c r="AH45" s="113">
        <f t="shared" si="6"/>
        <v>17</v>
      </c>
      <c r="AI45" s="157">
        <v>65</v>
      </c>
      <c r="AJ45" s="113">
        <f t="shared" si="7"/>
        <v>82</v>
      </c>
      <c r="AK45" s="113">
        <f t="shared" si="8"/>
        <v>82</v>
      </c>
      <c r="AL45" s="158">
        <f t="shared" si="9"/>
        <v>1.02</v>
      </c>
      <c r="AM45" s="159"/>
      <c r="AN45" s="160">
        <f t="shared" si="13"/>
        <v>1</v>
      </c>
      <c r="AO45" s="160">
        <f t="shared" si="13"/>
        <v>2</v>
      </c>
      <c r="AP45" s="133"/>
      <c r="AQ45" s="134"/>
      <c r="AR45" s="161"/>
      <c r="AS45" s="161"/>
      <c r="AT45" s="161"/>
      <c r="AU45" s="161"/>
      <c r="AV45" s="162"/>
      <c r="AW45" s="137">
        <f t="shared" si="11"/>
        <v>0</v>
      </c>
      <c r="AX45" s="137">
        <f t="shared" si="12"/>
        <v>0</v>
      </c>
    </row>
    <row r="46" ht="46.5" customHeight="1" spans="1:50" s="97" customFormat="1" x14ac:dyDescent="0.25">
      <c r="A46" s="100"/>
      <c r="B46" s="100"/>
      <c r="C46" s="209" t="s">
        <v>218</v>
      </c>
      <c r="D46" s="100"/>
      <c r="E46" s="100"/>
      <c r="F46" s="100"/>
      <c r="G46" s="103"/>
      <c r="H46" s="171" t="s">
        <v>219</v>
      </c>
      <c r="I46" s="195">
        <v>0.51</v>
      </c>
      <c r="J46" s="107">
        <v>0.49</v>
      </c>
      <c r="K46" s="107"/>
      <c r="L46" s="107"/>
      <c r="M46" s="187"/>
      <c r="N46" s="169">
        <f t="shared" si="0"/>
        <v>1</v>
      </c>
      <c r="O46" s="229">
        <v>1.1</v>
      </c>
      <c r="P46" s="145">
        <v>15</v>
      </c>
      <c r="Q46" s="113">
        <v>15</v>
      </c>
      <c r="R46" s="113"/>
      <c r="S46" s="113"/>
      <c r="T46" s="146"/>
      <c r="U46" s="148">
        <f t="shared" si="1"/>
        <v>16.5</v>
      </c>
      <c r="V46" s="149">
        <f t="shared" si="2"/>
        <v>15</v>
      </c>
      <c r="W46" s="189">
        <v>1945512000</v>
      </c>
      <c r="X46" s="199"/>
      <c r="Y46" s="151"/>
      <c r="Z46" s="190"/>
      <c r="AA46" s="153"/>
      <c r="AB46" s="154">
        <f t="shared" si="3"/>
        <v>3.25</v>
      </c>
      <c r="AC46" s="149">
        <f t="shared" si="4"/>
        <v>3.25</v>
      </c>
      <c r="AD46" s="125">
        <v>2</v>
      </c>
      <c r="AE46" s="148">
        <f t="shared" si="5"/>
        <v>5.25</v>
      </c>
      <c r="AF46" s="156"/>
      <c r="AG46" s="156"/>
      <c r="AH46" s="113">
        <f t="shared" si="6"/>
        <v>20.25</v>
      </c>
      <c r="AI46" s="157">
        <v>65</v>
      </c>
      <c r="AJ46" s="113">
        <f t="shared" si="7"/>
        <v>85.25</v>
      </c>
      <c r="AK46" s="113">
        <f t="shared" si="8"/>
        <v>85.25</v>
      </c>
      <c r="AL46" s="158">
        <f t="shared" si="9"/>
        <v>1.00375</v>
      </c>
      <c r="AM46" s="159"/>
      <c r="AN46" s="160">
        <f t="shared" si="13"/>
        <v>1</v>
      </c>
      <c r="AO46" s="160">
        <f t="shared" si="13"/>
        <v>2</v>
      </c>
      <c r="AP46" s="133"/>
      <c r="AQ46" s="134"/>
      <c r="AR46" s="161"/>
      <c r="AS46" s="161"/>
      <c r="AT46" s="161"/>
      <c r="AU46" s="161"/>
      <c r="AV46" s="162"/>
      <c r="AW46" s="137">
        <f t="shared" si="11"/>
        <v>0</v>
      </c>
      <c r="AX46" s="137">
        <f t="shared" si="12"/>
        <v>0</v>
      </c>
    </row>
    <row r="47" ht="46.5" customHeight="1" spans="1:50" s="97" customFormat="1" x14ac:dyDescent="0.25">
      <c r="A47" s="100"/>
      <c r="B47" s="100"/>
      <c r="C47" s="100"/>
      <c r="D47" s="100"/>
      <c r="E47" s="100"/>
      <c r="F47" s="100"/>
      <c r="G47" s="103"/>
      <c r="H47" s="186"/>
      <c r="I47" s="195">
        <v>0.51</v>
      </c>
      <c r="J47" s="107">
        <v>0.49</v>
      </c>
      <c r="K47" s="107"/>
      <c r="L47" s="107"/>
      <c r="M47" s="187"/>
      <c r="N47" s="169">
        <f t="shared" si="0"/>
        <v>1</v>
      </c>
      <c r="O47" s="144">
        <v>1</v>
      </c>
      <c r="P47" s="145">
        <v>15</v>
      </c>
      <c r="Q47" s="113">
        <v>15</v>
      </c>
      <c r="R47" s="113"/>
      <c r="S47" s="113"/>
      <c r="T47" s="146"/>
      <c r="U47" s="148">
        <f t="shared" si="1"/>
        <v>15</v>
      </c>
      <c r="V47" s="149">
        <f t="shared" si="2"/>
        <v>15</v>
      </c>
      <c r="W47" s="189"/>
      <c r="X47" s="199"/>
      <c r="Y47" s="151"/>
      <c r="Z47" s="190"/>
      <c r="AA47" s="153"/>
      <c r="AB47" s="154">
        <f t="shared" si="3"/>
        <v>0</v>
      </c>
      <c r="AC47" s="149">
        <f t="shared" si="4"/>
        <v>0</v>
      </c>
      <c r="AD47" s="125">
        <v>2</v>
      </c>
      <c r="AE47" s="148">
        <f t="shared" si="5"/>
        <v>2</v>
      </c>
      <c r="AF47" s="156"/>
      <c r="AG47" s="156"/>
      <c r="AH47" s="113">
        <f t="shared" si="6"/>
        <v>17</v>
      </c>
      <c r="AI47" s="157">
        <v>65</v>
      </c>
      <c r="AJ47" s="113">
        <f t="shared" si="7"/>
        <v>82</v>
      </c>
      <c r="AK47" s="113">
        <f t="shared" si="8"/>
        <v>82</v>
      </c>
      <c r="AL47" s="158">
        <f t="shared" si="9"/>
        <v>1.02</v>
      </c>
      <c r="AM47" s="159"/>
      <c r="AN47" s="160">
        <f t="shared" si="13"/>
        <v>1</v>
      </c>
      <c r="AO47" s="160">
        <f t="shared" si="13"/>
        <v>2</v>
      </c>
      <c r="AP47" s="133"/>
      <c r="AQ47" s="134"/>
      <c r="AR47" s="161"/>
      <c r="AS47" s="161"/>
      <c r="AT47" s="161"/>
      <c r="AU47" s="161"/>
      <c r="AV47" s="162"/>
      <c r="AW47" s="137">
        <f t="shared" si="11"/>
        <v>0</v>
      </c>
      <c r="AX47" s="137">
        <f t="shared" si="12"/>
        <v>0</v>
      </c>
    </row>
    <row r="48" ht="46.5" customHeight="1" spans="1:50" s="97" customFormat="1" x14ac:dyDescent="0.25">
      <c r="A48" s="100"/>
      <c r="B48" s="100"/>
      <c r="C48" s="100"/>
      <c r="D48" s="100"/>
      <c r="E48" s="100"/>
      <c r="F48" s="100"/>
      <c r="G48" s="103"/>
      <c r="H48" s="186"/>
      <c r="I48" s="195">
        <v>0.51</v>
      </c>
      <c r="J48" s="107">
        <v>0.49</v>
      </c>
      <c r="K48" s="107"/>
      <c r="L48" s="107"/>
      <c r="M48" s="187"/>
      <c r="N48" s="169">
        <f t="shared" si="0"/>
        <v>1</v>
      </c>
      <c r="O48" s="144">
        <v>1</v>
      </c>
      <c r="P48" s="145">
        <v>15</v>
      </c>
      <c r="Q48" s="113">
        <v>15</v>
      </c>
      <c r="R48" s="113"/>
      <c r="S48" s="113"/>
      <c r="T48" s="146"/>
      <c r="U48" s="148">
        <f t="shared" si="1"/>
        <v>15</v>
      </c>
      <c r="V48" s="149">
        <f t="shared" si="2"/>
        <v>15</v>
      </c>
      <c r="W48" s="189"/>
      <c r="X48" s="199"/>
      <c r="Y48" s="151"/>
      <c r="Z48" s="190"/>
      <c r="AA48" s="153"/>
      <c r="AB48" s="154">
        <f t="shared" si="3"/>
        <v>0</v>
      </c>
      <c r="AC48" s="149">
        <f t="shared" si="4"/>
        <v>0</v>
      </c>
      <c r="AD48" s="125">
        <v>2</v>
      </c>
      <c r="AE48" s="148">
        <f t="shared" si="5"/>
        <v>2</v>
      </c>
      <c r="AF48" s="156"/>
      <c r="AG48" s="156"/>
      <c r="AH48" s="113">
        <f t="shared" si="6"/>
        <v>17</v>
      </c>
      <c r="AI48" s="157">
        <v>65</v>
      </c>
      <c r="AJ48" s="113">
        <f t="shared" si="7"/>
        <v>82</v>
      </c>
      <c r="AK48" s="113">
        <f t="shared" si="8"/>
        <v>82</v>
      </c>
      <c r="AL48" s="158">
        <f t="shared" si="9"/>
        <v>1.02</v>
      </c>
      <c r="AM48" s="159"/>
      <c r="AN48" s="160">
        <f t="shared" si="13"/>
        <v>1</v>
      </c>
      <c r="AO48" s="160">
        <f t="shared" si="13"/>
        <v>2</v>
      </c>
      <c r="AP48" s="133"/>
      <c r="AQ48" s="134"/>
      <c r="AR48" s="161"/>
      <c r="AS48" s="161"/>
      <c r="AT48" s="161"/>
      <c r="AU48" s="161"/>
      <c r="AV48" s="162"/>
      <c r="AW48" s="137">
        <f t="shared" si="11"/>
        <v>0</v>
      </c>
      <c r="AX48" s="137">
        <f t="shared" si="12"/>
        <v>0</v>
      </c>
    </row>
    <row r="49" ht="46.5" customHeight="1" spans="1:50" s="97" customFormat="1" x14ac:dyDescent="0.25">
      <c r="A49" s="100"/>
      <c r="B49" s="100"/>
      <c r="C49" s="100"/>
      <c r="D49" s="100"/>
      <c r="E49" s="100"/>
      <c r="F49" s="100"/>
      <c r="G49" s="103"/>
      <c r="H49" s="186"/>
      <c r="I49" s="195">
        <v>0.51</v>
      </c>
      <c r="J49" s="107">
        <v>0.49</v>
      </c>
      <c r="K49" s="107"/>
      <c r="L49" s="107"/>
      <c r="M49" s="187"/>
      <c r="N49" s="169">
        <f t="shared" si="0"/>
        <v>1</v>
      </c>
      <c r="O49" s="144">
        <v>1</v>
      </c>
      <c r="P49" s="145">
        <v>15</v>
      </c>
      <c r="Q49" s="113">
        <v>15</v>
      </c>
      <c r="R49" s="113"/>
      <c r="S49" s="113"/>
      <c r="T49" s="146"/>
      <c r="U49" s="148">
        <f t="shared" si="1"/>
        <v>15</v>
      </c>
      <c r="V49" s="149">
        <f t="shared" si="2"/>
        <v>15</v>
      </c>
      <c r="W49" s="189"/>
      <c r="X49" s="199"/>
      <c r="Y49" s="151"/>
      <c r="Z49" s="190"/>
      <c r="AA49" s="153"/>
      <c r="AB49" s="154">
        <f t="shared" si="3"/>
        <v>0</v>
      </c>
      <c r="AC49" s="149">
        <f t="shared" si="4"/>
        <v>0</v>
      </c>
      <c r="AD49" s="125">
        <v>2</v>
      </c>
      <c r="AE49" s="148">
        <f t="shared" si="5"/>
        <v>2</v>
      </c>
      <c r="AF49" s="156"/>
      <c r="AG49" s="156"/>
      <c r="AH49" s="113">
        <f t="shared" si="6"/>
        <v>17</v>
      </c>
      <c r="AI49" s="157">
        <v>65</v>
      </c>
      <c r="AJ49" s="113">
        <f t="shared" si="7"/>
        <v>82</v>
      </c>
      <c r="AK49" s="113">
        <f t="shared" si="8"/>
        <v>82</v>
      </c>
      <c r="AL49" s="158">
        <f t="shared" si="9"/>
        <v>1.02</v>
      </c>
      <c r="AM49" s="159"/>
      <c r="AN49" s="160">
        <f t="shared" si="13"/>
        <v>1</v>
      </c>
      <c r="AO49" s="160">
        <f t="shared" si="13"/>
        <v>2</v>
      </c>
      <c r="AP49" s="133"/>
      <c r="AQ49" s="134"/>
      <c r="AR49" s="161"/>
      <c r="AS49" s="161"/>
      <c r="AT49" s="161"/>
      <c r="AU49" s="161"/>
      <c r="AV49" s="162"/>
      <c r="AW49" s="137">
        <f t="shared" si="11"/>
        <v>0</v>
      </c>
      <c r="AX49" s="137">
        <f t="shared" si="12"/>
        <v>0</v>
      </c>
    </row>
    <row r="50" ht="46.5" customHeight="1" spans="1:50" s="97" customFormat="1" x14ac:dyDescent="0.25">
      <c r="A50" s="100"/>
      <c r="B50" s="100"/>
      <c r="C50" s="100"/>
      <c r="D50" s="100"/>
      <c r="E50" s="100"/>
      <c r="F50" s="100"/>
      <c r="G50" s="103"/>
      <c r="H50" s="186"/>
      <c r="I50" s="195">
        <v>0.51</v>
      </c>
      <c r="J50" s="107">
        <v>0.49</v>
      </c>
      <c r="K50" s="107"/>
      <c r="L50" s="107"/>
      <c r="M50" s="187"/>
      <c r="N50" s="169">
        <f t="shared" si="0"/>
        <v>1</v>
      </c>
      <c r="O50" s="144">
        <v>1</v>
      </c>
      <c r="P50" s="145">
        <v>15</v>
      </c>
      <c r="Q50" s="113">
        <v>15</v>
      </c>
      <c r="R50" s="113"/>
      <c r="S50" s="113"/>
      <c r="T50" s="146"/>
      <c r="U50" s="148">
        <f t="shared" si="1"/>
        <v>15</v>
      </c>
      <c r="V50" s="149">
        <f t="shared" si="2"/>
        <v>15</v>
      </c>
      <c r="W50" s="189"/>
      <c r="X50" s="199"/>
      <c r="Y50" s="151"/>
      <c r="Z50" s="190"/>
      <c r="AA50" s="153"/>
      <c r="AB50" s="154">
        <f t="shared" si="3"/>
        <v>0</v>
      </c>
      <c r="AC50" s="149">
        <f t="shared" si="4"/>
        <v>0</v>
      </c>
      <c r="AD50" s="125">
        <v>2</v>
      </c>
      <c r="AE50" s="148">
        <f t="shared" si="5"/>
        <v>2</v>
      </c>
      <c r="AF50" s="156"/>
      <c r="AG50" s="156"/>
      <c r="AH50" s="113">
        <f t="shared" si="6"/>
        <v>17</v>
      </c>
      <c r="AI50" s="157">
        <v>65</v>
      </c>
      <c r="AJ50" s="113">
        <f t="shared" si="7"/>
        <v>82</v>
      </c>
      <c r="AK50" s="113">
        <f t="shared" si="8"/>
        <v>82</v>
      </c>
      <c r="AL50" s="158">
        <f t="shared" si="9"/>
        <v>1.02</v>
      </c>
      <c r="AM50" s="159"/>
      <c r="AN50" s="160">
        <f t="shared" si="13"/>
        <v>1</v>
      </c>
      <c r="AO50" s="160">
        <f t="shared" si="13"/>
        <v>2</v>
      </c>
      <c r="AP50" s="133"/>
      <c r="AQ50" s="134"/>
      <c r="AR50" s="161"/>
      <c r="AS50" s="161"/>
      <c r="AT50" s="161"/>
      <c r="AU50" s="161"/>
      <c r="AV50" s="162"/>
      <c r="AW50" s="137">
        <f t="shared" si="11"/>
        <v>0</v>
      </c>
      <c r="AX50" s="137">
        <f t="shared" si="12"/>
        <v>0</v>
      </c>
    </row>
    <row r="51" ht="46.5" customHeight="1" spans="1:50" s="97" customFormat="1" x14ac:dyDescent="0.25">
      <c r="A51" s="100"/>
      <c r="B51" s="100"/>
      <c r="C51" s="100"/>
      <c r="D51" s="100"/>
      <c r="E51" s="100"/>
      <c r="F51" s="100"/>
      <c r="G51" s="103"/>
      <c r="H51" s="186"/>
      <c r="I51" s="195">
        <v>0.51</v>
      </c>
      <c r="J51" s="107">
        <v>0.49</v>
      </c>
      <c r="K51" s="107"/>
      <c r="L51" s="107"/>
      <c r="M51" s="187"/>
      <c r="N51" s="169">
        <f t="shared" si="0"/>
        <v>1</v>
      </c>
      <c r="O51" s="144">
        <v>1</v>
      </c>
      <c r="P51" s="145">
        <v>15</v>
      </c>
      <c r="Q51" s="113">
        <v>15</v>
      </c>
      <c r="R51" s="113"/>
      <c r="S51" s="113"/>
      <c r="T51" s="146"/>
      <c r="U51" s="148">
        <f t="shared" si="1"/>
        <v>15</v>
      </c>
      <c r="V51" s="149">
        <f t="shared" si="2"/>
        <v>15</v>
      </c>
      <c r="W51" s="189"/>
      <c r="X51" s="199"/>
      <c r="Y51" s="151"/>
      <c r="Z51" s="190"/>
      <c r="AA51" s="153"/>
      <c r="AB51" s="154">
        <f t="shared" si="3"/>
        <v>0</v>
      </c>
      <c r="AC51" s="149">
        <f t="shared" si="4"/>
        <v>0</v>
      </c>
      <c r="AD51" s="125">
        <v>2</v>
      </c>
      <c r="AE51" s="148">
        <f t="shared" si="5"/>
        <v>2</v>
      </c>
      <c r="AF51" s="156"/>
      <c r="AG51" s="156"/>
      <c r="AH51" s="113">
        <f t="shared" si="6"/>
        <v>17</v>
      </c>
      <c r="AI51" s="157">
        <v>65</v>
      </c>
      <c r="AJ51" s="113">
        <f t="shared" si="7"/>
        <v>82</v>
      </c>
      <c r="AK51" s="113">
        <f t="shared" si="8"/>
        <v>82</v>
      </c>
      <c r="AL51" s="158">
        <f t="shared" si="9"/>
        <v>1.02</v>
      </c>
      <c r="AM51" s="159"/>
      <c r="AN51" s="160">
        <f t="shared" si="13"/>
        <v>1</v>
      </c>
      <c r="AO51" s="160">
        <f t="shared" si="13"/>
        <v>2</v>
      </c>
      <c r="AP51" s="133"/>
      <c r="AQ51" s="134"/>
      <c r="AR51" s="161"/>
      <c r="AS51" s="161"/>
      <c r="AT51" s="161"/>
      <c r="AU51" s="161"/>
      <c r="AV51" s="162"/>
      <c r="AW51" s="137">
        <f t="shared" si="11"/>
        <v>0</v>
      </c>
      <c r="AX51" s="137">
        <f t="shared" si="12"/>
        <v>0</v>
      </c>
    </row>
    <row r="52" ht="46.5" customHeight="1" spans="1:50" s="97" customFormat="1" x14ac:dyDescent="0.25">
      <c r="A52" s="100"/>
      <c r="B52" s="100"/>
      <c r="C52" s="100"/>
      <c r="D52" s="100"/>
      <c r="E52" s="100"/>
      <c r="F52" s="100"/>
      <c r="G52" s="103"/>
      <c r="H52" s="186"/>
      <c r="I52" s="195">
        <v>0.51</v>
      </c>
      <c r="J52" s="107">
        <v>0.49</v>
      </c>
      <c r="K52" s="107"/>
      <c r="L52" s="107"/>
      <c r="M52" s="187"/>
      <c r="N52" s="169">
        <f t="shared" si="0"/>
        <v>1</v>
      </c>
      <c r="O52" s="144">
        <v>1</v>
      </c>
      <c r="P52" s="145">
        <v>15</v>
      </c>
      <c r="Q52" s="113">
        <v>15</v>
      </c>
      <c r="R52" s="113"/>
      <c r="S52" s="113"/>
      <c r="T52" s="146"/>
      <c r="U52" s="148">
        <f t="shared" si="1"/>
        <v>15</v>
      </c>
      <c r="V52" s="149">
        <f t="shared" si="2"/>
        <v>15</v>
      </c>
      <c r="W52" s="189"/>
      <c r="X52" s="199"/>
      <c r="Y52" s="151"/>
      <c r="Z52" s="190"/>
      <c r="AA52" s="153"/>
      <c r="AB52" s="154">
        <f t="shared" si="3"/>
        <v>0</v>
      </c>
      <c r="AC52" s="149">
        <f t="shared" si="4"/>
        <v>0</v>
      </c>
      <c r="AD52" s="125">
        <v>2</v>
      </c>
      <c r="AE52" s="148">
        <f t="shared" si="5"/>
        <v>2</v>
      </c>
      <c r="AF52" s="156"/>
      <c r="AG52" s="156"/>
      <c r="AH52" s="113">
        <f t="shared" si="6"/>
        <v>17</v>
      </c>
      <c r="AI52" s="157">
        <v>65</v>
      </c>
      <c r="AJ52" s="113">
        <f t="shared" si="7"/>
        <v>82</v>
      </c>
      <c r="AK52" s="113">
        <f t="shared" si="8"/>
        <v>82</v>
      </c>
      <c r="AL52" s="158">
        <f t="shared" si="9"/>
        <v>1.02</v>
      </c>
      <c r="AM52" s="159"/>
      <c r="AN52" s="160">
        <f t="shared" si="13"/>
        <v>1</v>
      </c>
      <c r="AO52" s="160">
        <f t="shared" si="13"/>
        <v>2</v>
      </c>
      <c r="AP52" s="133"/>
      <c r="AQ52" s="134"/>
      <c r="AR52" s="161"/>
      <c r="AS52" s="161"/>
      <c r="AT52" s="161"/>
      <c r="AU52" s="161"/>
      <c r="AV52" s="162"/>
      <c r="AW52" s="137">
        <f t="shared" si="11"/>
        <v>0</v>
      </c>
      <c r="AX52" s="137">
        <f t="shared" si="12"/>
        <v>0</v>
      </c>
    </row>
    <row r="53" ht="46.5" customHeight="1" spans="1:50" s="97" customFormat="1" x14ac:dyDescent="0.25">
      <c r="A53" s="100"/>
      <c r="B53" s="100"/>
      <c r="C53" s="100"/>
      <c r="D53" s="100"/>
      <c r="E53" s="100"/>
      <c r="F53" s="100"/>
      <c r="G53" s="103"/>
      <c r="H53" s="186"/>
      <c r="I53" s="195">
        <v>0.51</v>
      </c>
      <c r="J53" s="107">
        <v>0.49</v>
      </c>
      <c r="K53" s="107"/>
      <c r="L53" s="107"/>
      <c r="M53" s="187"/>
      <c r="N53" s="169">
        <f t="shared" si="0"/>
        <v>1</v>
      </c>
      <c r="O53" s="144">
        <v>1</v>
      </c>
      <c r="P53" s="145">
        <v>15</v>
      </c>
      <c r="Q53" s="113">
        <v>15</v>
      </c>
      <c r="R53" s="113"/>
      <c r="S53" s="113"/>
      <c r="T53" s="146"/>
      <c r="U53" s="148">
        <f t="shared" si="1"/>
        <v>15</v>
      </c>
      <c r="V53" s="149">
        <f t="shared" si="2"/>
        <v>15</v>
      </c>
      <c r="W53" s="189"/>
      <c r="X53" s="199"/>
      <c r="Y53" s="151"/>
      <c r="Z53" s="190"/>
      <c r="AA53" s="153"/>
      <c r="AB53" s="154">
        <f t="shared" si="3"/>
        <v>0</v>
      </c>
      <c r="AC53" s="149">
        <f t="shared" si="4"/>
        <v>0</v>
      </c>
      <c r="AD53" s="125">
        <v>2</v>
      </c>
      <c r="AE53" s="148">
        <f t="shared" si="5"/>
        <v>2</v>
      </c>
      <c r="AF53" s="156"/>
      <c r="AG53" s="156"/>
      <c r="AH53" s="113">
        <f t="shared" si="6"/>
        <v>17</v>
      </c>
      <c r="AI53" s="157">
        <v>65</v>
      </c>
      <c r="AJ53" s="113">
        <f t="shared" si="7"/>
        <v>82</v>
      </c>
      <c r="AK53" s="113">
        <f t="shared" si="8"/>
        <v>82</v>
      </c>
      <c r="AL53" s="158">
        <f t="shared" si="9"/>
        <v>1.02</v>
      </c>
      <c r="AM53" s="159"/>
      <c r="AN53" s="160">
        <f t="shared" si="13"/>
        <v>1</v>
      </c>
      <c r="AO53" s="160">
        <f t="shared" si="13"/>
        <v>2</v>
      </c>
      <c r="AP53" s="133"/>
      <c r="AQ53" s="134"/>
      <c r="AR53" s="161"/>
      <c r="AS53" s="161"/>
      <c r="AT53" s="161"/>
      <c r="AU53" s="161"/>
      <c r="AV53" s="162"/>
      <c r="AW53" s="137">
        <f t="shared" si="11"/>
        <v>0</v>
      </c>
      <c r="AX53" s="137">
        <f t="shared" si="12"/>
        <v>0</v>
      </c>
    </row>
    <row r="54" ht="46.5" customHeight="1" spans="1:50" s="97" customFormat="1" x14ac:dyDescent="0.25">
      <c r="A54" s="100"/>
      <c r="B54" s="100"/>
      <c r="C54" s="100"/>
      <c r="D54" s="100"/>
      <c r="E54" s="100"/>
      <c r="F54" s="100"/>
      <c r="G54" s="103"/>
      <c r="H54" s="186"/>
      <c r="I54" s="195">
        <v>0.51</v>
      </c>
      <c r="J54" s="107">
        <v>0.49</v>
      </c>
      <c r="K54" s="107"/>
      <c r="L54" s="107"/>
      <c r="M54" s="187"/>
      <c r="N54" s="169">
        <f t="shared" si="0"/>
        <v>1</v>
      </c>
      <c r="O54" s="144">
        <v>1</v>
      </c>
      <c r="P54" s="145">
        <v>15</v>
      </c>
      <c r="Q54" s="113">
        <v>15</v>
      </c>
      <c r="R54" s="113"/>
      <c r="S54" s="113"/>
      <c r="T54" s="146"/>
      <c r="U54" s="148">
        <f t="shared" si="1"/>
        <v>15</v>
      </c>
      <c r="V54" s="149">
        <f t="shared" si="2"/>
        <v>15</v>
      </c>
      <c r="W54" s="189"/>
      <c r="X54" s="199"/>
      <c r="Y54" s="151"/>
      <c r="Z54" s="190"/>
      <c r="AA54" s="153"/>
      <c r="AB54" s="154">
        <f t="shared" si="3"/>
        <v>0</v>
      </c>
      <c r="AC54" s="149">
        <f t="shared" si="4"/>
        <v>0</v>
      </c>
      <c r="AD54" s="125">
        <v>2</v>
      </c>
      <c r="AE54" s="148">
        <f t="shared" si="5"/>
        <v>2</v>
      </c>
      <c r="AF54" s="156"/>
      <c r="AG54" s="156"/>
      <c r="AH54" s="113">
        <f t="shared" si="6"/>
        <v>17</v>
      </c>
      <c r="AI54" s="157">
        <v>65</v>
      </c>
      <c r="AJ54" s="113">
        <f t="shared" si="7"/>
        <v>82</v>
      </c>
      <c r="AK54" s="113">
        <f t="shared" si="8"/>
        <v>82</v>
      </c>
      <c r="AL54" s="158">
        <f t="shared" si="9"/>
        <v>1.02</v>
      </c>
      <c r="AM54" s="159"/>
      <c r="AN54" s="160">
        <f t="shared" si="13"/>
        <v>1</v>
      </c>
      <c r="AO54" s="160">
        <f t="shared" si="13"/>
        <v>2</v>
      </c>
      <c r="AP54" s="133"/>
      <c r="AQ54" s="134"/>
      <c r="AR54" s="161"/>
      <c r="AS54" s="161"/>
      <c r="AT54" s="161"/>
      <c r="AU54" s="161"/>
      <c r="AV54" s="162"/>
      <c r="AW54" s="137">
        <f t="shared" si="11"/>
        <v>0</v>
      </c>
      <c r="AX54" s="137">
        <f t="shared" si="12"/>
        <v>0</v>
      </c>
    </row>
    <row r="55" ht="46.5" customHeight="1" spans="1:50" s="97" customFormat="1" x14ac:dyDescent="0.25">
      <c r="A55" s="100"/>
      <c r="B55" s="100"/>
      <c r="C55" s="100"/>
      <c r="D55" s="100"/>
      <c r="E55" s="100"/>
      <c r="F55" s="100"/>
      <c r="G55" s="103"/>
      <c r="H55" s="186"/>
      <c r="I55" s="195">
        <v>0.51</v>
      </c>
      <c r="J55" s="107">
        <v>0.49</v>
      </c>
      <c r="K55" s="107"/>
      <c r="L55" s="107"/>
      <c r="M55" s="187"/>
      <c r="N55" s="169">
        <f t="shared" ref="N55:N118" si="14">SUM(I55:M55)</f>
        <v>1</v>
      </c>
      <c r="O55" s="144">
        <v>1</v>
      </c>
      <c r="P55" s="145">
        <v>15</v>
      </c>
      <c r="Q55" s="113">
        <v>15</v>
      </c>
      <c r="R55" s="113"/>
      <c r="S55" s="113"/>
      <c r="T55" s="146"/>
      <c r="U55" s="148">
        <f t="shared" si="1"/>
        <v>15</v>
      </c>
      <c r="V55" s="149">
        <f t="shared" si="2"/>
        <v>15</v>
      </c>
      <c r="W55" s="189"/>
      <c r="X55" s="199"/>
      <c r="Y55" s="151"/>
      <c r="Z55" s="190"/>
      <c r="AA55" s="153"/>
      <c r="AB55" s="154">
        <f t="shared" si="3"/>
        <v>0</v>
      </c>
      <c r="AC55" s="149">
        <f t="shared" si="4"/>
        <v>0</v>
      </c>
      <c r="AD55" s="125">
        <v>2</v>
      </c>
      <c r="AE55" s="148">
        <f t="shared" si="5"/>
        <v>2</v>
      </c>
      <c r="AF55" s="156"/>
      <c r="AG55" s="156"/>
      <c r="AH55" s="113">
        <f t="shared" si="6"/>
        <v>17</v>
      </c>
      <c r="AI55" s="157">
        <v>65</v>
      </c>
      <c r="AJ55" s="113">
        <f t="shared" si="7"/>
        <v>82</v>
      </c>
      <c r="AK55" s="113">
        <f t="shared" si="8"/>
        <v>82</v>
      </c>
      <c r="AL55" s="158">
        <f t="shared" si="9"/>
        <v>1.02</v>
      </c>
      <c r="AM55" s="159"/>
      <c r="AN55" s="160">
        <f t="shared" si="13"/>
        <v>1</v>
      </c>
      <c r="AO55" s="160">
        <f t="shared" si="13"/>
        <v>2</v>
      </c>
      <c r="AP55" s="133"/>
      <c r="AQ55" s="134"/>
      <c r="AR55" s="161"/>
      <c r="AS55" s="161"/>
      <c r="AT55" s="161"/>
      <c r="AU55" s="161"/>
      <c r="AV55" s="162"/>
      <c r="AW55" s="137">
        <f t="shared" si="11"/>
        <v>0</v>
      </c>
      <c r="AX55" s="137">
        <f t="shared" si="12"/>
        <v>0</v>
      </c>
    </row>
    <row r="56" ht="46.5" customHeight="1" spans="1:50" s="97" customFormat="1" x14ac:dyDescent="0.25">
      <c r="A56" s="100"/>
      <c r="B56" s="100"/>
      <c r="C56" s="100"/>
      <c r="D56" s="100"/>
      <c r="E56" s="100"/>
      <c r="F56" s="100"/>
      <c r="G56" s="103"/>
      <c r="H56" s="186"/>
      <c r="I56" s="195">
        <v>0.51</v>
      </c>
      <c r="J56" s="107">
        <v>0.49</v>
      </c>
      <c r="K56" s="107"/>
      <c r="L56" s="107"/>
      <c r="M56" s="187"/>
      <c r="N56" s="169">
        <f t="shared" si="14"/>
        <v>1</v>
      </c>
      <c r="O56" s="144">
        <v>1</v>
      </c>
      <c r="P56" s="145">
        <v>15</v>
      </c>
      <c r="Q56" s="113">
        <v>15</v>
      </c>
      <c r="R56" s="113"/>
      <c r="S56" s="113"/>
      <c r="T56" s="146"/>
      <c r="U56" s="148">
        <f t="shared" si="1"/>
        <v>15</v>
      </c>
      <c r="V56" s="149">
        <f t="shared" si="2"/>
        <v>15</v>
      </c>
      <c r="W56" s="189"/>
      <c r="X56" s="199"/>
      <c r="Y56" s="151"/>
      <c r="Z56" s="190"/>
      <c r="AA56" s="153"/>
      <c r="AB56" s="154">
        <f t="shared" si="3"/>
        <v>0</v>
      </c>
      <c r="AC56" s="149">
        <f t="shared" si="4"/>
        <v>0</v>
      </c>
      <c r="AD56" s="125">
        <v>2</v>
      </c>
      <c r="AE56" s="148">
        <f t="shared" si="5"/>
        <v>2</v>
      </c>
      <c r="AF56" s="156"/>
      <c r="AG56" s="156"/>
      <c r="AH56" s="113">
        <f t="shared" si="6"/>
        <v>17</v>
      </c>
      <c r="AI56" s="157">
        <v>65</v>
      </c>
      <c r="AJ56" s="113">
        <f t="shared" si="7"/>
        <v>82</v>
      </c>
      <c r="AK56" s="113">
        <f t="shared" si="8"/>
        <v>82</v>
      </c>
      <c r="AL56" s="158">
        <f t="shared" si="9"/>
        <v>1.02</v>
      </c>
      <c r="AM56" s="159"/>
      <c r="AN56" s="160">
        <f t="shared" si="13"/>
        <v>1</v>
      </c>
      <c r="AO56" s="160">
        <f t="shared" si="13"/>
        <v>2</v>
      </c>
      <c r="AP56" s="133"/>
      <c r="AQ56" s="134"/>
      <c r="AR56" s="161"/>
      <c r="AS56" s="161"/>
      <c r="AT56" s="161"/>
      <c r="AU56" s="161"/>
      <c r="AV56" s="162"/>
      <c r="AW56" s="137">
        <f t="shared" si="11"/>
        <v>0</v>
      </c>
      <c r="AX56" s="137">
        <f t="shared" si="12"/>
        <v>0</v>
      </c>
    </row>
    <row r="57" ht="46.5" customHeight="1" spans="1:50" s="97" customFormat="1" x14ac:dyDescent="0.25">
      <c r="A57" s="100"/>
      <c r="B57" s="100"/>
      <c r="C57" s="100"/>
      <c r="D57" s="100"/>
      <c r="E57" s="100"/>
      <c r="F57" s="100"/>
      <c r="G57" s="103"/>
      <c r="H57" s="186"/>
      <c r="I57" s="195">
        <v>0.51</v>
      </c>
      <c r="J57" s="107">
        <v>0.49</v>
      </c>
      <c r="K57" s="107"/>
      <c r="L57" s="107"/>
      <c r="M57" s="187"/>
      <c r="N57" s="169">
        <f t="shared" si="14"/>
        <v>1</v>
      </c>
      <c r="O57" s="144">
        <v>1</v>
      </c>
      <c r="P57" s="145">
        <v>15</v>
      </c>
      <c r="Q57" s="113">
        <v>15</v>
      </c>
      <c r="R57" s="113"/>
      <c r="S57" s="113"/>
      <c r="T57" s="146"/>
      <c r="U57" s="148">
        <f t="shared" si="1"/>
        <v>15</v>
      </c>
      <c r="V57" s="149">
        <f t="shared" si="2"/>
        <v>15</v>
      </c>
      <c r="W57" s="189"/>
      <c r="X57" s="199"/>
      <c r="Y57" s="151"/>
      <c r="Z57" s="190"/>
      <c r="AA57" s="153"/>
      <c r="AB57" s="154">
        <f t="shared" si="3"/>
        <v>0</v>
      </c>
      <c r="AC57" s="149">
        <f t="shared" si="4"/>
        <v>0</v>
      </c>
      <c r="AD57" s="125">
        <v>2</v>
      </c>
      <c r="AE57" s="148">
        <f t="shared" si="5"/>
        <v>2</v>
      </c>
      <c r="AF57" s="156"/>
      <c r="AG57" s="156"/>
      <c r="AH57" s="113">
        <f t="shared" si="6"/>
        <v>17</v>
      </c>
      <c r="AI57" s="157">
        <v>65</v>
      </c>
      <c r="AJ57" s="113">
        <f t="shared" si="7"/>
        <v>82</v>
      </c>
      <c r="AK57" s="113">
        <f t="shared" si="8"/>
        <v>82</v>
      </c>
      <c r="AL57" s="158">
        <f t="shared" si="9"/>
        <v>1.02</v>
      </c>
      <c r="AM57" s="159"/>
      <c r="AN57" s="160">
        <f t="shared" si="13"/>
        <v>1</v>
      </c>
      <c r="AO57" s="160">
        <f t="shared" si="13"/>
        <v>2</v>
      </c>
      <c r="AP57" s="133"/>
      <c r="AQ57" s="134"/>
      <c r="AR57" s="161"/>
      <c r="AS57" s="161"/>
      <c r="AT57" s="161"/>
      <c r="AU57" s="161"/>
      <c r="AV57" s="162"/>
      <c r="AW57" s="137">
        <f t="shared" si="11"/>
        <v>0</v>
      </c>
      <c r="AX57" s="137">
        <f t="shared" si="12"/>
        <v>0</v>
      </c>
    </row>
    <row r="58" ht="46.5" customHeight="1" spans="1:50" s="97" customFormat="1" x14ac:dyDescent="0.25">
      <c r="A58" s="100"/>
      <c r="B58" s="100"/>
      <c r="C58" s="100"/>
      <c r="D58" s="100"/>
      <c r="E58" s="100"/>
      <c r="F58" s="100"/>
      <c r="G58" s="103"/>
      <c r="H58" s="186"/>
      <c r="I58" s="195">
        <v>0.51</v>
      </c>
      <c r="J58" s="107">
        <v>0.49</v>
      </c>
      <c r="K58" s="107"/>
      <c r="L58" s="107"/>
      <c r="M58" s="187"/>
      <c r="N58" s="169">
        <f t="shared" si="14"/>
        <v>1</v>
      </c>
      <c r="O58" s="144">
        <v>1</v>
      </c>
      <c r="P58" s="145">
        <v>15</v>
      </c>
      <c r="Q58" s="113">
        <v>15</v>
      </c>
      <c r="R58" s="113"/>
      <c r="S58" s="113"/>
      <c r="T58" s="146"/>
      <c r="U58" s="148">
        <f t="shared" si="1"/>
        <v>15</v>
      </c>
      <c r="V58" s="149">
        <f t="shared" si="2"/>
        <v>15</v>
      </c>
      <c r="W58" s="189"/>
      <c r="X58" s="199"/>
      <c r="Y58" s="151"/>
      <c r="Z58" s="190"/>
      <c r="AA58" s="153"/>
      <c r="AB58" s="154">
        <f t="shared" si="3"/>
        <v>0</v>
      </c>
      <c r="AC58" s="149">
        <f t="shared" si="4"/>
        <v>0</v>
      </c>
      <c r="AD58" s="125">
        <v>2</v>
      </c>
      <c r="AE58" s="148">
        <f t="shared" si="5"/>
        <v>2</v>
      </c>
      <c r="AF58" s="156"/>
      <c r="AG58" s="156"/>
      <c r="AH58" s="113">
        <f t="shared" si="6"/>
        <v>17</v>
      </c>
      <c r="AI58" s="157">
        <v>65</v>
      </c>
      <c r="AJ58" s="113">
        <f t="shared" si="7"/>
        <v>82</v>
      </c>
      <c r="AK58" s="113">
        <f t="shared" si="8"/>
        <v>82</v>
      </c>
      <c r="AL58" s="158">
        <f t="shared" si="9"/>
        <v>1.02</v>
      </c>
      <c r="AM58" s="159"/>
      <c r="AN58" s="160">
        <f t="shared" si="13"/>
        <v>1</v>
      </c>
      <c r="AO58" s="160">
        <f t="shared" si="13"/>
        <v>2</v>
      </c>
      <c r="AP58" s="133"/>
      <c r="AQ58" s="134"/>
      <c r="AR58" s="161"/>
      <c r="AS58" s="161"/>
      <c r="AT58" s="161"/>
      <c r="AU58" s="161"/>
      <c r="AV58" s="162"/>
      <c r="AW58" s="137">
        <f t="shared" si="11"/>
        <v>0</v>
      </c>
      <c r="AX58" s="137">
        <f t="shared" si="12"/>
        <v>0</v>
      </c>
    </row>
    <row r="59" ht="46.5" customHeight="1" spans="1:50" s="97" customFormat="1" x14ac:dyDescent="0.25">
      <c r="A59" s="100"/>
      <c r="B59" s="100"/>
      <c r="C59" s="100"/>
      <c r="D59" s="100"/>
      <c r="E59" s="100"/>
      <c r="F59" s="100"/>
      <c r="G59" s="103"/>
      <c r="H59" s="186"/>
      <c r="I59" s="195">
        <v>0.51</v>
      </c>
      <c r="J59" s="107">
        <v>0.49</v>
      </c>
      <c r="K59" s="107"/>
      <c r="L59" s="107"/>
      <c r="M59" s="187"/>
      <c r="N59" s="169">
        <f t="shared" si="14"/>
        <v>1</v>
      </c>
      <c r="O59" s="144">
        <v>1</v>
      </c>
      <c r="P59" s="145">
        <v>15</v>
      </c>
      <c r="Q59" s="113">
        <v>15</v>
      </c>
      <c r="R59" s="113"/>
      <c r="S59" s="113"/>
      <c r="T59" s="146"/>
      <c r="U59" s="148">
        <f t="shared" si="1"/>
        <v>15</v>
      </c>
      <c r="V59" s="149">
        <f t="shared" si="2"/>
        <v>15</v>
      </c>
      <c r="W59" s="189"/>
      <c r="X59" s="199"/>
      <c r="Y59" s="151"/>
      <c r="Z59" s="190"/>
      <c r="AA59" s="153"/>
      <c r="AB59" s="154">
        <f t="shared" si="3"/>
        <v>0</v>
      </c>
      <c r="AC59" s="149">
        <f t="shared" si="4"/>
        <v>0</v>
      </c>
      <c r="AD59" s="125">
        <v>2</v>
      </c>
      <c r="AE59" s="148">
        <f t="shared" si="5"/>
        <v>2</v>
      </c>
      <c r="AF59" s="156"/>
      <c r="AG59" s="156"/>
      <c r="AH59" s="113">
        <f t="shared" si="6"/>
        <v>17</v>
      </c>
      <c r="AI59" s="157">
        <v>65</v>
      </c>
      <c r="AJ59" s="113">
        <f t="shared" si="7"/>
        <v>82</v>
      </c>
      <c r="AK59" s="113">
        <f t="shared" si="8"/>
        <v>82</v>
      </c>
      <c r="AL59" s="158">
        <f t="shared" si="9"/>
        <v>1.02</v>
      </c>
      <c r="AM59" s="159"/>
      <c r="AN59" s="160">
        <f t="shared" si="13"/>
        <v>1</v>
      </c>
      <c r="AO59" s="160">
        <f t="shared" si="13"/>
        <v>2</v>
      </c>
      <c r="AP59" s="133"/>
      <c r="AQ59" s="134"/>
      <c r="AR59" s="161"/>
      <c r="AS59" s="161"/>
      <c r="AT59" s="161"/>
      <c r="AU59" s="161"/>
      <c r="AV59" s="162"/>
      <c r="AW59" s="137">
        <f t="shared" si="11"/>
        <v>0</v>
      </c>
      <c r="AX59" s="137">
        <f t="shared" si="12"/>
        <v>0</v>
      </c>
    </row>
    <row r="60" ht="46.5" customHeight="1" spans="1:50" s="97" customFormat="1" x14ac:dyDescent="0.25">
      <c r="A60" s="100"/>
      <c r="B60" s="100"/>
      <c r="C60" s="100"/>
      <c r="D60" s="100"/>
      <c r="E60" s="100"/>
      <c r="F60" s="100"/>
      <c r="G60" s="103"/>
      <c r="H60" s="186"/>
      <c r="I60" s="195">
        <v>0.51</v>
      </c>
      <c r="J60" s="107">
        <v>0.49</v>
      </c>
      <c r="K60" s="107"/>
      <c r="L60" s="107"/>
      <c r="M60" s="187"/>
      <c r="N60" s="169">
        <f t="shared" si="14"/>
        <v>1</v>
      </c>
      <c r="O60" s="144">
        <v>1</v>
      </c>
      <c r="P60" s="145">
        <v>15</v>
      </c>
      <c r="Q60" s="113">
        <v>15</v>
      </c>
      <c r="R60" s="113"/>
      <c r="S60" s="113"/>
      <c r="T60" s="146"/>
      <c r="U60" s="148">
        <f t="shared" si="1"/>
        <v>15</v>
      </c>
      <c r="V60" s="149">
        <f t="shared" si="2"/>
        <v>15</v>
      </c>
      <c r="W60" s="189"/>
      <c r="X60" s="199"/>
      <c r="Y60" s="151"/>
      <c r="Z60" s="190"/>
      <c r="AA60" s="153"/>
      <c r="AB60" s="154">
        <f t="shared" si="3"/>
        <v>0</v>
      </c>
      <c r="AC60" s="149">
        <f t="shared" si="4"/>
        <v>0</v>
      </c>
      <c r="AD60" s="125">
        <v>2</v>
      </c>
      <c r="AE60" s="148">
        <f t="shared" si="5"/>
        <v>2</v>
      </c>
      <c r="AF60" s="156"/>
      <c r="AG60" s="156"/>
      <c r="AH60" s="113">
        <f t="shared" si="6"/>
        <v>17</v>
      </c>
      <c r="AI60" s="157">
        <v>65</v>
      </c>
      <c r="AJ60" s="113">
        <f t="shared" si="7"/>
        <v>82</v>
      </c>
      <c r="AK60" s="113">
        <f t="shared" si="8"/>
        <v>82</v>
      </c>
      <c r="AL60" s="158">
        <f t="shared" si="9"/>
        <v>1.02</v>
      </c>
      <c r="AM60" s="159"/>
      <c r="AN60" s="160">
        <f t="shared" si="13"/>
        <v>1</v>
      </c>
      <c r="AO60" s="160">
        <f t="shared" si="13"/>
        <v>2</v>
      </c>
      <c r="AP60" s="133"/>
      <c r="AQ60" s="134"/>
      <c r="AR60" s="161"/>
      <c r="AS60" s="161"/>
      <c r="AT60" s="161"/>
      <c r="AU60" s="161"/>
      <c r="AV60" s="162"/>
      <c r="AW60" s="137">
        <f t="shared" si="11"/>
        <v>0</v>
      </c>
      <c r="AX60" s="137">
        <f t="shared" si="12"/>
        <v>0</v>
      </c>
    </row>
    <row r="61" ht="46.5" customHeight="1" spans="1:50" s="97" customFormat="1" x14ac:dyDescent="0.25">
      <c r="A61" s="100"/>
      <c r="B61" s="100"/>
      <c r="C61" s="100"/>
      <c r="D61" s="100"/>
      <c r="E61" s="100"/>
      <c r="F61" s="100"/>
      <c r="G61" s="103"/>
      <c r="H61" s="186"/>
      <c r="I61" s="195">
        <v>0.51</v>
      </c>
      <c r="J61" s="107">
        <v>0.49</v>
      </c>
      <c r="K61" s="107"/>
      <c r="L61" s="107"/>
      <c r="M61" s="187"/>
      <c r="N61" s="169">
        <f t="shared" si="14"/>
        <v>1</v>
      </c>
      <c r="O61" s="144">
        <v>1</v>
      </c>
      <c r="P61" s="145">
        <v>15</v>
      </c>
      <c r="Q61" s="113">
        <v>15</v>
      </c>
      <c r="R61" s="113"/>
      <c r="S61" s="113"/>
      <c r="T61" s="146"/>
      <c r="U61" s="148">
        <f t="shared" si="1"/>
        <v>15</v>
      </c>
      <c r="V61" s="149">
        <f t="shared" si="2"/>
        <v>15</v>
      </c>
      <c r="W61" s="189"/>
      <c r="X61" s="199"/>
      <c r="Y61" s="151"/>
      <c r="Z61" s="190"/>
      <c r="AA61" s="153"/>
      <c r="AB61" s="154">
        <f t="shared" si="3"/>
        <v>0</v>
      </c>
      <c r="AC61" s="149">
        <f t="shared" si="4"/>
        <v>0</v>
      </c>
      <c r="AD61" s="125">
        <v>2</v>
      </c>
      <c r="AE61" s="148">
        <f t="shared" si="5"/>
        <v>2</v>
      </c>
      <c r="AF61" s="156"/>
      <c r="AG61" s="156"/>
      <c r="AH61" s="113">
        <f t="shared" si="6"/>
        <v>17</v>
      </c>
      <c r="AI61" s="157">
        <v>65</v>
      </c>
      <c r="AJ61" s="113">
        <f t="shared" si="7"/>
        <v>82</v>
      </c>
      <c r="AK61" s="113">
        <f t="shared" si="8"/>
        <v>82</v>
      </c>
      <c r="AL61" s="158">
        <f t="shared" si="9"/>
        <v>1.02</v>
      </c>
      <c r="AM61" s="159"/>
      <c r="AN61" s="160">
        <f t="shared" si="13"/>
        <v>1</v>
      </c>
      <c r="AO61" s="160">
        <f t="shared" si="13"/>
        <v>2</v>
      </c>
      <c r="AP61" s="133"/>
      <c r="AQ61" s="134"/>
      <c r="AR61" s="161"/>
      <c r="AS61" s="161"/>
      <c r="AT61" s="161"/>
      <c r="AU61" s="161"/>
      <c r="AV61" s="162"/>
      <c r="AW61" s="137">
        <f t="shared" si="11"/>
        <v>0</v>
      </c>
      <c r="AX61" s="137">
        <f t="shared" si="12"/>
        <v>0</v>
      </c>
    </row>
    <row r="62" ht="46.5" customHeight="1" spans="1:50" s="97" customFormat="1" x14ac:dyDescent="0.25">
      <c r="A62" s="100"/>
      <c r="B62" s="100"/>
      <c r="C62" s="100"/>
      <c r="D62" s="100"/>
      <c r="E62" s="100"/>
      <c r="F62" s="100"/>
      <c r="G62" s="103"/>
      <c r="H62" s="186"/>
      <c r="I62" s="195">
        <v>0.51</v>
      </c>
      <c r="J62" s="107">
        <v>0.49</v>
      </c>
      <c r="K62" s="107"/>
      <c r="L62" s="107"/>
      <c r="M62" s="187"/>
      <c r="N62" s="169">
        <f t="shared" si="14"/>
        <v>1</v>
      </c>
      <c r="O62" s="144">
        <v>1</v>
      </c>
      <c r="P62" s="145">
        <v>15</v>
      </c>
      <c r="Q62" s="113">
        <v>15</v>
      </c>
      <c r="R62" s="113"/>
      <c r="S62" s="113"/>
      <c r="T62" s="146"/>
      <c r="U62" s="148">
        <f t="shared" si="1"/>
        <v>15</v>
      </c>
      <c r="V62" s="149">
        <f t="shared" si="2"/>
        <v>15</v>
      </c>
      <c r="W62" s="189"/>
      <c r="X62" s="199"/>
      <c r="Y62" s="151"/>
      <c r="Z62" s="190"/>
      <c r="AA62" s="153"/>
      <c r="AB62" s="154">
        <f t="shared" si="3"/>
        <v>0</v>
      </c>
      <c r="AC62" s="149">
        <f t="shared" si="4"/>
        <v>0</v>
      </c>
      <c r="AD62" s="125">
        <v>2</v>
      </c>
      <c r="AE62" s="148">
        <f t="shared" si="5"/>
        <v>2</v>
      </c>
      <c r="AF62" s="156"/>
      <c r="AG62" s="156"/>
      <c r="AH62" s="113">
        <f t="shared" si="6"/>
        <v>17</v>
      </c>
      <c r="AI62" s="157">
        <v>65</v>
      </c>
      <c r="AJ62" s="113">
        <f t="shared" si="7"/>
        <v>82</v>
      </c>
      <c r="AK62" s="113">
        <f t="shared" si="8"/>
        <v>82</v>
      </c>
      <c r="AL62" s="158">
        <f t="shared" si="9"/>
        <v>1.02</v>
      </c>
      <c r="AM62" s="159"/>
      <c r="AN62" s="160">
        <f t="shared" si="13"/>
        <v>1</v>
      </c>
      <c r="AO62" s="160">
        <f t="shared" si="13"/>
        <v>2</v>
      </c>
      <c r="AP62" s="133"/>
      <c r="AQ62" s="134"/>
      <c r="AR62" s="161"/>
      <c r="AS62" s="161"/>
      <c r="AT62" s="161"/>
      <c r="AU62" s="161"/>
      <c r="AV62" s="162"/>
      <c r="AW62" s="137">
        <f t="shared" si="11"/>
        <v>0</v>
      </c>
      <c r="AX62" s="137">
        <f t="shared" si="12"/>
        <v>0</v>
      </c>
    </row>
    <row r="63" ht="46.5" customHeight="1" spans="1:50" s="97" customFormat="1" x14ac:dyDescent="0.25">
      <c r="A63" s="100"/>
      <c r="B63" s="100"/>
      <c r="C63" s="100"/>
      <c r="D63" s="100"/>
      <c r="E63" s="100"/>
      <c r="F63" s="100"/>
      <c r="G63" s="103"/>
      <c r="H63" s="186"/>
      <c r="I63" s="195">
        <v>0.51</v>
      </c>
      <c r="J63" s="107">
        <v>0.49</v>
      </c>
      <c r="K63" s="107"/>
      <c r="L63" s="107"/>
      <c r="M63" s="187"/>
      <c r="N63" s="169">
        <f t="shared" si="14"/>
        <v>1</v>
      </c>
      <c r="O63" s="144">
        <v>1</v>
      </c>
      <c r="P63" s="145">
        <v>15</v>
      </c>
      <c r="Q63" s="113">
        <v>15</v>
      </c>
      <c r="R63" s="113"/>
      <c r="S63" s="113"/>
      <c r="T63" s="146"/>
      <c r="U63" s="148">
        <f t="shared" si="1"/>
        <v>15</v>
      </c>
      <c r="V63" s="149">
        <f t="shared" si="2"/>
        <v>15</v>
      </c>
      <c r="W63" s="189"/>
      <c r="X63" s="199"/>
      <c r="Y63" s="151"/>
      <c r="Z63" s="190"/>
      <c r="AA63" s="153"/>
      <c r="AB63" s="154">
        <f t="shared" si="3"/>
        <v>0</v>
      </c>
      <c r="AC63" s="149">
        <f t="shared" si="4"/>
        <v>0</v>
      </c>
      <c r="AD63" s="125">
        <v>2</v>
      </c>
      <c r="AE63" s="148">
        <f t="shared" si="5"/>
        <v>2</v>
      </c>
      <c r="AF63" s="156"/>
      <c r="AG63" s="156"/>
      <c r="AH63" s="113">
        <f t="shared" si="6"/>
        <v>17</v>
      </c>
      <c r="AI63" s="157">
        <v>65</v>
      </c>
      <c r="AJ63" s="113">
        <f t="shared" si="7"/>
        <v>82</v>
      </c>
      <c r="AK63" s="113">
        <f t="shared" si="8"/>
        <v>82</v>
      </c>
      <c r="AL63" s="158">
        <f t="shared" si="9"/>
        <v>1.02</v>
      </c>
      <c r="AM63" s="159"/>
      <c r="AN63" s="160">
        <f t="shared" ref="AN63:AO82" si="15">100%+AM63</f>
        <v>1</v>
      </c>
      <c r="AO63" s="160">
        <f t="shared" si="15"/>
        <v>2</v>
      </c>
      <c r="AP63" s="133"/>
      <c r="AQ63" s="134"/>
      <c r="AR63" s="161"/>
      <c r="AS63" s="161"/>
      <c r="AT63" s="161"/>
      <c r="AU63" s="161"/>
      <c r="AV63" s="162"/>
      <c r="AW63" s="137">
        <f t="shared" si="11"/>
        <v>0</v>
      </c>
      <c r="AX63" s="137">
        <f t="shared" si="12"/>
        <v>0</v>
      </c>
    </row>
    <row r="64" ht="46.5" customHeight="1" spans="1:50" s="97" customFormat="1" x14ac:dyDescent="0.25">
      <c r="A64" s="100"/>
      <c r="B64" s="100"/>
      <c r="C64" s="100"/>
      <c r="D64" s="100"/>
      <c r="E64" s="100"/>
      <c r="F64" s="100"/>
      <c r="G64" s="103"/>
      <c r="H64" s="186"/>
      <c r="I64" s="195">
        <v>0.51</v>
      </c>
      <c r="J64" s="107">
        <v>0.49</v>
      </c>
      <c r="K64" s="107"/>
      <c r="L64" s="107"/>
      <c r="M64" s="187"/>
      <c r="N64" s="169">
        <f t="shared" si="14"/>
        <v>1</v>
      </c>
      <c r="O64" s="144">
        <v>1</v>
      </c>
      <c r="P64" s="145">
        <v>15</v>
      </c>
      <c r="Q64" s="113">
        <v>15</v>
      </c>
      <c r="R64" s="113"/>
      <c r="S64" s="113"/>
      <c r="T64" s="146"/>
      <c r="U64" s="148">
        <f t="shared" si="1"/>
        <v>15</v>
      </c>
      <c r="V64" s="149">
        <f t="shared" si="2"/>
        <v>15</v>
      </c>
      <c r="W64" s="189"/>
      <c r="X64" s="199"/>
      <c r="Y64" s="151"/>
      <c r="Z64" s="190"/>
      <c r="AA64" s="153"/>
      <c r="AB64" s="154">
        <f t="shared" si="3"/>
        <v>0</v>
      </c>
      <c r="AC64" s="149">
        <f t="shared" si="4"/>
        <v>0</v>
      </c>
      <c r="AD64" s="125">
        <v>2</v>
      </c>
      <c r="AE64" s="148">
        <f t="shared" si="5"/>
        <v>2</v>
      </c>
      <c r="AF64" s="156"/>
      <c r="AG64" s="156"/>
      <c r="AH64" s="113">
        <f t="shared" si="6"/>
        <v>17</v>
      </c>
      <c r="AI64" s="157">
        <v>65</v>
      </c>
      <c r="AJ64" s="113">
        <f t="shared" si="7"/>
        <v>82</v>
      </c>
      <c r="AK64" s="113">
        <f t="shared" si="8"/>
        <v>82</v>
      </c>
      <c r="AL64" s="158">
        <f t="shared" si="9"/>
        <v>1.02</v>
      </c>
      <c r="AM64" s="159"/>
      <c r="AN64" s="160">
        <f t="shared" si="15"/>
        <v>1</v>
      </c>
      <c r="AO64" s="160">
        <f t="shared" si="15"/>
        <v>2</v>
      </c>
      <c r="AP64" s="133"/>
      <c r="AQ64" s="134"/>
      <c r="AR64" s="161"/>
      <c r="AS64" s="161"/>
      <c r="AT64" s="161"/>
      <c r="AU64" s="161"/>
      <c r="AV64" s="162"/>
      <c r="AW64" s="137">
        <f t="shared" si="11"/>
        <v>0</v>
      </c>
      <c r="AX64" s="137">
        <f t="shared" si="12"/>
        <v>0</v>
      </c>
    </row>
    <row r="65" ht="46.5" customHeight="1" spans="1:50" s="97" customFormat="1" x14ac:dyDescent="0.25">
      <c r="A65" s="100"/>
      <c r="B65" s="100"/>
      <c r="C65" s="100"/>
      <c r="D65" s="100"/>
      <c r="E65" s="100"/>
      <c r="F65" s="100"/>
      <c r="G65" s="103"/>
      <c r="H65" s="186"/>
      <c r="I65" s="195">
        <v>0.51</v>
      </c>
      <c r="J65" s="107">
        <v>0.49</v>
      </c>
      <c r="K65" s="107"/>
      <c r="L65" s="107"/>
      <c r="M65" s="187"/>
      <c r="N65" s="169">
        <f t="shared" si="14"/>
        <v>1</v>
      </c>
      <c r="O65" s="144">
        <v>1</v>
      </c>
      <c r="P65" s="145">
        <v>15</v>
      </c>
      <c r="Q65" s="113">
        <v>15</v>
      </c>
      <c r="R65" s="113"/>
      <c r="S65" s="113"/>
      <c r="T65" s="146"/>
      <c r="U65" s="148">
        <f t="shared" si="1"/>
        <v>15</v>
      </c>
      <c r="V65" s="149">
        <f t="shared" si="2"/>
        <v>15</v>
      </c>
      <c r="W65" s="189"/>
      <c r="X65" s="199"/>
      <c r="Y65" s="151"/>
      <c r="Z65" s="190"/>
      <c r="AA65" s="153"/>
      <c r="AB65" s="154">
        <f t="shared" si="3"/>
        <v>0</v>
      </c>
      <c r="AC65" s="149">
        <f t="shared" si="4"/>
        <v>0</v>
      </c>
      <c r="AD65" s="125">
        <v>2</v>
      </c>
      <c r="AE65" s="148">
        <f t="shared" si="5"/>
        <v>2</v>
      </c>
      <c r="AF65" s="156"/>
      <c r="AG65" s="156"/>
      <c r="AH65" s="113">
        <f t="shared" si="6"/>
        <v>17</v>
      </c>
      <c r="AI65" s="157">
        <v>65</v>
      </c>
      <c r="AJ65" s="113">
        <f t="shared" si="7"/>
        <v>82</v>
      </c>
      <c r="AK65" s="113">
        <f t="shared" si="8"/>
        <v>82</v>
      </c>
      <c r="AL65" s="158">
        <f t="shared" si="9"/>
        <v>1.02</v>
      </c>
      <c r="AM65" s="159"/>
      <c r="AN65" s="160">
        <f t="shared" si="15"/>
        <v>1</v>
      </c>
      <c r="AO65" s="160">
        <f t="shared" si="15"/>
        <v>2</v>
      </c>
      <c r="AP65" s="133"/>
      <c r="AQ65" s="134"/>
      <c r="AR65" s="161"/>
      <c r="AS65" s="161"/>
      <c r="AT65" s="161"/>
      <c r="AU65" s="161"/>
      <c r="AV65" s="162"/>
      <c r="AW65" s="137">
        <f t="shared" si="11"/>
        <v>0</v>
      </c>
      <c r="AX65" s="137">
        <f t="shared" si="12"/>
        <v>0</v>
      </c>
    </row>
    <row r="66" ht="46.5" customHeight="1" spans="1:50" s="97" customFormat="1" x14ac:dyDescent="0.25">
      <c r="A66" s="100"/>
      <c r="B66" s="100"/>
      <c r="C66" s="100"/>
      <c r="D66" s="100"/>
      <c r="E66" s="100"/>
      <c r="F66" s="100"/>
      <c r="G66" s="103"/>
      <c r="H66" s="186"/>
      <c r="I66" s="195">
        <v>0.51</v>
      </c>
      <c r="J66" s="107">
        <v>0.49</v>
      </c>
      <c r="K66" s="107"/>
      <c r="L66" s="107"/>
      <c r="M66" s="187"/>
      <c r="N66" s="169">
        <f t="shared" si="14"/>
        <v>1</v>
      </c>
      <c r="O66" s="144">
        <v>1</v>
      </c>
      <c r="P66" s="145">
        <v>15</v>
      </c>
      <c r="Q66" s="113">
        <v>15</v>
      </c>
      <c r="R66" s="113"/>
      <c r="S66" s="113"/>
      <c r="T66" s="146"/>
      <c r="U66" s="148">
        <f t="shared" si="1"/>
        <v>15</v>
      </c>
      <c r="V66" s="149">
        <f t="shared" si="2"/>
        <v>15</v>
      </c>
      <c r="W66" s="189"/>
      <c r="X66" s="199"/>
      <c r="Y66" s="151"/>
      <c r="Z66" s="190"/>
      <c r="AA66" s="153"/>
      <c r="AB66" s="154">
        <f t="shared" si="3"/>
        <v>0</v>
      </c>
      <c r="AC66" s="149">
        <f t="shared" si="4"/>
        <v>0</v>
      </c>
      <c r="AD66" s="125">
        <v>2</v>
      </c>
      <c r="AE66" s="148">
        <f t="shared" si="5"/>
        <v>2</v>
      </c>
      <c r="AF66" s="156"/>
      <c r="AG66" s="156"/>
      <c r="AH66" s="113">
        <f t="shared" si="6"/>
        <v>17</v>
      </c>
      <c r="AI66" s="157">
        <v>65</v>
      </c>
      <c r="AJ66" s="113">
        <f t="shared" si="7"/>
        <v>82</v>
      </c>
      <c r="AK66" s="113">
        <f t="shared" si="8"/>
        <v>82</v>
      </c>
      <c r="AL66" s="158">
        <f t="shared" si="9"/>
        <v>1.02</v>
      </c>
      <c r="AM66" s="159"/>
      <c r="AN66" s="160">
        <f t="shared" si="15"/>
        <v>1</v>
      </c>
      <c r="AO66" s="160">
        <f t="shared" si="15"/>
        <v>2</v>
      </c>
      <c r="AP66" s="133"/>
      <c r="AQ66" s="134"/>
      <c r="AR66" s="161"/>
      <c r="AS66" s="161"/>
      <c r="AT66" s="161"/>
      <c r="AU66" s="161"/>
      <c r="AV66" s="162"/>
      <c r="AW66" s="137">
        <f t="shared" si="11"/>
        <v>0</v>
      </c>
      <c r="AX66" s="137">
        <f t="shared" si="12"/>
        <v>0</v>
      </c>
    </row>
    <row r="67" ht="46.5" customHeight="1" spans="1:50" s="97" customFormat="1" x14ac:dyDescent="0.25">
      <c r="A67" s="100"/>
      <c r="B67" s="100"/>
      <c r="C67" s="100"/>
      <c r="D67" s="100"/>
      <c r="E67" s="100"/>
      <c r="F67" s="100"/>
      <c r="G67" s="103"/>
      <c r="H67" s="186"/>
      <c r="I67" s="195">
        <v>0.51</v>
      </c>
      <c r="J67" s="107">
        <v>0.49</v>
      </c>
      <c r="K67" s="107"/>
      <c r="L67" s="107"/>
      <c r="M67" s="187"/>
      <c r="N67" s="169">
        <f t="shared" si="14"/>
        <v>1</v>
      </c>
      <c r="O67" s="144">
        <v>1</v>
      </c>
      <c r="P67" s="145">
        <v>15</v>
      </c>
      <c r="Q67" s="113">
        <v>15</v>
      </c>
      <c r="R67" s="113"/>
      <c r="S67" s="113"/>
      <c r="T67" s="146"/>
      <c r="U67" s="148">
        <f t="shared" si="1"/>
        <v>15</v>
      </c>
      <c r="V67" s="149">
        <f t="shared" si="2"/>
        <v>15</v>
      </c>
      <c r="W67" s="189"/>
      <c r="X67" s="199"/>
      <c r="Y67" s="151"/>
      <c r="Z67" s="190"/>
      <c r="AA67" s="153"/>
      <c r="AB67" s="154">
        <f t="shared" si="3"/>
        <v>0</v>
      </c>
      <c r="AC67" s="149">
        <f t="shared" si="4"/>
        <v>0</v>
      </c>
      <c r="AD67" s="125">
        <v>2</v>
      </c>
      <c r="AE67" s="148">
        <f t="shared" si="5"/>
        <v>2</v>
      </c>
      <c r="AF67" s="156"/>
      <c r="AG67" s="156"/>
      <c r="AH67" s="113">
        <f t="shared" si="6"/>
        <v>17</v>
      </c>
      <c r="AI67" s="157">
        <v>65</v>
      </c>
      <c r="AJ67" s="113">
        <f t="shared" si="7"/>
        <v>82</v>
      </c>
      <c r="AK67" s="113">
        <f t="shared" si="8"/>
        <v>82</v>
      </c>
      <c r="AL67" s="158">
        <f t="shared" si="9"/>
        <v>1.02</v>
      </c>
      <c r="AM67" s="159"/>
      <c r="AN67" s="160">
        <f t="shared" si="15"/>
        <v>1</v>
      </c>
      <c r="AO67" s="160">
        <f t="shared" si="15"/>
        <v>2</v>
      </c>
      <c r="AP67" s="133"/>
      <c r="AQ67" s="134"/>
      <c r="AR67" s="161"/>
      <c r="AS67" s="161"/>
      <c r="AT67" s="161"/>
      <c r="AU67" s="161"/>
      <c r="AV67" s="162"/>
      <c r="AW67" s="137">
        <f t="shared" si="11"/>
        <v>0</v>
      </c>
      <c r="AX67" s="137">
        <f t="shared" si="12"/>
        <v>0</v>
      </c>
    </row>
    <row r="68" ht="46.5" customHeight="1" spans="1:50" s="97" customFormat="1" x14ac:dyDescent="0.25">
      <c r="A68" s="100"/>
      <c r="B68" s="100"/>
      <c r="C68" s="100"/>
      <c r="D68" s="100"/>
      <c r="E68" s="100"/>
      <c r="F68" s="100"/>
      <c r="G68" s="103"/>
      <c r="H68" s="186"/>
      <c r="I68" s="195">
        <v>0.51</v>
      </c>
      <c r="J68" s="107">
        <v>0.49</v>
      </c>
      <c r="K68" s="107"/>
      <c r="L68" s="107"/>
      <c r="M68" s="187"/>
      <c r="N68" s="169">
        <f t="shared" si="14"/>
        <v>1</v>
      </c>
      <c r="O68" s="144">
        <v>1</v>
      </c>
      <c r="P68" s="145">
        <v>15</v>
      </c>
      <c r="Q68" s="113">
        <v>15</v>
      </c>
      <c r="R68" s="113"/>
      <c r="S68" s="113"/>
      <c r="T68" s="146"/>
      <c r="U68" s="148">
        <f t="shared" si="1"/>
        <v>15</v>
      </c>
      <c r="V68" s="149">
        <f t="shared" si="2"/>
        <v>15</v>
      </c>
      <c r="W68" s="189"/>
      <c r="X68" s="199"/>
      <c r="Y68" s="151"/>
      <c r="Z68" s="190"/>
      <c r="AA68" s="153"/>
      <c r="AB68" s="154">
        <f t="shared" si="3"/>
        <v>0</v>
      </c>
      <c r="AC68" s="149">
        <f t="shared" si="4"/>
        <v>0</v>
      </c>
      <c r="AD68" s="125">
        <v>2</v>
      </c>
      <c r="AE68" s="148">
        <f t="shared" si="5"/>
        <v>2</v>
      </c>
      <c r="AF68" s="156"/>
      <c r="AG68" s="156"/>
      <c r="AH68" s="113">
        <f t="shared" si="6"/>
        <v>17</v>
      </c>
      <c r="AI68" s="157">
        <v>65</v>
      </c>
      <c r="AJ68" s="113">
        <f t="shared" si="7"/>
        <v>82</v>
      </c>
      <c r="AK68" s="113">
        <f t="shared" si="8"/>
        <v>82</v>
      </c>
      <c r="AL68" s="158">
        <f t="shared" si="9"/>
        <v>1.02</v>
      </c>
      <c r="AM68" s="159"/>
      <c r="AN68" s="160">
        <f t="shared" si="15"/>
        <v>1</v>
      </c>
      <c r="AO68" s="160">
        <f t="shared" si="15"/>
        <v>2</v>
      </c>
      <c r="AP68" s="133"/>
      <c r="AQ68" s="134"/>
      <c r="AR68" s="161"/>
      <c r="AS68" s="161"/>
      <c r="AT68" s="161"/>
      <c r="AU68" s="161"/>
      <c r="AV68" s="162"/>
      <c r="AW68" s="137">
        <f t="shared" si="11"/>
        <v>0</v>
      </c>
      <c r="AX68" s="137">
        <f t="shared" si="12"/>
        <v>0</v>
      </c>
    </row>
    <row r="69" ht="46.5" customHeight="1" spans="1:50" s="97" customFormat="1" x14ac:dyDescent="0.25">
      <c r="A69" s="100"/>
      <c r="B69" s="100"/>
      <c r="C69" s="100"/>
      <c r="D69" s="100"/>
      <c r="E69" s="100"/>
      <c r="F69" s="100"/>
      <c r="G69" s="103"/>
      <c r="H69" s="186"/>
      <c r="I69" s="195">
        <v>0.51</v>
      </c>
      <c r="J69" s="107">
        <v>0.49</v>
      </c>
      <c r="K69" s="107"/>
      <c r="L69" s="107"/>
      <c r="M69" s="187"/>
      <c r="N69" s="169">
        <f t="shared" si="14"/>
        <v>1</v>
      </c>
      <c r="O69" s="144">
        <v>1</v>
      </c>
      <c r="P69" s="145">
        <v>15</v>
      </c>
      <c r="Q69" s="113">
        <v>15</v>
      </c>
      <c r="R69" s="113"/>
      <c r="S69" s="113"/>
      <c r="T69" s="146"/>
      <c r="U69" s="148">
        <f t="shared" si="1"/>
        <v>15</v>
      </c>
      <c r="V69" s="149">
        <f t="shared" si="2"/>
        <v>15</v>
      </c>
      <c r="W69" s="189"/>
      <c r="X69" s="199"/>
      <c r="Y69" s="151"/>
      <c r="Z69" s="190"/>
      <c r="AA69" s="153"/>
      <c r="AB69" s="154">
        <f t="shared" si="3"/>
        <v>0</v>
      </c>
      <c r="AC69" s="149">
        <f t="shared" si="4"/>
        <v>0</v>
      </c>
      <c r="AD69" s="125">
        <v>2</v>
      </c>
      <c r="AE69" s="148">
        <f t="shared" si="5"/>
        <v>2</v>
      </c>
      <c r="AF69" s="156"/>
      <c r="AG69" s="156"/>
      <c r="AH69" s="113">
        <f t="shared" si="6"/>
        <v>17</v>
      </c>
      <c r="AI69" s="157">
        <v>65</v>
      </c>
      <c r="AJ69" s="113">
        <f t="shared" si="7"/>
        <v>82</v>
      </c>
      <c r="AK69" s="113">
        <f t="shared" si="8"/>
        <v>82</v>
      </c>
      <c r="AL69" s="158">
        <f t="shared" si="9"/>
        <v>1.02</v>
      </c>
      <c r="AM69" s="159"/>
      <c r="AN69" s="160">
        <f t="shared" si="15"/>
        <v>1</v>
      </c>
      <c r="AO69" s="160">
        <f t="shared" si="15"/>
        <v>2</v>
      </c>
      <c r="AP69" s="133"/>
      <c r="AQ69" s="134"/>
      <c r="AR69" s="161"/>
      <c r="AS69" s="161"/>
      <c r="AT69" s="161"/>
      <c r="AU69" s="161"/>
      <c r="AV69" s="162"/>
      <c r="AW69" s="137">
        <f t="shared" si="11"/>
        <v>0</v>
      </c>
      <c r="AX69" s="137">
        <f t="shared" si="12"/>
        <v>0</v>
      </c>
    </row>
    <row r="70" ht="46.5" customHeight="1" spans="1:50" s="97" customFormat="1" x14ac:dyDescent="0.25">
      <c r="A70" s="100"/>
      <c r="B70" s="100"/>
      <c r="C70" s="100"/>
      <c r="D70" s="100"/>
      <c r="E70" s="100"/>
      <c r="F70" s="100"/>
      <c r="G70" s="103"/>
      <c r="H70" s="186"/>
      <c r="I70" s="195">
        <v>0.51</v>
      </c>
      <c r="J70" s="107">
        <v>0.49</v>
      </c>
      <c r="K70" s="107"/>
      <c r="L70" s="107"/>
      <c r="M70" s="187"/>
      <c r="N70" s="169">
        <f t="shared" si="14"/>
        <v>1</v>
      </c>
      <c r="O70" s="144">
        <v>1</v>
      </c>
      <c r="P70" s="145">
        <v>15</v>
      </c>
      <c r="Q70" s="113">
        <v>15</v>
      </c>
      <c r="R70" s="113"/>
      <c r="S70" s="113"/>
      <c r="T70" s="146"/>
      <c r="U70" s="148">
        <f t="shared" si="1"/>
        <v>15</v>
      </c>
      <c r="V70" s="149">
        <f t="shared" si="2"/>
        <v>15</v>
      </c>
      <c r="W70" s="189"/>
      <c r="X70" s="199"/>
      <c r="Y70" s="151"/>
      <c r="Z70" s="190"/>
      <c r="AA70" s="153"/>
      <c r="AB70" s="154">
        <f t="shared" si="3"/>
        <v>0</v>
      </c>
      <c r="AC70" s="149">
        <f t="shared" si="4"/>
        <v>0</v>
      </c>
      <c r="AD70" s="125">
        <v>2</v>
      </c>
      <c r="AE70" s="148">
        <f t="shared" si="5"/>
        <v>2</v>
      </c>
      <c r="AF70" s="156"/>
      <c r="AG70" s="156"/>
      <c r="AH70" s="113">
        <f t="shared" si="6"/>
        <v>17</v>
      </c>
      <c r="AI70" s="157">
        <v>65</v>
      </c>
      <c r="AJ70" s="113">
        <f t="shared" si="7"/>
        <v>82</v>
      </c>
      <c r="AK70" s="113">
        <f t="shared" si="8"/>
        <v>82</v>
      </c>
      <c r="AL70" s="158">
        <f t="shared" si="9"/>
        <v>1.02</v>
      </c>
      <c r="AM70" s="159"/>
      <c r="AN70" s="160">
        <f t="shared" si="15"/>
        <v>1</v>
      </c>
      <c r="AO70" s="160">
        <f t="shared" si="15"/>
        <v>2</v>
      </c>
      <c r="AP70" s="133"/>
      <c r="AQ70" s="134"/>
      <c r="AR70" s="161"/>
      <c r="AS70" s="161"/>
      <c r="AT70" s="161"/>
      <c r="AU70" s="161"/>
      <c r="AV70" s="162"/>
      <c r="AW70" s="137">
        <f t="shared" si="11"/>
        <v>0</v>
      </c>
      <c r="AX70" s="137">
        <f t="shared" si="12"/>
        <v>0</v>
      </c>
    </row>
    <row r="71" ht="46.5" customHeight="1" spans="1:50" s="97" customFormat="1" x14ac:dyDescent="0.25">
      <c r="A71" s="100"/>
      <c r="B71" s="100"/>
      <c r="C71" s="100"/>
      <c r="D71" s="100"/>
      <c r="E71" s="100"/>
      <c r="F71" s="100"/>
      <c r="G71" s="103"/>
      <c r="H71" s="186"/>
      <c r="I71" s="195">
        <v>0.51</v>
      </c>
      <c r="J71" s="107">
        <v>0.49</v>
      </c>
      <c r="K71" s="107"/>
      <c r="L71" s="107"/>
      <c r="M71" s="187"/>
      <c r="N71" s="169">
        <f t="shared" si="14"/>
        <v>1</v>
      </c>
      <c r="O71" s="144">
        <v>1</v>
      </c>
      <c r="P71" s="145">
        <v>15</v>
      </c>
      <c r="Q71" s="113">
        <v>15</v>
      </c>
      <c r="R71" s="113"/>
      <c r="S71" s="113"/>
      <c r="T71" s="146"/>
      <c r="U71" s="148">
        <f t="shared" si="1"/>
        <v>15</v>
      </c>
      <c r="V71" s="149">
        <f t="shared" si="2"/>
        <v>15</v>
      </c>
      <c r="W71" s="189"/>
      <c r="X71" s="199"/>
      <c r="Y71" s="151"/>
      <c r="Z71" s="190"/>
      <c r="AA71" s="153"/>
      <c r="AB71" s="154">
        <f t="shared" si="3"/>
        <v>0</v>
      </c>
      <c r="AC71" s="149">
        <f t="shared" si="4"/>
        <v>0</v>
      </c>
      <c r="AD71" s="125">
        <v>2</v>
      </c>
      <c r="AE71" s="148">
        <f t="shared" si="5"/>
        <v>2</v>
      </c>
      <c r="AF71" s="156"/>
      <c r="AG71" s="156"/>
      <c r="AH71" s="113">
        <f t="shared" si="6"/>
        <v>17</v>
      </c>
      <c r="AI71" s="157">
        <v>65</v>
      </c>
      <c r="AJ71" s="113">
        <f t="shared" si="7"/>
        <v>82</v>
      </c>
      <c r="AK71" s="113">
        <f t="shared" si="8"/>
        <v>82</v>
      </c>
      <c r="AL71" s="158">
        <f t="shared" si="9"/>
        <v>1.02</v>
      </c>
      <c r="AM71" s="159"/>
      <c r="AN71" s="160">
        <f t="shared" si="15"/>
        <v>1</v>
      </c>
      <c r="AO71" s="160">
        <f t="shared" si="15"/>
        <v>2</v>
      </c>
      <c r="AP71" s="133"/>
      <c r="AQ71" s="134"/>
      <c r="AR71" s="161"/>
      <c r="AS71" s="161"/>
      <c r="AT71" s="161"/>
      <c r="AU71" s="161"/>
      <c r="AV71" s="162"/>
      <c r="AW71" s="137">
        <f t="shared" si="11"/>
        <v>0</v>
      </c>
      <c r="AX71" s="137">
        <f t="shared" si="12"/>
        <v>0</v>
      </c>
    </row>
    <row r="72" ht="46.5" customHeight="1" spans="1:50" s="97" customFormat="1" x14ac:dyDescent="0.25">
      <c r="A72" s="100"/>
      <c r="B72" s="100"/>
      <c r="C72" s="100"/>
      <c r="D72" s="100"/>
      <c r="E72" s="100"/>
      <c r="F72" s="100"/>
      <c r="G72" s="103"/>
      <c r="H72" s="186"/>
      <c r="I72" s="195">
        <v>0.51</v>
      </c>
      <c r="J72" s="107">
        <v>0.49</v>
      </c>
      <c r="K72" s="107"/>
      <c r="L72" s="107"/>
      <c r="M72" s="187"/>
      <c r="N72" s="169">
        <f t="shared" si="14"/>
        <v>1</v>
      </c>
      <c r="O72" s="144">
        <v>1</v>
      </c>
      <c r="P72" s="145">
        <v>15</v>
      </c>
      <c r="Q72" s="113">
        <v>15</v>
      </c>
      <c r="R72" s="113"/>
      <c r="S72" s="113"/>
      <c r="T72" s="146"/>
      <c r="U72" s="148">
        <f t="shared" si="1"/>
        <v>15</v>
      </c>
      <c r="V72" s="149">
        <f t="shared" si="2"/>
        <v>15</v>
      </c>
      <c r="W72" s="189"/>
      <c r="X72" s="199"/>
      <c r="Y72" s="151"/>
      <c r="Z72" s="190"/>
      <c r="AA72" s="153"/>
      <c r="AB72" s="154">
        <f t="shared" si="3"/>
        <v>0</v>
      </c>
      <c r="AC72" s="149">
        <f t="shared" si="4"/>
        <v>0</v>
      </c>
      <c r="AD72" s="125">
        <v>2</v>
      </c>
      <c r="AE72" s="148">
        <f t="shared" si="5"/>
        <v>2</v>
      </c>
      <c r="AF72" s="156"/>
      <c r="AG72" s="156"/>
      <c r="AH72" s="113">
        <f t="shared" si="6"/>
        <v>17</v>
      </c>
      <c r="AI72" s="157">
        <v>65</v>
      </c>
      <c r="AJ72" s="113">
        <f t="shared" si="7"/>
        <v>82</v>
      </c>
      <c r="AK72" s="113">
        <f t="shared" si="8"/>
        <v>82</v>
      </c>
      <c r="AL72" s="158">
        <f t="shared" si="9"/>
        <v>1.02</v>
      </c>
      <c r="AM72" s="159"/>
      <c r="AN72" s="160">
        <f t="shared" si="15"/>
        <v>1</v>
      </c>
      <c r="AO72" s="160">
        <f t="shared" si="15"/>
        <v>2</v>
      </c>
      <c r="AP72" s="133"/>
      <c r="AQ72" s="134"/>
      <c r="AR72" s="161"/>
      <c r="AS72" s="161"/>
      <c r="AT72" s="161"/>
      <c r="AU72" s="161"/>
      <c r="AV72" s="162"/>
      <c r="AW72" s="137">
        <f t="shared" si="11"/>
        <v>0</v>
      </c>
      <c r="AX72" s="137">
        <f t="shared" si="12"/>
        <v>0</v>
      </c>
    </row>
    <row r="73" ht="46.5" customHeight="1" spans="1:50" s="97" customFormat="1" x14ac:dyDescent="0.25">
      <c r="A73" s="100"/>
      <c r="B73" s="100"/>
      <c r="C73" s="100"/>
      <c r="D73" s="100"/>
      <c r="E73" s="100"/>
      <c r="F73" s="100"/>
      <c r="G73" s="103"/>
      <c r="H73" s="186"/>
      <c r="I73" s="195">
        <v>0.51</v>
      </c>
      <c r="J73" s="107">
        <v>0.49</v>
      </c>
      <c r="K73" s="107"/>
      <c r="L73" s="107"/>
      <c r="M73" s="187"/>
      <c r="N73" s="169">
        <f t="shared" si="14"/>
        <v>1</v>
      </c>
      <c r="O73" s="144">
        <v>1</v>
      </c>
      <c r="P73" s="145">
        <v>15</v>
      </c>
      <c r="Q73" s="113">
        <v>15</v>
      </c>
      <c r="R73" s="113"/>
      <c r="S73" s="113"/>
      <c r="T73" s="146"/>
      <c r="U73" s="148">
        <f t="shared" si="1"/>
        <v>15</v>
      </c>
      <c r="V73" s="149">
        <f t="shared" si="2"/>
        <v>15</v>
      </c>
      <c r="W73" s="189"/>
      <c r="X73" s="199"/>
      <c r="Y73" s="151"/>
      <c r="Z73" s="190"/>
      <c r="AA73" s="153"/>
      <c r="AB73" s="154">
        <f t="shared" si="3"/>
        <v>0</v>
      </c>
      <c r="AC73" s="149">
        <f t="shared" si="4"/>
        <v>0</v>
      </c>
      <c r="AD73" s="125">
        <v>2</v>
      </c>
      <c r="AE73" s="148">
        <f t="shared" si="5"/>
        <v>2</v>
      </c>
      <c r="AF73" s="156"/>
      <c r="AG73" s="156"/>
      <c r="AH73" s="113">
        <f t="shared" si="6"/>
        <v>17</v>
      </c>
      <c r="AI73" s="157">
        <v>65</v>
      </c>
      <c r="AJ73" s="113">
        <f t="shared" si="7"/>
        <v>82</v>
      </c>
      <c r="AK73" s="113">
        <f t="shared" si="8"/>
        <v>82</v>
      </c>
      <c r="AL73" s="158">
        <f t="shared" si="9"/>
        <v>1.02</v>
      </c>
      <c r="AM73" s="159"/>
      <c r="AN73" s="160">
        <f t="shared" si="15"/>
        <v>1</v>
      </c>
      <c r="AO73" s="160">
        <f t="shared" si="15"/>
        <v>2</v>
      </c>
      <c r="AP73" s="133"/>
      <c r="AQ73" s="134"/>
      <c r="AR73" s="161"/>
      <c r="AS73" s="161"/>
      <c r="AT73" s="161"/>
      <c r="AU73" s="161"/>
      <c r="AV73" s="162"/>
      <c r="AW73" s="137">
        <f t="shared" si="11"/>
        <v>0</v>
      </c>
      <c r="AX73" s="137">
        <f t="shared" si="12"/>
        <v>0</v>
      </c>
    </row>
    <row r="74" ht="46.5" customHeight="1" spans="1:50" s="97" customFormat="1" x14ac:dyDescent="0.25">
      <c r="A74" s="100"/>
      <c r="B74" s="100"/>
      <c r="C74" s="100"/>
      <c r="D74" s="100"/>
      <c r="E74" s="100"/>
      <c r="F74" s="100"/>
      <c r="G74" s="103"/>
      <c r="H74" s="186"/>
      <c r="I74" s="195">
        <v>0.51</v>
      </c>
      <c r="J74" s="107">
        <v>0.49</v>
      </c>
      <c r="K74" s="107"/>
      <c r="L74" s="107"/>
      <c r="M74" s="187"/>
      <c r="N74" s="169">
        <f t="shared" si="14"/>
        <v>1</v>
      </c>
      <c r="O74" s="144">
        <v>1</v>
      </c>
      <c r="P74" s="145">
        <v>15</v>
      </c>
      <c r="Q74" s="113">
        <v>15</v>
      </c>
      <c r="R74" s="113"/>
      <c r="S74" s="113"/>
      <c r="T74" s="146"/>
      <c r="U74" s="148">
        <f t="shared" si="1"/>
        <v>15</v>
      </c>
      <c r="V74" s="149">
        <f t="shared" si="2"/>
        <v>15</v>
      </c>
      <c r="W74" s="189"/>
      <c r="X74" s="199"/>
      <c r="Y74" s="151"/>
      <c r="Z74" s="190"/>
      <c r="AA74" s="153"/>
      <c r="AB74" s="154">
        <f t="shared" si="3"/>
        <v>0</v>
      </c>
      <c r="AC74" s="149">
        <f t="shared" si="4"/>
        <v>0</v>
      </c>
      <c r="AD74" s="125">
        <v>2</v>
      </c>
      <c r="AE74" s="148">
        <f t="shared" si="5"/>
        <v>2</v>
      </c>
      <c r="AF74" s="156"/>
      <c r="AG74" s="156"/>
      <c r="AH74" s="113">
        <f t="shared" si="6"/>
        <v>17</v>
      </c>
      <c r="AI74" s="157">
        <v>65</v>
      </c>
      <c r="AJ74" s="113">
        <f t="shared" si="7"/>
        <v>82</v>
      </c>
      <c r="AK74" s="113">
        <f t="shared" si="8"/>
        <v>82</v>
      </c>
      <c r="AL74" s="158">
        <f t="shared" si="9"/>
        <v>1.02</v>
      </c>
      <c r="AM74" s="159"/>
      <c r="AN74" s="160">
        <f t="shared" si="15"/>
        <v>1</v>
      </c>
      <c r="AO74" s="160">
        <f t="shared" si="15"/>
        <v>2</v>
      </c>
      <c r="AP74" s="133"/>
      <c r="AQ74" s="134"/>
      <c r="AR74" s="161"/>
      <c r="AS74" s="161"/>
      <c r="AT74" s="161"/>
      <c r="AU74" s="161"/>
      <c r="AV74" s="162"/>
      <c r="AW74" s="137">
        <f t="shared" si="11"/>
        <v>0</v>
      </c>
      <c r="AX74" s="137">
        <f t="shared" si="12"/>
        <v>0</v>
      </c>
    </row>
    <row r="75" ht="46.5" customHeight="1" spans="1:50" s="97" customFormat="1" x14ac:dyDescent="0.25">
      <c r="A75" s="100"/>
      <c r="B75" s="100"/>
      <c r="C75" s="100"/>
      <c r="D75" s="100"/>
      <c r="E75" s="100"/>
      <c r="F75" s="100"/>
      <c r="G75" s="103"/>
      <c r="H75" s="186"/>
      <c r="I75" s="195">
        <v>0.51</v>
      </c>
      <c r="J75" s="107">
        <v>0.49</v>
      </c>
      <c r="K75" s="107"/>
      <c r="L75" s="107"/>
      <c r="M75" s="187"/>
      <c r="N75" s="169">
        <f t="shared" si="14"/>
        <v>1</v>
      </c>
      <c r="O75" s="144">
        <v>1</v>
      </c>
      <c r="P75" s="145">
        <v>15</v>
      </c>
      <c r="Q75" s="113">
        <v>15</v>
      </c>
      <c r="R75" s="113"/>
      <c r="S75" s="113"/>
      <c r="T75" s="146"/>
      <c r="U75" s="148">
        <f t="shared" si="1"/>
        <v>15</v>
      </c>
      <c r="V75" s="149">
        <f t="shared" si="2"/>
        <v>15</v>
      </c>
      <c r="W75" s="189"/>
      <c r="X75" s="199"/>
      <c r="Y75" s="151"/>
      <c r="Z75" s="190"/>
      <c r="AA75" s="153"/>
      <c r="AB75" s="154">
        <f t="shared" si="3"/>
        <v>0</v>
      </c>
      <c r="AC75" s="149">
        <f t="shared" si="4"/>
        <v>0</v>
      </c>
      <c r="AD75" s="125">
        <v>2</v>
      </c>
      <c r="AE75" s="148">
        <f t="shared" si="5"/>
        <v>2</v>
      </c>
      <c r="AF75" s="156"/>
      <c r="AG75" s="156"/>
      <c r="AH75" s="113">
        <f t="shared" si="6"/>
        <v>17</v>
      </c>
      <c r="AI75" s="157">
        <v>65</v>
      </c>
      <c r="AJ75" s="113">
        <f t="shared" si="7"/>
        <v>82</v>
      </c>
      <c r="AK75" s="113">
        <f t="shared" si="8"/>
        <v>82</v>
      </c>
      <c r="AL75" s="158">
        <f t="shared" si="9"/>
        <v>1.02</v>
      </c>
      <c r="AM75" s="159"/>
      <c r="AN75" s="160">
        <f t="shared" si="15"/>
        <v>1</v>
      </c>
      <c r="AO75" s="160">
        <f t="shared" si="15"/>
        <v>2</v>
      </c>
      <c r="AP75" s="133"/>
      <c r="AQ75" s="134"/>
      <c r="AR75" s="161"/>
      <c r="AS75" s="161"/>
      <c r="AT75" s="161"/>
      <c r="AU75" s="161"/>
      <c r="AV75" s="162"/>
      <c r="AW75" s="137">
        <f t="shared" si="11"/>
        <v>0</v>
      </c>
      <c r="AX75" s="137">
        <f t="shared" si="12"/>
        <v>0</v>
      </c>
    </row>
    <row r="76" ht="46.5" customHeight="1" spans="1:50" s="97" customFormat="1" x14ac:dyDescent="0.25">
      <c r="A76" s="100"/>
      <c r="B76" s="100"/>
      <c r="C76" s="100"/>
      <c r="D76" s="100"/>
      <c r="E76" s="100"/>
      <c r="F76" s="100"/>
      <c r="G76" s="103"/>
      <c r="H76" s="186"/>
      <c r="I76" s="195">
        <v>0.51</v>
      </c>
      <c r="J76" s="107">
        <v>0.49</v>
      </c>
      <c r="K76" s="107"/>
      <c r="L76" s="107"/>
      <c r="M76" s="187"/>
      <c r="N76" s="169">
        <f t="shared" si="14"/>
        <v>1</v>
      </c>
      <c r="O76" s="144">
        <v>1</v>
      </c>
      <c r="P76" s="145">
        <v>15</v>
      </c>
      <c r="Q76" s="113">
        <v>15</v>
      </c>
      <c r="R76" s="113"/>
      <c r="S76" s="113"/>
      <c r="T76" s="146"/>
      <c r="U76" s="148">
        <f t="shared" si="1"/>
        <v>15</v>
      </c>
      <c r="V76" s="149">
        <f t="shared" si="2"/>
        <v>15</v>
      </c>
      <c r="W76" s="189"/>
      <c r="X76" s="199"/>
      <c r="Y76" s="151"/>
      <c r="Z76" s="190"/>
      <c r="AA76" s="153"/>
      <c r="AB76" s="154">
        <f t="shared" si="3"/>
        <v>0</v>
      </c>
      <c r="AC76" s="149">
        <f t="shared" si="4"/>
        <v>0</v>
      </c>
      <c r="AD76" s="125">
        <v>2</v>
      </c>
      <c r="AE76" s="148">
        <f t="shared" si="5"/>
        <v>2</v>
      </c>
      <c r="AF76" s="156"/>
      <c r="AG76" s="156"/>
      <c r="AH76" s="113">
        <f t="shared" si="6"/>
        <v>17</v>
      </c>
      <c r="AI76" s="157">
        <v>65</v>
      </c>
      <c r="AJ76" s="113">
        <f t="shared" si="7"/>
        <v>82</v>
      </c>
      <c r="AK76" s="113">
        <f t="shared" si="8"/>
        <v>82</v>
      </c>
      <c r="AL76" s="158">
        <f t="shared" si="9"/>
        <v>1.02</v>
      </c>
      <c r="AM76" s="159"/>
      <c r="AN76" s="160">
        <f t="shared" si="15"/>
        <v>1</v>
      </c>
      <c r="AO76" s="160">
        <f t="shared" si="15"/>
        <v>2</v>
      </c>
      <c r="AP76" s="133"/>
      <c r="AQ76" s="134"/>
      <c r="AR76" s="161"/>
      <c r="AS76" s="161"/>
      <c r="AT76" s="161"/>
      <c r="AU76" s="161"/>
      <c r="AV76" s="162"/>
      <c r="AW76" s="137">
        <f t="shared" si="11"/>
        <v>0</v>
      </c>
      <c r="AX76" s="137">
        <f t="shared" si="12"/>
        <v>0</v>
      </c>
    </row>
    <row r="77" ht="46.5" customHeight="1" spans="1:50" s="97" customFormat="1" x14ac:dyDescent="0.25">
      <c r="A77" s="100"/>
      <c r="B77" s="100"/>
      <c r="C77" s="100"/>
      <c r="D77" s="100"/>
      <c r="E77" s="100"/>
      <c r="F77" s="100"/>
      <c r="G77" s="103"/>
      <c r="H77" s="186"/>
      <c r="I77" s="195">
        <v>0.51</v>
      </c>
      <c r="J77" s="107">
        <v>0.49</v>
      </c>
      <c r="K77" s="107"/>
      <c r="L77" s="107"/>
      <c r="M77" s="187"/>
      <c r="N77" s="169">
        <f t="shared" si="14"/>
        <v>1</v>
      </c>
      <c r="O77" s="144">
        <v>1</v>
      </c>
      <c r="P77" s="145">
        <v>15</v>
      </c>
      <c r="Q77" s="113">
        <v>15</v>
      </c>
      <c r="R77" s="113"/>
      <c r="S77" s="113"/>
      <c r="T77" s="146"/>
      <c r="U77" s="148">
        <f t="shared" si="1"/>
        <v>15</v>
      </c>
      <c r="V77" s="149">
        <f t="shared" si="2"/>
        <v>15</v>
      </c>
      <c r="W77" s="189"/>
      <c r="X77" s="199"/>
      <c r="Y77" s="151"/>
      <c r="Z77" s="190"/>
      <c r="AA77" s="153"/>
      <c r="AB77" s="154">
        <f t="shared" si="3"/>
        <v>0</v>
      </c>
      <c r="AC77" s="149">
        <f t="shared" si="4"/>
        <v>0</v>
      </c>
      <c r="AD77" s="125">
        <v>2</v>
      </c>
      <c r="AE77" s="148">
        <f t="shared" si="5"/>
        <v>2</v>
      </c>
      <c r="AF77" s="156"/>
      <c r="AG77" s="156"/>
      <c r="AH77" s="113">
        <f t="shared" si="6"/>
        <v>17</v>
      </c>
      <c r="AI77" s="157">
        <v>65</v>
      </c>
      <c r="AJ77" s="113">
        <f t="shared" si="7"/>
        <v>82</v>
      </c>
      <c r="AK77" s="113">
        <f t="shared" si="8"/>
        <v>82</v>
      </c>
      <c r="AL77" s="158">
        <f t="shared" si="9"/>
        <v>1.02</v>
      </c>
      <c r="AM77" s="159"/>
      <c r="AN77" s="160">
        <f t="shared" si="15"/>
        <v>1</v>
      </c>
      <c r="AO77" s="160">
        <f t="shared" si="15"/>
        <v>2</v>
      </c>
      <c r="AP77" s="133"/>
      <c r="AQ77" s="134"/>
      <c r="AR77" s="161"/>
      <c r="AS77" s="161"/>
      <c r="AT77" s="161"/>
      <c r="AU77" s="161"/>
      <c r="AV77" s="162"/>
      <c r="AW77" s="137">
        <f t="shared" si="11"/>
        <v>0</v>
      </c>
      <c r="AX77" s="137">
        <f t="shared" si="12"/>
        <v>0</v>
      </c>
    </row>
    <row r="78" ht="46.5" customHeight="1" spans="1:50" s="97" customFormat="1" x14ac:dyDescent="0.25">
      <c r="A78" s="100"/>
      <c r="B78" s="100"/>
      <c r="C78" s="100"/>
      <c r="D78" s="100"/>
      <c r="E78" s="100"/>
      <c r="F78" s="100"/>
      <c r="G78" s="103"/>
      <c r="H78" s="186"/>
      <c r="I78" s="195">
        <v>0.51</v>
      </c>
      <c r="J78" s="107">
        <v>0.49</v>
      </c>
      <c r="K78" s="107"/>
      <c r="L78" s="107"/>
      <c r="M78" s="187"/>
      <c r="N78" s="169">
        <f t="shared" si="14"/>
        <v>1</v>
      </c>
      <c r="O78" s="144">
        <v>1</v>
      </c>
      <c r="P78" s="145">
        <v>15</v>
      </c>
      <c r="Q78" s="113">
        <v>15</v>
      </c>
      <c r="R78" s="113"/>
      <c r="S78" s="113"/>
      <c r="T78" s="146"/>
      <c r="U78" s="148">
        <f t="shared" si="1"/>
        <v>15</v>
      </c>
      <c r="V78" s="149">
        <f t="shared" si="2"/>
        <v>15</v>
      </c>
      <c r="W78" s="189"/>
      <c r="X78" s="199"/>
      <c r="Y78" s="151"/>
      <c r="Z78" s="190"/>
      <c r="AA78" s="153"/>
      <c r="AB78" s="154">
        <f t="shared" si="3"/>
        <v>0</v>
      </c>
      <c r="AC78" s="149">
        <f t="shared" si="4"/>
        <v>0</v>
      </c>
      <c r="AD78" s="125">
        <v>2</v>
      </c>
      <c r="AE78" s="148">
        <f t="shared" si="5"/>
        <v>2</v>
      </c>
      <c r="AF78" s="156"/>
      <c r="AG78" s="156"/>
      <c r="AH78" s="113">
        <f t="shared" si="6"/>
        <v>17</v>
      </c>
      <c r="AI78" s="157">
        <v>65</v>
      </c>
      <c r="AJ78" s="113">
        <f t="shared" si="7"/>
        <v>82</v>
      </c>
      <c r="AK78" s="113">
        <f t="shared" si="8"/>
        <v>82</v>
      </c>
      <c r="AL78" s="158">
        <f t="shared" si="9"/>
        <v>1.02</v>
      </c>
      <c r="AM78" s="159"/>
      <c r="AN78" s="160">
        <f t="shared" si="15"/>
        <v>1</v>
      </c>
      <c r="AO78" s="160">
        <f t="shared" si="15"/>
        <v>2</v>
      </c>
      <c r="AP78" s="133"/>
      <c r="AQ78" s="134"/>
      <c r="AR78" s="161"/>
      <c r="AS78" s="161"/>
      <c r="AT78" s="161"/>
      <c r="AU78" s="161"/>
      <c r="AV78" s="162"/>
      <c r="AW78" s="137">
        <f t="shared" si="11"/>
        <v>0</v>
      </c>
      <c r="AX78" s="137">
        <f t="shared" si="12"/>
        <v>0</v>
      </c>
    </row>
    <row r="79" ht="46.5" customHeight="1" spans="1:50" s="97" customFormat="1" x14ac:dyDescent="0.25">
      <c r="A79" s="100"/>
      <c r="B79" s="100"/>
      <c r="C79" s="100"/>
      <c r="D79" s="100"/>
      <c r="E79" s="100"/>
      <c r="F79" s="100"/>
      <c r="G79" s="103"/>
      <c r="H79" s="186"/>
      <c r="I79" s="195">
        <v>0.51</v>
      </c>
      <c r="J79" s="107">
        <v>0.49</v>
      </c>
      <c r="K79" s="107"/>
      <c r="L79" s="107"/>
      <c r="M79" s="187"/>
      <c r="N79" s="169">
        <f t="shared" si="14"/>
        <v>1</v>
      </c>
      <c r="O79" s="144">
        <v>1</v>
      </c>
      <c r="P79" s="145">
        <v>15</v>
      </c>
      <c r="Q79" s="113">
        <v>15</v>
      </c>
      <c r="R79" s="113"/>
      <c r="S79" s="113"/>
      <c r="T79" s="146"/>
      <c r="U79" s="148">
        <f t="shared" si="1"/>
        <v>15</v>
      </c>
      <c r="V79" s="149">
        <f t="shared" si="2"/>
        <v>15</v>
      </c>
      <c r="W79" s="189"/>
      <c r="X79" s="199"/>
      <c r="Y79" s="151"/>
      <c r="Z79" s="190"/>
      <c r="AA79" s="153"/>
      <c r="AB79" s="154">
        <f t="shared" si="3"/>
        <v>0</v>
      </c>
      <c r="AC79" s="149">
        <f t="shared" si="4"/>
        <v>0</v>
      </c>
      <c r="AD79" s="125">
        <v>2</v>
      </c>
      <c r="AE79" s="148">
        <f t="shared" si="5"/>
        <v>2</v>
      </c>
      <c r="AF79" s="156"/>
      <c r="AG79" s="156"/>
      <c r="AH79" s="113">
        <f t="shared" si="6"/>
        <v>17</v>
      </c>
      <c r="AI79" s="157">
        <v>65</v>
      </c>
      <c r="AJ79" s="113">
        <f t="shared" si="7"/>
        <v>82</v>
      </c>
      <c r="AK79" s="113">
        <f t="shared" si="8"/>
        <v>82</v>
      </c>
      <c r="AL79" s="158">
        <f t="shared" si="9"/>
        <v>1.02</v>
      </c>
      <c r="AM79" s="159"/>
      <c r="AN79" s="160">
        <f t="shared" si="15"/>
        <v>1</v>
      </c>
      <c r="AO79" s="160">
        <f t="shared" si="15"/>
        <v>2</v>
      </c>
      <c r="AP79" s="133"/>
      <c r="AQ79" s="134"/>
      <c r="AR79" s="161"/>
      <c r="AS79" s="161"/>
      <c r="AT79" s="161"/>
      <c r="AU79" s="161"/>
      <c r="AV79" s="162"/>
      <c r="AW79" s="137">
        <f t="shared" si="11"/>
        <v>0</v>
      </c>
      <c r="AX79" s="137">
        <f t="shared" si="12"/>
        <v>0</v>
      </c>
    </row>
    <row r="80" ht="46.5" customHeight="1" spans="1:50" s="97" customFormat="1" x14ac:dyDescent="0.25">
      <c r="A80" s="100"/>
      <c r="B80" s="100"/>
      <c r="C80" s="100"/>
      <c r="D80" s="100"/>
      <c r="E80" s="100"/>
      <c r="F80" s="100"/>
      <c r="G80" s="103"/>
      <c r="H80" s="186"/>
      <c r="I80" s="195">
        <v>0.51</v>
      </c>
      <c r="J80" s="107">
        <v>0.49</v>
      </c>
      <c r="K80" s="107"/>
      <c r="L80" s="107"/>
      <c r="M80" s="187"/>
      <c r="N80" s="169">
        <f t="shared" si="14"/>
        <v>1</v>
      </c>
      <c r="O80" s="144">
        <v>1</v>
      </c>
      <c r="P80" s="145">
        <v>15</v>
      </c>
      <c r="Q80" s="113">
        <v>15</v>
      </c>
      <c r="R80" s="113"/>
      <c r="S80" s="113"/>
      <c r="T80" s="146"/>
      <c r="U80" s="148">
        <f t="shared" si="1"/>
        <v>15</v>
      </c>
      <c r="V80" s="149">
        <f t="shared" si="2"/>
        <v>15</v>
      </c>
      <c r="W80" s="189"/>
      <c r="X80" s="199"/>
      <c r="Y80" s="151"/>
      <c r="Z80" s="190"/>
      <c r="AA80" s="153"/>
      <c r="AB80" s="154">
        <f t="shared" si="3"/>
        <v>0</v>
      </c>
      <c r="AC80" s="149">
        <f t="shared" si="4"/>
        <v>0</v>
      </c>
      <c r="AD80" s="125">
        <v>2</v>
      </c>
      <c r="AE80" s="148">
        <f t="shared" si="5"/>
        <v>2</v>
      </c>
      <c r="AF80" s="156"/>
      <c r="AG80" s="156"/>
      <c r="AH80" s="113">
        <f t="shared" si="6"/>
        <v>17</v>
      </c>
      <c r="AI80" s="157">
        <v>65</v>
      </c>
      <c r="AJ80" s="113">
        <f t="shared" si="7"/>
        <v>82</v>
      </c>
      <c r="AK80" s="113">
        <f t="shared" si="8"/>
        <v>82</v>
      </c>
      <c r="AL80" s="158">
        <f t="shared" si="9"/>
        <v>1.02</v>
      </c>
      <c r="AM80" s="159"/>
      <c r="AN80" s="160">
        <f t="shared" si="15"/>
        <v>1</v>
      </c>
      <c r="AO80" s="160">
        <f t="shared" si="15"/>
        <v>2</v>
      </c>
      <c r="AP80" s="133"/>
      <c r="AQ80" s="134"/>
      <c r="AR80" s="161"/>
      <c r="AS80" s="161"/>
      <c r="AT80" s="161"/>
      <c r="AU80" s="161"/>
      <c r="AV80" s="162"/>
      <c r="AW80" s="137">
        <f t="shared" si="11"/>
        <v>0</v>
      </c>
      <c r="AX80" s="137">
        <f t="shared" si="12"/>
        <v>0</v>
      </c>
    </row>
    <row r="81" ht="46.5" customHeight="1" spans="1:50" s="97" customFormat="1" x14ac:dyDescent="0.25">
      <c r="A81" s="100"/>
      <c r="B81" s="100"/>
      <c r="C81" s="100"/>
      <c r="D81" s="100"/>
      <c r="E81" s="100"/>
      <c r="F81" s="100"/>
      <c r="G81" s="103"/>
      <c r="H81" s="186"/>
      <c r="I81" s="195">
        <v>0.51</v>
      </c>
      <c r="J81" s="107">
        <v>0.49</v>
      </c>
      <c r="K81" s="107"/>
      <c r="L81" s="107"/>
      <c r="M81" s="187"/>
      <c r="N81" s="169">
        <f t="shared" si="14"/>
        <v>1</v>
      </c>
      <c r="O81" s="144">
        <v>1</v>
      </c>
      <c r="P81" s="145">
        <v>15</v>
      </c>
      <c r="Q81" s="113">
        <v>15</v>
      </c>
      <c r="R81" s="113"/>
      <c r="S81" s="113"/>
      <c r="T81" s="146"/>
      <c r="U81" s="148">
        <f t="shared" si="1"/>
        <v>15</v>
      </c>
      <c r="V81" s="149">
        <f t="shared" si="2"/>
        <v>15</v>
      </c>
      <c r="W81" s="189"/>
      <c r="X81" s="199"/>
      <c r="Y81" s="151"/>
      <c r="Z81" s="190"/>
      <c r="AA81" s="153"/>
      <c r="AB81" s="154">
        <f t="shared" si="3"/>
        <v>0</v>
      </c>
      <c r="AC81" s="149">
        <f t="shared" si="4"/>
        <v>0</v>
      </c>
      <c r="AD81" s="125">
        <v>2</v>
      </c>
      <c r="AE81" s="148">
        <f t="shared" si="5"/>
        <v>2</v>
      </c>
      <c r="AF81" s="156"/>
      <c r="AG81" s="156"/>
      <c r="AH81" s="113">
        <f t="shared" si="6"/>
        <v>17</v>
      </c>
      <c r="AI81" s="157">
        <v>65</v>
      </c>
      <c r="AJ81" s="113">
        <f t="shared" si="7"/>
        <v>82</v>
      </c>
      <c r="AK81" s="113">
        <f t="shared" si="8"/>
        <v>82</v>
      </c>
      <c r="AL81" s="158">
        <f t="shared" si="9"/>
        <v>1.02</v>
      </c>
      <c r="AM81" s="159"/>
      <c r="AN81" s="160">
        <f t="shared" si="15"/>
        <v>1</v>
      </c>
      <c r="AO81" s="160">
        <f t="shared" si="15"/>
        <v>2</v>
      </c>
      <c r="AP81" s="133"/>
      <c r="AQ81" s="134"/>
      <c r="AR81" s="161"/>
      <c r="AS81" s="161"/>
      <c r="AT81" s="161"/>
      <c r="AU81" s="161"/>
      <c r="AV81" s="162"/>
      <c r="AW81" s="137">
        <f t="shared" si="11"/>
        <v>0</v>
      </c>
      <c r="AX81" s="137">
        <f t="shared" si="12"/>
        <v>0</v>
      </c>
    </row>
    <row r="82" ht="46.5" customHeight="1" spans="1:50" s="97" customFormat="1" x14ac:dyDescent="0.25">
      <c r="A82" s="100"/>
      <c r="B82" s="100"/>
      <c r="C82" s="100"/>
      <c r="D82" s="100"/>
      <c r="E82" s="100"/>
      <c r="F82" s="100"/>
      <c r="G82" s="103"/>
      <c r="H82" s="186"/>
      <c r="I82" s="195">
        <v>0.51</v>
      </c>
      <c r="J82" s="107">
        <v>0.49</v>
      </c>
      <c r="K82" s="107"/>
      <c r="L82" s="107"/>
      <c r="M82" s="187"/>
      <c r="N82" s="169">
        <f t="shared" si="14"/>
        <v>1</v>
      </c>
      <c r="O82" s="144">
        <v>1</v>
      </c>
      <c r="P82" s="145">
        <v>15</v>
      </c>
      <c r="Q82" s="113">
        <v>15</v>
      </c>
      <c r="R82" s="113"/>
      <c r="S82" s="113"/>
      <c r="T82" s="146"/>
      <c r="U82" s="148">
        <f t="shared" si="1"/>
        <v>15</v>
      </c>
      <c r="V82" s="149">
        <f t="shared" si="2"/>
        <v>15</v>
      </c>
      <c r="W82" s="189"/>
      <c r="X82" s="199"/>
      <c r="Y82" s="151"/>
      <c r="Z82" s="190"/>
      <c r="AA82" s="153"/>
      <c r="AB82" s="154">
        <f t="shared" si="3"/>
        <v>0</v>
      </c>
      <c r="AC82" s="149">
        <f t="shared" si="4"/>
        <v>0</v>
      </c>
      <c r="AD82" s="125">
        <v>2</v>
      </c>
      <c r="AE82" s="148">
        <f t="shared" si="5"/>
        <v>2</v>
      </c>
      <c r="AF82" s="156"/>
      <c r="AG82" s="156"/>
      <c r="AH82" s="113">
        <f t="shared" si="6"/>
        <v>17</v>
      </c>
      <c r="AI82" s="157">
        <v>65</v>
      </c>
      <c r="AJ82" s="113">
        <f t="shared" si="7"/>
        <v>82</v>
      </c>
      <c r="AK82" s="113">
        <f t="shared" si="8"/>
        <v>82</v>
      </c>
      <c r="AL82" s="158">
        <f t="shared" si="9"/>
        <v>1.02</v>
      </c>
      <c r="AM82" s="159"/>
      <c r="AN82" s="160">
        <f t="shared" si="15"/>
        <v>1</v>
      </c>
      <c r="AO82" s="160">
        <f t="shared" si="15"/>
        <v>2</v>
      </c>
      <c r="AP82" s="133"/>
      <c r="AQ82" s="134"/>
      <c r="AR82" s="161"/>
      <c r="AS82" s="161"/>
      <c r="AT82" s="161"/>
      <c r="AU82" s="161"/>
      <c r="AV82" s="162"/>
      <c r="AW82" s="137">
        <f t="shared" si="11"/>
        <v>0</v>
      </c>
      <c r="AX82" s="137">
        <f t="shared" si="12"/>
        <v>0</v>
      </c>
    </row>
    <row r="83" ht="46.5" customHeight="1" spans="1:50" s="97" customFormat="1" x14ac:dyDescent="0.25">
      <c r="A83" s="100"/>
      <c r="B83" s="100"/>
      <c r="C83" s="100"/>
      <c r="D83" s="100"/>
      <c r="E83" s="100"/>
      <c r="F83" s="100"/>
      <c r="G83" s="103"/>
      <c r="H83" s="186"/>
      <c r="I83" s="195">
        <v>0.51</v>
      </c>
      <c r="J83" s="107">
        <v>0.49</v>
      </c>
      <c r="K83" s="107"/>
      <c r="L83" s="107"/>
      <c r="M83" s="187"/>
      <c r="N83" s="169">
        <f t="shared" si="14"/>
        <v>1</v>
      </c>
      <c r="O83" s="144">
        <v>1</v>
      </c>
      <c r="P83" s="145">
        <v>15</v>
      </c>
      <c r="Q83" s="113">
        <v>15</v>
      </c>
      <c r="R83" s="113"/>
      <c r="S83" s="113"/>
      <c r="T83" s="146"/>
      <c r="U83" s="148">
        <f t="shared" si="1"/>
        <v>15</v>
      </c>
      <c r="V83" s="149">
        <f t="shared" si="2"/>
        <v>15</v>
      </c>
      <c r="W83" s="189"/>
      <c r="X83" s="199"/>
      <c r="Y83" s="151"/>
      <c r="Z83" s="190"/>
      <c r="AA83" s="153"/>
      <c r="AB83" s="154">
        <f t="shared" si="3"/>
        <v>0</v>
      </c>
      <c r="AC83" s="149">
        <f t="shared" si="4"/>
        <v>0</v>
      </c>
      <c r="AD83" s="125">
        <v>2</v>
      </c>
      <c r="AE83" s="148">
        <f t="shared" si="5"/>
        <v>2</v>
      </c>
      <c r="AF83" s="156"/>
      <c r="AG83" s="156"/>
      <c r="AH83" s="113">
        <f t="shared" si="6"/>
        <v>17</v>
      </c>
      <c r="AI83" s="157">
        <v>65</v>
      </c>
      <c r="AJ83" s="113">
        <f t="shared" si="7"/>
        <v>82</v>
      </c>
      <c r="AK83" s="113">
        <f t="shared" si="8"/>
        <v>82</v>
      </c>
      <c r="AL83" s="158">
        <f t="shared" si="9"/>
        <v>1.02</v>
      </c>
      <c r="AM83" s="159"/>
      <c r="AN83" s="160">
        <f t="shared" ref="AN83:AO102" si="16">100%+AM83</f>
        <v>1</v>
      </c>
      <c r="AO83" s="160">
        <f t="shared" si="16"/>
        <v>2</v>
      </c>
      <c r="AP83" s="133"/>
      <c r="AQ83" s="134"/>
      <c r="AR83" s="161"/>
      <c r="AS83" s="161"/>
      <c r="AT83" s="161"/>
      <c r="AU83" s="161"/>
      <c r="AV83" s="162"/>
      <c r="AW83" s="137">
        <f t="shared" si="11"/>
        <v>0</v>
      </c>
      <c r="AX83" s="137">
        <f t="shared" si="12"/>
        <v>0</v>
      </c>
    </row>
    <row r="84" ht="46.5" customHeight="1" spans="1:50" s="97" customFormat="1" x14ac:dyDescent="0.25">
      <c r="A84" s="100"/>
      <c r="B84" s="100"/>
      <c r="C84" s="100"/>
      <c r="D84" s="100"/>
      <c r="E84" s="100"/>
      <c r="F84" s="100"/>
      <c r="G84" s="103"/>
      <c r="H84" s="186"/>
      <c r="I84" s="195">
        <v>0.51</v>
      </c>
      <c r="J84" s="107">
        <v>0.49</v>
      </c>
      <c r="K84" s="107"/>
      <c r="L84" s="107"/>
      <c r="M84" s="187"/>
      <c r="N84" s="169">
        <f t="shared" si="14"/>
        <v>1</v>
      </c>
      <c r="O84" s="144">
        <v>1</v>
      </c>
      <c r="P84" s="145">
        <v>15</v>
      </c>
      <c r="Q84" s="113">
        <v>15</v>
      </c>
      <c r="R84" s="113"/>
      <c r="S84" s="113"/>
      <c r="T84" s="146"/>
      <c r="U84" s="148">
        <f t="shared" si="1"/>
        <v>15</v>
      </c>
      <c r="V84" s="149">
        <f t="shared" si="2"/>
        <v>15</v>
      </c>
      <c r="W84" s="189"/>
      <c r="X84" s="199"/>
      <c r="Y84" s="151"/>
      <c r="Z84" s="190"/>
      <c r="AA84" s="153"/>
      <c r="AB84" s="154">
        <f t="shared" si="3"/>
        <v>0</v>
      </c>
      <c r="AC84" s="149">
        <f t="shared" si="4"/>
        <v>0</v>
      </c>
      <c r="AD84" s="125">
        <v>2</v>
      </c>
      <c r="AE84" s="148">
        <f t="shared" si="5"/>
        <v>2</v>
      </c>
      <c r="AF84" s="156"/>
      <c r="AG84" s="156"/>
      <c r="AH84" s="113">
        <f t="shared" si="6"/>
        <v>17</v>
      </c>
      <c r="AI84" s="157">
        <v>65</v>
      </c>
      <c r="AJ84" s="113">
        <f t="shared" si="7"/>
        <v>82</v>
      </c>
      <c r="AK84" s="113">
        <f t="shared" si="8"/>
        <v>82</v>
      </c>
      <c r="AL84" s="158">
        <f t="shared" si="9"/>
        <v>1.02</v>
      </c>
      <c r="AM84" s="159"/>
      <c r="AN84" s="160">
        <f t="shared" si="16"/>
        <v>1</v>
      </c>
      <c r="AO84" s="160">
        <f t="shared" si="16"/>
        <v>2</v>
      </c>
      <c r="AP84" s="133"/>
      <c r="AQ84" s="134"/>
      <c r="AR84" s="161"/>
      <c r="AS84" s="161"/>
      <c r="AT84" s="161"/>
      <c r="AU84" s="161"/>
      <c r="AV84" s="162"/>
      <c r="AW84" s="137">
        <f t="shared" si="11"/>
        <v>0</v>
      </c>
      <c r="AX84" s="137">
        <f t="shared" si="12"/>
        <v>0</v>
      </c>
    </row>
    <row r="85" ht="46.5" customHeight="1" spans="1:50" s="97" customFormat="1" x14ac:dyDescent="0.25">
      <c r="A85" s="100"/>
      <c r="B85" s="100"/>
      <c r="C85" s="100"/>
      <c r="D85" s="100"/>
      <c r="E85" s="100"/>
      <c r="F85" s="100"/>
      <c r="G85" s="103"/>
      <c r="H85" s="186"/>
      <c r="I85" s="195">
        <v>0.51</v>
      </c>
      <c r="J85" s="107">
        <v>0.49</v>
      </c>
      <c r="K85" s="107"/>
      <c r="L85" s="107"/>
      <c r="M85" s="187"/>
      <c r="N85" s="169">
        <f t="shared" si="14"/>
        <v>1</v>
      </c>
      <c r="O85" s="144">
        <v>1</v>
      </c>
      <c r="P85" s="145">
        <v>15</v>
      </c>
      <c r="Q85" s="113">
        <v>15</v>
      </c>
      <c r="R85" s="113"/>
      <c r="S85" s="113"/>
      <c r="T85" s="146"/>
      <c r="U85" s="148">
        <f t="shared" si="1"/>
        <v>15</v>
      </c>
      <c r="V85" s="149">
        <f t="shared" si="2"/>
        <v>15</v>
      </c>
      <c r="W85" s="189"/>
      <c r="X85" s="199"/>
      <c r="Y85" s="151"/>
      <c r="Z85" s="190"/>
      <c r="AA85" s="153"/>
      <c r="AB85" s="154">
        <f t="shared" si="3"/>
        <v>0</v>
      </c>
      <c r="AC85" s="149">
        <f t="shared" si="4"/>
        <v>0</v>
      </c>
      <c r="AD85" s="125">
        <v>2</v>
      </c>
      <c r="AE85" s="148">
        <f t="shared" si="5"/>
        <v>2</v>
      </c>
      <c r="AF85" s="156"/>
      <c r="AG85" s="156"/>
      <c r="AH85" s="113">
        <f t="shared" si="6"/>
        <v>17</v>
      </c>
      <c r="AI85" s="157">
        <v>65</v>
      </c>
      <c r="AJ85" s="113">
        <f t="shared" si="7"/>
        <v>82</v>
      </c>
      <c r="AK85" s="113">
        <f t="shared" si="8"/>
        <v>82</v>
      </c>
      <c r="AL85" s="158">
        <f t="shared" si="9"/>
        <v>1.02</v>
      </c>
      <c r="AM85" s="159"/>
      <c r="AN85" s="160">
        <f t="shared" si="16"/>
        <v>1</v>
      </c>
      <c r="AO85" s="160">
        <f t="shared" si="16"/>
        <v>2</v>
      </c>
      <c r="AP85" s="133"/>
      <c r="AQ85" s="134"/>
      <c r="AR85" s="161"/>
      <c r="AS85" s="161"/>
      <c r="AT85" s="161"/>
      <c r="AU85" s="161"/>
      <c r="AV85" s="162"/>
      <c r="AW85" s="137">
        <f t="shared" si="11"/>
        <v>0</v>
      </c>
      <c r="AX85" s="137">
        <f t="shared" si="12"/>
        <v>0</v>
      </c>
    </row>
    <row r="86" ht="46.5" customHeight="1" spans="1:50" s="97" customFormat="1" x14ac:dyDescent="0.25">
      <c r="A86" s="100"/>
      <c r="B86" s="100"/>
      <c r="C86" s="100"/>
      <c r="D86" s="100"/>
      <c r="E86" s="100"/>
      <c r="F86" s="100"/>
      <c r="G86" s="103"/>
      <c r="H86" s="186"/>
      <c r="I86" s="195">
        <v>0.51</v>
      </c>
      <c r="J86" s="107">
        <v>0.49</v>
      </c>
      <c r="K86" s="107"/>
      <c r="L86" s="107"/>
      <c r="M86" s="187"/>
      <c r="N86" s="169">
        <f t="shared" si="14"/>
        <v>1</v>
      </c>
      <c r="O86" s="144">
        <v>1</v>
      </c>
      <c r="P86" s="145">
        <v>15</v>
      </c>
      <c r="Q86" s="113">
        <v>15</v>
      </c>
      <c r="R86" s="113"/>
      <c r="S86" s="113"/>
      <c r="T86" s="146"/>
      <c r="U86" s="148">
        <f t="shared" si="1"/>
        <v>15</v>
      </c>
      <c r="V86" s="149">
        <f t="shared" si="2"/>
        <v>15</v>
      </c>
      <c r="W86" s="189"/>
      <c r="X86" s="199"/>
      <c r="Y86" s="151"/>
      <c r="Z86" s="190"/>
      <c r="AA86" s="153"/>
      <c r="AB86" s="154">
        <f t="shared" si="3"/>
        <v>0</v>
      </c>
      <c r="AC86" s="149">
        <f t="shared" si="4"/>
        <v>0</v>
      </c>
      <c r="AD86" s="125">
        <v>2</v>
      </c>
      <c r="AE86" s="148">
        <f t="shared" si="5"/>
        <v>2</v>
      </c>
      <c r="AF86" s="156"/>
      <c r="AG86" s="156"/>
      <c r="AH86" s="113">
        <f t="shared" si="6"/>
        <v>17</v>
      </c>
      <c r="AI86" s="157">
        <v>65</v>
      </c>
      <c r="AJ86" s="113">
        <f t="shared" si="7"/>
        <v>82</v>
      </c>
      <c r="AK86" s="113">
        <f t="shared" si="8"/>
        <v>82</v>
      </c>
      <c r="AL86" s="158">
        <f t="shared" si="9"/>
        <v>1.02</v>
      </c>
      <c r="AM86" s="159"/>
      <c r="AN86" s="160">
        <f t="shared" si="16"/>
        <v>1</v>
      </c>
      <c r="AO86" s="160">
        <f t="shared" si="16"/>
        <v>2</v>
      </c>
      <c r="AP86" s="133"/>
      <c r="AQ86" s="134"/>
      <c r="AR86" s="161"/>
      <c r="AS86" s="161"/>
      <c r="AT86" s="161"/>
      <c r="AU86" s="161"/>
      <c r="AV86" s="162"/>
      <c r="AW86" s="137">
        <f t="shared" si="11"/>
        <v>0</v>
      </c>
      <c r="AX86" s="137">
        <f t="shared" si="12"/>
        <v>0</v>
      </c>
    </row>
    <row r="87" ht="46.5" customHeight="1" spans="1:50" s="97" customFormat="1" x14ac:dyDescent="0.25">
      <c r="A87" s="100"/>
      <c r="B87" s="100"/>
      <c r="C87" s="100"/>
      <c r="D87" s="100"/>
      <c r="E87" s="100"/>
      <c r="F87" s="100"/>
      <c r="G87" s="103"/>
      <c r="H87" s="186"/>
      <c r="I87" s="195">
        <v>0.51</v>
      </c>
      <c r="J87" s="107">
        <v>0.49</v>
      </c>
      <c r="K87" s="107"/>
      <c r="L87" s="107"/>
      <c r="M87" s="187"/>
      <c r="N87" s="169">
        <f t="shared" si="14"/>
        <v>1</v>
      </c>
      <c r="O87" s="144">
        <v>1</v>
      </c>
      <c r="P87" s="145">
        <v>15</v>
      </c>
      <c r="Q87" s="113">
        <v>15</v>
      </c>
      <c r="R87" s="113"/>
      <c r="S87" s="113"/>
      <c r="T87" s="146"/>
      <c r="U87" s="148">
        <f t="shared" ref="U87:U148" si="17">ROUND(((P87*I87)+(Q87*J87)+(R87*K87)+(S87*L87)+(T87*M87))*O87,2)</f>
        <v>15</v>
      </c>
      <c r="V87" s="149">
        <f t="shared" ref="V87:V148" si="18">IF(U87&gt;=15,15,U87)</f>
        <v>15</v>
      </c>
      <c r="W87" s="189"/>
      <c r="X87" s="199"/>
      <c r="Y87" s="151"/>
      <c r="Z87" s="190"/>
      <c r="AA87" s="153"/>
      <c r="AB87" s="154">
        <f t="shared" ref="AB87:AB148" si="19">ROUND((((W87*I87)+(X87*J87)+(Y87*K87)+(Z87*L87)+(AA87*M87))/$I$2),2)*13</f>
        <v>0</v>
      </c>
      <c r="AC87" s="149">
        <f t="shared" ref="AC87:AC148" si="20">IF(AB87&gt;=13,13,AB87)</f>
        <v>0</v>
      </c>
      <c r="AD87" s="125">
        <v>2</v>
      </c>
      <c r="AE87" s="148">
        <f t="shared" ref="AE87:AE148" si="21">IF((AC87+AD87)&gt;=15,15,(AC87+AD87))</f>
        <v>2</v>
      </c>
      <c r="AF87" s="156"/>
      <c r="AG87" s="156"/>
      <c r="AH87" s="113">
        <f t="shared" ref="AH87:AH148" si="22">IF((V87+AE87+AF87)&gt;=30,30,(V87+AE87+AF87))</f>
        <v>17</v>
      </c>
      <c r="AI87" s="157">
        <v>65</v>
      </c>
      <c r="AJ87" s="113">
        <f t="shared" ref="AJ87:AJ148" si="23">V87+AE87+AF87+AI87+AG87</f>
        <v>82</v>
      </c>
      <c r="AK87" s="113">
        <f t="shared" ref="AK87:AK148" si="24">IF(AH87+AI87+AG87&gt;=95,95,AH87+AI87+AG87)</f>
        <v>82</v>
      </c>
      <c r="AL87" s="158">
        <f t="shared" ref="AL87:AL148" si="25">-((50-((176+(45+(50-AH87)))))/200)</f>
        <v>1.02</v>
      </c>
      <c r="AM87" s="159"/>
      <c r="AN87" s="160">
        <f t="shared" si="16"/>
        <v>1</v>
      </c>
      <c r="AO87" s="160">
        <f t="shared" si="16"/>
        <v>2</v>
      </c>
      <c r="AP87" s="133"/>
      <c r="AQ87" s="134"/>
      <c r="AR87" s="161"/>
      <c r="AS87" s="161"/>
      <c r="AT87" s="161"/>
      <c r="AU87" s="161"/>
      <c r="AV87" s="162"/>
      <c r="AW87" s="137">
        <f t="shared" ref="AW87:AW148" si="26">AR87+AS87+AT87+AU87+AV87</f>
        <v>0</v>
      </c>
      <c r="AX87" s="137">
        <f t="shared" ref="AX87:AX148" si="27">(AR87*I87)+(AS87*J87)+(AT87*K87)+(AU87*L87)+(AV87*M87)</f>
        <v>0</v>
      </c>
    </row>
    <row r="88" ht="46.5" customHeight="1" spans="1:50" s="97" customFormat="1" x14ac:dyDescent="0.25">
      <c r="A88" s="100"/>
      <c r="B88" s="100"/>
      <c r="C88" s="100"/>
      <c r="D88" s="100"/>
      <c r="E88" s="100"/>
      <c r="F88" s="100"/>
      <c r="G88" s="103"/>
      <c r="H88" s="186"/>
      <c r="I88" s="195">
        <v>0.51</v>
      </c>
      <c r="J88" s="107">
        <v>0.49</v>
      </c>
      <c r="K88" s="107"/>
      <c r="L88" s="107"/>
      <c r="M88" s="187"/>
      <c r="N88" s="169">
        <f t="shared" si="14"/>
        <v>1</v>
      </c>
      <c r="O88" s="144">
        <v>1</v>
      </c>
      <c r="P88" s="145">
        <v>15</v>
      </c>
      <c r="Q88" s="113">
        <v>15</v>
      </c>
      <c r="R88" s="113"/>
      <c r="S88" s="113"/>
      <c r="T88" s="146"/>
      <c r="U88" s="148">
        <f t="shared" si="17"/>
        <v>15</v>
      </c>
      <c r="V88" s="149">
        <f t="shared" si="18"/>
        <v>15</v>
      </c>
      <c r="W88" s="189"/>
      <c r="X88" s="199"/>
      <c r="Y88" s="151"/>
      <c r="Z88" s="190"/>
      <c r="AA88" s="153"/>
      <c r="AB88" s="154">
        <f t="shared" si="19"/>
        <v>0</v>
      </c>
      <c r="AC88" s="149">
        <f t="shared" si="20"/>
        <v>0</v>
      </c>
      <c r="AD88" s="125">
        <v>2</v>
      </c>
      <c r="AE88" s="148">
        <f t="shared" si="21"/>
        <v>2</v>
      </c>
      <c r="AF88" s="156"/>
      <c r="AG88" s="156"/>
      <c r="AH88" s="113">
        <f t="shared" si="22"/>
        <v>17</v>
      </c>
      <c r="AI88" s="157">
        <v>65</v>
      </c>
      <c r="AJ88" s="113">
        <f t="shared" si="23"/>
        <v>82</v>
      </c>
      <c r="AK88" s="113">
        <f t="shared" si="24"/>
        <v>82</v>
      </c>
      <c r="AL88" s="158">
        <f t="shared" si="25"/>
        <v>1.02</v>
      </c>
      <c r="AM88" s="159"/>
      <c r="AN88" s="160">
        <f t="shared" si="16"/>
        <v>1</v>
      </c>
      <c r="AO88" s="160">
        <f t="shared" si="16"/>
        <v>2</v>
      </c>
      <c r="AP88" s="133"/>
      <c r="AQ88" s="134"/>
      <c r="AR88" s="161"/>
      <c r="AS88" s="161"/>
      <c r="AT88" s="161"/>
      <c r="AU88" s="161"/>
      <c r="AV88" s="162"/>
      <c r="AW88" s="137">
        <f t="shared" si="26"/>
        <v>0</v>
      </c>
      <c r="AX88" s="137">
        <f t="shared" si="27"/>
        <v>0</v>
      </c>
    </row>
    <row r="89" ht="46.5" customHeight="1" spans="1:50" s="97" customFormat="1" x14ac:dyDescent="0.25">
      <c r="A89" s="100"/>
      <c r="B89" s="100"/>
      <c r="C89" s="100"/>
      <c r="D89" s="100"/>
      <c r="E89" s="100"/>
      <c r="F89" s="100"/>
      <c r="G89" s="103"/>
      <c r="H89" s="186"/>
      <c r="I89" s="195">
        <v>0.51</v>
      </c>
      <c r="J89" s="107">
        <v>0.49</v>
      </c>
      <c r="K89" s="107"/>
      <c r="L89" s="107"/>
      <c r="M89" s="187"/>
      <c r="N89" s="169">
        <f t="shared" si="14"/>
        <v>1</v>
      </c>
      <c r="O89" s="144">
        <v>1</v>
      </c>
      <c r="P89" s="145">
        <v>15</v>
      </c>
      <c r="Q89" s="113">
        <v>15</v>
      </c>
      <c r="R89" s="113"/>
      <c r="S89" s="113"/>
      <c r="T89" s="146"/>
      <c r="U89" s="148">
        <f t="shared" si="17"/>
        <v>15</v>
      </c>
      <c r="V89" s="149">
        <f t="shared" si="18"/>
        <v>15</v>
      </c>
      <c r="W89" s="189"/>
      <c r="X89" s="199"/>
      <c r="Y89" s="151"/>
      <c r="Z89" s="190"/>
      <c r="AA89" s="153"/>
      <c r="AB89" s="154">
        <f t="shared" si="19"/>
        <v>0</v>
      </c>
      <c r="AC89" s="149">
        <f t="shared" si="20"/>
        <v>0</v>
      </c>
      <c r="AD89" s="125">
        <v>2</v>
      </c>
      <c r="AE89" s="148">
        <f t="shared" si="21"/>
        <v>2</v>
      </c>
      <c r="AF89" s="156"/>
      <c r="AG89" s="156"/>
      <c r="AH89" s="113">
        <f t="shared" si="22"/>
        <v>17</v>
      </c>
      <c r="AI89" s="157">
        <v>65</v>
      </c>
      <c r="AJ89" s="113">
        <f t="shared" si="23"/>
        <v>82</v>
      </c>
      <c r="AK89" s="113">
        <f t="shared" si="24"/>
        <v>82</v>
      </c>
      <c r="AL89" s="158">
        <f t="shared" si="25"/>
        <v>1.02</v>
      </c>
      <c r="AM89" s="159"/>
      <c r="AN89" s="160">
        <f t="shared" si="16"/>
        <v>1</v>
      </c>
      <c r="AO89" s="160">
        <f t="shared" si="16"/>
        <v>2</v>
      </c>
      <c r="AP89" s="133"/>
      <c r="AQ89" s="134"/>
      <c r="AR89" s="161"/>
      <c r="AS89" s="161"/>
      <c r="AT89" s="161"/>
      <c r="AU89" s="161"/>
      <c r="AV89" s="162"/>
      <c r="AW89" s="137">
        <f t="shared" si="26"/>
        <v>0</v>
      </c>
      <c r="AX89" s="137">
        <f t="shared" si="27"/>
        <v>0</v>
      </c>
    </row>
    <row r="90" ht="46.5" customHeight="1" spans="1:50" s="97" customFormat="1" x14ac:dyDescent="0.25">
      <c r="A90" s="100"/>
      <c r="B90" s="100"/>
      <c r="C90" s="100"/>
      <c r="D90" s="100"/>
      <c r="E90" s="100"/>
      <c r="F90" s="100"/>
      <c r="G90" s="103"/>
      <c r="H90" s="186"/>
      <c r="I90" s="195">
        <v>0.51</v>
      </c>
      <c r="J90" s="107">
        <v>0.49</v>
      </c>
      <c r="K90" s="107"/>
      <c r="L90" s="107"/>
      <c r="M90" s="187"/>
      <c r="N90" s="169">
        <f t="shared" si="14"/>
        <v>1</v>
      </c>
      <c r="O90" s="144">
        <v>1</v>
      </c>
      <c r="P90" s="145">
        <v>15</v>
      </c>
      <c r="Q90" s="113">
        <v>15</v>
      </c>
      <c r="R90" s="113"/>
      <c r="S90" s="113"/>
      <c r="T90" s="146"/>
      <c r="U90" s="148">
        <f t="shared" si="17"/>
        <v>15</v>
      </c>
      <c r="V90" s="149">
        <f t="shared" si="18"/>
        <v>15</v>
      </c>
      <c r="W90" s="189"/>
      <c r="X90" s="199"/>
      <c r="Y90" s="151"/>
      <c r="Z90" s="190"/>
      <c r="AA90" s="153"/>
      <c r="AB90" s="154">
        <f t="shared" si="19"/>
        <v>0</v>
      </c>
      <c r="AC90" s="149">
        <f t="shared" si="20"/>
        <v>0</v>
      </c>
      <c r="AD90" s="125">
        <v>2</v>
      </c>
      <c r="AE90" s="148">
        <f t="shared" si="21"/>
        <v>2</v>
      </c>
      <c r="AF90" s="156"/>
      <c r="AG90" s="156"/>
      <c r="AH90" s="113">
        <f t="shared" si="22"/>
        <v>17</v>
      </c>
      <c r="AI90" s="157">
        <v>65</v>
      </c>
      <c r="AJ90" s="113">
        <f t="shared" si="23"/>
        <v>82</v>
      </c>
      <c r="AK90" s="113">
        <f t="shared" si="24"/>
        <v>82</v>
      </c>
      <c r="AL90" s="158">
        <f t="shared" si="25"/>
        <v>1.02</v>
      </c>
      <c r="AM90" s="159"/>
      <c r="AN90" s="160">
        <f t="shared" si="16"/>
        <v>1</v>
      </c>
      <c r="AO90" s="160">
        <f t="shared" si="16"/>
        <v>2</v>
      </c>
      <c r="AP90" s="133"/>
      <c r="AQ90" s="134"/>
      <c r="AR90" s="161"/>
      <c r="AS90" s="161"/>
      <c r="AT90" s="161"/>
      <c r="AU90" s="161"/>
      <c r="AV90" s="162"/>
      <c r="AW90" s="137">
        <f t="shared" si="26"/>
        <v>0</v>
      </c>
      <c r="AX90" s="137">
        <f t="shared" si="27"/>
        <v>0</v>
      </c>
    </row>
    <row r="91" ht="46.5" customHeight="1" spans="1:50" s="97" customFormat="1" x14ac:dyDescent="0.25">
      <c r="A91" s="100"/>
      <c r="B91" s="100"/>
      <c r="C91" s="100"/>
      <c r="D91" s="100"/>
      <c r="E91" s="100"/>
      <c r="F91" s="100"/>
      <c r="G91" s="103"/>
      <c r="H91" s="186"/>
      <c r="I91" s="195">
        <v>0.51</v>
      </c>
      <c r="J91" s="107">
        <v>0.49</v>
      </c>
      <c r="K91" s="107"/>
      <c r="L91" s="107"/>
      <c r="M91" s="187"/>
      <c r="N91" s="169">
        <f t="shared" si="14"/>
        <v>1</v>
      </c>
      <c r="O91" s="144">
        <v>1</v>
      </c>
      <c r="P91" s="145">
        <v>15</v>
      </c>
      <c r="Q91" s="113">
        <v>15</v>
      </c>
      <c r="R91" s="113"/>
      <c r="S91" s="113"/>
      <c r="T91" s="146"/>
      <c r="U91" s="148">
        <f t="shared" si="17"/>
        <v>15</v>
      </c>
      <c r="V91" s="149">
        <f t="shared" si="18"/>
        <v>15</v>
      </c>
      <c r="W91" s="189"/>
      <c r="X91" s="199"/>
      <c r="Y91" s="151"/>
      <c r="Z91" s="190"/>
      <c r="AA91" s="153"/>
      <c r="AB91" s="154">
        <f t="shared" si="19"/>
        <v>0</v>
      </c>
      <c r="AC91" s="149">
        <f t="shared" si="20"/>
        <v>0</v>
      </c>
      <c r="AD91" s="125">
        <v>2</v>
      </c>
      <c r="AE91" s="148">
        <f t="shared" si="21"/>
        <v>2</v>
      </c>
      <c r="AF91" s="156"/>
      <c r="AG91" s="156"/>
      <c r="AH91" s="113">
        <f t="shared" si="22"/>
        <v>17</v>
      </c>
      <c r="AI91" s="157">
        <v>65</v>
      </c>
      <c r="AJ91" s="113">
        <f t="shared" si="23"/>
        <v>82</v>
      </c>
      <c r="AK91" s="113">
        <f t="shared" si="24"/>
        <v>82</v>
      </c>
      <c r="AL91" s="158">
        <f t="shared" si="25"/>
        <v>1.02</v>
      </c>
      <c r="AM91" s="159"/>
      <c r="AN91" s="160">
        <f t="shared" si="16"/>
        <v>1</v>
      </c>
      <c r="AO91" s="160">
        <f t="shared" si="16"/>
        <v>2</v>
      </c>
      <c r="AP91" s="133"/>
      <c r="AQ91" s="134"/>
      <c r="AR91" s="161"/>
      <c r="AS91" s="161"/>
      <c r="AT91" s="161"/>
      <c r="AU91" s="161"/>
      <c r="AV91" s="162"/>
      <c r="AW91" s="137">
        <f t="shared" si="26"/>
        <v>0</v>
      </c>
      <c r="AX91" s="137">
        <f t="shared" si="27"/>
        <v>0</v>
      </c>
    </row>
    <row r="92" ht="46.5" customHeight="1" spans="1:50" s="97" customFormat="1" x14ac:dyDescent="0.25">
      <c r="A92" s="100"/>
      <c r="B92" s="100"/>
      <c r="C92" s="100"/>
      <c r="D92" s="100"/>
      <c r="E92" s="100"/>
      <c r="F92" s="100"/>
      <c r="G92" s="103"/>
      <c r="H92" s="186"/>
      <c r="I92" s="195">
        <v>0.51</v>
      </c>
      <c r="J92" s="107">
        <v>0.49</v>
      </c>
      <c r="K92" s="107"/>
      <c r="L92" s="107"/>
      <c r="M92" s="187"/>
      <c r="N92" s="169">
        <f t="shared" si="14"/>
        <v>1</v>
      </c>
      <c r="O92" s="144">
        <v>1</v>
      </c>
      <c r="P92" s="145">
        <v>15</v>
      </c>
      <c r="Q92" s="113">
        <v>15</v>
      </c>
      <c r="R92" s="113"/>
      <c r="S92" s="113"/>
      <c r="T92" s="146"/>
      <c r="U92" s="148">
        <f t="shared" si="17"/>
        <v>15</v>
      </c>
      <c r="V92" s="149">
        <f t="shared" si="18"/>
        <v>15</v>
      </c>
      <c r="W92" s="189"/>
      <c r="X92" s="199"/>
      <c r="Y92" s="151"/>
      <c r="Z92" s="190"/>
      <c r="AA92" s="153"/>
      <c r="AB92" s="154">
        <f t="shared" si="19"/>
        <v>0</v>
      </c>
      <c r="AC92" s="149">
        <f t="shared" si="20"/>
        <v>0</v>
      </c>
      <c r="AD92" s="125">
        <v>2</v>
      </c>
      <c r="AE92" s="148">
        <f t="shared" si="21"/>
        <v>2</v>
      </c>
      <c r="AF92" s="156"/>
      <c r="AG92" s="156"/>
      <c r="AH92" s="113">
        <f t="shared" si="22"/>
        <v>17</v>
      </c>
      <c r="AI92" s="157">
        <v>65</v>
      </c>
      <c r="AJ92" s="113">
        <f t="shared" si="23"/>
        <v>82</v>
      </c>
      <c r="AK92" s="113">
        <f t="shared" si="24"/>
        <v>82</v>
      </c>
      <c r="AL92" s="158">
        <f t="shared" si="25"/>
        <v>1.02</v>
      </c>
      <c r="AM92" s="159"/>
      <c r="AN92" s="160">
        <f t="shared" si="16"/>
        <v>1</v>
      </c>
      <c r="AO92" s="160">
        <f t="shared" si="16"/>
        <v>2</v>
      </c>
      <c r="AP92" s="133"/>
      <c r="AQ92" s="134"/>
      <c r="AR92" s="161"/>
      <c r="AS92" s="161"/>
      <c r="AT92" s="161"/>
      <c r="AU92" s="161"/>
      <c r="AV92" s="162"/>
      <c r="AW92" s="137">
        <f t="shared" si="26"/>
        <v>0</v>
      </c>
      <c r="AX92" s="137">
        <f t="shared" si="27"/>
        <v>0</v>
      </c>
    </row>
    <row r="93" ht="46.5" customHeight="1" spans="1:50" s="97" customFormat="1" x14ac:dyDescent="0.25">
      <c r="A93" s="100"/>
      <c r="B93" s="100"/>
      <c r="C93" s="100"/>
      <c r="D93" s="100"/>
      <c r="E93" s="100"/>
      <c r="F93" s="100"/>
      <c r="G93" s="103"/>
      <c r="H93" s="186"/>
      <c r="I93" s="195">
        <v>0.51</v>
      </c>
      <c r="J93" s="107">
        <v>0.49</v>
      </c>
      <c r="K93" s="107"/>
      <c r="L93" s="107"/>
      <c r="M93" s="187"/>
      <c r="N93" s="169">
        <f t="shared" si="14"/>
        <v>1</v>
      </c>
      <c r="O93" s="144">
        <v>1</v>
      </c>
      <c r="P93" s="145">
        <v>15</v>
      </c>
      <c r="Q93" s="113">
        <v>15</v>
      </c>
      <c r="R93" s="113"/>
      <c r="S93" s="113"/>
      <c r="T93" s="146"/>
      <c r="U93" s="148">
        <f t="shared" si="17"/>
        <v>15</v>
      </c>
      <c r="V93" s="149">
        <f t="shared" si="18"/>
        <v>15</v>
      </c>
      <c r="W93" s="189"/>
      <c r="X93" s="199"/>
      <c r="Y93" s="151"/>
      <c r="Z93" s="190"/>
      <c r="AA93" s="153"/>
      <c r="AB93" s="154">
        <f t="shared" si="19"/>
        <v>0</v>
      </c>
      <c r="AC93" s="149">
        <f t="shared" si="20"/>
        <v>0</v>
      </c>
      <c r="AD93" s="125">
        <v>2</v>
      </c>
      <c r="AE93" s="148">
        <f t="shared" si="21"/>
        <v>2</v>
      </c>
      <c r="AF93" s="156"/>
      <c r="AG93" s="156"/>
      <c r="AH93" s="113">
        <f t="shared" si="22"/>
        <v>17</v>
      </c>
      <c r="AI93" s="157">
        <v>65</v>
      </c>
      <c r="AJ93" s="113">
        <f t="shared" si="23"/>
        <v>82</v>
      </c>
      <c r="AK93" s="113">
        <f t="shared" si="24"/>
        <v>82</v>
      </c>
      <c r="AL93" s="158">
        <f t="shared" si="25"/>
        <v>1.02</v>
      </c>
      <c r="AM93" s="159"/>
      <c r="AN93" s="160">
        <f t="shared" si="16"/>
        <v>1</v>
      </c>
      <c r="AO93" s="160">
        <f t="shared" si="16"/>
        <v>2</v>
      </c>
      <c r="AP93" s="133"/>
      <c r="AQ93" s="134"/>
      <c r="AR93" s="161"/>
      <c r="AS93" s="161"/>
      <c r="AT93" s="161"/>
      <c r="AU93" s="161"/>
      <c r="AV93" s="162"/>
      <c r="AW93" s="137">
        <f t="shared" si="26"/>
        <v>0</v>
      </c>
      <c r="AX93" s="137">
        <f t="shared" si="27"/>
        <v>0</v>
      </c>
    </row>
    <row r="94" ht="46.5" customHeight="1" spans="1:50" s="97" customFormat="1" x14ac:dyDescent="0.25">
      <c r="A94" s="100"/>
      <c r="B94" s="100"/>
      <c r="C94" s="100"/>
      <c r="D94" s="100"/>
      <c r="E94" s="100"/>
      <c r="F94" s="100"/>
      <c r="G94" s="103"/>
      <c r="H94" s="186"/>
      <c r="I94" s="195">
        <v>0.51</v>
      </c>
      <c r="J94" s="107">
        <v>0.49</v>
      </c>
      <c r="K94" s="107"/>
      <c r="L94" s="107"/>
      <c r="M94" s="187"/>
      <c r="N94" s="169">
        <f t="shared" si="14"/>
        <v>1</v>
      </c>
      <c r="O94" s="144">
        <v>1</v>
      </c>
      <c r="P94" s="145">
        <v>15</v>
      </c>
      <c r="Q94" s="113">
        <v>15</v>
      </c>
      <c r="R94" s="113"/>
      <c r="S94" s="113"/>
      <c r="T94" s="146"/>
      <c r="U94" s="148">
        <f t="shared" si="17"/>
        <v>15</v>
      </c>
      <c r="V94" s="149">
        <f t="shared" si="18"/>
        <v>15</v>
      </c>
      <c r="W94" s="189"/>
      <c r="X94" s="199"/>
      <c r="Y94" s="151"/>
      <c r="Z94" s="190"/>
      <c r="AA94" s="153"/>
      <c r="AB94" s="154">
        <f t="shared" si="19"/>
        <v>0</v>
      </c>
      <c r="AC94" s="149">
        <f t="shared" si="20"/>
        <v>0</v>
      </c>
      <c r="AD94" s="125">
        <v>2</v>
      </c>
      <c r="AE94" s="148">
        <f t="shared" si="21"/>
        <v>2</v>
      </c>
      <c r="AF94" s="156"/>
      <c r="AG94" s="156"/>
      <c r="AH94" s="113">
        <f t="shared" si="22"/>
        <v>17</v>
      </c>
      <c r="AI94" s="157">
        <v>65</v>
      </c>
      <c r="AJ94" s="113">
        <f t="shared" si="23"/>
        <v>82</v>
      </c>
      <c r="AK94" s="113">
        <f t="shared" si="24"/>
        <v>82</v>
      </c>
      <c r="AL94" s="158">
        <f t="shared" si="25"/>
        <v>1.02</v>
      </c>
      <c r="AM94" s="159"/>
      <c r="AN94" s="160">
        <f t="shared" si="16"/>
        <v>1</v>
      </c>
      <c r="AO94" s="160">
        <f t="shared" si="16"/>
        <v>2</v>
      </c>
      <c r="AP94" s="133"/>
      <c r="AQ94" s="134"/>
      <c r="AR94" s="161"/>
      <c r="AS94" s="161"/>
      <c r="AT94" s="161"/>
      <c r="AU94" s="161"/>
      <c r="AV94" s="162"/>
      <c r="AW94" s="137">
        <f t="shared" si="26"/>
        <v>0</v>
      </c>
      <c r="AX94" s="137">
        <f t="shared" si="27"/>
        <v>0</v>
      </c>
    </row>
    <row r="95" ht="46.5" customHeight="1" spans="1:50" s="97" customFormat="1" x14ac:dyDescent="0.25">
      <c r="A95" s="100"/>
      <c r="B95" s="100"/>
      <c r="C95" s="100"/>
      <c r="D95" s="100"/>
      <c r="E95" s="100"/>
      <c r="F95" s="100"/>
      <c r="G95" s="103"/>
      <c r="H95" s="186"/>
      <c r="I95" s="195">
        <v>0.51</v>
      </c>
      <c r="J95" s="107">
        <v>0.49</v>
      </c>
      <c r="K95" s="107"/>
      <c r="L95" s="107"/>
      <c r="M95" s="187"/>
      <c r="N95" s="169">
        <f t="shared" si="14"/>
        <v>1</v>
      </c>
      <c r="O95" s="144">
        <v>1</v>
      </c>
      <c r="P95" s="145">
        <v>15</v>
      </c>
      <c r="Q95" s="113">
        <v>15</v>
      </c>
      <c r="R95" s="113"/>
      <c r="S95" s="113"/>
      <c r="T95" s="146"/>
      <c r="U95" s="148">
        <f t="shared" si="17"/>
        <v>15</v>
      </c>
      <c r="V95" s="149">
        <f t="shared" si="18"/>
        <v>15</v>
      </c>
      <c r="W95" s="189"/>
      <c r="X95" s="199"/>
      <c r="Y95" s="151"/>
      <c r="Z95" s="190"/>
      <c r="AA95" s="153"/>
      <c r="AB95" s="154">
        <f t="shared" si="19"/>
        <v>0</v>
      </c>
      <c r="AC95" s="149">
        <f t="shared" si="20"/>
        <v>0</v>
      </c>
      <c r="AD95" s="125">
        <v>2</v>
      </c>
      <c r="AE95" s="148">
        <f t="shared" si="21"/>
        <v>2</v>
      </c>
      <c r="AF95" s="156"/>
      <c r="AG95" s="156"/>
      <c r="AH95" s="113">
        <f t="shared" si="22"/>
        <v>17</v>
      </c>
      <c r="AI95" s="157">
        <v>65</v>
      </c>
      <c r="AJ95" s="113">
        <f t="shared" si="23"/>
        <v>82</v>
      </c>
      <c r="AK95" s="113">
        <f t="shared" si="24"/>
        <v>82</v>
      </c>
      <c r="AL95" s="158">
        <f t="shared" si="25"/>
        <v>1.02</v>
      </c>
      <c r="AM95" s="159"/>
      <c r="AN95" s="160">
        <f t="shared" si="16"/>
        <v>1</v>
      </c>
      <c r="AO95" s="160">
        <f t="shared" si="16"/>
        <v>2</v>
      </c>
      <c r="AP95" s="133"/>
      <c r="AQ95" s="134"/>
      <c r="AR95" s="161"/>
      <c r="AS95" s="161"/>
      <c r="AT95" s="161"/>
      <c r="AU95" s="161"/>
      <c r="AV95" s="162"/>
      <c r="AW95" s="137">
        <f t="shared" si="26"/>
        <v>0</v>
      </c>
      <c r="AX95" s="137">
        <f t="shared" si="27"/>
        <v>0</v>
      </c>
    </row>
    <row r="96" ht="46.5" customHeight="1" spans="1:50" s="97" customFormat="1" x14ac:dyDescent="0.25">
      <c r="A96" s="100"/>
      <c r="B96" s="100"/>
      <c r="C96" s="100"/>
      <c r="D96" s="100"/>
      <c r="E96" s="100"/>
      <c r="F96" s="100"/>
      <c r="G96" s="103"/>
      <c r="H96" s="186"/>
      <c r="I96" s="195">
        <v>0.51</v>
      </c>
      <c r="J96" s="107">
        <v>0.49</v>
      </c>
      <c r="K96" s="107"/>
      <c r="L96" s="107"/>
      <c r="M96" s="187"/>
      <c r="N96" s="169">
        <f t="shared" si="14"/>
        <v>1</v>
      </c>
      <c r="O96" s="144">
        <v>1</v>
      </c>
      <c r="P96" s="145">
        <v>15</v>
      </c>
      <c r="Q96" s="113">
        <v>15</v>
      </c>
      <c r="R96" s="113"/>
      <c r="S96" s="113"/>
      <c r="T96" s="146"/>
      <c r="U96" s="148">
        <f t="shared" si="17"/>
        <v>15</v>
      </c>
      <c r="V96" s="149">
        <f t="shared" si="18"/>
        <v>15</v>
      </c>
      <c r="W96" s="189"/>
      <c r="X96" s="199"/>
      <c r="Y96" s="151"/>
      <c r="Z96" s="190"/>
      <c r="AA96" s="153"/>
      <c r="AB96" s="154">
        <f t="shared" si="19"/>
        <v>0</v>
      </c>
      <c r="AC96" s="149">
        <f t="shared" si="20"/>
        <v>0</v>
      </c>
      <c r="AD96" s="125">
        <v>2</v>
      </c>
      <c r="AE96" s="148">
        <f t="shared" si="21"/>
        <v>2</v>
      </c>
      <c r="AF96" s="156"/>
      <c r="AG96" s="156"/>
      <c r="AH96" s="113">
        <f t="shared" si="22"/>
        <v>17</v>
      </c>
      <c r="AI96" s="157">
        <v>65</v>
      </c>
      <c r="AJ96" s="113">
        <f t="shared" si="23"/>
        <v>82</v>
      </c>
      <c r="AK96" s="113">
        <f t="shared" si="24"/>
        <v>82</v>
      </c>
      <c r="AL96" s="158">
        <f t="shared" si="25"/>
        <v>1.02</v>
      </c>
      <c r="AM96" s="159"/>
      <c r="AN96" s="160">
        <f t="shared" si="16"/>
        <v>1</v>
      </c>
      <c r="AO96" s="160">
        <f t="shared" si="16"/>
        <v>2</v>
      </c>
      <c r="AP96" s="133"/>
      <c r="AQ96" s="134"/>
      <c r="AR96" s="161"/>
      <c r="AS96" s="161"/>
      <c r="AT96" s="161"/>
      <c r="AU96" s="161"/>
      <c r="AV96" s="162"/>
      <c r="AW96" s="137">
        <f t="shared" si="26"/>
        <v>0</v>
      </c>
      <c r="AX96" s="137">
        <f t="shared" si="27"/>
        <v>0</v>
      </c>
    </row>
    <row r="97" ht="46.5" customHeight="1" spans="1:50" s="97" customFormat="1" x14ac:dyDescent="0.25">
      <c r="A97" s="100"/>
      <c r="B97" s="100"/>
      <c r="C97" s="100"/>
      <c r="D97" s="100"/>
      <c r="E97" s="100"/>
      <c r="F97" s="100"/>
      <c r="G97" s="103"/>
      <c r="H97" s="186"/>
      <c r="I97" s="195">
        <v>0.51</v>
      </c>
      <c r="J97" s="107">
        <v>0.49</v>
      </c>
      <c r="K97" s="107"/>
      <c r="L97" s="107"/>
      <c r="M97" s="187"/>
      <c r="N97" s="169">
        <f t="shared" si="14"/>
        <v>1</v>
      </c>
      <c r="O97" s="144">
        <v>1</v>
      </c>
      <c r="P97" s="145">
        <v>15</v>
      </c>
      <c r="Q97" s="113">
        <v>15</v>
      </c>
      <c r="R97" s="113"/>
      <c r="S97" s="113"/>
      <c r="T97" s="146"/>
      <c r="U97" s="148">
        <f t="shared" si="17"/>
        <v>15</v>
      </c>
      <c r="V97" s="149">
        <f t="shared" si="18"/>
        <v>15</v>
      </c>
      <c r="W97" s="189"/>
      <c r="X97" s="199"/>
      <c r="Y97" s="151"/>
      <c r="Z97" s="190"/>
      <c r="AA97" s="153"/>
      <c r="AB97" s="154">
        <f t="shared" si="19"/>
        <v>0</v>
      </c>
      <c r="AC97" s="149">
        <f t="shared" si="20"/>
        <v>0</v>
      </c>
      <c r="AD97" s="125">
        <v>2</v>
      </c>
      <c r="AE97" s="148">
        <f t="shared" si="21"/>
        <v>2</v>
      </c>
      <c r="AF97" s="156"/>
      <c r="AG97" s="156"/>
      <c r="AH97" s="113">
        <f t="shared" si="22"/>
        <v>17</v>
      </c>
      <c r="AI97" s="157">
        <v>65</v>
      </c>
      <c r="AJ97" s="113">
        <f t="shared" si="23"/>
        <v>82</v>
      </c>
      <c r="AK97" s="113">
        <f t="shared" si="24"/>
        <v>82</v>
      </c>
      <c r="AL97" s="158">
        <f t="shared" si="25"/>
        <v>1.02</v>
      </c>
      <c r="AM97" s="159"/>
      <c r="AN97" s="160">
        <f t="shared" si="16"/>
        <v>1</v>
      </c>
      <c r="AO97" s="160">
        <f t="shared" si="16"/>
        <v>2</v>
      </c>
      <c r="AP97" s="133"/>
      <c r="AQ97" s="134"/>
      <c r="AR97" s="161"/>
      <c r="AS97" s="161"/>
      <c r="AT97" s="161"/>
      <c r="AU97" s="161"/>
      <c r="AV97" s="162"/>
      <c r="AW97" s="137">
        <f t="shared" si="26"/>
        <v>0</v>
      </c>
      <c r="AX97" s="137">
        <f t="shared" si="27"/>
        <v>0</v>
      </c>
    </row>
    <row r="98" ht="46.5" customHeight="1" spans="1:50" s="97" customFormat="1" x14ac:dyDescent="0.25">
      <c r="A98" s="100"/>
      <c r="B98" s="100"/>
      <c r="C98" s="100"/>
      <c r="D98" s="100"/>
      <c r="E98" s="100"/>
      <c r="F98" s="100"/>
      <c r="G98" s="103"/>
      <c r="H98" s="186"/>
      <c r="I98" s="195">
        <v>0.51</v>
      </c>
      <c r="J98" s="107">
        <v>0.49</v>
      </c>
      <c r="K98" s="107"/>
      <c r="L98" s="107"/>
      <c r="M98" s="187"/>
      <c r="N98" s="169">
        <f t="shared" si="14"/>
        <v>1</v>
      </c>
      <c r="O98" s="144">
        <v>1</v>
      </c>
      <c r="P98" s="145">
        <v>15</v>
      </c>
      <c r="Q98" s="113">
        <v>15</v>
      </c>
      <c r="R98" s="113"/>
      <c r="S98" s="113"/>
      <c r="T98" s="146"/>
      <c r="U98" s="148">
        <f t="shared" si="17"/>
        <v>15</v>
      </c>
      <c r="V98" s="149">
        <f t="shared" si="18"/>
        <v>15</v>
      </c>
      <c r="W98" s="189"/>
      <c r="X98" s="199"/>
      <c r="Y98" s="151"/>
      <c r="Z98" s="190"/>
      <c r="AA98" s="153"/>
      <c r="AB98" s="154">
        <f t="shared" si="19"/>
        <v>0</v>
      </c>
      <c r="AC98" s="149">
        <f t="shared" si="20"/>
        <v>0</v>
      </c>
      <c r="AD98" s="125">
        <v>2</v>
      </c>
      <c r="AE98" s="148">
        <f t="shared" si="21"/>
        <v>2</v>
      </c>
      <c r="AF98" s="156"/>
      <c r="AG98" s="156"/>
      <c r="AH98" s="113">
        <f t="shared" si="22"/>
        <v>17</v>
      </c>
      <c r="AI98" s="157">
        <v>65</v>
      </c>
      <c r="AJ98" s="113">
        <f t="shared" si="23"/>
        <v>82</v>
      </c>
      <c r="AK98" s="113">
        <f t="shared" si="24"/>
        <v>82</v>
      </c>
      <c r="AL98" s="158">
        <f t="shared" si="25"/>
        <v>1.02</v>
      </c>
      <c r="AM98" s="159"/>
      <c r="AN98" s="160">
        <f t="shared" si="16"/>
        <v>1</v>
      </c>
      <c r="AO98" s="160">
        <f t="shared" si="16"/>
        <v>2</v>
      </c>
      <c r="AP98" s="133"/>
      <c r="AQ98" s="134"/>
      <c r="AR98" s="161"/>
      <c r="AS98" s="161"/>
      <c r="AT98" s="161"/>
      <c r="AU98" s="161"/>
      <c r="AV98" s="162"/>
      <c r="AW98" s="137">
        <f t="shared" si="26"/>
        <v>0</v>
      </c>
      <c r="AX98" s="137">
        <f t="shared" si="27"/>
        <v>0</v>
      </c>
    </row>
    <row r="99" ht="46.5" customHeight="1" spans="1:50" s="97" customFormat="1" x14ac:dyDescent="0.25">
      <c r="A99" s="100"/>
      <c r="B99" s="100"/>
      <c r="C99" s="100"/>
      <c r="D99" s="100"/>
      <c r="E99" s="100"/>
      <c r="F99" s="100"/>
      <c r="G99" s="103"/>
      <c r="H99" s="186"/>
      <c r="I99" s="195">
        <v>0.51</v>
      </c>
      <c r="J99" s="107">
        <v>0.49</v>
      </c>
      <c r="K99" s="107"/>
      <c r="L99" s="107"/>
      <c r="M99" s="187"/>
      <c r="N99" s="169">
        <f t="shared" si="14"/>
        <v>1</v>
      </c>
      <c r="O99" s="144">
        <v>1</v>
      </c>
      <c r="P99" s="145">
        <v>15</v>
      </c>
      <c r="Q99" s="113">
        <v>15</v>
      </c>
      <c r="R99" s="113"/>
      <c r="S99" s="113"/>
      <c r="T99" s="146"/>
      <c r="U99" s="148">
        <f t="shared" si="17"/>
        <v>15</v>
      </c>
      <c r="V99" s="149">
        <f t="shared" si="18"/>
        <v>15</v>
      </c>
      <c r="W99" s="189"/>
      <c r="X99" s="199"/>
      <c r="Y99" s="151"/>
      <c r="Z99" s="190"/>
      <c r="AA99" s="153"/>
      <c r="AB99" s="154">
        <f t="shared" si="19"/>
        <v>0</v>
      </c>
      <c r="AC99" s="149">
        <f t="shared" si="20"/>
        <v>0</v>
      </c>
      <c r="AD99" s="125">
        <v>2</v>
      </c>
      <c r="AE99" s="148">
        <f t="shared" si="21"/>
        <v>2</v>
      </c>
      <c r="AF99" s="156"/>
      <c r="AG99" s="156"/>
      <c r="AH99" s="113">
        <f t="shared" si="22"/>
        <v>17</v>
      </c>
      <c r="AI99" s="157">
        <v>65</v>
      </c>
      <c r="AJ99" s="113">
        <f t="shared" si="23"/>
        <v>82</v>
      </c>
      <c r="AK99" s="113">
        <f t="shared" si="24"/>
        <v>82</v>
      </c>
      <c r="AL99" s="158">
        <f t="shared" si="25"/>
        <v>1.02</v>
      </c>
      <c r="AM99" s="159"/>
      <c r="AN99" s="160">
        <f t="shared" si="16"/>
        <v>1</v>
      </c>
      <c r="AO99" s="160">
        <f t="shared" si="16"/>
        <v>2</v>
      </c>
      <c r="AP99" s="133"/>
      <c r="AQ99" s="134"/>
      <c r="AR99" s="161"/>
      <c r="AS99" s="161"/>
      <c r="AT99" s="161"/>
      <c r="AU99" s="161"/>
      <c r="AV99" s="162"/>
      <c r="AW99" s="137">
        <f t="shared" si="26"/>
        <v>0</v>
      </c>
      <c r="AX99" s="137">
        <f t="shared" si="27"/>
        <v>0</v>
      </c>
    </row>
    <row r="100" ht="46.5" customHeight="1" spans="1:50" s="97" customFormat="1" x14ac:dyDescent="0.25">
      <c r="A100" s="100"/>
      <c r="B100" s="100"/>
      <c r="C100" s="100"/>
      <c r="D100" s="100"/>
      <c r="E100" s="100"/>
      <c r="F100" s="100"/>
      <c r="G100" s="103"/>
      <c r="H100" s="186"/>
      <c r="I100" s="195">
        <v>0.51</v>
      </c>
      <c r="J100" s="107">
        <v>0.49</v>
      </c>
      <c r="K100" s="107"/>
      <c r="L100" s="107"/>
      <c r="M100" s="187"/>
      <c r="N100" s="169">
        <f t="shared" si="14"/>
        <v>1</v>
      </c>
      <c r="O100" s="144">
        <v>1</v>
      </c>
      <c r="P100" s="145">
        <v>15</v>
      </c>
      <c r="Q100" s="113">
        <v>15</v>
      </c>
      <c r="R100" s="113"/>
      <c r="S100" s="113"/>
      <c r="T100" s="146"/>
      <c r="U100" s="148">
        <f t="shared" si="17"/>
        <v>15</v>
      </c>
      <c r="V100" s="149">
        <f t="shared" si="18"/>
        <v>15</v>
      </c>
      <c r="W100" s="189"/>
      <c r="X100" s="199"/>
      <c r="Y100" s="151"/>
      <c r="Z100" s="190"/>
      <c r="AA100" s="153"/>
      <c r="AB100" s="154">
        <f t="shared" si="19"/>
        <v>0</v>
      </c>
      <c r="AC100" s="149">
        <f t="shared" si="20"/>
        <v>0</v>
      </c>
      <c r="AD100" s="125">
        <v>2</v>
      </c>
      <c r="AE100" s="148">
        <f t="shared" si="21"/>
        <v>2</v>
      </c>
      <c r="AF100" s="156"/>
      <c r="AG100" s="156"/>
      <c r="AH100" s="113">
        <f t="shared" si="22"/>
        <v>17</v>
      </c>
      <c r="AI100" s="157">
        <v>65</v>
      </c>
      <c r="AJ100" s="113">
        <f t="shared" si="23"/>
        <v>82</v>
      </c>
      <c r="AK100" s="113">
        <f t="shared" si="24"/>
        <v>82</v>
      </c>
      <c r="AL100" s="158">
        <f t="shared" si="25"/>
        <v>1.02</v>
      </c>
      <c r="AM100" s="159"/>
      <c r="AN100" s="160">
        <f t="shared" si="16"/>
        <v>1</v>
      </c>
      <c r="AO100" s="160">
        <f t="shared" si="16"/>
        <v>2</v>
      </c>
      <c r="AP100" s="133"/>
      <c r="AQ100" s="134"/>
      <c r="AR100" s="161"/>
      <c r="AS100" s="161"/>
      <c r="AT100" s="161"/>
      <c r="AU100" s="161"/>
      <c r="AV100" s="162"/>
      <c r="AW100" s="137">
        <f t="shared" si="26"/>
        <v>0</v>
      </c>
      <c r="AX100" s="137">
        <f t="shared" si="27"/>
        <v>0</v>
      </c>
    </row>
    <row r="101" ht="46.5" customHeight="1" spans="1:50" s="97" customFormat="1" x14ac:dyDescent="0.25">
      <c r="A101" s="100"/>
      <c r="B101" s="100"/>
      <c r="C101" s="100"/>
      <c r="D101" s="100"/>
      <c r="E101" s="100"/>
      <c r="F101" s="100"/>
      <c r="G101" s="103"/>
      <c r="H101" s="186"/>
      <c r="I101" s="195">
        <v>0.51</v>
      </c>
      <c r="J101" s="107">
        <v>0.49</v>
      </c>
      <c r="K101" s="107"/>
      <c r="L101" s="107"/>
      <c r="M101" s="187"/>
      <c r="N101" s="169">
        <f t="shared" si="14"/>
        <v>1</v>
      </c>
      <c r="O101" s="144">
        <v>1</v>
      </c>
      <c r="P101" s="145">
        <v>15</v>
      </c>
      <c r="Q101" s="113">
        <v>15</v>
      </c>
      <c r="R101" s="113"/>
      <c r="S101" s="113"/>
      <c r="T101" s="146"/>
      <c r="U101" s="148">
        <f t="shared" si="17"/>
        <v>15</v>
      </c>
      <c r="V101" s="149">
        <f t="shared" si="18"/>
        <v>15</v>
      </c>
      <c r="W101" s="189"/>
      <c r="X101" s="199"/>
      <c r="Y101" s="151"/>
      <c r="Z101" s="190"/>
      <c r="AA101" s="153"/>
      <c r="AB101" s="154">
        <f t="shared" si="19"/>
        <v>0</v>
      </c>
      <c r="AC101" s="149">
        <f t="shared" si="20"/>
        <v>0</v>
      </c>
      <c r="AD101" s="125">
        <v>2</v>
      </c>
      <c r="AE101" s="148">
        <f t="shared" si="21"/>
        <v>2</v>
      </c>
      <c r="AF101" s="156"/>
      <c r="AG101" s="156"/>
      <c r="AH101" s="113">
        <f t="shared" si="22"/>
        <v>17</v>
      </c>
      <c r="AI101" s="157">
        <v>65</v>
      </c>
      <c r="AJ101" s="113">
        <f t="shared" si="23"/>
        <v>82</v>
      </c>
      <c r="AK101" s="113">
        <f t="shared" si="24"/>
        <v>82</v>
      </c>
      <c r="AL101" s="158">
        <f t="shared" si="25"/>
        <v>1.02</v>
      </c>
      <c r="AM101" s="159"/>
      <c r="AN101" s="160">
        <f t="shared" si="16"/>
        <v>1</v>
      </c>
      <c r="AO101" s="160">
        <f t="shared" si="16"/>
        <v>2</v>
      </c>
      <c r="AP101" s="133"/>
      <c r="AQ101" s="134"/>
      <c r="AR101" s="161"/>
      <c r="AS101" s="161"/>
      <c r="AT101" s="161"/>
      <c r="AU101" s="161"/>
      <c r="AV101" s="162"/>
      <c r="AW101" s="137">
        <f t="shared" si="26"/>
        <v>0</v>
      </c>
      <c r="AX101" s="137">
        <f t="shared" si="27"/>
        <v>0</v>
      </c>
    </row>
    <row r="102" ht="46.5" customHeight="1" spans="1:50" s="97" customFormat="1" x14ac:dyDescent="0.25">
      <c r="A102" s="100"/>
      <c r="B102" s="100"/>
      <c r="C102" s="100"/>
      <c r="D102" s="100"/>
      <c r="E102" s="100"/>
      <c r="F102" s="100"/>
      <c r="G102" s="103"/>
      <c r="H102" s="186"/>
      <c r="I102" s="195">
        <v>0.51</v>
      </c>
      <c r="J102" s="107">
        <v>0.49</v>
      </c>
      <c r="K102" s="107"/>
      <c r="L102" s="107"/>
      <c r="M102" s="187"/>
      <c r="N102" s="169">
        <f t="shared" si="14"/>
        <v>1</v>
      </c>
      <c r="O102" s="144">
        <v>1</v>
      </c>
      <c r="P102" s="145">
        <v>15</v>
      </c>
      <c r="Q102" s="113">
        <v>15</v>
      </c>
      <c r="R102" s="113"/>
      <c r="S102" s="113"/>
      <c r="T102" s="146"/>
      <c r="U102" s="148">
        <f t="shared" si="17"/>
        <v>15</v>
      </c>
      <c r="V102" s="149">
        <f t="shared" si="18"/>
        <v>15</v>
      </c>
      <c r="W102" s="189"/>
      <c r="X102" s="199"/>
      <c r="Y102" s="151"/>
      <c r="Z102" s="190"/>
      <c r="AA102" s="153"/>
      <c r="AB102" s="154">
        <f t="shared" si="19"/>
        <v>0</v>
      </c>
      <c r="AC102" s="149">
        <f t="shared" si="20"/>
        <v>0</v>
      </c>
      <c r="AD102" s="125">
        <v>2</v>
      </c>
      <c r="AE102" s="148">
        <f t="shared" si="21"/>
        <v>2</v>
      </c>
      <c r="AF102" s="156"/>
      <c r="AG102" s="156"/>
      <c r="AH102" s="113">
        <f t="shared" si="22"/>
        <v>17</v>
      </c>
      <c r="AI102" s="157">
        <v>65</v>
      </c>
      <c r="AJ102" s="113">
        <f t="shared" si="23"/>
        <v>82</v>
      </c>
      <c r="AK102" s="113">
        <f t="shared" si="24"/>
        <v>82</v>
      </c>
      <c r="AL102" s="158">
        <f t="shared" si="25"/>
        <v>1.02</v>
      </c>
      <c r="AM102" s="159"/>
      <c r="AN102" s="160">
        <f t="shared" si="16"/>
        <v>1</v>
      </c>
      <c r="AO102" s="160">
        <f t="shared" si="16"/>
        <v>2</v>
      </c>
      <c r="AP102" s="133"/>
      <c r="AQ102" s="134"/>
      <c r="AR102" s="161"/>
      <c r="AS102" s="161"/>
      <c r="AT102" s="161"/>
      <c r="AU102" s="161"/>
      <c r="AV102" s="162"/>
      <c r="AW102" s="137">
        <f t="shared" si="26"/>
        <v>0</v>
      </c>
      <c r="AX102" s="137">
        <f t="shared" si="27"/>
        <v>0</v>
      </c>
    </row>
    <row r="103" ht="46.5" customHeight="1" spans="1:50" s="97" customFormat="1" x14ac:dyDescent="0.25">
      <c r="A103" s="100"/>
      <c r="B103" s="100"/>
      <c r="C103" s="100"/>
      <c r="D103" s="100"/>
      <c r="E103" s="100"/>
      <c r="F103" s="100"/>
      <c r="G103" s="103"/>
      <c r="H103" s="186"/>
      <c r="I103" s="195">
        <v>0.51</v>
      </c>
      <c r="J103" s="107">
        <v>0.49</v>
      </c>
      <c r="K103" s="107"/>
      <c r="L103" s="107"/>
      <c r="M103" s="187"/>
      <c r="N103" s="169">
        <f t="shared" si="14"/>
        <v>1</v>
      </c>
      <c r="O103" s="144">
        <v>1</v>
      </c>
      <c r="P103" s="145">
        <v>15</v>
      </c>
      <c r="Q103" s="113">
        <v>15</v>
      </c>
      <c r="R103" s="113"/>
      <c r="S103" s="113"/>
      <c r="T103" s="146"/>
      <c r="U103" s="148">
        <f t="shared" si="17"/>
        <v>15</v>
      </c>
      <c r="V103" s="149">
        <f t="shared" si="18"/>
        <v>15</v>
      </c>
      <c r="W103" s="189"/>
      <c r="X103" s="199"/>
      <c r="Y103" s="151"/>
      <c r="Z103" s="190"/>
      <c r="AA103" s="153"/>
      <c r="AB103" s="154">
        <f t="shared" si="19"/>
        <v>0</v>
      </c>
      <c r="AC103" s="149">
        <f t="shared" si="20"/>
        <v>0</v>
      </c>
      <c r="AD103" s="125">
        <v>2</v>
      </c>
      <c r="AE103" s="148">
        <f t="shared" si="21"/>
        <v>2</v>
      </c>
      <c r="AF103" s="156"/>
      <c r="AG103" s="156"/>
      <c r="AH103" s="113">
        <f t="shared" si="22"/>
        <v>17</v>
      </c>
      <c r="AI103" s="157">
        <v>65</v>
      </c>
      <c r="AJ103" s="113">
        <f t="shared" si="23"/>
        <v>82</v>
      </c>
      <c r="AK103" s="113">
        <f t="shared" si="24"/>
        <v>82</v>
      </c>
      <c r="AL103" s="158">
        <f t="shared" si="25"/>
        <v>1.02</v>
      </c>
      <c r="AM103" s="159"/>
      <c r="AN103" s="160">
        <f t="shared" ref="AN103:AO122" si="28">100%+AM103</f>
        <v>1</v>
      </c>
      <c r="AO103" s="160">
        <f t="shared" si="28"/>
        <v>2</v>
      </c>
      <c r="AP103" s="133"/>
      <c r="AQ103" s="134"/>
      <c r="AR103" s="161"/>
      <c r="AS103" s="161"/>
      <c r="AT103" s="161"/>
      <c r="AU103" s="161"/>
      <c r="AV103" s="162"/>
      <c r="AW103" s="137">
        <f t="shared" si="26"/>
        <v>0</v>
      </c>
      <c r="AX103" s="137">
        <f t="shared" si="27"/>
        <v>0</v>
      </c>
    </row>
    <row r="104" ht="46.5" customHeight="1" spans="1:50" s="97" customFormat="1" x14ac:dyDescent="0.25">
      <c r="A104" s="100"/>
      <c r="B104" s="100"/>
      <c r="C104" s="100"/>
      <c r="D104" s="100"/>
      <c r="E104" s="100"/>
      <c r="F104" s="100"/>
      <c r="G104" s="103"/>
      <c r="H104" s="186"/>
      <c r="I104" s="195">
        <v>0.51</v>
      </c>
      <c r="J104" s="107">
        <v>0.49</v>
      </c>
      <c r="K104" s="107"/>
      <c r="L104" s="107"/>
      <c r="M104" s="187"/>
      <c r="N104" s="169">
        <f t="shared" si="14"/>
        <v>1</v>
      </c>
      <c r="O104" s="144">
        <v>1</v>
      </c>
      <c r="P104" s="145">
        <v>15</v>
      </c>
      <c r="Q104" s="113">
        <v>15</v>
      </c>
      <c r="R104" s="113"/>
      <c r="S104" s="113"/>
      <c r="T104" s="146"/>
      <c r="U104" s="148">
        <f t="shared" si="17"/>
        <v>15</v>
      </c>
      <c r="V104" s="149">
        <f t="shared" si="18"/>
        <v>15</v>
      </c>
      <c r="W104" s="189"/>
      <c r="X104" s="199"/>
      <c r="Y104" s="151"/>
      <c r="Z104" s="190"/>
      <c r="AA104" s="153"/>
      <c r="AB104" s="154">
        <f t="shared" si="19"/>
        <v>0</v>
      </c>
      <c r="AC104" s="149">
        <f t="shared" si="20"/>
        <v>0</v>
      </c>
      <c r="AD104" s="125">
        <v>2</v>
      </c>
      <c r="AE104" s="148">
        <f t="shared" si="21"/>
        <v>2</v>
      </c>
      <c r="AF104" s="156"/>
      <c r="AG104" s="156"/>
      <c r="AH104" s="113">
        <f t="shared" si="22"/>
        <v>17</v>
      </c>
      <c r="AI104" s="157">
        <v>65</v>
      </c>
      <c r="AJ104" s="113">
        <f t="shared" si="23"/>
        <v>82</v>
      </c>
      <c r="AK104" s="113">
        <f t="shared" si="24"/>
        <v>82</v>
      </c>
      <c r="AL104" s="158">
        <f t="shared" si="25"/>
        <v>1.02</v>
      </c>
      <c r="AM104" s="159"/>
      <c r="AN104" s="160">
        <f t="shared" si="28"/>
        <v>1</v>
      </c>
      <c r="AO104" s="160">
        <f t="shared" si="28"/>
        <v>2</v>
      </c>
      <c r="AP104" s="133"/>
      <c r="AQ104" s="134"/>
      <c r="AR104" s="161"/>
      <c r="AS104" s="161"/>
      <c r="AT104" s="161"/>
      <c r="AU104" s="161"/>
      <c r="AV104" s="162"/>
      <c r="AW104" s="137">
        <f t="shared" si="26"/>
        <v>0</v>
      </c>
      <c r="AX104" s="137">
        <f t="shared" si="27"/>
        <v>0</v>
      </c>
    </row>
    <row r="105" ht="46.5" customHeight="1" spans="1:50" s="97" customFormat="1" x14ac:dyDescent="0.25">
      <c r="A105" s="100"/>
      <c r="B105" s="100"/>
      <c r="C105" s="100"/>
      <c r="D105" s="100"/>
      <c r="E105" s="100"/>
      <c r="F105" s="100"/>
      <c r="G105" s="103"/>
      <c r="H105" s="186"/>
      <c r="I105" s="195">
        <v>0.51</v>
      </c>
      <c r="J105" s="107">
        <v>0.49</v>
      </c>
      <c r="K105" s="107"/>
      <c r="L105" s="107"/>
      <c r="M105" s="187"/>
      <c r="N105" s="169">
        <f t="shared" si="14"/>
        <v>1</v>
      </c>
      <c r="O105" s="144">
        <v>1</v>
      </c>
      <c r="P105" s="145">
        <v>15</v>
      </c>
      <c r="Q105" s="113">
        <v>15</v>
      </c>
      <c r="R105" s="113"/>
      <c r="S105" s="113"/>
      <c r="T105" s="146"/>
      <c r="U105" s="148">
        <f t="shared" si="17"/>
        <v>15</v>
      </c>
      <c r="V105" s="149">
        <f t="shared" si="18"/>
        <v>15</v>
      </c>
      <c r="W105" s="189"/>
      <c r="X105" s="199"/>
      <c r="Y105" s="151"/>
      <c r="Z105" s="190"/>
      <c r="AA105" s="153"/>
      <c r="AB105" s="154">
        <f t="shared" si="19"/>
        <v>0</v>
      </c>
      <c r="AC105" s="149">
        <f t="shared" si="20"/>
        <v>0</v>
      </c>
      <c r="AD105" s="125">
        <v>2</v>
      </c>
      <c r="AE105" s="148">
        <f t="shared" si="21"/>
        <v>2</v>
      </c>
      <c r="AF105" s="156"/>
      <c r="AG105" s="156"/>
      <c r="AH105" s="113">
        <f t="shared" si="22"/>
        <v>17</v>
      </c>
      <c r="AI105" s="157">
        <v>65</v>
      </c>
      <c r="AJ105" s="113">
        <f t="shared" si="23"/>
        <v>82</v>
      </c>
      <c r="AK105" s="113">
        <f t="shared" si="24"/>
        <v>82</v>
      </c>
      <c r="AL105" s="158">
        <f t="shared" si="25"/>
        <v>1.02</v>
      </c>
      <c r="AM105" s="159"/>
      <c r="AN105" s="160">
        <f t="shared" si="28"/>
        <v>1</v>
      </c>
      <c r="AO105" s="160">
        <f t="shared" si="28"/>
        <v>2</v>
      </c>
      <c r="AP105" s="133"/>
      <c r="AQ105" s="134"/>
      <c r="AR105" s="161"/>
      <c r="AS105" s="161"/>
      <c r="AT105" s="161"/>
      <c r="AU105" s="161"/>
      <c r="AV105" s="162"/>
      <c r="AW105" s="137">
        <f t="shared" si="26"/>
        <v>0</v>
      </c>
      <c r="AX105" s="137">
        <f t="shared" si="27"/>
        <v>0</v>
      </c>
    </row>
    <row r="106" ht="46.5" customHeight="1" spans="1:50" s="97" customFormat="1" x14ac:dyDescent="0.25">
      <c r="A106" s="100"/>
      <c r="B106" s="100"/>
      <c r="C106" s="100"/>
      <c r="D106" s="100"/>
      <c r="E106" s="100"/>
      <c r="F106" s="100"/>
      <c r="G106" s="103"/>
      <c r="H106" s="186"/>
      <c r="I106" s="195">
        <v>0.51</v>
      </c>
      <c r="J106" s="107">
        <v>0.49</v>
      </c>
      <c r="K106" s="107"/>
      <c r="L106" s="107"/>
      <c r="M106" s="187"/>
      <c r="N106" s="169">
        <f t="shared" si="14"/>
        <v>1</v>
      </c>
      <c r="O106" s="144">
        <v>1</v>
      </c>
      <c r="P106" s="145">
        <v>15</v>
      </c>
      <c r="Q106" s="113">
        <v>15</v>
      </c>
      <c r="R106" s="113"/>
      <c r="S106" s="113"/>
      <c r="T106" s="146"/>
      <c r="U106" s="148">
        <f t="shared" si="17"/>
        <v>15</v>
      </c>
      <c r="V106" s="149">
        <f t="shared" si="18"/>
        <v>15</v>
      </c>
      <c r="W106" s="189"/>
      <c r="X106" s="199"/>
      <c r="Y106" s="151"/>
      <c r="Z106" s="190"/>
      <c r="AA106" s="153"/>
      <c r="AB106" s="154">
        <f t="shared" si="19"/>
        <v>0</v>
      </c>
      <c r="AC106" s="149">
        <f t="shared" si="20"/>
        <v>0</v>
      </c>
      <c r="AD106" s="125">
        <v>2</v>
      </c>
      <c r="AE106" s="148">
        <f t="shared" si="21"/>
        <v>2</v>
      </c>
      <c r="AF106" s="156"/>
      <c r="AG106" s="156"/>
      <c r="AH106" s="113">
        <f t="shared" si="22"/>
        <v>17</v>
      </c>
      <c r="AI106" s="157">
        <v>65</v>
      </c>
      <c r="AJ106" s="113">
        <f t="shared" si="23"/>
        <v>82</v>
      </c>
      <c r="AK106" s="113">
        <f t="shared" si="24"/>
        <v>82</v>
      </c>
      <c r="AL106" s="158">
        <f t="shared" si="25"/>
        <v>1.02</v>
      </c>
      <c r="AM106" s="159"/>
      <c r="AN106" s="160">
        <f t="shared" si="28"/>
        <v>1</v>
      </c>
      <c r="AO106" s="160">
        <f t="shared" si="28"/>
        <v>2</v>
      </c>
      <c r="AP106" s="133"/>
      <c r="AQ106" s="134"/>
      <c r="AR106" s="161"/>
      <c r="AS106" s="161"/>
      <c r="AT106" s="161"/>
      <c r="AU106" s="161"/>
      <c r="AV106" s="162"/>
      <c r="AW106" s="137">
        <f t="shared" si="26"/>
        <v>0</v>
      </c>
      <c r="AX106" s="137">
        <f t="shared" si="27"/>
        <v>0</v>
      </c>
    </row>
    <row r="107" ht="46.5" customHeight="1" spans="1:50" s="97" customFormat="1" x14ac:dyDescent="0.25">
      <c r="A107" s="100"/>
      <c r="B107" s="100"/>
      <c r="C107" s="100"/>
      <c r="D107" s="100"/>
      <c r="E107" s="100"/>
      <c r="F107" s="100"/>
      <c r="G107" s="103"/>
      <c r="H107" s="186"/>
      <c r="I107" s="195">
        <v>0.51</v>
      </c>
      <c r="J107" s="107">
        <v>0.49</v>
      </c>
      <c r="K107" s="107"/>
      <c r="L107" s="107"/>
      <c r="M107" s="187"/>
      <c r="N107" s="169">
        <f t="shared" si="14"/>
        <v>1</v>
      </c>
      <c r="O107" s="144">
        <v>1</v>
      </c>
      <c r="P107" s="145">
        <v>15</v>
      </c>
      <c r="Q107" s="113">
        <v>15</v>
      </c>
      <c r="R107" s="113"/>
      <c r="S107" s="113"/>
      <c r="T107" s="146"/>
      <c r="U107" s="148">
        <f t="shared" si="17"/>
        <v>15</v>
      </c>
      <c r="V107" s="149">
        <f t="shared" si="18"/>
        <v>15</v>
      </c>
      <c r="W107" s="189"/>
      <c r="X107" s="199"/>
      <c r="Y107" s="151"/>
      <c r="Z107" s="190"/>
      <c r="AA107" s="153"/>
      <c r="AB107" s="154">
        <f t="shared" si="19"/>
        <v>0</v>
      </c>
      <c r="AC107" s="149">
        <f t="shared" si="20"/>
        <v>0</v>
      </c>
      <c r="AD107" s="125">
        <v>2</v>
      </c>
      <c r="AE107" s="148">
        <f t="shared" si="21"/>
        <v>2</v>
      </c>
      <c r="AF107" s="156"/>
      <c r="AG107" s="156"/>
      <c r="AH107" s="113">
        <f t="shared" si="22"/>
        <v>17</v>
      </c>
      <c r="AI107" s="157">
        <v>65</v>
      </c>
      <c r="AJ107" s="113">
        <f t="shared" si="23"/>
        <v>82</v>
      </c>
      <c r="AK107" s="113">
        <f t="shared" si="24"/>
        <v>82</v>
      </c>
      <c r="AL107" s="158">
        <f t="shared" si="25"/>
        <v>1.02</v>
      </c>
      <c r="AM107" s="159"/>
      <c r="AN107" s="160">
        <f t="shared" si="28"/>
        <v>1</v>
      </c>
      <c r="AO107" s="160">
        <f t="shared" si="28"/>
        <v>2</v>
      </c>
      <c r="AP107" s="133"/>
      <c r="AQ107" s="134"/>
      <c r="AR107" s="161"/>
      <c r="AS107" s="161"/>
      <c r="AT107" s="161"/>
      <c r="AU107" s="161"/>
      <c r="AV107" s="162"/>
      <c r="AW107" s="137">
        <f t="shared" si="26"/>
        <v>0</v>
      </c>
      <c r="AX107" s="137">
        <f t="shared" si="27"/>
        <v>0</v>
      </c>
    </row>
    <row r="108" ht="46.5" customHeight="1" spans="1:50" s="97" customFormat="1" x14ac:dyDescent="0.25">
      <c r="A108" s="100"/>
      <c r="B108" s="100"/>
      <c r="C108" s="100"/>
      <c r="D108" s="100"/>
      <c r="E108" s="100"/>
      <c r="F108" s="100"/>
      <c r="G108" s="103"/>
      <c r="H108" s="186"/>
      <c r="I108" s="195">
        <v>0.51</v>
      </c>
      <c r="J108" s="107">
        <v>0.49</v>
      </c>
      <c r="K108" s="107"/>
      <c r="L108" s="107"/>
      <c r="M108" s="187"/>
      <c r="N108" s="169">
        <f t="shared" si="14"/>
        <v>1</v>
      </c>
      <c r="O108" s="144">
        <v>1</v>
      </c>
      <c r="P108" s="145">
        <v>15</v>
      </c>
      <c r="Q108" s="113">
        <v>15</v>
      </c>
      <c r="R108" s="113"/>
      <c r="S108" s="113"/>
      <c r="T108" s="146"/>
      <c r="U108" s="148">
        <f t="shared" si="17"/>
        <v>15</v>
      </c>
      <c r="V108" s="149">
        <f t="shared" si="18"/>
        <v>15</v>
      </c>
      <c r="W108" s="189"/>
      <c r="X108" s="199"/>
      <c r="Y108" s="151"/>
      <c r="Z108" s="190"/>
      <c r="AA108" s="153"/>
      <c r="AB108" s="154">
        <f t="shared" si="19"/>
        <v>0</v>
      </c>
      <c r="AC108" s="149">
        <f t="shared" si="20"/>
        <v>0</v>
      </c>
      <c r="AD108" s="125">
        <v>2</v>
      </c>
      <c r="AE108" s="148">
        <f t="shared" si="21"/>
        <v>2</v>
      </c>
      <c r="AF108" s="156"/>
      <c r="AG108" s="156"/>
      <c r="AH108" s="113">
        <f t="shared" si="22"/>
        <v>17</v>
      </c>
      <c r="AI108" s="157">
        <v>65</v>
      </c>
      <c r="AJ108" s="113">
        <f t="shared" si="23"/>
        <v>82</v>
      </c>
      <c r="AK108" s="113">
        <f t="shared" si="24"/>
        <v>82</v>
      </c>
      <c r="AL108" s="158">
        <f t="shared" si="25"/>
        <v>1.02</v>
      </c>
      <c r="AM108" s="159"/>
      <c r="AN108" s="160">
        <f t="shared" si="28"/>
        <v>1</v>
      </c>
      <c r="AO108" s="160">
        <f t="shared" si="28"/>
        <v>2</v>
      </c>
      <c r="AP108" s="133"/>
      <c r="AQ108" s="134"/>
      <c r="AR108" s="161"/>
      <c r="AS108" s="161"/>
      <c r="AT108" s="161"/>
      <c r="AU108" s="161"/>
      <c r="AV108" s="162"/>
      <c r="AW108" s="137">
        <f t="shared" si="26"/>
        <v>0</v>
      </c>
      <c r="AX108" s="137">
        <f t="shared" si="27"/>
        <v>0</v>
      </c>
    </row>
    <row r="109" ht="46.5" customHeight="1" spans="1:50" s="97" customFormat="1" x14ac:dyDescent="0.25">
      <c r="A109" s="100"/>
      <c r="B109" s="100"/>
      <c r="C109" s="100"/>
      <c r="D109" s="100"/>
      <c r="E109" s="100"/>
      <c r="F109" s="100"/>
      <c r="G109" s="103"/>
      <c r="H109" s="186"/>
      <c r="I109" s="195">
        <v>0.51</v>
      </c>
      <c r="J109" s="107">
        <v>0.49</v>
      </c>
      <c r="K109" s="107"/>
      <c r="L109" s="107"/>
      <c r="M109" s="187"/>
      <c r="N109" s="169">
        <f t="shared" si="14"/>
        <v>1</v>
      </c>
      <c r="O109" s="144">
        <v>1</v>
      </c>
      <c r="P109" s="145">
        <v>15</v>
      </c>
      <c r="Q109" s="113">
        <v>15</v>
      </c>
      <c r="R109" s="113"/>
      <c r="S109" s="113"/>
      <c r="T109" s="146"/>
      <c r="U109" s="148">
        <f t="shared" si="17"/>
        <v>15</v>
      </c>
      <c r="V109" s="149">
        <f t="shared" si="18"/>
        <v>15</v>
      </c>
      <c r="W109" s="189"/>
      <c r="X109" s="199"/>
      <c r="Y109" s="151"/>
      <c r="Z109" s="190"/>
      <c r="AA109" s="153"/>
      <c r="AB109" s="154">
        <f t="shared" si="19"/>
        <v>0</v>
      </c>
      <c r="AC109" s="149">
        <f t="shared" si="20"/>
        <v>0</v>
      </c>
      <c r="AD109" s="125">
        <v>2</v>
      </c>
      <c r="AE109" s="148">
        <f t="shared" si="21"/>
        <v>2</v>
      </c>
      <c r="AF109" s="156"/>
      <c r="AG109" s="156"/>
      <c r="AH109" s="113">
        <f t="shared" si="22"/>
        <v>17</v>
      </c>
      <c r="AI109" s="157">
        <v>65</v>
      </c>
      <c r="AJ109" s="113">
        <f t="shared" si="23"/>
        <v>82</v>
      </c>
      <c r="AK109" s="113">
        <f t="shared" si="24"/>
        <v>82</v>
      </c>
      <c r="AL109" s="158">
        <f t="shared" si="25"/>
        <v>1.02</v>
      </c>
      <c r="AM109" s="159"/>
      <c r="AN109" s="160">
        <f t="shared" si="28"/>
        <v>1</v>
      </c>
      <c r="AO109" s="160">
        <f t="shared" si="28"/>
        <v>2</v>
      </c>
      <c r="AP109" s="133"/>
      <c r="AQ109" s="134"/>
      <c r="AR109" s="161"/>
      <c r="AS109" s="161"/>
      <c r="AT109" s="161"/>
      <c r="AU109" s="161"/>
      <c r="AV109" s="162"/>
      <c r="AW109" s="137">
        <f t="shared" si="26"/>
        <v>0</v>
      </c>
      <c r="AX109" s="137">
        <f t="shared" si="27"/>
        <v>0</v>
      </c>
    </row>
    <row r="110" ht="64.5" customHeight="1" spans="1:50" s="56" customFormat="1" x14ac:dyDescent="0.25">
      <c r="A110" s="100"/>
      <c r="B110" s="100"/>
      <c r="C110" s="100"/>
      <c r="D110" s="100"/>
      <c r="E110" s="100"/>
      <c r="F110" s="100"/>
      <c r="G110" s="103"/>
      <c r="H110" s="186"/>
      <c r="I110" s="195">
        <v>0.51</v>
      </c>
      <c r="J110" s="107">
        <v>0.49</v>
      </c>
      <c r="K110" s="107"/>
      <c r="L110" s="107"/>
      <c r="M110" s="187"/>
      <c r="N110" s="169">
        <f t="shared" si="14"/>
        <v>1</v>
      </c>
      <c r="O110" s="144">
        <v>1</v>
      </c>
      <c r="P110" s="145">
        <v>15</v>
      </c>
      <c r="Q110" s="113">
        <v>15</v>
      </c>
      <c r="R110" s="113"/>
      <c r="S110" s="113"/>
      <c r="T110" s="146"/>
      <c r="U110" s="148">
        <f t="shared" si="17"/>
        <v>15</v>
      </c>
      <c r="V110" s="149">
        <f t="shared" si="18"/>
        <v>15</v>
      </c>
      <c r="W110" s="189"/>
      <c r="X110" s="199"/>
      <c r="Y110" s="151"/>
      <c r="Z110" s="190"/>
      <c r="AA110" s="153"/>
      <c r="AB110" s="154">
        <f t="shared" si="19"/>
        <v>0</v>
      </c>
      <c r="AC110" s="149">
        <f t="shared" si="20"/>
        <v>0</v>
      </c>
      <c r="AD110" s="125">
        <v>2</v>
      </c>
      <c r="AE110" s="148">
        <f t="shared" si="21"/>
        <v>2</v>
      </c>
      <c r="AF110" s="156"/>
      <c r="AG110" s="156"/>
      <c r="AH110" s="113">
        <f t="shared" si="22"/>
        <v>17</v>
      </c>
      <c r="AI110" s="157">
        <v>65</v>
      </c>
      <c r="AJ110" s="113">
        <f t="shared" si="23"/>
        <v>82</v>
      </c>
      <c r="AK110" s="113">
        <f t="shared" si="24"/>
        <v>82</v>
      </c>
      <c r="AL110" s="158">
        <f t="shared" si="25"/>
        <v>1.02</v>
      </c>
      <c r="AM110" s="159"/>
      <c r="AN110" s="160">
        <f t="shared" si="28"/>
        <v>1</v>
      </c>
      <c r="AO110" s="160">
        <f t="shared" si="28"/>
        <v>2</v>
      </c>
      <c r="AP110" s="133"/>
      <c r="AQ110" s="134"/>
      <c r="AR110" s="161"/>
      <c r="AS110" s="161"/>
      <c r="AT110" s="161"/>
      <c r="AU110" s="161"/>
      <c r="AV110" s="162"/>
      <c r="AW110" s="137">
        <f t="shared" si="26"/>
        <v>0</v>
      </c>
      <c r="AX110" s="137">
        <f t="shared" si="27"/>
        <v>0</v>
      </c>
    </row>
    <row r="111" ht="46.5" customHeight="1" spans="1:50" s="97" customFormat="1" x14ac:dyDescent="0.25">
      <c r="A111" s="100"/>
      <c r="B111" s="100"/>
      <c r="C111" s="100"/>
      <c r="D111" s="100"/>
      <c r="E111" s="100"/>
      <c r="F111" s="100"/>
      <c r="G111" s="103"/>
      <c r="H111" s="186"/>
      <c r="I111" s="195">
        <v>0.51</v>
      </c>
      <c r="J111" s="107">
        <v>0.49</v>
      </c>
      <c r="K111" s="107"/>
      <c r="L111" s="107"/>
      <c r="M111" s="187"/>
      <c r="N111" s="169">
        <f t="shared" si="14"/>
        <v>1</v>
      </c>
      <c r="O111" s="144">
        <v>1</v>
      </c>
      <c r="P111" s="145">
        <v>15</v>
      </c>
      <c r="Q111" s="113">
        <v>15</v>
      </c>
      <c r="R111" s="113"/>
      <c r="S111" s="113"/>
      <c r="T111" s="146"/>
      <c r="U111" s="148">
        <f t="shared" si="17"/>
        <v>15</v>
      </c>
      <c r="V111" s="149">
        <f t="shared" si="18"/>
        <v>15</v>
      </c>
      <c r="W111" s="189"/>
      <c r="X111" s="199"/>
      <c r="Y111" s="151"/>
      <c r="Z111" s="190"/>
      <c r="AA111" s="153"/>
      <c r="AB111" s="154">
        <f t="shared" si="19"/>
        <v>0</v>
      </c>
      <c r="AC111" s="149">
        <f t="shared" si="20"/>
        <v>0</v>
      </c>
      <c r="AD111" s="125">
        <v>2</v>
      </c>
      <c r="AE111" s="148">
        <f t="shared" si="21"/>
        <v>2</v>
      </c>
      <c r="AF111" s="156"/>
      <c r="AG111" s="156"/>
      <c r="AH111" s="113">
        <f t="shared" si="22"/>
        <v>17</v>
      </c>
      <c r="AI111" s="157">
        <v>65</v>
      </c>
      <c r="AJ111" s="113">
        <f t="shared" si="23"/>
        <v>82</v>
      </c>
      <c r="AK111" s="113">
        <f t="shared" si="24"/>
        <v>82</v>
      </c>
      <c r="AL111" s="158">
        <f t="shared" si="25"/>
        <v>1.02</v>
      </c>
      <c r="AM111" s="159"/>
      <c r="AN111" s="160">
        <f t="shared" si="28"/>
        <v>1</v>
      </c>
      <c r="AO111" s="160">
        <f t="shared" si="28"/>
        <v>2</v>
      </c>
      <c r="AP111" s="133"/>
      <c r="AQ111" s="134"/>
      <c r="AR111" s="161"/>
      <c r="AS111" s="161"/>
      <c r="AT111" s="161"/>
      <c r="AU111" s="161"/>
      <c r="AV111" s="162"/>
      <c r="AW111" s="137">
        <f t="shared" si="26"/>
        <v>0</v>
      </c>
      <c r="AX111" s="137">
        <f t="shared" si="27"/>
        <v>0</v>
      </c>
    </row>
    <row r="112" ht="46.5" customHeight="1" spans="1:50" s="97" customFormat="1" x14ac:dyDescent="0.25">
      <c r="A112" s="100"/>
      <c r="B112" s="100"/>
      <c r="C112" s="100"/>
      <c r="D112" s="100"/>
      <c r="E112" s="100"/>
      <c r="F112" s="100"/>
      <c r="G112" s="103"/>
      <c r="H112" s="186"/>
      <c r="I112" s="195">
        <v>0.51</v>
      </c>
      <c r="J112" s="107">
        <v>0.49</v>
      </c>
      <c r="K112" s="107"/>
      <c r="L112" s="107"/>
      <c r="M112" s="187"/>
      <c r="N112" s="169">
        <f t="shared" si="14"/>
        <v>1</v>
      </c>
      <c r="O112" s="144">
        <v>1</v>
      </c>
      <c r="P112" s="145">
        <v>15</v>
      </c>
      <c r="Q112" s="113">
        <v>15</v>
      </c>
      <c r="R112" s="113"/>
      <c r="S112" s="113"/>
      <c r="T112" s="146"/>
      <c r="U112" s="148">
        <f t="shared" si="17"/>
        <v>15</v>
      </c>
      <c r="V112" s="149">
        <f t="shared" si="18"/>
        <v>15</v>
      </c>
      <c r="W112" s="189"/>
      <c r="X112" s="199"/>
      <c r="Y112" s="151"/>
      <c r="Z112" s="190"/>
      <c r="AA112" s="153"/>
      <c r="AB112" s="154">
        <f t="shared" si="19"/>
        <v>0</v>
      </c>
      <c r="AC112" s="149">
        <f t="shared" si="20"/>
        <v>0</v>
      </c>
      <c r="AD112" s="125">
        <v>2</v>
      </c>
      <c r="AE112" s="148">
        <f t="shared" si="21"/>
        <v>2</v>
      </c>
      <c r="AF112" s="156"/>
      <c r="AG112" s="156"/>
      <c r="AH112" s="113">
        <f t="shared" si="22"/>
        <v>17</v>
      </c>
      <c r="AI112" s="157">
        <v>65</v>
      </c>
      <c r="AJ112" s="113">
        <f t="shared" si="23"/>
        <v>82</v>
      </c>
      <c r="AK112" s="113">
        <f t="shared" si="24"/>
        <v>82</v>
      </c>
      <c r="AL112" s="158">
        <f t="shared" si="25"/>
        <v>1.02</v>
      </c>
      <c r="AM112" s="159"/>
      <c r="AN112" s="160">
        <f t="shared" si="28"/>
        <v>1</v>
      </c>
      <c r="AO112" s="160">
        <f t="shared" si="28"/>
        <v>2</v>
      </c>
      <c r="AP112" s="133"/>
      <c r="AQ112" s="134"/>
      <c r="AR112" s="161"/>
      <c r="AS112" s="161"/>
      <c r="AT112" s="161"/>
      <c r="AU112" s="161"/>
      <c r="AV112" s="162"/>
      <c r="AW112" s="137">
        <f t="shared" si="26"/>
        <v>0</v>
      </c>
      <c r="AX112" s="137">
        <f t="shared" si="27"/>
        <v>0</v>
      </c>
    </row>
    <row r="113" ht="46.5" customHeight="1" spans="1:50" s="97" customFormat="1" x14ac:dyDescent="0.25">
      <c r="A113" s="100"/>
      <c r="B113" s="100"/>
      <c r="C113" s="100"/>
      <c r="D113" s="100"/>
      <c r="E113" s="100"/>
      <c r="F113" s="100"/>
      <c r="G113" s="103"/>
      <c r="H113" s="186"/>
      <c r="I113" s="195">
        <v>0.51</v>
      </c>
      <c r="J113" s="107">
        <v>0.49</v>
      </c>
      <c r="K113" s="107"/>
      <c r="L113" s="107"/>
      <c r="M113" s="187"/>
      <c r="N113" s="169">
        <f t="shared" si="14"/>
        <v>1</v>
      </c>
      <c r="O113" s="144">
        <v>1</v>
      </c>
      <c r="P113" s="145">
        <v>15</v>
      </c>
      <c r="Q113" s="113">
        <v>15</v>
      </c>
      <c r="R113" s="113"/>
      <c r="S113" s="113"/>
      <c r="T113" s="146"/>
      <c r="U113" s="148">
        <f t="shared" si="17"/>
        <v>15</v>
      </c>
      <c r="V113" s="149">
        <f t="shared" si="18"/>
        <v>15</v>
      </c>
      <c r="W113" s="189"/>
      <c r="X113" s="199"/>
      <c r="Y113" s="151"/>
      <c r="Z113" s="190"/>
      <c r="AA113" s="153"/>
      <c r="AB113" s="154">
        <f t="shared" si="19"/>
        <v>0</v>
      </c>
      <c r="AC113" s="149">
        <f t="shared" si="20"/>
        <v>0</v>
      </c>
      <c r="AD113" s="125">
        <v>2</v>
      </c>
      <c r="AE113" s="148">
        <f t="shared" si="21"/>
        <v>2</v>
      </c>
      <c r="AF113" s="156"/>
      <c r="AG113" s="156"/>
      <c r="AH113" s="113">
        <f t="shared" si="22"/>
        <v>17</v>
      </c>
      <c r="AI113" s="157">
        <v>65</v>
      </c>
      <c r="AJ113" s="113">
        <f t="shared" si="23"/>
        <v>82</v>
      </c>
      <c r="AK113" s="113">
        <f t="shared" si="24"/>
        <v>82</v>
      </c>
      <c r="AL113" s="158">
        <f t="shared" si="25"/>
        <v>1.02</v>
      </c>
      <c r="AM113" s="159"/>
      <c r="AN113" s="160">
        <f t="shared" si="28"/>
        <v>1</v>
      </c>
      <c r="AO113" s="160">
        <f t="shared" si="28"/>
        <v>2</v>
      </c>
      <c r="AP113" s="133"/>
      <c r="AQ113" s="134"/>
      <c r="AR113" s="161"/>
      <c r="AS113" s="161"/>
      <c r="AT113" s="161"/>
      <c r="AU113" s="161"/>
      <c r="AV113" s="162"/>
      <c r="AW113" s="137">
        <f t="shared" si="26"/>
        <v>0</v>
      </c>
      <c r="AX113" s="137">
        <f t="shared" si="27"/>
        <v>0</v>
      </c>
    </row>
    <row r="114" ht="47.25" customHeight="1" spans="1:50" s="97" customFormat="1" x14ac:dyDescent="0.25">
      <c r="A114" s="100"/>
      <c r="B114" s="100"/>
      <c r="C114" s="100"/>
      <c r="D114" s="100"/>
      <c r="E114" s="100"/>
      <c r="F114" s="100"/>
      <c r="G114" s="103"/>
      <c r="H114" s="186"/>
      <c r="I114" s="195">
        <v>0.51</v>
      </c>
      <c r="J114" s="107">
        <v>0.49</v>
      </c>
      <c r="K114" s="107"/>
      <c r="L114" s="107"/>
      <c r="M114" s="187"/>
      <c r="N114" s="169">
        <f t="shared" si="14"/>
        <v>1</v>
      </c>
      <c r="O114" s="144">
        <v>1</v>
      </c>
      <c r="P114" s="145">
        <v>15</v>
      </c>
      <c r="Q114" s="113">
        <v>15</v>
      </c>
      <c r="R114" s="113"/>
      <c r="S114" s="113"/>
      <c r="T114" s="146"/>
      <c r="U114" s="148">
        <f t="shared" si="17"/>
        <v>15</v>
      </c>
      <c r="V114" s="149">
        <f t="shared" si="18"/>
        <v>15</v>
      </c>
      <c r="W114" s="189"/>
      <c r="X114" s="199"/>
      <c r="Y114" s="151"/>
      <c r="Z114" s="190"/>
      <c r="AA114" s="153"/>
      <c r="AB114" s="154">
        <f t="shared" si="19"/>
        <v>0</v>
      </c>
      <c r="AC114" s="149">
        <f t="shared" si="20"/>
        <v>0</v>
      </c>
      <c r="AD114" s="125">
        <v>2</v>
      </c>
      <c r="AE114" s="148">
        <f t="shared" si="21"/>
        <v>2</v>
      </c>
      <c r="AF114" s="156"/>
      <c r="AG114" s="156"/>
      <c r="AH114" s="113">
        <f t="shared" si="22"/>
        <v>17</v>
      </c>
      <c r="AI114" s="157">
        <v>65</v>
      </c>
      <c r="AJ114" s="113">
        <f t="shared" si="23"/>
        <v>82</v>
      </c>
      <c r="AK114" s="113">
        <f t="shared" si="24"/>
        <v>82</v>
      </c>
      <c r="AL114" s="158">
        <f t="shared" si="25"/>
        <v>1.02</v>
      </c>
      <c r="AM114" s="159"/>
      <c r="AN114" s="160">
        <f t="shared" si="28"/>
        <v>1</v>
      </c>
      <c r="AO114" s="160">
        <f t="shared" si="28"/>
        <v>2</v>
      </c>
      <c r="AP114" s="133"/>
      <c r="AQ114" s="134"/>
      <c r="AR114" s="161"/>
      <c r="AS114" s="161"/>
      <c r="AT114" s="161"/>
      <c r="AU114" s="161"/>
      <c r="AV114" s="162"/>
      <c r="AW114" s="137">
        <f t="shared" si="26"/>
        <v>0</v>
      </c>
      <c r="AX114" s="137">
        <f t="shared" si="27"/>
        <v>0</v>
      </c>
    </row>
    <row r="115" ht="46.5" customHeight="1" spans="1:50" s="97" customFormat="1" x14ac:dyDescent="0.25">
      <c r="A115" s="100"/>
      <c r="B115" s="100"/>
      <c r="C115" s="100"/>
      <c r="D115" s="100"/>
      <c r="E115" s="100"/>
      <c r="F115" s="100"/>
      <c r="G115" s="103"/>
      <c r="H115" s="186"/>
      <c r="I115" s="195">
        <v>0.51</v>
      </c>
      <c r="J115" s="107">
        <v>0.49</v>
      </c>
      <c r="K115" s="107"/>
      <c r="L115" s="107"/>
      <c r="M115" s="187"/>
      <c r="N115" s="169">
        <f t="shared" si="14"/>
        <v>1</v>
      </c>
      <c r="O115" s="144">
        <v>1</v>
      </c>
      <c r="P115" s="145">
        <v>15</v>
      </c>
      <c r="Q115" s="113">
        <v>15</v>
      </c>
      <c r="R115" s="113"/>
      <c r="S115" s="113"/>
      <c r="T115" s="146"/>
      <c r="U115" s="148">
        <f t="shared" si="17"/>
        <v>15</v>
      </c>
      <c r="V115" s="149">
        <f t="shared" si="18"/>
        <v>15</v>
      </c>
      <c r="W115" s="189"/>
      <c r="X115" s="199"/>
      <c r="Y115" s="151"/>
      <c r="Z115" s="190"/>
      <c r="AA115" s="153"/>
      <c r="AB115" s="154">
        <f t="shared" si="19"/>
        <v>0</v>
      </c>
      <c r="AC115" s="149">
        <f t="shared" si="20"/>
        <v>0</v>
      </c>
      <c r="AD115" s="125">
        <v>2</v>
      </c>
      <c r="AE115" s="148">
        <f t="shared" si="21"/>
        <v>2</v>
      </c>
      <c r="AF115" s="156"/>
      <c r="AG115" s="156"/>
      <c r="AH115" s="113">
        <f t="shared" si="22"/>
        <v>17</v>
      </c>
      <c r="AI115" s="157">
        <v>65</v>
      </c>
      <c r="AJ115" s="113">
        <f t="shared" si="23"/>
        <v>82</v>
      </c>
      <c r="AK115" s="113">
        <f t="shared" si="24"/>
        <v>82</v>
      </c>
      <c r="AL115" s="158">
        <f t="shared" si="25"/>
        <v>1.02</v>
      </c>
      <c r="AM115" s="159"/>
      <c r="AN115" s="160">
        <f t="shared" si="28"/>
        <v>1</v>
      </c>
      <c r="AO115" s="160">
        <f t="shared" si="28"/>
        <v>2</v>
      </c>
      <c r="AP115" s="133"/>
      <c r="AQ115" s="134"/>
      <c r="AR115" s="161"/>
      <c r="AS115" s="161"/>
      <c r="AT115" s="161"/>
      <c r="AU115" s="161"/>
      <c r="AV115" s="162"/>
      <c r="AW115" s="137">
        <f t="shared" si="26"/>
        <v>0</v>
      </c>
      <c r="AX115" s="137">
        <f t="shared" si="27"/>
        <v>0</v>
      </c>
    </row>
    <row r="116" ht="46.5" customHeight="1" spans="1:50" s="97" customFormat="1" x14ac:dyDescent="0.25">
      <c r="A116" s="100"/>
      <c r="B116" s="100"/>
      <c r="C116" s="100"/>
      <c r="D116" s="100"/>
      <c r="E116" s="100"/>
      <c r="F116" s="100"/>
      <c r="G116" s="103"/>
      <c r="H116" s="186"/>
      <c r="I116" s="195">
        <v>0.51</v>
      </c>
      <c r="J116" s="107">
        <v>0.49</v>
      </c>
      <c r="K116" s="107"/>
      <c r="L116" s="107"/>
      <c r="M116" s="187"/>
      <c r="N116" s="169">
        <f t="shared" si="14"/>
        <v>1</v>
      </c>
      <c r="O116" s="144">
        <v>1</v>
      </c>
      <c r="P116" s="145">
        <v>15</v>
      </c>
      <c r="Q116" s="113">
        <v>15</v>
      </c>
      <c r="R116" s="113"/>
      <c r="S116" s="113"/>
      <c r="T116" s="146"/>
      <c r="U116" s="148">
        <f t="shared" si="17"/>
        <v>15</v>
      </c>
      <c r="V116" s="149">
        <f t="shared" si="18"/>
        <v>15</v>
      </c>
      <c r="W116" s="189"/>
      <c r="X116" s="199"/>
      <c r="Y116" s="151"/>
      <c r="Z116" s="190"/>
      <c r="AA116" s="153"/>
      <c r="AB116" s="154">
        <f t="shared" si="19"/>
        <v>0</v>
      </c>
      <c r="AC116" s="149">
        <f t="shared" si="20"/>
        <v>0</v>
      </c>
      <c r="AD116" s="125">
        <v>2</v>
      </c>
      <c r="AE116" s="148">
        <f t="shared" si="21"/>
        <v>2</v>
      </c>
      <c r="AF116" s="156"/>
      <c r="AG116" s="156"/>
      <c r="AH116" s="113">
        <f t="shared" si="22"/>
        <v>17</v>
      </c>
      <c r="AI116" s="157">
        <v>65</v>
      </c>
      <c r="AJ116" s="113">
        <f t="shared" si="23"/>
        <v>82</v>
      </c>
      <c r="AK116" s="113">
        <f t="shared" si="24"/>
        <v>82</v>
      </c>
      <c r="AL116" s="158">
        <f t="shared" si="25"/>
        <v>1.02</v>
      </c>
      <c r="AM116" s="159"/>
      <c r="AN116" s="160">
        <f t="shared" si="28"/>
        <v>1</v>
      </c>
      <c r="AO116" s="160">
        <f t="shared" si="28"/>
        <v>2</v>
      </c>
      <c r="AP116" s="133"/>
      <c r="AQ116" s="134"/>
      <c r="AR116" s="161"/>
      <c r="AS116" s="161"/>
      <c r="AT116" s="161"/>
      <c r="AU116" s="161"/>
      <c r="AV116" s="162"/>
      <c r="AW116" s="137">
        <f t="shared" si="26"/>
        <v>0</v>
      </c>
      <c r="AX116" s="137">
        <f t="shared" si="27"/>
        <v>0</v>
      </c>
    </row>
    <row r="117" ht="46.5" customHeight="1" spans="1:50" s="97" customFormat="1" x14ac:dyDescent="0.25">
      <c r="A117" s="100"/>
      <c r="B117" s="100"/>
      <c r="C117" s="100"/>
      <c r="D117" s="100"/>
      <c r="E117" s="100"/>
      <c r="F117" s="100"/>
      <c r="G117" s="103"/>
      <c r="H117" s="186"/>
      <c r="I117" s="195">
        <v>0.51</v>
      </c>
      <c r="J117" s="107">
        <v>0.49</v>
      </c>
      <c r="K117" s="107"/>
      <c r="L117" s="107"/>
      <c r="M117" s="187"/>
      <c r="N117" s="169">
        <f t="shared" si="14"/>
        <v>1</v>
      </c>
      <c r="O117" s="144">
        <v>1</v>
      </c>
      <c r="P117" s="145">
        <v>15</v>
      </c>
      <c r="Q117" s="113">
        <v>15</v>
      </c>
      <c r="R117" s="113"/>
      <c r="S117" s="113"/>
      <c r="T117" s="146"/>
      <c r="U117" s="148">
        <f t="shared" si="17"/>
        <v>15</v>
      </c>
      <c r="V117" s="149">
        <f t="shared" si="18"/>
        <v>15</v>
      </c>
      <c r="W117" s="189"/>
      <c r="X117" s="199"/>
      <c r="Y117" s="151"/>
      <c r="Z117" s="190"/>
      <c r="AA117" s="153"/>
      <c r="AB117" s="154">
        <f t="shared" si="19"/>
        <v>0</v>
      </c>
      <c r="AC117" s="149">
        <f t="shared" si="20"/>
        <v>0</v>
      </c>
      <c r="AD117" s="125">
        <v>2</v>
      </c>
      <c r="AE117" s="148">
        <f t="shared" si="21"/>
        <v>2</v>
      </c>
      <c r="AF117" s="156"/>
      <c r="AG117" s="156"/>
      <c r="AH117" s="113">
        <f t="shared" si="22"/>
        <v>17</v>
      </c>
      <c r="AI117" s="157">
        <v>65</v>
      </c>
      <c r="AJ117" s="113">
        <f t="shared" si="23"/>
        <v>82</v>
      </c>
      <c r="AK117" s="113">
        <f t="shared" si="24"/>
        <v>82</v>
      </c>
      <c r="AL117" s="158">
        <f t="shared" si="25"/>
        <v>1.02</v>
      </c>
      <c r="AM117" s="159"/>
      <c r="AN117" s="160">
        <f t="shared" si="28"/>
        <v>1</v>
      </c>
      <c r="AO117" s="160">
        <f t="shared" si="28"/>
        <v>2</v>
      </c>
      <c r="AP117" s="133"/>
      <c r="AQ117" s="134"/>
      <c r="AR117" s="161"/>
      <c r="AS117" s="161"/>
      <c r="AT117" s="161"/>
      <c r="AU117" s="161"/>
      <c r="AV117" s="162"/>
      <c r="AW117" s="137">
        <f t="shared" si="26"/>
        <v>0</v>
      </c>
      <c r="AX117" s="137">
        <f t="shared" si="27"/>
        <v>0</v>
      </c>
    </row>
    <row r="118" ht="46.5" customHeight="1" spans="1:50" s="97" customFormat="1" x14ac:dyDescent="0.25">
      <c r="A118" s="100"/>
      <c r="B118" s="100"/>
      <c r="C118" s="100"/>
      <c r="D118" s="100"/>
      <c r="E118" s="100"/>
      <c r="F118" s="100"/>
      <c r="G118" s="103"/>
      <c r="H118" s="186"/>
      <c r="I118" s="195">
        <v>0.51</v>
      </c>
      <c r="J118" s="107">
        <v>0.49</v>
      </c>
      <c r="K118" s="107"/>
      <c r="L118" s="107"/>
      <c r="M118" s="187"/>
      <c r="N118" s="169">
        <f t="shared" si="14"/>
        <v>1</v>
      </c>
      <c r="O118" s="144">
        <v>1</v>
      </c>
      <c r="P118" s="145">
        <v>15</v>
      </c>
      <c r="Q118" s="113">
        <v>15</v>
      </c>
      <c r="R118" s="113"/>
      <c r="S118" s="113"/>
      <c r="T118" s="146"/>
      <c r="U118" s="148">
        <f t="shared" si="17"/>
        <v>15</v>
      </c>
      <c r="V118" s="149">
        <f t="shared" si="18"/>
        <v>15</v>
      </c>
      <c r="W118" s="189"/>
      <c r="X118" s="199"/>
      <c r="Y118" s="151"/>
      <c r="Z118" s="190"/>
      <c r="AA118" s="153"/>
      <c r="AB118" s="154">
        <f t="shared" si="19"/>
        <v>0</v>
      </c>
      <c r="AC118" s="149">
        <f t="shared" si="20"/>
        <v>0</v>
      </c>
      <c r="AD118" s="125">
        <v>2</v>
      </c>
      <c r="AE118" s="148">
        <f t="shared" si="21"/>
        <v>2</v>
      </c>
      <c r="AF118" s="156"/>
      <c r="AG118" s="156"/>
      <c r="AH118" s="113">
        <f t="shared" si="22"/>
        <v>17</v>
      </c>
      <c r="AI118" s="157">
        <v>65</v>
      </c>
      <c r="AJ118" s="113">
        <f t="shared" si="23"/>
        <v>82</v>
      </c>
      <c r="AK118" s="113">
        <f t="shared" si="24"/>
        <v>82</v>
      </c>
      <c r="AL118" s="158">
        <f t="shared" si="25"/>
        <v>1.02</v>
      </c>
      <c r="AM118" s="159"/>
      <c r="AN118" s="160">
        <f t="shared" si="28"/>
        <v>1</v>
      </c>
      <c r="AO118" s="160">
        <f t="shared" si="28"/>
        <v>2</v>
      </c>
      <c r="AP118" s="133"/>
      <c r="AQ118" s="134"/>
      <c r="AR118" s="161"/>
      <c r="AS118" s="161"/>
      <c r="AT118" s="161"/>
      <c r="AU118" s="161"/>
      <c r="AV118" s="162"/>
      <c r="AW118" s="137">
        <f t="shared" si="26"/>
        <v>0</v>
      </c>
      <c r="AX118" s="137">
        <f t="shared" si="27"/>
        <v>0</v>
      </c>
    </row>
    <row r="119" ht="47.25" customHeight="1" spans="1:50" s="56" customFormat="1" x14ac:dyDescent="0.25">
      <c r="A119" s="100"/>
      <c r="B119" s="100"/>
      <c r="C119" s="100"/>
      <c r="D119" s="100"/>
      <c r="E119" s="100"/>
      <c r="F119" s="100"/>
      <c r="G119" s="103"/>
      <c r="H119" s="186"/>
      <c r="I119" s="195">
        <v>0.51</v>
      </c>
      <c r="J119" s="107">
        <v>0.49</v>
      </c>
      <c r="K119" s="107"/>
      <c r="L119" s="107"/>
      <c r="M119" s="187"/>
      <c r="N119" s="169">
        <f t="shared" ref="N119:N148" si="29">SUM(I119:M119)</f>
        <v>1</v>
      </c>
      <c r="O119" s="144">
        <v>1</v>
      </c>
      <c r="P119" s="145">
        <v>15</v>
      </c>
      <c r="Q119" s="113">
        <v>15</v>
      </c>
      <c r="R119" s="113"/>
      <c r="S119" s="113"/>
      <c r="T119" s="146"/>
      <c r="U119" s="148">
        <f t="shared" si="17"/>
        <v>15</v>
      </c>
      <c r="V119" s="149">
        <f t="shared" si="18"/>
        <v>15</v>
      </c>
      <c r="W119" s="189"/>
      <c r="X119" s="199"/>
      <c r="Y119" s="151"/>
      <c r="Z119" s="190"/>
      <c r="AA119" s="153"/>
      <c r="AB119" s="154">
        <f t="shared" si="19"/>
        <v>0</v>
      </c>
      <c r="AC119" s="149">
        <f t="shared" si="20"/>
        <v>0</v>
      </c>
      <c r="AD119" s="125">
        <v>2</v>
      </c>
      <c r="AE119" s="148">
        <f t="shared" si="21"/>
        <v>2</v>
      </c>
      <c r="AF119" s="156"/>
      <c r="AG119" s="156"/>
      <c r="AH119" s="113">
        <f t="shared" si="22"/>
        <v>17</v>
      </c>
      <c r="AI119" s="157">
        <v>65</v>
      </c>
      <c r="AJ119" s="113">
        <f t="shared" si="23"/>
        <v>82</v>
      </c>
      <c r="AK119" s="113">
        <f t="shared" si="24"/>
        <v>82</v>
      </c>
      <c r="AL119" s="158">
        <f t="shared" si="25"/>
        <v>1.02</v>
      </c>
      <c r="AM119" s="159"/>
      <c r="AN119" s="160">
        <f t="shared" si="28"/>
        <v>1</v>
      </c>
      <c r="AO119" s="160">
        <f t="shared" si="28"/>
        <v>2</v>
      </c>
      <c r="AP119" s="133"/>
      <c r="AQ119" s="134"/>
      <c r="AR119" s="161"/>
      <c r="AS119" s="161"/>
      <c r="AT119" s="161"/>
      <c r="AU119" s="161"/>
      <c r="AV119" s="162"/>
      <c r="AW119" s="137">
        <f t="shared" si="26"/>
        <v>0</v>
      </c>
      <c r="AX119" s="137">
        <f t="shared" si="27"/>
        <v>0</v>
      </c>
    </row>
    <row r="120" ht="57" customHeight="1" spans="1:50" s="97" customFormat="1" x14ac:dyDescent="0.25">
      <c r="A120" s="100"/>
      <c r="B120" s="100"/>
      <c r="C120" s="100"/>
      <c r="D120" s="100"/>
      <c r="E120" s="100"/>
      <c r="F120" s="100"/>
      <c r="G120" s="103"/>
      <c r="H120" s="186"/>
      <c r="I120" s="195">
        <v>0.51</v>
      </c>
      <c r="J120" s="107">
        <v>0.49</v>
      </c>
      <c r="K120" s="107"/>
      <c r="L120" s="107"/>
      <c r="M120" s="187"/>
      <c r="N120" s="169">
        <f t="shared" si="29"/>
        <v>1</v>
      </c>
      <c r="O120" s="144">
        <v>1</v>
      </c>
      <c r="P120" s="145">
        <v>15</v>
      </c>
      <c r="Q120" s="113">
        <v>15</v>
      </c>
      <c r="R120" s="113"/>
      <c r="S120" s="113"/>
      <c r="T120" s="146"/>
      <c r="U120" s="148">
        <f t="shared" si="17"/>
        <v>15</v>
      </c>
      <c r="V120" s="149">
        <f t="shared" si="18"/>
        <v>15</v>
      </c>
      <c r="W120" s="189"/>
      <c r="X120" s="199"/>
      <c r="Y120" s="151"/>
      <c r="Z120" s="190"/>
      <c r="AA120" s="153"/>
      <c r="AB120" s="154">
        <f t="shared" si="19"/>
        <v>0</v>
      </c>
      <c r="AC120" s="149">
        <f t="shared" si="20"/>
        <v>0</v>
      </c>
      <c r="AD120" s="125">
        <v>2</v>
      </c>
      <c r="AE120" s="148">
        <f t="shared" si="21"/>
        <v>2</v>
      </c>
      <c r="AF120" s="156"/>
      <c r="AG120" s="156"/>
      <c r="AH120" s="113">
        <f t="shared" si="22"/>
        <v>17</v>
      </c>
      <c r="AI120" s="157">
        <v>65</v>
      </c>
      <c r="AJ120" s="113">
        <f t="shared" si="23"/>
        <v>82</v>
      </c>
      <c r="AK120" s="113">
        <f t="shared" si="24"/>
        <v>82</v>
      </c>
      <c r="AL120" s="158">
        <f t="shared" si="25"/>
        <v>1.02</v>
      </c>
      <c r="AM120" s="159"/>
      <c r="AN120" s="160">
        <f t="shared" si="28"/>
        <v>1</v>
      </c>
      <c r="AO120" s="160">
        <f t="shared" si="28"/>
        <v>2</v>
      </c>
      <c r="AP120" s="133"/>
      <c r="AQ120" s="134"/>
      <c r="AR120" s="161"/>
      <c r="AS120" s="161"/>
      <c r="AT120" s="161"/>
      <c r="AU120" s="161"/>
      <c r="AV120" s="162"/>
      <c r="AW120" s="137">
        <f t="shared" si="26"/>
        <v>0</v>
      </c>
      <c r="AX120" s="137">
        <f t="shared" si="27"/>
        <v>0</v>
      </c>
    </row>
    <row r="121" ht="46.5" customHeight="1" spans="1:50" s="97" customFormat="1" x14ac:dyDescent="0.25">
      <c r="A121" s="100"/>
      <c r="B121" s="100"/>
      <c r="C121" s="100"/>
      <c r="D121" s="100"/>
      <c r="E121" s="100"/>
      <c r="F121" s="100"/>
      <c r="G121" s="103"/>
      <c r="H121" s="186"/>
      <c r="I121" s="195">
        <v>0.51</v>
      </c>
      <c r="J121" s="107">
        <v>0.49</v>
      </c>
      <c r="K121" s="107"/>
      <c r="L121" s="107"/>
      <c r="M121" s="187"/>
      <c r="N121" s="169">
        <f t="shared" si="29"/>
        <v>1</v>
      </c>
      <c r="O121" s="144">
        <v>1</v>
      </c>
      <c r="P121" s="145">
        <v>15</v>
      </c>
      <c r="Q121" s="113">
        <v>15</v>
      </c>
      <c r="R121" s="113"/>
      <c r="S121" s="113"/>
      <c r="T121" s="146"/>
      <c r="U121" s="148">
        <f t="shared" si="17"/>
        <v>15</v>
      </c>
      <c r="V121" s="149">
        <f t="shared" si="18"/>
        <v>15</v>
      </c>
      <c r="W121" s="189"/>
      <c r="X121" s="199"/>
      <c r="Y121" s="151"/>
      <c r="Z121" s="190"/>
      <c r="AA121" s="153"/>
      <c r="AB121" s="154">
        <f t="shared" si="19"/>
        <v>0</v>
      </c>
      <c r="AC121" s="149">
        <f t="shared" si="20"/>
        <v>0</v>
      </c>
      <c r="AD121" s="125">
        <v>2</v>
      </c>
      <c r="AE121" s="148">
        <f t="shared" si="21"/>
        <v>2</v>
      </c>
      <c r="AF121" s="156"/>
      <c r="AG121" s="156"/>
      <c r="AH121" s="113">
        <f t="shared" si="22"/>
        <v>17</v>
      </c>
      <c r="AI121" s="157">
        <v>65</v>
      </c>
      <c r="AJ121" s="113">
        <f t="shared" si="23"/>
        <v>82</v>
      </c>
      <c r="AK121" s="113">
        <f t="shared" si="24"/>
        <v>82</v>
      </c>
      <c r="AL121" s="158">
        <f t="shared" si="25"/>
        <v>1.02</v>
      </c>
      <c r="AM121" s="159"/>
      <c r="AN121" s="160">
        <f t="shared" si="28"/>
        <v>1</v>
      </c>
      <c r="AO121" s="160">
        <f t="shared" si="28"/>
        <v>2</v>
      </c>
      <c r="AP121" s="133"/>
      <c r="AQ121" s="134"/>
      <c r="AR121" s="161"/>
      <c r="AS121" s="161"/>
      <c r="AT121" s="161"/>
      <c r="AU121" s="161"/>
      <c r="AV121" s="162"/>
      <c r="AW121" s="137">
        <f t="shared" si="26"/>
        <v>0</v>
      </c>
      <c r="AX121" s="137">
        <f t="shared" si="27"/>
        <v>0</v>
      </c>
    </row>
    <row r="122" ht="47.25" customHeight="1" spans="1:50" s="56" customFormat="1" x14ac:dyDescent="0.25">
      <c r="A122" s="100"/>
      <c r="B122" s="100"/>
      <c r="C122" s="100"/>
      <c r="D122" s="100"/>
      <c r="E122" s="100"/>
      <c r="F122" s="100"/>
      <c r="G122" s="103"/>
      <c r="H122" s="186"/>
      <c r="I122" s="195">
        <v>0.51</v>
      </c>
      <c r="J122" s="107">
        <v>0.49</v>
      </c>
      <c r="K122" s="107"/>
      <c r="L122" s="107"/>
      <c r="M122" s="187"/>
      <c r="N122" s="169">
        <f t="shared" si="29"/>
        <v>1</v>
      </c>
      <c r="O122" s="144">
        <v>1</v>
      </c>
      <c r="P122" s="145">
        <v>15</v>
      </c>
      <c r="Q122" s="113">
        <v>15</v>
      </c>
      <c r="R122" s="113"/>
      <c r="S122" s="113"/>
      <c r="T122" s="146"/>
      <c r="U122" s="148">
        <f t="shared" si="17"/>
        <v>15</v>
      </c>
      <c r="V122" s="149">
        <f t="shared" si="18"/>
        <v>15</v>
      </c>
      <c r="W122" s="189"/>
      <c r="X122" s="199"/>
      <c r="Y122" s="151"/>
      <c r="Z122" s="190"/>
      <c r="AA122" s="153"/>
      <c r="AB122" s="154">
        <f t="shared" si="19"/>
        <v>0</v>
      </c>
      <c r="AC122" s="149">
        <f t="shared" si="20"/>
        <v>0</v>
      </c>
      <c r="AD122" s="125">
        <v>2</v>
      </c>
      <c r="AE122" s="148">
        <f t="shared" si="21"/>
        <v>2</v>
      </c>
      <c r="AF122" s="156"/>
      <c r="AG122" s="156"/>
      <c r="AH122" s="113">
        <f t="shared" si="22"/>
        <v>17</v>
      </c>
      <c r="AI122" s="157">
        <v>65</v>
      </c>
      <c r="AJ122" s="113">
        <f t="shared" si="23"/>
        <v>82</v>
      </c>
      <c r="AK122" s="113">
        <f t="shared" si="24"/>
        <v>82</v>
      </c>
      <c r="AL122" s="158">
        <f t="shared" si="25"/>
        <v>1.02</v>
      </c>
      <c r="AM122" s="159"/>
      <c r="AN122" s="160">
        <f t="shared" si="28"/>
        <v>1</v>
      </c>
      <c r="AO122" s="160">
        <f t="shared" si="28"/>
        <v>2</v>
      </c>
      <c r="AP122" s="133"/>
      <c r="AQ122" s="134"/>
      <c r="AR122" s="161"/>
      <c r="AS122" s="161"/>
      <c r="AT122" s="161"/>
      <c r="AU122" s="161"/>
      <c r="AV122" s="162"/>
      <c r="AW122" s="137">
        <f t="shared" si="26"/>
        <v>0</v>
      </c>
      <c r="AX122" s="137">
        <f t="shared" si="27"/>
        <v>0</v>
      </c>
    </row>
    <row r="123" ht="46.5" customHeight="1" spans="1:50" s="97" customFormat="1" x14ac:dyDescent="0.25">
      <c r="A123" s="100"/>
      <c r="B123" s="100"/>
      <c r="C123" s="100"/>
      <c r="D123" s="100"/>
      <c r="E123" s="100"/>
      <c r="F123" s="100"/>
      <c r="G123" s="103"/>
      <c r="H123" s="186"/>
      <c r="I123" s="195">
        <v>0.51</v>
      </c>
      <c r="J123" s="107">
        <v>0.49</v>
      </c>
      <c r="K123" s="107"/>
      <c r="L123" s="107"/>
      <c r="M123" s="187"/>
      <c r="N123" s="169">
        <f t="shared" si="29"/>
        <v>1</v>
      </c>
      <c r="O123" s="144">
        <v>1</v>
      </c>
      <c r="P123" s="145">
        <v>15</v>
      </c>
      <c r="Q123" s="113">
        <v>15</v>
      </c>
      <c r="R123" s="113"/>
      <c r="S123" s="113"/>
      <c r="T123" s="146"/>
      <c r="U123" s="148">
        <f t="shared" si="17"/>
        <v>15</v>
      </c>
      <c r="V123" s="149">
        <f t="shared" si="18"/>
        <v>15</v>
      </c>
      <c r="W123" s="189"/>
      <c r="X123" s="199"/>
      <c r="Y123" s="151"/>
      <c r="Z123" s="190"/>
      <c r="AA123" s="153"/>
      <c r="AB123" s="154">
        <f t="shared" si="19"/>
        <v>0</v>
      </c>
      <c r="AC123" s="149">
        <f t="shared" si="20"/>
        <v>0</v>
      </c>
      <c r="AD123" s="125">
        <v>2</v>
      </c>
      <c r="AE123" s="148">
        <f t="shared" si="21"/>
        <v>2</v>
      </c>
      <c r="AF123" s="156"/>
      <c r="AG123" s="156"/>
      <c r="AH123" s="113">
        <f t="shared" si="22"/>
        <v>17</v>
      </c>
      <c r="AI123" s="157">
        <v>65</v>
      </c>
      <c r="AJ123" s="113">
        <f t="shared" si="23"/>
        <v>82</v>
      </c>
      <c r="AK123" s="113">
        <f t="shared" si="24"/>
        <v>82</v>
      </c>
      <c r="AL123" s="158">
        <f t="shared" si="25"/>
        <v>1.02</v>
      </c>
      <c r="AM123" s="159"/>
      <c r="AN123" s="160">
        <f t="shared" ref="AN123:AO142" si="30">100%+AM123</f>
        <v>1</v>
      </c>
      <c r="AO123" s="160">
        <f t="shared" si="30"/>
        <v>2</v>
      </c>
      <c r="AP123" s="133"/>
      <c r="AQ123" s="134"/>
      <c r="AR123" s="161"/>
      <c r="AS123" s="161"/>
      <c r="AT123" s="161"/>
      <c r="AU123" s="161"/>
      <c r="AV123" s="162"/>
      <c r="AW123" s="137">
        <f t="shared" si="26"/>
        <v>0</v>
      </c>
      <c r="AX123" s="137">
        <f t="shared" si="27"/>
        <v>0</v>
      </c>
    </row>
    <row r="124" ht="46.5" customHeight="1" spans="1:50" s="97" customFormat="1" x14ac:dyDescent="0.25">
      <c r="A124" s="100"/>
      <c r="B124" s="100"/>
      <c r="C124" s="100"/>
      <c r="D124" s="100"/>
      <c r="E124" s="100"/>
      <c r="F124" s="100"/>
      <c r="G124" s="103"/>
      <c r="H124" s="186"/>
      <c r="I124" s="195">
        <v>0.51</v>
      </c>
      <c r="J124" s="107">
        <v>0.49</v>
      </c>
      <c r="K124" s="107"/>
      <c r="L124" s="107"/>
      <c r="M124" s="187"/>
      <c r="N124" s="169">
        <f t="shared" si="29"/>
        <v>1</v>
      </c>
      <c r="O124" s="144">
        <v>1</v>
      </c>
      <c r="P124" s="145">
        <v>15</v>
      </c>
      <c r="Q124" s="113">
        <v>15</v>
      </c>
      <c r="R124" s="113"/>
      <c r="S124" s="113"/>
      <c r="T124" s="146"/>
      <c r="U124" s="148">
        <f t="shared" si="17"/>
        <v>15</v>
      </c>
      <c r="V124" s="149">
        <f t="shared" si="18"/>
        <v>15</v>
      </c>
      <c r="W124" s="189"/>
      <c r="X124" s="199"/>
      <c r="Y124" s="151"/>
      <c r="Z124" s="190"/>
      <c r="AA124" s="153"/>
      <c r="AB124" s="154">
        <f t="shared" si="19"/>
        <v>0</v>
      </c>
      <c r="AC124" s="149">
        <f t="shared" si="20"/>
        <v>0</v>
      </c>
      <c r="AD124" s="125">
        <v>2</v>
      </c>
      <c r="AE124" s="148">
        <f t="shared" si="21"/>
        <v>2</v>
      </c>
      <c r="AF124" s="156"/>
      <c r="AG124" s="156"/>
      <c r="AH124" s="113">
        <f t="shared" si="22"/>
        <v>17</v>
      </c>
      <c r="AI124" s="157">
        <v>65</v>
      </c>
      <c r="AJ124" s="113">
        <f t="shared" si="23"/>
        <v>82</v>
      </c>
      <c r="AK124" s="113">
        <f t="shared" si="24"/>
        <v>82</v>
      </c>
      <c r="AL124" s="158">
        <f t="shared" si="25"/>
        <v>1.02</v>
      </c>
      <c r="AM124" s="159"/>
      <c r="AN124" s="160">
        <f t="shared" si="30"/>
        <v>1</v>
      </c>
      <c r="AO124" s="160">
        <f t="shared" si="30"/>
        <v>2</v>
      </c>
      <c r="AP124" s="133"/>
      <c r="AQ124" s="134"/>
      <c r="AR124" s="161"/>
      <c r="AS124" s="161"/>
      <c r="AT124" s="161"/>
      <c r="AU124" s="161"/>
      <c r="AV124" s="162"/>
      <c r="AW124" s="137">
        <f t="shared" si="26"/>
        <v>0</v>
      </c>
      <c r="AX124" s="137">
        <f t="shared" si="27"/>
        <v>0</v>
      </c>
    </row>
    <row r="125" ht="46.5" customHeight="1" spans="1:50" s="97" customFormat="1" x14ac:dyDescent="0.25">
      <c r="A125" s="100"/>
      <c r="B125" s="100"/>
      <c r="C125" s="100"/>
      <c r="D125" s="100"/>
      <c r="E125" s="100"/>
      <c r="F125" s="100"/>
      <c r="G125" s="103"/>
      <c r="H125" s="186"/>
      <c r="I125" s="195">
        <v>0.51</v>
      </c>
      <c r="J125" s="107">
        <v>0.49</v>
      </c>
      <c r="K125" s="107"/>
      <c r="L125" s="107"/>
      <c r="M125" s="187"/>
      <c r="N125" s="169">
        <f t="shared" si="29"/>
        <v>1</v>
      </c>
      <c r="O125" s="144">
        <v>1</v>
      </c>
      <c r="P125" s="145">
        <v>15</v>
      </c>
      <c r="Q125" s="113">
        <v>15</v>
      </c>
      <c r="R125" s="113"/>
      <c r="S125" s="113"/>
      <c r="T125" s="146"/>
      <c r="U125" s="148">
        <f t="shared" si="17"/>
        <v>15</v>
      </c>
      <c r="V125" s="149">
        <f t="shared" si="18"/>
        <v>15</v>
      </c>
      <c r="W125" s="189"/>
      <c r="X125" s="199"/>
      <c r="Y125" s="151"/>
      <c r="Z125" s="190"/>
      <c r="AA125" s="153"/>
      <c r="AB125" s="154">
        <f t="shared" si="19"/>
        <v>0</v>
      </c>
      <c r="AC125" s="149">
        <f t="shared" si="20"/>
        <v>0</v>
      </c>
      <c r="AD125" s="125">
        <v>2</v>
      </c>
      <c r="AE125" s="148">
        <f t="shared" si="21"/>
        <v>2</v>
      </c>
      <c r="AF125" s="156"/>
      <c r="AG125" s="156"/>
      <c r="AH125" s="113">
        <f t="shared" si="22"/>
        <v>17</v>
      </c>
      <c r="AI125" s="157">
        <v>65</v>
      </c>
      <c r="AJ125" s="113">
        <f t="shared" si="23"/>
        <v>82</v>
      </c>
      <c r="AK125" s="113">
        <f t="shared" si="24"/>
        <v>82</v>
      </c>
      <c r="AL125" s="158">
        <f t="shared" si="25"/>
        <v>1.02</v>
      </c>
      <c r="AM125" s="159"/>
      <c r="AN125" s="160">
        <f t="shared" si="30"/>
        <v>1</v>
      </c>
      <c r="AO125" s="160">
        <f t="shared" si="30"/>
        <v>2</v>
      </c>
      <c r="AP125" s="133"/>
      <c r="AQ125" s="134"/>
      <c r="AR125" s="161"/>
      <c r="AS125" s="161"/>
      <c r="AT125" s="161"/>
      <c r="AU125" s="161"/>
      <c r="AV125" s="162"/>
      <c r="AW125" s="137">
        <f t="shared" si="26"/>
        <v>0</v>
      </c>
      <c r="AX125" s="137">
        <f t="shared" si="27"/>
        <v>0</v>
      </c>
    </row>
    <row r="126" ht="53.25" customHeight="1" spans="1:50" s="97" customFormat="1" x14ac:dyDescent="0.25">
      <c r="A126" s="100"/>
      <c r="B126" s="100"/>
      <c r="C126" s="100"/>
      <c r="D126" s="100"/>
      <c r="E126" s="100"/>
      <c r="F126" s="100"/>
      <c r="G126" s="103"/>
      <c r="H126" s="186"/>
      <c r="I126" s="195">
        <v>0.51</v>
      </c>
      <c r="J126" s="107">
        <v>0.49</v>
      </c>
      <c r="K126" s="107"/>
      <c r="L126" s="107"/>
      <c r="M126" s="187"/>
      <c r="N126" s="169">
        <f t="shared" si="29"/>
        <v>1</v>
      </c>
      <c r="O126" s="144">
        <v>1</v>
      </c>
      <c r="P126" s="145">
        <v>15</v>
      </c>
      <c r="Q126" s="113">
        <v>15</v>
      </c>
      <c r="R126" s="113"/>
      <c r="S126" s="113"/>
      <c r="T126" s="146"/>
      <c r="U126" s="148">
        <f t="shared" si="17"/>
        <v>15</v>
      </c>
      <c r="V126" s="149">
        <f t="shared" si="18"/>
        <v>15</v>
      </c>
      <c r="W126" s="189"/>
      <c r="X126" s="199"/>
      <c r="Y126" s="151"/>
      <c r="Z126" s="190"/>
      <c r="AA126" s="153"/>
      <c r="AB126" s="154">
        <f t="shared" si="19"/>
        <v>0</v>
      </c>
      <c r="AC126" s="149">
        <f t="shared" si="20"/>
        <v>0</v>
      </c>
      <c r="AD126" s="125">
        <v>2</v>
      </c>
      <c r="AE126" s="148">
        <f t="shared" si="21"/>
        <v>2</v>
      </c>
      <c r="AF126" s="156"/>
      <c r="AG126" s="156"/>
      <c r="AH126" s="113">
        <f t="shared" si="22"/>
        <v>17</v>
      </c>
      <c r="AI126" s="157">
        <v>65</v>
      </c>
      <c r="AJ126" s="113">
        <f t="shared" si="23"/>
        <v>82</v>
      </c>
      <c r="AK126" s="113">
        <f t="shared" si="24"/>
        <v>82</v>
      </c>
      <c r="AL126" s="158">
        <f t="shared" si="25"/>
        <v>1.02</v>
      </c>
      <c r="AM126" s="159"/>
      <c r="AN126" s="160">
        <f t="shared" si="30"/>
        <v>1</v>
      </c>
      <c r="AO126" s="160">
        <f t="shared" si="30"/>
        <v>2</v>
      </c>
      <c r="AP126" s="133"/>
      <c r="AQ126" s="134"/>
      <c r="AR126" s="161"/>
      <c r="AS126" s="161"/>
      <c r="AT126" s="161"/>
      <c r="AU126" s="161"/>
      <c r="AV126" s="162"/>
      <c r="AW126" s="137">
        <f t="shared" si="26"/>
        <v>0</v>
      </c>
      <c r="AX126" s="137">
        <f t="shared" si="27"/>
        <v>0</v>
      </c>
    </row>
    <row r="127" ht="46.5" customHeight="1" spans="1:50" s="97" customFormat="1" x14ac:dyDescent="0.25">
      <c r="A127" s="100"/>
      <c r="B127" s="100"/>
      <c r="C127" s="100"/>
      <c r="D127" s="100"/>
      <c r="E127" s="100"/>
      <c r="F127" s="100"/>
      <c r="G127" s="103"/>
      <c r="H127" s="186"/>
      <c r="I127" s="195">
        <v>0.51</v>
      </c>
      <c r="J127" s="107">
        <v>0.49</v>
      </c>
      <c r="K127" s="107"/>
      <c r="L127" s="107"/>
      <c r="M127" s="187"/>
      <c r="N127" s="169">
        <f t="shared" si="29"/>
        <v>1</v>
      </c>
      <c r="O127" s="144">
        <v>1</v>
      </c>
      <c r="P127" s="145">
        <v>15</v>
      </c>
      <c r="Q127" s="113">
        <v>15</v>
      </c>
      <c r="R127" s="113"/>
      <c r="S127" s="113"/>
      <c r="T127" s="146"/>
      <c r="U127" s="148">
        <f t="shared" si="17"/>
        <v>15</v>
      </c>
      <c r="V127" s="149">
        <f t="shared" si="18"/>
        <v>15</v>
      </c>
      <c r="W127" s="189"/>
      <c r="X127" s="199"/>
      <c r="Y127" s="151"/>
      <c r="Z127" s="190"/>
      <c r="AA127" s="153"/>
      <c r="AB127" s="154">
        <f t="shared" si="19"/>
        <v>0</v>
      </c>
      <c r="AC127" s="149">
        <f t="shared" si="20"/>
        <v>0</v>
      </c>
      <c r="AD127" s="125">
        <v>2</v>
      </c>
      <c r="AE127" s="148">
        <f t="shared" si="21"/>
        <v>2</v>
      </c>
      <c r="AF127" s="156"/>
      <c r="AG127" s="156"/>
      <c r="AH127" s="113">
        <f t="shared" si="22"/>
        <v>17</v>
      </c>
      <c r="AI127" s="157">
        <v>65</v>
      </c>
      <c r="AJ127" s="113">
        <f t="shared" si="23"/>
        <v>82</v>
      </c>
      <c r="AK127" s="113">
        <f t="shared" si="24"/>
        <v>82</v>
      </c>
      <c r="AL127" s="158">
        <f t="shared" si="25"/>
        <v>1.02</v>
      </c>
      <c r="AM127" s="159"/>
      <c r="AN127" s="160">
        <f t="shared" si="30"/>
        <v>1</v>
      </c>
      <c r="AO127" s="160">
        <f t="shared" si="30"/>
        <v>2</v>
      </c>
      <c r="AP127" s="133"/>
      <c r="AQ127" s="134"/>
      <c r="AR127" s="161"/>
      <c r="AS127" s="161"/>
      <c r="AT127" s="161"/>
      <c r="AU127" s="161"/>
      <c r="AV127" s="162"/>
      <c r="AW127" s="137">
        <f t="shared" si="26"/>
        <v>0</v>
      </c>
      <c r="AX127" s="137">
        <f t="shared" si="27"/>
        <v>0</v>
      </c>
    </row>
    <row r="128" ht="46.5" customHeight="1" spans="1:50" s="97" customFormat="1" x14ac:dyDescent="0.25">
      <c r="A128" s="100"/>
      <c r="B128" s="100"/>
      <c r="C128" s="100"/>
      <c r="D128" s="100"/>
      <c r="E128" s="100"/>
      <c r="F128" s="100"/>
      <c r="G128" s="103"/>
      <c r="H128" s="186"/>
      <c r="I128" s="195">
        <v>0.51</v>
      </c>
      <c r="J128" s="107">
        <v>0.49</v>
      </c>
      <c r="K128" s="107"/>
      <c r="L128" s="107"/>
      <c r="M128" s="187"/>
      <c r="N128" s="169">
        <f t="shared" si="29"/>
        <v>1</v>
      </c>
      <c r="O128" s="144">
        <v>1</v>
      </c>
      <c r="P128" s="145">
        <v>15</v>
      </c>
      <c r="Q128" s="113">
        <v>15</v>
      </c>
      <c r="R128" s="113"/>
      <c r="S128" s="113"/>
      <c r="T128" s="146"/>
      <c r="U128" s="148">
        <f t="shared" si="17"/>
        <v>15</v>
      </c>
      <c r="V128" s="149">
        <f t="shared" si="18"/>
        <v>15</v>
      </c>
      <c r="W128" s="189"/>
      <c r="X128" s="199"/>
      <c r="Y128" s="151"/>
      <c r="Z128" s="190"/>
      <c r="AA128" s="153"/>
      <c r="AB128" s="154">
        <f t="shared" si="19"/>
        <v>0</v>
      </c>
      <c r="AC128" s="149">
        <f t="shared" si="20"/>
        <v>0</v>
      </c>
      <c r="AD128" s="125">
        <v>2</v>
      </c>
      <c r="AE128" s="148">
        <f t="shared" si="21"/>
        <v>2</v>
      </c>
      <c r="AF128" s="156"/>
      <c r="AG128" s="156"/>
      <c r="AH128" s="113">
        <f t="shared" si="22"/>
        <v>17</v>
      </c>
      <c r="AI128" s="157">
        <v>65</v>
      </c>
      <c r="AJ128" s="113">
        <f t="shared" si="23"/>
        <v>82</v>
      </c>
      <c r="AK128" s="113">
        <f t="shared" si="24"/>
        <v>82</v>
      </c>
      <c r="AL128" s="158">
        <f t="shared" si="25"/>
        <v>1.02</v>
      </c>
      <c r="AM128" s="159"/>
      <c r="AN128" s="160">
        <f t="shared" si="30"/>
        <v>1</v>
      </c>
      <c r="AO128" s="160">
        <f t="shared" si="30"/>
        <v>2</v>
      </c>
      <c r="AP128" s="133"/>
      <c r="AQ128" s="134"/>
      <c r="AR128" s="161"/>
      <c r="AS128" s="161"/>
      <c r="AT128" s="161"/>
      <c r="AU128" s="161"/>
      <c r="AV128" s="162"/>
      <c r="AW128" s="137">
        <f t="shared" si="26"/>
        <v>0</v>
      </c>
      <c r="AX128" s="137">
        <f t="shared" si="27"/>
        <v>0</v>
      </c>
    </row>
    <row r="129" ht="46.5" customHeight="1" spans="1:50" s="97" customFormat="1" x14ac:dyDescent="0.25">
      <c r="A129" s="100"/>
      <c r="B129" s="100"/>
      <c r="C129" s="100"/>
      <c r="D129" s="100"/>
      <c r="E129" s="100"/>
      <c r="F129" s="100"/>
      <c r="G129" s="103"/>
      <c r="H129" s="186"/>
      <c r="I129" s="195">
        <v>0.51</v>
      </c>
      <c r="J129" s="107">
        <v>0.49</v>
      </c>
      <c r="K129" s="107"/>
      <c r="L129" s="107"/>
      <c r="M129" s="187"/>
      <c r="N129" s="169">
        <f t="shared" si="29"/>
        <v>1</v>
      </c>
      <c r="O129" s="144">
        <v>1</v>
      </c>
      <c r="P129" s="145">
        <v>15</v>
      </c>
      <c r="Q129" s="113">
        <v>15</v>
      </c>
      <c r="R129" s="113"/>
      <c r="S129" s="113"/>
      <c r="T129" s="146"/>
      <c r="U129" s="148">
        <f t="shared" si="17"/>
        <v>15</v>
      </c>
      <c r="V129" s="149">
        <f t="shared" si="18"/>
        <v>15</v>
      </c>
      <c r="W129" s="189"/>
      <c r="X129" s="199"/>
      <c r="Y129" s="151"/>
      <c r="Z129" s="190"/>
      <c r="AA129" s="153"/>
      <c r="AB129" s="154">
        <f t="shared" si="19"/>
        <v>0</v>
      </c>
      <c r="AC129" s="149">
        <f t="shared" si="20"/>
        <v>0</v>
      </c>
      <c r="AD129" s="125">
        <v>2</v>
      </c>
      <c r="AE129" s="148">
        <f t="shared" si="21"/>
        <v>2</v>
      </c>
      <c r="AF129" s="156"/>
      <c r="AG129" s="156"/>
      <c r="AH129" s="113">
        <f t="shared" si="22"/>
        <v>17</v>
      </c>
      <c r="AI129" s="157">
        <v>65</v>
      </c>
      <c r="AJ129" s="113">
        <f t="shared" si="23"/>
        <v>82</v>
      </c>
      <c r="AK129" s="113">
        <f t="shared" si="24"/>
        <v>82</v>
      </c>
      <c r="AL129" s="158">
        <f t="shared" si="25"/>
        <v>1.02</v>
      </c>
      <c r="AM129" s="159"/>
      <c r="AN129" s="160">
        <f t="shared" si="30"/>
        <v>1</v>
      </c>
      <c r="AO129" s="160">
        <f t="shared" si="30"/>
        <v>2</v>
      </c>
      <c r="AP129" s="133"/>
      <c r="AQ129" s="134"/>
      <c r="AR129" s="161"/>
      <c r="AS129" s="161"/>
      <c r="AT129" s="161"/>
      <c r="AU129" s="161"/>
      <c r="AV129" s="162"/>
      <c r="AW129" s="137">
        <f t="shared" si="26"/>
        <v>0</v>
      </c>
      <c r="AX129" s="137">
        <f t="shared" si="27"/>
        <v>0</v>
      </c>
    </row>
    <row r="130" ht="47.25" customHeight="1" spans="1:50" s="56" customFormat="1" x14ac:dyDescent="0.25">
      <c r="A130" s="100"/>
      <c r="B130" s="100"/>
      <c r="C130" s="100"/>
      <c r="D130" s="100"/>
      <c r="E130" s="100"/>
      <c r="F130" s="100"/>
      <c r="G130" s="103"/>
      <c r="H130" s="186"/>
      <c r="I130" s="195">
        <v>0.51</v>
      </c>
      <c r="J130" s="107">
        <v>0.49</v>
      </c>
      <c r="K130" s="107"/>
      <c r="L130" s="107"/>
      <c r="M130" s="187"/>
      <c r="N130" s="169">
        <f t="shared" si="29"/>
        <v>1</v>
      </c>
      <c r="O130" s="144">
        <v>1</v>
      </c>
      <c r="P130" s="145">
        <v>15</v>
      </c>
      <c r="Q130" s="113">
        <v>15</v>
      </c>
      <c r="R130" s="113"/>
      <c r="S130" s="113"/>
      <c r="T130" s="146"/>
      <c r="U130" s="148">
        <f t="shared" si="17"/>
        <v>15</v>
      </c>
      <c r="V130" s="149">
        <f t="shared" si="18"/>
        <v>15</v>
      </c>
      <c r="W130" s="189"/>
      <c r="X130" s="199"/>
      <c r="Y130" s="151"/>
      <c r="Z130" s="190"/>
      <c r="AA130" s="153"/>
      <c r="AB130" s="154">
        <f t="shared" si="19"/>
        <v>0</v>
      </c>
      <c r="AC130" s="149">
        <f t="shared" si="20"/>
        <v>0</v>
      </c>
      <c r="AD130" s="125">
        <v>2</v>
      </c>
      <c r="AE130" s="148">
        <f t="shared" si="21"/>
        <v>2</v>
      </c>
      <c r="AF130" s="156"/>
      <c r="AG130" s="156"/>
      <c r="AH130" s="113">
        <f t="shared" si="22"/>
        <v>17</v>
      </c>
      <c r="AI130" s="157">
        <v>65</v>
      </c>
      <c r="AJ130" s="113">
        <f t="shared" si="23"/>
        <v>82</v>
      </c>
      <c r="AK130" s="113">
        <f t="shared" si="24"/>
        <v>82</v>
      </c>
      <c r="AL130" s="158">
        <f t="shared" si="25"/>
        <v>1.02</v>
      </c>
      <c r="AM130" s="159"/>
      <c r="AN130" s="160">
        <f t="shared" si="30"/>
        <v>1</v>
      </c>
      <c r="AO130" s="160">
        <f t="shared" si="30"/>
        <v>2</v>
      </c>
      <c r="AP130" s="133"/>
      <c r="AQ130" s="134"/>
      <c r="AR130" s="161"/>
      <c r="AS130" s="161"/>
      <c r="AT130" s="161"/>
      <c r="AU130" s="161"/>
      <c r="AV130" s="162"/>
      <c r="AW130" s="137">
        <f t="shared" si="26"/>
        <v>0</v>
      </c>
      <c r="AX130" s="137">
        <f t="shared" si="27"/>
        <v>0</v>
      </c>
    </row>
    <row r="131" ht="47.25" customHeight="1" spans="1:50" s="56" customFormat="1" x14ac:dyDescent="0.25">
      <c r="A131" s="100"/>
      <c r="B131" s="100"/>
      <c r="C131" s="100"/>
      <c r="D131" s="100"/>
      <c r="E131" s="100"/>
      <c r="F131" s="100"/>
      <c r="G131" s="103"/>
      <c r="H131" s="186"/>
      <c r="I131" s="195">
        <v>0.51</v>
      </c>
      <c r="J131" s="107">
        <v>0.49</v>
      </c>
      <c r="K131" s="107"/>
      <c r="L131" s="107"/>
      <c r="M131" s="187"/>
      <c r="N131" s="169">
        <f t="shared" si="29"/>
        <v>1</v>
      </c>
      <c r="O131" s="144">
        <v>1</v>
      </c>
      <c r="P131" s="145">
        <v>15</v>
      </c>
      <c r="Q131" s="113">
        <v>15</v>
      </c>
      <c r="R131" s="113"/>
      <c r="S131" s="113"/>
      <c r="T131" s="146"/>
      <c r="U131" s="148">
        <f t="shared" si="17"/>
        <v>15</v>
      </c>
      <c r="V131" s="149">
        <f t="shared" si="18"/>
        <v>15</v>
      </c>
      <c r="W131" s="189"/>
      <c r="X131" s="199"/>
      <c r="Y131" s="151"/>
      <c r="Z131" s="190"/>
      <c r="AA131" s="153"/>
      <c r="AB131" s="154">
        <f t="shared" si="19"/>
        <v>0</v>
      </c>
      <c r="AC131" s="149">
        <f t="shared" si="20"/>
        <v>0</v>
      </c>
      <c r="AD131" s="125">
        <v>2</v>
      </c>
      <c r="AE131" s="148">
        <f t="shared" si="21"/>
        <v>2</v>
      </c>
      <c r="AF131" s="156"/>
      <c r="AG131" s="156"/>
      <c r="AH131" s="113">
        <f t="shared" si="22"/>
        <v>17</v>
      </c>
      <c r="AI131" s="157">
        <v>65</v>
      </c>
      <c r="AJ131" s="113">
        <f t="shared" si="23"/>
        <v>82</v>
      </c>
      <c r="AK131" s="113">
        <f t="shared" si="24"/>
        <v>82</v>
      </c>
      <c r="AL131" s="158">
        <f t="shared" si="25"/>
        <v>1.02</v>
      </c>
      <c r="AM131" s="159"/>
      <c r="AN131" s="160">
        <f t="shared" si="30"/>
        <v>1</v>
      </c>
      <c r="AO131" s="160">
        <f t="shared" si="30"/>
        <v>2</v>
      </c>
      <c r="AP131" s="133"/>
      <c r="AQ131" s="134"/>
      <c r="AR131" s="161"/>
      <c r="AS131" s="161"/>
      <c r="AT131" s="161"/>
      <c r="AU131" s="161"/>
      <c r="AV131" s="162"/>
      <c r="AW131" s="137">
        <f t="shared" si="26"/>
        <v>0</v>
      </c>
      <c r="AX131" s="137">
        <f t="shared" si="27"/>
        <v>0</v>
      </c>
    </row>
    <row r="132" ht="46.5" customHeight="1" spans="1:50" s="97" customFormat="1" x14ac:dyDescent="0.25">
      <c r="A132" s="100"/>
      <c r="B132" s="100"/>
      <c r="C132" s="100"/>
      <c r="D132" s="100"/>
      <c r="E132" s="100"/>
      <c r="F132" s="100"/>
      <c r="G132" s="103"/>
      <c r="H132" s="186"/>
      <c r="I132" s="195">
        <v>0.51</v>
      </c>
      <c r="J132" s="107">
        <v>0.49</v>
      </c>
      <c r="K132" s="107"/>
      <c r="L132" s="107"/>
      <c r="M132" s="187"/>
      <c r="N132" s="169">
        <f t="shared" si="29"/>
        <v>1</v>
      </c>
      <c r="O132" s="144">
        <v>1</v>
      </c>
      <c r="P132" s="145">
        <v>15</v>
      </c>
      <c r="Q132" s="113">
        <v>15</v>
      </c>
      <c r="R132" s="113"/>
      <c r="S132" s="113"/>
      <c r="T132" s="146"/>
      <c r="U132" s="148">
        <f t="shared" si="17"/>
        <v>15</v>
      </c>
      <c r="V132" s="149">
        <f t="shared" si="18"/>
        <v>15</v>
      </c>
      <c r="W132" s="189"/>
      <c r="X132" s="199"/>
      <c r="Y132" s="151"/>
      <c r="Z132" s="190"/>
      <c r="AA132" s="153"/>
      <c r="AB132" s="154">
        <f t="shared" si="19"/>
        <v>0</v>
      </c>
      <c r="AC132" s="149">
        <f t="shared" si="20"/>
        <v>0</v>
      </c>
      <c r="AD132" s="125">
        <v>2</v>
      </c>
      <c r="AE132" s="148">
        <f t="shared" si="21"/>
        <v>2</v>
      </c>
      <c r="AF132" s="156"/>
      <c r="AG132" s="156"/>
      <c r="AH132" s="113">
        <f t="shared" si="22"/>
        <v>17</v>
      </c>
      <c r="AI132" s="157">
        <v>65</v>
      </c>
      <c r="AJ132" s="113">
        <f t="shared" si="23"/>
        <v>82</v>
      </c>
      <c r="AK132" s="113">
        <f t="shared" si="24"/>
        <v>82</v>
      </c>
      <c r="AL132" s="158">
        <f t="shared" si="25"/>
        <v>1.02</v>
      </c>
      <c r="AM132" s="159"/>
      <c r="AN132" s="160">
        <f t="shared" si="30"/>
        <v>1</v>
      </c>
      <c r="AO132" s="160">
        <f t="shared" si="30"/>
        <v>2</v>
      </c>
      <c r="AP132" s="133"/>
      <c r="AQ132" s="134"/>
      <c r="AR132" s="161"/>
      <c r="AS132" s="161"/>
      <c r="AT132" s="161"/>
      <c r="AU132" s="161"/>
      <c r="AV132" s="162"/>
      <c r="AW132" s="137">
        <f t="shared" si="26"/>
        <v>0</v>
      </c>
      <c r="AX132" s="137">
        <f t="shared" si="27"/>
        <v>0</v>
      </c>
    </row>
    <row r="133" ht="47.25" customHeight="1" spans="1:50" s="56" customFormat="1" x14ac:dyDescent="0.25">
      <c r="A133" s="100"/>
      <c r="B133" s="100"/>
      <c r="C133" s="100"/>
      <c r="D133" s="100"/>
      <c r="E133" s="100"/>
      <c r="F133" s="100"/>
      <c r="G133" s="103"/>
      <c r="H133" s="186"/>
      <c r="I133" s="195">
        <v>0.51</v>
      </c>
      <c r="J133" s="107">
        <v>0.49</v>
      </c>
      <c r="K133" s="107"/>
      <c r="L133" s="107"/>
      <c r="M133" s="187"/>
      <c r="N133" s="169">
        <f t="shared" si="29"/>
        <v>1</v>
      </c>
      <c r="O133" s="144">
        <v>1</v>
      </c>
      <c r="P133" s="145">
        <v>15</v>
      </c>
      <c r="Q133" s="113">
        <v>15</v>
      </c>
      <c r="R133" s="113"/>
      <c r="S133" s="113"/>
      <c r="T133" s="146"/>
      <c r="U133" s="148">
        <f t="shared" si="17"/>
        <v>15</v>
      </c>
      <c r="V133" s="149">
        <f t="shared" si="18"/>
        <v>15</v>
      </c>
      <c r="W133" s="189"/>
      <c r="X133" s="199"/>
      <c r="Y133" s="151"/>
      <c r="Z133" s="190"/>
      <c r="AA133" s="153"/>
      <c r="AB133" s="154">
        <f t="shared" si="19"/>
        <v>0</v>
      </c>
      <c r="AC133" s="149">
        <f t="shared" si="20"/>
        <v>0</v>
      </c>
      <c r="AD133" s="125">
        <v>2</v>
      </c>
      <c r="AE133" s="148">
        <f t="shared" si="21"/>
        <v>2</v>
      </c>
      <c r="AF133" s="156"/>
      <c r="AG133" s="156"/>
      <c r="AH133" s="113">
        <f t="shared" si="22"/>
        <v>17</v>
      </c>
      <c r="AI133" s="157">
        <v>65</v>
      </c>
      <c r="AJ133" s="113">
        <f t="shared" si="23"/>
        <v>82</v>
      </c>
      <c r="AK133" s="113">
        <f t="shared" si="24"/>
        <v>82</v>
      </c>
      <c r="AL133" s="158">
        <f t="shared" si="25"/>
        <v>1.02</v>
      </c>
      <c r="AM133" s="159"/>
      <c r="AN133" s="160">
        <f t="shared" si="30"/>
        <v>1</v>
      </c>
      <c r="AO133" s="160">
        <f t="shared" si="30"/>
        <v>2</v>
      </c>
      <c r="AP133" s="133"/>
      <c r="AQ133" s="134"/>
      <c r="AR133" s="161"/>
      <c r="AS133" s="161"/>
      <c r="AT133" s="161"/>
      <c r="AU133" s="161"/>
      <c r="AV133" s="162"/>
      <c r="AW133" s="137">
        <f t="shared" si="26"/>
        <v>0</v>
      </c>
      <c r="AX133" s="137">
        <f t="shared" si="27"/>
        <v>0</v>
      </c>
    </row>
    <row r="134" ht="47.25" customHeight="1" spans="1:50" s="97" customFormat="1" x14ac:dyDescent="0.25">
      <c r="A134" s="100"/>
      <c r="B134" s="100"/>
      <c r="C134" s="100"/>
      <c r="D134" s="100"/>
      <c r="E134" s="100"/>
      <c r="F134" s="100"/>
      <c r="G134" s="103"/>
      <c r="H134" s="186"/>
      <c r="I134" s="195">
        <v>0.51</v>
      </c>
      <c r="J134" s="107">
        <v>0.49</v>
      </c>
      <c r="K134" s="107"/>
      <c r="L134" s="107"/>
      <c r="M134" s="187"/>
      <c r="N134" s="169">
        <f t="shared" si="29"/>
        <v>1</v>
      </c>
      <c r="O134" s="144">
        <v>1</v>
      </c>
      <c r="P134" s="145">
        <v>15</v>
      </c>
      <c r="Q134" s="113">
        <v>15</v>
      </c>
      <c r="R134" s="113"/>
      <c r="S134" s="113"/>
      <c r="T134" s="146"/>
      <c r="U134" s="148">
        <f t="shared" si="17"/>
        <v>15</v>
      </c>
      <c r="V134" s="149">
        <f t="shared" si="18"/>
        <v>15</v>
      </c>
      <c r="W134" s="189"/>
      <c r="X134" s="199"/>
      <c r="Y134" s="151"/>
      <c r="Z134" s="190"/>
      <c r="AA134" s="153"/>
      <c r="AB134" s="154">
        <f t="shared" si="19"/>
        <v>0</v>
      </c>
      <c r="AC134" s="149">
        <f t="shared" si="20"/>
        <v>0</v>
      </c>
      <c r="AD134" s="125">
        <v>2</v>
      </c>
      <c r="AE134" s="148">
        <f t="shared" si="21"/>
        <v>2</v>
      </c>
      <c r="AF134" s="156"/>
      <c r="AG134" s="156"/>
      <c r="AH134" s="113">
        <f t="shared" si="22"/>
        <v>17</v>
      </c>
      <c r="AI134" s="157">
        <v>65</v>
      </c>
      <c r="AJ134" s="113">
        <f t="shared" si="23"/>
        <v>82</v>
      </c>
      <c r="AK134" s="113">
        <f t="shared" si="24"/>
        <v>82</v>
      </c>
      <c r="AL134" s="158">
        <f t="shared" si="25"/>
        <v>1.02</v>
      </c>
      <c r="AM134" s="159"/>
      <c r="AN134" s="160">
        <f t="shared" si="30"/>
        <v>1</v>
      </c>
      <c r="AO134" s="160">
        <f t="shared" si="30"/>
        <v>2</v>
      </c>
      <c r="AP134" s="133"/>
      <c r="AQ134" s="134"/>
      <c r="AR134" s="161"/>
      <c r="AS134" s="161"/>
      <c r="AT134" s="161"/>
      <c r="AU134" s="161"/>
      <c r="AV134" s="162"/>
      <c r="AW134" s="137">
        <f t="shared" si="26"/>
        <v>0</v>
      </c>
      <c r="AX134" s="137">
        <f t="shared" si="27"/>
        <v>0</v>
      </c>
    </row>
    <row r="135" ht="47.25" customHeight="1" spans="1:50" s="97" customFormat="1" x14ac:dyDescent="0.25">
      <c r="A135" s="100"/>
      <c r="B135" s="100"/>
      <c r="C135" s="100"/>
      <c r="D135" s="100"/>
      <c r="E135" s="100"/>
      <c r="F135" s="100"/>
      <c r="G135" s="103"/>
      <c r="H135" s="186"/>
      <c r="I135" s="195">
        <v>0.51</v>
      </c>
      <c r="J135" s="107">
        <v>0.49</v>
      </c>
      <c r="K135" s="107"/>
      <c r="L135" s="107"/>
      <c r="M135" s="187"/>
      <c r="N135" s="169">
        <f t="shared" si="29"/>
        <v>1</v>
      </c>
      <c r="O135" s="144">
        <v>1</v>
      </c>
      <c r="P135" s="145">
        <v>15</v>
      </c>
      <c r="Q135" s="113">
        <v>15</v>
      </c>
      <c r="R135" s="113"/>
      <c r="S135" s="113"/>
      <c r="T135" s="146"/>
      <c r="U135" s="148">
        <f t="shared" si="17"/>
        <v>15</v>
      </c>
      <c r="V135" s="149">
        <f t="shared" si="18"/>
        <v>15</v>
      </c>
      <c r="W135" s="189"/>
      <c r="X135" s="199"/>
      <c r="Y135" s="151"/>
      <c r="Z135" s="190"/>
      <c r="AA135" s="153"/>
      <c r="AB135" s="154">
        <f t="shared" si="19"/>
        <v>0</v>
      </c>
      <c r="AC135" s="149">
        <f t="shared" si="20"/>
        <v>0</v>
      </c>
      <c r="AD135" s="125">
        <v>2</v>
      </c>
      <c r="AE135" s="148">
        <f t="shared" si="21"/>
        <v>2</v>
      </c>
      <c r="AF135" s="156"/>
      <c r="AG135" s="156"/>
      <c r="AH135" s="113">
        <f t="shared" si="22"/>
        <v>17</v>
      </c>
      <c r="AI135" s="157">
        <v>65</v>
      </c>
      <c r="AJ135" s="113">
        <f t="shared" si="23"/>
        <v>82</v>
      </c>
      <c r="AK135" s="113">
        <f t="shared" si="24"/>
        <v>82</v>
      </c>
      <c r="AL135" s="158">
        <f t="shared" si="25"/>
        <v>1.02</v>
      </c>
      <c r="AM135" s="159"/>
      <c r="AN135" s="160">
        <f t="shared" si="30"/>
        <v>1</v>
      </c>
      <c r="AO135" s="160">
        <f t="shared" si="30"/>
        <v>2</v>
      </c>
      <c r="AP135" s="133"/>
      <c r="AQ135" s="134"/>
      <c r="AR135" s="161"/>
      <c r="AS135" s="161"/>
      <c r="AT135" s="161"/>
      <c r="AU135" s="161"/>
      <c r="AV135" s="162"/>
      <c r="AW135" s="137">
        <f t="shared" si="26"/>
        <v>0</v>
      </c>
      <c r="AX135" s="137">
        <f t="shared" si="27"/>
        <v>0</v>
      </c>
    </row>
    <row r="136" ht="46.5" customHeight="1" spans="1:50" s="97" customFormat="1" x14ac:dyDescent="0.25">
      <c r="A136" s="100"/>
      <c r="B136" s="100"/>
      <c r="C136" s="100"/>
      <c r="D136" s="100"/>
      <c r="E136" s="100"/>
      <c r="F136" s="100"/>
      <c r="G136" s="103"/>
      <c r="H136" s="186"/>
      <c r="I136" s="195">
        <v>0.51</v>
      </c>
      <c r="J136" s="107">
        <v>0.49</v>
      </c>
      <c r="K136" s="107"/>
      <c r="L136" s="107"/>
      <c r="M136" s="187"/>
      <c r="N136" s="169">
        <f t="shared" si="29"/>
        <v>1</v>
      </c>
      <c r="O136" s="144">
        <v>1</v>
      </c>
      <c r="P136" s="145">
        <v>15</v>
      </c>
      <c r="Q136" s="113">
        <v>15</v>
      </c>
      <c r="R136" s="113"/>
      <c r="S136" s="113"/>
      <c r="T136" s="146"/>
      <c r="U136" s="148">
        <f t="shared" si="17"/>
        <v>15</v>
      </c>
      <c r="V136" s="149">
        <f t="shared" si="18"/>
        <v>15</v>
      </c>
      <c r="W136" s="189"/>
      <c r="X136" s="199"/>
      <c r="Y136" s="151"/>
      <c r="Z136" s="190"/>
      <c r="AA136" s="153"/>
      <c r="AB136" s="154">
        <f t="shared" si="19"/>
        <v>0</v>
      </c>
      <c r="AC136" s="149">
        <f t="shared" si="20"/>
        <v>0</v>
      </c>
      <c r="AD136" s="125">
        <v>2</v>
      </c>
      <c r="AE136" s="148">
        <f t="shared" si="21"/>
        <v>2</v>
      </c>
      <c r="AF136" s="156"/>
      <c r="AG136" s="156"/>
      <c r="AH136" s="113">
        <f t="shared" si="22"/>
        <v>17</v>
      </c>
      <c r="AI136" s="157">
        <v>65</v>
      </c>
      <c r="AJ136" s="113">
        <f t="shared" si="23"/>
        <v>82</v>
      </c>
      <c r="AK136" s="113">
        <f t="shared" si="24"/>
        <v>82</v>
      </c>
      <c r="AL136" s="158">
        <f t="shared" si="25"/>
        <v>1.02</v>
      </c>
      <c r="AM136" s="159"/>
      <c r="AN136" s="160">
        <f t="shared" si="30"/>
        <v>1</v>
      </c>
      <c r="AO136" s="160">
        <f t="shared" si="30"/>
        <v>2</v>
      </c>
      <c r="AP136" s="133"/>
      <c r="AQ136" s="134"/>
      <c r="AR136" s="161"/>
      <c r="AS136" s="161"/>
      <c r="AT136" s="161"/>
      <c r="AU136" s="161"/>
      <c r="AV136" s="162"/>
      <c r="AW136" s="137">
        <f t="shared" si="26"/>
        <v>0</v>
      </c>
      <c r="AX136" s="137">
        <f t="shared" si="27"/>
        <v>0</v>
      </c>
    </row>
    <row r="137" ht="46.5" customHeight="1" spans="1:50" s="97" customFormat="1" x14ac:dyDescent="0.25">
      <c r="A137" s="100"/>
      <c r="B137" s="100"/>
      <c r="C137" s="100"/>
      <c r="D137" s="100"/>
      <c r="E137" s="100"/>
      <c r="F137" s="100"/>
      <c r="G137" s="103"/>
      <c r="H137" s="186"/>
      <c r="I137" s="195">
        <v>0.51</v>
      </c>
      <c r="J137" s="107">
        <v>0.49</v>
      </c>
      <c r="K137" s="107"/>
      <c r="L137" s="107"/>
      <c r="M137" s="187"/>
      <c r="N137" s="169">
        <f t="shared" si="29"/>
        <v>1</v>
      </c>
      <c r="O137" s="144">
        <v>1</v>
      </c>
      <c r="P137" s="145">
        <v>15</v>
      </c>
      <c r="Q137" s="113">
        <v>15</v>
      </c>
      <c r="R137" s="113"/>
      <c r="S137" s="113"/>
      <c r="T137" s="146"/>
      <c r="U137" s="148">
        <f t="shared" si="17"/>
        <v>15</v>
      </c>
      <c r="V137" s="149">
        <f t="shared" si="18"/>
        <v>15</v>
      </c>
      <c r="W137" s="189"/>
      <c r="X137" s="199"/>
      <c r="Y137" s="151"/>
      <c r="Z137" s="190"/>
      <c r="AA137" s="153"/>
      <c r="AB137" s="154">
        <f t="shared" si="19"/>
        <v>0</v>
      </c>
      <c r="AC137" s="149">
        <f t="shared" si="20"/>
        <v>0</v>
      </c>
      <c r="AD137" s="125">
        <v>2</v>
      </c>
      <c r="AE137" s="148">
        <f t="shared" si="21"/>
        <v>2</v>
      </c>
      <c r="AF137" s="156"/>
      <c r="AG137" s="156"/>
      <c r="AH137" s="113">
        <f t="shared" si="22"/>
        <v>17</v>
      </c>
      <c r="AI137" s="157">
        <v>65</v>
      </c>
      <c r="AJ137" s="113">
        <f t="shared" si="23"/>
        <v>82</v>
      </c>
      <c r="AK137" s="113">
        <f t="shared" si="24"/>
        <v>82</v>
      </c>
      <c r="AL137" s="158">
        <f t="shared" si="25"/>
        <v>1.02</v>
      </c>
      <c r="AM137" s="159"/>
      <c r="AN137" s="160">
        <f t="shared" si="30"/>
        <v>1</v>
      </c>
      <c r="AO137" s="160">
        <f t="shared" si="30"/>
        <v>2</v>
      </c>
      <c r="AP137" s="133"/>
      <c r="AQ137" s="134"/>
      <c r="AR137" s="161"/>
      <c r="AS137" s="161"/>
      <c r="AT137" s="161"/>
      <c r="AU137" s="161"/>
      <c r="AV137" s="162"/>
      <c r="AW137" s="137">
        <f t="shared" si="26"/>
        <v>0</v>
      </c>
      <c r="AX137" s="137">
        <f t="shared" si="27"/>
        <v>0</v>
      </c>
    </row>
    <row r="138" ht="47.25" customHeight="1" spans="1:50" s="56" customFormat="1" x14ac:dyDescent="0.25">
      <c r="A138" s="100"/>
      <c r="B138" s="100"/>
      <c r="C138" s="100"/>
      <c r="D138" s="100"/>
      <c r="E138" s="100"/>
      <c r="F138" s="100"/>
      <c r="G138" s="103"/>
      <c r="H138" s="186"/>
      <c r="I138" s="195">
        <v>0.51</v>
      </c>
      <c r="J138" s="107">
        <v>0.49</v>
      </c>
      <c r="K138" s="107"/>
      <c r="L138" s="107"/>
      <c r="M138" s="187"/>
      <c r="N138" s="169">
        <f t="shared" si="29"/>
        <v>1</v>
      </c>
      <c r="O138" s="144">
        <v>1</v>
      </c>
      <c r="P138" s="145">
        <v>15</v>
      </c>
      <c r="Q138" s="113">
        <v>15</v>
      </c>
      <c r="R138" s="113"/>
      <c r="S138" s="113"/>
      <c r="T138" s="146"/>
      <c r="U138" s="148">
        <f t="shared" si="17"/>
        <v>15</v>
      </c>
      <c r="V138" s="149">
        <f t="shared" si="18"/>
        <v>15</v>
      </c>
      <c r="W138" s="189"/>
      <c r="X138" s="199"/>
      <c r="Y138" s="151"/>
      <c r="Z138" s="190"/>
      <c r="AA138" s="153"/>
      <c r="AB138" s="154">
        <f t="shared" si="19"/>
        <v>0</v>
      </c>
      <c r="AC138" s="149">
        <f t="shared" si="20"/>
        <v>0</v>
      </c>
      <c r="AD138" s="125">
        <v>2</v>
      </c>
      <c r="AE138" s="148">
        <f t="shared" si="21"/>
        <v>2</v>
      </c>
      <c r="AF138" s="156"/>
      <c r="AG138" s="156"/>
      <c r="AH138" s="113">
        <f t="shared" si="22"/>
        <v>17</v>
      </c>
      <c r="AI138" s="157">
        <v>65</v>
      </c>
      <c r="AJ138" s="113">
        <f t="shared" si="23"/>
        <v>82</v>
      </c>
      <c r="AK138" s="113">
        <f t="shared" si="24"/>
        <v>82</v>
      </c>
      <c r="AL138" s="158">
        <f t="shared" si="25"/>
        <v>1.02</v>
      </c>
      <c r="AM138" s="159"/>
      <c r="AN138" s="160">
        <f t="shared" si="30"/>
        <v>1</v>
      </c>
      <c r="AO138" s="160">
        <f t="shared" si="30"/>
        <v>2</v>
      </c>
      <c r="AP138" s="133"/>
      <c r="AQ138" s="134"/>
      <c r="AR138" s="161"/>
      <c r="AS138" s="161"/>
      <c r="AT138" s="161"/>
      <c r="AU138" s="161"/>
      <c r="AV138" s="162"/>
      <c r="AW138" s="137">
        <f t="shared" si="26"/>
        <v>0</v>
      </c>
      <c r="AX138" s="137">
        <f t="shared" si="27"/>
        <v>0</v>
      </c>
    </row>
    <row r="139" ht="46.5" customHeight="1" spans="1:50" s="97" customFormat="1" x14ac:dyDescent="0.25">
      <c r="A139" s="100"/>
      <c r="B139" s="100"/>
      <c r="C139" s="100"/>
      <c r="D139" s="100"/>
      <c r="E139" s="100"/>
      <c r="F139" s="100"/>
      <c r="G139" s="103"/>
      <c r="H139" s="186"/>
      <c r="I139" s="195">
        <v>0.51</v>
      </c>
      <c r="J139" s="107">
        <v>0.49</v>
      </c>
      <c r="K139" s="107"/>
      <c r="L139" s="107"/>
      <c r="M139" s="187"/>
      <c r="N139" s="169">
        <f t="shared" si="29"/>
        <v>1</v>
      </c>
      <c r="O139" s="144">
        <v>1</v>
      </c>
      <c r="P139" s="145">
        <v>15</v>
      </c>
      <c r="Q139" s="113">
        <v>15</v>
      </c>
      <c r="R139" s="113"/>
      <c r="S139" s="113"/>
      <c r="T139" s="146"/>
      <c r="U139" s="148">
        <f t="shared" si="17"/>
        <v>15</v>
      </c>
      <c r="V139" s="149">
        <f t="shared" si="18"/>
        <v>15</v>
      </c>
      <c r="W139" s="189"/>
      <c r="X139" s="199"/>
      <c r="Y139" s="151"/>
      <c r="Z139" s="190"/>
      <c r="AA139" s="153"/>
      <c r="AB139" s="154">
        <f t="shared" si="19"/>
        <v>0</v>
      </c>
      <c r="AC139" s="149">
        <f t="shared" si="20"/>
        <v>0</v>
      </c>
      <c r="AD139" s="125">
        <v>2</v>
      </c>
      <c r="AE139" s="148">
        <f t="shared" si="21"/>
        <v>2</v>
      </c>
      <c r="AF139" s="156"/>
      <c r="AG139" s="156"/>
      <c r="AH139" s="113">
        <f t="shared" si="22"/>
        <v>17</v>
      </c>
      <c r="AI139" s="157">
        <v>65</v>
      </c>
      <c r="AJ139" s="113">
        <f t="shared" si="23"/>
        <v>82</v>
      </c>
      <c r="AK139" s="113">
        <f t="shared" si="24"/>
        <v>82</v>
      </c>
      <c r="AL139" s="158">
        <f t="shared" si="25"/>
        <v>1.02</v>
      </c>
      <c r="AM139" s="159"/>
      <c r="AN139" s="160">
        <f t="shared" si="30"/>
        <v>1</v>
      </c>
      <c r="AO139" s="160">
        <f t="shared" si="30"/>
        <v>2</v>
      </c>
      <c r="AP139" s="133"/>
      <c r="AQ139" s="134"/>
      <c r="AR139" s="161"/>
      <c r="AS139" s="161"/>
      <c r="AT139" s="161"/>
      <c r="AU139" s="161"/>
      <c r="AV139" s="162"/>
      <c r="AW139" s="137">
        <f t="shared" si="26"/>
        <v>0</v>
      </c>
      <c r="AX139" s="137">
        <f t="shared" si="27"/>
        <v>0</v>
      </c>
    </row>
    <row r="140" ht="47.25" customHeight="1" spans="1:50" s="56" customFormat="1" x14ac:dyDescent="0.25">
      <c r="A140" s="100"/>
      <c r="B140" s="100"/>
      <c r="C140" s="100"/>
      <c r="D140" s="100"/>
      <c r="E140" s="100"/>
      <c r="F140" s="100"/>
      <c r="G140" s="103"/>
      <c r="H140" s="186"/>
      <c r="I140" s="195">
        <v>0.51</v>
      </c>
      <c r="J140" s="107">
        <v>0.49</v>
      </c>
      <c r="K140" s="107"/>
      <c r="L140" s="107"/>
      <c r="M140" s="187"/>
      <c r="N140" s="169">
        <f t="shared" si="29"/>
        <v>1</v>
      </c>
      <c r="O140" s="144">
        <v>1</v>
      </c>
      <c r="P140" s="145">
        <v>15</v>
      </c>
      <c r="Q140" s="113">
        <v>15</v>
      </c>
      <c r="R140" s="113"/>
      <c r="S140" s="113"/>
      <c r="T140" s="146"/>
      <c r="U140" s="148">
        <f t="shared" si="17"/>
        <v>15</v>
      </c>
      <c r="V140" s="149">
        <f t="shared" si="18"/>
        <v>15</v>
      </c>
      <c r="W140" s="189"/>
      <c r="X140" s="199"/>
      <c r="Y140" s="151"/>
      <c r="Z140" s="190"/>
      <c r="AA140" s="153"/>
      <c r="AB140" s="154">
        <f t="shared" si="19"/>
        <v>0</v>
      </c>
      <c r="AC140" s="149">
        <f t="shared" si="20"/>
        <v>0</v>
      </c>
      <c r="AD140" s="125">
        <v>2</v>
      </c>
      <c r="AE140" s="148">
        <f t="shared" si="21"/>
        <v>2</v>
      </c>
      <c r="AF140" s="156"/>
      <c r="AG140" s="156"/>
      <c r="AH140" s="113">
        <f t="shared" si="22"/>
        <v>17</v>
      </c>
      <c r="AI140" s="157">
        <v>65</v>
      </c>
      <c r="AJ140" s="113">
        <f t="shared" si="23"/>
        <v>82</v>
      </c>
      <c r="AK140" s="113">
        <f t="shared" si="24"/>
        <v>82</v>
      </c>
      <c r="AL140" s="158">
        <f t="shared" si="25"/>
        <v>1.02</v>
      </c>
      <c r="AM140" s="159"/>
      <c r="AN140" s="160">
        <f t="shared" si="30"/>
        <v>1</v>
      </c>
      <c r="AO140" s="160">
        <f t="shared" si="30"/>
        <v>2</v>
      </c>
      <c r="AP140" s="133"/>
      <c r="AQ140" s="134"/>
      <c r="AR140" s="161"/>
      <c r="AS140" s="161"/>
      <c r="AT140" s="161"/>
      <c r="AU140" s="161"/>
      <c r="AV140" s="162"/>
      <c r="AW140" s="137">
        <f t="shared" si="26"/>
        <v>0</v>
      </c>
      <c r="AX140" s="137">
        <f t="shared" si="27"/>
        <v>0</v>
      </c>
    </row>
    <row r="141" ht="46.5" customHeight="1" spans="1:50" s="97" customFormat="1" x14ac:dyDescent="0.25">
      <c r="A141" s="100"/>
      <c r="B141" s="100"/>
      <c r="C141" s="100"/>
      <c r="D141" s="100"/>
      <c r="E141" s="100"/>
      <c r="F141" s="100"/>
      <c r="G141" s="103"/>
      <c r="H141" s="186"/>
      <c r="I141" s="195">
        <v>0.51</v>
      </c>
      <c r="J141" s="107">
        <v>0.49</v>
      </c>
      <c r="K141" s="107"/>
      <c r="L141" s="107"/>
      <c r="M141" s="187"/>
      <c r="N141" s="169">
        <f t="shared" si="29"/>
        <v>1</v>
      </c>
      <c r="O141" s="144">
        <v>1</v>
      </c>
      <c r="P141" s="145">
        <v>15</v>
      </c>
      <c r="Q141" s="113">
        <v>15</v>
      </c>
      <c r="R141" s="113"/>
      <c r="S141" s="113"/>
      <c r="T141" s="146"/>
      <c r="U141" s="148">
        <f t="shared" si="17"/>
        <v>15</v>
      </c>
      <c r="V141" s="149">
        <f t="shared" si="18"/>
        <v>15</v>
      </c>
      <c r="W141" s="189"/>
      <c r="X141" s="199"/>
      <c r="Y141" s="151"/>
      <c r="Z141" s="190"/>
      <c r="AA141" s="153"/>
      <c r="AB141" s="154">
        <f t="shared" si="19"/>
        <v>0</v>
      </c>
      <c r="AC141" s="149">
        <f t="shared" si="20"/>
        <v>0</v>
      </c>
      <c r="AD141" s="125">
        <v>2</v>
      </c>
      <c r="AE141" s="148">
        <f t="shared" si="21"/>
        <v>2</v>
      </c>
      <c r="AF141" s="156"/>
      <c r="AG141" s="156"/>
      <c r="AH141" s="113">
        <f t="shared" si="22"/>
        <v>17</v>
      </c>
      <c r="AI141" s="157">
        <v>65</v>
      </c>
      <c r="AJ141" s="113">
        <f t="shared" si="23"/>
        <v>82</v>
      </c>
      <c r="AK141" s="113">
        <f t="shared" si="24"/>
        <v>82</v>
      </c>
      <c r="AL141" s="158">
        <f t="shared" si="25"/>
        <v>1.02</v>
      </c>
      <c r="AM141" s="159"/>
      <c r="AN141" s="160">
        <f t="shared" si="30"/>
        <v>1</v>
      </c>
      <c r="AO141" s="160">
        <f t="shared" si="30"/>
        <v>2</v>
      </c>
      <c r="AP141" s="133"/>
      <c r="AQ141" s="134"/>
      <c r="AR141" s="161"/>
      <c r="AS141" s="161"/>
      <c r="AT141" s="161"/>
      <c r="AU141" s="161"/>
      <c r="AV141" s="162"/>
      <c r="AW141" s="137">
        <f t="shared" si="26"/>
        <v>0</v>
      </c>
      <c r="AX141" s="137">
        <f t="shared" si="27"/>
        <v>0</v>
      </c>
    </row>
    <row r="142" ht="46.5" customHeight="1" spans="1:50" s="97" customFormat="1" x14ac:dyDescent="0.25">
      <c r="A142" s="100"/>
      <c r="B142" s="100"/>
      <c r="C142" s="100"/>
      <c r="D142" s="100"/>
      <c r="E142" s="100"/>
      <c r="F142" s="100"/>
      <c r="G142" s="103"/>
      <c r="H142" s="186"/>
      <c r="I142" s="195">
        <v>0.51</v>
      </c>
      <c r="J142" s="107">
        <v>0.49</v>
      </c>
      <c r="K142" s="107"/>
      <c r="L142" s="107"/>
      <c r="M142" s="187"/>
      <c r="N142" s="169">
        <f t="shared" si="29"/>
        <v>1</v>
      </c>
      <c r="O142" s="144">
        <v>1</v>
      </c>
      <c r="P142" s="145">
        <v>15</v>
      </c>
      <c r="Q142" s="113">
        <v>15</v>
      </c>
      <c r="R142" s="113"/>
      <c r="S142" s="113"/>
      <c r="T142" s="146"/>
      <c r="U142" s="148">
        <f t="shared" si="17"/>
        <v>15</v>
      </c>
      <c r="V142" s="149">
        <f t="shared" si="18"/>
        <v>15</v>
      </c>
      <c r="W142" s="189"/>
      <c r="X142" s="199"/>
      <c r="Y142" s="151"/>
      <c r="Z142" s="190"/>
      <c r="AA142" s="153"/>
      <c r="AB142" s="154">
        <f t="shared" si="19"/>
        <v>0</v>
      </c>
      <c r="AC142" s="149">
        <f t="shared" si="20"/>
        <v>0</v>
      </c>
      <c r="AD142" s="125">
        <v>2</v>
      </c>
      <c r="AE142" s="148">
        <f t="shared" si="21"/>
        <v>2</v>
      </c>
      <c r="AF142" s="156"/>
      <c r="AG142" s="156"/>
      <c r="AH142" s="113">
        <f t="shared" si="22"/>
        <v>17</v>
      </c>
      <c r="AI142" s="157">
        <v>65</v>
      </c>
      <c r="AJ142" s="113">
        <f t="shared" si="23"/>
        <v>82</v>
      </c>
      <c r="AK142" s="113">
        <f t="shared" si="24"/>
        <v>82</v>
      </c>
      <c r="AL142" s="158">
        <f t="shared" si="25"/>
        <v>1.02</v>
      </c>
      <c r="AM142" s="159"/>
      <c r="AN142" s="160">
        <f t="shared" si="30"/>
        <v>1</v>
      </c>
      <c r="AO142" s="160">
        <f t="shared" si="30"/>
        <v>2</v>
      </c>
      <c r="AP142" s="133"/>
      <c r="AQ142" s="134"/>
      <c r="AR142" s="161"/>
      <c r="AS142" s="161"/>
      <c r="AT142" s="161"/>
      <c r="AU142" s="161"/>
      <c r="AV142" s="162"/>
      <c r="AW142" s="137">
        <f t="shared" si="26"/>
        <v>0</v>
      </c>
      <c r="AX142" s="137">
        <f t="shared" si="27"/>
        <v>0</v>
      </c>
    </row>
    <row r="143" ht="47.25" customHeight="1" spans="1:50" s="97" customFormat="1" x14ac:dyDescent="0.25">
      <c r="A143" s="100"/>
      <c r="B143" s="100"/>
      <c r="C143" s="100"/>
      <c r="D143" s="100"/>
      <c r="E143" s="100"/>
      <c r="F143" s="100"/>
      <c r="G143" s="103"/>
      <c r="H143" s="186"/>
      <c r="I143" s="195">
        <v>0.51</v>
      </c>
      <c r="J143" s="107">
        <v>0.49</v>
      </c>
      <c r="K143" s="107"/>
      <c r="L143" s="107"/>
      <c r="M143" s="187"/>
      <c r="N143" s="169">
        <f t="shared" si="29"/>
        <v>1</v>
      </c>
      <c r="O143" s="144">
        <v>1</v>
      </c>
      <c r="P143" s="145">
        <v>15</v>
      </c>
      <c r="Q143" s="113">
        <v>15</v>
      </c>
      <c r="R143" s="113"/>
      <c r="S143" s="113"/>
      <c r="T143" s="146"/>
      <c r="U143" s="148">
        <f t="shared" si="17"/>
        <v>15</v>
      </c>
      <c r="V143" s="149">
        <f t="shared" si="18"/>
        <v>15</v>
      </c>
      <c r="W143" s="189"/>
      <c r="X143" s="199"/>
      <c r="Y143" s="151"/>
      <c r="Z143" s="190"/>
      <c r="AA143" s="153"/>
      <c r="AB143" s="154">
        <f t="shared" si="19"/>
        <v>0</v>
      </c>
      <c r="AC143" s="149">
        <f t="shared" si="20"/>
        <v>0</v>
      </c>
      <c r="AD143" s="125">
        <v>2</v>
      </c>
      <c r="AE143" s="148">
        <f t="shared" si="21"/>
        <v>2</v>
      </c>
      <c r="AF143" s="156"/>
      <c r="AG143" s="156"/>
      <c r="AH143" s="113">
        <f t="shared" si="22"/>
        <v>17</v>
      </c>
      <c r="AI143" s="157">
        <v>65</v>
      </c>
      <c r="AJ143" s="113">
        <f t="shared" si="23"/>
        <v>82</v>
      </c>
      <c r="AK143" s="113">
        <f t="shared" si="24"/>
        <v>82</v>
      </c>
      <c r="AL143" s="158">
        <f t="shared" si="25"/>
        <v>1.02</v>
      </c>
      <c r="AM143" s="159"/>
      <c r="AN143" s="160">
        <f t="shared" ref="AN143:AO148" si="31">100%+AM143</f>
        <v>1</v>
      </c>
      <c r="AO143" s="160">
        <f t="shared" si="31"/>
        <v>2</v>
      </c>
      <c r="AP143" s="133"/>
      <c r="AQ143" s="134"/>
      <c r="AR143" s="161"/>
      <c r="AS143" s="161"/>
      <c r="AT143" s="161"/>
      <c r="AU143" s="161"/>
      <c r="AV143" s="162"/>
      <c r="AW143" s="137">
        <f t="shared" si="26"/>
        <v>0</v>
      </c>
      <c r="AX143" s="137">
        <f t="shared" si="27"/>
        <v>0</v>
      </c>
    </row>
    <row r="144" ht="47.25" customHeight="1" spans="1:50" s="56" customFormat="1" x14ac:dyDescent="0.25">
      <c r="A144" s="100"/>
      <c r="B144" s="100"/>
      <c r="C144" s="100"/>
      <c r="D144" s="100"/>
      <c r="E144" s="100"/>
      <c r="F144" s="100"/>
      <c r="G144" s="103"/>
      <c r="H144" s="186"/>
      <c r="I144" s="195">
        <v>0.51</v>
      </c>
      <c r="J144" s="107">
        <v>0.49</v>
      </c>
      <c r="K144" s="107"/>
      <c r="L144" s="107"/>
      <c r="M144" s="187"/>
      <c r="N144" s="169">
        <f t="shared" si="29"/>
        <v>1</v>
      </c>
      <c r="O144" s="144">
        <v>1</v>
      </c>
      <c r="P144" s="145">
        <v>15</v>
      </c>
      <c r="Q144" s="113">
        <v>15</v>
      </c>
      <c r="R144" s="113"/>
      <c r="S144" s="113"/>
      <c r="T144" s="146"/>
      <c r="U144" s="148">
        <f t="shared" si="17"/>
        <v>15</v>
      </c>
      <c r="V144" s="149">
        <f t="shared" si="18"/>
        <v>15</v>
      </c>
      <c r="W144" s="189"/>
      <c r="X144" s="199"/>
      <c r="Y144" s="151"/>
      <c r="Z144" s="190"/>
      <c r="AA144" s="153"/>
      <c r="AB144" s="154">
        <f t="shared" si="19"/>
        <v>0</v>
      </c>
      <c r="AC144" s="149">
        <f t="shared" si="20"/>
        <v>0</v>
      </c>
      <c r="AD144" s="125">
        <v>2</v>
      </c>
      <c r="AE144" s="148">
        <f t="shared" si="21"/>
        <v>2</v>
      </c>
      <c r="AF144" s="156"/>
      <c r="AG144" s="156"/>
      <c r="AH144" s="113">
        <f t="shared" si="22"/>
        <v>17</v>
      </c>
      <c r="AI144" s="157">
        <v>65</v>
      </c>
      <c r="AJ144" s="113">
        <f t="shared" si="23"/>
        <v>82</v>
      </c>
      <c r="AK144" s="113">
        <f t="shared" si="24"/>
        <v>82</v>
      </c>
      <c r="AL144" s="158">
        <f t="shared" si="25"/>
        <v>1.02</v>
      </c>
      <c r="AM144" s="159"/>
      <c r="AN144" s="160">
        <f t="shared" si="31"/>
        <v>1</v>
      </c>
      <c r="AO144" s="160">
        <f t="shared" si="31"/>
        <v>2</v>
      </c>
      <c r="AP144" s="133"/>
      <c r="AQ144" s="134"/>
      <c r="AR144" s="161"/>
      <c r="AS144" s="161"/>
      <c r="AT144" s="161"/>
      <c r="AU144" s="161"/>
      <c r="AV144" s="162"/>
      <c r="AW144" s="137">
        <f t="shared" si="26"/>
        <v>0</v>
      </c>
      <c r="AX144" s="137">
        <f t="shared" si="27"/>
        <v>0</v>
      </c>
    </row>
    <row r="145" ht="46.5" customHeight="1" spans="1:50" s="97" customFormat="1" x14ac:dyDescent="0.25">
      <c r="A145" s="100"/>
      <c r="B145" s="100"/>
      <c r="C145" s="100"/>
      <c r="D145" s="100"/>
      <c r="E145" s="100"/>
      <c r="F145" s="100"/>
      <c r="G145" s="103"/>
      <c r="H145" s="186"/>
      <c r="I145" s="195">
        <v>0.51</v>
      </c>
      <c r="J145" s="107">
        <v>0.49</v>
      </c>
      <c r="K145" s="107"/>
      <c r="L145" s="107"/>
      <c r="M145" s="187"/>
      <c r="N145" s="169">
        <f t="shared" si="29"/>
        <v>1</v>
      </c>
      <c r="O145" s="144">
        <v>1</v>
      </c>
      <c r="P145" s="145">
        <v>15</v>
      </c>
      <c r="Q145" s="113">
        <v>15</v>
      </c>
      <c r="R145" s="113"/>
      <c r="S145" s="113"/>
      <c r="T145" s="146"/>
      <c r="U145" s="148">
        <f t="shared" si="17"/>
        <v>15</v>
      </c>
      <c r="V145" s="149">
        <f t="shared" si="18"/>
        <v>15</v>
      </c>
      <c r="W145" s="189"/>
      <c r="X145" s="199"/>
      <c r="Y145" s="151"/>
      <c r="Z145" s="190"/>
      <c r="AA145" s="153"/>
      <c r="AB145" s="154">
        <f t="shared" si="19"/>
        <v>0</v>
      </c>
      <c r="AC145" s="149">
        <f t="shared" si="20"/>
        <v>0</v>
      </c>
      <c r="AD145" s="125">
        <v>2</v>
      </c>
      <c r="AE145" s="148">
        <f t="shared" si="21"/>
        <v>2</v>
      </c>
      <c r="AF145" s="156"/>
      <c r="AG145" s="156"/>
      <c r="AH145" s="113">
        <f t="shared" si="22"/>
        <v>17</v>
      </c>
      <c r="AI145" s="157">
        <v>65</v>
      </c>
      <c r="AJ145" s="113">
        <f t="shared" si="23"/>
        <v>82</v>
      </c>
      <c r="AK145" s="113">
        <f t="shared" si="24"/>
        <v>82</v>
      </c>
      <c r="AL145" s="158">
        <f t="shared" si="25"/>
        <v>1.02</v>
      </c>
      <c r="AM145" s="159"/>
      <c r="AN145" s="160">
        <f t="shared" si="31"/>
        <v>1</v>
      </c>
      <c r="AO145" s="160">
        <f t="shared" si="31"/>
        <v>2</v>
      </c>
      <c r="AP145" s="133"/>
      <c r="AQ145" s="134"/>
      <c r="AR145" s="161"/>
      <c r="AS145" s="161"/>
      <c r="AT145" s="161"/>
      <c r="AU145" s="161"/>
      <c r="AV145" s="162"/>
      <c r="AW145" s="137">
        <f t="shared" si="26"/>
        <v>0</v>
      </c>
      <c r="AX145" s="137">
        <f t="shared" si="27"/>
        <v>0</v>
      </c>
    </row>
    <row r="146" ht="47.25" customHeight="1" spans="1:50" s="56" customFormat="1" x14ac:dyDescent="0.25">
      <c r="A146" s="100"/>
      <c r="B146" s="100"/>
      <c r="C146" s="100"/>
      <c r="D146" s="100"/>
      <c r="E146" s="100"/>
      <c r="F146" s="100"/>
      <c r="G146" s="103"/>
      <c r="H146" s="186"/>
      <c r="I146" s="195">
        <v>0.51</v>
      </c>
      <c r="J146" s="107">
        <v>0.49</v>
      </c>
      <c r="K146" s="107"/>
      <c r="L146" s="107"/>
      <c r="M146" s="187"/>
      <c r="N146" s="169">
        <f t="shared" si="29"/>
        <v>1</v>
      </c>
      <c r="O146" s="144">
        <v>1</v>
      </c>
      <c r="P146" s="145">
        <v>15</v>
      </c>
      <c r="Q146" s="113">
        <v>15</v>
      </c>
      <c r="R146" s="113"/>
      <c r="S146" s="113"/>
      <c r="T146" s="146"/>
      <c r="U146" s="148">
        <f t="shared" si="17"/>
        <v>15</v>
      </c>
      <c r="V146" s="149">
        <f t="shared" si="18"/>
        <v>15</v>
      </c>
      <c r="W146" s="189"/>
      <c r="X146" s="199"/>
      <c r="Y146" s="151"/>
      <c r="Z146" s="190"/>
      <c r="AA146" s="153"/>
      <c r="AB146" s="154">
        <f t="shared" si="19"/>
        <v>0</v>
      </c>
      <c r="AC146" s="149">
        <f t="shared" si="20"/>
        <v>0</v>
      </c>
      <c r="AD146" s="125">
        <v>2</v>
      </c>
      <c r="AE146" s="148">
        <f t="shared" si="21"/>
        <v>2</v>
      </c>
      <c r="AF146" s="156"/>
      <c r="AG146" s="156"/>
      <c r="AH146" s="113">
        <f t="shared" si="22"/>
        <v>17</v>
      </c>
      <c r="AI146" s="157">
        <v>65</v>
      </c>
      <c r="AJ146" s="113">
        <f t="shared" si="23"/>
        <v>82</v>
      </c>
      <c r="AK146" s="113">
        <f t="shared" si="24"/>
        <v>82</v>
      </c>
      <c r="AL146" s="158">
        <f t="shared" si="25"/>
        <v>1.02</v>
      </c>
      <c r="AM146" s="159"/>
      <c r="AN146" s="160">
        <f t="shared" si="31"/>
        <v>1</v>
      </c>
      <c r="AO146" s="160">
        <f t="shared" si="31"/>
        <v>2</v>
      </c>
      <c r="AP146" s="133"/>
      <c r="AQ146" s="134"/>
      <c r="AR146" s="161"/>
      <c r="AS146" s="161"/>
      <c r="AT146" s="161"/>
      <c r="AU146" s="161"/>
      <c r="AV146" s="162"/>
      <c r="AW146" s="137">
        <f t="shared" si="26"/>
        <v>0</v>
      </c>
      <c r="AX146" s="137">
        <f t="shared" si="27"/>
        <v>0</v>
      </c>
    </row>
    <row r="147" ht="47.25" customHeight="1" spans="1:50" s="97" customFormat="1" x14ac:dyDescent="0.25">
      <c r="A147" s="100"/>
      <c r="B147" s="100"/>
      <c r="C147" s="100"/>
      <c r="D147" s="100"/>
      <c r="E147" s="100"/>
      <c r="F147" s="100"/>
      <c r="G147" s="103"/>
      <c r="H147" s="186"/>
      <c r="I147" s="195">
        <v>0.51</v>
      </c>
      <c r="J147" s="107">
        <v>0.49</v>
      </c>
      <c r="K147" s="107"/>
      <c r="L147" s="107"/>
      <c r="M147" s="187"/>
      <c r="N147" s="169">
        <f t="shared" si="29"/>
        <v>1</v>
      </c>
      <c r="O147" s="144">
        <v>1</v>
      </c>
      <c r="P147" s="145">
        <v>15</v>
      </c>
      <c r="Q147" s="113">
        <v>15</v>
      </c>
      <c r="R147" s="113"/>
      <c r="S147" s="113"/>
      <c r="T147" s="146"/>
      <c r="U147" s="148">
        <f t="shared" si="17"/>
        <v>15</v>
      </c>
      <c r="V147" s="149">
        <f t="shared" si="18"/>
        <v>15</v>
      </c>
      <c r="W147" s="189"/>
      <c r="X147" s="199"/>
      <c r="Y147" s="151"/>
      <c r="Z147" s="190"/>
      <c r="AA147" s="153"/>
      <c r="AB147" s="154">
        <f t="shared" si="19"/>
        <v>0</v>
      </c>
      <c r="AC147" s="149">
        <f t="shared" si="20"/>
        <v>0</v>
      </c>
      <c r="AD147" s="125">
        <v>2</v>
      </c>
      <c r="AE147" s="148">
        <f t="shared" si="21"/>
        <v>2</v>
      </c>
      <c r="AF147" s="156"/>
      <c r="AG147" s="156"/>
      <c r="AH147" s="113">
        <f t="shared" si="22"/>
        <v>17</v>
      </c>
      <c r="AI147" s="157">
        <v>65</v>
      </c>
      <c r="AJ147" s="113">
        <f t="shared" si="23"/>
        <v>82</v>
      </c>
      <c r="AK147" s="113">
        <f t="shared" si="24"/>
        <v>82</v>
      </c>
      <c r="AL147" s="158">
        <f t="shared" si="25"/>
        <v>1.02</v>
      </c>
      <c r="AM147" s="159"/>
      <c r="AN147" s="160">
        <f t="shared" si="31"/>
        <v>1</v>
      </c>
      <c r="AO147" s="160">
        <f t="shared" si="31"/>
        <v>2</v>
      </c>
      <c r="AP147" s="133"/>
      <c r="AQ147" s="134"/>
      <c r="AR147" s="161"/>
      <c r="AS147" s="161"/>
      <c r="AT147" s="161"/>
      <c r="AU147" s="161"/>
      <c r="AV147" s="162"/>
      <c r="AW147" s="137">
        <f t="shared" si="26"/>
        <v>0</v>
      </c>
      <c r="AX147" s="137">
        <f t="shared" si="27"/>
        <v>0</v>
      </c>
    </row>
    <row r="148" ht="46.5" customHeight="1" spans="1:50" s="97" customFormat="1" x14ac:dyDescent="0.25">
      <c r="A148" s="100"/>
      <c r="B148" s="100"/>
      <c r="C148" s="100"/>
      <c r="D148" s="100"/>
      <c r="E148" s="100"/>
      <c r="F148" s="100"/>
      <c r="G148" s="103"/>
      <c r="H148" s="186"/>
      <c r="I148" s="195">
        <v>0.51</v>
      </c>
      <c r="J148" s="107">
        <v>0.49</v>
      </c>
      <c r="K148" s="107"/>
      <c r="L148" s="107"/>
      <c r="M148" s="187"/>
      <c r="N148" s="169">
        <f t="shared" si="29"/>
        <v>1</v>
      </c>
      <c r="O148" s="144">
        <v>1</v>
      </c>
      <c r="P148" s="145">
        <v>15</v>
      </c>
      <c r="Q148" s="113">
        <v>15</v>
      </c>
      <c r="R148" s="113"/>
      <c r="S148" s="113"/>
      <c r="T148" s="146"/>
      <c r="U148" s="148">
        <f t="shared" si="17"/>
        <v>15</v>
      </c>
      <c r="V148" s="149">
        <f t="shared" si="18"/>
        <v>15</v>
      </c>
      <c r="W148" s="189"/>
      <c r="X148" s="199"/>
      <c r="Y148" s="151"/>
      <c r="Z148" s="190"/>
      <c r="AA148" s="153"/>
      <c r="AB148" s="154">
        <f t="shared" si="19"/>
        <v>0</v>
      </c>
      <c r="AC148" s="149">
        <f t="shared" si="20"/>
        <v>0</v>
      </c>
      <c r="AD148" s="125">
        <v>2</v>
      </c>
      <c r="AE148" s="148">
        <f t="shared" si="21"/>
        <v>2</v>
      </c>
      <c r="AF148" s="156"/>
      <c r="AG148" s="156"/>
      <c r="AH148" s="113">
        <f t="shared" si="22"/>
        <v>17</v>
      </c>
      <c r="AI148" s="157">
        <v>65</v>
      </c>
      <c r="AJ148" s="113">
        <f t="shared" si="23"/>
        <v>82</v>
      </c>
      <c r="AK148" s="113">
        <f t="shared" si="24"/>
        <v>82</v>
      </c>
      <c r="AL148" s="158">
        <f t="shared" si="25"/>
        <v>1.02</v>
      </c>
      <c r="AM148" s="159"/>
      <c r="AN148" s="160">
        <f t="shared" si="31"/>
        <v>1</v>
      </c>
      <c r="AO148" s="160">
        <f t="shared" si="31"/>
        <v>2</v>
      </c>
      <c r="AP148" s="133"/>
      <c r="AQ148" s="134"/>
      <c r="AR148" s="161"/>
      <c r="AS148" s="161"/>
      <c r="AT148" s="161"/>
      <c r="AU148" s="161"/>
      <c r="AV148" s="162"/>
      <c r="AW148" s="137">
        <f t="shared" si="26"/>
        <v>0</v>
      </c>
      <c r="AX148" s="137">
        <f t="shared" si="27"/>
        <v>0</v>
      </c>
    </row>
  </sheetData>
  <mergeCells count="58">
    <mergeCell ref="D1:E1"/>
    <mergeCell ref="F1:G1"/>
    <mergeCell ref="I1:J1"/>
    <mergeCell ref="Y1:Z1"/>
    <mergeCell ref="AA1:AC1"/>
    <mergeCell ref="AD1:AE1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AG2:AH2"/>
    <mergeCell ref="AI2:AK2"/>
    <mergeCell ref="AS2:AT2"/>
    <mergeCell ref="C3:H3"/>
    <mergeCell ref="I3:M3"/>
    <mergeCell ref="P3:U3"/>
    <mergeCell ref="W3:AE3"/>
    <mergeCell ref="A3:A4"/>
    <mergeCell ref="B3:B4"/>
    <mergeCell ref="N3:N4"/>
    <mergeCell ref="O3:O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6:H6"/>
    <mergeCell ref="A8:H8"/>
    <mergeCell ref="A10:H10"/>
    <mergeCell ref="A12:H12"/>
    <mergeCell ref="A14:H14"/>
    <mergeCell ref="A16:H16"/>
    <mergeCell ref="A18:H18"/>
    <mergeCell ref="A20:H20"/>
    <mergeCell ref="A22:H22"/>
    <mergeCell ref="A24:H24"/>
    <mergeCell ref="A26:H26"/>
    <mergeCell ref="A28:H28"/>
    <mergeCell ref="A30:H30"/>
    <mergeCell ref="A33:H33"/>
    <mergeCell ref="A35:H35"/>
    <mergeCell ref="A39:H39"/>
    <mergeCell ref="A41:H41"/>
    <mergeCell ref="A43:H43"/>
  </mergeCells>
  <pageMargins left="0.7" right="0.7" top="0.75" bottom="0.75" header="0.3" footer="0.3"/>
  <pageSetup paperSize="9" orientation="portrait" horizontalDpi="4294967295" verticalDpi="4294967295" scale="40" fitToWidth="1" fitToHeight="1" firstPageNumber="1" useFirstPageNumber="1" copies="1"/>
</worksheet>
</file>

<file path=xl/worksheets/sheet8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"/>
  <sheetViews>
    <sheetView workbookViewId="0" zoomScale="80" zoomScaleNormal="80">
      <selection activeCell="J16" sqref="J16"/>
    </sheetView>
  </sheetViews>
  <sheetFormatPr defaultRowHeight="13.5" outlineLevelRow="0" outlineLevelCol="0" x14ac:dyDescent="0.15" defaultColWidth="8.88671875" customHeight="1"/>
  <cols>
    <col min="1" max="1" width="5.33203125" style="1" customWidth="1"/>
    <col min="2" max="2" width="5.109375" style="2" customWidth="1"/>
    <col min="3" max="3" width="8.33203125" style="3" customWidth="1"/>
    <col min="4" max="7" width="8.33203125" style="1" customWidth="1"/>
    <col min="8" max="13" width="8.109375" style="1" customWidth="1"/>
    <col min="14" max="15" width="5.88671875" style="1" customWidth="1"/>
    <col min="16" max="21" width="7.5546875" style="1" customWidth="1"/>
    <col min="22" max="22" width="7.6640625" style="4" hidden="1" customWidth="1"/>
    <col min="23" max="27" width="8.33203125" style="1" customWidth="1"/>
    <col min="28" max="28" width="7.6640625" style="1" customWidth="1"/>
    <col min="29" max="29" width="7.6640625" style="4" hidden="1" customWidth="1"/>
    <col min="30" max="31" width="7.6640625" style="4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 customWidth="1"/>
    <col min="49" max="50" width="15.109375" style="1" customWidth="1"/>
    <col min="51" max="16384" width="8.88671875" style="1" customWidth="1"/>
  </cols>
  <sheetData>
    <row r="1" ht="32.25" customHeight="1" spans="3:42" x14ac:dyDescent="0.25">
      <c r="C1" s="5" t="s">
        <v>0</v>
      </c>
      <c r="D1" s="6">
        <v>1673870000</v>
      </c>
      <c r="E1" s="7"/>
      <c r="F1" s="6"/>
      <c r="G1" s="7"/>
      <c r="H1" s="8" t="s">
        <v>1</v>
      </c>
      <c r="I1" s="9">
        <v>3124660000</v>
      </c>
      <c r="J1" s="9"/>
      <c r="K1" s="220" t="s">
        <v>170</v>
      </c>
      <c r="L1" s="11"/>
      <c r="M1" s="11"/>
      <c r="N1" s="12"/>
      <c r="O1" s="12"/>
      <c r="P1" s="12"/>
      <c r="Q1" s="12"/>
      <c r="R1" s="12"/>
      <c r="S1" s="12"/>
      <c r="T1" s="12"/>
      <c r="U1" s="12"/>
      <c r="V1" s="12"/>
      <c r="W1" s="12"/>
      <c r="X1" s="13"/>
      <c r="Y1" s="14" t="s">
        <v>3</v>
      </c>
      <c r="Z1" s="14"/>
      <c r="AA1" s="15" t="s">
        <v>4</v>
      </c>
      <c r="AB1" s="16"/>
      <c r="AC1" s="17"/>
      <c r="AD1" s="18" t="s">
        <v>5</v>
      </c>
      <c r="AE1" s="19"/>
      <c r="AF1" s="20"/>
      <c r="AG1" s="21" t="s">
        <v>6</v>
      </c>
      <c r="AH1" s="22"/>
      <c r="AI1" s="23">
        <f>D1</f>
        <v>1673870000</v>
      </c>
      <c r="AJ1" s="24"/>
      <c r="AK1" s="24"/>
      <c r="AL1" s="25" t="s">
        <v>7</v>
      </c>
      <c r="AM1" s="26"/>
      <c r="AN1" s="26"/>
      <c r="AO1" s="26"/>
      <c r="AP1" s="12"/>
    </row>
    <row r="2" ht="29.25" customHeight="1" spans="1:49" s="27" customFormat="1" x14ac:dyDescent="0.25">
      <c r="A2" s="20"/>
      <c r="B2" s="28"/>
      <c r="C2" s="29" t="s">
        <v>8</v>
      </c>
      <c r="D2" s="30">
        <v>1841257000</v>
      </c>
      <c r="E2" s="31"/>
      <c r="F2" s="32"/>
      <c r="G2" s="33"/>
      <c r="H2" s="5" t="s">
        <v>9</v>
      </c>
      <c r="I2" s="34">
        <f>D2*1</f>
        <v>1841257000</v>
      </c>
      <c r="J2" s="32"/>
      <c r="K2" s="35" t="s">
        <v>10</v>
      </c>
      <c r="L2" s="36" t="s">
        <v>11</v>
      </c>
      <c r="M2" s="37">
        <v>45932.45833333333</v>
      </c>
      <c r="N2" s="37"/>
      <c r="O2" s="37"/>
      <c r="P2" s="37"/>
      <c r="Q2" s="38" t="s">
        <v>171</v>
      </c>
      <c r="R2" s="38"/>
      <c r="S2" s="38"/>
      <c r="T2" s="39"/>
      <c r="U2" s="40"/>
      <c r="V2" s="40"/>
      <c r="W2" s="41"/>
      <c r="X2" s="42"/>
      <c r="Y2" s="202">
        <v>2498290000</v>
      </c>
      <c r="Z2" s="202"/>
      <c r="AA2" s="44">
        <f>I1</f>
        <v>3124660000</v>
      </c>
      <c r="AB2" s="45"/>
      <c r="AC2" s="46"/>
      <c r="AD2" s="47">
        <f>TRUNC(Y2/AA2,4)</f>
        <v>0.7995</v>
      </c>
      <c r="AE2" s="48"/>
      <c r="AF2" s="49"/>
      <c r="AG2" s="50"/>
      <c r="AH2" s="50"/>
      <c r="AI2" s="50"/>
      <c r="AJ2" s="50"/>
      <c r="AK2" s="50"/>
      <c r="AL2" s="50"/>
      <c r="AM2" s="50"/>
      <c r="AN2" s="51" t="s">
        <v>172</v>
      </c>
      <c r="AP2" s="1"/>
      <c r="AQ2" s="1"/>
      <c r="AR2" s="52" t="s">
        <v>15</v>
      </c>
      <c r="AS2" s="53">
        <f>AI1</f>
        <v>1673870000</v>
      </c>
      <c r="AT2" s="54"/>
      <c r="AW2" s="55"/>
    </row>
    <row r="3" ht="24.95" customHeight="1" spans="1:50" s="56" customFormat="1" x14ac:dyDescent="0.25">
      <c r="A3" s="57" t="s">
        <v>16</v>
      </c>
      <c r="B3" s="58" t="s">
        <v>17</v>
      </c>
      <c r="C3" s="59" t="s">
        <v>18</v>
      </c>
      <c r="D3" s="60"/>
      <c r="E3" s="60"/>
      <c r="F3" s="60"/>
      <c r="G3" s="60"/>
      <c r="H3" s="61"/>
      <c r="I3" s="59" t="s">
        <v>19</v>
      </c>
      <c r="J3" s="60"/>
      <c r="K3" s="60"/>
      <c r="L3" s="60"/>
      <c r="M3" s="61"/>
      <c r="N3" s="62" t="s">
        <v>20</v>
      </c>
      <c r="O3" s="63" t="s">
        <v>21</v>
      </c>
      <c r="P3" s="59" t="s">
        <v>22</v>
      </c>
      <c r="Q3" s="60"/>
      <c r="R3" s="64"/>
      <c r="S3" s="64"/>
      <c r="T3" s="60"/>
      <c r="U3" s="61"/>
      <c r="V3" s="65"/>
      <c r="W3" s="59" t="s">
        <v>23</v>
      </c>
      <c r="X3" s="60"/>
      <c r="Y3" s="60"/>
      <c r="Z3" s="60"/>
      <c r="AA3" s="60"/>
      <c r="AB3" s="60"/>
      <c r="AC3" s="60"/>
      <c r="AD3" s="60"/>
      <c r="AE3" s="61"/>
      <c r="AF3" s="60"/>
      <c r="AG3" s="60"/>
      <c r="AH3" s="60"/>
      <c r="AI3" s="60"/>
      <c r="AJ3" s="60"/>
      <c r="AK3" s="61"/>
      <c r="AL3" s="66" t="s">
        <v>24</v>
      </c>
      <c r="AM3" s="67" t="s">
        <v>25</v>
      </c>
      <c r="AN3" s="68" t="s">
        <v>26</v>
      </c>
      <c r="AO3" s="69" t="s">
        <v>27</v>
      </c>
      <c r="AP3" s="70" t="s">
        <v>28</v>
      </c>
      <c r="AQ3" s="65" t="s">
        <v>29</v>
      </c>
      <c r="AR3" s="67" t="s">
        <v>30</v>
      </c>
      <c r="AS3" s="65" t="s">
        <v>31</v>
      </c>
      <c r="AT3" s="65" t="s">
        <v>32</v>
      </c>
      <c r="AU3" s="65" t="s">
        <v>33</v>
      </c>
      <c r="AV3" s="71" t="s">
        <v>34</v>
      </c>
      <c r="AW3" s="65" t="s">
        <v>35</v>
      </c>
      <c r="AX3" s="65" t="s">
        <v>36</v>
      </c>
    </row>
    <row r="4" ht="39.75" customHeight="1" spans="1:50" s="56" customFormat="1" x14ac:dyDescent="0.25">
      <c r="A4" s="72"/>
      <c r="B4" s="73"/>
      <c r="C4" s="74" t="s">
        <v>37</v>
      </c>
      <c r="D4" s="75" t="s">
        <v>38</v>
      </c>
      <c r="E4" s="76" t="s">
        <v>39</v>
      </c>
      <c r="F4" s="76" t="s">
        <v>40</v>
      </c>
      <c r="G4" s="77" t="s">
        <v>41</v>
      </c>
      <c r="H4" s="65" t="s">
        <v>100</v>
      </c>
      <c r="I4" s="78" t="s">
        <v>37</v>
      </c>
      <c r="J4" s="79" t="s">
        <v>38</v>
      </c>
      <c r="K4" s="75" t="s">
        <v>39</v>
      </c>
      <c r="L4" s="75" t="s">
        <v>40</v>
      </c>
      <c r="M4" s="80" t="s">
        <v>41</v>
      </c>
      <c r="N4" s="81"/>
      <c r="O4" s="82"/>
      <c r="P4" s="78" t="s">
        <v>37</v>
      </c>
      <c r="Q4" s="79" t="s">
        <v>38</v>
      </c>
      <c r="R4" s="75" t="s">
        <v>39</v>
      </c>
      <c r="S4" s="75" t="s">
        <v>40</v>
      </c>
      <c r="T4" s="80" t="s">
        <v>41</v>
      </c>
      <c r="U4" s="83" t="s">
        <v>42</v>
      </c>
      <c r="V4" s="84" t="s">
        <v>43</v>
      </c>
      <c r="W4" s="85" t="s">
        <v>37</v>
      </c>
      <c r="X4" s="79" t="s">
        <v>38</v>
      </c>
      <c r="Y4" s="79" t="s">
        <v>39</v>
      </c>
      <c r="Z4" s="79" t="s">
        <v>40</v>
      </c>
      <c r="AA4" s="80" t="s">
        <v>41</v>
      </c>
      <c r="AB4" s="86" t="s">
        <v>44</v>
      </c>
      <c r="AC4" s="87" t="s">
        <v>45</v>
      </c>
      <c r="AD4" s="88" t="s">
        <v>46</v>
      </c>
      <c r="AE4" s="88" t="s">
        <v>47</v>
      </c>
      <c r="AF4" s="89" t="s">
        <v>48</v>
      </c>
      <c r="AG4" s="89" t="s">
        <v>49</v>
      </c>
      <c r="AH4" s="90" t="s">
        <v>50</v>
      </c>
      <c r="AI4" s="91" t="s">
        <v>51</v>
      </c>
      <c r="AJ4" s="91"/>
      <c r="AK4" s="91" t="s">
        <v>52</v>
      </c>
      <c r="AL4" s="92"/>
      <c r="AM4" s="93"/>
      <c r="AN4" s="94"/>
      <c r="AO4" s="95"/>
      <c r="AP4" s="70"/>
      <c r="AQ4" s="65"/>
      <c r="AR4" s="93"/>
      <c r="AS4" s="65"/>
      <c r="AT4" s="65"/>
      <c r="AU4" s="65"/>
      <c r="AV4" s="96"/>
      <c r="AW4" s="65"/>
      <c r="AX4" s="65"/>
    </row>
    <row r="5" ht="46.5" customHeight="1" spans="1:50" s="97" customFormat="1" x14ac:dyDescent="0.25">
      <c r="A5" s="98">
        <v>1</v>
      </c>
      <c r="B5" s="163"/>
      <c r="C5" s="102" t="s">
        <v>173</v>
      </c>
      <c r="D5" s="101" t="s">
        <v>174</v>
      </c>
      <c r="E5" s="163"/>
      <c r="F5" s="102"/>
      <c r="G5" s="103"/>
      <c r="H5" s="104"/>
      <c r="I5" s="166">
        <v>0.7</v>
      </c>
      <c r="J5" s="242">
        <v>0.2944</v>
      </c>
      <c r="K5" s="107"/>
      <c r="L5" s="108"/>
      <c r="M5" s="109"/>
      <c r="N5" s="110">
        <f>SUM(I5:M5)</f>
        <v>0.9944</v>
      </c>
      <c r="O5" s="111">
        <v>1</v>
      </c>
      <c r="P5" s="112">
        <v>15</v>
      </c>
      <c r="Q5" s="217">
        <v>15</v>
      </c>
      <c r="R5" s="112"/>
      <c r="S5" s="114"/>
      <c r="T5" s="115"/>
      <c r="U5" s="116">
        <f>ROUND(((P5*I5)+(Q5*J5)+(R5*K5)+(S5*L5)+(T5*M5))*O5,2)</f>
        <v>14.92</v>
      </c>
      <c r="V5" s="117">
        <f>IF(U5&gt;=15,15,U5)</f>
        <v>14.92</v>
      </c>
      <c r="W5" s="120">
        <v>39361754000</v>
      </c>
      <c r="X5" s="221">
        <v>783455000</v>
      </c>
      <c r="Y5" s="120"/>
      <c r="Z5" s="121"/>
      <c r="AA5" s="122"/>
      <c r="AB5" s="123">
        <f>ROUND((((W5*I5)+(X5*J5)+(Y5*K5)+(Z5*L5)+(AA5*M5))/$I$2),2)*13</f>
        <v>196.17</v>
      </c>
      <c r="AC5" s="124">
        <f>IF(AB5&gt;=13,13,AB5)</f>
        <v>13</v>
      </c>
      <c r="AD5" s="243">
        <v>3</v>
      </c>
      <c r="AE5" s="116">
        <f>IF((AC5+AD5)&gt;=15,15,(AC5+AD5))</f>
        <v>15</v>
      </c>
      <c r="AF5" s="126">
        <f>0.5*I5</f>
        <v>0.35</v>
      </c>
      <c r="AG5" s="127"/>
      <c r="AH5" s="128">
        <f>IF((V5+AE5+AF5)&gt;=30,30,(V5+AE5+AF5))</f>
        <v>30</v>
      </c>
      <c r="AI5" s="129">
        <v>65</v>
      </c>
      <c r="AJ5" s="128">
        <f>V5+AE5+AF5+AI5+AG5</f>
        <v>95.27000000000001</v>
      </c>
      <c r="AK5" s="128">
        <f>IF(AH5+AI5+AG5&gt;=95,95,AH5+AI5+AG5)</f>
        <v>95</v>
      </c>
      <c r="AL5" s="130">
        <f>-((50-((176+(45+(50-AH5)))))/200)</f>
        <v>0.955</v>
      </c>
      <c r="AM5" s="131"/>
      <c r="AN5" s="132">
        <f>100%+AM5</f>
        <v>1</v>
      </c>
      <c r="AO5" s="132">
        <f>100%+AN5</f>
        <v>2</v>
      </c>
      <c r="AP5" s="133"/>
      <c r="AQ5" s="134"/>
      <c r="AR5" s="135"/>
      <c r="AS5" s="135"/>
      <c r="AT5" s="135"/>
      <c r="AU5" s="135"/>
      <c r="AV5" s="136"/>
      <c r="AW5" s="137">
        <f>AR5+AS5+AT5+AU5+AV5</f>
        <v>0</v>
      </c>
      <c r="AX5" s="137">
        <f>(AR5*I5)+(AS5*J5)+(AT5*K5)+(AU5*L5)+(AV5*M5)</f>
        <v>0</v>
      </c>
    </row>
    <row r="6" ht="21.95" customHeight="1" spans="1:50" s="97" customFormat="1" x14ac:dyDescent="0.25">
      <c r="A6" s="138" t="s">
        <v>56</v>
      </c>
      <c r="B6" s="139"/>
      <c r="C6" s="139"/>
      <c r="D6" s="139"/>
      <c r="E6" s="139"/>
      <c r="F6" s="139"/>
      <c r="G6" s="139"/>
      <c r="H6" s="140"/>
      <c r="I6" s="244">
        <v>90.73</v>
      </c>
      <c r="J6" s="142">
        <v>85</v>
      </c>
      <c r="K6" s="142"/>
      <c r="L6" s="142"/>
      <c r="M6" s="142"/>
      <c r="N6" s="143">
        <f>I6*I5+J6*J5+K6*K5+L6*L5+M6*M5</f>
        <v>88.535</v>
      </c>
      <c r="O6" s="144"/>
      <c r="P6" s="145"/>
      <c r="Q6" s="113"/>
      <c r="R6" s="113"/>
      <c r="S6" s="146"/>
      <c r="T6" s="147"/>
      <c r="U6" s="148"/>
      <c r="V6" s="149"/>
      <c r="W6" s="150"/>
      <c r="X6" s="151"/>
      <c r="Y6" s="152"/>
      <c r="Z6" s="151"/>
      <c r="AA6" s="153"/>
      <c r="AB6" s="154"/>
      <c r="AC6" s="149"/>
      <c r="AD6" s="148"/>
      <c r="AE6" s="148"/>
      <c r="AF6" s="155"/>
      <c r="AG6" s="156"/>
      <c r="AH6" s="113"/>
      <c r="AI6" s="157"/>
      <c r="AJ6" s="113"/>
      <c r="AK6" s="113"/>
      <c r="AL6" s="158"/>
      <c r="AM6" s="159"/>
      <c r="AN6" s="160"/>
      <c r="AO6" s="160"/>
      <c r="AP6" s="133"/>
      <c r="AQ6" s="134"/>
      <c r="AR6" s="161"/>
      <c r="AS6" s="161"/>
      <c r="AT6" s="161"/>
      <c r="AU6" s="161"/>
      <c r="AV6" s="162"/>
      <c r="AW6" s="137"/>
      <c r="AX6" s="137"/>
    </row>
    <row r="7" ht="46.5" customHeight="1" spans="1:50" s="97" customFormat="1" x14ac:dyDescent="0.25">
      <c r="A7" s="98">
        <v>2</v>
      </c>
      <c r="B7" s="163"/>
      <c r="C7" s="102" t="s">
        <v>63</v>
      </c>
      <c r="D7" s="200" t="s">
        <v>175</v>
      </c>
      <c r="E7" s="163"/>
      <c r="F7" s="163"/>
      <c r="G7" s="103"/>
      <c r="H7" s="171"/>
      <c r="I7" s="166">
        <v>0.7</v>
      </c>
      <c r="J7" s="107">
        <v>0.3</v>
      </c>
      <c r="K7" s="107"/>
      <c r="L7" s="167"/>
      <c r="M7" s="168"/>
      <c r="N7" s="169">
        <f>SUM(I7:M7)</f>
        <v>1</v>
      </c>
      <c r="O7" s="144">
        <v>1</v>
      </c>
      <c r="P7" s="112">
        <v>15</v>
      </c>
      <c r="Q7" s="177">
        <v>13.4</v>
      </c>
      <c r="R7" s="112"/>
      <c r="S7" s="146"/>
      <c r="T7" s="147"/>
      <c r="U7" s="148">
        <f>ROUND(((P7*I7)+(Q7*J7)+(R7*K7)+(S7*L7)+(T7*M7))*O7,2)</f>
        <v>14.52</v>
      </c>
      <c r="V7" s="149">
        <f>IF(U7&gt;=15,15,U7)</f>
        <v>14.52</v>
      </c>
      <c r="W7" s="120">
        <v>57539030000</v>
      </c>
      <c r="X7" s="120">
        <v>3070576000</v>
      </c>
      <c r="Y7" s="120"/>
      <c r="Z7" s="151"/>
      <c r="AA7" s="153"/>
      <c r="AB7" s="154">
        <f>ROUND((((W7*I7)+(X7*J7)+(Y7*K7)+(Z7*L7)+(AA7*M7))/$I$2),2)*13</f>
        <v>290.94</v>
      </c>
      <c r="AC7" s="149">
        <f>IF(AB7&gt;=13,13,AB7)</f>
        <v>13</v>
      </c>
      <c r="AD7" s="125">
        <v>2</v>
      </c>
      <c r="AE7" s="148">
        <f>IF((AC7+AD7)&gt;=15,15,(AC7+AD7))</f>
        <v>15</v>
      </c>
      <c r="AF7" s="155">
        <f>1.5*I7</f>
        <v>1.0499999999999998</v>
      </c>
      <c r="AG7" s="127"/>
      <c r="AH7" s="113">
        <f>IF((V7+AE7+AF7)&gt;=30,30,(V7+AE7+AF7))</f>
        <v>30</v>
      </c>
      <c r="AI7" s="157">
        <v>65</v>
      </c>
      <c r="AJ7" s="113">
        <f>V7+AE7+AF7+AI7+AG7</f>
        <v>95.57</v>
      </c>
      <c r="AK7" s="113">
        <f>IF(AH7+AI7+AG7&gt;=95,95,AH7+AI7+AG7)</f>
        <v>95</v>
      </c>
      <c r="AL7" s="158">
        <f>-((50-((176+(45+(50-AH7)))))/200)</f>
        <v>0.955</v>
      </c>
      <c r="AM7" s="159"/>
      <c r="AN7" s="160">
        <f>100%+AM7</f>
        <v>1</v>
      </c>
      <c r="AO7" s="160">
        <f>100%+AN7</f>
        <v>2</v>
      </c>
      <c r="AP7" s="133"/>
      <c r="AQ7" s="134"/>
      <c r="AR7" s="161"/>
      <c r="AS7" s="161"/>
      <c r="AT7" s="161"/>
      <c r="AU7" s="161"/>
      <c r="AV7" s="162"/>
      <c r="AW7" s="172">
        <f>AR7+AS7+AT7+AU7+AV7</f>
        <v>0</v>
      </c>
      <c r="AX7" s="172">
        <f>(AR7*I7)+(AS7*J7)+(AT7*K7)+(AU7*L7)+(AV7*M7)</f>
        <v>0</v>
      </c>
    </row>
    <row r="8" ht="21.95" customHeight="1" spans="1:50" s="97" customFormat="1" x14ac:dyDescent="0.25">
      <c r="A8" s="138" t="s">
        <v>56</v>
      </c>
      <c r="B8" s="139"/>
      <c r="C8" s="139"/>
      <c r="D8" s="139"/>
      <c r="E8" s="139"/>
      <c r="F8" s="139"/>
      <c r="G8" s="139"/>
      <c r="H8" s="140"/>
      <c r="I8" s="142">
        <v>85</v>
      </c>
      <c r="J8" s="142">
        <v>85</v>
      </c>
      <c r="K8" s="142"/>
      <c r="L8" s="142"/>
      <c r="M8" s="142"/>
      <c r="N8" s="143">
        <f>I8*I7+J8*J7+K8*K7+L8*L7+M8*M7</f>
        <v>85</v>
      </c>
      <c r="O8" s="144"/>
      <c r="P8" s="145"/>
      <c r="Q8" s="113"/>
      <c r="R8" s="113"/>
      <c r="S8" s="146"/>
      <c r="T8" s="147"/>
      <c r="U8" s="148"/>
      <c r="V8" s="149"/>
      <c r="W8" s="150"/>
      <c r="X8" s="151"/>
      <c r="Y8" s="152"/>
      <c r="Z8" s="151"/>
      <c r="AA8" s="153"/>
      <c r="AB8" s="154"/>
      <c r="AC8" s="149"/>
      <c r="AD8" s="148"/>
      <c r="AE8" s="148"/>
      <c r="AF8" s="155"/>
      <c r="AG8" s="156"/>
      <c r="AH8" s="113"/>
      <c r="AI8" s="157"/>
      <c r="AJ8" s="113"/>
      <c r="AK8" s="113"/>
      <c r="AL8" s="158"/>
      <c r="AM8" s="159"/>
      <c r="AN8" s="160"/>
      <c r="AO8" s="160"/>
      <c r="AP8" s="133"/>
      <c r="AQ8" s="134"/>
      <c r="AR8" s="161"/>
      <c r="AS8" s="161"/>
      <c r="AT8" s="161"/>
      <c r="AU8" s="161"/>
      <c r="AV8" s="162"/>
      <c r="AW8" s="137"/>
      <c r="AX8" s="137"/>
    </row>
    <row r="9" ht="46.5" customHeight="1" spans="1:50" s="97" customFormat="1" x14ac:dyDescent="0.25">
      <c r="A9" s="98"/>
      <c r="B9" s="163"/>
      <c r="C9" s="102" t="s">
        <v>176</v>
      </c>
      <c r="D9" s="200" t="s">
        <v>177</v>
      </c>
      <c r="E9" s="102"/>
      <c r="F9" s="163"/>
      <c r="G9" s="164"/>
      <c r="H9" s="165"/>
      <c r="I9" s="166">
        <v>0.7</v>
      </c>
      <c r="J9" s="242">
        <v>0.1826</v>
      </c>
      <c r="K9" s="107"/>
      <c r="L9" s="167"/>
      <c r="M9" s="168"/>
      <c r="N9" s="169">
        <f>SUM(I9:M9)</f>
        <v>0.8825999999999999</v>
      </c>
      <c r="O9" s="144">
        <v>1</v>
      </c>
      <c r="P9" s="112">
        <v>15</v>
      </c>
      <c r="Q9" s="177">
        <v>8.6</v>
      </c>
      <c r="R9" s="112"/>
      <c r="S9" s="113"/>
      <c r="T9" s="147"/>
      <c r="U9" s="148">
        <f>ROUND(((P9*I9)+(Q9*J9)+(R9*K9)+(S9*L9)+(T9*M9))*O9,2)</f>
        <v>12.07</v>
      </c>
      <c r="V9" s="149">
        <f>IF(U9&gt;=15,15,U9)</f>
        <v>12.07</v>
      </c>
      <c r="W9" s="120">
        <v>59183685000</v>
      </c>
      <c r="X9" s="120"/>
      <c r="Y9" s="120"/>
      <c r="Z9" s="151"/>
      <c r="AA9" s="153"/>
      <c r="AB9" s="154">
        <f>ROUND((((W9*I9)+(X9*J9)+(Y9*K9)+(Z9*L9)+(AA9*M9))/$I$2),2)*13</f>
        <v>292.5</v>
      </c>
      <c r="AC9" s="149">
        <f>IF(AB9&gt;=13,13,AB9)</f>
        <v>13</v>
      </c>
      <c r="AD9" s="125">
        <v>1</v>
      </c>
      <c r="AE9" s="148">
        <f>IF((AC9+AD9)&gt;=15,15,(AC9+AD9))</f>
        <v>14</v>
      </c>
      <c r="AF9" s="155">
        <f>1.5*I9</f>
        <v>1.0499999999999998</v>
      </c>
      <c r="AG9" s="127"/>
      <c r="AH9" s="113">
        <f>IF((V9+AE9+AF9)&gt;=30,30,(V9+AE9+AF9))</f>
        <v>27.12</v>
      </c>
      <c r="AI9" s="157">
        <v>65</v>
      </c>
      <c r="AJ9" s="113">
        <f>V9+AE9+AF9+AI9+AG9</f>
        <v>92.12</v>
      </c>
      <c r="AK9" s="113">
        <f>IF(AH9+AI9+AG9&gt;=95,95,AH9+AI9+AG9)</f>
        <v>92.12</v>
      </c>
      <c r="AL9" s="158">
        <f>-((50-((176+(45+(50-AH9)))))/200)</f>
        <v>0.9693999999999999</v>
      </c>
      <c r="AM9" s="159"/>
      <c r="AN9" s="160">
        <f>100%+AM9</f>
        <v>1</v>
      </c>
      <c r="AO9" s="160">
        <f>100%+AN9</f>
        <v>2</v>
      </c>
      <c r="AP9" s="133"/>
      <c r="AQ9" s="134"/>
      <c r="AR9" s="161"/>
      <c r="AS9" s="161"/>
      <c r="AT9" s="161"/>
      <c r="AU9" s="161"/>
      <c r="AV9" s="162"/>
      <c r="AW9" s="137">
        <f>AR9+AS9+AT9+AU9+AV9</f>
        <v>0</v>
      </c>
      <c r="AX9" s="137">
        <f>(AR9*I9)+(AS9*J9)+(AT9*K9)+(AU9*L9)+(AV9*M9)</f>
        <v>0</v>
      </c>
    </row>
    <row r="10" ht="21.95" customHeight="1" spans="1:50" s="97" customFormat="1" x14ac:dyDescent="0.25">
      <c r="A10" s="138" t="s">
        <v>56</v>
      </c>
      <c r="B10" s="139"/>
      <c r="C10" s="139"/>
      <c r="D10" s="139"/>
      <c r="E10" s="139"/>
      <c r="F10" s="139"/>
      <c r="G10" s="139"/>
      <c r="H10" s="140"/>
      <c r="I10" s="244">
        <v>93.38</v>
      </c>
      <c r="J10" s="142">
        <v>85</v>
      </c>
      <c r="K10" s="142"/>
      <c r="L10" s="142"/>
      <c r="M10" s="142"/>
      <c r="N10" s="143">
        <f>I10*I9+J10*J9+K10*K9+L10*L9+M10*M9</f>
        <v>80.887</v>
      </c>
      <c r="O10" s="144"/>
      <c r="P10" s="145"/>
      <c r="Q10" s="113"/>
      <c r="R10" s="113"/>
      <c r="S10" s="146"/>
      <c r="T10" s="147"/>
      <c r="U10" s="148"/>
      <c r="V10" s="149"/>
      <c r="W10" s="150"/>
      <c r="X10" s="151"/>
      <c r="Y10" s="152"/>
      <c r="Z10" s="151"/>
      <c r="AA10" s="153"/>
      <c r="AB10" s="154"/>
      <c r="AC10" s="149"/>
      <c r="AD10" s="148"/>
      <c r="AE10" s="148"/>
      <c r="AF10" s="155"/>
      <c r="AG10" s="156"/>
      <c r="AH10" s="113"/>
      <c r="AI10" s="157"/>
      <c r="AJ10" s="113"/>
      <c r="AK10" s="113"/>
      <c r="AL10" s="158"/>
      <c r="AM10" s="159"/>
      <c r="AN10" s="160"/>
      <c r="AO10" s="160"/>
      <c r="AP10" s="133"/>
      <c r="AQ10" s="134"/>
      <c r="AR10" s="161"/>
      <c r="AS10" s="161"/>
      <c r="AT10" s="161"/>
      <c r="AU10" s="161"/>
      <c r="AV10" s="162"/>
      <c r="AW10" s="137"/>
      <c r="AX10" s="137"/>
    </row>
    <row r="11" ht="46.5" customHeight="1" spans="1:50" s="97" customFormat="1" x14ac:dyDescent="0.25">
      <c r="A11" s="98"/>
      <c r="B11" s="196"/>
      <c r="C11" s="102" t="s">
        <v>178</v>
      </c>
      <c r="D11" s="102"/>
      <c r="E11" s="163"/>
      <c r="F11" s="163"/>
      <c r="G11" s="103"/>
      <c r="H11" s="171"/>
      <c r="I11" s="166">
        <v>0.51</v>
      </c>
      <c r="J11" s="107">
        <v>0.49</v>
      </c>
      <c r="K11" s="107"/>
      <c r="L11" s="176"/>
      <c r="M11" s="168"/>
      <c r="N11" s="169">
        <f t="shared" ref="N11:N42" si="0">SUM(I11:M11)</f>
        <v>1</v>
      </c>
      <c r="O11" s="144">
        <v>1</v>
      </c>
      <c r="P11" s="112">
        <v>15</v>
      </c>
      <c r="Q11" s="112">
        <v>15</v>
      </c>
      <c r="R11" s="156">
        <v>15</v>
      </c>
      <c r="S11" s="113"/>
      <c r="T11" s="147"/>
      <c r="U11" s="148">
        <f t="shared" ref="U11:U42" si="1">ROUND(((P11*I11)+(Q11*J11)+(R11*K11)+(S11*L11)+(T11*M11))*O11,2)</f>
        <v>15</v>
      </c>
      <c r="V11" s="149">
        <f t="shared" ref="V11:V42" si="2">IF(U11&gt;=15,15,U11)</f>
        <v>15</v>
      </c>
      <c r="W11" s="119">
        <v>8216820000</v>
      </c>
      <c r="X11" s="120"/>
      <c r="Y11" s="120"/>
      <c r="Z11" s="151"/>
      <c r="AA11" s="153"/>
      <c r="AB11" s="154">
        <f t="shared" ref="AB11:AB42" si="3">ROUND((((W11*I11)+(X11*J11)+(Y11*K11)+(Z11*L11)+(AA11*M11))/$I$2),2)*13</f>
        <v>29.639999999999997</v>
      </c>
      <c r="AC11" s="149">
        <f t="shared" ref="AC11:AC42" si="4">IF(AB11&gt;=13,13,AB11)</f>
        <v>13</v>
      </c>
      <c r="AD11" s="125">
        <v>2</v>
      </c>
      <c r="AE11" s="148">
        <f t="shared" ref="AE11:AE42" si="5">IF((AC11+AD11)&gt;=15,15,(AC11+AD11))</f>
        <v>15</v>
      </c>
      <c r="AF11" s="155"/>
      <c r="AG11" s="127"/>
      <c r="AH11" s="113">
        <f t="shared" ref="AH11:AH42" si="6">IF((V11+AE11+AF11)&gt;=30,30,(V11+AE11+AF11))</f>
        <v>30</v>
      </c>
      <c r="AI11" s="157">
        <v>65</v>
      </c>
      <c r="AJ11" s="113">
        <f t="shared" ref="AJ11:AJ42" si="7">V11+AE11+AF11+AI11+AG11</f>
        <v>95</v>
      </c>
      <c r="AK11" s="113">
        <f t="shared" ref="AK11:AK42" si="8">IF(AH11+AI11+AG11&gt;=95,95,AH11+AI11+AG11)</f>
        <v>95</v>
      </c>
      <c r="AL11" s="158">
        <f t="shared" ref="AL11:AL42" si="9">-((50-((176+(45+(50-AH11)))))/200)</f>
        <v>0.955</v>
      </c>
      <c r="AM11" s="159"/>
      <c r="AN11" s="160">
        <f t="shared" ref="AN11:AO30" si="10">100%+AM11</f>
        <v>1</v>
      </c>
      <c r="AO11" s="160">
        <f t="shared" si="10"/>
        <v>2</v>
      </c>
      <c r="AP11" s="133"/>
      <c r="AQ11" s="134"/>
      <c r="AR11" s="161"/>
      <c r="AS11" s="161"/>
      <c r="AT11" s="161"/>
      <c r="AU11" s="161"/>
      <c r="AV11" s="162"/>
      <c r="AW11" s="137">
        <f t="shared" ref="AW11:AW42" si="11">AR11+AS11+AT11+AU11+AV11</f>
        <v>0</v>
      </c>
      <c r="AX11" s="137">
        <f t="shared" ref="AX11:AX42" si="12">(AR11*I11)+(AS11*J11)+(AT11*K11)+(AU11*L11)+(AV11*M11)</f>
        <v>0</v>
      </c>
    </row>
    <row r="12" ht="46.5" customHeight="1" spans="1:50" s="97" customFormat="1" x14ac:dyDescent="0.25">
      <c r="A12" s="98"/>
      <c r="B12" s="196"/>
      <c r="C12" s="102"/>
      <c r="D12" s="102"/>
      <c r="E12" s="163"/>
      <c r="F12" s="163"/>
      <c r="G12" s="103"/>
      <c r="H12" s="182"/>
      <c r="I12" s="166">
        <v>0.51</v>
      </c>
      <c r="J12" s="107">
        <v>0.49</v>
      </c>
      <c r="K12" s="107"/>
      <c r="L12" s="167"/>
      <c r="M12" s="168"/>
      <c r="N12" s="169">
        <f t="shared" si="0"/>
        <v>1</v>
      </c>
      <c r="O12" s="144">
        <v>1</v>
      </c>
      <c r="P12" s="112">
        <v>15</v>
      </c>
      <c r="Q12" s="112">
        <v>15</v>
      </c>
      <c r="R12" s="112"/>
      <c r="S12" s="146"/>
      <c r="T12" s="147"/>
      <c r="U12" s="148">
        <f t="shared" si="1"/>
        <v>15</v>
      </c>
      <c r="V12" s="149">
        <f t="shared" si="2"/>
        <v>15</v>
      </c>
      <c r="W12" s="179"/>
      <c r="X12" s="120"/>
      <c r="Y12" s="183"/>
      <c r="Z12" s="151"/>
      <c r="AA12" s="153"/>
      <c r="AB12" s="154">
        <f t="shared" si="3"/>
        <v>0</v>
      </c>
      <c r="AC12" s="149">
        <f t="shared" si="4"/>
        <v>0</v>
      </c>
      <c r="AD12" s="125">
        <v>2</v>
      </c>
      <c r="AE12" s="148">
        <f t="shared" si="5"/>
        <v>2</v>
      </c>
      <c r="AF12" s="155"/>
      <c r="AG12" s="127"/>
      <c r="AH12" s="113">
        <f t="shared" si="6"/>
        <v>17</v>
      </c>
      <c r="AI12" s="157">
        <v>65</v>
      </c>
      <c r="AJ12" s="113">
        <f t="shared" si="7"/>
        <v>82</v>
      </c>
      <c r="AK12" s="113">
        <f t="shared" si="8"/>
        <v>82</v>
      </c>
      <c r="AL12" s="158">
        <f t="shared" si="9"/>
        <v>1.02</v>
      </c>
      <c r="AM12" s="159"/>
      <c r="AN12" s="160">
        <f t="shared" si="10"/>
        <v>1</v>
      </c>
      <c r="AO12" s="160">
        <f t="shared" si="10"/>
        <v>2</v>
      </c>
      <c r="AP12" s="133"/>
      <c r="AQ12" s="134"/>
      <c r="AR12" s="161"/>
      <c r="AS12" s="161"/>
      <c r="AT12" s="161"/>
      <c r="AU12" s="161"/>
      <c r="AV12" s="162"/>
      <c r="AW12" s="137">
        <f t="shared" si="11"/>
        <v>0</v>
      </c>
      <c r="AX12" s="137">
        <f t="shared" si="12"/>
        <v>0</v>
      </c>
    </row>
    <row r="13" ht="46.5" customHeight="1" spans="1:50" s="97" customFormat="1" x14ac:dyDescent="0.25">
      <c r="A13" s="98"/>
      <c r="B13" s="196"/>
      <c r="C13" s="102" t="s">
        <v>66</v>
      </c>
      <c r="D13" s="102"/>
      <c r="E13" s="100"/>
      <c r="F13" s="163"/>
      <c r="G13" s="103"/>
      <c r="H13" s="182"/>
      <c r="I13" s="166">
        <v>0.51</v>
      </c>
      <c r="J13" s="107">
        <v>0.49</v>
      </c>
      <c r="K13" s="107"/>
      <c r="L13" s="167"/>
      <c r="M13" s="168"/>
      <c r="N13" s="169">
        <f t="shared" si="0"/>
        <v>1</v>
      </c>
      <c r="O13" s="144">
        <v>1</v>
      </c>
      <c r="P13" s="112">
        <v>15</v>
      </c>
      <c r="Q13" s="112">
        <v>15</v>
      </c>
      <c r="R13" s="156"/>
      <c r="S13" s="146"/>
      <c r="T13" s="147"/>
      <c r="U13" s="148">
        <f t="shared" si="1"/>
        <v>15</v>
      </c>
      <c r="V13" s="149">
        <f t="shared" si="2"/>
        <v>15</v>
      </c>
      <c r="W13" s="120">
        <v>14977246000</v>
      </c>
      <c r="X13" s="120"/>
      <c r="Y13" s="183"/>
      <c r="Z13" s="151"/>
      <c r="AA13" s="153"/>
      <c r="AB13" s="154">
        <f t="shared" si="3"/>
        <v>53.95</v>
      </c>
      <c r="AC13" s="149">
        <f t="shared" si="4"/>
        <v>13</v>
      </c>
      <c r="AD13" s="125">
        <v>2</v>
      </c>
      <c r="AE13" s="148">
        <f t="shared" si="5"/>
        <v>15</v>
      </c>
      <c r="AF13" s="155"/>
      <c r="AG13" s="127"/>
      <c r="AH13" s="113">
        <f t="shared" si="6"/>
        <v>30</v>
      </c>
      <c r="AI13" s="157">
        <v>65</v>
      </c>
      <c r="AJ13" s="113">
        <f t="shared" si="7"/>
        <v>95</v>
      </c>
      <c r="AK13" s="113">
        <f t="shared" si="8"/>
        <v>95</v>
      </c>
      <c r="AL13" s="158">
        <f t="shared" si="9"/>
        <v>0.955</v>
      </c>
      <c r="AM13" s="159"/>
      <c r="AN13" s="160">
        <f t="shared" si="10"/>
        <v>1</v>
      </c>
      <c r="AO13" s="160">
        <f t="shared" si="10"/>
        <v>2</v>
      </c>
      <c r="AP13" s="133"/>
      <c r="AQ13" s="134"/>
      <c r="AR13" s="161"/>
      <c r="AS13" s="161"/>
      <c r="AT13" s="161"/>
      <c r="AU13" s="161"/>
      <c r="AV13" s="162"/>
      <c r="AW13" s="137">
        <f t="shared" si="11"/>
        <v>0</v>
      </c>
      <c r="AX13" s="137">
        <f t="shared" si="12"/>
        <v>0</v>
      </c>
    </row>
    <row r="14" ht="46.5" customHeight="1" spans="1:50" s="97" customFormat="1" x14ac:dyDescent="0.25">
      <c r="A14" s="98"/>
      <c r="B14" s="196"/>
      <c r="C14" s="102" t="s">
        <v>57</v>
      </c>
      <c r="D14" s="102"/>
      <c r="E14" s="102"/>
      <c r="F14" s="224"/>
      <c r="G14" s="103"/>
      <c r="H14" s="182"/>
      <c r="I14" s="166">
        <v>0.51</v>
      </c>
      <c r="J14" s="107">
        <v>0.49</v>
      </c>
      <c r="K14" s="107"/>
      <c r="L14" s="167"/>
      <c r="M14" s="168"/>
      <c r="N14" s="169">
        <f t="shared" si="0"/>
        <v>1</v>
      </c>
      <c r="O14" s="144">
        <v>1</v>
      </c>
      <c r="P14" s="112">
        <v>15</v>
      </c>
      <c r="Q14" s="112">
        <v>15</v>
      </c>
      <c r="R14" s="113"/>
      <c r="S14" s="146"/>
      <c r="T14" s="147"/>
      <c r="U14" s="148">
        <f t="shared" si="1"/>
        <v>15</v>
      </c>
      <c r="V14" s="149">
        <f t="shared" si="2"/>
        <v>15</v>
      </c>
      <c r="W14" s="120">
        <v>34748832000</v>
      </c>
      <c r="X14" s="120"/>
      <c r="Y14" s="120"/>
      <c r="Z14" s="151"/>
      <c r="AA14" s="153"/>
      <c r="AB14" s="154">
        <f t="shared" si="3"/>
        <v>125.05999999999999</v>
      </c>
      <c r="AC14" s="149">
        <f t="shared" si="4"/>
        <v>13</v>
      </c>
      <c r="AD14" s="125">
        <v>2</v>
      </c>
      <c r="AE14" s="148">
        <f t="shared" si="5"/>
        <v>15</v>
      </c>
      <c r="AF14" s="155"/>
      <c r="AG14" s="127"/>
      <c r="AH14" s="113">
        <f t="shared" si="6"/>
        <v>30</v>
      </c>
      <c r="AI14" s="157">
        <v>65</v>
      </c>
      <c r="AJ14" s="113">
        <f t="shared" si="7"/>
        <v>95</v>
      </c>
      <c r="AK14" s="113">
        <f t="shared" si="8"/>
        <v>95</v>
      </c>
      <c r="AL14" s="158">
        <f t="shared" si="9"/>
        <v>0.955</v>
      </c>
      <c r="AM14" s="159"/>
      <c r="AN14" s="160">
        <f t="shared" si="10"/>
        <v>1</v>
      </c>
      <c r="AO14" s="160">
        <f t="shared" si="10"/>
        <v>2</v>
      </c>
      <c r="AP14" s="133"/>
      <c r="AQ14" s="134"/>
      <c r="AR14" s="161"/>
      <c r="AS14" s="161"/>
      <c r="AT14" s="161"/>
      <c r="AU14" s="161"/>
      <c r="AV14" s="162"/>
      <c r="AW14" s="137">
        <f t="shared" si="11"/>
        <v>0</v>
      </c>
      <c r="AX14" s="137">
        <f t="shared" si="12"/>
        <v>0</v>
      </c>
    </row>
    <row r="15" ht="46.5" customHeight="1" spans="1:50" s="97" customFormat="1" x14ac:dyDescent="0.25">
      <c r="A15" s="98"/>
      <c r="B15" s="196"/>
      <c r="C15" s="102"/>
      <c r="D15" s="224"/>
      <c r="E15" s="224"/>
      <c r="F15" s="224"/>
      <c r="G15" s="103"/>
      <c r="H15" s="182"/>
      <c r="I15" s="166">
        <v>0.51</v>
      </c>
      <c r="J15" s="107">
        <v>0.49</v>
      </c>
      <c r="K15" s="107"/>
      <c r="L15" s="167"/>
      <c r="M15" s="168"/>
      <c r="N15" s="169">
        <f t="shared" si="0"/>
        <v>1</v>
      </c>
      <c r="O15" s="144">
        <v>1</v>
      </c>
      <c r="P15" s="112">
        <v>15</v>
      </c>
      <c r="Q15" s="112">
        <v>15</v>
      </c>
      <c r="R15" s="113"/>
      <c r="S15" s="146"/>
      <c r="T15" s="147"/>
      <c r="U15" s="148">
        <f t="shared" si="1"/>
        <v>15</v>
      </c>
      <c r="V15" s="149">
        <f t="shared" si="2"/>
        <v>15</v>
      </c>
      <c r="W15" s="120"/>
      <c r="X15" s="120"/>
      <c r="Y15" s="120"/>
      <c r="Z15" s="151"/>
      <c r="AA15" s="153"/>
      <c r="AB15" s="154">
        <f t="shared" si="3"/>
        <v>0</v>
      </c>
      <c r="AC15" s="149">
        <f t="shared" si="4"/>
        <v>0</v>
      </c>
      <c r="AD15" s="125">
        <v>2</v>
      </c>
      <c r="AE15" s="148">
        <f t="shared" si="5"/>
        <v>2</v>
      </c>
      <c r="AF15" s="156"/>
      <c r="AG15" s="127"/>
      <c r="AH15" s="113">
        <f t="shared" si="6"/>
        <v>17</v>
      </c>
      <c r="AI15" s="157">
        <v>65</v>
      </c>
      <c r="AJ15" s="113">
        <f t="shared" si="7"/>
        <v>82</v>
      </c>
      <c r="AK15" s="113">
        <f t="shared" si="8"/>
        <v>82</v>
      </c>
      <c r="AL15" s="158">
        <f t="shared" si="9"/>
        <v>1.02</v>
      </c>
      <c r="AM15" s="159"/>
      <c r="AN15" s="160">
        <f t="shared" si="10"/>
        <v>1</v>
      </c>
      <c r="AO15" s="160">
        <f t="shared" si="10"/>
        <v>2</v>
      </c>
      <c r="AP15" s="133"/>
      <c r="AQ15" s="134"/>
      <c r="AR15" s="161"/>
      <c r="AS15" s="161"/>
      <c r="AT15" s="161"/>
      <c r="AU15" s="161"/>
      <c r="AV15" s="162"/>
      <c r="AW15" s="137">
        <f t="shared" si="11"/>
        <v>0</v>
      </c>
      <c r="AX15" s="137">
        <f t="shared" si="12"/>
        <v>0</v>
      </c>
    </row>
    <row r="16" ht="46.5" customHeight="1" spans="1:50" s="97" customFormat="1" x14ac:dyDescent="0.25">
      <c r="A16" s="98"/>
      <c r="B16" s="99"/>
      <c r="C16" s="102"/>
      <c r="D16" s="100"/>
      <c r="E16" s="224"/>
      <c r="F16" s="100"/>
      <c r="G16" s="103"/>
      <c r="H16" s="186"/>
      <c r="I16" s="166">
        <v>0.51</v>
      </c>
      <c r="J16" s="107">
        <v>0.49</v>
      </c>
      <c r="K16" s="107"/>
      <c r="L16" s="167"/>
      <c r="M16" s="168"/>
      <c r="N16" s="169">
        <f t="shared" si="0"/>
        <v>1</v>
      </c>
      <c r="O16" s="144">
        <v>1</v>
      </c>
      <c r="P16" s="112">
        <v>15</v>
      </c>
      <c r="Q16" s="112">
        <v>15</v>
      </c>
      <c r="R16" s="113"/>
      <c r="S16" s="146"/>
      <c r="T16" s="147"/>
      <c r="U16" s="148">
        <f t="shared" si="1"/>
        <v>15</v>
      </c>
      <c r="V16" s="149">
        <f t="shared" si="2"/>
        <v>15</v>
      </c>
      <c r="W16" s="183"/>
      <c r="X16" s="183"/>
      <c r="Y16" s="183"/>
      <c r="Z16" s="151"/>
      <c r="AA16" s="153"/>
      <c r="AB16" s="154">
        <f t="shared" si="3"/>
        <v>0</v>
      </c>
      <c r="AC16" s="149">
        <f t="shared" si="4"/>
        <v>0</v>
      </c>
      <c r="AD16" s="125">
        <v>2</v>
      </c>
      <c r="AE16" s="148">
        <f t="shared" si="5"/>
        <v>2</v>
      </c>
      <c r="AF16" s="156"/>
      <c r="AG16" s="127"/>
      <c r="AH16" s="113">
        <f t="shared" si="6"/>
        <v>17</v>
      </c>
      <c r="AI16" s="157">
        <v>65</v>
      </c>
      <c r="AJ16" s="113">
        <f t="shared" si="7"/>
        <v>82</v>
      </c>
      <c r="AK16" s="113">
        <f t="shared" si="8"/>
        <v>82</v>
      </c>
      <c r="AL16" s="158">
        <f t="shared" si="9"/>
        <v>1.02</v>
      </c>
      <c r="AM16" s="159"/>
      <c r="AN16" s="160">
        <f t="shared" si="10"/>
        <v>1</v>
      </c>
      <c r="AO16" s="160">
        <f t="shared" si="10"/>
        <v>2</v>
      </c>
      <c r="AP16" s="133"/>
      <c r="AQ16" s="134"/>
      <c r="AR16" s="161"/>
      <c r="AS16" s="161"/>
      <c r="AT16" s="161"/>
      <c r="AU16" s="161"/>
      <c r="AV16" s="162"/>
      <c r="AW16" s="137">
        <f t="shared" si="11"/>
        <v>0</v>
      </c>
      <c r="AX16" s="137">
        <f t="shared" si="12"/>
        <v>0</v>
      </c>
    </row>
    <row r="17" ht="46.5" customHeight="1" spans="1:50" s="97" customFormat="1" x14ac:dyDescent="0.25">
      <c r="A17" s="98"/>
      <c r="B17" s="99"/>
      <c r="C17" s="102"/>
      <c r="D17" s="102"/>
      <c r="E17" s="224"/>
      <c r="F17" s="224"/>
      <c r="G17" s="103"/>
      <c r="H17" s="186"/>
      <c r="I17" s="166">
        <v>0.51</v>
      </c>
      <c r="J17" s="107">
        <v>0.49</v>
      </c>
      <c r="K17" s="107"/>
      <c r="L17" s="107"/>
      <c r="M17" s="187"/>
      <c r="N17" s="169">
        <f t="shared" si="0"/>
        <v>1</v>
      </c>
      <c r="O17" s="144">
        <v>1</v>
      </c>
      <c r="P17" s="112">
        <v>15</v>
      </c>
      <c r="Q17" s="112">
        <v>15</v>
      </c>
      <c r="R17" s="113"/>
      <c r="S17" s="113"/>
      <c r="T17" s="146"/>
      <c r="U17" s="148">
        <f t="shared" si="1"/>
        <v>15</v>
      </c>
      <c r="V17" s="149">
        <f t="shared" si="2"/>
        <v>15</v>
      </c>
      <c r="W17" s="188"/>
      <c r="X17" s="161"/>
      <c r="Y17" s="189"/>
      <c r="Z17" s="190"/>
      <c r="AA17" s="153"/>
      <c r="AB17" s="154">
        <f t="shared" si="3"/>
        <v>0</v>
      </c>
      <c r="AC17" s="149">
        <f t="shared" si="4"/>
        <v>0</v>
      </c>
      <c r="AD17" s="125">
        <v>2</v>
      </c>
      <c r="AE17" s="148">
        <f t="shared" si="5"/>
        <v>2</v>
      </c>
      <c r="AF17" s="156"/>
      <c r="AG17" s="156"/>
      <c r="AH17" s="113">
        <f t="shared" si="6"/>
        <v>17</v>
      </c>
      <c r="AI17" s="157">
        <v>65</v>
      </c>
      <c r="AJ17" s="113">
        <f t="shared" si="7"/>
        <v>82</v>
      </c>
      <c r="AK17" s="113">
        <f t="shared" si="8"/>
        <v>82</v>
      </c>
      <c r="AL17" s="158">
        <f t="shared" si="9"/>
        <v>1.02</v>
      </c>
      <c r="AM17" s="159"/>
      <c r="AN17" s="160">
        <f t="shared" si="10"/>
        <v>1</v>
      </c>
      <c r="AO17" s="160">
        <f t="shared" si="10"/>
        <v>2</v>
      </c>
      <c r="AP17" s="133"/>
      <c r="AQ17" s="134"/>
      <c r="AR17" s="161"/>
      <c r="AS17" s="161"/>
      <c r="AT17" s="161"/>
      <c r="AU17" s="161"/>
      <c r="AV17" s="162"/>
      <c r="AW17" s="137">
        <f t="shared" si="11"/>
        <v>0</v>
      </c>
      <c r="AX17" s="137">
        <f t="shared" si="12"/>
        <v>0</v>
      </c>
    </row>
    <row r="18" ht="46.5" customHeight="1" spans="1:50" s="97" customFormat="1" x14ac:dyDescent="0.25">
      <c r="A18" s="98"/>
      <c r="B18" s="102"/>
      <c r="C18" s="102"/>
      <c r="D18" s="100"/>
      <c r="E18" s="100"/>
      <c r="F18" s="224"/>
      <c r="G18" s="103"/>
      <c r="H18" s="186"/>
      <c r="I18" s="166">
        <v>0.51</v>
      </c>
      <c r="J18" s="107">
        <v>0.49</v>
      </c>
      <c r="K18" s="191"/>
      <c r="L18" s="107"/>
      <c r="M18" s="187"/>
      <c r="N18" s="169">
        <f t="shared" si="0"/>
        <v>1</v>
      </c>
      <c r="O18" s="144">
        <v>1</v>
      </c>
      <c r="P18" s="112">
        <v>15</v>
      </c>
      <c r="Q18" s="112">
        <v>15</v>
      </c>
      <c r="R18" s="113"/>
      <c r="S18" s="113"/>
      <c r="T18" s="146"/>
      <c r="U18" s="148">
        <f t="shared" si="1"/>
        <v>15</v>
      </c>
      <c r="V18" s="149">
        <f t="shared" si="2"/>
        <v>15</v>
      </c>
      <c r="W18" s="192"/>
      <c r="X18" s="120"/>
      <c r="Y18" s="120"/>
      <c r="Z18" s="190"/>
      <c r="AA18" s="153"/>
      <c r="AB18" s="154">
        <f t="shared" si="3"/>
        <v>0</v>
      </c>
      <c r="AC18" s="149">
        <f t="shared" si="4"/>
        <v>0</v>
      </c>
      <c r="AD18" s="125">
        <v>2</v>
      </c>
      <c r="AE18" s="148">
        <f t="shared" si="5"/>
        <v>2</v>
      </c>
      <c r="AF18" s="156"/>
      <c r="AG18" s="156"/>
      <c r="AH18" s="113">
        <f t="shared" si="6"/>
        <v>17</v>
      </c>
      <c r="AI18" s="157">
        <v>65</v>
      </c>
      <c r="AJ18" s="113">
        <f t="shared" si="7"/>
        <v>82</v>
      </c>
      <c r="AK18" s="113">
        <f t="shared" si="8"/>
        <v>82</v>
      </c>
      <c r="AL18" s="158">
        <f t="shared" si="9"/>
        <v>1.02</v>
      </c>
      <c r="AM18" s="159"/>
      <c r="AN18" s="160">
        <f t="shared" si="10"/>
        <v>1</v>
      </c>
      <c r="AO18" s="160">
        <f t="shared" si="10"/>
        <v>2</v>
      </c>
      <c r="AP18" s="133"/>
      <c r="AQ18" s="134"/>
      <c r="AR18" s="161"/>
      <c r="AS18" s="161"/>
      <c r="AT18" s="161"/>
      <c r="AU18" s="161"/>
      <c r="AV18" s="162"/>
      <c r="AW18" s="137">
        <f t="shared" si="11"/>
        <v>0</v>
      </c>
      <c r="AX18" s="137">
        <f t="shared" si="12"/>
        <v>0</v>
      </c>
    </row>
    <row r="19" ht="46.5" customHeight="1" spans="1:50" s="97" customFormat="1" x14ac:dyDescent="0.25">
      <c r="A19" s="98"/>
      <c r="B19" s="102"/>
      <c r="C19" s="102"/>
      <c r="D19" s="102"/>
      <c r="E19" s="100"/>
      <c r="F19" s="100"/>
      <c r="G19" s="103"/>
      <c r="H19" s="186"/>
      <c r="I19" s="166">
        <v>0.51</v>
      </c>
      <c r="J19" s="107">
        <v>0.49</v>
      </c>
      <c r="K19" s="107"/>
      <c r="L19" s="107"/>
      <c r="M19" s="187"/>
      <c r="N19" s="169">
        <f t="shared" si="0"/>
        <v>1</v>
      </c>
      <c r="O19" s="144">
        <v>1</v>
      </c>
      <c r="P19" s="145">
        <v>15</v>
      </c>
      <c r="Q19" s="113">
        <v>15</v>
      </c>
      <c r="R19" s="113"/>
      <c r="S19" s="113"/>
      <c r="T19" s="146"/>
      <c r="U19" s="148">
        <f t="shared" si="1"/>
        <v>15</v>
      </c>
      <c r="V19" s="149">
        <f t="shared" si="2"/>
        <v>15</v>
      </c>
      <c r="W19" s="192"/>
      <c r="X19" s="183"/>
      <c r="Y19" s="120"/>
      <c r="Z19" s="190"/>
      <c r="AA19" s="153"/>
      <c r="AB19" s="154">
        <f t="shared" si="3"/>
        <v>0</v>
      </c>
      <c r="AC19" s="149">
        <f t="shared" si="4"/>
        <v>0</v>
      </c>
      <c r="AD19" s="125">
        <v>2</v>
      </c>
      <c r="AE19" s="148">
        <f t="shared" si="5"/>
        <v>2</v>
      </c>
      <c r="AF19" s="156"/>
      <c r="AG19" s="156"/>
      <c r="AH19" s="113">
        <f t="shared" si="6"/>
        <v>17</v>
      </c>
      <c r="AI19" s="157">
        <v>65</v>
      </c>
      <c r="AJ19" s="113">
        <f t="shared" si="7"/>
        <v>82</v>
      </c>
      <c r="AK19" s="113">
        <f t="shared" si="8"/>
        <v>82</v>
      </c>
      <c r="AL19" s="158">
        <f t="shared" si="9"/>
        <v>1.02</v>
      </c>
      <c r="AM19" s="159"/>
      <c r="AN19" s="160">
        <f t="shared" si="10"/>
        <v>1</v>
      </c>
      <c r="AO19" s="160">
        <f t="shared" si="10"/>
        <v>2</v>
      </c>
      <c r="AP19" s="133"/>
      <c r="AQ19" s="134"/>
      <c r="AR19" s="161"/>
      <c r="AS19" s="161"/>
      <c r="AT19" s="161"/>
      <c r="AU19" s="161"/>
      <c r="AV19" s="162"/>
      <c r="AW19" s="137">
        <f t="shared" si="11"/>
        <v>0</v>
      </c>
      <c r="AX19" s="137">
        <f t="shared" si="12"/>
        <v>0</v>
      </c>
    </row>
    <row r="20" ht="46.5" customHeight="1" spans="1:50" s="97" customFormat="1" x14ac:dyDescent="0.25">
      <c r="A20" s="98"/>
      <c r="B20" s="102"/>
      <c r="C20" s="102"/>
      <c r="D20" s="102"/>
      <c r="E20" s="102"/>
      <c r="F20" s="100"/>
      <c r="G20" s="103"/>
      <c r="H20" s="186"/>
      <c r="I20" s="195">
        <v>0.51</v>
      </c>
      <c r="J20" s="107">
        <v>0.49</v>
      </c>
      <c r="K20" s="107"/>
      <c r="L20" s="107"/>
      <c r="M20" s="187"/>
      <c r="N20" s="169">
        <f t="shared" si="0"/>
        <v>1</v>
      </c>
      <c r="O20" s="144">
        <v>1</v>
      </c>
      <c r="P20" s="145">
        <v>15</v>
      </c>
      <c r="Q20" s="113">
        <v>15</v>
      </c>
      <c r="R20" s="113"/>
      <c r="S20" s="113"/>
      <c r="T20" s="146"/>
      <c r="U20" s="148">
        <f t="shared" si="1"/>
        <v>15</v>
      </c>
      <c r="V20" s="149">
        <f t="shared" si="2"/>
        <v>15</v>
      </c>
      <c r="W20" s="192"/>
      <c r="X20" s="183"/>
      <c r="Y20" s="183"/>
      <c r="Z20" s="190"/>
      <c r="AA20" s="153"/>
      <c r="AB20" s="154">
        <f t="shared" si="3"/>
        <v>0</v>
      </c>
      <c r="AC20" s="149">
        <f t="shared" si="4"/>
        <v>0</v>
      </c>
      <c r="AD20" s="125">
        <v>2</v>
      </c>
      <c r="AE20" s="148">
        <f t="shared" si="5"/>
        <v>2</v>
      </c>
      <c r="AF20" s="156"/>
      <c r="AG20" s="156"/>
      <c r="AH20" s="113">
        <f t="shared" si="6"/>
        <v>17</v>
      </c>
      <c r="AI20" s="157">
        <v>65</v>
      </c>
      <c r="AJ20" s="113">
        <f t="shared" si="7"/>
        <v>82</v>
      </c>
      <c r="AK20" s="113">
        <f t="shared" si="8"/>
        <v>82</v>
      </c>
      <c r="AL20" s="158">
        <f t="shared" si="9"/>
        <v>1.02</v>
      </c>
      <c r="AM20" s="159"/>
      <c r="AN20" s="160">
        <f t="shared" si="10"/>
        <v>1</v>
      </c>
      <c r="AO20" s="160">
        <f t="shared" si="10"/>
        <v>2</v>
      </c>
      <c r="AP20" s="133"/>
      <c r="AQ20" s="134"/>
      <c r="AR20" s="161"/>
      <c r="AS20" s="161"/>
      <c r="AT20" s="161"/>
      <c r="AU20" s="161"/>
      <c r="AV20" s="162"/>
      <c r="AW20" s="137">
        <f t="shared" si="11"/>
        <v>0</v>
      </c>
      <c r="AX20" s="137">
        <f t="shared" si="12"/>
        <v>0</v>
      </c>
    </row>
    <row r="21" ht="46.5" customHeight="1" spans="1:50" s="97" customFormat="1" x14ac:dyDescent="0.25">
      <c r="A21" s="98"/>
      <c r="B21" s="196"/>
      <c r="C21" s="100"/>
      <c r="D21" s="102"/>
      <c r="E21" s="100"/>
      <c r="F21" s="100"/>
      <c r="G21" s="103"/>
      <c r="H21" s="186"/>
      <c r="I21" s="195">
        <v>0.51</v>
      </c>
      <c r="J21" s="107">
        <v>0.49</v>
      </c>
      <c r="K21" s="107"/>
      <c r="L21" s="107"/>
      <c r="M21" s="187"/>
      <c r="N21" s="169">
        <f t="shared" si="0"/>
        <v>1</v>
      </c>
      <c r="O21" s="144">
        <v>1</v>
      </c>
      <c r="P21" s="145">
        <v>15</v>
      </c>
      <c r="Q21" s="113">
        <v>15</v>
      </c>
      <c r="R21" s="156"/>
      <c r="S21" s="113"/>
      <c r="T21" s="146"/>
      <c r="U21" s="148">
        <f t="shared" si="1"/>
        <v>15</v>
      </c>
      <c r="V21" s="149">
        <f t="shared" si="2"/>
        <v>15</v>
      </c>
      <c r="W21" s="197"/>
      <c r="X21" s="120"/>
      <c r="Y21" s="183"/>
      <c r="Z21" s="190"/>
      <c r="AA21" s="153"/>
      <c r="AB21" s="154">
        <f t="shared" si="3"/>
        <v>0</v>
      </c>
      <c r="AC21" s="149">
        <f t="shared" si="4"/>
        <v>0</v>
      </c>
      <c r="AD21" s="125">
        <v>2</v>
      </c>
      <c r="AE21" s="148">
        <f t="shared" si="5"/>
        <v>2</v>
      </c>
      <c r="AF21" s="156"/>
      <c r="AG21" s="156"/>
      <c r="AH21" s="113">
        <f t="shared" si="6"/>
        <v>17</v>
      </c>
      <c r="AI21" s="157">
        <v>65</v>
      </c>
      <c r="AJ21" s="113">
        <f t="shared" si="7"/>
        <v>82</v>
      </c>
      <c r="AK21" s="113">
        <f t="shared" si="8"/>
        <v>82</v>
      </c>
      <c r="AL21" s="158">
        <f t="shared" si="9"/>
        <v>1.02</v>
      </c>
      <c r="AM21" s="159"/>
      <c r="AN21" s="160">
        <f t="shared" si="10"/>
        <v>1</v>
      </c>
      <c r="AO21" s="160">
        <f t="shared" si="10"/>
        <v>2</v>
      </c>
      <c r="AP21" s="133"/>
      <c r="AQ21" s="134"/>
      <c r="AR21" s="161"/>
      <c r="AS21" s="161"/>
      <c r="AT21" s="161"/>
      <c r="AU21" s="161"/>
      <c r="AV21" s="162"/>
      <c r="AW21" s="137">
        <f t="shared" si="11"/>
        <v>0</v>
      </c>
      <c r="AX21" s="137">
        <f t="shared" si="12"/>
        <v>0</v>
      </c>
    </row>
    <row r="22" ht="46.5" customHeight="1" spans="1:50" s="97" customFormat="1" x14ac:dyDescent="0.25">
      <c r="A22" s="100"/>
      <c r="B22" s="100"/>
      <c r="C22" s="100"/>
      <c r="D22" s="100"/>
      <c r="E22" s="100"/>
      <c r="F22" s="100"/>
      <c r="G22" s="103"/>
      <c r="H22" s="186"/>
      <c r="I22" s="195">
        <v>0.51</v>
      </c>
      <c r="J22" s="107">
        <v>0.49</v>
      </c>
      <c r="K22" s="107"/>
      <c r="L22" s="107"/>
      <c r="M22" s="187"/>
      <c r="N22" s="169">
        <f t="shared" si="0"/>
        <v>1</v>
      </c>
      <c r="O22" s="144">
        <v>1</v>
      </c>
      <c r="P22" s="145">
        <v>15</v>
      </c>
      <c r="Q22" s="113">
        <v>15</v>
      </c>
      <c r="R22" s="113"/>
      <c r="S22" s="113"/>
      <c r="T22" s="146"/>
      <c r="U22" s="148">
        <f t="shared" si="1"/>
        <v>15</v>
      </c>
      <c r="V22" s="149">
        <f t="shared" si="2"/>
        <v>15</v>
      </c>
      <c r="W22" s="189"/>
      <c r="X22" s="199"/>
      <c r="Y22" s="151"/>
      <c r="Z22" s="190"/>
      <c r="AA22" s="153"/>
      <c r="AB22" s="154">
        <f t="shared" si="3"/>
        <v>0</v>
      </c>
      <c r="AC22" s="149">
        <f t="shared" si="4"/>
        <v>0</v>
      </c>
      <c r="AD22" s="125">
        <v>2</v>
      </c>
      <c r="AE22" s="148">
        <f t="shared" si="5"/>
        <v>2</v>
      </c>
      <c r="AF22" s="156"/>
      <c r="AG22" s="156"/>
      <c r="AH22" s="113">
        <f t="shared" si="6"/>
        <v>17</v>
      </c>
      <c r="AI22" s="157">
        <v>65</v>
      </c>
      <c r="AJ22" s="113">
        <f t="shared" si="7"/>
        <v>82</v>
      </c>
      <c r="AK22" s="113">
        <f t="shared" si="8"/>
        <v>82</v>
      </c>
      <c r="AL22" s="158">
        <f t="shared" si="9"/>
        <v>1.02</v>
      </c>
      <c r="AM22" s="159"/>
      <c r="AN22" s="160">
        <f t="shared" si="10"/>
        <v>1</v>
      </c>
      <c r="AO22" s="160">
        <f t="shared" si="10"/>
        <v>2</v>
      </c>
      <c r="AP22" s="133"/>
      <c r="AQ22" s="134"/>
      <c r="AR22" s="161"/>
      <c r="AS22" s="161"/>
      <c r="AT22" s="161"/>
      <c r="AU22" s="161"/>
      <c r="AV22" s="162"/>
      <c r="AW22" s="137">
        <f t="shared" si="11"/>
        <v>0</v>
      </c>
      <c r="AX22" s="137">
        <f t="shared" si="12"/>
        <v>0</v>
      </c>
    </row>
    <row r="23" ht="46.5" customHeight="1" spans="1:50" s="97" customFormat="1" x14ac:dyDescent="0.25">
      <c r="A23" s="100"/>
      <c r="B23" s="100"/>
      <c r="C23" s="100"/>
      <c r="D23" s="100"/>
      <c r="E23" s="100"/>
      <c r="F23" s="100"/>
      <c r="G23" s="103"/>
      <c r="H23" s="186"/>
      <c r="I23" s="195">
        <v>0.51</v>
      </c>
      <c r="J23" s="107">
        <v>0.49</v>
      </c>
      <c r="K23" s="107"/>
      <c r="L23" s="107"/>
      <c r="M23" s="187"/>
      <c r="N23" s="169">
        <f t="shared" si="0"/>
        <v>1</v>
      </c>
      <c r="O23" s="144">
        <v>1</v>
      </c>
      <c r="P23" s="145">
        <v>15</v>
      </c>
      <c r="Q23" s="113">
        <v>15</v>
      </c>
      <c r="R23" s="113"/>
      <c r="S23" s="113"/>
      <c r="T23" s="146"/>
      <c r="U23" s="148">
        <f t="shared" si="1"/>
        <v>15</v>
      </c>
      <c r="V23" s="149">
        <f t="shared" si="2"/>
        <v>15</v>
      </c>
      <c r="W23" s="189"/>
      <c r="X23" s="199"/>
      <c r="Y23" s="151"/>
      <c r="Z23" s="190"/>
      <c r="AA23" s="153"/>
      <c r="AB23" s="154">
        <f t="shared" si="3"/>
        <v>0</v>
      </c>
      <c r="AC23" s="149">
        <f t="shared" si="4"/>
        <v>0</v>
      </c>
      <c r="AD23" s="125">
        <v>2</v>
      </c>
      <c r="AE23" s="148">
        <f t="shared" si="5"/>
        <v>2</v>
      </c>
      <c r="AF23" s="156"/>
      <c r="AG23" s="156"/>
      <c r="AH23" s="113">
        <f t="shared" si="6"/>
        <v>17</v>
      </c>
      <c r="AI23" s="157">
        <v>65</v>
      </c>
      <c r="AJ23" s="113">
        <f t="shared" si="7"/>
        <v>82</v>
      </c>
      <c r="AK23" s="113">
        <f t="shared" si="8"/>
        <v>82</v>
      </c>
      <c r="AL23" s="158">
        <f t="shared" si="9"/>
        <v>1.02</v>
      </c>
      <c r="AM23" s="159"/>
      <c r="AN23" s="160">
        <f t="shared" si="10"/>
        <v>1</v>
      </c>
      <c r="AO23" s="160">
        <f t="shared" si="10"/>
        <v>2</v>
      </c>
      <c r="AP23" s="133"/>
      <c r="AQ23" s="134"/>
      <c r="AR23" s="161"/>
      <c r="AS23" s="161"/>
      <c r="AT23" s="161"/>
      <c r="AU23" s="161"/>
      <c r="AV23" s="162"/>
      <c r="AW23" s="137">
        <f t="shared" si="11"/>
        <v>0</v>
      </c>
      <c r="AX23" s="137">
        <f t="shared" si="12"/>
        <v>0</v>
      </c>
    </row>
    <row r="24" ht="46.5" customHeight="1" spans="1:50" s="97" customFormat="1" x14ac:dyDescent="0.25">
      <c r="A24" s="100"/>
      <c r="B24" s="100"/>
      <c r="C24" s="100"/>
      <c r="D24" s="100"/>
      <c r="E24" s="100"/>
      <c r="F24" s="100"/>
      <c r="G24" s="103"/>
      <c r="H24" s="186"/>
      <c r="I24" s="195">
        <v>0.51</v>
      </c>
      <c r="J24" s="107">
        <v>0.49</v>
      </c>
      <c r="K24" s="107"/>
      <c r="L24" s="107"/>
      <c r="M24" s="187"/>
      <c r="N24" s="169">
        <f t="shared" si="0"/>
        <v>1</v>
      </c>
      <c r="O24" s="144">
        <v>1</v>
      </c>
      <c r="P24" s="145">
        <v>15</v>
      </c>
      <c r="Q24" s="113">
        <v>15</v>
      </c>
      <c r="R24" s="113"/>
      <c r="S24" s="113"/>
      <c r="T24" s="146"/>
      <c r="U24" s="148">
        <f t="shared" si="1"/>
        <v>15</v>
      </c>
      <c r="V24" s="149">
        <f t="shared" si="2"/>
        <v>15</v>
      </c>
      <c r="W24" s="189"/>
      <c r="X24" s="199"/>
      <c r="Y24" s="151"/>
      <c r="Z24" s="190"/>
      <c r="AA24" s="153"/>
      <c r="AB24" s="154">
        <f t="shared" si="3"/>
        <v>0</v>
      </c>
      <c r="AC24" s="149">
        <f t="shared" si="4"/>
        <v>0</v>
      </c>
      <c r="AD24" s="125">
        <v>2</v>
      </c>
      <c r="AE24" s="148">
        <f t="shared" si="5"/>
        <v>2</v>
      </c>
      <c r="AF24" s="156"/>
      <c r="AG24" s="156"/>
      <c r="AH24" s="113">
        <f t="shared" si="6"/>
        <v>17</v>
      </c>
      <c r="AI24" s="157">
        <v>65</v>
      </c>
      <c r="AJ24" s="113">
        <f t="shared" si="7"/>
        <v>82</v>
      </c>
      <c r="AK24" s="113">
        <f t="shared" si="8"/>
        <v>82</v>
      </c>
      <c r="AL24" s="158">
        <f t="shared" si="9"/>
        <v>1.02</v>
      </c>
      <c r="AM24" s="159"/>
      <c r="AN24" s="160">
        <f t="shared" si="10"/>
        <v>1</v>
      </c>
      <c r="AO24" s="160">
        <f t="shared" si="10"/>
        <v>2</v>
      </c>
      <c r="AP24" s="133"/>
      <c r="AQ24" s="134"/>
      <c r="AR24" s="161"/>
      <c r="AS24" s="161"/>
      <c r="AT24" s="161"/>
      <c r="AU24" s="161"/>
      <c r="AV24" s="162"/>
      <c r="AW24" s="137">
        <f t="shared" si="11"/>
        <v>0</v>
      </c>
      <c r="AX24" s="137">
        <f t="shared" si="12"/>
        <v>0</v>
      </c>
    </row>
    <row r="25" ht="46.5" customHeight="1" spans="1:50" s="97" customFormat="1" x14ac:dyDescent="0.25">
      <c r="A25" s="100"/>
      <c r="B25" s="100"/>
      <c r="C25" s="100"/>
      <c r="D25" s="100"/>
      <c r="E25" s="100"/>
      <c r="F25" s="100"/>
      <c r="G25" s="103"/>
      <c r="H25" s="186"/>
      <c r="I25" s="195">
        <v>0.51</v>
      </c>
      <c r="J25" s="107">
        <v>0.49</v>
      </c>
      <c r="K25" s="107"/>
      <c r="L25" s="107"/>
      <c r="M25" s="187"/>
      <c r="N25" s="169">
        <f t="shared" si="0"/>
        <v>1</v>
      </c>
      <c r="O25" s="144">
        <v>1</v>
      </c>
      <c r="P25" s="145">
        <v>15</v>
      </c>
      <c r="Q25" s="113">
        <v>15</v>
      </c>
      <c r="R25" s="113"/>
      <c r="S25" s="113"/>
      <c r="T25" s="146"/>
      <c r="U25" s="148">
        <f t="shared" si="1"/>
        <v>15</v>
      </c>
      <c r="V25" s="149">
        <f t="shared" si="2"/>
        <v>15</v>
      </c>
      <c r="W25" s="189"/>
      <c r="X25" s="199"/>
      <c r="Y25" s="151"/>
      <c r="Z25" s="190"/>
      <c r="AA25" s="153"/>
      <c r="AB25" s="154">
        <f t="shared" si="3"/>
        <v>0</v>
      </c>
      <c r="AC25" s="149">
        <f t="shared" si="4"/>
        <v>0</v>
      </c>
      <c r="AD25" s="125">
        <v>2</v>
      </c>
      <c r="AE25" s="148">
        <f t="shared" si="5"/>
        <v>2</v>
      </c>
      <c r="AF25" s="156"/>
      <c r="AG25" s="156"/>
      <c r="AH25" s="113">
        <f t="shared" si="6"/>
        <v>17</v>
      </c>
      <c r="AI25" s="157">
        <v>65</v>
      </c>
      <c r="AJ25" s="113">
        <f t="shared" si="7"/>
        <v>82</v>
      </c>
      <c r="AK25" s="113">
        <f t="shared" si="8"/>
        <v>82</v>
      </c>
      <c r="AL25" s="158">
        <f t="shared" si="9"/>
        <v>1.02</v>
      </c>
      <c r="AM25" s="159"/>
      <c r="AN25" s="160">
        <f t="shared" si="10"/>
        <v>1</v>
      </c>
      <c r="AO25" s="160">
        <f t="shared" si="10"/>
        <v>2</v>
      </c>
      <c r="AP25" s="133"/>
      <c r="AQ25" s="134"/>
      <c r="AR25" s="161"/>
      <c r="AS25" s="161"/>
      <c r="AT25" s="161"/>
      <c r="AU25" s="161"/>
      <c r="AV25" s="162"/>
      <c r="AW25" s="137">
        <f t="shared" si="11"/>
        <v>0</v>
      </c>
      <c r="AX25" s="137">
        <f t="shared" si="12"/>
        <v>0</v>
      </c>
    </row>
    <row r="26" ht="46.5" customHeight="1" spans="1:50" s="97" customFormat="1" x14ac:dyDescent="0.25">
      <c r="A26" s="100"/>
      <c r="B26" s="100"/>
      <c r="C26" s="100"/>
      <c r="D26" s="100"/>
      <c r="E26" s="100"/>
      <c r="F26" s="100"/>
      <c r="G26" s="103"/>
      <c r="H26" s="186"/>
      <c r="I26" s="195">
        <v>0.51</v>
      </c>
      <c r="J26" s="107">
        <v>0.49</v>
      </c>
      <c r="K26" s="107"/>
      <c r="L26" s="107"/>
      <c r="M26" s="187"/>
      <c r="N26" s="169">
        <f t="shared" si="0"/>
        <v>1</v>
      </c>
      <c r="O26" s="144">
        <v>1</v>
      </c>
      <c r="P26" s="145">
        <v>15</v>
      </c>
      <c r="Q26" s="113">
        <v>15</v>
      </c>
      <c r="R26" s="113"/>
      <c r="S26" s="113"/>
      <c r="T26" s="146"/>
      <c r="U26" s="148">
        <f t="shared" si="1"/>
        <v>15</v>
      </c>
      <c r="V26" s="149">
        <f t="shared" si="2"/>
        <v>15</v>
      </c>
      <c r="W26" s="189"/>
      <c r="X26" s="199"/>
      <c r="Y26" s="151"/>
      <c r="Z26" s="190"/>
      <c r="AA26" s="153"/>
      <c r="AB26" s="154">
        <f t="shared" si="3"/>
        <v>0</v>
      </c>
      <c r="AC26" s="149">
        <f t="shared" si="4"/>
        <v>0</v>
      </c>
      <c r="AD26" s="125">
        <v>2</v>
      </c>
      <c r="AE26" s="148">
        <f t="shared" si="5"/>
        <v>2</v>
      </c>
      <c r="AF26" s="156"/>
      <c r="AG26" s="156"/>
      <c r="AH26" s="113">
        <f t="shared" si="6"/>
        <v>17</v>
      </c>
      <c r="AI26" s="157">
        <v>65</v>
      </c>
      <c r="AJ26" s="113">
        <f t="shared" si="7"/>
        <v>82</v>
      </c>
      <c r="AK26" s="113">
        <f t="shared" si="8"/>
        <v>82</v>
      </c>
      <c r="AL26" s="158">
        <f t="shared" si="9"/>
        <v>1.02</v>
      </c>
      <c r="AM26" s="159"/>
      <c r="AN26" s="160">
        <f t="shared" si="10"/>
        <v>1</v>
      </c>
      <c r="AO26" s="160">
        <f t="shared" si="10"/>
        <v>2</v>
      </c>
      <c r="AP26" s="133"/>
      <c r="AQ26" s="134"/>
      <c r="AR26" s="161"/>
      <c r="AS26" s="161"/>
      <c r="AT26" s="161"/>
      <c r="AU26" s="161"/>
      <c r="AV26" s="162"/>
      <c r="AW26" s="137">
        <f t="shared" si="11"/>
        <v>0</v>
      </c>
      <c r="AX26" s="137">
        <f t="shared" si="12"/>
        <v>0</v>
      </c>
    </row>
    <row r="27" ht="46.5" customHeight="1" spans="1:50" s="97" customFormat="1" x14ac:dyDescent="0.25">
      <c r="A27" s="100"/>
      <c r="B27" s="100"/>
      <c r="C27" s="100"/>
      <c r="D27" s="100"/>
      <c r="E27" s="100"/>
      <c r="F27" s="100"/>
      <c r="G27" s="103"/>
      <c r="H27" s="186"/>
      <c r="I27" s="195">
        <v>0.51</v>
      </c>
      <c r="J27" s="107">
        <v>0.49</v>
      </c>
      <c r="K27" s="107"/>
      <c r="L27" s="107"/>
      <c r="M27" s="187"/>
      <c r="N27" s="169">
        <f t="shared" si="0"/>
        <v>1</v>
      </c>
      <c r="O27" s="144">
        <v>1</v>
      </c>
      <c r="P27" s="145">
        <v>15</v>
      </c>
      <c r="Q27" s="113">
        <v>15</v>
      </c>
      <c r="R27" s="113"/>
      <c r="S27" s="113"/>
      <c r="T27" s="146"/>
      <c r="U27" s="148">
        <f t="shared" si="1"/>
        <v>15</v>
      </c>
      <c r="V27" s="149">
        <f t="shared" si="2"/>
        <v>15</v>
      </c>
      <c r="W27" s="189"/>
      <c r="X27" s="199"/>
      <c r="Y27" s="151"/>
      <c r="Z27" s="190"/>
      <c r="AA27" s="153"/>
      <c r="AB27" s="154">
        <f t="shared" si="3"/>
        <v>0</v>
      </c>
      <c r="AC27" s="149">
        <f t="shared" si="4"/>
        <v>0</v>
      </c>
      <c r="AD27" s="125">
        <v>2</v>
      </c>
      <c r="AE27" s="148">
        <f t="shared" si="5"/>
        <v>2</v>
      </c>
      <c r="AF27" s="156"/>
      <c r="AG27" s="156"/>
      <c r="AH27" s="113">
        <f t="shared" si="6"/>
        <v>17</v>
      </c>
      <c r="AI27" s="157">
        <v>65</v>
      </c>
      <c r="AJ27" s="113">
        <f t="shared" si="7"/>
        <v>82</v>
      </c>
      <c r="AK27" s="113">
        <f t="shared" si="8"/>
        <v>82</v>
      </c>
      <c r="AL27" s="158">
        <f t="shared" si="9"/>
        <v>1.02</v>
      </c>
      <c r="AM27" s="159"/>
      <c r="AN27" s="160">
        <f t="shared" si="10"/>
        <v>1</v>
      </c>
      <c r="AO27" s="160">
        <f t="shared" si="10"/>
        <v>2</v>
      </c>
      <c r="AP27" s="133"/>
      <c r="AQ27" s="134"/>
      <c r="AR27" s="161"/>
      <c r="AS27" s="161"/>
      <c r="AT27" s="161"/>
      <c r="AU27" s="161"/>
      <c r="AV27" s="162"/>
      <c r="AW27" s="137">
        <f t="shared" si="11"/>
        <v>0</v>
      </c>
      <c r="AX27" s="137">
        <f t="shared" si="12"/>
        <v>0</v>
      </c>
    </row>
    <row r="28" ht="46.5" customHeight="1" spans="1:50" s="97" customFormat="1" x14ac:dyDescent="0.25">
      <c r="A28" s="100"/>
      <c r="B28" s="100"/>
      <c r="C28" s="100"/>
      <c r="D28" s="100"/>
      <c r="E28" s="100"/>
      <c r="F28" s="100"/>
      <c r="G28" s="103"/>
      <c r="H28" s="186"/>
      <c r="I28" s="195">
        <v>0.51</v>
      </c>
      <c r="J28" s="107">
        <v>0.49</v>
      </c>
      <c r="K28" s="107"/>
      <c r="L28" s="107"/>
      <c r="M28" s="187"/>
      <c r="N28" s="169">
        <f t="shared" si="0"/>
        <v>1</v>
      </c>
      <c r="O28" s="144">
        <v>1</v>
      </c>
      <c r="P28" s="145">
        <v>15</v>
      </c>
      <c r="Q28" s="113">
        <v>15</v>
      </c>
      <c r="R28" s="113"/>
      <c r="S28" s="113"/>
      <c r="T28" s="146"/>
      <c r="U28" s="148">
        <f t="shared" si="1"/>
        <v>15</v>
      </c>
      <c r="V28" s="149">
        <f t="shared" si="2"/>
        <v>15</v>
      </c>
      <c r="W28" s="189"/>
      <c r="X28" s="199"/>
      <c r="Y28" s="151"/>
      <c r="Z28" s="190"/>
      <c r="AA28" s="153"/>
      <c r="AB28" s="154">
        <f t="shared" si="3"/>
        <v>0</v>
      </c>
      <c r="AC28" s="149">
        <f t="shared" si="4"/>
        <v>0</v>
      </c>
      <c r="AD28" s="125">
        <v>2</v>
      </c>
      <c r="AE28" s="148">
        <f t="shared" si="5"/>
        <v>2</v>
      </c>
      <c r="AF28" s="156"/>
      <c r="AG28" s="156"/>
      <c r="AH28" s="113">
        <f t="shared" si="6"/>
        <v>17</v>
      </c>
      <c r="AI28" s="157">
        <v>65</v>
      </c>
      <c r="AJ28" s="113">
        <f t="shared" si="7"/>
        <v>82</v>
      </c>
      <c r="AK28" s="113">
        <f t="shared" si="8"/>
        <v>82</v>
      </c>
      <c r="AL28" s="158">
        <f t="shared" si="9"/>
        <v>1.02</v>
      </c>
      <c r="AM28" s="159"/>
      <c r="AN28" s="160">
        <f t="shared" si="10"/>
        <v>1</v>
      </c>
      <c r="AO28" s="160">
        <f t="shared" si="10"/>
        <v>2</v>
      </c>
      <c r="AP28" s="133"/>
      <c r="AQ28" s="134"/>
      <c r="AR28" s="161"/>
      <c r="AS28" s="161"/>
      <c r="AT28" s="161"/>
      <c r="AU28" s="161"/>
      <c r="AV28" s="162"/>
      <c r="AW28" s="137">
        <f t="shared" si="11"/>
        <v>0</v>
      </c>
      <c r="AX28" s="137">
        <f t="shared" si="12"/>
        <v>0</v>
      </c>
    </row>
    <row r="29" ht="46.5" customHeight="1" spans="1:50" s="97" customFormat="1" x14ac:dyDescent="0.25">
      <c r="A29" s="100"/>
      <c r="B29" s="100"/>
      <c r="C29" s="100"/>
      <c r="D29" s="100"/>
      <c r="E29" s="100"/>
      <c r="F29" s="100"/>
      <c r="G29" s="103"/>
      <c r="H29" s="186"/>
      <c r="I29" s="195">
        <v>0.51</v>
      </c>
      <c r="J29" s="107">
        <v>0.49</v>
      </c>
      <c r="K29" s="107"/>
      <c r="L29" s="107"/>
      <c r="M29" s="187"/>
      <c r="N29" s="169">
        <f t="shared" si="0"/>
        <v>1</v>
      </c>
      <c r="O29" s="144">
        <v>1</v>
      </c>
      <c r="P29" s="145">
        <v>15</v>
      </c>
      <c r="Q29" s="113">
        <v>15</v>
      </c>
      <c r="R29" s="113"/>
      <c r="S29" s="113"/>
      <c r="T29" s="146"/>
      <c r="U29" s="148">
        <f t="shared" si="1"/>
        <v>15</v>
      </c>
      <c r="V29" s="149">
        <f t="shared" si="2"/>
        <v>15</v>
      </c>
      <c r="W29" s="189"/>
      <c r="X29" s="199"/>
      <c r="Y29" s="151"/>
      <c r="Z29" s="190"/>
      <c r="AA29" s="153"/>
      <c r="AB29" s="154">
        <f t="shared" si="3"/>
        <v>0</v>
      </c>
      <c r="AC29" s="149">
        <f t="shared" si="4"/>
        <v>0</v>
      </c>
      <c r="AD29" s="125">
        <v>2</v>
      </c>
      <c r="AE29" s="148">
        <f t="shared" si="5"/>
        <v>2</v>
      </c>
      <c r="AF29" s="156"/>
      <c r="AG29" s="156"/>
      <c r="AH29" s="113">
        <f t="shared" si="6"/>
        <v>17</v>
      </c>
      <c r="AI29" s="157">
        <v>65</v>
      </c>
      <c r="AJ29" s="113">
        <f t="shared" si="7"/>
        <v>82</v>
      </c>
      <c r="AK29" s="113">
        <f t="shared" si="8"/>
        <v>82</v>
      </c>
      <c r="AL29" s="158">
        <f t="shared" si="9"/>
        <v>1.02</v>
      </c>
      <c r="AM29" s="159"/>
      <c r="AN29" s="160">
        <f t="shared" si="10"/>
        <v>1</v>
      </c>
      <c r="AO29" s="160">
        <f t="shared" si="10"/>
        <v>2</v>
      </c>
      <c r="AP29" s="133"/>
      <c r="AQ29" s="134"/>
      <c r="AR29" s="161"/>
      <c r="AS29" s="161"/>
      <c r="AT29" s="161"/>
      <c r="AU29" s="161"/>
      <c r="AV29" s="162"/>
      <c r="AW29" s="137">
        <f t="shared" si="11"/>
        <v>0</v>
      </c>
      <c r="AX29" s="137">
        <f t="shared" si="12"/>
        <v>0</v>
      </c>
    </row>
    <row r="30" ht="46.5" customHeight="1" spans="1:50" s="97" customFormat="1" x14ac:dyDescent="0.25">
      <c r="A30" s="100"/>
      <c r="B30" s="100"/>
      <c r="C30" s="100"/>
      <c r="D30" s="100"/>
      <c r="E30" s="100"/>
      <c r="F30" s="100"/>
      <c r="G30" s="103"/>
      <c r="H30" s="186"/>
      <c r="I30" s="195">
        <v>0.51</v>
      </c>
      <c r="J30" s="107">
        <v>0.49</v>
      </c>
      <c r="K30" s="107"/>
      <c r="L30" s="107"/>
      <c r="M30" s="187"/>
      <c r="N30" s="169">
        <f t="shared" si="0"/>
        <v>1</v>
      </c>
      <c r="O30" s="144">
        <v>1</v>
      </c>
      <c r="P30" s="145">
        <v>15</v>
      </c>
      <c r="Q30" s="113">
        <v>15</v>
      </c>
      <c r="R30" s="113"/>
      <c r="S30" s="113"/>
      <c r="T30" s="146"/>
      <c r="U30" s="148">
        <f t="shared" si="1"/>
        <v>15</v>
      </c>
      <c r="V30" s="149">
        <f t="shared" si="2"/>
        <v>15</v>
      </c>
      <c r="W30" s="189"/>
      <c r="X30" s="199"/>
      <c r="Y30" s="151"/>
      <c r="Z30" s="190"/>
      <c r="AA30" s="153"/>
      <c r="AB30" s="154">
        <f t="shared" si="3"/>
        <v>0</v>
      </c>
      <c r="AC30" s="149">
        <f t="shared" si="4"/>
        <v>0</v>
      </c>
      <c r="AD30" s="125">
        <v>2</v>
      </c>
      <c r="AE30" s="148">
        <f t="shared" si="5"/>
        <v>2</v>
      </c>
      <c r="AF30" s="156"/>
      <c r="AG30" s="156"/>
      <c r="AH30" s="113">
        <f t="shared" si="6"/>
        <v>17</v>
      </c>
      <c r="AI30" s="157">
        <v>65</v>
      </c>
      <c r="AJ30" s="113">
        <f t="shared" si="7"/>
        <v>82</v>
      </c>
      <c r="AK30" s="113">
        <f t="shared" si="8"/>
        <v>82</v>
      </c>
      <c r="AL30" s="158">
        <f t="shared" si="9"/>
        <v>1.02</v>
      </c>
      <c r="AM30" s="159"/>
      <c r="AN30" s="160">
        <f t="shared" si="10"/>
        <v>1</v>
      </c>
      <c r="AO30" s="160">
        <f t="shared" si="10"/>
        <v>2</v>
      </c>
      <c r="AP30" s="133"/>
      <c r="AQ30" s="134"/>
      <c r="AR30" s="161"/>
      <c r="AS30" s="161"/>
      <c r="AT30" s="161"/>
      <c r="AU30" s="161"/>
      <c r="AV30" s="162"/>
      <c r="AW30" s="137">
        <f t="shared" si="11"/>
        <v>0</v>
      </c>
      <c r="AX30" s="137">
        <f t="shared" si="12"/>
        <v>0</v>
      </c>
    </row>
    <row r="31" ht="46.5" customHeight="1" spans="1:50" s="97" customFormat="1" x14ac:dyDescent="0.25">
      <c r="A31" s="100"/>
      <c r="B31" s="100"/>
      <c r="C31" s="100"/>
      <c r="D31" s="100"/>
      <c r="E31" s="100"/>
      <c r="F31" s="100"/>
      <c r="G31" s="103"/>
      <c r="H31" s="186"/>
      <c r="I31" s="195">
        <v>0.51</v>
      </c>
      <c r="J31" s="107">
        <v>0.49</v>
      </c>
      <c r="K31" s="107"/>
      <c r="L31" s="107"/>
      <c r="M31" s="187"/>
      <c r="N31" s="169">
        <f t="shared" si="0"/>
        <v>1</v>
      </c>
      <c r="O31" s="144">
        <v>1</v>
      </c>
      <c r="P31" s="145">
        <v>15</v>
      </c>
      <c r="Q31" s="113">
        <v>15</v>
      </c>
      <c r="R31" s="113"/>
      <c r="S31" s="113"/>
      <c r="T31" s="146"/>
      <c r="U31" s="148">
        <f t="shared" si="1"/>
        <v>15</v>
      </c>
      <c r="V31" s="149">
        <f t="shared" si="2"/>
        <v>15</v>
      </c>
      <c r="W31" s="189"/>
      <c r="X31" s="199"/>
      <c r="Y31" s="151"/>
      <c r="Z31" s="190"/>
      <c r="AA31" s="153"/>
      <c r="AB31" s="154">
        <f t="shared" si="3"/>
        <v>0</v>
      </c>
      <c r="AC31" s="149">
        <f t="shared" si="4"/>
        <v>0</v>
      </c>
      <c r="AD31" s="125">
        <v>2</v>
      </c>
      <c r="AE31" s="148">
        <f t="shared" si="5"/>
        <v>2</v>
      </c>
      <c r="AF31" s="156"/>
      <c r="AG31" s="156"/>
      <c r="AH31" s="113">
        <f t="shared" si="6"/>
        <v>17</v>
      </c>
      <c r="AI31" s="157">
        <v>65</v>
      </c>
      <c r="AJ31" s="113">
        <f t="shared" si="7"/>
        <v>82</v>
      </c>
      <c r="AK31" s="113">
        <f t="shared" si="8"/>
        <v>82</v>
      </c>
      <c r="AL31" s="158">
        <f t="shared" si="9"/>
        <v>1.02</v>
      </c>
      <c r="AM31" s="159"/>
      <c r="AN31" s="160">
        <f t="shared" ref="AN31:AO50" si="13">100%+AM31</f>
        <v>1</v>
      </c>
      <c r="AO31" s="160">
        <f t="shared" si="13"/>
        <v>2</v>
      </c>
      <c r="AP31" s="133"/>
      <c r="AQ31" s="134"/>
      <c r="AR31" s="161"/>
      <c r="AS31" s="161"/>
      <c r="AT31" s="161"/>
      <c r="AU31" s="161"/>
      <c r="AV31" s="162"/>
      <c r="AW31" s="137">
        <f t="shared" si="11"/>
        <v>0</v>
      </c>
      <c r="AX31" s="137">
        <f t="shared" si="12"/>
        <v>0</v>
      </c>
    </row>
    <row r="32" ht="46.5" customHeight="1" spans="1:50" s="97" customFormat="1" x14ac:dyDescent="0.25">
      <c r="A32" s="100"/>
      <c r="B32" s="100"/>
      <c r="C32" s="100"/>
      <c r="D32" s="100"/>
      <c r="E32" s="100"/>
      <c r="F32" s="100"/>
      <c r="G32" s="103"/>
      <c r="H32" s="186"/>
      <c r="I32" s="195">
        <v>0.51</v>
      </c>
      <c r="J32" s="107">
        <v>0.49</v>
      </c>
      <c r="K32" s="107"/>
      <c r="L32" s="107"/>
      <c r="M32" s="187"/>
      <c r="N32" s="169">
        <f t="shared" si="0"/>
        <v>1</v>
      </c>
      <c r="O32" s="144">
        <v>1</v>
      </c>
      <c r="P32" s="145">
        <v>15</v>
      </c>
      <c r="Q32" s="113">
        <v>15</v>
      </c>
      <c r="R32" s="113"/>
      <c r="S32" s="113"/>
      <c r="T32" s="146"/>
      <c r="U32" s="148">
        <f t="shared" si="1"/>
        <v>15</v>
      </c>
      <c r="V32" s="149">
        <f t="shared" si="2"/>
        <v>15</v>
      </c>
      <c r="W32" s="189"/>
      <c r="X32" s="199"/>
      <c r="Y32" s="151"/>
      <c r="Z32" s="190"/>
      <c r="AA32" s="153"/>
      <c r="AB32" s="154">
        <f t="shared" si="3"/>
        <v>0</v>
      </c>
      <c r="AC32" s="149">
        <f t="shared" si="4"/>
        <v>0</v>
      </c>
      <c r="AD32" s="125">
        <v>2</v>
      </c>
      <c r="AE32" s="148">
        <f t="shared" si="5"/>
        <v>2</v>
      </c>
      <c r="AF32" s="156"/>
      <c r="AG32" s="156"/>
      <c r="AH32" s="113">
        <f t="shared" si="6"/>
        <v>17</v>
      </c>
      <c r="AI32" s="157">
        <v>65</v>
      </c>
      <c r="AJ32" s="113">
        <f t="shared" si="7"/>
        <v>82</v>
      </c>
      <c r="AK32" s="113">
        <f t="shared" si="8"/>
        <v>82</v>
      </c>
      <c r="AL32" s="158">
        <f t="shared" si="9"/>
        <v>1.02</v>
      </c>
      <c r="AM32" s="159"/>
      <c r="AN32" s="160">
        <f t="shared" si="13"/>
        <v>1</v>
      </c>
      <c r="AO32" s="160">
        <f t="shared" si="13"/>
        <v>2</v>
      </c>
      <c r="AP32" s="133"/>
      <c r="AQ32" s="134"/>
      <c r="AR32" s="161"/>
      <c r="AS32" s="161"/>
      <c r="AT32" s="161"/>
      <c r="AU32" s="161"/>
      <c r="AV32" s="162"/>
      <c r="AW32" s="137">
        <f t="shared" si="11"/>
        <v>0</v>
      </c>
      <c r="AX32" s="137">
        <f t="shared" si="12"/>
        <v>0</v>
      </c>
    </row>
    <row r="33" ht="46.5" customHeight="1" spans="1:50" s="97" customFormat="1" x14ac:dyDescent="0.25">
      <c r="A33" s="100"/>
      <c r="B33" s="100"/>
      <c r="C33" s="100"/>
      <c r="D33" s="100"/>
      <c r="E33" s="100"/>
      <c r="F33" s="100"/>
      <c r="G33" s="103"/>
      <c r="H33" s="186"/>
      <c r="I33" s="195">
        <v>0.51</v>
      </c>
      <c r="J33" s="107">
        <v>0.49</v>
      </c>
      <c r="K33" s="107"/>
      <c r="L33" s="107"/>
      <c r="M33" s="187"/>
      <c r="N33" s="169">
        <f t="shared" si="0"/>
        <v>1</v>
      </c>
      <c r="O33" s="144">
        <v>1</v>
      </c>
      <c r="P33" s="145">
        <v>15</v>
      </c>
      <c r="Q33" s="113">
        <v>15</v>
      </c>
      <c r="R33" s="113"/>
      <c r="S33" s="113"/>
      <c r="T33" s="146"/>
      <c r="U33" s="148">
        <f t="shared" si="1"/>
        <v>15</v>
      </c>
      <c r="V33" s="149">
        <f t="shared" si="2"/>
        <v>15</v>
      </c>
      <c r="W33" s="189"/>
      <c r="X33" s="199"/>
      <c r="Y33" s="151"/>
      <c r="Z33" s="190"/>
      <c r="AA33" s="153"/>
      <c r="AB33" s="154">
        <f t="shared" si="3"/>
        <v>0</v>
      </c>
      <c r="AC33" s="149">
        <f t="shared" si="4"/>
        <v>0</v>
      </c>
      <c r="AD33" s="125">
        <v>2</v>
      </c>
      <c r="AE33" s="148">
        <f t="shared" si="5"/>
        <v>2</v>
      </c>
      <c r="AF33" s="156"/>
      <c r="AG33" s="156"/>
      <c r="AH33" s="113">
        <f t="shared" si="6"/>
        <v>17</v>
      </c>
      <c r="AI33" s="157">
        <v>65</v>
      </c>
      <c r="AJ33" s="113">
        <f t="shared" si="7"/>
        <v>82</v>
      </c>
      <c r="AK33" s="113">
        <f t="shared" si="8"/>
        <v>82</v>
      </c>
      <c r="AL33" s="158">
        <f t="shared" si="9"/>
        <v>1.02</v>
      </c>
      <c r="AM33" s="159"/>
      <c r="AN33" s="160">
        <f t="shared" si="13"/>
        <v>1</v>
      </c>
      <c r="AO33" s="160">
        <f t="shared" si="13"/>
        <v>2</v>
      </c>
      <c r="AP33" s="133"/>
      <c r="AQ33" s="134"/>
      <c r="AR33" s="161"/>
      <c r="AS33" s="161"/>
      <c r="AT33" s="161"/>
      <c r="AU33" s="161"/>
      <c r="AV33" s="162"/>
      <c r="AW33" s="137">
        <f t="shared" si="11"/>
        <v>0</v>
      </c>
      <c r="AX33" s="137">
        <f t="shared" si="12"/>
        <v>0</v>
      </c>
    </row>
    <row r="34" ht="46.5" customHeight="1" spans="1:50" s="97" customFormat="1" x14ac:dyDescent="0.25">
      <c r="A34" s="100"/>
      <c r="B34" s="100"/>
      <c r="C34" s="100"/>
      <c r="D34" s="100"/>
      <c r="E34" s="100"/>
      <c r="F34" s="100"/>
      <c r="G34" s="103"/>
      <c r="H34" s="186"/>
      <c r="I34" s="195">
        <v>0.51</v>
      </c>
      <c r="J34" s="107">
        <v>0.49</v>
      </c>
      <c r="K34" s="107"/>
      <c r="L34" s="107"/>
      <c r="M34" s="187"/>
      <c r="N34" s="169">
        <f t="shared" si="0"/>
        <v>1</v>
      </c>
      <c r="O34" s="144">
        <v>1</v>
      </c>
      <c r="P34" s="145">
        <v>15</v>
      </c>
      <c r="Q34" s="113">
        <v>15</v>
      </c>
      <c r="R34" s="113"/>
      <c r="S34" s="113"/>
      <c r="T34" s="146"/>
      <c r="U34" s="148">
        <f t="shared" si="1"/>
        <v>15</v>
      </c>
      <c r="V34" s="149">
        <f t="shared" si="2"/>
        <v>15</v>
      </c>
      <c r="W34" s="189"/>
      <c r="X34" s="199"/>
      <c r="Y34" s="151"/>
      <c r="Z34" s="190"/>
      <c r="AA34" s="153"/>
      <c r="AB34" s="154">
        <f t="shared" si="3"/>
        <v>0</v>
      </c>
      <c r="AC34" s="149">
        <f t="shared" si="4"/>
        <v>0</v>
      </c>
      <c r="AD34" s="125">
        <v>2</v>
      </c>
      <c r="AE34" s="148">
        <f t="shared" si="5"/>
        <v>2</v>
      </c>
      <c r="AF34" s="156"/>
      <c r="AG34" s="156"/>
      <c r="AH34" s="113">
        <f t="shared" si="6"/>
        <v>17</v>
      </c>
      <c r="AI34" s="157">
        <v>65</v>
      </c>
      <c r="AJ34" s="113">
        <f t="shared" si="7"/>
        <v>82</v>
      </c>
      <c r="AK34" s="113">
        <f t="shared" si="8"/>
        <v>82</v>
      </c>
      <c r="AL34" s="158">
        <f t="shared" si="9"/>
        <v>1.02</v>
      </c>
      <c r="AM34" s="159"/>
      <c r="AN34" s="160">
        <f t="shared" si="13"/>
        <v>1</v>
      </c>
      <c r="AO34" s="160">
        <f t="shared" si="13"/>
        <v>2</v>
      </c>
      <c r="AP34" s="133"/>
      <c r="AQ34" s="134"/>
      <c r="AR34" s="161"/>
      <c r="AS34" s="161"/>
      <c r="AT34" s="161"/>
      <c r="AU34" s="161"/>
      <c r="AV34" s="162"/>
      <c r="AW34" s="137">
        <f t="shared" si="11"/>
        <v>0</v>
      </c>
      <c r="AX34" s="137">
        <f t="shared" si="12"/>
        <v>0</v>
      </c>
    </row>
    <row r="35" ht="46.5" customHeight="1" spans="1:50" s="97" customFormat="1" x14ac:dyDescent="0.25">
      <c r="A35" s="100"/>
      <c r="B35" s="100"/>
      <c r="C35" s="100"/>
      <c r="D35" s="100"/>
      <c r="E35" s="100"/>
      <c r="F35" s="100"/>
      <c r="G35" s="103"/>
      <c r="H35" s="186"/>
      <c r="I35" s="195">
        <v>0.51</v>
      </c>
      <c r="J35" s="107">
        <v>0.49</v>
      </c>
      <c r="K35" s="107"/>
      <c r="L35" s="107"/>
      <c r="M35" s="187"/>
      <c r="N35" s="169">
        <f t="shared" si="0"/>
        <v>1</v>
      </c>
      <c r="O35" s="144">
        <v>1</v>
      </c>
      <c r="P35" s="145">
        <v>15</v>
      </c>
      <c r="Q35" s="113">
        <v>15</v>
      </c>
      <c r="R35" s="113"/>
      <c r="S35" s="113"/>
      <c r="T35" s="146"/>
      <c r="U35" s="148">
        <f t="shared" si="1"/>
        <v>15</v>
      </c>
      <c r="V35" s="149">
        <f t="shared" si="2"/>
        <v>15</v>
      </c>
      <c r="W35" s="189"/>
      <c r="X35" s="199"/>
      <c r="Y35" s="151"/>
      <c r="Z35" s="190"/>
      <c r="AA35" s="153"/>
      <c r="AB35" s="154">
        <f t="shared" si="3"/>
        <v>0</v>
      </c>
      <c r="AC35" s="149">
        <f t="shared" si="4"/>
        <v>0</v>
      </c>
      <c r="AD35" s="125">
        <v>2</v>
      </c>
      <c r="AE35" s="148">
        <f t="shared" si="5"/>
        <v>2</v>
      </c>
      <c r="AF35" s="156"/>
      <c r="AG35" s="156"/>
      <c r="AH35" s="113">
        <f t="shared" si="6"/>
        <v>17</v>
      </c>
      <c r="AI35" s="157">
        <v>65</v>
      </c>
      <c r="AJ35" s="113">
        <f t="shared" si="7"/>
        <v>82</v>
      </c>
      <c r="AK35" s="113">
        <f t="shared" si="8"/>
        <v>82</v>
      </c>
      <c r="AL35" s="158">
        <f t="shared" si="9"/>
        <v>1.02</v>
      </c>
      <c r="AM35" s="159"/>
      <c r="AN35" s="160">
        <f t="shared" si="13"/>
        <v>1</v>
      </c>
      <c r="AO35" s="160">
        <f t="shared" si="13"/>
        <v>2</v>
      </c>
      <c r="AP35" s="133"/>
      <c r="AQ35" s="134"/>
      <c r="AR35" s="161"/>
      <c r="AS35" s="161"/>
      <c r="AT35" s="161"/>
      <c r="AU35" s="161"/>
      <c r="AV35" s="162"/>
      <c r="AW35" s="137">
        <f t="shared" si="11"/>
        <v>0</v>
      </c>
      <c r="AX35" s="137">
        <f t="shared" si="12"/>
        <v>0</v>
      </c>
    </row>
    <row r="36" ht="46.5" customHeight="1" spans="1:50" s="97" customFormat="1" x14ac:dyDescent="0.25">
      <c r="A36" s="100"/>
      <c r="B36" s="100"/>
      <c r="C36" s="100"/>
      <c r="D36" s="100"/>
      <c r="E36" s="100"/>
      <c r="F36" s="100"/>
      <c r="G36" s="103"/>
      <c r="H36" s="186"/>
      <c r="I36" s="195">
        <v>0.51</v>
      </c>
      <c r="J36" s="107">
        <v>0.49</v>
      </c>
      <c r="K36" s="107"/>
      <c r="L36" s="107"/>
      <c r="M36" s="187"/>
      <c r="N36" s="169">
        <f t="shared" si="0"/>
        <v>1</v>
      </c>
      <c r="O36" s="144">
        <v>1</v>
      </c>
      <c r="P36" s="145">
        <v>15</v>
      </c>
      <c r="Q36" s="113">
        <v>15</v>
      </c>
      <c r="R36" s="113"/>
      <c r="S36" s="113"/>
      <c r="T36" s="146"/>
      <c r="U36" s="148">
        <f t="shared" si="1"/>
        <v>15</v>
      </c>
      <c r="V36" s="149">
        <f t="shared" si="2"/>
        <v>15</v>
      </c>
      <c r="W36" s="189"/>
      <c r="X36" s="199"/>
      <c r="Y36" s="151"/>
      <c r="Z36" s="190"/>
      <c r="AA36" s="153"/>
      <c r="AB36" s="154">
        <f t="shared" si="3"/>
        <v>0</v>
      </c>
      <c r="AC36" s="149">
        <f t="shared" si="4"/>
        <v>0</v>
      </c>
      <c r="AD36" s="125">
        <v>2</v>
      </c>
      <c r="AE36" s="148">
        <f t="shared" si="5"/>
        <v>2</v>
      </c>
      <c r="AF36" s="156"/>
      <c r="AG36" s="156"/>
      <c r="AH36" s="113">
        <f t="shared" si="6"/>
        <v>17</v>
      </c>
      <c r="AI36" s="157">
        <v>65</v>
      </c>
      <c r="AJ36" s="113">
        <f t="shared" si="7"/>
        <v>82</v>
      </c>
      <c r="AK36" s="113">
        <f t="shared" si="8"/>
        <v>82</v>
      </c>
      <c r="AL36" s="158">
        <f t="shared" si="9"/>
        <v>1.02</v>
      </c>
      <c r="AM36" s="159"/>
      <c r="AN36" s="160">
        <f t="shared" si="13"/>
        <v>1</v>
      </c>
      <c r="AO36" s="160">
        <f t="shared" si="13"/>
        <v>2</v>
      </c>
      <c r="AP36" s="133"/>
      <c r="AQ36" s="134"/>
      <c r="AR36" s="161"/>
      <c r="AS36" s="161"/>
      <c r="AT36" s="161"/>
      <c r="AU36" s="161"/>
      <c r="AV36" s="162"/>
      <c r="AW36" s="137">
        <f t="shared" si="11"/>
        <v>0</v>
      </c>
      <c r="AX36" s="137">
        <f t="shared" si="12"/>
        <v>0</v>
      </c>
    </row>
    <row r="37" ht="46.5" customHeight="1" spans="1:50" s="97" customFormat="1" x14ac:dyDescent="0.25">
      <c r="A37" s="100"/>
      <c r="B37" s="100"/>
      <c r="C37" s="100"/>
      <c r="D37" s="100"/>
      <c r="E37" s="100"/>
      <c r="F37" s="100"/>
      <c r="G37" s="103"/>
      <c r="H37" s="186"/>
      <c r="I37" s="195">
        <v>0.51</v>
      </c>
      <c r="J37" s="107">
        <v>0.49</v>
      </c>
      <c r="K37" s="107"/>
      <c r="L37" s="107"/>
      <c r="M37" s="187"/>
      <c r="N37" s="169">
        <f t="shared" si="0"/>
        <v>1</v>
      </c>
      <c r="O37" s="144">
        <v>1</v>
      </c>
      <c r="P37" s="145">
        <v>15</v>
      </c>
      <c r="Q37" s="113">
        <v>15</v>
      </c>
      <c r="R37" s="113"/>
      <c r="S37" s="113"/>
      <c r="T37" s="146"/>
      <c r="U37" s="148">
        <f t="shared" si="1"/>
        <v>15</v>
      </c>
      <c r="V37" s="149">
        <f t="shared" si="2"/>
        <v>15</v>
      </c>
      <c r="W37" s="189"/>
      <c r="X37" s="199"/>
      <c r="Y37" s="151"/>
      <c r="Z37" s="190"/>
      <c r="AA37" s="153"/>
      <c r="AB37" s="154">
        <f t="shared" si="3"/>
        <v>0</v>
      </c>
      <c r="AC37" s="149">
        <f t="shared" si="4"/>
        <v>0</v>
      </c>
      <c r="AD37" s="125">
        <v>2</v>
      </c>
      <c r="AE37" s="148">
        <f t="shared" si="5"/>
        <v>2</v>
      </c>
      <c r="AF37" s="156"/>
      <c r="AG37" s="156"/>
      <c r="AH37" s="113">
        <f t="shared" si="6"/>
        <v>17</v>
      </c>
      <c r="AI37" s="157">
        <v>65</v>
      </c>
      <c r="AJ37" s="113">
        <f t="shared" si="7"/>
        <v>82</v>
      </c>
      <c r="AK37" s="113">
        <f t="shared" si="8"/>
        <v>82</v>
      </c>
      <c r="AL37" s="158">
        <f t="shared" si="9"/>
        <v>1.02</v>
      </c>
      <c r="AM37" s="159"/>
      <c r="AN37" s="160">
        <f t="shared" si="13"/>
        <v>1</v>
      </c>
      <c r="AO37" s="160">
        <f t="shared" si="13"/>
        <v>2</v>
      </c>
      <c r="AP37" s="133"/>
      <c r="AQ37" s="134"/>
      <c r="AR37" s="161"/>
      <c r="AS37" s="161"/>
      <c r="AT37" s="161"/>
      <c r="AU37" s="161"/>
      <c r="AV37" s="162"/>
      <c r="AW37" s="137">
        <f t="shared" si="11"/>
        <v>0</v>
      </c>
      <c r="AX37" s="137">
        <f t="shared" si="12"/>
        <v>0</v>
      </c>
    </row>
    <row r="38" ht="46.5" customHeight="1" spans="1:50" s="97" customFormat="1" x14ac:dyDescent="0.25">
      <c r="A38" s="100"/>
      <c r="B38" s="100"/>
      <c r="C38" s="100"/>
      <c r="D38" s="100"/>
      <c r="E38" s="100"/>
      <c r="F38" s="100"/>
      <c r="G38" s="103"/>
      <c r="H38" s="186"/>
      <c r="I38" s="195">
        <v>0.51</v>
      </c>
      <c r="J38" s="107">
        <v>0.49</v>
      </c>
      <c r="K38" s="107"/>
      <c r="L38" s="107"/>
      <c r="M38" s="187"/>
      <c r="N38" s="169">
        <f t="shared" si="0"/>
        <v>1</v>
      </c>
      <c r="O38" s="144">
        <v>1</v>
      </c>
      <c r="P38" s="145">
        <v>15</v>
      </c>
      <c r="Q38" s="113">
        <v>15</v>
      </c>
      <c r="R38" s="113"/>
      <c r="S38" s="113"/>
      <c r="T38" s="146"/>
      <c r="U38" s="148">
        <f t="shared" si="1"/>
        <v>15</v>
      </c>
      <c r="V38" s="149">
        <f t="shared" si="2"/>
        <v>15</v>
      </c>
      <c r="W38" s="189"/>
      <c r="X38" s="199"/>
      <c r="Y38" s="151"/>
      <c r="Z38" s="190"/>
      <c r="AA38" s="153"/>
      <c r="AB38" s="154">
        <f t="shared" si="3"/>
        <v>0</v>
      </c>
      <c r="AC38" s="149">
        <f t="shared" si="4"/>
        <v>0</v>
      </c>
      <c r="AD38" s="125">
        <v>2</v>
      </c>
      <c r="AE38" s="148">
        <f t="shared" si="5"/>
        <v>2</v>
      </c>
      <c r="AF38" s="156"/>
      <c r="AG38" s="156"/>
      <c r="AH38" s="113">
        <f t="shared" si="6"/>
        <v>17</v>
      </c>
      <c r="AI38" s="157">
        <v>65</v>
      </c>
      <c r="AJ38" s="113">
        <f t="shared" si="7"/>
        <v>82</v>
      </c>
      <c r="AK38" s="113">
        <f t="shared" si="8"/>
        <v>82</v>
      </c>
      <c r="AL38" s="158">
        <f t="shared" si="9"/>
        <v>1.02</v>
      </c>
      <c r="AM38" s="159"/>
      <c r="AN38" s="160">
        <f t="shared" si="13"/>
        <v>1</v>
      </c>
      <c r="AO38" s="160">
        <f t="shared" si="13"/>
        <v>2</v>
      </c>
      <c r="AP38" s="133"/>
      <c r="AQ38" s="134"/>
      <c r="AR38" s="161"/>
      <c r="AS38" s="161"/>
      <c r="AT38" s="161"/>
      <c r="AU38" s="161"/>
      <c r="AV38" s="162"/>
      <c r="AW38" s="137">
        <f t="shared" si="11"/>
        <v>0</v>
      </c>
      <c r="AX38" s="137">
        <f t="shared" si="12"/>
        <v>0</v>
      </c>
    </row>
    <row r="39" ht="46.5" customHeight="1" spans="1:50" s="97" customFormat="1" x14ac:dyDescent="0.25">
      <c r="A39" s="100"/>
      <c r="B39" s="100"/>
      <c r="C39" s="100"/>
      <c r="D39" s="100"/>
      <c r="E39" s="100"/>
      <c r="F39" s="100"/>
      <c r="G39" s="103"/>
      <c r="H39" s="186"/>
      <c r="I39" s="195">
        <v>0.51</v>
      </c>
      <c r="J39" s="107">
        <v>0.49</v>
      </c>
      <c r="K39" s="107"/>
      <c r="L39" s="107"/>
      <c r="M39" s="187"/>
      <c r="N39" s="169">
        <f t="shared" si="0"/>
        <v>1</v>
      </c>
      <c r="O39" s="144">
        <v>1</v>
      </c>
      <c r="P39" s="145">
        <v>15</v>
      </c>
      <c r="Q39" s="113">
        <v>15</v>
      </c>
      <c r="R39" s="113"/>
      <c r="S39" s="113"/>
      <c r="T39" s="146"/>
      <c r="U39" s="148">
        <f t="shared" si="1"/>
        <v>15</v>
      </c>
      <c r="V39" s="149">
        <f t="shared" si="2"/>
        <v>15</v>
      </c>
      <c r="W39" s="189"/>
      <c r="X39" s="199"/>
      <c r="Y39" s="151"/>
      <c r="Z39" s="190"/>
      <c r="AA39" s="153"/>
      <c r="AB39" s="154">
        <f t="shared" si="3"/>
        <v>0</v>
      </c>
      <c r="AC39" s="149">
        <f t="shared" si="4"/>
        <v>0</v>
      </c>
      <c r="AD39" s="125">
        <v>2</v>
      </c>
      <c r="AE39" s="148">
        <f t="shared" si="5"/>
        <v>2</v>
      </c>
      <c r="AF39" s="156"/>
      <c r="AG39" s="156"/>
      <c r="AH39" s="113">
        <f t="shared" si="6"/>
        <v>17</v>
      </c>
      <c r="AI39" s="157">
        <v>65</v>
      </c>
      <c r="AJ39" s="113">
        <f t="shared" si="7"/>
        <v>82</v>
      </c>
      <c r="AK39" s="113">
        <f t="shared" si="8"/>
        <v>82</v>
      </c>
      <c r="AL39" s="158">
        <f t="shared" si="9"/>
        <v>1.02</v>
      </c>
      <c r="AM39" s="159"/>
      <c r="AN39" s="160">
        <f t="shared" si="13"/>
        <v>1</v>
      </c>
      <c r="AO39" s="160">
        <f t="shared" si="13"/>
        <v>2</v>
      </c>
      <c r="AP39" s="133"/>
      <c r="AQ39" s="134"/>
      <c r="AR39" s="161"/>
      <c r="AS39" s="161"/>
      <c r="AT39" s="161"/>
      <c r="AU39" s="161"/>
      <c r="AV39" s="162"/>
      <c r="AW39" s="137">
        <f t="shared" si="11"/>
        <v>0</v>
      </c>
      <c r="AX39" s="137">
        <f t="shared" si="12"/>
        <v>0</v>
      </c>
    </row>
    <row r="40" ht="46.5" customHeight="1" spans="1:50" s="97" customFormat="1" x14ac:dyDescent="0.25">
      <c r="A40" s="100"/>
      <c r="B40" s="100"/>
      <c r="C40" s="100"/>
      <c r="D40" s="100"/>
      <c r="E40" s="100"/>
      <c r="F40" s="100"/>
      <c r="G40" s="103"/>
      <c r="H40" s="186"/>
      <c r="I40" s="195">
        <v>0.51</v>
      </c>
      <c r="J40" s="107">
        <v>0.49</v>
      </c>
      <c r="K40" s="107"/>
      <c r="L40" s="107"/>
      <c r="M40" s="187"/>
      <c r="N40" s="169">
        <f t="shared" si="0"/>
        <v>1</v>
      </c>
      <c r="O40" s="144">
        <v>1</v>
      </c>
      <c r="P40" s="145">
        <v>15</v>
      </c>
      <c r="Q40" s="113">
        <v>15</v>
      </c>
      <c r="R40" s="113"/>
      <c r="S40" s="113"/>
      <c r="T40" s="146"/>
      <c r="U40" s="148">
        <f t="shared" si="1"/>
        <v>15</v>
      </c>
      <c r="V40" s="149">
        <f t="shared" si="2"/>
        <v>15</v>
      </c>
      <c r="W40" s="189"/>
      <c r="X40" s="199"/>
      <c r="Y40" s="151"/>
      <c r="Z40" s="190"/>
      <c r="AA40" s="153"/>
      <c r="AB40" s="154">
        <f t="shared" si="3"/>
        <v>0</v>
      </c>
      <c r="AC40" s="149">
        <f t="shared" si="4"/>
        <v>0</v>
      </c>
      <c r="AD40" s="125">
        <v>2</v>
      </c>
      <c r="AE40" s="148">
        <f t="shared" si="5"/>
        <v>2</v>
      </c>
      <c r="AF40" s="156"/>
      <c r="AG40" s="156"/>
      <c r="AH40" s="113">
        <f t="shared" si="6"/>
        <v>17</v>
      </c>
      <c r="AI40" s="157">
        <v>65</v>
      </c>
      <c r="AJ40" s="113">
        <f t="shared" si="7"/>
        <v>82</v>
      </c>
      <c r="AK40" s="113">
        <f t="shared" si="8"/>
        <v>82</v>
      </c>
      <c r="AL40" s="158">
        <f t="shared" si="9"/>
        <v>1.02</v>
      </c>
      <c r="AM40" s="159"/>
      <c r="AN40" s="160">
        <f t="shared" si="13"/>
        <v>1</v>
      </c>
      <c r="AO40" s="160">
        <f t="shared" si="13"/>
        <v>2</v>
      </c>
      <c r="AP40" s="133"/>
      <c r="AQ40" s="134"/>
      <c r="AR40" s="161"/>
      <c r="AS40" s="161"/>
      <c r="AT40" s="161"/>
      <c r="AU40" s="161"/>
      <c r="AV40" s="162"/>
      <c r="AW40" s="137">
        <f t="shared" si="11"/>
        <v>0</v>
      </c>
      <c r="AX40" s="137">
        <f t="shared" si="12"/>
        <v>0</v>
      </c>
    </row>
    <row r="41" ht="46.5" customHeight="1" spans="1:50" s="97" customFormat="1" x14ac:dyDescent="0.25">
      <c r="A41" s="100"/>
      <c r="B41" s="100"/>
      <c r="C41" s="100"/>
      <c r="D41" s="100"/>
      <c r="E41" s="100"/>
      <c r="F41" s="100"/>
      <c r="G41" s="103"/>
      <c r="H41" s="186"/>
      <c r="I41" s="195">
        <v>0.51</v>
      </c>
      <c r="J41" s="107">
        <v>0.49</v>
      </c>
      <c r="K41" s="107"/>
      <c r="L41" s="107"/>
      <c r="M41" s="187"/>
      <c r="N41" s="169">
        <f t="shared" si="0"/>
        <v>1</v>
      </c>
      <c r="O41" s="144">
        <v>1</v>
      </c>
      <c r="P41" s="145">
        <v>15</v>
      </c>
      <c r="Q41" s="113">
        <v>15</v>
      </c>
      <c r="R41" s="113"/>
      <c r="S41" s="113"/>
      <c r="T41" s="146"/>
      <c r="U41" s="148">
        <f t="shared" si="1"/>
        <v>15</v>
      </c>
      <c r="V41" s="149">
        <f t="shared" si="2"/>
        <v>15</v>
      </c>
      <c r="W41" s="189"/>
      <c r="X41" s="199"/>
      <c r="Y41" s="151"/>
      <c r="Z41" s="190"/>
      <c r="AA41" s="153"/>
      <c r="AB41" s="154">
        <f t="shared" si="3"/>
        <v>0</v>
      </c>
      <c r="AC41" s="149">
        <f t="shared" si="4"/>
        <v>0</v>
      </c>
      <c r="AD41" s="125">
        <v>2</v>
      </c>
      <c r="AE41" s="148">
        <f t="shared" si="5"/>
        <v>2</v>
      </c>
      <c r="AF41" s="156"/>
      <c r="AG41" s="156"/>
      <c r="AH41" s="113">
        <f t="shared" si="6"/>
        <v>17</v>
      </c>
      <c r="AI41" s="157">
        <v>65</v>
      </c>
      <c r="AJ41" s="113">
        <f t="shared" si="7"/>
        <v>82</v>
      </c>
      <c r="AK41" s="113">
        <f t="shared" si="8"/>
        <v>82</v>
      </c>
      <c r="AL41" s="158">
        <f t="shared" si="9"/>
        <v>1.02</v>
      </c>
      <c r="AM41" s="159"/>
      <c r="AN41" s="160">
        <f t="shared" si="13"/>
        <v>1</v>
      </c>
      <c r="AO41" s="160">
        <f t="shared" si="13"/>
        <v>2</v>
      </c>
      <c r="AP41" s="133"/>
      <c r="AQ41" s="134"/>
      <c r="AR41" s="161"/>
      <c r="AS41" s="161"/>
      <c r="AT41" s="161"/>
      <c r="AU41" s="161"/>
      <c r="AV41" s="162"/>
      <c r="AW41" s="137">
        <f t="shared" si="11"/>
        <v>0</v>
      </c>
      <c r="AX41" s="137">
        <f t="shared" si="12"/>
        <v>0</v>
      </c>
    </row>
    <row r="42" ht="46.5" customHeight="1" spans="1:50" s="97" customFormat="1" x14ac:dyDescent="0.25">
      <c r="A42" s="100"/>
      <c r="B42" s="100"/>
      <c r="C42" s="100"/>
      <c r="D42" s="100"/>
      <c r="E42" s="100"/>
      <c r="F42" s="100"/>
      <c r="G42" s="103"/>
      <c r="H42" s="186"/>
      <c r="I42" s="195">
        <v>0.51</v>
      </c>
      <c r="J42" s="107">
        <v>0.49</v>
      </c>
      <c r="K42" s="107"/>
      <c r="L42" s="107"/>
      <c r="M42" s="187"/>
      <c r="N42" s="169">
        <f t="shared" si="0"/>
        <v>1</v>
      </c>
      <c r="O42" s="144">
        <v>1</v>
      </c>
      <c r="P42" s="145">
        <v>15</v>
      </c>
      <c r="Q42" s="113">
        <v>15</v>
      </c>
      <c r="R42" s="113"/>
      <c r="S42" s="113"/>
      <c r="T42" s="146"/>
      <c r="U42" s="148">
        <f t="shared" si="1"/>
        <v>15</v>
      </c>
      <c r="V42" s="149">
        <f t="shared" si="2"/>
        <v>15</v>
      </c>
      <c r="W42" s="189"/>
      <c r="X42" s="199"/>
      <c r="Y42" s="151"/>
      <c r="Z42" s="190"/>
      <c r="AA42" s="153"/>
      <c r="AB42" s="154">
        <f t="shared" si="3"/>
        <v>0</v>
      </c>
      <c r="AC42" s="149">
        <f t="shared" si="4"/>
        <v>0</v>
      </c>
      <c r="AD42" s="125">
        <v>2</v>
      </c>
      <c r="AE42" s="148">
        <f t="shared" si="5"/>
        <v>2</v>
      </c>
      <c r="AF42" s="156"/>
      <c r="AG42" s="156"/>
      <c r="AH42" s="113">
        <f t="shared" si="6"/>
        <v>17</v>
      </c>
      <c r="AI42" s="157">
        <v>65</v>
      </c>
      <c r="AJ42" s="113">
        <f t="shared" si="7"/>
        <v>82</v>
      </c>
      <c r="AK42" s="113">
        <f t="shared" si="8"/>
        <v>82</v>
      </c>
      <c r="AL42" s="158">
        <f t="shared" si="9"/>
        <v>1.02</v>
      </c>
      <c r="AM42" s="159"/>
      <c r="AN42" s="160">
        <f t="shared" si="13"/>
        <v>1</v>
      </c>
      <c r="AO42" s="160">
        <f t="shared" si="13"/>
        <v>2</v>
      </c>
      <c r="AP42" s="133"/>
      <c r="AQ42" s="134"/>
      <c r="AR42" s="161"/>
      <c r="AS42" s="161"/>
      <c r="AT42" s="161"/>
      <c r="AU42" s="161"/>
      <c r="AV42" s="162"/>
      <c r="AW42" s="137">
        <f t="shared" si="11"/>
        <v>0</v>
      </c>
      <c r="AX42" s="137">
        <f t="shared" si="12"/>
        <v>0</v>
      </c>
    </row>
    <row r="43" ht="46.5" customHeight="1" spans="1:50" s="97" customFormat="1" x14ac:dyDescent="0.25">
      <c r="A43" s="100"/>
      <c r="B43" s="100"/>
      <c r="C43" s="100"/>
      <c r="D43" s="100"/>
      <c r="E43" s="100"/>
      <c r="F43" s="100"/>
      <c r="G43" s="103"/>
      <c r="H43" s="186"/>
      <c r="I43" s="195">
        <v>0.51</v>
      </c>
      <c r="J43" s="107">
        <v>0.49</v>
      </c>
      <c r="K43" s="107"/>
      <c r="L43" s="107"/>
      <c r="M43" s="187"/>
      <c r="N43" s="169">
        <f t="shared" ref="N43:N74" si="14">SUM(I43:M43)</f>
        <v>1</v>
      </c>
      <c r="O43" s="144">
        <v>1</v>
      </c>
      <c r="P43" s="145">
        <v>15</v>
      </c>
      <c r="Q43" s="113">
        <v>15</v>
      </c>
      <c r="R43" s="113"/>
      <c r="S43" s="113"/>
      <c r="T43" s="146"/>
      <c r="U43" s="148">
        <f t="shared" ref="U43:U74" si="15">ROUND(((P43*I43)+(Q43*J43)+(R43*K43)+(S43*L43)+(T43*M43))*O43,2)</f>
        <v>15</v>
      </c>
      <c r="V43" s="149">
        <f t="shared" ref="V43:V74" si="16">IF(U43&gt;=15,15,U43)</f>
        <v>15</v>
      </c>
      <c r="W43" s="189"/>
      <c r="X43" s="199"/>
      <c r="Y43" s="151"/>
      <c r="Z43" s="190"/>
      <c r="AA43" s="153"/>
      <c r="AB43" s="154">
        <f t="shared" ref="AB43:AB74" si="17">ROUND((((W43*I43)+(X43*J43)+(Y43*K43)+(Z43*L43)+(AA43*M43))/$I$2),2)*13</f>
        <v>0</v>
      </c>
      <c r="AC43" s="149">
        <f t="shared" ref="AC43:AC74" si="18">IF(AB43&gt;=13,13,AB43)</f>
        <v>0</v>
      </c>
      <c r="AD43" s="125">
        <v>2</v>
      </c>
      <c r="AE43" s="148">
        <f t="shared" ref="AE43:AE74" si="19">IF((AC43+AD43)&gt;=15,15,(AC43+AD43))</f>
        <v>2</v>
      </c>
      <c r="AF43" s="156"/>
      <c r="AG43" s="156"/>
      <c r="AH43" s="113">
        <f t="shared" ref="AH43:AH74" si="20">IF((V43+AE43+AF43)&gt;=30,30,(V43+AE43+AF43))</f>
        <v>17</v>
      </c>
      <c r="AI43" s="157">
        <v>65</v>
      </c>
      <c r="AJ43" s="113">
        <f t="shared" ref="AJ43:AJ74" si="21">V43+AE43+AF43+AI43+AG43</f>
        <v>82</v>
      </c>
      <c r="AK43" s="113">
        <f t="shared" ref="AK43:AK74" si="22">IF(AH43+AI43+AG43&gt;=95,95,AH43+AI43+AG43)</f>
        <v>82</v>
      </c>
      <c r="AL43" s="158">
        <f t="shared" ref="AL43:AL74" si="23">-((50-((176+(45+(50-AH43)))))/200)</f>
        <v>1.02</v>
      </c>
      <c r="AM43" s="159"/>
      <c r="AN43" s="160">
        <f t="shared" si="13"/>
        <v>1</v>
      </c>
      <c r="AO43" s="160">
        <f t="shared" si="13"/>
        <v>2</v>
      </c>
      <c r="AP43" s="133"/>
      <c r="AQ43" s="134"/>
      <c r="AR43" s="161"/>
      <c r="AS43" s="161"/>
      <c r="AT43" s="161"/>
      <c r="AU43" s="161"/>
      <c r="AV43" s="162"/>
      <c r="AW43" s="137">
        <f t="shared" ref="AW43:AW74" si="24">AR43+AS43+AT43+AU43+AV43</f>
        <v>0</v>
      </c>
      <c r="AX43" s="137">
        <f t="shared" ref="AX43:AX74" si="25">(AR43*I43)+(AS43*J43)+(AT43*K43)+(AU43*L43)+(AV43*M43)</f>
        <v>0</v>
      </c>
    </row>
    <row r="44" ht="46.5" customHeight="1" spans="1:50" s="97" customFormat="1" x14ac:dyDescent="0.25">
      <c r="A44" s="100"/>
      <c r="B44" s="100"/>
      <c r="C44" s="100"/>
      <c r="D44" s="100"/>
      <c r="E44" s="100"/>
      <c r="F44" s="100"/>
      <c r="G44" s="103"/>
      <c r="H44" s="186"/>
      <c r="I44" s="195">
        <v>0.51</v>
      </c>
      <c r="J44" s="107">
        <v>0.49</v>
      </c>
      <c r="K44" s="107"/>
      <c r="L44" s="107"/>
      <c r="M44" s="187"/>
      <c r="N44" s="169">
        <f t="shared" si="14"/>
        <v>1</v>
      </c>
      <c r="O44" s="144">
        <v>1</v>
      </c>
      <c r="P44" s="145">
        <v>15</v>
      </c>
      <c r="Q44" s="113">
        <v>15</v>
      </c>
      <c r="R44" s="113"/>
      <c r="S44" s="113"/>
      <c r="T44" s="146"/>
      <c r="U44" s="148">
        <f t="shared" si="15"/>
        <v>15</v>
      </c>
      <c r="V44" s="149">
        <f t="shared" si="16"/>
        <v>15</v>
      </c>
      <c r="W44" s="189"/>
      <c r="X44" s="199"/>
      <c r="Y44" s="151"/>
      <c r="Z44" s="190"/>
      <c r="AA44" s="153"/>
      <c r="AB44" s="154">
        <f t="shared" si="17"/>
        <v>0</v>
      </c>
      <c r="AC44" s="149">
        <f t="shared" si="18"/>
        <v>0</v>
      </c>
      <c r="AD44" s="125">
        <v>2</v>
      </c>
      <c r="AE44" s="148">
        <f t="shared" si="19"/>
        <v>2</v>
      </c>
      <c r="AF44" s="156"/>
      <c r="AG44" s="156"/>
      <c r="AH44" s="113">
        <f t="shared" si="20"/>
        <v>17</v>
      </c>
      <c r="AI44" s="157">
        <v>65</v>
      </c>
      <c r="AJ44" s="113">
        <f t="shared" si="21"/>
        <v>82</v>
      </c>
      <c r="AK44" s="113">
        <f t="shared" si="22"/>
        <v>82</v>
      </c>
      <c r="AL44" s="158">
        <f t="shared" si="23"/>
        <v>1.02</v>
      </c>
      <c r="AM44" s="159"/>
      <c r="AN44" s="160">
        <f t="shared" si="13"/>
        <v>1</v>
      </c>
      <c r="AO44" s="160">
        <f t="shared" si="13"/>
        <v>2</v>
      </c>
      <c r="AP44" s="133"/>
      <c r="AQ44" s="134"/>
      <c r="AR44" s="161"/>
      <c r="AS44" s="161"/>
      <c r="AT44" s="161"/>
      <c r="AU44" s="161"/>
      <c r="AV44" s="162"/>
      <c r="AW44" s="137">
        <f t="shared" si="24"/>
        <v>0</v>
      </c>
      <c r="AX44" s="137">
        <f t="shared" si="25"/>
        <v>0</v>
      </c>
    </row>
    <row r="45" ht="46.5" customHeight="1" spans="1:50" s="97" customFormat="1" x14ac:dyDescent="0.25">
      <c r="A45" s="100"/>
      <c r="B45" s="100"/>
      <c r="C45" s="100"/>
      <c r="D45" s="100"/>
      <c r="E45" s="100"/>
      <c r="F45" s="100"/>
      <c r="G45" s="103"/>
      <c r="H45" s="186"/>
      <c r="I45" s="195">
        <v>0.51</v>
      </c>
      <c r="J45" s="107">
        <v>0.49</v>
      </c>
      <c r="K45" s="107"/>
      <c r="L45" s="107"/>
      <c r="M45" s="187"/>
      <c r="N45" s="169">
        <f t="shared" si="14"/>
        <v>1</v>
      </c>
      <c r="O45" s="144">
        <v>1</v>
      </c>
      <c r="P45" s="145">
        <v>15</v>
      </c>
      <c r="Q45" s="113">
        <v>15</v>
      </c>
      <c r="R45" s="113"/>
      <c r="S45" s="113"/>
      <c r="T45" s="146"/>
      <c r="U45" s="148">
        <f t="shared" si="15"/>
        <v>15</v>
      </c>
      <c r="V45" s="149">
        <f t="shared" si="16"/>
        <v>15</v>
      </c>
      <c r="W45" s="189"/>
      <c r="X45" s="199"/>
      <c r="Y45" s="151"/>
      <c r="Z45" s="190"/>
      <c r="AA45" s="153"/>
      <c r="AB45" s="154">
        <f t="shared" si="17"/>
        <v>0</v>
      </c>
      <c r="AC45" s="149">
        <f t="shared" si="18"/>
        <v>0</v>
      </c>
      <c r="AD45" s="125">
        <v>2</v>
      </c>
      <c r="AE45" s="148">
        <f t="shared" si="19"/>
        <v>2</v>
      </c>
      <c r="AF45" s="156"/>
      <c r="AG45" s="156"/>
      <c r="AH45" s="113">
        <f t="shared" si="20"/>
        <v>17</v>
      </c>
      <c r="AI45" s="157">
        <v>65</v>
      </c>
      <c r="AJ45" s="113">
        <f t="shared" si="21"/>
        <v>82</v>
      </c>
      <c r="AK45" s="113">
        <f t="shared" si="22"/>
        <v>82</v>
      </c>
      <c r="AL45" s="158">
        <f t="shared" si="23"/>
        <v>1.02</v>
      </c>
      <c r="AM45" s="159"/>
      <c r="AN45" s="160">
        <f t="shared" si="13"/>
        <v>1</v>
      </c>
      <c r="AO45" s="160">
        <f t="shared" si="13"/>
        <v>2</v>
      </c>
      <c r="AP45" s="133"/>
      <c r="AQ45" s="134"/>
      <c r="AR45" s="161"/>
      <c r="AS45" s="161"/>
      <c r="AT45" s="161"/>
      <c r="AU45" s="161"/>
      <c r="AV45" s="162"/>
      <c r="AW45" s="137">
        <f t="shared" si="24"/>
        <v>0</v>
      </c>
      <c r="AX45" s="137">
        <f t="shared" si="25"/>
        <v>0</v>
      </c>
    </row>
    <row r="46" ht="46.5" customHeight="1" spans="1:50" s="97" customFormat="1" x14ac:dyDescent="0.25">
      <c r="A46" s="100"/>
      <c r="B46" s="100"/>
      <c r="C46" s="100"/>
      <c r="D46" s="100"/>
      <c r="E46" s="100"/>
      <c r="F46" s="100"/>
      <c r="G46" s="103"/>
      <c r="H46" s="186"/>
      <c r="I46" s="195">
        <v>0.51</v>
      </c>
      <c r="J46" s="107">
        <v>0.49</v>
      </c>
      <c r="K46" s="107"/>
      <c r="L46" s="107"/>
      <c r="M46" s="187"/>
      <c r="N46" s="169">
        <f t="shared" si="14"/>
        <v>1</v>
      </c>
      <c r="O46" s="144">
        <v>1</v>
      </c>
      <c r="P46" s="145">
        <v>15</v>
      </c>
      <c r="Q46" s="113">
        <v>15</v>
      </c>
      <c r="R46" s="113"/>
      <c r="S46" s="113"/>
      <c r="T46" s="146"/>
      <c r="U46" s="148">
        <f t="shared" si="15"/>
        <v>15</v>
      </c>
      <c r="V46" s="149">
        <f t="shared" si="16"/>
        <v>15</v>
      </c>
      <c r="W46" s="189"/>
      <c r="X46" s="199"/>
      <c r="Y46" s="151"/>
      <c r="Z46" s="190"/>
      <c r="AA46" s="153"/>
      <c r="AB46" s="154">
        <f t="shared" si="17"/>
        <v>0</v>
      </c>
      <c r="AC46" s="149">
        <f t="shared" si="18"/>
        <v>0</v>
      </c>
      <c r="AD46" s="125">
        <v>2</v>
      </c>
      <c r="AE46" s="148">
        <f t="shared" si="19"/>
        <v>2</v>
      </c>
      <c r="AF46" s="156"/>
      <c r="AG46" s="156"/>
      <c r="AH46" s="113">
        <f t="shared" si="20"/>
        <v>17</v>
      </c>
      <c r="AI46" s="157">
        <v>65</v>
      </c>
      <c r="AJ46" s="113">
        <f t="shared" si="21"/>
        <v>82</v>
      </c>
      <c r="AK46" s="113">
        <f t="shared" si="22"/>
        <v>82</v>
      </c>
      <c r="AL46" s="158">
        <f t="shared" si="23"/>
        <v>1.02</v>
      </c>
      <c r="AM46" s="159"/>
      <c r="AN46" s="160">
        <f t="shared" si="13"/>
        <v>1</v>
      </c>
      <c r="AO46" s="160">
        <f t="shared" si="13"/>
        <v>2</v>
      </c>
      <c r="AP46" s="133"/>
      <c r="AQ46" s="134"/>
      <c r="AR46" s="161"/>
      <c r="AS46" s="161"/>
      <c r="AT46" s="161"/>
      <c r="AU46" s="161"/>
      <c r="AV46" s="162"/>
      <c r="AW46" s="137">
        <f t="shared" si="24"/>
        <v>0</v>
      </c>
      <c r="AX46" s="137">
        <f t="shared" si="25"/>
        <v>0</v>
      </c>
    </row>
    <row r="47" ht="46.5" customHeight="1" spans="1:50" s="97" customFormat="1" x14ac:dyDescent="0.25">
      <c r="A47" s="100"/>
      <c r="B47" s="100"/>
      <c r="C47" s="100"/>
      <c r="D47" s="100"/>
      <c r="E47" s="100"/>
      <c r="F47" s="100"/>
      <c r="G47" s="103"/>
      <c r="H47" s="186"/>
      <c r="I47" s="195">
        <v>0.51</v>
      </c>
      <c r="J47" s="107">
        <v>0.49</v>
      </c>
      <c r="K47" s="107"/>
      <c r="L47" s="107"/>
      <c r="M47" s="187"/>
      <c r="N47" s="169">
        <f t="shared" si="14"/>
        <v>1</v>
      </c>
      <c r="O47" s="144">
        <v>1</v>
      </c>
      <c r="P47" s="145">
        <v>15</v>
      </c>
      <c r="Q47" s="113">
        <v>15</v>
      </c>
      <c r="R47" s="113"/>
      <c r="S47" s="113"/>
      <c r="T47" s="146"/>
      <c r="U47" s="148">
        <f t="shared" si="15"/>
        <v>15</v>
      </c>
      <c r="V47" s="149">
        <f t="shared" si="16"/>
        <v>15</v>
      </c>
      <c r="W47" s="189"/>
      <c r="X47" s="199"/>
      <c r="Y47" s="151"/>
      <c r="Z47" s="190"/>
      <c r="AA47" s="153"/>
      <c r="AB47" s="154">
        <f t="shared" si="17"/>
        <v>0</v>
      </c>
      <c r="AC47" s="149">
        <f t="shared" si="18"/>
        <v>0</v>
      </c>
      <c r="AD47" s="125">
        <v>2</v>
      </c>
      <c r="AE47" s="148">
        <f t="shared" si="19"/>
        <v>2</v>
      </c>
      <c r="AF47" s="156"/>
      <c r="AG47" s="156"/>
      <c r="AH47" s="113">
        <f t="shared" si="20"/>
        <v>17</v>
      </c>
      <c r="AI47" s="157">
        <v>65</v>
      </c>
      <c r="AJ47" s="113">
        <f t="shared" si="21"/>
        <v>82</v>
      </c>
      <c r="AK47" s="113">
        <f t="shared" si="22"/>
        <v>82</v>
      </c>
      <c r="AL47" s="158">
        <f t="shared" si="23"/>
        <v>1.02</v>
      </c>
      <c r="AM47" s="159"/>
      <c r="AN47" s="160">
        <f t="shared" si="13"/>
        <v>1</v>
      </c>
      <c r="AO47" s="160">
        <f t="shared" si="13"/>
        <v>2</v>
      </c>
      <c r="AP47" s="133"/>
      <c r="AQ47" s="134"/>
      <c r="AR47" s="161"/>
      <c r="AS47" s="161"/>
      <c r="AT47" s="161"/>
      <c r="AU47" s="161"/>
      <c r="AV47" s="162"/>
      <c r="AW47" s="137">
        <f t="shared" si="24"/>
        <v>0</v>
      </c>
      <c r="AX47" s="137">
        <f t="shared" si="25"/>
        <v>0</v>
      </c>
    </row>
    <row r="48" ht="46.5" customHeight="1" spans="1:50" s="97" customFormat="1" x14ac:dyDescent="0.25">
      <c r="A48" s="100"/>
      <c r="B48" s="100"/>
      <c r="C48" s="100"/>
      <c r="D48" s="100"/>
      <c r="E48" s="100"/>
      <c r="F48" s="100"/>
      <c r="G48" s="103"/>
      <c r="H48" s="186"/>
      <c r="I48" s="195">
        <v>0.51</v>
      </c>
      <c r="J48" s="107">
        <v>0.49</v>
      </c>
      <c r="K48" s="107"/>
      <c r="L48" s="107"/>
      <c r="M48" s="187"/>
      <c r="N48" s="169">
        <f t="shared" si="14"/>
        <v>1</v>
      </c>
      <c r="O48" s="144">
        <v>1</v>
      </c>
      <c r="P48" s="145">
        <v>15</v>
      </c>
      <c r="Q48" s="113">
        <v>15</v>
      </c>
      <c r="R48" s="113"/>
      <c r="S48" s="113"/>
      <c r="T48" s="146"/>
      <c r="U48" s="148">
        <f t="shared" si="15"/>
        <v>15</v>
      </c>
      <c r="V48" s="149">
        <f t="shared" si="16"/>
        <v>15</v>
      </c>
      <c r="W48" s="189"/>
      <c r="X48" s="199"/>
      <c r="Y48" s="151"/>
      <c r="Z48" s="190"/>
      <c r="AA48" s="153"/>
      <c r="AB48" s="154">
        <f t="shared" si="17"/>
        <v>0</v>
      </c>
      <c r="AC48" s="149">
        <f t="shared" si="18"/>
        <v>0</v>
      </c>
      <c r="AD48" s="125">
        <v>2</v>
      </c>
      <c r="AE48" s="148">
        <f t="shared" si="19"/>
        <v>2</v>
      </c>
      <c r="AF48" s="156"/>
      <c r="AG48" s="156"/>
      <c r="AH48" s="113">
        <f t="shared" si="20"/>
        <v>17</v>
      </c>
      <c r="AI48" s="157">
        <v>65</v>
      </c>
      <c r="AJ48" s="113">
        <f t="shared" si="21"/>
        <v>82</v>
      </c>
      <c r="AK48" s="113">
        <f t="shared" si="22"/>
        <v>82</v>
      </c>
      <c r="AL48" s="158">
        <f t="shared" si="23"/>
        <v>1.02</v>
      </c>
      <c r="AM48" s="159"/>
      <c r="AN48" s="160">
        <f t="shared" si="13"/>
        <v>1</v>
      </c>
      <c r="AO48" s="160">
        <f t="shared" si="13"/>
        <v>2</v>
      </c>
      <c r="AP48" s="133"/>
      <c r="AQ48" s="134"/>
      <c r="AR48" s="161"/>
      <c r="AS48" s="161"/>
      <c r="AT48" s="161"/>
      <c r="AU48" s="161"/>
      <c r="AV48" s="162"/>
      <c r="AW48" s="137">
        <f t="shared" si="24"/>
        <v>0</v>
      </c>
      <c r="AX48" s="137">
        <f t="shared" si="25"/>
        <v>0</v>
      </c>
    </row>
    <row r="49" ht="46.5" customHeight="1" spans="1:50" s="97" customFormat="1" x14ac:dyDescent="0.25">
      <c r="A49" s="100"/>
      <c r="B49" s="100"/>
      <c r="C49" s="100"/>
      <c r="D49" s="100"/>
      <c r="E49" s="100"/>
      <c r="F49" s="100"/>
      <c r="G49" s="103"/>
      <c r="H49" s="186"/>
      <c r="I49" s="195">
        <v>0.51</v>
      </c>
      <c r="J49" s="107">
        <v>0.49</v>
      </c>
      <c r="K49" s="107"/>
      <c r="L49" s="107"/>
      <c r="M49" s="187"/>
      <c r="N49" s="169">
        <f t="shared" si="14"/>
        <v>1</v>
      </c>
      <c r="O49" s="144">
        <v>1</v>
      </c>
      <c r="P49" s="145">
        <v>15</v>
      </c>
      <c r="Q49" s="113">
        <v>15</v>
      </c>
      <c r="R49" s="113"/>
      <c r="S49" s="113"/>
      <c r="T49" s="146"/>
      <c r="U49" s="148">
        <f t="shared" si="15"/>
        <v>15</v>
      </c>
      <c r="V49" s="149">
        <f t="shared" si="16"/>
        <v>15</v>
      </c>
      <c r="W49" s="189"/>
      <c r="X49" s="199"/>
      <c r="Y49" s="151"/>
      <c r="Z49" s="190"/>
      <c r="AA49" s="153"/>
      <c r="AB49" s="154">
        <f t="shared" si="17"/>
        <v>0</v>
      </c>
      <c r="AC49" s="149">
        <f t="shared" si="18"/>
        <v>0</v>
      </c>
      <c r="AD49" s="125">
        <v>2</v>
      </c>
      <c r="AE49" s="148">
        <f t="shared" si="19"/>
        <v>2</v>
      </c>
      <c r="AF49" s="156"/>
      <c r="AG49" s="156"/>
      <c r="AH49" s="113">
        <f t="shared" si="20"/>
        <v>17</v>
      </c>
      <c r="AI49" s="157">
        <v>65</v>
      </c>
      <c r="AJ49" s="113">
        <f t="shared" si="21"/>
        <v>82</v>
      </c>
      <c r="AK49" s="113">
        <f t="shared" si="22"/>
        <v>82</v>
      </c>
      <c r="AL49" s="158">
        <f t="shared" si="23"/>
        <v>1.02</v>
      </c>
      <c r="AM49" s="159"/>
      <c r="AN49" s="160">
        <f t="shared" si="13"/>
        <v>1</v>
      </c>
      <c r="AO49" s="160">
        <f t="shared" si="13"/>
        <v>2</v>
      </c>
      <c r="AP49" s="133"/>
      <c r="AQ49" s="134"/>
      <c r="AR49" s="161"/>
      <c r="AS49" s="161"/>
      <c r="AT49" s="161"/>
      <c r="AU49" s="161"/>
      <c r="AV49" s="162"/>
      <c r="AW49" s="137">
        <f t="shared" si="24"/>
        <v>0</v>
      </c>
      <c r="AX49" s="137">
        <f t="shared" si="25"/>
        <v>0</v>
      </c>
    </row>
    <row r="50" ht="46.5" customHeight="1" spans="1:50" s="97" customFormat="1" x14ac:dyDescent="0.25">
      <c r="A50" s="100"/>
      <c r="B50" s="100"/>
      <c r="C50" s="100"/>
      <c r="D50" s="100"/>
      <c r="E50" s="100"/>
      <c r="F50" s="100"/>
      <c r="G50" s="103"/>
      <c r="H50" s="186"/>
      <c r="I50" s="195">
        <v>0.51</v>
      </c>
      <c r="J50" s="107">
        <v>0.49</v>
      </c>
      <c r="K50" s="107"/>
      <c r="L50" s="107"/>
      <c r="M50" s="187"/>
      <c r="N50" s="169">
        <f t="shared" si="14"/>
        <v>1</v>
      </c>
      <c r="O50" s="144">
        <v>1</v>
      </c>
      <c r="P50" s="145">
        <v>15</v>
      </c>
      <c r="Q50" s="113">
        <v>15</v>
      </c>
      <c r="R50" s="113"/>
      <c r="S50" s="113"/>
      <c r="T50" s="146"/>
      <c r="U50" s="148">
        <f t="shared" si="15"/>
        <v>15</v>
      </c>
      <c r="V50" s="149">
        <f t="shared" si="16"/>
        <v>15</v>
      </c>
      <c r="W50" s="189"/>
      <c r="X50" s="199"/>
      <c r="Y50" s="151"/>
      <c r="Z50" s="190"/>
      <c r="AA50" s="153"/>
      <c r="AB50" s="154">
        <f t="shared" si="17"/>
        <v>0</v>
      </c>
      <c r="AC50" s="149">
        <f t="shared" si="18"/>
        <v>0</v>
      </c>
      <c r="AD50" s="125">
        <v>2</v>
      </c>
      <c r="AE50" s="148">
        <f t="shared" si="19"/>
        <v>2</v>
      </c>
      <c r="AF50" s="156"/>
      <c r="AG50" s="156"/>
      <c r="AH50" s="113">
        <f t="shared" si="20"/>
        <v>17</v>
      </c>
      <c r="AI50" s="157">
        <v>65</v>
      </c>
      <c r="AJ50" s="113">
        <f t="shared" si="21"/>
        <v>82</v>
      </c>
      <c r="AK50" s="113">
        <f t="shared" si="22"/>
        <v>82</v>
      </c>
      <c r="AL50" s="158">
        <f t="shared" si="23"/>
        <v>1.02</v>
      </c>
      <c r="AM50" s="159"/>
      <c r="AN50" s="160">
        <f t="shared" si="13"/>
        <v>1</v>
      </c>
      <c r="AO50" s="160">
        <f t="shared" si="13"/>
        <v>2</v>
      </c>
      <c r="AP50" s="133"/>
      <c r="AQ50" s="134"/>
      <c r="AR50" s="161"/>
      <c r="AS50" s="161"/>
      <c r="AT50" s="161"/>
      <c r="AU50" s="161"/>
      <c r="AV50" s="162"/>
      <c r="AW50" s="137">
        <f t="shared" si="24"/>
        <v>0</v>
      </c>
      <c r="AX50" s="137">
        <f t="shared" si="25"/>
        <v>0</v>
      </c>
    </row>
    <row r="51" ht="46.5" customHeight="1" spans="1:50" s="97" customFormat="1" x14ac:dyDescent="0.25">
      <c r="A51" s="100"/>
      <c r="B51" s="100"/>
      <c r="C51" s="100"/>
      <c r="D51" s="100"/>
      <c r="E51" s="100"/>
      <c r="F51" s="100"/>
      <c r="G51" s="103"/>
      <c r="H51" s="186"/>
      <c r="I51" s="195">
        <v>0.51</v>
      </c>
      <c r="J51" s="107">
        <v>0.49</v>
      </c>
      <c r="K51" s="107"/>
      <c r="L51" s="107"/>
      <c r="M51" s="187"/>
      <c r="N51" s="169">
        <f t="shared" si="14"/>
        <v>1</v>
      </c>
      <c r="O51" s="144">
        <v>1</v>
      </c>
      <c r="P51" s="145">
        <v>15</v>
      </c>
      <c r="Q51" s="113">
        <v>15</v>
      </c>
      <c r="R51" s="113"/>
      <c r="S51" s="113"/>
      <c r="T51" s="146"/>
      <c r="U51" s="148">
        <f t="shared" si="15"/>
        <v>15</v>
      </c>
      <c r="V51" s="149">
        <f t="shared" si="16"/>
        <v>15</v>
      </c>
      <c r="W51" s="189"/>
      <c r="X51" s="199"/>
      <c r="Y51" s="151"/>
      <c r="Z51" s="190"/>
      <c r="AA51" s="153"/>
      <c r="AB51" s="154">
        <f t="shared" si="17"/>
        <v>0</v>
      </c>
      <c r="AC51" s="149">
        <f t="shared" si="18"/>
        <v>0</v>
      </c>
      <c r="AD51" s="125">
        <v>2</v>
      </c>
      <c r="AE51" s="148">
        <f t="shared" si="19"/>
        <v>2</v>
      </c>
      <c r="AF51" s="156"/>
      <c r="AG51" s="156"/>
      <c r="AH51" s="113">
        <f t="shared" si="20"/>
        <v>17</v>
      </c>
      <c r="AI51" s="157">
        <v>65</v>
      </c>
      <c r="AJ51" s="113">
        <f t="shared" si="21"/>
        <v>82</v>
      </c>
      <c r="AK51" s="113">
        <f t="shared" si="22"/>
        <v>82</v>
      </c>
      <c r="AL51" s="158">
        <f t="shared" si="23"/>
        <v>1.02</v>
      </c>
      <c r="AM51" s="159"/>
      <c r="AN51" s="160">
        <f t="shared" ref="AN51:AO70" si="26">100%+AM51</f>
        <v>1</v>
      </c>
      <c r="AO51" s="160">
        <f t="shared" si="26"/>
        <v>2</v>
      </c>
      <c r="AP51" s="133"/>
      <c r="AQ51" s="134"/>
      <c r="AR51" s="161"/>
      <c r="AS51" s="161"/>
      <c r="AT51" s="161"/>
      <c r="AU51" s="161"/>
      <c r="AV51" s="162"/>
      <c r="AW51" s="137">
        <f t="shared" si="24"/>
        <v>0</v>
      </c>
      <c r="AX51" s="137">
        <f t="shared" si="25"/>
        <v>0</v>
      </c>
    </row>
    <row r="52" ht="46.5" customHeight="1" spans="1:50" s="97" customFormat="1" x14ac:dyDescent="0.25">
      <c r="A52" s="100"/>
      <c r="B52" s="100"/>
      <c r="C52" s="100"/>
      <c r="D52" s="100"/>
      <c r="E52" s="100"/>
      <c r="F52" s="100"/>
      <c r="G52" s="103"/>
      <c r="H52" s="186"/>
      <c r="I52" s="195">
        <v>0.51</v>
      </c>
      <c r="J52" s="107">
        <v>0.49</v>
      </c>
      <c r="K52" s="107"/>
      <c r="L52" s="107"/>
      <c r="M52" s="187"/>
      <c r="N52" s="169">
        <f t="shared" si="14"/>
        <v>1</v>
      </c>
      <c r="O52" s="144">
        <v>1</v>
      </c>
      <c r="P52" s="145">
        <v>15</v>
      </c>
      <c r="Q52" s="113">
        <v>15</v>
      </c>
      <c r="R52" s="113"/>
      <c r="S52" s="113"/>
      <c r="T52" s="146"/>
      <c r="U52" s="148">
        <f t="shared" si="15"/>
        <v>15</v>
      </c>
      <c r="V52" s="149">
        <f t="shared" si="16"/>
        <v>15</v>
      </c>
      <c r="W52" s="189"/>
      <c r="X52" s="199"/>
      <c r="Y52" s="151"/>
      <c r="Z52" s="190"/>
      <c r="AA52" s="153"/>
      <c r="AB52" s="154">
        <f t="shared" si="17"/>
        <v>0</v>
      </c>
      <c r="AC52" s="149">
        <f t="shared" si="18"/>
        <v>0</v>
      </c>
      <c r="AD52" s="125">
        <v>2</v>
      </c>
      <c r="AE52" s="148">
        <f t="shared" si="19"/>
        <v>2</v>
      </c>
      <c r="AF52" s="156"/>
      <c r="AG52" s="156"/>
      <c r="AH52" s="113">
        <f t="shared" si="20"/>
        <v>17</v>
      </c>
      <c r="AI52" s="157">
        <v>65</v>
      </c>
      <c r="AJ52" s="113">
        <f t="shared" si="21"/>
        <v>82</v>
      </c>
      <c r="AK52" s="113">
        <f t="shared" si="22"/>
        <v>82</v>
      </c>
      <c r="AL52" s="158">
        <f t="shared" si="23"/>
        <v>1.02</v>
      </c>
      <c r="AM52" s="159"/>
      <c r="AN52" s="160">
        <f t="shared" si="26"/>
        <v>1</v>
      </c>
      <c r="AO52" s="160">
        <f t="shared" si="26"/>
        <v>2</v>
      </c>
      <c r="AP52" s="133"/>
      <c r="AQ52" s="134"/>
      <c r="AR52" s="161"/>
      <c r="AS52" s="161"/>
      <c r="AT52" s="161"/>
      <c r="AU52" s="161"/>
      <c r="AV52" s="162"/>
      <c r="AW52" s="137">
        <f t="shared" si="24"/>
        <v>0</v>
      </c>
      <c r="AX52" s="137">
        <f t="shared" si="25"/>
        <v>0</v>
      </c>
    </row>
    <row r="53" ht="46.5" customHeight="1" spans="1:50" s="97" customFormat="1" x14ac:dyDescent="0.25">
      <c r="A53" s="100"/>
      <c r="B53" s="100"/>
      <c r="C53" s="100"/>
      <c r="D53" s="100"/>
      <c r="E53" s="100"/>
      <c r="F53" s="100"/>
      <c r="G53" s="103"/>
      <c r="H53" s="186"/>
      <c r="I53" s="195">
        <v>0.51</v>
      </c>
      <c r="J53" s="107">
        <v>0.49</v>
      </c>
      <c r="K53" s="107"/>
      <c r="L53" s="107"/>
      <c r="M53" s="187"/>
      <c r="N53" s="169">
        <f t="shared" si="14"/>
        <v>1</v>
      </c>
      <c r="O53" s="144">
        <v>1</v>
      </c>
      <c r="P53" s="145">
        <v>15</v>
      </c>
      <c r="Q53" s="113">
        <v>15</v>
      </c>
      <c r="R53" s="113"/>
      <c r="S53" s="113"/>
      <c r="T53" s="146"/>
      <c r="U53" s="148">
        <f t="shared" si="15"/>
        <v>15</v>
      </c>
      <c r="V53" s="149">
        <f t="shared" si="16"/>
        <v>15</v>
      </c>
      <c r="W53" s="189"/>
      <c r="X53" s="199"/>
      <c r="Y53" s="151"/>
      <c r="Z53" s="190"/>
      <c r="AA53" s="153"/>
      <c r="AB53" s="154">
        <f t="shared" si="17"/>
        <v>0</v>
      </c>
      <c r="AC53" s="149">
        <f t="shared" si="18"/>
        <v>0</v>
      </c>
      <c r="AD53" s="125">
        <v>2</v>
      </c>
      <c r="AE53" s="148">
        <f t="shared" si="19"/>
        <v>2</v>
      </c>
      <c r="AF53" s="156"/>
      <c r="AG53" s="156"/>
      <c r="AH53" s="113">
        <f t="shared" si="20"/>
        <v>17</v>
      </c>
      <c r="AI53" s="157">
        <v>65</v>
      </c>
      <c r="AJ53" s="113">
        <f t="shared" si="21"/>
        <v>82</v>
      </c>
      <c r="AK53" s="113">
        <f t="shared" si="22"/>
        <v>82</v>
      </c>
      <c r="AL53" s="158">
        <f t="shared" si="23"/>
        <v>1.02</v>
      </c>
      <c r="AM53" s="159"/>
      <c r="AN53" s="160">
        <f t="shared" si="26"/>
        <v>1</v>
      </c>
      <c r="AO53" s="160">
        <f t="shared" si="26"/>
        <v>2</v>
      </c>
      <c r="AP53" s="133"/>
      <c r="AQ53" s="134"/>
      <c r="AR53" s="161"/>
      <c r="AS53" s="161"/>
      <c r="AT53" s="161"/>
      <c r="AU53" s="161"/>
      <c r="AV53" s="162"/>
      <c r="AW53" s="137">
        <f t="shared" si="24"/>
        <v>0</v>
      </c>
      <c r="AX53" s="137">
        <f t="shared" si="25"/>
        <v>0</v>
      </c>
    </row>
    <row r="54" ht="46.5" customHeight="1" spans="1:50" s="97" customFormat="1" x14ac:dyDescent="0.25">
      <c r="A54" s="100"/>
      <c r="B54" s="100"/>
      <c r="C54" s="100"/>
      <c r="D54" s="100"/>
      <c r="E54" s="100"/>
      <c r="F54" s="100"/>
      <c r="G54" s="103"/>
      <c r="H54" s="186"/>
      <c r="I54" s="195">
        <v>0.51</v>
      </c>
      <c r="J54" s="107">
        <v>0.49</v>
      </c>
      <c r="K54" s="107"/>
      <c r="L54" s="107"/>
      <c r="M54" s="187"/>
      <c r="N54" s="169">
        <f t="shared" si="14"/>
        <v>1</v>
      </c>
      <c r="O54" s="144">
        <v>1</v>
      </c>
      <c r="P54" s="145">
        <v>15</v>
      </c>
      <c r="Q54" s="113">
        <v>15</v>
      </c>
      <c r="R54" s="113"/>
      <c r="S54" s="113"/>
      <c r="T54" s="146"/>
      <c r="U54" s="148">
        <f t="shared" si="15"/>
        <v>15</v>
      </c>
      <c r="V54" s="149">
        <f t="shared" si="16"/>
        <v>15</v>
      </c>
      <c r="W54" s="189"/>
      <c r="X54" s="199"/>
      <c r="Y54" s="151"/>
      <c r="Z54" s="190"/>
      <c r="AA54" s="153"/>
      <c r="AB54" s="154">
        <f t="shared" si="17"/>
        <v>0</v>
      </c>
      <c r="AC54" s="149">
        <f t="shared" si="18"/>
        <v>0</v>
      </c>
      <c r="AD54" s="125">
        <v>2</v>
      </c>
      <c r="AE54" s="148">
        <f t="shared" si="19"/>
        <v>2</v>
      </c>
      <c r="AF54" s="156"/>
      <c r="AG54" s="156"/>
      <c r="AH54" s="113">
        <f t="shared" si="20"/>
        <v>17</v>
      </c>
      <c r="AI54" s="157">
        <v>65</v>
      </c>
      <c r="AJ54" s="113">
        <f t="shared" si="21"/>
        <v>82</v>
      </c>
      <c r="AK54" s="113">
        <f t="shared" si="22"/>
        <v>82</v>
      </c>
      <c r="AL54" s="158">
        <f t="shared" si="23"/>
        <v>1.02</v>
      </c>
      <c r="AM54" s="159"/>
      <c r="AN54" s="160">
        <f t="shared" si="26"/>
        <v>1</v>
      </c>
      <c r="AO54" s="160">
        <f t="shared" si="26"/>
        <v>2</v>
      </c>
      <c r="AP54" s="133"/>
      <c r="AQ54" s="134"/>
      <c r="AR54" s="161"/>
      <c r="AS54" s="161"/>
      <c r="AT54" s="161"/>
      <c r="AU54" s="161"/>
      <c r="AV54" s="162"/>
      <c r="AW54" s="137">
        <f t="shared" si="24"/>
        <v>0</v>
      </c>
      <c r="AX54" s="137">
        <f t="shared" si="25"/>
        <v>0</v>
      </c>
    </row>
    <row r="55" ht="46.5" customHeight="1" spans="1:50" s="97" customFormat="1" x14ac:dyDescent="0.25">
      <c r="A55" s="100"/>
      <c r="B55" s="100"/>
      <c r="C55" s="100"/>
      <c r="D55" s="100"/>
      <c r="E55" s="100"/>
      <c r="F55" s="100"/>
      <c r="G55" s="103"/>
      <c r="H55" s="186"/>
      <c r="I55" s="195">
        <v>0.51</v>
      </c>
      <c r="J55" s="107">
        <v>0.49</v>
      </c>
      <c r="K55" s="107"/>
      <c r="L55" s="107"/>
      <c r="M55" s="187"/>
      <c r="N55" s="169">
        <f t="shared" si="14"/>
        <v>1</v>
      </c>
      <c r="O55" s="144">
        <v>1</v>
      </c>
      <c r="P55" s="145">
        <v>15</v>
      </c>
      <c r="Q55" s="113">
        <v>15</v>
      </c>
      <c r="R55" s="113"/>
      <c r="S55" s="113"/>
      <c r="T55" s="146"/>
      <c r="U55" s="148">
        <f t="shared" si="15"/>
        <v>15</v>
      </c>
      <c r="V55" s="149">
        <f t="shared" si="16"/>
        <v>15</v>
      </c>
      <c r="W55" s="189"/>
      <c r="X55" s="199"/>
      <c r="Y55" s="151"/>
      <c r="Z55" s="190"/>
      <c r="AA55" s="153"/>
      <c r="AB55" s="154">
        <f t="shared" si="17"/>
        <v>0</v>
      </c>
      <c r="AC55" s="149">
        <f t="shared" si="18"/>
        <v>0</v>
      </c>
      <c r="AD55" s="125">
        <v>2</v>
      </c>
      <c r="AE55" s="148">
        <f t="shared" si="19"/>
        <v>2</v>
      </c>
      <c r="AF55" s="156"/>
      <c r="AG55" s="156"/>
      <c r="AH55" s="113">
        <f t="shared" si="20"/>
        <v>17</v>
      </c>
      <c r="AI55" s="157">
        <v>65</v>
      </c>
      <c r="AJ55" s="113">
        <f t="shared" si="21"/>
        <v>82</v>
      </c>
      <c r="AK55" s="113">
        <f t="shared" si="22"/>
        <v>82</v>
      </c>
      <c r="AL55" s="158">
        <f t="shared" si="23"/>
        <v>1.02</v>
      </c>
      <c r="AM55" s="159"/>
      <c r="AN55" s="160">
        <f t="shared" si="26"/>
        <v>1</v>
      </c>
      <c r="AO55" s="160">
        <f t="shared" si="26"/>
        <v>2</v>
      </c>
      <c r="AP55" s="133"/>
      <c r="AQ55" s="134"/>
      <c r="AR55" s="161"/>
      <c r="AS55" s="161"/>
      <c r="AT55" s="161"/>
      <c r="AU55" s="161"/>
      <c r="AV55" s="162"/>
      <c r="AW55" s="137">
        <f t="shared" si="24"/>
        <v>0</v>
      </c>
      <c r="AX55" s="137">
        <f t="shared" si="25"/>
        <v>0</v>
      </c>
    </row>
    <row r="56" ht="46.5" customHeight="1" spans="1:50" s="97" customFormat="1" x14ac:dyDescent="0.25">
      <c r="A56" s="100"/>
      <c r="B56" s="100"/>
      <c r="C56" s="100"/>
      <c r="D56" s="100"/>
      <c r="E56" s="100"/>
      <c r="F56" s="100"/>
      <c r="G56" s="103"/>
      <c r="H56" s="186"/>
      <c r="I56" s="195">
        <v>0.51</v>
      </c>
      <c r="J56" s="107">
        <v>0.49</v>
      </c>
      <c r="K56" s="107"/>
      <c r="L56" s="107"/>
      <c r="M56" s="187"/>
      <c r="N56" s="169">
        <f t="shared" si="14"/>
        <v>1</v>
      </c>
      <c r="O56" s="144">
        <v>1</v>
      </c>
      <c r="P56" s="145">
        <v>15</v>
      </c>
      <c r="Q56" s="113">
        <v>15</v>
      </c>
      <c r="R56" s="113"/>
      <c r="S56" s="113"/>
      <c r="T56" s="146"/>
      <c r="U56" s="148">
        <f t="shared" si="15"/>
        <v>15</v>
      </c>
      <c r="V56" s="149">
        <f t="shared" si="16"/>
        <v>15</v>
      </c>
      <c r="W56" s="189"/>
      <c r="X56" s="199"/>
      <c r="Y56" s="151"/>
      <c r="Z56" s="190"/>
      <c r="AA56" s="153"/>
      <c r="AB56" s="154">
        <f t="shared" si="17"/>
        <v>0</v>
      </c>
      <c r="AC56" s="149">
        <f t="shared" si="18"/>
        <v>0</v>
      </c>
      <c r="AD56" s="125">
        <v>2</v>
      </c>
      <c r="AE56" s="148">
        <f t="shared" si="19"/>
        <v>2</v>
      </c>
      <c r="AF56" s="156"/>
      <c r="AG56" s="156"/>
      <c r="AH56" s="113">
        <f t="shared" si="20"/>
        <v>17</v>
      </c>
      <c r="AI56" s="157">
        <v>65</v>
      </c>
      <c r="AJ56" s="113">
        <f t="shared" si="21"/>
        <v>82</v>
      </c>
      <c r="AK56" s="113">
        <f t="shared" si="22"/>
        <v>82</v>
      </c>
      <c r="AL56" s="158">
        <f t="shared" si="23"/>
        <v>1.02</v>
      </c>
      <c r="AM56" s="159"/>
      <c r="AN56" s="160">
        <f t="shared" si="26"/>
        <v>1</v>
      </c>
      <c r="AO56" s="160">
        <f t="shared" si="26"/>
        <v>2</v>
      </c>
      <c r="AP56" s="133"/>
      <c r="AQ56" s="134"/>
      <c r="AR56" s="161"/>
      <c r="AS56" s="161"/>
      <c r="AT56" s="161"/>
      <c r="AU56" s="161"/>
      <c r="AV56" s="162"/>
      <c r="AW56" s="137">
        <f t="shared" si="24"/>
        <v>0</v>
      </c>
      <c r="AX56" s="137">
        <f t="shared" si="25"/>
        <v>0</v>
      </c>
    </row>
    <row r="57" ht="46.5" customHeight="1" spans="1:50" s="97" customFormat="1" x14ac:dyDescent="0.25">
      <c r="A57" s="100"/>
      <c r="B57" s="100"/>
      <c r="C57" s="100"/>
      <c r="D57" s="100"/>
      <c r="E57" s="100"/>
      <c r="F57" s="100"/>
      <c r="G57" s="103"/>
      <c r="H57" s="186"/>
      <c r="I57" s="195">
        <v>0.51</v>
      </c>
      <c r="J57" s="107">
        <v>0.49</v>
      </c>
      <c r="K57" s="107"/>
      <c r="L57" s="107"/>
      <c r="M57" s="187"/>
      <c r="N57" s="169">
        <f t="shared" si="14"/>
        <v>1</v>
      </c>
      <c r="O57" s="144">
        <v>1</v>
      </c>
      <c r="P57" s="145">
        <v>15</v>
      </c>
      <c r="Q57" s="113">
        <v>15</v>
      </c>
      <c r="R57" s="113"/>
      <c r="S57" s="113"/>
      <c r="T57" s="146"/>
      <c r="U57" s="148">
        <f t="shared" si="15"/>
        <v>15</v>
      </c>
      <c r="V57" s="149">
        <f t="shared" si="16"/>
        <v>15</v>
      </c>
      <c r="W57" s="189"/>
      <c r="X57" s="199"/>
      <c r="Y57" s="151"/>
      <c r="Z57" s="190"/>
      <c r="AA57" s="153"/>
      <c r="AB57" s="154">
        <f t="shared" si="17"/>
        <v>0</v>
      </c>
      <c r="AC57" s="149">
        <f t="shared" si="18"/>
        <v>0</v>
      </c>
      <c r="AD57" s="125">
        <v>2</v>
      </c>
      <c r="AE57" s="148">
        <f t="shared" si="19"/>
        <v>2</v>
      </c>
      <c r="AF57" s="156"/>
      <c r="AG57" s="156"/>
      <c r="AH57" s="113">
        <f t="shared" si="20"/>
        <v>17</v>
      </c>
      <c r="AI57" s="157">
        <v>65</v>
      </c>
      <c r="AJ57" s="113">
        <f t="shared" si="21"/>
        <v>82</v>
      </c>
      <c r="AK57" s="113">
        <f t="shared" si="22"/>
        <v>82</v>
      </c>
      <c r="AL57" s="158">
        <f t="shared" si="23"/>
        <v>1.02</v>
      </c>
      <c r="AM57" s="159"/>
      <c r="AN57" s="160">
        <f t="shared" si="26"/>
        <v>1</v>
      </c>
      <c r="AO57" s="160">
        <f t="shared" si="26"/>
        <v>2</v>
      </c>
      <c r="AP57" s="133"/>
      <c r="AQ57" s="134"/>
      <c r="AR57" s="161"/>
      <c r="AS57" s="161"/>
      <c r="AT57" s="161"/>
      <c r="AU57" s="161"/>
      <c r="AV57" s="162"/>
      <c r="AW57" s="137">
        <f t="shared" si="24"/>
        <v>0</v>
      </c>
      <c r="AX57" s="137">
        <f t="shared" si="25"/>
        <v>0</v>
      </c>
    </row>
    <row r="58" ht="46.5" customHeight="1" spans="1:50" s="97" customFormat="1" x14ac:dyDescent="0.25">
      <c r="A58" s="100"/>
      <c r="B58" s="100"/>
      <c r="C58" s="100"/>
      <c r="D58" s="100"/>
      <c r="E58" s="100"/>
      <c r="F58" s="100"/>
      <c r="G58" s="103"/>
      <c r="H58" s="186"/>
      <c r="I58" s="195">
        <v>0.51</v>
      </c>
      <c r="J58" s="107">
        <v>0.49</v>
      </c>
      <c r="K58" s="107"/>
      <c r="L58" s="107"/>
      <c r="M58" s="187"/>
      <c r="N58" s="169">
        <f t="shared" si="14"/>
        <v>1</v>
      </c>
      <c r="O58" s="144">
        <v>1</v>
      </c>
      <c r="P58" s="145">
        <v>15</v>
      </c>
      <c r="Q58" s="113">
        <v>15</v>
      </c>
      <c r="R58" s="113"/>
      <c r="S58" s="113"/>
      <c r="T58" s="146"/>
      <c r="U58" s="148">
        <f t="shared" si="15"/>
        <v>15</v>
      </c>
      <c r="V58" s="149">
        <f t="shared" si="16"/>
        <v>15</v>
      </c>
      <c r="W58" s="189"/>
      <c r="X58" s="199"/>
      <c r="Y58" s="151"/>
      <c r="Z58" s="190"/>
      <c r="AA58" s="153"/>
      <c r="AB58" s="154">
        <f t="shared" si="17"/>
        <v>0</v>
      </c>
      <c r="AC58" s="149">
        <f t="shared" si="18"/>
        <v>0</v>
      </c>
      <c r="AD58" s="125">
        <v>2</v>
      </c>
      <c r="AE58" s="148">
        <f t="shared" si="19"/>
        <v>2</v>
      </c>
      <c r="AF58" s="156"/>
      <c r="AG58" s="156"/>
      <c r="AH58" s="113">
        <f t="shared" si="20"/>
        <v>17</v>
      </c>
      <c r="AI58" s="157">
        <v>65</v>
      </c>
      <c r="AJ58" s="113">
        <f t="shared" si="21"/>
        <v>82</v>
      </c>
      <c r="AK58" s="113">
        <f t="shared" si="22"/>
        <v>82</v>
      </c>
      <c r="AL58" s="158">
        <f t="shared" si="23"/>
        <v>1.02</v>
      </c>
      <c r="AM58" s="159"/>
      <c r="AN58" s="160">
        <f t="shared" si="26"/>
        <v>1</v>
      </c>
      <c r="AO58" s="160">
        <f t="shared" si="26"/>
        <v>2</v>
      </c>
      <c r="AP58" s="133"/>
      <c r="AQ58" s="134"/>
      <c r="AR58" s="161"/>
      <c r="AS58" s="161"/>
      <c r="AT58" s="161"/>
      <c r="AU58" s="161"/>
      <c r="AV58" s="162"/>
      <c r="AW58" s="137">
        <f t="shared" si="24"/>
        <v>0</v>
      </c>
      <c r="AX58" s="137">
        <f t="shared" si="25"/>
        <v>0</v>
      </c>
    </row>
    <row r="59" ht="46.5" customHeight="1" spans="1:50" s="97" customFormat="1" x14ac:dyDescent="0.25">
      <c r="A59" s="100"/>
      <c r="B59" s="100"/>
      <c r="C59" s="100"/>
      <c r="D59" s="100"/>
      <c r="E59" s="100"/>
      <c r="F59" s="100"/>
      <c r="G59" s="103"/>
      <c r="H59" s="186"/>
      <c r="I59" s="195">
        <v>0.51</v>
      </c>
      <c r="J59" s="107">
        <v>0.49</v>
      </c>
      <c r="K59" s="107"/>
      <c r="L59" s="107"/>
      <c r="M59" s="187"/>
      <c r="N59" s="169">
        <f t="shared" si="14"/>
        <v>1</v>
      </c>
      <c r="O59" s="144">
        <v>1</v>
      </c>
      <c r="P59" s="145">
        <v>15</v>
      </c>
      <c r="Q59" s="113">
        <v>15</v>
      </c>
      <c r="R59" s="113"/>
      <c r="S59" s="113"/>
      <c r="T59" s="146"/>
      <c r="U59" s="148">
        <f t="shared" si="15"/>
        <v>15</v>
      </c>
      <c r="V59" s="149">
        <f t="shared" si="16"/>
        <v>15</v>
      </c>
      <c r="W59" s="189"/>
      <c r="X59" s="199"/>
      <c r="Y59" s="151"/>
      <c r="Z59" s="190"/>
      <c r="AA59" s="153"/>
      <c r="AB59" s="154">
        <f t="shared" si="17"/>
        <v>0</v>
      </c>
      <c r="AC59" s="149">
        <f t="shared" si="18"/>
        <v>0</v>
      </c>
      <c r="AD59" s="125">
        <v>2</v>
      </c>
      <c r="AE59" s="148">
        <f t="shared" si="19"/>
        <v>2</v>
      </c>
      <c r="AF59" s="156"/>
      <c r="AG59" s="156"/>
      <c r="AH59" s="113">
        <f t="shared" si="20"/>
        <v>17</v>
      </c>
      <c r="AI59" s="157">
        <v>65</v>
      </c>
      <c r="AJ59" s="113">
        <f t="shared" si="21"/>
        <v>82</v>
      </c>
      <c r="AK59" s="113">
        <f t="shared" si="22"/>
        <v>82</v>
      </c>
      <c r="AL59" s="158">
        <f t="shared" si="23"/>
        <v>1.02</v>
      </c>
      <c r="AM59" s="159"/>
      <c r="AN59" s="160">
        <f t="shared" si="26"/>
        <v>1</v>
      </c>
      <c r="AO59" s="160">
        <f t="shared" si="26"/>
        <v>2</v>
      </c>
      <c r="AP59" s="133"/>
      <c r="AQ59" s="134"/>
      <c r="AR59" s="161"/>
      <c r="AS59" s="161"/>
      <c r="AT59" s="161"/>
      <c r="AU59" s="161"/>
      <c r="AV59" s="162"/>
      <c r="AW59" s="137">
        <f t="shared" si="24"/>
        <v>0</v>
      </c>
      <c r="AX59" s="137">
        <f t="shared" si="25"/>
        <v>0</v>
      </c>
    </row>
    <row r="60" ht="46.5" customHeight="1" spans="1:50" s="97" customFormat="1" x14ac:dyDescent="0.25">
      <c r="A60" s="100"/>
      <c r="B60" s="100"/>
      <c r="C60" s="100"/>
      <c r="D60" s="100"/>
      <c r="E60" s="100"/>
      <c r="F60" s="100"/>
      <c r="G60" s="103"/>
      <c r="H60" s="186"/>
      <c r="I60" s="195">
        <v>0.51</v>
      </c>
      <c r="J60" s="107">
        <v>0.49</v>
      </c>
      <c r="K60" s="107"/>
      <c r="L60" s="107"/>
      <c r="M60" s="187"/>
      <c r="N60" s="169">
        <f t="shared" si="14"/>
        <v>1</v>
      </c>
      <c r="O60" s="144">
        <v>1</v>
      </c>
      <c r="P60" s="145">
        <v>15</v>
      </c>
      <c r="Q60" s="113">
        <v>15</v>
      </c>
      <c r="R60" s="113"/>
      <c r="S60" s="113"/>
      <c r="T60" s="146"/>
      <c r="U60" s="148">
        <f t="shared" si="15"/>
        <v>15</v>
      </c>
      <c r="V60" s="149">
        <f t="shared" si="16"/>
        <v>15</v>
      </c>
      <c r="W60" s="189"/>
      <c r="X60" s="199"/>
      <c r="Y60" s="151"/>
      <c r="Z60" s="190"/>
      <c r="AA60" s="153"/>
      <c r="AB60" s="154">
        <f t="shared" si="17"/>
        <v>0</v>
      </c>
      <c r="AC60" s="149">
        <f t="shared" si="18"/>
        <v>0</v>
      </c>
      <c r="AD60" s="125">
        <v>2</v>
      </c>
      <c r="AE60" s="148">
        <f t="shared" si="19"/>
        <v>2</v>
      </c>
      <c r="AF60" s="156"/>
      <c r="AG60" s="156"/>
      <c r="AH60" s="113">
        <f t="shared" si="20"/>
        <v>17</v>
      </c>
      <c r="AI60" s="157">
        <v>65</v>
      </c>
      <c r="AJ60" s="113">
        <f t="shared" si="21"/>
        <v>82</v>
      </c>
      <c r="AK60" s="113">
        <f t="shared" si="22"/>
        <v>82</v>
      </c>
      <c r="AL60" s="158">
        <f t="shared" si="23"/>
        <v>1.02</v>
      </c>
      <c r="AM60" s="159"/>
      <c r="AN60" s="160">
        <f t="shared" si="26"/>
        <v>1</v>
      </c>
      <c r="AO60" s="160">
        <f t="shared" si="26"/>
        <v>2</v>
      </c>
      <c r="AP60" s="133"/>
      <c r="AQ60" s="134"/>
      <c r="AR60" s="161"/>
      <c r="AS60" s="161"/>
      <c r="AT60" s="161"/>
      <c r="AU60" s="161"/>
      <c r="AV60" s="162"/>
      <c r="AW60" s="137">
        <f t="shared" si="24"/>
        <v>0</v>
      </c>
      <c r="AX60" s="137">
        <f t="shared" si="25"/>
        <v>0</v>
      </c>
    </row>
    <row r="61" ht="46.5" customHeight="1" spans="1:50" s="97" customFormat="1" x14ac:dyDescent="0.25">
      <c r="A61" s="100"/>
      <c r="B61" s="100"/>
      <c r="C61" s="100"/>
      <c r="D61" s="100"/>
      <c r="E61" s="100"/>
      <c r="F61" s="100"/>
      <c r="G61" s="103"/>
      <c r="H61" s="186"/>
      <c r="I61" s="195">
        <v>0.51</v>
      </c>
      <c r="J61" s="107">
        <v>0.49</v>
      </c>
      <c r="K61" s="107"/>
      <c r="L61" s="107"/>
      <c r="M61" s="187"/>
      <c r="N61" s="169">
        <f t="shared" si="14"/>
        <v>1</v>
      </c>
      <c r="O61" s="144">
        <v>1</v>
      </c>
      <c r="P61" s="145">
        <v>15</v>
      </c>
      <c r="Q61" s="113">
        <v>15</v>
      </c>
      <c r="R61" s="113"/>
      <c r="S61" s="113"/>
      <c r="T61" s="146"/>
      <c r="U61" s="148">
        <f t="shared" si="15"/>
        <v>15</v>
      </c>
      <c r="V61" s="149">
        <f t="shared" si="16"/>
        <v>15</v>
      </c>
      <c r="W61" s="189"/>
      <c r="X61" s="199"/>
      <c r="Y61" s="151"/>
      <c r="Z61" s="190"/>
      <c r="AA61" s="153"/>
      <c r="AB61" s="154">
        <f t="shared" si="17"/>
        <v>0</v>
      </c>
      <c r="AC61" s="149">
        <f t="shared" si="18"/>
        <v>0</v>
      </c>
      <c r="AD61" s="125">
        <v>2</v>
      </c>
      <c r="AE61" s="148">
        <f t="shared" si="19"/>
        <v>2</v>
      </c>
      <c r="AF61" s="156"/>
      <c r="AG61" s="156"/>
      <c r="AH61" s="113">
        <f t="shared" si="20"/>
        <v>17</v>
      </c>
      <c r="AI61" s="157">
        <v>65</v>
      </c>
      <c r="AJ61" s="113">
        <f t="shared" si="21"/>
        <v>82</v>
      </c>
      <c r="AK61" s="113">
        <f t="shared" si="22"/>
        <v>82</v>
      </c>
      <c r="AL61" s="158">
        <f t="shared" si="23"/>
        <v>1.02</v>
      </c>
      <c r="AM61" s="159"/>
      <c r="AN61" s="160">
        <f t="shared" si="26"/>
        <v>1</v>
      </c>
      <c r="AO61" s="160">
        <f t="shared" si="26"/>
        <v>2</v>
      </c>
      <c r="AP61" s="133"/>
      <c r="AQ61" s="134"/>
      <c r="AR61" s="161"/>
      <c r="AS61" s="161"/>
      <c r="AT61" s="161"/>
      <c r="AU61" s="161"/>
      <c r="AV61" s="162"/>
      <c r="AW61" s="137">
        <f t="shared" si="24"/>
        <v>0</v>
      </c>
      <c r="AX61" s="137">
        <f t="shared" si="25"/>
        <v>0</v>
      </c>
    </row>
    <row r="62" ht="46.5" customHeight="1" spans="1:50" s="97" customFormat="1" x14ac:dyDescent="0.25">
      <c r="A62" s="100"/>
      <c r="B62" s="100"/>
      <c r="C62" s="100"/>
      <c r="D62" s="100"/>
      <c r="E62" s="100"/>
      <c r="F62" s="100"/>
      <c r="G62" s="103"/>
      <c r="H62" s="186"/>
      <c r="I62" s="195">
        <v>0.51</v>
      </c>
      <c r="J62" s="107">
        <v>0.49</v>
      </c>
      <c r="K62" s="107"/>
      <c r="L62" s="107"/>
      <c r="M62" s="187"/>
      <c r="N62" s="169">
        <f t="shared" si="14"/>
        <v>1</v>
      </c>
      <c r="O62" s="144">
        <v>1</v>
      </c>
      <c r="P62" s="145">
        <v>15</v>
      </c>
      <c r="Q62" s="113">
        <v>15</v>
      </c>
      <c r="R62" s="113"/>
      <c r="S62" s="113"/>
      <c r="T62" s="146"/>
      <c r="U62" s="148">
        <f t="shared" si="15"/>
        <v>15</v>
      </c>
      <c r="V62" s="149">
        <f t="shared" si="16"/>
        <v>15</v>
      </c>
      <c r="W62" s="189"/>
      <c r="X62" s="199"/>
      <c r="Y62" s="151"/>
      <c r="Z62" s="190"/>
      <c r="AA62" s="153"/>
      <c r="AB62" s="154">
        <f t="shared" si="17"/>
        <v>0</v>
      </c>
      <c r="AC62" s="149">
        <f t="shared" si="18"/>
        <v>0</v>
      </c>
      <c r="AD62" s="125">
        <v>2</v>
      </c>
      <c r="AE62" s="148">
        <f t="shared" si="19"/>
        <v>2</v>
      </c>
      <c r="AF62" s="156"/>
      <c r="AG62" s="156"/>
      <c r="AH62" s="113">
        <f t="shared" si="20"/>
        <v>17</v>
      </c>
      <c r="AI62" s="157">
        <v>65</v>
      </c>
      <c r="AJ62" s="113">
        <f t="shared" si="21"/>
        <v>82</v>
      </c>
      <c r="AK62" s="113">
        <f t="shared" si="22"/>
        <v>82</v>
      </c>
      <c r="AL62" s="158">
        <f t="shared" si="23"/>
        <v>1.02</v>
      </c>
      <c r="AM62" s="159"/>
      <c r="AN62" s="160">
        <f t="shared" si="26"/>
        <v>1</v>
      </c>
      <c r="AO62" s="160">
        <f t="shared" si="26"/>
        <v>2</v>
      </c>
      <c r="AP62" s="133"/>
      <c r="AQ62" s="134"/>
      <c r="AR62" s="161"/>
      <c r="AS62" s="161"/>
      <c r="AT62" s="161"/>
      <c r="AU62" s="161"/>
      <c r="AV62" s="162"/>
      <c r="AW62" s="137">
        <f t="shared" si="24"/>
        <v>0</v>
      </c>
      <c r="AX62" s="137">
        <f t="shared" si="25"/>
        <v>0</v>
      </c>
    </row>
    <row r="63" ht="46.5" customHeight="1" spans="1:50" s="97" customFormat="1" x14ac:dyDescent="0.25">
      <c r="A63" s="100"/>
      <c r="B63" s="100"/>
      <c r="C63" s="100"/>
      <c r="D63" s="100"/>
      <c r="E63" s="100"/>
      <c r="F63" s="100"/>
      <c r="G63" s="103"/>
      <c r="H63" s="186"/>
      <c r="I63" s="195">
        <v>0.51</v>
      </c>
      <c r="J63" s="107">
        <v>0.49</v>
      </c>
      <c r="K63" s="107"/>
      <c r="L63" s="107"/>
      <c r="M63" s="187"/>
      <c r="N63" s="169">
        <f t="shared" si="14"/>
        <v>1</v>
      </c>
      <c r="O63" s="144">
        <v>1</v>
      </c>
      <c r="P63" s="145">
        <v>15</v>
      </c>
      <c r="Q63" s="113">
        <v>15</v>
      </c>
      <c r="R63" s="113"/>
      <c r="S63" s="113"/>
      <c r="T63" s="146"/>
      <c r="U63" s="148">
        <f t="shared" si="15"/>
        <v>15</v>
      </c>
      <c r="V63" s="149">
        <f t="shared" si="16"/>
        <v>15</v>
      </c>
      <c r="W63" s="189"/>
      <c r="X63" s="199"/>
      <c r="Y63" s="151"/>
      <c r="Z63" s="190"/>
      <c r="AA63" s="153"/>
      <c r="AB63" s="154">
        <f t="shared" si="17"/>
        <v>0</v>
      </c>
      <c r="AC63" s="149">
        <f t="shared" si="18"/>
        <v>0</v>
      </c>
      <c r="AD63" s="125">
        <v>2</v>
      </c>
      <c r="AE63" s="148">
        <f t="shared" si="19"/>
        <v>2</v>
      </c>
      <c r="AF63" s="156"/>
      <c r="AG63" s="156"/>
      <c r="AH63" s="113">
        <f t="shared" si="20"/>
        <v>17</v>
      </c>
      <c r="AI63" s="157">
        <v>65</v>
      </c>
      <c r="AJ63" s="113">
        <f t="shared" si="21"/>
        <v>82</v>
      </c>
      <c r="AK63" s="113">
        <f t="shared" si="22"/>
        <v>82</v>
      </c>
      <c r="AL63" s="158">
        <f t="shared" si="23"/>
        <v>1.02</v>
      </c>
      <c r="AM63" s="159"/>
      <c r="AN63" s="160">
        <f t="shared" si="26"/>
        <v>1</v>
      </c>
      <c r="AO63" s="160">
        <f t="shared" si="26"/>
        <v>2</v>
      </c>
      <c r="AP63" s="133"/>
      <c r="AQ63" s="134"/>
      <c r="AR63" s="161"/>
      <c r="AS63" s="161"/>
      <c r="AT63" s="161"/>
      <c r="AU63" s="161"/>
      <c r="AV63" s="162"/>
      <c r="AW63" s="137">
        <f t="shared" si="24"/>
        <v>0</v>
      </c>
      <c r="AX63" s="137">
        <f t="shared" si="25"/>
        <v>0</v>
      </c>
    </row>
    <row r="64" ht="46.5" customHeight="1" spans="1:50" s="97" customFormat="1" x14ac:dyDescent="0.25">
      <c r="A64" s="100"/>
      <c r="B64" s="100"/>
      <c r="C64" s="100"/>
      <c r="D64" s="100"/>
      <c r="E64" s="100"/>
      <c r="F64" s="100"/>
      <c r="G64" s="103"/>
      <c r="H64" s="186"/>
      <c r="I64" s="195">
        <v>0.51</v>
      </c>
      <c r="J64" s="107">
        <v>0.49</v>
      </c>
      <c r="K64" s="107"/>
      <c r="L64" s="107"/>
      <c r="M64" s="187"/>
      <c r="N64" s="169">
        <f t="shared" si="14"/>
        <v>1</v>
      </c>
      <c r="O64" s="144">
        <v>1</v>
      </c>
      <c r="P64" s="145">
        <v>15</v>
      </c>
      <c r="Q64" s="113">
        <v>15</v>
      </c>
      <c r="R64" s="113"/>
      <c r="S64" s="113"/>
      <c r="T64" s="146"/>
      <c r="U64" s="148">
        <f t="shared" si="15"/>
        <v>15</v>
      </c>
      <c r="V64" s="149">
        <f t="shared" si="16"/>
        <v>15</v>
      </c>
      <c r="W64" s="189"/>
      <c r="X64" s="199"/>
      <c r="Y64" s="151"/>
      <c r="Z64" s="190"/>
      <c r="AA64" s="153"/>
      <c r="AB64" s="154">
        <f t="shared" si="17"/>
        <v>0</v>
      </c>
      <c r="AC64" s="149">
        <f t="shared" si="18"/>
        <v>0</v>
      </c>
      <c r="AD64" s="125">
        <v>2</v>
      </c>
      <c r="AE64" s="148">
        <f t="shared" si="19"/>
        <v>2</v>
      </c>
      <c r="AF64" s="156"/>
      <c r="AG64" s="156"/>
      <c r="AH64" s="113">
        <f t="shared" si="20"/>
        <v>17</v>
      </c>
      <c r="AI64" s="157">
        <v>65</v>
      </c>
      <c r="AJ64" s="113">
        <f t="shared" si="21"/>
        <v>82</v>
      </c>
      <c r="AK64" s="113">
        <f t="shared" si="22"/>
        <v>82</v>
      </c>
      <c r="AL64" s="158">
        <f t="shared" si="23"/>
        <v>1.02</v>
      </c>
      <c r="AM64" s="159"/>
      <c r="AN64" s="160">
        <f t="shared" si="26"/>
        <v>1</v>
      </c>
      <c r="AO64" s="160">
        <f t="shared" si="26"/>
        <v>2</v>
      </c>
      <c r="AP64" s="133"/>
      <c r="AQ64" s="134"/>
      <c r="AR64" s="161"/>
      <c r="AS64" s="161"/>
      <c r="AT64" s="161"/>
      <c r="AU64" s="161"/>
      <c r="AV64" s="162"/>
      <c r="AW64" s="137">
        <f t="shared" si="24"/>
        <v>0</v>
      </c>
      <c r="AX64" s="137">
        <f t="shared" si="25"/>
        <v>0</v>
      </c>
    </row>
    <row r="65" ht="46.5" customHeight="1" spans="1:50" s="97" customFormat="1" x14ac:dyDescent="0.25">
      <c r="A65" s="100"/>
      <c r="B65" s="100"/>
      <c r="C65" s="100"/>
      <c r="D65" s="100"/>
      <c r="E65" s="100"/>
      <c r="F65" s="100"/>
      <c r="G65" s="103"/>
      <c r="H65" s="186"/>
      <c r="I65" s="195">
        <v>0.51</v>
      </c>
      <c r="J65" s="107">
        <v>0.49</v>
      </c>
      <c r="K65" s="107"/>
      <c r="L65" s="107"/>
      <c r="M65" s="187"/>
      <c r="N65" s="169">
        <f t="shared" si="14"/>
        <v>1</v>
      </c>
      <c r="O65" s="144">
        <v>1</v>
      </c>
      <c r="P65" s="145">
        <v>15</v>
      </c>
      <c r="Q65" s="113">
        <v>15</v>
      </c>
      <c r="R65" s="113"/>
      <c r="S65" s="113"/>
      <c r="T65" s="146"/>
      <c r="U65" s="148">
        <f t="shared" si="15"/>
        <v>15</v>
      </c>
      <c r="V65" s="149">
        <f t="shared" si="16"/>
        <v>15</v>
      </c>
      <c r="W65" s="189"/>
      <c r="X65" s="199"/>
      <c r="Y65" s="151"/>
      <c r="Z65" s="190"/>
      <c r="AA65" s="153"/>
      <c r="AB65" s="154">
        <f t="shared" si="17"/>
        <v>0</v>
      </c>
      <c r="AC65" s="149">
        <f t="shared" si="18"/>
        <v>0</v>
      </c>
      <c r="AD65" s="125">
        <v>2</v>
      </c>
      <c r="AE65" s="148">
        <f t="shared" si="19"/>
        <v>2</v>
      </c>
      <c r="AF65" s="156"/>
      <c r="AG65" s="156"/>
      <c r="AH65" s="113">
        <f t="shared" si="20"/>
        <v>17</v>
      </c>
      <c r="AI65" s="157">
        <v>65</v>
      </c>
      <c r="AJ65" s="113">
        <f t="shared" si="21"/>
        <v>82</v>
      </c>
      <c r="AK65" s="113">
        <f t="shared" si="22"/>
        <v>82</v>
      </c>
      <c r="AL65" s="158">
        <f t="shared" si="23"/>
        <v>1.02</v>
      </c>
      <c r="AM65" s="159"/>
      <c r="AN65" s="160">
        <f t="shared" si="26"/>
        <v>1</v>
      </c>
      <c r="AO65" s="160">
        <f t="shared" si="26"/>
        <v>2</v>
      </c>
      <c r="AP65" s="133"/>
      <c r="AQ65" s="134"/>
      <c r="AR65" s="161"/>
      <c r="AS65" s="161"/>
      <c r="AT65" s="161"/>
      <c r="AU65" s="161"/>
      <c r="AV65" s="162"/>
      <c r="AW65" s="137">
        <f t="shared" si="24"/>
        <v>0</v>
      </c>
      <c r="AX65" s="137">
        <f t="shared" si="25"/>
        <v>0</v>
      </c>
    </row>
    <row r="66" ht="46.5" customHeight="1" spans="1:50" s="97" customFormat="1" x14ac:dyDescent="0.25">
      <c r="A66" s="100"/>
      <c r="B66" s="100"/>
      <c r="C66" s="100"/>
      <c r="D66" s="100"/>
      <c r="E66" s="100"/>
      <c r="F66" s="100"/>
      <c r="G66" s="103"/>
      <c r="H66" s="186"/>
      <c r="I66" s="195">
        <v>0.51</v>
      </c>
      <c r="J66" s="107">
        <v>0.49</v>
      </c>
      <c r="K66" s="107"/>
      <c r="L66" s="107"/>
      <c r="M66" s="187"/>
      <c r="N66" s="169">
        <f t="shared" si="14"/>
        <v>1</v>
      </c>
      <c r="O66" s="144">
        <v>1</v>
      </c>
      <c r="P66" s="145">
        <v>15</v>
      </c>
      <c r="Q66" s="113">
        <v>15</v>
      </c>
      <c r="R66" s="113"/>
      <c r="S66" s="113"/>
      <c r="T66" s="146"/>
      <c r="U66" s="148">
        <f t="shared" si="15"/>
        <v>15</v>
      </c>
      <c r="V66" s="149">
        <f t="shared" si="16"/>
        <v>15</v>
      </c>
      <c r="W66" s="189"/>
      <c r="X66" s="199"/>
      <c r="Y66" s="151"/>
      <c r="Z66" s="190"/>
      <c r="AA66" s="153"/>
      <c r="AB66" s="154">
        <f t="shared" si="17"/>
        <v>0</v>
      </c>
      <c r="AC66" s="149">
        <f t="shared" si="18"/>
        <v>0</v>
      </c>
      <c r="AD66" s="125">
        <v>2</v>
      </c>
      <c r="AE66" s="148">
        <f t="shared" si="19"/>
        <v>2</v>
      </c>
      <c r="AF66" s="156"/>
      <c r="AG66" s="156"/>
      <c r="AH66" s="113">
        <f t="shared" si="20"/>
        <v>17</v>
      </c>
      <c r="AI66" s="157">
        <v>65</v>
      </c>
      <c r="AJ66" s="113">
        <f t="shared" si="21"/>
        <v>82</v>
      </c>
      <c r="AK66" s="113">
        <f t="shared" si="22"/>
        <v>82</v>
      </c>
      <c r="AL66" s="158">
        <f t="shared" si="23"/>
        <v>1.02</v>
      </c>
      <c r="AM66" s="159"/>
      <c r="AN66" s="160">
        <f t="shared" si="26"/>
        <v>1</v>
      </c>
      <c r="AO66" s="160">
        <f t="shared" si="26"/>
        <v>2</v>
      </c>
      <c r="AP66" s="133"/>
      <c r="AQ66" s="134"/>
      <c r="AR66" s="161"/>
      <c r="AS66" s="161"/>
      <c r="AT66" s="161"/>
      <c r="AU66" s="161"/>
      <c r="AV66" s="162"/>
      <c r="AW66" s="137">
        <f t="shared" si="24"/>
        <v>0</v>
      </c>
      <c r="AX66" s="137">
        <f t="shared" si="25"/>
        <v>0</v>
      </c>
    </row>
    <row r="67" ht="46.5" customHeight="1" spans="1:50" s="97" customFormat="1" x14ac:dyDescent="0.25">
      <c r="A67" s="100"/>
      <c r="B67" s="100"/>
      <c r="C67" s="100"/>
      <c r="D67" s="100"/>
      <c r="E67" s="100"/>
      <c r="F67" s="100"/>
      <c r="G67" s="103"/>
      <c r="H67" s="186"/>
      <c r="I67" s="195">
        <v>0.51</v>
      </c>
      <c r="J67" s="107">
        <v>0.49</v>
      </c>
      <c r="K67" s="107"/>
      <c r="L67" s="107"/>
      <c r="M67" s="187"/>
      <c r="N67" s="169">
        <f t="shared" si="14"/>
        <v>1</v>
      </c>
      <c r="O67" s="144">
        <v>1</v>
      </c>
      <c r="P67" s="145">
        <v>15</v>
      </c>
      <c r="Q67" s="113">
        <v>15</v>
      </c>
      <c r="R67" s="113"/>
      <c r="S67" s="113"/>
      <c r="T67" s="146"/>
      <c r="U67" s="148">
        <f t="shared" si="15"/>
        <v>15</v>
      </c>
      <c r="V67" s="149">
        <f t="shared" si="16"/>
        <v>15</v>
      </c>
      <c r="W67" s="189"/>
      <c r="X67" s="199"/>
      <c r="Y67" s="151"/>
      <c r="Z67" s="190"/>
      <c r="AA67" s="153"/>
      <c r="AB67" s="154">
        <f t="shared" si="17"/>
        <v>0</v>
      </c>
      <c r="AC67" s="149">
        <f t="shared" si="18"/>
        <v>0</v>
      </c>
      <c r="AD67" s="125">
        <v>2</v>
      </c>
      <c r="AE67" s="148">
        <f t="shared" si="19"/>
        <v>2</v>
      </c>
      <c r="AF67" s="156"/>
      <c r="AG67" s="156"/>
      <c r="AH67" s="113">
        <f t="shared" si="20"/>
        <v>17</v>
      </c>
      <c r="AI67" s="157">
        <v>65</v>
      </c>
      <c r="AJ67" s="113">
        <f t="shared" si="21"/>
        <v>82</v>
      </c>
      <c r="AK67" s="113">
        <f t="shared" si="22"/>
        <v>82</v>
      </c>
      <c r="AL67" s="158">
        <f t="shared" si="23"/>
        <v>1.02</v>
      </c>
      <c r="AM67" s="159"/>
      <c r="AN67" s="160">
        <f t="shared" si="26"/>
        <v>1</v>
      </c>
      <c r="AO67" s="160">
        <f t="shared" si="26"/>
        <v>2</v>
      </c>
      <c r="AP67" s="133"/>
      <c r="AQ67" s="134"/>
      <c r="AR67" s="161"/>
      <c r="AS67" s="161"/>
      <c r="AT67" s="161"/>
      <c r="AU67" s="161"/>
      <c r="AV67" s="162"/>
      <c r="AW67" s="137">
        <f t="shared" si="24"/>
        <v>0</v>
      </c>
      <c r="AX67" s="137">
        <f t="shared" si="25"/>
        <v>0</v>
      </c>
    </row>
    <row r="68" ht="46.5" customHeight="1" spans="1:50" s="97" customFormat="1" x14ac:dyDescent="0.25">
      <c r="A68" s="100"/>
      <c r="B68" s="100"/>
      <c r="C68" s="100"/>
      <c r="D68" s="100"/>
      <c r="E68" s="100"/>
      <c r="F68" s="100"/>
      <c r="G68" s="103"/>
      <c r="H68" s="186"/>
      <c r="I68" s="195">
        <v>0.51</v>
      </c>
      <c r="J68" s="107">
        <v>0.49</v>
      </c>
      <c r="K68" s="107"/>
      <c r="L68" s="107"/>
      <c r="M68" s="187"/>
      <c r="N68" s="169">
        <f t="shared" si="14"/>
        <v>1</v>
      </c>
      <c r="O68" s="144">
        <v>1</v>
      </c>
      <c r="P68" s="145">
        <v>15</v>
      </c>
      <c r="Q68" s="113">
        <v>15</v>
      </c>
      <c r="R68" s="113"/>
      <c r="S68" s="113"/>
      <c r="T68" s="146"/>
      <c r="U68" s="148">
        <f t="shared" si="15"/>
        <v>15</v>
      </c>
      <c r="V68" s="149">
        <f t="shared" si="16"/>
        <v>15</v>
      </c>
      <c r="W68" s="189"/>
      <c r="X68" s="199"/>
      <c r="Y68" s="151"/>
      <c r="Z68" s="190"/>
      <c r="AA68" s="153"/>
      <c r="AB68" s="154">
        <f t="shared" si="17"/>
        <v>0</v>
      </c>
      <c r="AC68" s="149">
        <f t="shared" si="18"/>
        <v>0</v>
      </c>
      <c r="AD68" s="125">
        <v>2</v>
      </c>
      <c r="AE68" s="148">
        <f t="shared" si="19"/>
        <v>2</v>
      </c>
      <c r="AF68" s="156"/>
      <c r="AG68" s="156"/>
      <c r="AH68" s="113">
        <f t="shared" si="20"/>
        <v>17</v>
      </c>
      <c r="AI68" s="157">
        <v>65</v>
      </c>
      <c r="AJ68" s="113">
        <f t="shared" si="21"/>
        <v>82</v>
      </c>
      <c r="AK68" s="113">
        <f t="shared" si="22"/>
        <v>82</v>
      </c>
      <c r="AL68" s="158">
        <f t="shared" si="23"/>
        <v>1.02</v>
      </c>
      <c r="AM68" s="159"/>
      <c r="AN68" s="160">
        <f t="shared" si="26"/>
        <v>1</v>
      </c>
      <c r="AO68" s="160">
        <f t="shared" si="26"/>
        <v>2</v>
      </c>
      <c r="AP68" s="133"/>
      <c r="AQ68" s="134"/>
      <c r="AR68" s="161"/>
      <c r="AS68" s="161"/>
      <c r="AT68" s="161"/>
      <c r="AU68" s="161"/>
      <c r="AV68" s="162"/>
      <c r="AW68" s="137">
        <f t="shared" si="24"/>
        <v>0</v>
      </c>
      <c r="AX68" s="137">
        <f t="shared" si="25"/>
        <v>0</v>
      </c>
    </row>
    <row r="69" ht="46.5" customHeight="1" spans="1:50" s="97" customFormat="1" x14ac:dyDescent="0.25">
      <c r="A69" s="100"/>
      <c r="B69" s="100"/>
      <c r="C69" s="100"/>
      <c r="D69" s="100"/>
      <c r="E69" s="100"/>
      <c r="F69" s="100"/>
      <c r="G69" s="103"/>
      <c r="H69" s="186"/>
      <c r="I69" s="195">
        <v>0.51</v>
      </c>
      <c r="J69" s="107">
        <v>0.49</v>
      </c>
      <c r="K69" s="107"/>
      <c r="L69" s="107"/>
      <c r="M69" s="187"/>
      <c r="N69" s="169">
        <f t="shared" si="14"/>
        <v>1</v>
      </c>
      <c r="O69" s="144">
        <v>1</v>
      </c>
      <c r="P69" s="145">
        <v>15</v>
      </c>
      <c r="Q69" s="113">
        <v>15</v>
      </c>
      <c r="R69" s="113"/>
      <c r="S69" s="113"/>
      <c r="T69" s="146"/>
      <c r="U69" s="148">
        <f t="shared" si="15"/>
        <v>15</v>
      </c>
      <c r="V69" s="149">
        <f t="shared" si="16"/>
        <v>15</v>
      </c>
      <c r="W69" s="189"/>
      <c r="X69" s="199"/>
      <c r="Y69" s="151"/>
      <c r="Z69" s="190"/>
      <c r="AA69" s="153"/>
      <c r="AB69" s="154">
        <f t="shared" si="17"/>
        <v>0</v>
      </c>
      <c r="AC69" s="149">
        <f t="shared" si="18"/>
        <v>0</v>
      </c>
      <c r="AD69" s="125">
        <v>2</v>
      </c>
      <c r="AE69" s="148">
        <f t="shared" si="19"/>
        <v>2</v>
      </c>
      <c r="AF69" s="156"/>
      <c r="AG69" s="156"/>
      <c r="AH69" s="113">
        <f t="shared" si="20"/>
        <v>17</v>
      </c>
      <c r="AI69" s="157">
        <v>65</v>
      </c>
      <c r="AJ69" s="113">
        <f t="shared" si="21"/>
        <v>82</v>
      </c>
      <c r="AK69" s="113">
        <f t="shared" si="22"/>
        <v>82</v>
      </c>
      <c r="AL69" s="158">
        <f t="shared" si="23"/>
        <v>1.02</v>
      </c>
      <c r="AM69" s="159"/>
      <c r="AN69" s="160">
        <f t="shared" si="26"/>
        <v>1</v>
      </c>
      <c r="AO69" s="160">
        <f t="shared" si="26"/>
        <v>2</v>
      </c>
      <c r="AP69" s="133"/>
      <c r="AQ69" s="134"/>
      <c r="AR69" s="161"/>
      <c r="AS69" s="161"/>
      <c r="AT69" s="161"/>
      <c r="AU69" s="161"/>
      <c r="AV69" s="162"/>
      <c r="AW69" s="137">
        <f t="shared" si="24"/>
        <v>0</v>
      </c>
      <c r="AX69" s="137">
        <f t="shared" si="25"/>
        <v>0</v>
      </c>
    </row>
    <row r="70" ht="46.5" customHeight="1" spans="1:50" s="97" customFormat="1" x14ac:dyDescent="0.25">
      <c r="A70" s="100"/>
      <c r="B70" s="100"/>
      <c r="C70" s="100"/>
      <c r="D70" s="100"/>
      <c r="E70" s="100"/>
      <c r="F70" s="100"/>
      <c r="G70" s="103"/>
      <c r="H70" s="186"/>
      <c r="I70" s="195">
        <v>0.51</v>
      </c>
      <c r="J70" s="107">
        <v>0.49</v>
      </c>
      <c r="K70" s="107"/>
      <c r="L70" s="107"/>
      <c r="M70" s="187"/>
      <c r="N70" s="169">
        <f t="shared" si="14"/>
        <v>1</v>
      </c>
      <c r="O70" s="144">
        <v>1</v>
      </c>
      <c r="P70" s="145">
        <v>15</v>
      </c>
      <c r="Q70" s="113">
        <v>15</v>
      </c>
      <c r="R70" s="113"/>
      <c r="S70" s="113"/>
      <c r="T70" s="146"/>
      <c r="U70" s="148">
        <f t="shared" si="15"/>
        <v>15</v>
      </c>
      <c r="V70" s="149">
        <f t="shared" si="16"/>
        <v>15</v>
      </c>
      <c r="W70" s="189"/>
      <c r="X70" s="199"/>
      <c r="Y70" s="151"/>
      <c r="Z70" s="190"/>
      <c r="AA70" s="153"/>
      <c r="AB70" s="154">
        <f t="shared" si="17"/>
        <v>0</v>
      </c>
      <c r="AC70" s="149">
        <f t="shared" si="18"/>
        <v>0</v>
      </c>
      <c r="AD70" s="125">
        <v>2</v>
      </c>
      <c r="AE70" s="148">
        <f t="shared" si="19"/>
        <v>2</v>
      </c>
      <c r="AF70" s="156"/>
      <c r="AG70" s="156"/>
      <c r="AH70" s="113">
        <f t="shared" si="20"/>
        <v>17</v>
      </c>
      <c r="AI70" s="157">
        <v>65</v>
      </c>
      <c r="AJ70" s="113">
        <f t="shared" si="21"/>
        <v>82</v>
      </c>
      <c r="AK70" s="113">
        <f t="shared" si="22"/>
        <v>82</v>
      </c>
      <c r="AL70" s="158">
        <f t="shared" si="23"/>
        <v>1.02</v>
      </c>
      <c r="AM70" s="159"/>
      <c r="AN70" s="160">
        <f t="shared" si="26"/>
        <v>1</v>
      </c>
      <c r="AO70" s="160">
        <f t="shared" si="26"/>
        <v>2</v>
      </c>
      <c r="AP70" s="133"/>
      <c r="AQ70" s="134"/>
      <c r="AR70" s="161"/>
      <c r="AS70" s="161"/>
      <c r="AT70" s="161"/>
      <c r="AU70" s="161"/>
      <c r="AV70" s="162"/>
      <c r="AW70" s="137">
        <f t="shared" si="24"/>
        <v>0</v>
      </c>
      <c r="AX70" s="137">
        <f t="shared" si="25"/>
        <v>0</v>
      </c>
    </row>
    <row r="71" ht="46.5" customHeight="1" spans="1:50" s="97" customFormat="1" x14ac:dyDescent="0.25">
      <c r="A71" s="100"/>
      <c r="B71" s="100"/>
      <c r="C71" s="100"/>
      <c r="D71" s="100"/>
      <c r="E71" s="100"/>
      <c r="F71" s="100"/>
      <c r="G71" s="103"/>
      <c r="H71" s="186"/>
      <c r="I71" s="195">
        <v>0.51</v>
      </c>
      <c r="J71" s="107">
        <v>0.49</v>
      </c>
      <c r="K71" s="107"/>
      <c r="L71" s="107"/>
      <c r="M71" s="187"/>
      <c r="N71" s="169">
        <f t="shared" si="14"/>
        <v>1</v>
      </c>
      <c r="O71" s="144">
        <v>1</v>
      </c>
      <c r="P71" s="145">
        <v>15</v>
      </c>
      <c r="Q71" s="113">
        <v>15</v>
      </c>
      <c r="R71" s="113"/>
      <c r="S71" s="113"/>
      <c r="T71" s="146"/>
      <c r="U71" s="148">
        <f t="shared" si="15"/>
        <v>15</v>
      </c>
      <c r="V71" s="149">
        <f t="shared" si="16"/>
        <v>15</v>
      </c>
      <c r="W71" s="189"/>
      <c r="X71" s="199"/>
      <c r="Y71" s="151"/>
      <c r="Z71" s="190"/>
      <c r="AA71" s="153"/>
      <c r="AB71" s="154">
        <f t="shared" si="17"/>
        <v>0</v>
      </c>
      <c r="AC71" s="149">
        <f t="shared" si="18"/>
        <v>0</v>
      </c>
      <c r="AD71" s="125">
        <v>2</v>
      </c>
      <c r="AE71" s="148">
        <f t="shared" si="19"/>
        <v>2</v>
      </c>
      <c r="AF71" s="156"/>
      <c r="AG71" s="156"/>
      <c r="AH71" s="113">
        <f t="shared" si="20"/>
        <v>17</v>
      </c>
      <c r="AI71" s="157">
        <v>65</v>
      </c>
      <c r="AJ71" s="113">
        <f t="shared" si="21"/>
        <v>82</v>
      </c>
      <c r="AK71" s="113">
        <f t="shared" si="22"/>
        <v>82</v>
      </c>
      <c r="AL71" s="158">
        <f t="shared" si="23"/>
        <v>1.02</v>
      </c>
      <c r="AM71" s="159"/>
      <c r="AN71" s="160">
        <f t="shared" ref="AN71:AO90" si="27">100%+AM71</f>
        <v>1</v>
      </c>
      <c r="AO71" s="160">
        <f t="shared" si="27"/>
        <v>2</v>
      </c>
      <c r="AP71" s="133"/>
      <c r="AQ71" s="134"/>
      <c r="AR71" s="161"/>
      <c r="AS71" s="161"/>
      <c r="AT71" s="161"/>
      <c r="AU71" s="161"/>
      <c r="AV71" s="162"/>
      <c r="AW71" s="137">
        <f t="shared" si="24"/>
        <v>0</v>
      </c>
      <c r="AX71" s="137">
        <f t="shared" si="25"/>
        <v>0</v>
      </c>
    </row>
    <row r="72" ht="46.5" customHeight="1" spans="1:50" s="97" customFormat="1" x14ac:dyDescent="0.25">
      <c r="A72" s="100"/>
      <c r="B72" s="100"/>
      <c r="C72" s="100"/>
      <c r="D72" s="100"/>
      <c r="E72" s="100"/>
      <c r="F72" s="100"/>
      <c r="G72" s="103"/>
      <c r="H72" s="186"/>
      <c r="I72" s="195">
        <v>0.51</v>
      </c>
      <c r="J72" s="107">
        <v>0.49</v>
      </c>
      <c r="K72" s="107"/>
      <c r="L72" s="107"/>
      <c r="M72" s="187"/>
      <c r="N72" s="169">
        <f t="shared" si="14"/>
        <v>1</v>
      </c>
      <c r="O72" s="144">
        <v>1</v>
      </c>
      <c r="P72" s="145">
        <v>15</v>
      </c>
      <c r="Q72" s="113">
        <v>15</v>
      </c>
      <c r="R72" s="113"/>
      <c r="S72" s="113"/>
      <c r="T72" s="146"/>
      <c r="U72" s="148">
        <f t="shared" si="15"/>
        <v>15</v>
      </c>
      <c r="V72" s="149">
        <f t="shared" si="16"/>
        <v>15</v>
      </c>
      <c r="W72" s="189"/>
      <c r="X72" s="199"/>
      <c r="Y72" s="151"/>
      <c r="Z72" s="190"/>
      <c r="AA72" s="153"/>
      <c r="AB72" s="154">
        <f t="shared" si="17"/>
        <v>0</v>
      </c>
      <c r="AC72" s="149">
        <f t="shared" si="18"/>
        <v>0</v>
      </c>
      <c r="AD72" s="125">
        <v>2</v>
      </c>
      <c r="AE72" s="148">
        <f t="shared" si="19"/>
        <v>2</v>
      </c>
      <c r="AF72" s="156"/>
      <c r="AG72" s="156"/>
      <c r="AH72" s="113">
        <f t="shared" si="20"/>
        <v>17</v>
      </c>
      <c r="AI72" s="157">
        <v>65</v>
      </c>
      <c r="AJ72" s="113">
        <f t="shared" si="21"/>
        <v>82</v>
      </c>
      <c r="AK72" s="113">
        <f t="shared" si="22"/>
        <v>82</v>
      </c>
      <c r="AL72" s="158">
        <f t="shared" si="23"/>
        <v>1.02</v>
      </c>
      <c r="AM72" s="159"/>
      <c r="AN72" s="160">
        <f t="shared" si="27"/>
        <v>1</v>
      </c>
      <c r="AO72" s="160">
        <f t="shared" si="27"/>
        <v>2</v>
      </c>
      <c r="AP72" s="133"/>
      <c r="AQ72" s="134"/>
      <c r="AR72" s="161"/>
      <c r="AS72" s="161"/>
      <c r="AT72" s="161"/>
      <c r="AU72" s="161"/>
      <c r="AV72" s="162"/>
      <c r="AW72" s="137">
        <f t="shared" si="24"/>
        <v>0</v>
      </c>
      <c r="AX72" s="137">
        <f t="shared" si="25"/>
        <v>0</v>
      </c>
    </row>
    <row r="73" ht="46.5" customHeight="1" spans="1:50" s="97" customFormat="1" x14ac:dyDescent="0.25">
      <c r="A73" s="100"/>
      <c r="B73" s="100"/>
      <c r="C73" s="100"/>
      <c r="D73" s="100"/>
      <c r="E73" s="100"/>
      <c r="F73" s="100"/>
      <c r="G73" s="103"/>
      <c r="H73" s="186"/>
      <c r="I73" s="195">
        <v>0.51</v>
      </c>
      <c r="J73" s="107">
        <v>0.49</v>
      </c>
      <c r="K73" s="107"/>
      <c r="L73" s="107"/>
      <c r="M73" s="187"/>
      <c r="N73" s="169">
        <f t="shared" si="14"/>
        <v>1</v>
      </c>
      <c r="O73" s="144">
        <v>1</v>
      </c>
      <c r="P73" s="145">
        <v>15</v>
      </c>
      <c r="Q73" s="113">
        <v>15</v>
      </c>
      <c r="R73" s="113"/>
      <c r="S73" s="113"/>
      <c r="T73" s="146"/>
      <c r="U73" s="148">
        <f t="shared" si="15"/>
        <v>15</v>
      </c>
      <c r="V73" s="149">
        <f t="shared" si="16"/>
        <v>15</v>
      </c>
      <c r="W73" s="189"/>
      <c r="X73" s="199"/>
      <c r="Y73" s="151"/>
      <c r="Z73" s="190"/>
      <c r="AA73" s="153"/>
      <c r="AB73" s="154">
        <f t="shared" si="17"/>
        <v>0</v>
      </c>
      <c r="AC73" s="149">
        <f t="shared" si="18"/>
        <v>0</v>
      </c>
      <c r="AD73" s="125">
        <v>2</v>
      </c>
      <c r="AE73" s="148">
        <f t="shared" si="19"/>
        <v>2</v>
      </c>
      <c r="AF73" s="156"/>
      <c r="AG73" s="156"/>
      <c r="AH73" s="113">
        <f t="shared" si="20"/>
        <v>17</v>
      </c>
      <c r="AI73" s="157">
        <v>65</v>
      </c>
      <c r="AJ73" s="113">
        <f t="shared" si="21"/>
        <v>82</v>
      </c>
      <c r="AK73" s="113">
        <f t="shared" si="22"/>
        <v>82</v>
      </c>
      <c r="AL73" s="158">
        <f t="shared" si="23"/>
        <v>1.02</v>
      </c>
      <c r="AM73" s="159"/>
      <c r="AN73" s="160">
        <f t="shared" si="27"/>
        <v>1</v>
      </c>
      <c r="AO73" s="160">
        <f t="shared" si="27"/>
        <v>2</v>
      </c>
      <c r="AP73" s="133"/>
      <c r="AQ73" s="134"/>
      <c r="AR73" s="161"/>
      <c r="AS73" s="161"/>
      <c r="AT73" s="161"/>
      <c r="AU73" s="161"/>
      <c r="AV73" s="162"/>
      <c r="AW73" s="137">
        <f t="shared" si="24"/>
        <v>0</v>
      </c>
      <c r="AX73" s="137">
        <f t="shared" si="25"/>
        <v>0</v>
      </c>
    </row>
    <row r="74" ht="46.5" customHeight="1" spans="1:50" s="97" customFormat="1" x14ac:dyDescent="0.25">
      <c r="A74" s="100"/>
      <c r="B74" s="100"/>
      <c r="C74" s="100"/>
      <c r="D74" s="100"/>
      <c r="E74" s="100"/>
      <c r="F74" s="100"/>
      <c r="G74" s="103"/>
      <c r="H74" s="186"/>
      <c r="I74" s="195">
        <v>0.51</v>
      </c>
      <c r="J74" s="107">
        <v>0.49</v>
      </c>
      <c r="K74" s="107"/>
      <c r="L74" s="107"/>
      <c r="M74" s="187"/>
      <c r="N74" s="169">
        <f t="shared" si="14"/>
        <v>1</v>
      </c>
      <c r="O74" s="144">
        <v>1</v>
      </c>
      <c r="P74" s="145">
        <v>15</v>
      </c>
      <c r="Q74" s="113">
        <v>15</v>
      </c>
      <c r="R74" s="113"/>
      <c r="S74" s="113"/>
      <c r="T74" s="146"/>
      <c r="U74" s="148">
        <f t="shared" si="15"/>
        <v>15</v>
      </c>
      <c r="V74" s="149">
        <f t="shared" si="16"/>
        <v>15</v>
      </c>
      <c r="W74" s="189"/>
      <c r="X74" s="199"/>
      <c r="Y74" s="151"/>
      <c r="Z74" s="190"/>
      <c r="AA74" s="153"/>
      <c r="AB74" s="154">
        <f t="shared" si="17"/>
        <v>0</v>
      </c>
      <c r="AC74" s="149">
        <f t="shared" si="18"/>
        <v>0</v>
      </c>
      <c r="AD74" s="125">
        <v>2</v>
      </c>
      <c r="AE74" s="148">
        <f t="shared" si="19"/>
        <v>2</v>
      </c>
      <c r="AF74" s="156"/>
      <c r="AG74" s="156"/>
      <c r="AH74" s="113">
        <f t="shared" si="20"/>
        <v>17</v>
      </c>
      <c r="AI74" s="157">
        <v>65</v>
      </c>
      <c r="AJ74" s="113">
        <f t="shared" si="21"/>
        <v>82</v>
      </c>
      <c r="AK74" s="113">
        <f t="shared" si="22"/>
        <v>82</v>
      </c>
      <c r="AL74" s="158">
        <f t="shared" si="23"/>
        <v>1.02</v>
      </c>
      <c r="AM74" s="159"/>
      <c r="AN74" s="160">
        <f t="shared" si="27"/>
        <v>1</v>
      </c>
      <c r="AO74" s="160">
        <f t="shared" si="27"/>
        <v>2</v>
      </c>
      <c r="AP74" s="133"/>
      <c r="AQ74" s="134"/>
      <c r="AR74" s="161"/>
      <c r="AS74" s="161"/>
      <c r="AT74" s="161"/>
      <c r="AU74" s="161"/>
      <c r="AV74" s="162"/>
      <c r="AW74" s="137">
        <f t="shared" si="24"/>
        <v>0</v>
      </c>
      <c r="AX74" s="137">
        <f t="shared" si="25"/>
        <v>0</v>
      </c>
    </row>
    <row r="75" ht="46.5" customHeight="1" spans="1:50" s="97" customFormat="1" x14ac:dyDescent="0.25">
      <c r="A75" s="100"/>
      <c r="B75" s="100"/>
      <c r="C75" s="100"/>
      <c r="D75" s="100"/>
      <c r="E75" s="100"/>
      <c r="F75" s="100"/>
      <c r="G75" s="103"/>
      <c r="H75" s="186"/>
      <c r="I75" s="195">
        <v>0.51</v>
      </c>
      <c r="J75" s="107">
        <v>0.49</v>
      </c>
      <c r="K75" s="107"/>
      <c r="L75" s="107"/>
      <c r="M75" s="187"/>
      <c r="N75" s="169">
        <f t="shared" ref="N75:N106" si="28">SUM(I75:M75)</f>
        <v>1</v>
      </c>
      <c r="O75" s="144">
        <v>1</v>
      </c>
      <c r="P75" s="145">
        <v>15</v>
      </c>
      <c r="Q75" s="113">
        <v>15</v>
      </c>
      <c r="R75" s="113"/>
      <c r="S75" s="113"/>
      <c r="T75" s="146"/>
      <c r="U75" s="148">
        <f t="shared" ref="U75:U106" si="29">ROUND(((P75*I75)+(Q75*J75)+(R75*K75)+(S75*L75)+(T75*M75))*O75,2)</f>
        <v>15</v>
      </c>
      <c r="V75" s="149">
        <f t="shared" ref="V75:V106" si="30">IF(U75&gt;=15,15,U75)</f>
        <v>15</v>
      </c>
      <c r="W75" s="189"/>
      <c r="X75" s="199"/>
      <c r="Y75" s="151"/>
      <c r="Z75" s="190"/>
      <c r="AA75" s="153"/>
      <c r="AB75" s="154">
        <f t="shared" ref="AB75:AB106" si="31">ROUND((((W75*I75)+(X75*J75)+(Y75*K75)+(Z75*L75)+(AA75*M75))/$I$2),2)*13</f>
        <v>0</v>
      </c>
      <c r="AC75" s="149">
        <f t="shared" ref="AC75:AC106" si="32">IF(AB75&gt;=13,13,AB75)</f>
        <v>0</v>
      </c>
      <c r="AD75" s="125">
        <v>2</v>
      </c>
      <c r="AE75" s="148">
        <f t="shared" ref="AE75:AE106" si="33">IF((AC75+AD75)&gt;=15,15,(AC75+AD75))</f>
        <v>2</v>
      </c>
      <c r="AF75" s="156"/>
      <c r="AG75" s="156"/>
      <c r="AH75" s="113">
        <f t="shared" ref="AH75:AH106" si="34">IF((V75+AE75+AF75)&gt;=30,30,(V75+AE75+AF75))</f>
        <v>17</v>
      </c>
      <c r="AI75" s="157">
        <v>65</v>
      </c>
      <c r="AJ75" s="113">
        <f t="shared" ref="AJ75:AJ106" si="35">V75+AE75+AF75+AI75+AG75</f>
        <v>82</v>
      </c>
      <c r="AK75" s="113">
        <f t="shared" ref="AK75:AK106" si="36">IF(AH75+AI75+AG75&gt;=95,95,AH75+AI75+AG75)</f>
        <v>82</v>
      </c>
      <c r="AL75" s="158">
        <f t="shared" ref="AL75:AL106" si="37">-((50-((176+(45+(50-AH75)))))/200)</f>
        <v>1.02</v>
      </c>
      <c r="AM75" s="159"/>
      <c r="AN75" s="160">
        <f t="shared" si="27"/>
        <v>1</v>
      </c>
      <c r="AO75" s="160">
        <f t="shared" si="27"/>
        <v>2</v>
      </c>
      <c r="AP75" s="133"/>
      <c r="AQ75" s="134"/>
      <c r="AR75" s="161"/>
      <c r="AS75" s="161"/>
      <c r="AT75" s="161"/>
      <c r="AU75" s="161"/>
      <c r="AV75" s="162"/>
      <c r="AW75" s="137">
        <f t="shared" ref="AW75:AW106" si="38">AR75+AS75+AT75+AU75+AV75</f>
        <v>0</v>
      </c>
      <c r="AX75" s="137">
        <f t="shared" ref="AX75:AX106" si="39">(AR75*I75)+(AS75*J75)+(AT75*K75)+(AU75*L75)+(AV75*M75)</f>
        <v>0</v>
      </c>
    </row>
    <row r="76" ht="46.5" customHeight="1" spans="1:50" s="97" customFormat="1" x14ac:dyDescent="0.25">
      <c r="A76" s="100"/>
      <c r="B76" s="100"/>
      <c r="C76" s="100"/>
      <c r="D76" s="100"/>
      <c r="E76" s="100"/>
      <c r="F76" s="100"/>
      <c r="G76" s="103"/>
      <c r="H76" s="186"/>
      <c r="I76" s="195">
        <v>0.51</v>
      </c>
      <c r="J76" s="107">
        <v>0.49</v>
      </c>
      <c r="K76" s="107"/>
      <c r="L76" s="107"/>
      <c r="M76" s="187"/>
      <c r="N76" s="169">
        <f t="shared" si="28"/>
        <v>1</v>
      </c>
      <c r="O76" s="144">
        <v>1</v>
      </c>
      <c r="P76" s="145">
        <v>15</v>
      </c>
      <c r="Q76" s="113">
        <v>15</v>
      </c>
      <c r="R76" s="113"/>
      <c r="S76" s="113"/>
      <c r="T76" s="146"/>
      <c r="U76" s="148">
        <f t="shared" si="29"/>
        <v>15</v>
      </c>
      <c r="V76" s="149">
        <f t="shared" si="30"/>
        <v>15</v>
      </c>
      <c r="W76" s="189"/>
      <c r="X76" s="199"/>
      <c r="Y76" s="151"/>
      <c r="Z76" s="190"/>
      <c r="AA76" s="153"/>
      <c r="AB76" s="154">
        <f t="shared" si="31"/>
        <v>0</v>
      </c>
      <c r="AC76" s="149">
        <f t="shared" si="32"/>
        <v>0</v>
      </c>
      <c r="AD76" s="125">
        <v>2</v>
      </c>
      <c r="AE76" s="148">
        <f t="shared" si="33"/>
        <v>2</v>
      </c>
      <c r="AF76" s="156"/>
      <c r="AG76" s="156"/>
      <c r="AH76" s="113">
        <f t="shared" si="34"/>
        <v>17</v>
      </c>
      <c r="AI76" s="157">
        <v>65</v>
      </c>
      <c r="AJ76" s="113">
        <f t="shared" si="35"/>
        <v>82</v>
      </c>
      <c r="AK76" s="113">
        <f t="shared" si="36"/>
        <v>82</v>
      </c>
      <c r="AL76" s="158">
        <f t="shared" si="37"/>
        <v>1.02</v>
      </c>
      <c r="AM76" s="159"/>
      <c r="AN76" s="160">
        <f t="shared" si="27"/>
        <v>1</v>
      </c>
      <c r="AO76" s="160">
        <f t="shared" si="27"/>
        <v>2</v>
      </c>
      <c r="AP76" s="133"/>
      <c r="AQ76" s="134"/>
      <c r="AR76" s="161"/>
      <c r="AS76" s="161"/>
      <c r="AT76" s="161"/>
      <c r="AU76" s="161"/>
      <c r="AV76" s="162"/>
      <c r="AW76" s="137">
        <f t="shared" si="38"/>
        <v>0</v>
      </c>
      <c r="AX76" s="137">
        <f t="shared" si="39"/>
        <v>0</v>
      </c>
    </row>
    <row r="77" ht="46.5" customHeight="1" spans="1:50" s="97" customFormat="1" x14ac:dyDescent="0.25">
      <c r="A77" s="100"/>
      <c r="B77" s="100"/>
      <c r="C77" s="100"/>
      <c r="D77" s="100"/>
      <c r="E77" s="100"/>
      <c r="F77" s="100"/>
      <c r="G77" s="103"/>
      <c r="H77" s="186"/>
      <c r="I77" s="195">
        <v>0.51</v>
      </c>
      <c r="J77" s="107">
        <v>0.49</v>
      </c>
      <c r="K77" s="107"/>
      <c r="L77" s="107"/>
      <c r="M77" s="187"/>
      <c r="N77" s="169">
        <f t="shared" si="28"/>
        <v>1</v>
      </c>
      <c r="O77" s="144">
        <v>1</v>
      </c>
      <c r="P77" s="145">
        <v>15</v>
      </c>
      <c r="Q77" s="113">
        <v>15</v>
      </c>
      <c r="R77" s="113"/>
      <c r="S77" s="113"/>
      <c r="T77" s="146"/>
      <c r="U77" s="148">
        <f t="shared" si="29"/>
        <v>15</v>
      </c>
      <c r="V77" s="149">
        <f t="shared" si="30"/>
        <v>15</v>
      </c>
      <c r="W77" s="189"/>
      <c r="X77" s="199"/>
      <c r="Y77" s="151"/>
      <c r="Z77" s="190"/>
      <c r="AA77" s="153"/>
      <c r="AB77" s="154">
        <f t="shared" si="31"/>
        <v>0</v>
      </c>
      <c r="AC77" s="149">
        <f t="shared" si="32"/>
        <v>0</v>
      </c>
      <c r="AD77" s="125">
        <v>2</v>
      </c>
      <c r="AE77" s="148">
        <f t="shared" si="33"/>
        <v>2</v>
      </c>
      <c r="AF77" s="156"/>
      <c r="AG77" s="156"/>
      <c r="AH77" s="113">
        <f t="shared" si="34"/>
        <v>17</v>
      </c>
      <c r="AI77" s="157">
        <v>65</v>
      </c>
      <c r="AJ77" s="113">
        <f t="shared" si="35"/>
        <v>82</v>
      </c>
      <c r="AK77" s="113">
        <f t="shared" si="36"/>
        <v>82</v>
      </c>
      <c r="AL77" s="158">
        <f t="shared" si="37"/>
        <v>1.02</v>
      </c>
      <c r="AM77" s="159"/>
      <c r="AN77" s="160">
        <f t="shared" si="27"/>
        <v>1</v>
      </c>
      <c r="AO77" s="160">
        <f t="shared" si="27"/>
        <v>2</v>
      </c>
      <c r="AP77" s="133"/>
      <c r="AQ77" s="134"/>
      <c r="AR77" s="161"/>
      <c r="AS77" s="161"/>
      <c r="AT77" s="161"/>
      <c r="AU77" s="161"/>
      <c r="AV77" s="162"/>
      <c r="AW77" s="137">
        <f t="shared" si="38"/>
        <v>0</v>
      </c>
      <c r="AX77" s="137">
        <f t="shared" si="39"/>
        <v>0</v>
      </c>
    </row>
    <row r="78" ht="46.5" customHeight="1" spans="1:50" s="97" customFormat="1" x14ac:dyDescent="0.25">
      <c r="A78" s="100"/>
      <c r="B78" s="100"/>
      <c r="C78" s="100"/>
      <c r="D78" s="100"/>
      <c r="E78" s="100"/>
      <c r="F78" s="100"/>
      <c r="G78" s="103"/>
      <c r="H78" s="186"/>
      <c r="I78" s="195">
        <v>0.51</v>
      </c>
      <c r="J78" s="107">
        <v>0.49</v>
      </c>
      <c r="K78" s="107"/>
      <c r="L78" s="107"/>
      <c r="M78" s="187"/>
      <c r="N78" s="169">
        <f t="shared" si="28"/>
        <v>1</v>
      </c>
      <c r="O78" s="144">
        <v>1</v>
      </c>
      <c r="P78" s="145">
        <v>15</v>
      </c>
      <c r="Q78" s="113">
        <v>15</v>
      </c>
      <c r="R78" s="113"/>
      <c r="S78" s="113"/>
      <c r="T78" s="146"/>
      <c r="U78" s="148">
        <f t="shared" si="29"/>
        <v>15</v>
      </c>
      <c r="V78" s="149">
        <f t="shared" si="30"/>
        <v>15</v>
      </c>
      <c r="W78" s="189"/>
      <c r="X78" s="199"/>
      <c r="Y78" s="151"/>
      <c r="Z78" s="190"/>
      <c r="AA78" s="153"/>
      <c r="AB78" s="154">
        <f t="shared" si="31"/>
        <v>0</v>
      </c>
      <c r="AC78" s="149">
        <f t="shared" si="32"/>
        <v>0</v>
      </c>
      <c r="AD78" s="125">
        <v>2</v>
      </c>
      <c r="AE78" s="148">
        <f t="shared" si="33"/>
        <v>2</v>
      </c>
      <c r="AF78" s="156"/>
      <c r="AG78" s="156"/>
      <c r="AH78" s="113">
        <f t="shared" si="34"/>
        <v>17</v>
      </c>
      <c r="AI78" s="157">
        <v>65</v>
      </c>
      <c r="AJ78" s="113">
        <f t="shared" si="35"/>
        <v>82</v>
      </c>
      <c r="AK78" s="113">
        <f t="shared" si="36"/>
        <v>82</v>
      </c>
      <c r="AL78" s="158">
        <f t="shared" si="37"/>
        <v>1.02</v>
      </c>
      <c r="AM78" s="159"/>
      <c r="AN78" s="160">
        <f t="shared" si="27"/>
        <v>1</v>
      </c>
      <c r="AO78" s="160">
        <f t="shared" si="27"/>
        <v>2</v>
      </c>
      <c r="AP78" s="133"/>
      <c r="AQ78" s="134"/>
      <c r="AR78" s="161"/>
      <c r="AS78" s="161"/>
      <c r="AT78" s="161"/>
      <c r="AU78" s="161"/>
      <c r="AV78" s="162"/>
      <c r="AW78" s="137">
        <f t="shared" si="38"/>
        <v>0</v>
      </c>
      <c r="AX78" s="137">
        <f t="shared" si="39"/>
        <v>0</v>
      </c>
    </row>
    <row r="79" ht="46.5" customHeight="1" spans="1:50" s="97" customFormat="1" x14ac:dyDescent="0.25">
      <c r="A79" s="100"/>
      <c r="B79" s="100"/>
      <c r="C79" s="100"/>
      <c r="D79" s="100"/>
      <c r="E79" s="100"/>
      <c r="F79" s="100"/>
      <c r="G79" s="103"/>
      <c r="H79" s="186"/>
      <c r="I79" s="195">
        <v>0.51</v>
      </c>
      <c r="J79" s="107">
        <v>0.49</v>
      </c>
      <c r="K79" s="107"/>
      <c r="L79" s="107"/>
      <c r="M79" s="187"/>
      <c r="N79" s="169">
        <f t="shared" si="28"/>
        <v>1</v>
      </c>
      <c r="O79" s="144">
        <v>1</v>
      </c>
      <c r="P79" s="145">
        <v>15</v>
      </c>
      <c r="Q79" s="113">
        <v>15</v>
      </c>
      <c r="R79" s="113"/>
      <c r="S79" s="113"/>
      <c r="T79" s="146"/>
      <c r="U79" s="148">
        <f t="shared" si="29"/>
        <v>15</v>
      </c>
      <c r="V79" s="149">
        <f t="shared" si="30"/>
        <v>15</v>
      </c>
      <c r="W79" s="189"/>
      <c r="X79" s="199"/>
      <c r="Y79" s="151"/>
      <c r="Z79" s="190"/>
      <c r="AA79" s="153"/>
      <c r="AB79" s="154">
        <f t="shared" si="31"/>
        <v>0</v>
      </c>
      <c r="AC79" s="149">
        <f t="shared" si="32"/>
        <v>0</v>
      </c>
      <c r="AD79" s="125">
        <v>2</v>
      </c>
      <c r="AE79" s="148">
        <f t="shared" si="33"/>
        <v>2</v>
      </c>
      <c r="AF79" s="156"/>
      <c r="AG79" s="156"/>
      <c r="AH79" s="113">
        <f t="shared" si="34"/>
        <v>17</v>
      </c>
      <c r="AI79" s="157">
        <v>65</v>
      </c>
      <c r="AJ79" s="113">
        <f t="shared" si="35"/>
        <v>82</v>
      </c>
      <c r="AK79" s="113">
        <f t="shared" si="36"/>
        <v>82</v>
      </c>
      <c r="AL79" s="158">
        <f t="shared" si="37"/>
        <v>1.02</v>
      </c>
      <c r="AM79" s="159"/>
      <c r="AN79" s="160">
        <f t="shared" si="27"/>
        <v>1</v>
      </c>
      <c r="AO79" s="160">
        <f t="shared" si="27"/>
        <v>2</v>
      </c>
      <c r="AP79" s="133"/>
      <c r="AQ79" s="134"/>
      <c r="AR79" s="161"/>
      <c r="AS79" s="161"/>
      <c r="AT79" s="161"/>
      <c r="AU79" s="161"/>
      <c r="AV79" s="162"/>
      <c r="AW79" s="137">
        <f t="shared" si="38"/>
        <v>0</v>
      </c>
      <c r="AX79" s="137">
        <f t="shared" si="39"/>
        <v>0</v>
      </c>
    </row>
    <row r="80" ht="46.5" customHeight="1" spans="1:50" s="97" customFormat="1" x14ac:dyDescent="0.25">
      <c r="A80" s="100"/>
      <c r="B80" s="100"/>
      <c r="C80" s="100"/>
      <c r="D80" s="100"/>
      <c r="E80" s="100"/>
      <c r="F80" s="100"/>
      <c r="G80" s="103"/>
      <c r="H80" s="186"/>
      <c r="I80" s="195">
        <v>0.51</v>
      </c>
      <c r="J80" s="107">
        <v>0.49</v>
      </c>
      <c r="K80" s="107"/>
      <c r="L80" s="107"/>
      <c r="M80" s="187"/>
      <c r="N80" s="169">
        <f t="shared" si="28"/>
        <v>1</v>
      </c>
      <c r="O80" s="144">
        <v>1</v>
      </c>
      <c r="P80" s="145">
        <v>15</v>
      </c>
      <c r="Q80" s="113">
        <v>15</v>
      </c>
      <c r="R80" s="113"/>
      <c r="S80" s="113"/>
      <c r="T80" s="146"/>
      <c r="U80" s="148">
        <f t="shared" si="29"/>
        <v>15</v>
      </c>
      <c r="V80" s="149">
        <f t="shared" si="30"/>
        <v>15</v>
      </c>
      <c r="W80" s="189"/>
      <c r="X80" s="199"/>
      <c r="Y80" s="151"/>
      <c r="Z80" s="190"/>
      <c r="AA80" s="153"/>
      <c r="AB80" s="154">
        <f t="shared" si="31"/>
        <v>0</v>
      </c>
      <c r="AC80" s="149">
        <f t="shared" si="32"/>
        <v>0</v>
      </c>
      <c r="AD80" s="125">
        <v>2</v>
      </c>
      <c r="AE80" s="148">
        <f t="shared" si="33"/>
        <v>2</v>
      </c>
      <c r="AF80" s="156"/>
      <c r="AG80" s="156"/>
      <c r="AH80" s="113">
        <f t="shared" si="34"/>
        <v>17</v>
      </c>
      <c r="AI80" s="157">
        <v>65</v>
      </c>
      <c r="AJ80" s="113">
        <f t="shared" si="35"/>
        <v>82</v>
      </c>
      <c r="AK80" s="113">
        <f t="shared" si="36"/>
        <v>82</v>
      </c>
      <c r="AL80" s="158">
        <f t="shared" si="37"/>
        <v>1.02</v>
      </c>
      <c r="AM80" s="159"/>
      <c r="AN80" s="160">
        <f t="shared" si="27"/>
        <v>1</v>
      </c>
      <c r="AO80" s="160">
        <f t="shared" si="27"/>
        <v>2</v>
      </c>
      <c r="AP80" s="133"/>
      <c r="AQ80" s="134"/>
      <c r="AR80" s="161"/>
      <c r="AS80" s="161"/>
      <c r="AT80" s="161"/>
      <c r="AU80" s="161"/>
      <c r="AV80" s="162"/>
      <c r="AW80" s="137">
        <f t="shared" si="38"/>
        <v>0</v>
      </c>
      <c r="AX80" s="137">
        <f t="shared" si="39"/>
        <v>0</v>
      </c>
    </row>
    <row r="81" ht="46.5" customHeight="1" spans="1:50" s="97" customFormat="1" x14ac:dyDescent="0.25">
      <c r="A81" s="100"/>
      <c r="B81" s="100"/>
      <c r="C81" s="100"/>
      <c r="D81" s="100"/>
      <c r="E81" s="100"/>
      <c r="F81" s="100"/>
      <c r="G81" s="103"/>
      <c r="H81" s="186"/>
      <c r="I81" s="195">
        <v>0.51</v>
      </c>
      <c r="J81" s="107">
        <v>0.49</v>
      </c>
      <c r="K81" s="107"/>
      <c r="L81" s="107"/>
      <c r="M81" s="187"/>
      <c r="N81" s="169">
        <f t="shared" si="28"/>
        <v>1</v>
      </c>
      <c r="O81" s="144">
        <v>1</v>
      </c>
      <c r="P81" s="145">
        <v>15</v>
      </c>
      <c r="Q81" s="113">
        <v>15</v>
      </c>
      <c r="R81" s="113"/>
      <c r="S81" s="113"/>
      <c r="T81" s="146"/>
      <c r="U81" s="148">
        <f t="shared" si="29"/>
        <v>15</v>
      </c>
      <c r="V81" s="149">
        <f t="shared" si="30"/>
        <v>15</v>
      </c>
      <c r="W81" s="189"/>
      <c r="X81" s="199"/>
      <c r="Y81" s="151"/>
      <c r="Z81" s="190"/>
      <c r="AA81" s="153"/>
      <c r="AB81" s="154">
        <f t="shared" si="31"/>
        <v>0</v>
      </c>
      <c r="AC81" s="149">
        <f t="shared" si="32"/>
        <v>0</v>
      </c>
      <c r="AD81" s="125">
        <v>2</v>
      </c>
      <c r="AE81" s="148">
        <f t="shared" si="33"/>
        <v>2</v>
      </c>
      <c r="AF81" s="156"/>
      <c r="AG81" s="156"/>
      <c r="AH81" s="113">
        <f t="shared" si="34"/>
        <v>17</v>
      </c>
      <c r="AI81" s="157">
        <v>65</v>
      </c>
      <c r="AJ81" s="113">
        <f t="shared" si="35"/>
        <v>82</v>
      </c>
      <c r="AK81" s="113">
        <f t="shared" si="36"/>
        <v>82</v>
      </c>
      <c r="AL81" s="158">
        <f t="shared" si="37"/>
        <v>1.02</v>
      </c>
      <c r="AM81" s="159"/>
      <c r="AN81" s="160">
        <f t="shared" si="27"/>
        <v>1</v>
      </c>
      <c r="AO81" s="160">
        <f t="shared" si="27"/>
        <v>2</v>
      </c>
      <c r="AP81" s="133"/>
      <c r="AQ81" s="134"/>
      <c r="AR81" s="161"/>
      <c r="AS81" s="161"/>
      <c r="AT81" s="161"/>
      <c r="AU81" s="161"/>
      <c r="AV81" s="162"/>
      <c r="AW81" s="137">
        <f t="shared" si="38"/>
        <v>0</v>
      </c>
      <c r="AX81" s="137">
        <f t="shared" si="39"/>
        <v>0</v>
      </c>
    </row>
    <row r="82" ht="46.5" customHeight="1" spans="1:50" s="97" customFormat="1" x14ac:dyDescent="0.25">
      <c r="A82" s="100"/>
      <c r="B82" s="100"/>
      <c r="C82" s="100"/>
      <c r="D82" s="100"/>
      <c r="E82" s="100"/>
      <c r="F82" s="100"/>
      <c r="G82" s="103"/>
      <c r="H82" s="186"/>
      <c r="I82" s="195">
        <v>0.51</v>
      </c>
      <c r="J82" s="107">
        <v>0.49</v>
      </c>
      <c r="K82" s="107"/>
      <c r="L82" s="107"/>
      <c r="M82" s="187"/>
      <c r="N82" s="169">
        <f t="shared" si="28"/>
        <v>1</v>
      </c>
      <c r="O82" s="144">
        <v>1</v>
      </c>
      <c r="P82" s="145">
        <v>15</v>
      </c>
      <c r="Q82" s="113">
        <v>15</v>
      </c>
      <c r="R82" s="113"/>
      <c r="S82" s="113"/>
      <c r="T82" s="146"/>
      <c r="U82" s="148">
        <f t="shared" si="29"/>
        <v>15</v>
      </c>
      <c r="V82" s="149">
        <f t="shared" si="30"/>
        <v>15</v>
      </c>
      <c r="W82" s="189"/>
      <c r="X82" s="199"/>
      <c r="Y82" s="151"/>
      <c r="Z82" s="190"/>
      <c r="AA82" s="153"/>
      <c r="AB82" s="154">
        <f t="shared" si="31"/>
        <v>0</v>
      </c>
      <c r="AC82" s="149">
        <f t="shared" si="32"/>
        <v>0</v>
      </c>
      <c r="AD82" s="125">
        <v>2</v>
      </c>
      <c r="AE82" s="148">
        <f t="shared" si="33"/>
        <v>2</v>
      </c>
      <c r="AF82" s="156"/>
      <c r="AG82" s="156"/>
      <c r="AH82" s="113">
        <f t="shared" si="34"/>
        <v>17</v>
      </c>
      <c r="AI82" s="157">
        <v>65</v>
      </c>
      <c r="AJ82" s="113">
        <f t="shared" si="35"/>
        <v>82</v>
      </c>
      <c r="AK82" s="113">
        <f t="shared" si="36"/>
        <v>82</v>
      </c>
      <c r="AL82" s="158">
        <f t="shared" si="37"/>
        <v>1.02</v>
      </c>
      <c r="AM82" s="159"/>
      <c r="AN82" s="160">
        <f t="shared" si="27"/>
        <v>1</v>
      </c>
      <c r="AO82" s="160">
        <f t="shared" si="27"/>
        <v>2</v>
      </c>
      <c r="AP82" s="133"/>
      <c r="AQ82" s="134"/>
      <c r="AR82" s="161"/>
      <c r="AS82" s="161"/>
      <c r="AT82" s="161"/>
      <c r="AU82" s="161"/>
      <c r="AV82" s="162"/>
      <c r="AW82" s="137">
        <f t="shared" si="38"/>
        <v>0</v>
      </c>
      <c r="AX82" s="137">
        <f t="shared" si="39"/>
        <v>0</v>
      </c>
    </row>
    <row r="83" ht="46.5" customHeight="1" spans="1:50" s="97" customFormat="1" x14ac:dyDescent="0.25">
      <c r="A83" s="100"/>
      <c r="B83" s="100"/>
      <c r="C83" s="100"/>
      <c r="D83" s="100"/>
      <c r="E83" s="100"/>
      <c r="F83" s="100"/>
      <c r="G83" s="103"/>
      <c r="H83" s="186"/>
      <c r="I83" s="195">
        <v>0.51</v>
      </c>
      <c r="J83" s="107">
        <v>0.49</v>
      </c>
      <c r="K83" s="107"/>
      <c r="L83" s="107"/>
      <c r="M83" s="187"/>
      <c r="N83" s="169">
        <f t="shared" si="28"/>
        <v>1</v>
      </c>
      <c r="O83" s="144">
        <v>1</v>
      </c>
      <c r="P83" s="145">
        <v>15</v>
      </c>
      <c r="Q83" s="113">
        <v>15</v>
      </c>
      <c r="R83" s="113"/>
      <c r="S83" s="113"/>
      <c r="T83" s="146"/>
      <c r="U83" s="148">
        <f t="shared" si="29"/>
        <v>15</v>
      </c>
      <c r="V83" s="149">
        <f t="shared" si="30"/>
        <v>15</v>
      </c>
      <c r="W83" s="189"/>
      <c r="X83" s="199"/>
      <c r="Y83" s="151"/>
      <c r="Z83" s="190"/>
      <c r="AA83" s="153"/>
      <c r="AB83" s="154">
        <f t="shared" si="31"/>
        <v>0</v>
      </c>
      <c r="AC83" s="149">
        <f t="shared" si="32"/>
        <v>0</v>
      </c>
      <c r="AD83" s="125">
        <v>2</v>
      </c>
      <c r="AE83" s="148">
        <f t="shared" si="33"/>
        <v>2</v>
      </c>
      <c r="AF83" s="156"/>
      <c r="AG83" s="156"/>
      <c r="AH83" s="113">
        <f t="shared" si="34"/>
        <v>17</v>
      </c>
      <c r="AI83" s="157">
        <v>65</v>
      </c>
      <c r="AJ83" s="113">
        <f t="shared" si="35"/>
        <v>82</v>
      </c>
      <c r="AK83" s="113">
        <f t="shared" si="36"/>
        <v>82</v>
      </c>
      <c r="AL83" s="158">
        <f t="shared" si="37"/>
        <v>1.02</v>
      </c>
      <c r="AM83" s="159"/>
      <c r="AN83" s="160">
        <f t="shared" si="27"/>
        <v>1</v>
      </c>
      <c r="AO83" s="160">
        <f t="shared" si="27"/>
        <v>2</v>
      </c>
      <c r="AP83" s="133"/>
      <c r="AQ83" s="134"/>
      <c r="AR83" s="161"/>
      <c r="AS83" s="161"/>
      <c r="AT83" s="161"/>
      <c r="AU83" s="161"/>
      <c r="AV83" s="162"/>
      <c r="AW83" s="137">
        <f t="shared" si="38"/>
        <v>0</v>
      </c>
      <c r="AX83" s="137">
        <f t="shared" si="39"/>
        <v>0</v>
      </c>
    </row>
    <row r="84" ht="46.5" customHeight="1" spans="1:50" s="97" customFormat="1" x14ac:dyDescent="0.25">
      <c r="A84" s="100"/>
      <c r="B84" s="100"/>
      <c r="C84" s="100"/>
      <c r="D84" s="100"/>
      <c r="E84" s="100"/>
      <c r="F84" s="100"/>
      <c r="G84" s="103"/>
      <c r="H84" s="186"/>
      <c r="I84" s="195">
        <v>0.51</v>
      </c>
      <c r="J84" s="107">
        <v>0.49</v>
      </c>
      <c r="K84" s="107"/>
      <c r="L84" s="107"/>
      <c r="M84" s="187"/>
      <c r="N84" s="169">
        <f t="shared" si="28"/>
        <v>1</v>
      </c>
      <c r="O84" s="144">
        <v>1</v>
      </c>
      <c r="P84" s="145">
        <v>15</v>
      </c>
      <c r="Q84" s="113">
        <v>15</v>
      </c>
      <c r="R84" s="113"/>
      <c r="S84" s="113"/>
      <c r="T84" s="146"/>
      <c r="U84" s="148">
        <f t="shared" si="29"/>
        <v>15</v>
      </c>
      <c r="V84" s="149">
        <f t="shared" si="30"/>
        <v>15</v>
      </c>
      <c r="W84" s="189"/>
      <c r="X84" s="199"/>
      <c r="Y84" s="151"/>
      <c r="Z84" s="190"/>
      <c r="AA84" s="153"/>
      <c r="AB84" s="154">
        <f t="shared" si="31"/>
        <v>0</v>
      </c>
      <c r="AC84" s="149">
        <f t="shared" si="32"/>
        <v>0</v>
      </c>
      <c r="AD84" s="125">
        <v>2</v>
      </c>
      <c r="AE84" s="148">
        <f t="shared" si="33"/>
        <v>2</v>
      </c>
      <c r="AF84" s="156"/>
      <c r="AG84" s="156"/>
      <c r="AH84" s="113">
        <f t="shared" si="34"/>
        <v>17</v>
      </c>
      <c r="AI84" s="157">
        <v>65</v>
      </c>
      <c r="AJ84" s="113">
        <f t="shared" si="35"/>
        <v>82</v>
      </c>
      <c r="AK84" s="113">
        <f t="shared" si="36"/>
        <v>82</v>
      </c>
      <c r="AL84" s="158">
        <f t="shared" si="37"/>
        <v>1.02</v>
      </c>
      <c r="AM84" s="159"/>
      <c r="AN84" s="160">
        <f t="shared" si="27"/>
        <v>1</v>
      </c>
      <c r="AO84" s="160">
        <f t="shared" si="27"/>
        <v>2</v>
      </c>
      <c r="AP84" s="133"/>
      <c r="AQ84" s="134"/>
      <c r="AR84" s="161"/>
      <c r="AS84" s="161"/>
      <c r="AT84" s="161"/>
      <c r="AU84" s="161"/>
      <c r="AV84" s="162"/>
      <c r="AW84" s="137">
        <f t="shared" si="38"/>
        <v>0</v>
      </c>
      <c r="AX84" s="137">
        <f t="shared" si="39"/>
        <v>0</v>
      </c>
    </row>
    <row r="85" ht="46.5" customHeight="1" spans="1:50" s="97" customFormat="1" x14ac:dyDescent="0.25">
      <c r="A85" s="100"/>
      <c r="B85" s="100"/>
      <c r="C85" s="100"/>
      <c r="D85" s="100"/>
      <c r="E85" s="100"/>
      <c r="F85" s="100"/>
      <c r="G85" s="103"/>
      <c r="H85" s="186"/>
      <c r="I85" s="195">
        <v>0.51</v>
      </c>
      <c r="J85" s="107">
        <v>0.49</v>
      </c>
      <c r="K85" s="107"/>
      <c r="L85" s="107"/>
      <c r="M85" s="187"/>
      <c r="N85" s="169">
        <f t="shared" si="28"/>
        <v>1</v>
      </c>
      <c r="O85" s="144">
        <v>1</v>
      </c>
      <c r="P85" s="145">
        <v>15</v>
      </c>
      <c r="Q85" s="113">
        <v>15</v>
      </c>
      <c r="R85" s="113"/>
      <c r="S85" s="113"/>
      <c r="T85" s="146"/>
      <c r="U85" s="148">
        <f t="shared" si="29"/>
        <v>15</v>
      </c>
      <c r="V85" s="149">
        <f t="shared" si="30"/>
        <v>15</v>
      </c>
      <c r="W85" s="189"/>
      <c r="X85" s="199"/>
      <c r="Y85" s="151"/>
      <c r="Z85" s="190"/>
      <c r="AA85" s="153"/>
      <c r="AB85" s="154">
        <f t="shared" si="31"/>
        <v>0</v>
      </c>
      <c r="AC85" s="149">
        <f t="shared" si="32"/>
        <v>0</v>
      </c>
      <c r="AD85" s="125">
        <v>2</v>
      </c>
      <c r="AE85" s="148">
        <f t="shared" si="33"/>
        <v>2</v>
      </c>
      <c r="AF85" s="156"/>
      <c r="AG85" s="156"/>
      <c r="AH85" s="113">
        <f t="shared" si="34"/>
        <v>17</v>
      </c>
      <c r="AI85" s="157">
        <v>65</v>
      </c>
      <c r="AJ85" s="113">
        <f t="shared" si="35"/>
        <v>82</v>
      </c>
      <c r="AK85" s="113">
        <f t="shared" si="36"/>
        <v>82</v>
      </c>
      <c r="AL85" s="158">
        <f t="shared" si="37"/>
        <v>1.02</v>
      </c>
      <c r="AM85" s="159"/>
      <c r="AN85" s="160">
        <f t="shared" si="27"/>
        <v>1</v>
      </c>
      <c r="AO85" s="160">
        <f t="shared" si="27"/>
        <v>2</v>
      </c>
      <c r="AP85" s="133"/>
      <c r="AQ85" s="134"/>
      <c r="AR85" s="161"/>
      <c r="AS85" s="161"/>
      <c r="AT85" s="161"/>
      <c r="AU85" s="161"/>
      <c r="AV85" s="162"/>
      <c r="AW85" s="137">
        <f t="shared" si="38"/>
        <v>0</v>
      </c>
      <c r="AX85" s="137">
        <f t="shared" si="39"/>
        <v>0</v>
      </c>
    </row>
    <row r="86" ht="46.5" customHeight="1" spans="1:50" s="97" customFormat="1" x14ac:dyDescent="0.25">
      <c r="A86" s="100"/>
      <c r="B86" s="100"/>
      <c r="C86" s="100"/>
      <c r="D86" s="100"/>
      <c r="E86" s="100"/>
      <c r="F86" s="100"/>
      <c r="G86" s="103"/>
      <c r="H86" s="186"/>
      <c r="I86" s="195">
        <v>0.51</v>
      </c>
      <c r="J86" s="107">
        <v>0.49</v>
      </c>
      <c r="K86" s="107"/>
      <c r="L86" s="107"/>
      <c r="M86" s="187"/>
      <c r="N86" s="169">
        <f t="shared" si="28"/>
        <v>1</v>
      </c>
      <c r="O86" s="144">
        <v>1</v>
      </c>
      <c r="P86" s="145">
        <v>15</v>
      </c>
      <c r="Q86" s="113">
        <v>15</v>
      </c>
      <c r="R86" s="113"/>
      <c r="S86" s="113"/>
      <c r="T86" s="146"/>
      <c r="U86" s="148">
        <f t="shared" si="29"/>
        <v>15</v>
      </c>
      <c r="V86" s="149">
        <f t="shared" si="30"/>
        <v>15</v>
      </c>
      <c r="W86" s="189"/>
      <c r="X86" s="199"/>
      <c r="Y86" s="151"/>
      <c r="Z86" s="190"/>
      <c r="AA86" s="153"/>
      <c r="AB86" s="154">
        <f t="shared" si="31"/>
        <v>0</v>
      </c>
      <c r="AC86" s="149">
        <f t="shared" si="32"/>
        <v>0</v>
      </c>
      <c r="AD86" s="125">
        <v>2</v>
      </c>
      <c r="AE86" s="148">
        <f t="shared" si="33"/>
        <v>2</v>
      </c>
      <c r="AF86" s="156"/>
      <c r="AG86" s="156"/>
      <c r="AH86" s="113">
        <f t="shared" si="34"/>
        <v>17</v>
      </c>
      <c r="AI86" s="157">
        <v>65</v>
      </c>
      <c r="AJ86" s="113">
        <f t="shared" si="35"/>
        <v>82</v>
      </c>
      <c r="AK86" s="113">
        <f t="shared" si="36"/>
        <v>82</v>
      </c>
      <c r="AL86" s="158">
        <f t="shared" si="37"/>
        <v>1.02</v>
      </c>
      <c r="AM86" s="159"/>
      <c r="AN86" s="160">
        <f t="shared" si="27"/>
        <v>1</v>
      </c>
      <c r="AO86" s="160">
        <f t="shared" si="27"/>
        <v>2</v>
      </c>
      <c r="AP86" s="133"/>
      <c r="AQ86" s="134"/>
      <c r="AR86" s="161"/>
      <c r="AS86" s="161"/>
      <c r="AT86" s="161"/>
      <c r="AU86" s="161"/>
      <c r="AV86" s="162"/>
      <c r="AW86" s="137">
        <f t="shared" si="38"/>
        <v>0</v>
      </c>
      <c r="AX86" s="137">
        <f t="shared" si="39"/>
        <v>0</v>
      </c>
    </row>
    <row r="87" ht="46.5" customHeight="1" spans="1:50" s="97" customFormat="1" x14ac:dyDescent="0.25">
      <c r="A87" s="100"/>
      <c r="B87" s="100"/>
      <c r="C87" s="100"/>
      <c r="D87" s="100"/>
      <c r="E87" s="100"/>
      <c r="F87" s="100"/>
      <c r="G87" s="103"/>
      <c r="H87" s="186"/>
      <c r="I87" s="195">
        <v>0.51</v>
      </c>
      <c r="J87" s="107">
        <v>0.49</v>
      </c>
      <c r="K87" s="107"/>
      <c r="L87" s="107"/>
      <c r="M87" s="187"/>
      <c r="N87" s="169">
        <f t="shared" si="28"/>
        <v>1</v>
      </c>
      <c r="O87" s="144">
        <v>1</v>
      </c>
      <c r="P87" s="145">
        <v>15</v>
      </c>
      <c r="Q87" s="113">
        <v>15</v>
      </c>
      <c r="R87" s="113"/>
      <c r="S87" s="113"/>
      <c r="T87" s="146"/>
      <c r="U87" s="148">
        <f t="shared" si="29"/>
        <v>15</v>
      </c>
      <c r="V87" s="149">
        <f t="shared" si="30"/>
        <v>15</v>
      </c>
      <c r="W87" s="189"/>
      <c r="X87" s="199"/>
      <c r="Y87" s="151"/>
      <c r="Z87" s="190"/>
      <c r="AA87" s="153"/>
      <c r="AB87" s="154">
        <f t="shared" si="31"/>
        <v>0</v>
      </c>
      <c r="AC87" s="149">
        <f t="shared" si="32"/>
        <v>0</v>
      </c>
      <c r="AD87" s="125">
        <v>2</v>
      </c>
      <c r="AE87" s="148">
        <f t="shared" si="33"/>
        <v>2</v>
      </c>
      <c r="AF87" s="156"/>
      <c r="AG87" s="156"/>
      <c r="AH87" s="113">
        <f t="shared" si="34"/>
        <v>17</v>
      </c>
      <c r="AI87" s="157">
        <v>65</v>
      </c>
      <c r="AJ87" s="113">
        <f t="shared" si="35"/>
        <v>82</v>
      </c>
      <c r="AK87" s="113">
        <f t="shared" si="36"/>
        <v>82</v>
      </c>
      <c r="AL87" s="158">
        <f t="shared" si="37"/>
        <v>1.02</v>
      </c>
      <c r="AM87" s="159"/>
      <c r="AN87" s="160">
        <f t="shared" si="27"/>
        <v>1</v>
      </c>
      <c r="AO87" s="160">
        <f t="shared" si="27"/>
        <v>2</v>
      </c>
      <c r="AP87" s="133"/>
      <c r="AQ87" s="134"/>
      <c r="AR87" s="161"/>
      <c r="AS87" s="161"/>
      <c r="AT87" s="161"/>
      <c r="AU87" s="161"/>
      <c r="AV87" s="162"/>
      <c r="AW87" s="137">
        <f t="shared" si="38"/>
        <v>0</v>
      </c>
      <c r="AX87" s="137">
        <f t="shared" si="39"/>
        <v>0</v>
      </c>
    </row>
    <row r="88" ht="46.5" customHeight="1" spans="1:50" s="97" customFormat="1" x14ac:dyDescent="0.25">
      <c r="A88" s="100"/>
      <c r="B88" s="100"/>
      <c r="C88" s="100"/>
      <c r="D88" s="100"/>
      <c r="E88" s="100"/>
      <c r="F88" s="100"/>
      <c r="G88" s="103"/>
      <c r="H88" s="186"/>
      <c r="I88" s="195">
        <v>0.51</v>
      </c>
      <c r="J88" s="107">
        <v>0.49</v>
      </c>
      <c r="K88" s="107"/>
      <c r="L88" s="107"/>
      <c r="M88" s="187"/>
      <c r="N88" s="169">
        <f t="shared" si="28"/>
        <v>1</v>
      </c>
      <c r="O88" s="144">
        <v>1</v>
      </c>
      <c r="P88" s="145">
        <v>15</v>
      </c>
      <c r="Q88" s="113">
        <v>15</v>
      </c>
      <c r="R88" s="113"/>
      <c r="S88" s="113"/>
      <c r="T88" s="146"/>
      <c r="U88" s="148">
        <f t="shared" si="29"/>
        <v>15</v>
      </c>
      <c r="V88" s="149">
        <f t="shared" si="30"/>
        <v>15</v>
      </c>
      <c r="W88" s="189"/>
      <c r="X88" s="199"/>
      <c r="Y88" s="151"/>
      <c r="Z88" s="190"/>
      <c r="AA88" s="153"/>
      <c r="AB88" s="154">
        <f t="shared" si="31"/>
        <v>0</v>
      </c>
      <c r="AC88" s="149">
        <f t="shared" si="32"/>
        <v>0</v>
      </c>
      <c r="AD88" s="125">
        <v>2</v>
      </c>
      <c r="AE88" s="148">
        <f t="shared" si="33"/>
        <v>2</v>
      </c>
      <c r="AF88" s="156"/>
      <c r="AG88" s="156"/>
      <c r="AH88" s="113">
        <f t="shared" si="34"/>
        <v>17</v>
      </c>
      <c r="AI88" s="157">
        <v>65</v>
      </c>
      <c r="AJ88" s="113">
        <f t="shared" si="35"/>
        <v>82</v>
      </c>
      <c r="AK88" s="113">
        <f t="shared" si="36"/>
        <v>82</v>
      </c>
      <c r="AL88" s="158">
        <f t="shared" si="37"/>
        <v>1.02</v>
      </c>
      <c r="AM88" s="159"/>
      <c r="AN88" s="160">
        <f t="shared" si="27"/>
        <v>1</v>
      </c>
      <c r="AO88" s="160">
        <f t="shared" si="27"/>
        <v>2</v>
      </c>
      <c r="AP88" s="133"/>
      <c r="AQ88" s="134"/>
      <c r="AR88" s="161"/>
      <c r="AS88" s="161"/>
      <c r="AT88" s="161"/>
      <c r="AU88" s="161"/>
      <c r="AV88" s="162"/>
      <c r="AW88" s="137">
        <f t="shared" si="38"/>
        <v>0</v>
      </c>
      <c r="AX88" s="137">
        <f t="shared" si="39"/>
        <v>0</v>
      </c>
    </row>
    <row r="89" ht="46.5" customHeight="1" spans="1:50" s="97" customFormat="1" x14ac:dyDescent="0.25">
      <c r="A89" s="100"/>
      <c r="B89" s="100"/>
      <c r="C89" s="100"/>
      <c r="D89" s="100"/>
      <c r="E89" s="100"/>
      <c r="F89" s="100"/>
      <c r="G89" s="103"/>
      <c r="H89" s="186"/>
      <c r="I89" s="195">
        <v>0.51</v>
      </c>
      <c r="J89" s="107">
        <v>0.49</v>
      </c>
      <c r="K89" s="107"/>
      <c r="L89" s="107"/>
      <c r="M89" s="187"/>
      <c r="N89" s="169">
        <f t="shared" si="28"/>
        <v>1</v>
      </c>
      <c r="O89" s="144">
        <v>1</v>
      </c>
      <c r="P89" s="145">
        <v>15</v>
      </c>
      <c r="Q89" s="113">
        <v>15</v>
      </c>
      <c r="R89" s="113"/>
      <c r="S89" s="113"/>
      <c r="T89" s="146"/>
      <c r="U89" s="148">
        <f t="shared" si="29"/>
        <v>15</v>
      </c>
      <c r="V89" s="149">
        <f t="shared" si="30"/>
        <v>15</v>
      </c>
      <c r="W89" s="189"/>
      <c r="X89" s="199"/>
      <c r="Y89" s="151"/>
      <c r="Z89" s="190"/>
      <c r="AA89" s="153"/>
      <c r="AB89" s="154">
        <f t="shared" si="31"/>
        <v>0</v>
      </c>
      <c r="AC89" s="149">
        <f t="shared" si="32"/>
        <v>0</v>
      </c>
      <c r="AD89" s="125">
        <v>2</v>
      </c>
      <c r="AE89" s="148">
        <f t="shared" si="33"/>
        <v>2</v>
      </c>
      <c r="AF89" s="156"/>
      <c r="AG89" s="156"/>
      <c r="AH89" s="113">
        <f t="shared" si="34"/>
        <v>17</v>
      </c>
      <c r="AI89" s="157">
        <v>65</v>
      </c>
      <c r="AJ89" s="113">
        <f t="shared" si="35"/>
        <v>82</v>
      </c>
      <c r="AK89" s="113">
        <f t="shared" si="36"/>
        <v>82</v>
      </c>
      <c r="AL89" s="158">
        <f t="shared" si="37"/>
        <v>1.02</v>
      </c>
      <c r="AM89" s="159"/>
      <c r="AN89" s="160">
        <f t="shared" si="27"/>
        <v>1</v>
      </c>
      <c r="AO89" s="160">
        <f t="shared" si="27"/>
        <v>2</v>
      </c>
      <c r="AP89" s="133"/>
      <c r="AQ89" s="134"/>
      <c r="AR89" s="161"/>
      <c r="AS89" s="161"/>
      <c r="AT89" s="161"/>
      <c r="AU89" s="161"/>
      <c r="AV89" s="162"/>
      <c r="AW89" s="137">
        <f t="shared" si="38"/>
        <v>0</v>
      </c>
      <c r="AX89" s="137">
        <f t="shared" si="39"/>
        <v>0</v>
      </c>
    </row>
    <row r="90" ht="46.5" customHeight="1" spans="1:50" s="97" customFormat="1" x14ac:dyDescent="0.25">
      <c r="A90" s="100"/>
      <c r="B90" s="100"/>
      <c r="C90" s="100"/>
      <c r="D90" s="100"/>
      <c r="E90" s="100"/>
      <c r="F90" s="100"/>
      <c r="G90" s="103"/>
      <c r="H90" s="186"/>
      <c r="I90" s="195">
        <v>0.51</v>
      </c>
      <c r="J90" s="107">
        <v>0.49</v>
      </c>
      <c r="K90" s="107"/>
      <c r="L90" s="107"/>
      <c r="M90" s="187"/>
      <c r="N90" s="169">
        <f t="shared" si="28"/>
        <v>1</v>
      </c>
      <c r="O90" s="144">
        <v>1</v>
      </c>
      <c r="P90" s="145">
        <v>15</v>
      </c>
      <c r="Q90" s="113">
        <v>15</v>
      </c>
      <c r="R90" s="113"/>
      <c r="S90" s="113"/>
      <c r="T90" s="146"/>
      <c r="U90" s="148">
        <f t="shared" si="29"/>
        <v>15</v>
      </c>
      <c r="V90" s="149">
        <f t="shared" si="30"/>
        <v>15</v>
      </c>
      <c r="W90" s="189"/>
      <c r="X90" s="199"/>
      <c r="Y90" s="151"/>
      <c r="Z90" s="190"/>
      <c r="AA90" s="153"/>
      <c r="AB90" s="154">
        <f t="shared" si="31"/>
        <v>0</v>
      </c>
      <c r="AC90" s="149">
        <f t="shared" si="32"/>
        <v>0</v>
      </c>
      <c r="AD90" s="125">
        <v>2</v>
      </c>
      <c r="AE90" s="148">
        <f t="shared" si="33"/>
        <v>2</v>
      </c>
      <c r="AF90" s="156"/>
      <c r="AG90" s="156"/>
      <c r="AH90" s="113">
        <f t="shared" si="34"/>
        <v>17</v>
      </c>
      <c r="AI90" s="157">
        <v>65</v>
      </c>
      <c r="AJ90" s="113">
        <f t="shared" si="35"/>
        <v>82</v>
      </c>
      <c r="AK90" s="113">
        <f t="shared" si="36"/>
        <v>82</v>
      </c>
      <c r="AL90" s="158">
        <f t="shared" si="37"/>
        <v>1.02</v>
      </c>
      <c r="AM90" s="159"/>
      <c r="AN90" s="160">
        <f t="shared" si="27"/>
        <v>1</v>
      </c>
      <c r="AO90" s="160">
        <f t="shared" si="27"/>
        <v>2</v>
      </c>
      <c r="AP90" s="133"/>
      <c r="AQ90" s="134"/>
      <c r="AR90" s="161"/>
      <c r="AS90" s="161"/>
      <c r="AT90" s="161"/>
      <c r="AU90" s="161"/>
      <c r="AV90" s="162"/>
      <c r="AW90" s="137">
        <f t="shared" si="38"/>
        <v>0</v>
      </c>
      <c r="AX90" s="137">
        <f t="shared" si="39"/>
        <v>0</v>
      </c>
    </row>
    <row r="91" ht="46.5" customHeight="1" spans="1:50" s="97" customFormat="1" x14ac:dyDescent="0.25">
      <c r="A91" s="100"/>
      <c r="B91" s="100"/>
      <c r="C91" s="100"/>
      <c r="D91" s="100"/>
      <c r="E91" s="100"/>
      <c r="F91" s="100"/>
      <c r="G91" s="103"/>
      <c r="H91" s="186"/>
      <c r="I91" s="195">
        <v>0.51</v>
      </c>
      <c r="J91" s="107">
        <v>0.49</v>
      </c>
      <c r="K91" s="107"/>
      <c r="L91" s="107"/>
      <c r="M91" s="187"/>
      <c r="N91" s="169">
        <f t="shared" si="28"/>
        <v>1</v>
      </c>
      <c r="O91" s="144">
        <v>1</v>
      </c>
      <c r="P91" s="145">
        <v>15</v>
      </c>
      <c r="Q91" s="113">
        <v>15</v>
      </c>
      <c r="R91" s="113"/>
      <c r="S91" s="113"/>
      <c r="T91" s="146"/>
      <c r="U91" s="148">
        <f t="shared" si="29"/>
        <v>15</v>
      </c>
      <c r="V91" s="149">
        <f t="shared" si="30"/>
        <v>15</v>
      </c>
      <c r="W91" s="189"/>
      <c r="X91" s="199"/>
      <c r="Y91" s="151"/>
      <c r="Z91" s="190"/>
      <c r="AA91" s="153"/>
      <c r="AB91" s="154">
        <f t="shared" si="31"/>
        <v>0</v>
      </c>
      <c r="AC91" s="149">
        <f t="shared" si="32"/>
        <v>0</v>
      </c>
      <c r="AD91" s="125">
        <v>2</v>
      </c>
      <c r="AE91" s="148">
        <f t="shared" si="33"/>
        <v>2</v>
      </c>
      <c r="AF91" s="156"/>
      <c r="AG91" s="156"/>
      <c r="AH91" s="113">
        <f t="shared" si="34"/>
        <v>17</v>
      </c>
      <c r="AI91" s="157">
        <v>65</v>
      </c>
      <c r="AJ91" s="113">
        <f t="shared" si="35"/>
        <v>82</v>
      </c>
      <c r="AK91" s="113">
        <f t="shared" si="36"/>
        <v>82</v>
      </c>
      <c r="AL91" s="158">
        <f t="shared" si="37"/>
        <v>1.02</v>
      </c>
      <c r="AM91" s="159"/>
      <c r="AN91" s="160">
        <f t="shared" ref="AN91:AO110" si="40">100%+AM91</f>
        <v>1</v>
      </c>
      <c r="AO91" s="160">
        <f t="shared" si="40"/>
        <v>2</v>
      </c>
      <c r="AP91" s="133"/>
      <c r="AQ91" s="134"/>
      <c r="AR91" s="161"/>
      <c r="AS91" s="161"/>
      <c r="AT91" s="161"/>
      <c r="AU91" s="161"/>
      <c r="AV91" s="162"/>
      <c r="AW91" s="137">
        <f t="shared" si="38"/>
        <v>0</v>
      </c>
      <c r="AX91" s="137">
        <f t="shared" si="39"/>
        <v>0</v>
      </c>
    </row>
    <row r="92" ht="46.5" customHeight="1" spans="1:50" s="97" customFormat="1" x14ac:dyDescent="0.25">
      <c r="A92" s="100"/>
      <c r="B92" s="100"/>
      <c r="C92" s="100"/>
      <c r="D92" s="100"/>
      <c r="E92" s="100"/>
      <c r="F92" s="100"/>
      <c r="G92" s="103"/>
      <c r="H92" s="186"/>
      <c r="I92" s="195">
        <v>0.51</v>
      </c>
      <c r="J92" s="107">
        <v>0.49</v>
      </c>
      <c r="K92" s="107"/>
      <c r="L92" s="107"/>
      <c r="M92" s="187"/>
      <c r="N92" s="169">
        <f t="shared" si="28"/>
        <v>1</v>
      </c>
      <c r="O92" s="144">
        <v>1</v>
      </c>
      <c r="P92" s="145">
        <v>15</v>
      </c>
      <c r="Q92" s="113">
        <v>15</v>
      </c>
      <c r="R92" s="113"/>
      <c r="S92" s="113"/>
      <c r="T92" s="146"/>
      <c r="U92" s="148">
        <f t="shared" si="29"/>
        <v>15</v>
      </c>
      <c r="V92" s="149">
        <f t="shared" si="30"/>
        <v>15</v>
      </c>
      <c r="W92" s="189"/>
      <c r="X92" s="199"/>
      <c r="Y92" s="151"/>
      <c r="Z92" s="190"/>
      <c r="AA92" s="153"/>
      <c r="AB92" s="154">
        <f t="shared" si="31"/>
        <v>0</v>
      </c>
      <c r="AC92" s="149">
        <f t="shared" si="32"/>
        <v>0</v>
      </c>
      <c r="AD92" s="125">
        <v>2</v>
      </c>
      <c r="AE92" s="148">
        <f t="shared" si="33"/>
        <v>2</v>
      </c>
      <c r="AF92" s="156"/>
      <c r="AG92" s="156"/>
      <c r="AH92" s="113">
        <f t="shared" si="34"/>
        <v>17</v>
      </c>
      <c r="AI92" s="157">
        <v>65</v>
      </c>
      <c r="AJ92" s="113">
        <f t="shared" si="35"/>
        <v>82</v>
      </c>
      <c r="AK92" s="113">
        <f t="shared" si="36"/>
        <v>82</v>
      </c>
      <c r="AL92" s="158">
        <f t="shared" si="37"/>
        <v>1.02</v>
      </c>
      <c r="AM92" s="159"/>
      <c r="AN92" s="160">
        <f t="shared" si="40"/>
        <v>1</v>
      </c>
      <c r="AO92" s="160">
        <f t="shared" si="40"/>
        <v>2</v>
      </c>
      <c r="AP92" s="133"/>
      <c r="AQ92" s="134"/>
      <c r="AR92" s="161"/>
      <c r="AS92" s="161"/>
      <c r="AT92" s="161"/>
      <c r="AU92" s="161"/>
      <c r="AV92" s="162"/>
      <c r="AW92" s="137">
        <f t="shared" si="38"/>
        <v>0</v>
      </c>
      <c r="AX92" s="137">
        <f t="shared" si="39"/>
        <v>0</v>
      </c>
    </row>
    <row r="93" ht="46.5" customHeight="1" spans="1:50" s="97" customFormat="1" x14ac:dyDescent="0.25">
      <c r="A93" s="100"/>
      <c r="B93" s="100"/>
      <c r="C93" s="100"/>
      <c r="D93" s="100"/>
      <c r="E93" s="100"/>
      <c r="F93" s="100"/>
      <c r="G93" s="103"/>
      <c r="H93" s="186"/>
      <c r="I93" s="195">
        <v>0.51</v>
      </c>
      <c r="J93" s="107">
        <v>0.49</v>
      </c>
      <c r="K93" s="107"/>
      <c r="L93" s="107"/>
      <c r="M93" s="187"/>
      <c r="N93" s="169">
        <f t="shared" si="28"/>
        <v>1</v>
      </c>
      <c r="O93" s="144">
        <v>1</v>
      </c>
      <c r="P93" s="145">
        <v>15</v>
      </c>
      <c r="Q93" s="113">
        <v>15</v>
      </c>
      <c r="R93" s="113"/>
      <c r="S93" s="113"/>
      <c r="T93" s="146"/>
      <c r="U93" s="148">
        <f t="shared" si="29"/>
        <v>15</v>
      </c>
      <c r="V93" s="149">
        <f t="shared" si="30"/>
        <v>15</v>
      </c>
      <c r="W93" s="189"/>
      <c r="X93" s="199"/>
      <c r="Y93" s="151"/>
      <c r="Z93" s="190"/>
      <c r="AA93" s="153"/>
      <c r="AB93" s="154">
        <f t="shared" si="31"/>
        <v>0</v>
      </c>
      <c r="AC93" s="149">
        <f t="shared" si="32"/>
        <v>0</v>
      </c>
      <c r="AD93" s="125">
        <v>2</v>
      </c>
      <c r="AE93" s="148">
        <f t="shared" si="33"/>
        <v>2</v>
      </c>
      <c r="AF93" s="156"/>
      <c r="AG93" s="156"/>
      <c r="AH93" s="113">
        <f t="shared" si="34"/>
        <v>17</v>
      </c>
      <c r="AI93" s="157">
        <v>65</v>
      </c>
      <c r="AJ93" s="113">
        <f t="shared" si="35"/>
        <v>82</v>
      </c>
      <c r="AK93" s="113">
        <f t="shared" si="36"/>
        <v>82</v>
      </c>
      <c r="AL93" s="158">
        <f t="shared" si="37"/>
        <v>1.02</v>
      </c>
      <c r="AM93" s="159"/>
      <c r="AN93" s="160">
        <f t="shared" si="40"/>
        <v>1</v>
      </c>
      <c r="AO93" s="160">
        <f t="shared" si="40"/>
        <v>2</v>
      </c>
      <c r="AP93" s="133"/>
      <c r="AQ93" s="134"/>
      <c r="AR93" s="161"/>
      <c r="AS93" s="161"/>
      <c r="AT93" s="161"/>
      <c r="AU93" s="161"/>
      <c r="AV93" s="162"/>
      <c r="AW93" s="137">
        <f t="shared" si="38"/>
        <v>0</v>
      </c>
      <c r="AX93" s="137">
        <f t="shared" si="39"/>
        <v>0</v>
      </c>
    </row>
    <row r="94" ht="46.5" customHeight="1" spans="1:50" s="97" customFormat="1" x14ac:dyDescent="0.25">
      <c r="A94" s="100"/>
      <c r="B94" s="100"/>
      <c r="C94" s="100"/>
      <c r="D94" s="100"/>
      <c r="E94" s="100"/>
      <c r="F94" s="100"/>
      <c r="G94" s="103"/>
      <c r="H94" s="186"/>
      <c r="I94" s="195">
        <v>0.51</v>
      </c>
      <c r="J94" s="107">
        <v>0.49</v>
      </c>
      <c r="K94" s="107"/>
      <c r="L94" s="107"/>
      <c r="M94" s="187"/>
      <c r="N94" s="169">
        <f t="shared" si="28"/>
        <v>1</v>
      </c>
      <c r="O94" s="144">
        <v>1</v>
      </c>
      <c r="P94" s="145">
        <v>15</v>
      </c>
      <c r="Q94" s="113">
        <v>15</v>
      </c>
      <c r="R94" s="113"/>
      <c r="S94" s="113"/>
      <c r="T94" s="146"/>
      <c r="U94" s="148">
        <f t="shared" si="29"/>
        <v>15</v>
      </c>
      <c r="V94" s="149">
        <f t="shared" si="30"/>
        <v>15</v>
      </c>
      <c r="W94" s="189"/>
      <c r="X94" s="199"/>
      <c r="Y94" s="151"/>
      <c r="Z94" s="190"/>
      <c r="AA94" s="153"/>
      <c r="AB94" s="154">
        <f t="shared" si="31"/>
        <v>0</v>
      </c>
      <c r="AC94" s="149">
        <f t="shared" si="32"/>
        <v>0</v>
      </c>
      <c r="AD94" s="125">
        <v>2</v>
      </c>
      <c r="AE94" s="148">
        <f t="shared" si="33"/>
        <v>2</v>
      </c>
      <c r="AF94" s="156"/>
      <c r="AG94" s="156"/>
      <c r="AH94" s="113">
        <f t="shared" si="34"/>
        <v>17</v>
      </c>
      <c r="AI94" s="157">
        <v>65</v>
      </c>
      <c r="AJ94" s="113">
        <f t="shared" si="35"/>
        <v>82</v>
      </c>
      <c r="AK94" s="113">
        <f t="shared" si="36"/>
        <v>82</v>
      </c>
      <c r="AL94" s="158">
        <f t="shared" si="37"/>
        <v>1.02</v>
      </c>
      <c r="AM94" s="159"/>
      <c r="AN94" s="160">
        <f t="shared" si="40"/>
        <v>1</v>
      </c>
      <c r="AO94" s="160">
        <f t="shared" si="40"/>
        <v>2</v>
      </c>
      <c r="AP94" s="133"/>
      <c r="AQ94" s="134"/>
      <c r="AR94" s="161"/>
      <c r="AS94" s="161"/>
      <c r="AT94" s="161"/>
      <c r="AU94" s="161"/>
      <c r="AV94" s="162"/>
      <c r="AW94" s="137">
        <f t="shared" si="38"/>
        <v>0</v>
      </c>
      <c r="AX94" s="137">
        <f t="shared" si="39"/>
        <v>0</v>
      </c>
    </row>
    <row r="95" ht="46.5" customHeight="1" spans="1:50" s="97" customFormat="1" x14ac:dyDescent="0.25">
      <c r="A95" s="100"/>
      <c r="B95" s="100"/>
      <c r="C95" s="100"/>
      <c r="D95" s="100"/>
      <c r="E95" s="100"/>
      <c r="F95" s="100"/>
      <c r="G95" s="103"/>
      <c r="H95" s="186"/>
      <c r="I95" s="195">
        <v>0.51</v>
      </c>
      <c r="J95" s="107">
        <v>0.49</v>
      </c>
      <c r="K95" s="107"/>
      <c r="L95" s="107"/>
      <c r="M95" s="187"/>
      <c r="N95" s="169">
        <f t="shared" si="28"/>
        <v>1</v>
      </c>
      <c r="O95" s="144">
        <v>1</v>
      </c>
      <c r="P95" s="145">
        <v>15</v>
      </c>
      <c r="Q95" s="113">
        <v>15</v>
      </c>
      <c r="R95" s="113"/>
      <c r="S95" s="113"/>
      <c r="T95" s="146"/>
      <c r="U95" s="148">
        <f t="shared" si="29"/>
        <v>15</v>
      </c>
      <c r="V95" s="149">
        <f t="shared" si="30"/>
        <v>15</v>
      </c>
      <c r="W95" s="189"/>
      <c r="X95" s="199"/>
      <c r="Y95" s="151"/>
      <c r="Z95" s="190"/>
      <c r="AA95" s="153"/>
      <c r="AB95" s="154">
        <f t="shared" si="31"/>
        <v>0</v>
      </c>
      <c r="AC95" s="149">
        <f t="shared" si="32"/>
        <v>0</v>
      </c>
      <c r="AD95" s="125">
        <v>2</v>
      </c>
      <c r="AE95" s="148">
        <f t="shared" si="33"/>
        <v>2</v>
      </c>
      <c r="AF95" s="156"/>
      <c r="AG95" s="156"/>
      <c r="AH95" s="113">
        <f t="shared" si="34"/>
        <v>17</v>
      </c>
      <c r="AI95" s="157">
        <v>65</v>
      </c>
      <c r="AJ95" s="113">
        <f t="shared" si="35"/>
        <v>82</v>
      </c>
      <c r="AK95" s="113">
        <f t="shared" si="36"/>
        <v>82</v>
      </c>
      <c r="AL95" s="158">
        <f t="shared" si="37"/>
        <v>1.02</v>
      </c>
      <c r="AM95" s="159"/>
      <c r="AN95" s="160">
        <f t="shared" si="40"/>
        <v>1</v>
      </c>
      <c r="AO95" s="160">
        <f t="shared" si="40"/>
        <v>2</v>
      </c>
      <c r="AP95" s="133"/>
      <c r="AQ95" s="134"/>
      <c r="AR95" s="161"/>
      <c r="AS95" s="161"/>
      <c r="AT95" s="161"/>
      <c r="AU95" s="161"/>
      <c r="AV95" s="162"/>
      <c r="AW95" s="137">
        <f t="shared" si="38"/>
        <v>0</v>
      </c>
      <c r="AX95" s="137">
        <f t="shared" si="39"/>
        <v>0</v>
      </c>
    </row>
    <row r="96" ht="46.5" customHeight="1" spans="1:50" s="97" customFormat="1" x14ac:dyDescent="0.25">
      <c r="A96" s="100"/>
      <c r="B96" s="100"/>
      <c r="C96" s="100"/>
      <c r="D96" s="100"/>
      <c r="E96" s="100"/>
      <c r="F96" s="100"/>
      <c r="G96" s="103"/>
      <c r="H96" s="186"/>
      <c r="I96" s="195">
        <v>0.51</v>
      </c>
      <c r="J96" s="107">
        <v>0.49</v>
      </c>
      <c r="K96" s="107"/>
      <c r="L96" s="107"/>
      <c r="M96" s="187"/>
      <c r="N96" s="169">
        <f t="shared" si="28"/>
        <v>1</v>
      </c>
      <c r="O96" s="144">
        <v>1</v>
      </c>
      <c r="P96" s="145">
        <v>15</v>
      </c>
      <c r="Q96" s="113">
        <v>15</v>
      </c>
      <c r="R96" s="113"/>
      <c r="S96" s="113"/>
      <c r="T96" s="146"/>
      <c r="U96" s="148">
        <f t="shared" si="29"/>
        <v>15</v>
      </c>
      <c r="V96" s="149">
        <f t="shared" si="30"/>
        <v>15</v>
      </c>
      <c r="W96" s="189"/>
      <c r="X96" s="199"/>
      <c r="Y96" s="151"/>
      <c r="Z96" s="190"/>
      <c r="AA96" s="153"/>
      <c r="AB96" s="154">
        <f t="shared" si="31"/>
        <v>0</v>
      </c>
      <c r="AC96" s="149">
        <f t="shared" si="32"/>
        <v>0</v>
      </c>
      <c r="AD96" s="125">
        <v>2</v>
      </c>
      <c r="AE96" s="148">
        <f t="shared" si="33"/>
        <v>2</v>
      </c>
      <c r="AF96" s="156"/>
      <c r="AG96" s="156"/>
      <c r="AH96" s="113">
        <f t="shared" si="34"/>
        <v>17</v>
      </c>
      <c r="AI96" s="157">
        <v>65</v>
      </c>
      <c r="AJ96" s="113">
        <f t="shared" si="35"/>
        <v>82</v>
      </c>
      <c r="AK96" s="113">
        <f t="shared" si="36"/>
        <v>82</v>
      </c>
      <c r="AL96" s="158">
        <f t="shared" si="37"/>
        <v>1.02</v>
      </c>
      <c r="AM96" s="159"/>
      <c r="AN96" s="160">
        <f t="shared" si="40"/>
        <v>1</v>
      </c>
      <c r="AO96" s="160">
        <f t="shared" si="40"/>
        <v>2</v>
      </c>
      <c r="AP96" s="133"/>
      <c r="AQ96" s="134"/>
      <c r="AR96" s="161"/>
      <c r="AS96" s="161"/>
      <c r="AT96" s="161"/>
      <c r="AU96" s="161"/>
      <c r="AV96" s="162"/>
      <c r="AW96" s="137">
        <f t="shared" si="38"/>
        <v>0</v>
      </c>
      <c r="AX96" s="137">
        <f t="shared" si="39"/>
        <v>0</v>
      </c>
    </row>
    <row r="97" ht="46.5" customHeight="1" spans="1:50" s="97" customFormat="1" x14ac:dyDescent="0.25">
      <c r="A97" s="100"/>
      <c r="B97" s="100"/>
      <c r="C97" s="100"/>
      <c r="D97" s="100"/>
      <c r="E97" s="100"/>
      <c r="F97" s="100"/>
      <c r="G97" s="103"/>
      <c r="H97" s="186"/>
      <c r="I97" s="195">
        <v>0.51</v>
      </c>
      <c r="J97" s="107">
        <v>0.49</v>
      </c>
      <c r="K97" s="107"/>
      <c r="L97" s="107"/>
      <c r="M97" s="187"/>
      <c r="N97" s="169">
        <f t="shared" si="28"/>
        <v>1</v>
      </c>
      <c r="O97" s="144">
        <v>1</v>
      </c>
      <c r="P97" s="145">
        <v>15</v>
      </c>
      <c r="Q97" s="113">
        <v>15</v>
      </c>
      <c r="R97" s="113"/>
      <c r="S97" s="113"/>
      <c r="T97" s="146"/>
      <c r="U97" s="148">
        <f t="shared" si="29"/>
        <v>15</v>
      </c>
      <c r="V97" s="149">
        <f t="shared" si="30"/>
        <v>15</v>
      </c>
      <c r="W97" s="189"/>
      <c r="X97" s="199"/>
      <c r="Y97" s="151"/>
      <c r="Z97" s="190"/>
      <c r="AA97" s="153"/>
      <c r="AB97" s="154">
        <f t="shared" si="31"/>
        <v>0</v>
      </c>
      <c r="AC97" s="149">
        <f t="shared" si="32"/>
        <v>0</v>
      </c>
      <c r="AD97" s="125">
        <v>2</v>
      </c>
      <c r="AE97" s="148">
        <f t="shared" si="33"/>
        <v>2</v>
      </c>
      <c r="AF97" s="156"/>
      <c r="AG97" s="156"/>
      <c r="AH97" s="113">
        <f t="shared" si="34"/>
        <v>17</v>
      </c>
      <c r="AI97" s="157">
        <v>65</v>
      </c>
      <c r="AJ97" s="113">
        <f t="shared" si="35"/>
        <v>82</v>
      </c>
      <c r="AK97" s="113">
        <f t="shared" si="36"/>
        <v>82</v>
      </c>
      <c r="AL97" s="158">
        <f t="shared" si="37"/>
        <v>1.02</v>
      </c>
      <c r="AM97" s="159"/>
      <c r="AN97" s="160">
        <f t="shared" si="40"/>
        <v>1</v>
      </c>
      <c r="AO97" s="160">
        <f t="shared" si="40"/>
        <v>2</v>
      </c>
      <c r="AP97" s="133"/>
      <c r="AQ97" s="134"/>
      <c r="AR97" s="161"/>
      <c r="AS97" s="161"/>
      <c r="AT97" s="161"/>
      <c r="AU97" s="161"/>
      <c r="AV97" s="162"/>
      <c r="AW97" s="137">
        <f t="shared" si="38"/>
        <v>0</v>
      </c>
      <c r="AX97" s="137">
        <f t="shared" si="39"/>
        <v>0</v>
      </c>
    </row>
    <row r="98" ht="64.5" customHeight="1" spans="1:50" s="56" customFormat="1" x14ac:dyDescent="0.25">
      <c r="A98" s="100"/>
      <c r="B98" s="100"/>
      <c r="C98" s="100"/>
      <c r="D98" s="100"/>
      <c r="E98" s="100"/>
      <c r="F98" s="100"/>
      <c r="G98" s="103"/>
      <c r="H98" s="186"/>
      <c r="I98" s="195">
        <v>0.51</v>
      </c>
      <c r="J98" s="107">
        <v>0.49</v>
      </c>
      <c r="K98" s="107"/>
      <c r="L98" s="107"/>
      <c r="M98" s="187"/>
      <c r="N98" s="169">
        <f t="shared" si="28"/>
        <v>1</v>
      </c>
      <c r="O98" s="144">
        <v>1</v>
      </c>
      <c r="P98" s="145">
        <v>15</v>
      </c>
      <c r="Q98" s="113">
        <v>15</v>
      </c>
      <c r="R98" s="113"/>
      <c r="S98" s="113"/>
      <c r="T98" s="146"/>
      <c r="U98" s="148">
        <f t="shared" si="29"/>
        <v>15</v>
      </c>
      <c r="V98" s="149">
        <f t="shared" si="30"/>
        <v>15</v>
      </c>
      <c r="W98" s="189"/>
      <c r="X98" s="199"/>
      <c r="Y98" s="151"/>
      <c r="Z98" s="190"/>
      <c r="AA98" s="153"/>
      <c r="AB98" s="154">
        <f t="shared" si="31"/>
        <v>0</v>
      </c>
      <c r="AC98" s="149">
        <f t="shared" si="32"/>
        <v>0</v>
      </c>
      <c r="AD98" s="125">
        <v>2</v>
      </c>
      <c r="AE98" s="148">
        <f t="shared" si="33"/>
        <v>2</v>
      </c>
      <c r="AF98" s="156"/>
      <c r="AG98" s="156"/>
      <c r="AH98" s="113">
        <f t="shared" si="34"/>
        <v>17</v>
      </c>
      <c r="AI98" s="157">
        <v>65</v>
      </c>
      <c r="AJ98" s="113">
        <f t="shared" si="35"/>
        <v>82</v>
      </c>
      <c r="AK98" s="113">
        <f t="shared" si="36"/>
        <v>82</v>
      </c>
      <c r="AL98" s="158">
        <f t="shared" si="37"/>
        <v>1.02</v>
      </c>
      <c r="AM98" s="159"/>
      <c r="AN98" s="160">
        <f t="shared" si="40"/>
        <v>1</v>
      </c>
      <c r="AO98" s="160">
        <f t="shared" si="40"/>
        <v>2</v>
      </c>
      <c r="AP98" s="133"/>
      <c r="AQ98" s="134"/>
      <c r="AR98" s="161"/>
      <c r="AS98" s="161"/>
      <c r="AT98" s="161"/>
      <c r="AU98" s="161"/>
      <c r="AV98" s="162"/>
      <c r="AW98" s="137">
        <f t="shared" si="38"/>
        <v>0</v>
      </c>
      <c r="AX98" s="137">
        <f t="shared" si="39"/>
        <v>0</v>
      </c>
    </row>
    <row r="99" ht="46.5" customHeight="1" spans="1:50" s="97" customFormat="1" x14ac:dyDescent="0.25">
      <c r="A99" s="100"/>
      <c r="B99" s="100"/>
      <c r="C99" s="100"/>
      <c r="D99" s="100"/>
      <c r="E99" s="100"/>
      <c r="F99" s="100"/>
      <c r="G99" s="103"/>
      <c r="H99" s="186"/>
      <c r="I99" s="195">
        <v>0.51</v>
      </c>
      <c r="J99" s="107">
        <v>0.49</v>
      </c>
      <c r="K99" s="107"/>
      <c r="L99" s="107"/>
      <c r="M99" s="187"/>
      <c r="N99" s="169">
        <f t="shared" si="28"/>
        <v>1</v>
      </c>
      <c r="O99" s="144">
        <v>1</v>
      </c>
      <c r="P99" s="145">
        <v>15</v>
      </c>
      <c r="Q99" s="113">
        <v>15</v>
      </c>
      <c r="R99" s="113"/>
      <c r="S99" s="113"/>
      <c r="T99" s="146"/>
      <c r="U99" s="148">
        <f t="shared" si="29"/>
        <v>15</v>
      </c>
      <c r="V99" s="149">
        <f t="shared" si="30"/>
        <v>15</v>
      </c>
      <c r="W99" s="189"/>
      <c r="X99" s="199"/>
      <c r="Y99" s="151"/>
      <c r="Z99" s="190"/>
      <c r="AA99" s="153"/>
      <c r="AB99" s="154">
        <f t="shared" si="31"/>
        <v>0</v>
      </c>
      <c r="AC99" s="149">
        <f t="shared" si="32"/>
        <v>0</v>
      </c>
      <c r="AD99" s="125">
        <v>2</v>
      </c>
      <c r="AE99" s="148">
        <f t="shared" si="33"/>
        <v>2</v>
      </c>
      <c r="AF99" s="156"/>
      <c r="AG99" s="156"/>
      <c r="AH99" s="113">
        <f t="shared" si="34"/>
        <v>17</v>
      </c>
      <c r="AI99" s="157">
        <v>65</v>
      </c>
      <c r="AJ99" s="113">
        <f t="shared" si="35"/>
        <v>82</v>
      </c>
      <c r="AK99" s="113">
        <f t="shared" si="36"/>
        <v>82</v>
      </c>
      <c r="AL99" s="158">
        <f t="shared" si="37"/>
        <v>1.02</v>
      </c>
      <c r="AM99" s="159"/>
      <c r="AN99" s="160">
        <f t="shared" si="40"/>
        <v>1</v>
      </c>
      <c r="AO99" s="160">
        <f t="shared" si="40"/>
        <v>2</v>
      </c>
      <c r="AP99" s="133"/>
      <c r="AQ99" s="134"/>
      <c r="AR99" s="161"/>
      <c r="AS99" s="161"/>
      <c r="AT99" s="161"/>
      <c r="AU99" s="161"/>
      <c r="AV99" s="162"/>
      <c r="AW99" s="137">
        <f t="shared" si="38"/>
        <v>0</v>
      </c>
      <c r="AX99" s="137">
        <f t="shared" si="39"/>
        <v>0</v>
      </c>
    </row>
    <row r="100" ht="46.5" customHeight="1" spans="1:50" s="97" customFormat="1" x14ac:dyDescent="0.25">
      <c r="A100" s="100"/>
      <c r="B100" s="100"/>
      <c r="C100" s="100"/>
      <c r="D100" s="100"/>
      <c r="E100" s="100"/>
      <c r="F100" s="100"/>
      <c r="G100" s="103"/>
      <c r="H100" s="186"/>
      <c r="I100" s="195">
        <v>0.51</v>
      </c>
      <c r="J100" s="107">
        <v>0.49</v>
      </c>
      <c r="K100" s="107"/>
      <c r="L100" s="107"/>
      <c r="M100" s="187"/>
      <c r="N100" s="169">
        <f t="shared" si="28"/>
        <v>1</v>
      </c>
      <c r="O100" s="144">
        <v>1</v>
      </c>
      <c r="P100" s="145">
        <v>15</v>
      </c>
      <c r="Q100" s="113">
        <v>15</v>
      </c>
      <c r="R100" s="113"/>
      <c r="S100" s="113"/>
      <c r="T100" s="146"/>
      <c r="U100" s="148">
        <f t="shared" si="29"/>
        <v>15</v>
      </c>
      <c r="V100" s="149">
        <f t="shared" si="30"/>
        <v>15</v>
      </c>
      <c r="W100" s="189"/>
      <c r="X100" s="199"/>
      <c r="Y100" s="151"/>
      <c r="Z100" s="190"/>
      <c r="AA100" s="153"/>
      <c r="AB100" s="154">
        <f t="shared" si="31"/>
        <v>0</v>
      </c>
      <c r="AC100" s="149">
        <f t="shared" si="32"/>
        <v>0</v>
      </c>
      <c r="AD100" s="125">
        <v>2</v>
      </c>
      <c r="AE100" s="148">
        <f t="shared" si="33"/>
        <v>2</v>
      </c>
      <c r="AF100" s="156"/>
      <c r="AG100" s="156"/>
      <c r="AH100" s="113">
        <f t="shared" si="34"/>
        <v>17</v>
      </c>
      <c r="AI100" s="157">
        <v>65</v>
      </c>
      <c r="AJ100" s="113">
        <f t="shared" si="35"/>
        <v>82</v>
      </c>
      <c r="AK100" s="113">
        <f t="shared" si="36"/>
        <v>82</v>
      </c>
      <c r="AL100" s="158">
        <f t="shared" si="37"/>
        <v>1.02</v>
      </c>
      <c r="AM100" s="159"/>
      <c r="AN100" s="160">
        <f t="shared" si="40"/>
        <v>1</v>
      </c>
      <c r="AO100" s="160">
        <f t="shared" si="40"/>
        <v>2</v>
      </c>
      <c r="AP100" s="133"/>
      <c r="AQ100" s="134"/>
      <c r="AR100" s="161"/>
      <c r="AS100" s="161"/>
      <c r="AT100" s="161"/>
      <c r="AU100" s="161"/>
      <c r="AV100" s="162"/>
      <c r="AW100" s="137">
        <f t="shared" si="38"/>
        <v>0</v>
      </c>
      <c r="AX100" s="137">
        <f t="shared" si="39"/>
        <v>0</v>
      </c>
    </row>
    <row r="101" ht="46.5" customHeight="1" spans="1:50" s="97" customFormat="1" x14ac:dyDescent="0.25">
      <c r="A101" s="100"/>
      <c r="B101" s="100"/>
      <c r="C101" s="100"/>
      <c r="D101" s="100"/>
      <c r="E101" s="100"/>
      <c r="F101" s="100"/>
      <c r="G101" s="103"/>
      <c r="H101" s="186"/>
      <c r="I101" s="195">
        <v>0.51</v>
      </c>
      <c r="J101" s="107">
        <v>0.49</v>
      </c>
      <c r="K101" s="107"/>
      <c r="L101" s="107"/>
      <c r="M101" s="187"/>
      <c r="N101" s="169">
        <f t="shared" si="28"/>
        <v>1</v>
      </c>
      <c r="O101" s="144">
        <v>1</v>
      </c>
      <c r="P101" s="145">
        <v>15</v>
      </c>
      <c r="Q101" s="113">
        <v>15</v>
      </c>
      <c r="R101" s="113"/>
      <c r="S101" s="113"/>
      <c r="T101" s="146"/>
      <c r="U101" s="148">
        <f t="shared" si="29"/>
        <v>15</v>
      </c>
      <c r="V101" s="149">
        <f t="shared" si="30"/>
        <v>15</v>
      </c>
      <c r="W101" s="189"/>
      <c r="X101" s="199"/>
      <c r="Y101" s="151"/>
      <c r="Z101" s="190"/>
      <c r="AA101" s="153"/>
      <c r="AB101" s="154">
        <f t="shared" si="31"/>
        <v>0</v>
      </c>
      <c r="AC101" s="149">
        <f t="shared" si="32"/>
        <v>0</v>
      </c>
      <c r="AD101" s="125">
        <v>2</v>
      </c>
      <c r="AE101" s="148">
        <f t="shared" si="33"/>
        <v>2</v>
      </c>
      <c r="AF101" s="156"/>
      <c r="AG101" s="156"/>
      <c r="AH101" s="113">
        <f t="shared" si="34"/>
        <v>17</v>
      </c>
      <c r="AI101" s="157">
        <v>65</v>
      </c>
      <c r="AJ101" s="113">
        <f t="shared" si="35"/>
        <v>82</v>
      </c>
      <c r="AK101" s="113">
        <f t="shared" si="36"/>
        <v>82</v>
      </c>
      <c r="AL101" s="158">
        <f t="shared" si="37"/>
        <v>1.02</v>
      </c>
      <c r="AM101" s="159"/>
      <c r="AN101" s="160">
        <f t="shared" si="40"/>
        <v>1</v>
      </c>
      <c r="AO101" s="160">
        <f t="shared" si="40"/>
        <v>2</v>
      </c>
      <c r="AP101" s="133"/>
      <c r="AQ101" s="134"/>
      <c r="AR101" s="161"/>
      <c r="AS101" s="161"/>
      <c r="AT101" s="161"/>
      <c r="AU101" s="161"/>
      <c r="AV101" s="162"/>
      <c r="AW101" s="137">
        <f t="shared" si="38"/>
        <v>0</v>
      </c>
      <c r="AX101" s="137">
        <f t="shared" si="39"/>
        <v>0</v>
      </c>
    </row>
    <row r="102" ht="47.25" customHeight="1" spans="1:50" s="97" customFormat="1" x14ac:dyDescent="0.25">
      <c r="A102" s="100"/>
      <c r="B102" s="100"/>
      <c r="C102" s="100"/>
      <c r="D102" s="100"/>
      <c r="E102" s="100"/>
      <c r="F102" s="100"/>
      <c r="G102" s="103"/>
      <c r="H102" s="186"/>
      <c r="I102" s="195">
        <v>0.51</v>
      </c>
      <c r="J102" s="107">
        <v>0.49</v>
      </c>
      <c r="K102" s="107"/>
      <c r="L102" s="107"/>
      <c r="M102" s="187"/>
      <c r="N102" s="169">
        <f t="shared" si="28"/>
        <v>1</v>
      </c>
      <c r="O102" s="144">
        <v>1</v>
      </c>
      <c r="P102" s="145">
        <v>15</v>
      </c>
      <c r="Q102" s="113">
        <v>15</v>
      </c>
      <c r="R102" s="113"/>
      <c r="S102" s="113"/>
      <c r="T102" s="146"/>
      <c r="U102" s="148">
        <f t="shared" si="29"/>
        <v>15</v>
      </c>
      <c r="V102" s="149">
        <f t="shared" si="30"/>
        <v>15</v>
      </c>
      <c r="W102" s="189"/>
      <c r="X102" s="199"/>
      <c r="Y102" s="151"/>
      <c r="Z102" s="190"/>
      <c r="AA102" s="153"/>
      <c r="AB102" s="154">
        <f t="shared" si="31"/>
        <v>0</v>
      </c>
      <c r="AC102" s="149">
        <f t="shared" si="32"/>
        <v>0</v>
      </c>
      <c r="AD102" s="125">
        <v>2</v>
      </c>
      <c r="AE102" s="148">
        <f t="shared" si="33"/>
        <v>2</v>
      </c>
      <c r="AF102" s="156"/>
      <c r="AG102" s="156"/>
      <c r="AH102" s="113">
        <f t="shared" si="34"/>
        <v>17</v>
      </c>
      <c r="AI102" s="157">
        <v>65</v>
      </c>
      <c r="AJ102" s="113">
        <f t="shared" si="35"/>
        <v>82</v>
      </c>
      <c r="AK102" s="113">
        <f t="shared" si="36"/>
        <v>82</v>
      </c>
      <c r="AL102" s="158">
        <f t="shared" si="37"/>
        <v>1.02</v>
      </c>
      <c r="AM102" s="159"/>
      <c r="AN102" s="160">
        <f t="shared" si="40"/>
        <v>1</v>
      </c>
      <c r="AO102" s="160">
        <f t="shared" si="40"/>
        <v>2</v>
      </c>
      <c r="AP102" s="133"/>
      <c r="AQ102" s="134"/>
      <c r="AR102" s="161"/>
      <c r="AS102" s="161"/>
      <c r="AT102" s="161"/>
      <c r="AU102" s="161"/>
      <c r="AV102" s="162"/>
      <c r="AW102" s="137">
        <f t="shared" si="38"/>
        <v>0</v>
      </c>
      <c r="AX102" s="137">
        <f t="shared" si="39"/>
        <v>0</v>
      </c>
    </row>
    <row r="103" ht="46.5" customHeight="1" spans="1:50" s="97" customFormat="1" x14ac:dyDescent="0.25">
      <c r="A103" s="100"/>
      <c r="B103" s="100"/>
      <c r="C103" s="100"/>
      <c r="D103" s="100"/>
      <c r="E103" s="100"/>
      <c r="F103" s="100"/>
      <c r="G103" s="103"/>
      <c r="H103" s="186"/>
      <c r="I103" s="195">
        <v>0.51</v>
      </c>
      <c r="J103" s="107">
        <v>0.49</v>
      </c>
      <c r="K103" s="107"/>
      <c r="L103" s="107"/>
      <c r="M103" s="187"/>
      <c r="N103" s="169">
        <f t="shared" si="28"/>
        <v>1</v>
      </c>
      <c r="O103" s="144">
        <v>1</v>
      </c>
      <c r="P103" s="145">
        <v>15</v>
      </c>
      <c r="Q103" s="113">
        <v>15</v>
      </c>
      <c r="R103" s="113"/>
      <c r="S103" s="113"/>
      <c r="T103" s="146"/>
      <c r="U103" s="148">
        <f t="shared" si="29"/>
        <v>15</v>
      </c>
      <c r="V103" s="149">
        <f t="shared" si="30"/>
        <v>15</v>
      </c>
      <c r="W103" s="189"/>
      <c r="X103" s="199"/>
      <c r="Y103" s="151"/>
      <c r="Z103" s="190"/>
      <c r="AA103" s="153"/>
      <c r="AB103" s="154">
        <f t="shared" si="31"/>
        <v>0</v>
      </c>
      <c r="AC103" s="149">
        <f t="shared" si="32"/>
        <v>0</v>
      </c>
      <c r="AD103" s="125">
        <v>2</v>
      </c>
      <c r="AE103" s="148">
        <f t="shared" si="33"/>
        <v>2</v>
      </c>
      <c r="AF103" s="156"/>
      <c r="AG103" s="156"/>
      <c r="AH103" s="113">
        <f t="shared" si="34"/>
        <v>17</v>
      </c>
      <c r="AI103" s="157">
        <v>65</v>
      </c>
      <c r="AJ103" s="113">
        <f t="shared" si="35"/>
        <v>82</v>
      </c>
      <c r="AK103" s="113">
        <f t="shared" si="36"/>
        <v>82</v>
      </c>
      <c r="AL103" s="158">
        <f t="shared" si="37"/>
        <v>1.02</v>
      </c>
      <c r="AM103" s="159"/>
      <c r="AN103" s="160">
        <f t="shared" si="40"/>
        <v>1</v>
      </c>
      <c r="AO103" s="160">
        <f t="shared" si="40"/>
        <v>2</v>
      </c>
      <c r="AP103" s="133"/>
      <c r="AQ103" s="134"/>
      <c r="AR103" s="161"/>
      <c r="AS103" s="161"/>
      <c r="AT103" s="161"/>
      <c r="AU103" s="161"/>
      <c r="AV103" s="162"/>
      <c r="AW103" s="137">
        <f t="shared" si="38"/>
        <v>0</v>
      </c>
      <c r="AX103" s="137">
        <f t="shared" si="39"/>
        <v>0</v>
      </c>
    </row>
    <row r="104" ht="46.5" customHeight="1" spans="1:50" s="97" customFormat="1" x14ac:dyDescent="0.25">
      <c r="A104" s="100"/>
      <c r="B104" s="100"/>
      <c r="C104" s="100"/>
      <c r="D104" s="100"/>
      <c r="E104" s="100"/>
      <c r="F104" s="100"/>
      <c r="G104" s="103"/>
      <c r="H104" s="186"/>
      <c r="I104" s="195">
        <v>0.51</v>
      </c>
      <c r="J104" s="107">
        <v>0.49</v>
      </c>
      <c r="K104" s="107"/>
      <c r="L104" s="107"/>
      <c r="M104" s="187"/>
      <c r="N104" s="169">
        <f t="shared" si="28"/>
        <v>1</v>
      </c>
      <c r="O104" s="144">
        <v>1</v>
      </c>
      <c r="P104" s="145">
        <v>15</v>
      </c>
      <c r="Q104" s="113">
        <v>15</v>
      </c>
      <c r="R104" s="113"/>
      <c r="S104" s="113"/>
      <c r="T104" s="146"/>
      <c r="U104" s="148">
        <f t="shared" si="29"/>
        <v>15</v>
      </c>
      <c r="V104" s="149">
        <f t="shared" si="30"/>
        <v>15</v>
      </c>
      <c r="W104" s="189"/>
      <c r="X104" s="199"/>
      <c r="Y104" s="151"/>
      <c r="Z104" s="190"/>
      <c r="AA104" s="153"/>
      <c r="AB104" s="154">
        <f t="shared" si="31"/>
        <v>0</v>
      </c>
      <c r="AC104" s="149">
        <f t="shared" si="32"/>
        <v>0</v>
      </c>
      <c r="AD104" s="125">
        <v>2</v>
      </c>
      <c r="AE104" s="148">
        <f t="shared" si="33"/>
        <v>2</v>
      </c>
      <c r="AF104" s="156"/>
      <c r="AG104" s="156"/>
      <c r="AH104" s="113">
        <f t="shared" si="34"/>
        <v>17</v>
      </c>
      <c r="AI104" s="157">
        <v>65</v>
      </c>
      <c r="AJ104" s="113">
        <f t="shared" si="35"/>
        <v>82</v>
      </c>
      <c r="AK104" s="113">
        <f t="shared" si="36"/>
        <v>82</v>
      </c>
      <c r="AL104" s="158">
        <f t="shared" si="37"/>
        <v>1.02</v>
      </c>
      <c r="AM104" s="159"/>
      <c r="AN104" s="160">
        <f t="shared" si="40"/>
        <v>1</v>
      </c>
      <c r="AO104" s="160">
        <f t="shared" si="40"/>
        <v>2</v>
      </c>
      <c r="AP104" s="133"/>
      <c r="AQ104" s="134"/>
      <c r="AR104" s="161"/>
      <c r="AS104" s="161"/>
      <c r="AT104" s="161"/>
      <c r="AU104" s="161"/>
      <c r="AV104" s="162"/>
      <c r="AW104" s="137">
        <f t="shared" si="38"/>
        <v>0</v>
      </c>
      <c r="AX104" s="137">
        <f t="shared" si="39"/>
        <v>0</v>
      </c>
    </row>
    <row r="105" ht="46.5" customHeight="1" spans="1:50" s="97" customFormat="1" x14ac:dyDescent="0.25">
      <c r="A105" s="100"/>
      <c r="B105" s="100"/>
      <c r="C105" s="100"/>
      <c r="D105" s="100"/>
      <c r="E105" s="100"/>
      <c r="F105" s="100"/>
      <c r="G105" s="103"/>
      <c r="H105" s="186"/>
      <c r="I105" s="195">
        <v>0.51</v>
      </c>
      <c r="J105" s="107">
        <v>0.49</v>
      </c>
      <c r="K105" s="107"/>
      <c r="L105" s="107"/>
      <c r="M105" s="187"/>
      <c r="N105" s="169">
        <f t="shared" si="28"/>
        <v>1</v>
      </c>
      <c r="O105" s="144">
        <v>1</v>
      </c>
      <c r="P105" s="145">
        <v>15</v>
      </c>
      <c r="Q105" s="113">
        <v>15</v>
      </c>
      <c r="R105" s="113"/>
      <c r="S105" s="113"/>
      <c r="T105" s="146"/>
      <c r="U105" s="148">
        <f t="shared" si="29"/>
        <v>15</v>
      </c>
      <c r="V105" s="149">
        <f t="shared" si="30"/>
        <v>15</v>
      </c>
      <c r="W105" s="189"/>
      <c r="X105" s="199"/>
      <c r="Y105" s="151"/>
      <c r="Z105" s="190"/>
      <c r="AA105" s="153"/>
      <c r="AB105" s="154">
        <f t="shared" si="31"/>
        <v>0</v>
      </c>
      <c r="AC105" s="149">
        <f t="shared" si="32"/>
        <v>0</v>
      </c>
      <c r="AD105" s="125">
        <v>2</v>
      </c>
      <c r="AE105" s="148">
        <f t="shared" si="33"/>
        <v>2</v>
      </c>
      <c r="AF105" s="156"/>
      <c r="AG105" s="156"/>
      <c r="AH105" s="113">
        <f t="shared" si="34"/>
        <v>17</v>
      </c>
      <c r="AI105" s="157">
        <v>65</v>
      </c>
      <c r="AJ105" s="113">
        <f t="shared" si="35"/>
        <v>82</v>
      </c>
      <c r="AK105" s="113">
        <f t="shared" si="36"/>
        <v>82</v>
      </c>
      <c r="AL105" s="158">
        <f t="shared" si="37"/>
        <v>1.02</v>
      </c>
      <c r="AM105" s="159"/>
      <c r="AN105" s="160">
        <f t="shared" si="40"/>
        <v>1</v>
      </c>
      <c r="AO105" s="160">
        <f t="shared" si="40"/>
        <v>2</v>
      </c>
      <c r="AP105" s="133"/>
      <c r="AQ105" s="134"/>
      <c r="AR105" s="161"/>
      <c r="AS105" s="161"/>
      <c r="AT105" s="161"/>
      <c r="AU105" s="161"/>
      <c r="AV105" s="162"/>
      <c r="AW105" s="137">
        <f t="shared" si="38"/>
        <v>0</v>
      </c>
      <c r="AX105" s="137">
        <f t="shared" si="39"/>
        <v>0</v>
      </c>
    </row>
    <row r="106" ht="46.5" customHeight="1" spans="1:50" s="97" customFormat="1" x14ac:dyDescent="0.25">
      <c r="A106" s="100"/>
      <c r="B106" s="100"/>
      <c r="C106" s="100"/>
      <c r="D106" s="100"/>
      <c r="E106" s="100"/>
      <c r="F106" s="100"/>
      <c r="G106" s="103"/>
      <c r="H106" s="186"/>
      <c r="I106" s="195">
        <v>0.51</v>
      </c>
      <c r="J106" s="107">
        <v>0.49</v>
      </c>
      <c r="K106" s="107"/>
      <c r="L106" s="107"/>
      <c r="M106" s="187"/>
      <c r="N106" s="169">
        <f t="shared" si="28"/>
        <v>1</v>
      </c>
      <c r="O106" s="144">
        <v>1</v>
      </c>
      <c r="P106" s="145">
        <v>15</v>
      </c>
      <c r="Q106" s="113">
        <v>15</v>
      </c>
      <c r="R106" s="113"/>
      <c r="S106" s="113"/>
      <c r="T106" s="146"/>
      <c r="U106" s="148">
        <f t="shared" si="29"/>
        <v>15</v>
      </c>
      <c r="V106" s="149">
        <f t="shared" si="30"/>
        <v>15</v>
      </c>
      <c r="W106" s="189"/>
      <c r="X106" s="199"/>
      <c r="Y106" s="151"/>
      <c r="Z106" s="190"/>
      <c r="AA106" s="153"/>
      <c r="AB106" s="154">
        <f t="shared" si="31"/>
        <v>0</v>
      </c>
      <c r="AC106" s="149">
        <f t="shared" si="32"/>
        <v>0</v>
      </c>
      <c r="AD106" s="125">
        <v>2</v>
      </c>
      <c r="AE106" s="148">
        <f t="shared" si="33"/>
        <v>2</v>
      </c>
      <c r="AF106" s="156"/>
      <c r="AG106" s="156"/>
      <c r="AH106" s="113">
        <f t="shared" si="34"/>
        <v>17</v>
      </c>
      <c r="AI106" s="157">
        <v>65</v>
      </c>
      <c r="AJ106" s="113">
        <f t="shared" si="35"/>
        <v>82</v>
      </c>
      <c r="AK106" s="113">
        <f t="shared" si="36"/>
        <v>82</v>
      </c>
      <c r="AL106" s="158">
        <f t="shared" si="37"/>
        <v>1.02</v>
      </c>
      <c r="AM106" s="159"/>
      <c r="AN106" s="160">
        <f t="shared" si="40"/>
        <v>1</v>
      </c>
      <c r="AO106" s="160">
        <f t="shared" si="40"/>
        <v>2</v>
      </c>
      <c r="AP106" s="133"/>
      <c r="AQ106" s="134"/>
      <c r="AR106" s="161"/>
      <c r="AS106" s="161"/>
      <c r="AT106" s="161"/>
      <c r="AU106" s="161"/>
      <c r="AV106" s="162"/>
      <c r="AW106" s="137">
        <f t="shared" si="38"/>
        <v>0</v>
      </c>
      <c r="AX106" s="137">
        <f t="shared" si="39"/>
        <v>0</v>
      </c>
    </row>
    <row r="107" ht="47.25" customHeight="1" spans="1:50" s="56" customFormat="1" x14ac:dyDescent="0.25">
      <c r="A107" s="100"/>
      <c r="B107" s="100"/>
      <c r="C107" s="100"/>
      <c r="D107" s="100"/>
      <c r="E107" s="100"/>
      <c r="F107" s="100"/>
      <c r="G107" s="103"/>
      <c r="H107" s="186"/>
      <c r="I107" s="195">
        <v>0.51</v>
      </c>
      <c r="J107" s="107">
        <v>0.49</v>
      </c>
      <c r="K107" s="107"/>
      <c r="L107" s="107"/>
      <c r="M107" s="187"/>
      <c r="N107" s="169">
        <f t="shared" ref="N107:N136" si="41">SUM(I107:M107)</f>
        <v>1</v>
      </c>
      <c r="O107" s="144">
        <v>1</v>
      </c>
      <c r="P107" s="145">
        <v>15</v>
      </c>
      <c r="Q107" s="113">
        <v>15</v>
      </c>
      <c r="R107" s="113"/>
      <c r="S107" s="113"/>
      <c r="T107" s="146"/>
      <c r="U107" s="148">
        <f t="shared" ref="U107:U136" si="42">ROUND(((P107*I107)+(Q107*J107)+(R107*K107)+(S107*L107)+(T107*M107))*O107,2)</f>
        <v>15</v>
      </c>
      <c r="V107" s="149">
        <f t="shared" ref="V107:V136" si="43">IF(U107&gt;=15,15,U107)</f>
        <v>15</v>
      </c>
      <c r="W107" s="189"/>
      <c r="X107" s="199"/>
      <c r="Y107" s="151"/>
      <c r="Z107" s="190"/>
      <c r="AA107" s="153"/>
      <c r="AB107" s="154">
        <f t="shared" ref="AB107:AB136" si="44">ROUND((((W107*I107)+(X107*J107)+(Y107*K107)+(Z107*L107)+(AA107*M107))/$I$2),2)*13</f>
        <v>0</v>
      </c>
      <c r="AC107" s="149">
        <f t="shared" ref="AC107:AC136" si="45">IF(AB107&gt;=13,13,AB107)</f>
        <v>0</v>
      </c>
      <c r="AD107" s="125">
        <v>2</v>
      </c>
      <c r="AE107" s="148">
        <f t="shared" ref="AE107:AE136" si="46">IF((AC107+AD107)&gt;=15,15,(AC107+AD107))</f>
        <v>2</v>
      </c>
      <c r="AF107" s="156"/>
      <c r="AG107" s="156"/>
      <c r="AH107" s="113">
        <f t="shared" ref="AH107:AH136" si="47">IF((V107+AE107+AF107)&gt;=30,30,(V107+AE107+AF107))</f>
        <v>17</v>
      </c>
      <c r="AI107" s="157">
        <v>65</v>
      </c>
      <c r="AJ107" s="113">
        <f t="shared" ref="AJ107:AJ136" si="48">V107+AE107+AF107+AI107+AG107</f>
        <v>82</v>
      </c>
      <c r="AK107" s="113">
        <f t="shared" ref="AK107:AK136" si="49">IF(AH107+AI107+AG107&gt;=95,95,AH107+AI107+AG107)</f>
        <v>82</v>
      </c>
      <c r="AL107" s="158">
        <f t="shared" ref="AL107:AL136" si="50">-((50-((176+(45+(50-AH107)))))/200)</f>
        <v>1.02</v>
      </c>
      <c r="AM107" s="159"/>
      <c r="AN107" s="160">
        <f t="shared" si="40"/>
        <v>1</v>
      </c>
      <c r="AO107" s="160">
        <f t="shared" si="40"/>
        <v>2</v>
      </c>
      <c r="AP107" s="133"/>
      <c r="AQ107" s="134"/>
      <c r="AR107" s="161"/>
      <c r="AS107" s="161"/>
      <c r="AT107" s="161"/>
      <c r="AU107" s="161"/>
      <c r="AV107" s="162"/>
      <c r="AW107" s="137">
        <f t="shared" ref="AW107:AW136" si="51">AR107+AS107+AT107+AU107+AV107</f>
        <v>0</v>
      </c>
      <c r="AX107" s="137">
        <f t="shared" ref="AX107:AX136" si="52">(AR107*I107)+(AS107*J107)+(AT107*K107)+(AU107*L107)+(AV107*M107)</f>
        <v>0</v>
      </c>
    </row>
    <row r="108" ht="57" customHeight="1" spans="1:50" s="97" customFormat="1" x14ac:dyDescent="0.25">
      <c r="A108" s="100"/>
      <c r="B108" s="100"/>
      <c r="C108" s="100"/>
      <c r="D108" s="100"/>
      <c r="E108" s="100"/>
      <c r="F108" s="100"/>
      <c r="G108" s="103"/>
      <c r="H108" s="186"/>
      <c r="I108" s="195">
        <v>0.51</v>
      </c>
      <c r="J108" s="107">
        <v>0.49</v>
      </c>
      <c r="K108" s="107"/>
      <c r="L108" s="107"/>
      <c r="M108" s="187"/>
      <c r="N108" s="169">
        <f t="shared" si="41"/>
        <v>1</v>
      </c>
      <c r="O108" s="144">
        <v>1</v>
      </c>
      <c r="P108" s="145">
        <v>15</v>
      </c>
      <c r="Q108" s="113">
        <v>15</v>
      </c>
      <c r="R108" s="113"/>
      <c r="S108" s="113"/>
      <c r="T108" s="146"/>
      <c r="U108" s="148">
        <f t="shared" si="42"/>
        <v>15</v>
      </c>
      <c r="V108" s="149">
        <f t="shared" si="43"/>
        <v>15</v>
      </c>
      <c r="W108" s="189"/>
      <c r="X108" s="199"/>
      <c r="Y108" s="151"/>
      <c r="Z108" s="190"/>
      <c r="AA108" s="153"/>
      <c r="AB108" s="154">
        <f t="shared" si="44"/>
        <v>0</v>
      </c>
      <c r="AC108" s="149">
        <f t="shared" si="45"/>
        <v>0</v>
      </c>
      <c r="AD108" s="125">
        <v>2</v>
      </c>
      <c r="AE108" s="148">
        <f t="shared" si="46"/>
        <v>2</v>
      </c>
      <c r="AF108" s="156"/>
      <c r="AG108" s="156"/>
      <c r="AH108" s="113">
        <f t="shared" si="47"/>
        <v>17</v>
      </c>
      <c r="AI108" s="157">
        <v>65</v>
      </c>
      <c r="AJ108" s="113">
        <f t="shared" si="48"/>
        <v>82</v>
      </c>
      <c r="AK108" s="113">
        <f t="shared" si="49"/>
        <v>82</v>
      </c>
      <c r="AL108" s="158">
        <f t="shared" si="50"/>
        <v>1.02</v>
      </c>
      <c r="AM108" s="159"/>
      <c r="AN108" s="160">
        <f t="shared" si="40"/>
        <v>1</v>
      </c>
      <c r="AO108" s="160">
        <f t="shared" si="40"/>
        <v>2</v>
      </c>
      <c r="AP108" s="133"/>
      <c r="AQ108" s="134"/>
      <c r="AR108" s="161"/>
      <c r="AS108" s="161"/>
      <c r="AT108" s="161"/>
      <c r="AU108" s="161"/>
      <c r="AV108" s="162"/>
      <c r="AW108" s="137">
        <f t="shared" si="51"/>
        <v>0</v>
      </c>
      <c r="AX108" s="137">
        <f t="shared" si="52"/>
        <v>0</v>
      </c>
    </row>
    <row r="109" ht="46.5" customHeight="1" spans="1:50" s="97" customFormat="1" x14ac:dyDescent="0.25">
      <c r="A109" s="100"/>
      <c r="B109" s="100"/>
      <c r="C109" s="100"/>
      <c r="D109" s="100"/>
      <c r="E109" s="100"/>
      <c r="F109" s="100"/>
      <c r="G109" s="103"/>
      <c r="H109" s="186"/>
      <c r="I109" s="195">
        <v>0.51</v>
      </c>
      <c r="J109" s="107">
        <v>0.49</v>
      </c>
      <c r="K109" s="107"/>
      <c r="L109" s="107"/>
      <c r="M109" s="187"/>
      <c r="N109" s="169">
        <f t="shared" si="41"/>
        <v>1</v>
      </c>
      <c r="O109" s="144">
        <v>1</v>
      </c>
      <c r="P109" s="145">
        <v>15</v>
      </c>
      <c r="Q109" s="113">
        <v>15</v>
      </c>
      <c r="R109" s="113"/>
      <c r="S109" s="113"/>
      <c r="T109" s="146"/>
      <c r="U109" s="148">
        <f t="shared" si="42"/>
        <v>15</v>
      </c>
      <c r="V109" s="149">
        <f t="shared" si="43"/>
        <v>15</v>
      </c>
      <c r="W109" s="189"/>
      <c r="X109" s="199"/>
      <c r="Y109" s="151"/>
      <c r="Z109" s="190"/>
      <c r="AA109" s="153"/>
      <c r="AB109" s="154">
        <f t="shared" si="44"/>
        <v>0</v>
      </c>
      <c r="AC109" s="149">
        <f t="shared" si="45"/>
        <v>0</v>
      </c>
      <c r="AD109" s="125">
        <v>2</v>
      </c>
      <c r="AE109" s="148">
        <f t="shared" si="46"/>
        <v>2</v>
      </c>
      <c r="AF109" s="156"/>
      <c r="AG109" s="156"/>
      <c r="AH109" s="113">
        <f t="shared" si="47"/>
        <v>17</v>
      </c>
      <c r="AI109" s="157">
        <v>65</v>
      </c>
      <c r="AJ109" s="113">
        <f t="shared" si="48"/>
        <v>82</v>
      </c>
      <c r="AK109" s="113">
        <f t="shared" si="49"/>
        <v>82</v>
      </c>
      <c r="AL109" s="158">
        <f t="shared" si="50"/>
        <v>1.02</v>
      </c>
      <c r="AM109" s="159"/>
      <c r="AN109" s="160">
        <f t="shared" si="40"/>
        <v>1</v>
      </c>
      <c r="AO109" s="160">
        <f t="shared" si="40"/>
        <v>2</v>
      </c>
      <c r="AP109" s="133"/>
      <c r="AQ109" s="134"/>
      <c r="AR109" s="161"/>
      <c r="AS109" s="161"/>
      <c r="AT109" s="161"/>
      <c r="AU109" s="161"/>
      <c r="AV109" s="162"/>
      <c r="AW109" s="137">
        <f t="shared" si="51"/>
        <v>0</v>
      </c>
      <c r="AX109" s="137">
        <f t="shared" si="52"/>
        <v>0</v>
      </c>
    </row>
    <row r="110" ht="47.25" customHeight="1" spans="1:50" s="56" customFormat="1" x14ac:dyDescent="0.25">
      <c r="A110" s="100"/>
      <c r="B110" s="100"/>
      <c r="C110" s="100"/>
      <c r="D110" s="100"/>
      <c r="E110" s="100"/>
      <c r="F110" s="100"/>
      <c r="G110" s="103"/>
      <c r="H110" s="186"/>
      <c r="I110" s="195">
        <v>0.51</v>
      </c>
      <c r="J110" s="107">
        <v>0.49</v>
      </c>
      <c r="K110" s="107"/>
      <c r="L110" s="107"/>
      <c r="M110" s="187"/>
      <c r="N110" s="169">
        <f t="shared" si="41"/>
        <v>1</v>
      </c>
      <c r="O110" s="144">
        <v>1</v>
      </c>
      <c r="P110" s="145">
        <v>15</v>
      </c>
      <c r="Q110" s="113">
        <v>15</v>
      </c>
      <c r="R110" s="113"/>
      <c r="S110" s="113"/>
      <c r="T110" s="146"/>
      <c r="U110" s="148">
        <f t="shared" si="42"/>
        <v>15</v>
      </c>
      <c r="V110" s="149">
        <f t="shared" si="43"/>
        <v>15</v>
      </c>
      <c r="W110" s="189"/>
      <c r="X110" s="199"/>
      <c r="Y110" s="151"/>
      <c r="Z110" s="190"/>
      <c r="AA110" s="153"/>
      <c r="AB110" s="154">
        <f t="shared" si="44"/>
        <v>0</v>
      </c>
      <c r="AC110" s="149">
        <f t="shared" si="45"/>
        <v>0</v>
      </c>
      <c r="AD110" s="125">
        <v>2</v>
      </c>
      <c r="AE110" s="148">
        <f t="shared" si="46"/>
        <v>2</v>
      </c>
      <c r="AF110" s="156"/>
      <c r="AG110" s="156"/>
      <c r="AH110" s="113">
        <f t="shared" si="47"/>
        <v>17</v>
      </c>
      <c r="AI110" s="157">
        <v>65</v>
      </c>
      <c r="AJ110" s="113">
        <f t="shared" si="48"/>
        <v>82</v>
      </c>
      <c r="AK110" s="113">
        <f t="shared" si="49"/>
        <v>82</v>
      </c>
      <c r="AL110" s="158">
        <f t="shared" si="50"/>
        <v>1.02</v>
      </c>
      <c r="AM110" s="159"/>
      <c r="AN110" s="160">
        <f t="shared" si="40"/>
        <v>1</v>
      </c>
      <c r="AO110" s="160">
        <f t="shared" si="40"/>
        <v>2</v>
      </c>
      <c r="AP110" s="133"/>
      <c r="AQ110" s="134"/>
      <c r="AR110" s="161"/>
      <c r="AS110" s="161"/>
      <c r="AT110" s="161"/>
      <c r="AU110" s="161"/>
      <c r="AV110" s="162"/>
      <c r="AW110" s="137">
        <f t="shared" si="51"/>
        <v>0</v>
      </c>
      <c r="AX110" s="137">
        <f t="shared" si="52"/>
        <v>0</v>
      </c>
    </row>
    <row r="111" ht="46.5" customHeight="1" spans="1:50" s="97" customFormat="1" x14ac:dyDescent="0.25">
      <c r="A111" s="100"/>
      <c r="B111" s="100"/>
      <c r="C111" s="100"/>
      <c r="D111" s="100"/>
      <c r="E111" s="100"/>
      <c r="F111" s="100"/>
      <c r="G111" s="103"/>
      <c r="H111" s="186"/>
      <c r="I111" s="195">
        <v>0.51</v>
      </c>
      <c r="J111" s="107">
        <v>0.49</v>
      </c>
      <c r="K111" s="107"/>
      <c r="L111" s="107"/>
      <c r="M111" s="187"/>
      <c r="N111" s="169">
        <f t="shared" si="41"/>
        <v>1</v>
      </c>
      <c r="O111" s="144">
        <v>1</v>
      </c>
      <c r="P111" s="145">
        <v>15</v>
      </c>
      <c r="Q111" s="113">
        <v>15</v>
      </c>
      <c r="R111" s="113"/>
      <c r="S111" s="113"/>
      <c r="T111" s="146"/>
      <c r="U111" s="148">
        <f t="shared" si="42"/>
        <v>15</v>
      </c>
      <c r="V111" s="149">
        <f t="shared" si="43"/>
        <v>15</v>
      </c>
      <c r="W111" s="189"/>
      <c r="X111" s="199"/>
      <c r="Y111" s="151"/>
      <c r="Z111" s="190"/>
      <c r="AA111" s="153"/>
      <c r="AB111" s="154">
        <f t="shared" si="44"/>
        <v>0</v>
      </c>
      <c r="AC111" s="149">
        <f t="shared" si="45"/>
        <v>0</v>
      </c>
      <c r="AD111" s="125">
        <v>2</v>
      </c>
      <c r="AE111" s="148">
        <f t="shared" si="46"/>
        <v>2</v>
      </c>
      <c r="AF111" s="156"/>
      <c r="AG111" s="156"/>
      <c r="AH111" s="113">
        <f t="shared" si="47"/>
        <v>17</v>
      </c>
      <c r="AI111" s="157">
        <v>65</v>
      </c>
      <c r="AJ111" s="113">
        <f t="shared" si="48"/>
        <v>82</v>
      </c>
      <c r="AK111" s="113">
        <f t="shared" si="49"/>
        <v>82</v>
      </c>
      <c r="AL111" s="158">
        <f t="shared" si="50"/>
        <v>1.02</v>
      </c>
      <c r="AM111" s="159"/>
      <c r="AN111" s="160">
        <f t="shared" ref="AN111:AO130" si="53">100%+AM111</f>
        <v>1</v>
      </c>
      <c r="AO111" s="160">
        <f t="shared" si="53"/>
        <v>2</v>
      </c>
      <c r="AP111" s="133"/>
      <c r="AQ111" s="134"/>
      <c r="AR111" s="161"/>
      <c r="AS111" s="161"/>
      <c r="AT111" s="161"/>
      <c r="AU111" s="161"/>
      <c r="AV111" s="162"/>
      <c r="AW111" s="137">
        <f t="shared" si="51"/>
        <v>0</v>
      </c>
      <c r="AX111" s="137">
        <f t="shared" si="52"/>
        <v>0</v>
      </c>
    </row>
    <row r="112" ht="46.5" customHeight="1" spans="1:50" s="97" customFormat="1" x14ac:dyDescent="0.25">
      <c r="A112" s="100"/>
      <c r="B112" s="100"/>
      <c r="C112" s="100"/>
      <c r="D112" s="100"/>
      <c r="E112" s="100"/>
      <c r="F112" s="100"/>
      <c r="G112" s="103"/>
      <c r="H112" s="186"/>
      <c r="I112" s="195">
        <v>0.51</v>
      </c>
      <c r="J112" s="107">
        <v>0.49</v>
      </c>
      <c r="K112" s="107"/>
      <c r="L112" s="107"/>
      <c r="M112" s="187"/>
      <c r="N112" s="169">
        <f t="shared" si="41"/>
        <v>1</v>
      </c>
      <c r="O112" s="144">
        <v>1</v>
      </c>
      <c r="P112" s="145">
        <v>15</v>
      </c>
      <c r="Q112" s="113">
        <v>15</v>
      </c>
      <c r="R112" s="113"/>
      <c r="S112" s="113"/>
      <c r="T112" s="146"/>
      <c r="U112" s="148">
        <f t="shared" si="42"/>
        <v>15</v>
      </c>
      <c r="V112" s="149">
        <f t="shared" si="43"/>
        <v>15</v>
      </c>
      <c r="W112" s="189"/>
      <c r="X112" s="199"/>
      <c r="Y112" s="151"/>
      <c r="Z112" s="190"/>
      <c r="AA112" s="153"/>
      <c r="AB112" s="154">
        <f t="shared" si="44"/>
        <v>0</v>
      </c>
      <c r="AC112" s="149">
        <f t="shared" si="45"/>
        <v>0</v>
      </c>
      <c r="AD112" s="125">
        <v>2</v>
      </c>
      <c r="AE112" s="148">
        <f t="shared" si="46"/>
        <v>2</v>
      </c>
      <c r="AF112" s="156"/>
      <c r="AG112" s="156"/>
      <c r="AH112" s="113">
        <f t="shared" si="47"/>
        <v>17</v>
      </c>
      <c r="AI112" s="157">
        <v>65</v>
      </c>
      <c r="AJ112" s="113">
        <f t="shared" si="48"/>
        <v>82</v>
      </c>
      <c r="AK112" s="113">
        <f t="shared" si="49"/>
        <v>82</v>
      </c>
      <c r="AL112" s="158">
        <f t="shared" si="50"/>
        <v>1.02</v>
      </c>
      <c r="AM112" s="159"/>
      <c r="AN112" s="160">
        <f t="shared" si="53"/>
        <v>1</v>
      </c>
      <c r="AO112" s="160">
        <f t="shared" si="53"/>
        <v>2</v>
      </c>
      <c r="AP112" s="133"/>
      <c r="AQ112" s="134"/>
      <c r="AR112" s="161"/>
      <c r="AS112" s="161"/>
      <c r="AT112" s="161"/>
      <c r="AU112" s="161"/>
      <c r="AV112" s="162"/>
      <c r="AW112" s="137">
        <f t="shared" si="51"/>
        <v>0</v>
      </c>
      <c r="AX112" s="137">
        <f t="shared" si="52"/>
        <v>0</v>
      </c>
    </row>
    <row r="113" ht="46.5" customHeight="1" spans="1:50" s="97" customFormat="1" x14ac:dyDescent="0.25">
      <c r="A113" s="100"/>
      <c r="B113" s="100"/>
      <c r="C113" s="100"/>
      <c r="D113" s="100"/>
      <c r="E113" s="100"/>
      <c r="F113" s="100"/>
      <c r="G113" s="103"/>
      <c r="H113" s="186"/>
      <c r="I113" s="195">
        <v>0.51</v>
      </c>
      <c r="J113" s="107">
        <v>0.49</v>
      </c>
      <c r="K113" s="107"/>
      <c r="L113" s="107"/>
      <c r="M113" s="187"/>
      <c r="N113" s="169">
        <f t="shared" si="41"/>
        <v>1</v>
      </c>
      <c r="O113" s="144">
        <v>1</v>
      </c>
      <c r="P113" s="145">
        <v>15</v>
      </c>
      <c r="Q113" s="113">
        <v>15</v>
      </c>
      <c r="R113" s="113"/>
      <c r="S113" s="113"/>
      <c r="T113" s="146"/>
      <c r="U113" s="148">
        <f t="shared" si="42"/>
        <v>15</v>
      </c>
      <c r="V113" s="149">
        <f t="shared" si="43"/>
        <v>15</v>
      </c>
      <c r="W113" s="189"/>
      <c r="X113" s="199"/>
      <c r="Y113" s="151"/>
      <c r="Z113" s="190"/>
      <c r="AA113" s="153"/>
      <c r="AB113" s="154">
        <f t="shared" si="44"/>
        <v>0</v>
      </c>
      <c r="AC113" s="149">
        <f t="shared" si="45"/>
        <v>0</v>
      </c>
      <c r="AD113" s="125">
        <v>2</v>
      </c>
      <c r="AE113" s="148">
        <f t="shared" si="46"/>
        <v>2</v>
      </c>
      <c r="AF113" s="156"/>
      <c r="AG113" s="156"/>
      <c r="AH113" s="113">
        <f t="shared" si="47"/>
        <v>17</v>
      </c>
      <c r="AI113" s="157">
        <v>65</v>
      </c>
      <c r="AJ113" s="113">
        <f t="shared" si="48"/>
        <v>82</v>
      </c>
      <c r="AK113" s="113">
        <f t="shared" si="49"/>
        <v>82</v>
      </c>
      <c r="AL113" s="158">
        <f t="shared" si="50"/>
        <v>1.02</v>
      </c>
      <c r="AM113" s="159"/>
      <c r="AN113" s="160">
        <f t="shared" si="53"/>
        <v>1</v>
      </c>
      <c r="AO113" s="160">
        <f t="shared" si="53"/>
        <v>2</v>
      </c>
      <c r="AP113" s="133"/>
      <c r="AQ113" s="134"/>
      <c r="AR113" s="161"/>
      <c r="AS113" s="161"/>
      <c r="AT113" s="161"/>
      <c r="AU113" s="161"/>
      <c r="AV113" s="162"/>
      <c r="AW113" s="137">
        <f t="shared" si="51"/>
        <v>0</v>
      </c>
      <c r="AX113" s="137">
        <f t="shared" si="52"/>
        <v>0</v>
      </c>
    </row>
    <row r="114" ht="53.25" customHeight="1" spans="1:50" s="97" customFormat="1" x14ac:dyDescent="0.25">
      <c r="A114" s="100"/>
      <c r="B114" s="100"/>
      <c r="C114" s="100"/>
      <c r="D114" s="100"/>
      <c r="E114" s="100"/>
      <c r="F114" s="100"/>
      <c r="G114" s="103"/>
      <c r="H114" s="186"/>
      <c r="I114" s="195">
        <v>0.51</v>
      </c>
      <c r="J114" s="107">
        <v>0.49</v>
      </c>
      <c r="K114" s="107"/>
      <c r="L114" s="107"/>
      <c r="M114" s="187"/>
      <c r="N114" s="169">
        <f t="shared" si="41"/>
        <v>1</v>
      </c>
      <c r="O114" s="144">
        <v>1</v>
      </c>
      <c r="P114" s="145">
        <v>15</v>
      </c>
      <c r="Q114" s="113">
        <v>15</v>
      </c>
      <c r="R114" s="113"/>
      <c r="S114" s="113"/>
      <c r="T114" s="146"/>
      <c r="U114" s="148">
        <f t="shared" si="42"/>
        <v>15</v>
      </c>
      <c r="V114" s="149">
        <f t="shared" si="43"/>
        <v>15</v>
      </c>
      <c r="W114" s="189"/>
      <c r="X114" s="199"/>
      <c r="Y114" s="151"/>
      <c r="Z114" s="190"/>
      <c r="AA114" s="153"/>
      <c r="AB114" s="154">
        <f t="shared" si="44"/>
        <v>0</v>
      </c>
      <c r="AC114" s="149">
        <f t="shared" si="45"/>
        <v>0</v>
      </c>
      <c r="AD114" s="125">
        <v>2</v>
      </c>
      <c r="AE114" s="148">
        <f t="shared" si="46"/>
        <v>2</v>
      </c>
      <c r="AF114" s="156"/>
      <c r="AG114" s="156"/>
      <c r="AH114" s="113">
        <f t="shared" si="47"/>
        <v>17</v>
      </c>
      <c r="AI114" s="157">
        <v>65</v>
      </c>
      <c r="AJ114" s="113">
        <f t="shared" si="48"/>
        <v>82</v>
      </c>
      <c r="AK114" s="113">
        <f t="shared" si="49"/>
        <v>82</v>
      </c>
      <c r="AL114" s="158">
        <f t="shared" si="50"/>
        <v>1.02</v>
      </c>
      <c r="AM114" s="159"/>
      <c r="AN114" s="160">
        <f t="shared" si="53"/>
        <v>1</v>
      </c>
      <c r="AO114" s="160">
        <f t="shared" si="53"/>
        <v>2</v>
      </c>
      <c r="AP114" s="133"/>
      <c r="AQ114" s="134"/>
      <c r="AR114" s="161"/>
      <c r="AS114" s="161"/>
      <c r="AT114" s="161"/>
      <c r="AU114" s="161"/>
      <c r="AV114" s="162"/>
      <c r="AW114" s="137">
        <f t="shared" si="51"/>
        <v>0</v>
      </c>
      <c r="AX114" s="137">
        <f t="shared" si="52"/>
        <v>0</v>
      </c>
    </row>
    <row r="115" ht="46.5" customHeight="1" spans="1:50" s="97" customFormat="1" x14ac:dyDescent="0.25">
      <c r="A115" s="100"/>
      <c r="B115" s="100"/>
      <c r="C115" s="100"/>
      <c r="D115" s="100"/>
      <c r="E115" s="100"/>
      <c r="F115" s="100"/>
      <c r="G115" s="103"/>
      <c r="H115" s="186"/>
      <c r="I115" s="195">
        <v>0.51</v>
      </c>
      <c r="J115" s="107">
        <v>0.49</v>
      </c>
      <c r="K115" s="107"/>
      <c r="L115" s="107"/>
      <c r="M115" s="187"/>
      <c r="N115" s="169">
        <f t="shared" si="41"/>
        <v>1</v>
      </c>
      <c r="O115" s="144">
        <v>1</v>
      </c>
      <c r="P115" s="145">
        <v>15</v>
      </c>
      <c r="Q115" s="113">
        <v>15</v>
      </c>
      <c r="R115" s="113"/>
      <c r="S115" s="113"/>
      <c r="T115" s="146"/>
      <c r="U115" s="148">
        <f t="shared" si="42"/>
        <v>15</v>
      </c>
      <c r="V115" s="149">
        <f t="shared" si="43"/>
        <v>15</v>
      </c>
      <c r="W115" s="189"/>
      <c r="X115" s="199"/>
      <c r="Y115" s="151"/>
      <c r="Z115" s="190"/>
      <c r="AA115" s="153"/>
      <c r="AB115" s="154">
        <f t="shared" si="44"/>
        <v>0</v>
      </c>
      <c r="AC115" s="149">
        <f t="shared" si="45"/>
        <v>0</v>
      </c>
      <c r="AD115" s="125">
        <v>2</v>
      </c>
      <c r="AE115" s="148">
        <f t="shared" si="46"/>
        <v>2</v>
      </c>
      <c r="AF115" s="156"/>
      <c r="AG115" s="156"/>
      <c r="AH115" s="113">
        <f t="shared" si="47"/>
        <v>17</v>
      </c>
      <c r="AI115" s="157">
        <v>65</v>
      </c>
      <c r="AJ115" s="113">
        <f t="shared" si="48"/>
        <v>82</v>
      </c>
      <c r="AK115" s="113">
        <f t="shared" si="49"/>
        <v>82</v>
      </c>
      <c r="AL115" s="158">
        <f t="shared" si="50"/>
        <v>1.02</v>
      </c>
      <c r="AM115" s="159"/>
      <c r="AN115" s="160">
        <f t="shared" si="53"/>
        <v>1</v>
      </c>
      <c r="AO115" s="160">
        <f t="shared" si="53"/>
        <v>2</v>
      </c>
      <c r="AP115" s="133"/>
      <c r="AQ115" s="134"/>
      <c r="AR115" s="161"/>
      <c r="AS115" s="161"/>
      <c r="AT115" s="161"/>
      <c r="AU115" s="161"/>
      <c r="AV115" s="162"/>
      <c r="AW115" s="137">
        <f t="shared" si="51"/>
        <v>0</v>
      </c>
      <c r="AX115" s="137">
        <f t="shared" si="52"/>
        <v>0</v>
      </c>
    </row>
    <row r="116" ht="46.5" customHeight="1" spans="1:50" s="97" customFormat="1" x14ac:dyDescent="0.25">
      <c r="A116" s="100"/>
      <c r="B116" s="100"/>
      <c r="C116" s="100"/>
      <c r="D116" s="100"/>
      <c r="E116" s="100"/>
      <c r="F116" s="100"/>
      <c r="G116" s="103"/>
      <c r="H116" s="186"/>
      <c r="I116" s="195">
        <v>0.51</v>
      </c>
      <c r="J116" s="107">
        <v>0.49</v>
      </c>
      <c r="K116" s="107"/>
      <c r="L116" s="107"/>
      <c r="M116" s="187"/>
      <c r="N116" s="169">
        <f t="shared" si="41"/>
        <v>1</v>
      </c>
      <c r="O116" s="144">
        <v>1</v>
      </c>
      <c r="P116" s="145">
        <v>15</v>
      </c>
      <c r="Q116" s="113">
        <v>15</v>
      </c>
      <c r="R116" s="113"/>
      <c r="S116" s="113"/>
      <c r="T116" s="146"/>
      <c r="U116" s="148">
        <f t="shared" si="42"/>
        <v>15</v>
      </c>
      <c r="V116" s="149">
        <f t="shared" si="43"/>
        <v>15</v>
      </c>
      <c r="W116" s="189"/>
      <c r="X116" s="199"/>
      <c r="Y116" s="151"/>
      <c r="Z116" s="190"/>
      <c r="AA116" s="153"/>
      <c r="AB116" s="154">
        <f t="shared" si="44"/>
        <v>0</v>
      </c>
      <c r="AC116" s="149">
        <f t="shared" si="45"/>
        <v>0</v>
      </c>
      <c r="AD116" s="125">
        <v>2</v>
      </c>
      <c r="AE116" s="148">
        <f t="shared" si="46"/>
        <v>2</v>
      </c>
      <c r="AF116" s="156"/>
      <c r="AG116" s="156"/>
      <c r="AH116" s="113">
        <f t="shared" si="47"/>
        <v>17</v>
      </c>
      <c r="AI116" s="157">
        <v>65</v>
      </c>
      <c r="AJ116" s="113">
        <f t="shared" si="48"/>
        <v>82</v>
      </c>
      <c r="AK116" s="113">
        <f t="shared" si="49"/>
        <v>82</v>
      </c>
      <c r="AL116" s="158">
        <f t="shared" si="50"/>
        <v>1.02</v>
      </c>
      <c r="AM116" s="159"/>
      <c r="AN116" s="160">
        <f t="shared" si="53"/>
        <v>1</v>
      </c>
      <c r="AO116" s="160">
        <f t="shared" si="53"/>
        <v>2</v>
      </c>
      <c r="AP116" s="133"/>
      <c r="AQ116" s="134"/>
      <c r="AR116" s="161"/>
      <c r="AS116" s="161"/>
      <c r="AT116" s="161"/>
      <c r="AU116" s="161"/>
      <c r="AV116" s="162"/>
      <c r="AW116" s="137">
        <f t="shared" si="51"/>
        <v>0</v>
      </c>
      <c r="AX116" s="137">
        <f t="shared" si="52"/>
        <v>0</v>
      </c>
    </row>
    <row r="117" ht="46.5" customHeight="1" spans="1:50" s="97" customFormat="1" x14ac:dyDescent="0.25">
      <c r="A117" s="100"/>
      <c r="B117" s="100"/>
      <c r="C117" s="100"/>
      <c r="D117" s="100"/>
      <c r="E117" s="100"/>
      <c r="F117" s="100"/>
      <c r="G117" s="103"/>
      <c r="H117" s="186"/>
      <c r="I117" s="195">
        <v>0.51</v>
      </c>
      <c r="J117" s="107">
        <v>0.49</v>
      </c>
      <c r="K117" s="107"/>
      <c r="L117" s="107"/>
      <c r="M117" s="187"/>
      <c r="N117" s="169">
        <f t="shared" si="41"/>
        <v>1</v>
      </c>
      <c r="O117" s="144">
        <v>1</v>
      </c>
      <c r="P117" s="145">
        <v>15</v>
      </c>
      <c r="Q117" s="113">
        <v>15</v>
      </c>
      <c r="R117" s="113"/>
      <c r="S117" s="113"/>
      <c r="T117" s="146"/>
      <c r="U117" s="148">
        <f t="shared" si="42"/>
        <v>15</v>
      </c>
      <c r="V117" s="149">
        <f t="shared" si="43"/>
        <v>15</v>
      </c>
      <c r="W117" s="189"/>
      <c r="X117" s="199"/>
      <c r="Y117" s="151"/>
      <c r="Z117" s="190"/>
      <c r="AA117" s="153"/>
      <c r="AB117" s="154">
        <f t="shared" si="44"/>
        <v>0</v>
      </c>
      <c r="AC117" s="149">
        <f t="shared" si="45"/>
        <v>0</v>
      </c>
      <c r="AD117" s="125">
        <v>2</v>
      </c>
      <c r="AE117" s="148">
        <f t="shared" si="46"/>
        <v>2</v>
      </c>
      <c r="AF117" s="156"/>
      <c r="AG117" s="156"/>
      <c r="AH117" s="113">
        <f t="shared" si="47"/>
        <v>17</v>
      </c>
      <c r="AI117" s="157">
        <v>65</v>
      </c>
      <c r="AJ117" s="113">
        <f t="shared" si="48"/>
        <v>82</v>
      </c>
      <c r="AK117" s="113">
        <f t="shared" si="49"/>
        <v>82</v>
      </c>
      <c r="AL117" s="158">
        <f t="shared" si="50"/>
        <v>1.02</v>
      </c>
      <c r="AM117" s="159"/>
      <c r="AN117" s="160">
        <f t="shared" si="53"/>
        <v>1</v>
      </c>
      <c r="AO117" s="160">
        <f t="shared" si="53"/>
        <v>2</v>
      </c>
      <c r="AP117" s="133"/>
      <c r="AQ117" s="134"/>
      <c r="AR117" s="161"/>
      <c r="AS117" s="161"/>
      <c r="AT117" s="161"/>
      <c r="AU117" s="161"/>
      <c r="AV117" s="162"/>
      <c r="AW117" s="137">
        <f t="shared" si="51"/>
        <v>0</v>
      </c>
      <c r="AX117" s="137">
        <f t="shared" si="52"/>
        <v>0</v>
      </c>
    </row>
    <row r="118" ht="47.25" customHeight="1" spans="1:50" s="56" customFormat="1" x14ac:dyDescent="0.25">
      <c r="A118" s="100"/>
      <c r="B118" s="100"/>
      <c r="C118" s="100"/>
      <c r="D118" s="100"/>
      <c r="E118" s="100"/>
      <c r="F118" s="100"/>
      <c r="G118" s="103"/>
      <c r="H118" s="186"/>
      <c r="I118" s="195">
        <v>0.51</v>
      </c>
      <c r="J118" s="107">
        <v>0.49</v>
      </c>
      <c r="K118" s="107"/>
      <c r="L118" s="107"/>
      <c r="M118" s="187"/>
      <c r="N118" s="169">
        <f t="shared" si="41"/>
        <v>1</v>
      </c>
      <c r="O118" s="144">
        <v>1</v>
      </c>
      <c r="P118" s="145">
        <v>15</v>
      </c>
      <c r="Q118" s="113">
        <v>15</v>
      </c>
      <c r="R118" s="113"/>
      <c r="S118" s="113"/>
      <c r="T118" s="146"/>
      <c r="U118" s="148">
        <f t="shared" si="42"/>
        <v>15</v>
      </c>
      <c r="V118" s="149">
        <f t="shared" si="43"/>
        <v>15</v>
      </c>
      <c r="W118" s="189"/>
      <c r="X118" s="199"/>
      <c r="Y118" s="151"/>
      <c r="Z118" s="190"/>
      <c r="AA118" s="153"/>
      <c r="AB118" s="154">
        <f t="shared" si="44"/>
        <v>0</v>
      </c>
      <c r="AC118" s="149">
        <f t="shared" si="45"/>
        <v>0</v>
      </c>
      <c r="AD118" s="125">
        <v>2</v>
      </c>
      <c r="AE118" s="148">
        <f t="shared" si="46"/>
        <v>2</v>
      </c>
      <c r="AF118" s="156"/>
      <c r="AG118" s="156"/>
      <c r="AH118" s="113">
        <f t="shared" si="47"/>
        <v>17</v>
      </c>
      <c r="AI118" s="157">
        <v>65</v>
      </c>
      <c r="AJ118" s="113">
        <f t="shared" si="48"/>
        <v>82</v>
      </c>
      <c r="AK118" s="113">
        <f t="shared" si="49"/>
        <v>82</v>
      </c>
      <c r="AL118" s="158">
        <f t="shared" si="50"/>
        <v>1.02</v>
      </c>
      <c r="AM118" s="159"/>
      <c r="AN118" s="160">
        <f t="shared" si="53"/>
        <v>1</v>
      </c>
      <c r="AO118" s="160">
        <f t="shared" si="53"/>
        <v>2</v>
      </c>
      <c r="AP118" s="133"/>
      <c r="AQ118" s="134"/>
      <c r="AR118" s="161"/>
      <c r="AS118" s="161"/>
      <c r="AT118" s="161"/>
      <c r="AU118" s="161"/>
      <c r="AV118" s="162"/>
      <c r="AW118" s="137">
        <f t="shared" si="51"/>
        <v>0</v>
      </c>
      <c r="AX118" s="137">
        <f t="shared" si="52"/>
        <v>0</v>
      </c>
    </row>
    <row r="119" ht="47.25" customHeight="1" spans="1:50" s="56" customFormat="1" x14ac:dyDescent="0.25">
      <c r="A119" s="100"/>
      <c r="B119" s="100"/>
      <c r="C119" s="100"/>
      <c r="D119" s="100"/>
      <c r="E119" s="100"/>
      <c r="F119" s="100"/>
      <c r="G119" s="103"/>
      <c r="H119" s="186"/>
      <c r="I119" s="195">
        <v>0.51</v>
      </c>
      <c r="J119" s="107">
        <v>0.49</v>
      </c>
      <c r="K119" s="107"/>
      <c r="L119" s="107"/>
      <c r="M119" s="187"/>
      <c r="N119" s="169">
        <f t="shared" si="41"/>
        <v>1</v>
      </c>
      <c r="O119" s="144">
        <v>1</v>
      </c>
      <c r="P119" s="145">
        <v>15</v>
      </c>
      <c r="Q119" s="113">
        <v>15</v>
      </c>
      <c r="R119" s="113"/>
      <c r="S119" s="113"/>
      <c r="T119" s="146"/>
      <c r="U119" s="148">
        <f t="shared" si="42"/>
        <v>15</v>
      </c>
      <c r="V119" s="149">
        <f t="shared" si="43"/>
        <v>15</v>
      </c>
      <c r="W119" s="189"/>
      <c r="X119" s="199"/>
      <c r="Y119" s="151"/>
      <c r="Z119" s="190"/>
      <c r="AA119" s="153"/>
      <c r="AB119" s="154">
        <f t="shared" si="44"/>
        <v>0</v>
      </c>
      <c r="AC119" s="149">
        <f t="shared" si="45"/>
        <v>0</v>
      </c>
      <c r="AD119" s="125">
        <v>2</v>
      </c>
      <c r="AE119" s="148">
        <f t="shared" si="46"/>
        <v>2</v>
      </c>
      <c r="AF119" s="156"/>
      <c r="AG119" s="156"/>
      <c r="AH119" s="113">
        <f t="shared" si="47"/>
        <v>17</v>
      </c>
      <c r="AI119" s="157">
        <v>65</v>
      </c>
      <c r="AJ119" s="113">
        <f t="shared" si="48"/>
        <v>82</v>
      </c>
      <c r="AK119" s="113">
        <f t="shared" si="49"/>
        <v>82</v>
      </c>
      <c r="AL119" s="158">
        <f t="shared" si="50"/>
        <v>1.02</v>
      </c>
      <c r="AM119" s="159"/>
      <c r="AN119" s="160">
        <f t="shared" si="53"/>
        <v>1</v>
      </c>
      <c r="AO119" s="160">
        <f t="shared" si="53"/>
        <v>2</v>
      </c>
      <c r="AP119" s="133"/>
      <c r="AQ119" s="134"/>
      <c r="AR119" s="161"/>
      <c r="AS119" s="161"/>
      <c r="AT119" s="161"/>
      <c r="AU119" s="161"/>
      <c r="AV119" s="162"/>
      <c r="AW119" s="137">
        <f t="shared" si="51"/>
        <v>0</v>
      </c>
      <c r="AX119" s="137">
        <f t="shared" si="52"/>
        <v>0</v>
      </c>
    </row>
    <row r="120" ht="46.5" customHeight="1" spans="1:50" s="97" customFormat="1" x14ac:dyDescent="0.25">
      <c r="A120" s="100"/>
      <c r="B120" s="100"/>
      <c r="C120" s="100"/>
      <c r="D120" s="100"/>
      <c r="E120" s="100"/>
      <c r="F120" s="100"/>
      <c r="G120" s="103"/>
      <c r="H120" s="186"/>
      <c r="I120" s="195">
        <v>0.51</v>
      </c>
      <c r="J120" s="107">
        <v>0.49</v>
      </c>
      <c r="K120" s="107"/>
      <c r="L120" s="107"/>
      <c r="M120" s="187"/>
      <c r="N120" s="169">
        <f t="shared" si="41"/>
        <v>1</v>
      </c>
      <c r="O120" s="144">
        <v>1</v>
      </c>
      <c r="P120" s="145">
        <v>15</v>
      </c>
      <c r="Q120" s="113">
        <v>15</v>
      </c>
      <c r="R120" s="113"/>
      <c r="S120" s="113"/>
      <c r="T120" s="146"/>
      <c r="U120" s="148">
        <f t="shared" si="42"/>
        <v>15</v>
      </c>
      <c r="V120" s="149">
        <f t="shared" si="43"/>
        <v>15</v>
      </c>
      <c r="W120" s="189"/>
      <c r="X120" s="199"/>
      <c r="Y120" s="151"/>
      <c r="Z120" s="190"/>
      <c r="AA120" s="153"/>
      <c r="AB120" s="154">
        <f t="shared" si="44"/>
        <v>0</v>
      </c>
      <c r="AC120" s="149">
        <f t="shared" si="45"/>
        <v>0</v>
      </c>
      <c r="AD120" s="125">
        <v>2</v>
      </c>
      <c r="AE120" s="148">
        <f t="shared" si="46"/>
        <v>2</v>
      </c>
      <c r="AF120" s="156"/>
      <c r="AG120" s="156"/>
      <c r="AH120" s="113">
        <f t="shared" si="47"/>
        <v>17</v>
      </c>
      <c r="AI120" s="157">
        <v>65</v>
      </c>
      <c r="AJ120" s="113">
        <f t="shared" si="48"/>
        <v>82</v>
      </c>
      <c r="AK120" s="113">
        <f t="shared" si="49"/>
        <v>82</v>
      </c>
      <c r="AL120" s="158">
        <f t="shared" si="50"/>
        <v>1.02</v>
      </c>
      <c r="AM120" s="159"/>
      <c r="AN120" s="160">
        <f t="shared" si="53"/>
        <v>1</v>
      </c>
      <c r="AO120" s="160">
        <f t="shared" si="53"/>
        <v>2</v>
      </c>
      <c r="AP120" s="133"/>
      <c r="AQ120" s="134"/>
      <c r="AR120" s="161"/>
      <c r="AS120" s="161"/>
      <c r="AT120" s="161"/>
      <c r="AU120" s="161"/>
      <c r="AV120" s="162"/>
      <c r="AW120" s="137">
        <f t="shared" si="51"/>
        <v>0</v>
      </c>
      <c r="AX120" s="137">
        <f t="shared" si="52"/>
        <v>0</v>
      </c>
    </row>
    <row r="121" ht="47.25" customHeight="1" spans="1:50" s="56" customFormat="1" x14ac:dyDescent="0.25">
      <c r="A121" s="100"/>
      <c r="B121" s="100"/>
      <c r="C121" s="100"/>
      <c r="D121" s="100"/>
      <c r="E121" s="100"/>
      <c r="F121" s="100"/>
      <c r="G121" s="103"/>
      <c r="H121" s="186"/>
      <c r="I121" s="195">
        <v>0.51</v>
      </c>
      <c r="J121" s="107">
        <v>0.49</v>
      </c>
      <c r="K121" s="107"/>
      <c r="L121" s="107"/>
      <c r="M121" s="187"/>
      <c r="N121" s="169">
        <f t="shared" si="41"/>
        <v>1</v>
      </c>
      <c r="O121" s="144">
        <v>1</v>
      </c>
      <c r="P121" s="145">
        <v>15</v>
      </c>
      <c r="Q121" s="113">
        <v>15</v>
      </c>
      <c r="R121" s="113"/>
      <c r="S121" s="113"/>
      <c r="T121" s="146"/>
      <c r="U121" s="148">
        <f t="shared" si="42"/>
        <v>15</v>
      </c>
      <c r="V121" s="149">
        <f t="shared" si="43"/>
        <v>15</v>
      </c>
      <c r="W121" s="189"/>
      <c r="X121" s="199"/>
      <c r="Y121" s="151"/>
      <c r="Z121" s="190"/>
      <c r="AA121" s="153"/>
      <c r="AB121" s="154">
        <f t="shared" si="44"/>
        <v>0</v>
      </c>
      <c r="AC121" s="149">
        <f t="shared" si="45"/>
        <v>0</v>
      </c>
      <c r="AD121" s="125">
        <v>2</v>
      </c>
      <c r="AE121" s="148">
        <f t="shared" si="46"/>
        <v>2</v>
      </c>
      <c r="AF121" s="156"/>
      <c r="AG121" s="156"/>
      <c r="AH121" s="113">
        <f t="shared" si="47"/>
        <v>17</v>
      </c>
      <c r="AI121" s="157">
        <v>65</v>
      </c>
      <c r="AJ121" s="113">
        <f t="shared" si="48"/>
        <v>82</v>
      </c>
      <c r="AK121" s="113">
        <f t="shared" si="49"/>
        <v>82</v>
      </c>
      <c r="AL121" s="158">
        <f t="shared" si="50"/>
        <v>1.02</v>
      </c>
      <c r="AM121" s="159"/>
      <c r="AN121" s="160">
        <f t="shared" si="53"/>
        <v>1</v>
      </c>
      <c r="AO121" s="160">
        <f t="shared" si="53"/>
        <v>2</v>
      </c>
      <c r="AP121" s="133"/>
      <c r="AQ121" s="134"/>
      <c r="AR121" s="161"/>
      <c r="AS121" s="161"/>
      <c r="AT121" s="161"/>
      <c r="AU121" s="161"/>
      <c r="AV121" s="162"/>
      <c r="AW121" s="137">
        <f t="shared" si="51"/>
        <v>0</v>
      </c>
      <c r="AX121" s="137">
        <f t="shared" si="52"/>
        <v>0</v>
      </c>
    </row>
    <row r="122" ht="47.25" customHeight="1" spans="1:50" s="97" customFormat="1" x14ac:dyDescent="0.25">
      <c r="A122" s="100"/>
      <c r="B122" s="100"/>
      <c r="C122" s="100"/>
      <c r="D122" s="100"/>
      <c r="E122" s="100"/>
      <c r="F122" s="100"/>
      <c r="G122" s="103"/>
      <c r="H122" s="186"/>
      <c r="I122" s="195">
        <v>0.51</v>
      </c>
      <c r="J122" s="107">
        <v>0.49</v>
      </c>
      <c r="K122" s="107"/>
      <c r="L122" s="107"/>
      <c r="M122" s="187"/>
      <c r="N122" s="169">
        <f t="shared" si="41"/>
        <v>1</v>
      </c>
      <c r="O122" s="144">
        <v>1</v>
      </c>
      <c r="P122" s="145">
        <v>15</v>
      </c>
      <c r="Q122" s="113">
        <v>15</v>
      </c>
      <c r="R122" s="113"/>
      <c r="S122" s="113"/>
      <c r="T122" s="146"/>
      <c r="U122" s="148">
        <f t="shared" si="42"/>
        <v>15</v>
      </c>
      <c r="V122" s="149">
        <f t="shared" si="43"/>
        <v>15</v>
      </c>
      <c r="W122" s="189"/>
      <c r="X122" s="199"/>
      <c r="Y122" s="151"/>
      <c r="Z122" s="190"/>
      <c r="AA122" s="153"/>
      <c r="AB122" s="154">
        <f t="shared" si="44"/>
        <v>0</v>
      </c>
      <c r="AC122" s="149">
        <f t="shared" si="45"/>
        <v>0</v>
      </c>
      <c r="AD122" s="125">
        <v>2</v>
      </c>
      <c r="AE122" s="148">
        <f t="shared" si="46"/>
        <v>2</v>
      </c>
      <c r="AF122" s="156"/>
      <c r="AG122" s="156"/>
      <c r="AH122" s="113">
        <f t="shared" si="47"/>
        <v>17</v>
      </c>
      <c r="AI122" s="157">
        <v>65</v>
      </c>
      <c r="AJ122" s="113">
        <f t="shared" si="48"/>
        <v>82</v>
      </c>
      <c r="AK122" s="113">
        <f t="shared" si="49"/>
        <v>82</v>
      </c>
      <c r="AL122" s="158">
        <f t="shared" si="50"/>
        <v>1.02</v>
      </c>
      <c r="AM122" s="159"/>
      <c r="AN122" s="160">
        <f t="shared" si="53"/>
        <v>1</v>
      </c>
      <c r="AO122" s="160">
        <f t="shared" si="53"/>
        <v>2</v>
      </c>
      <c r="AP122" s="133"/>
      <c r="AQ122" s="134"/>
      <c r="AR122" s="161"/>
      <c r="AS122" s="161"/>
      <c r="AT122" s="161"/>
      <c r="AU122" s="161"/>
      <c r="AV122" s="162"/>
      <c r="AW122" s="137">
        <f t="shared" si="51"/>
        <v>0</v>
      </c>
      <c r="AX122" s="137">
        <f t="shared" si="52"/>
        <v>0</v>
      </c>
    </row>
    <row r="123" ht="47.25" customHeight="1" spans="1:50" s="97" customFormat="1" x14ac:dyDescent="0.25">
      <c r="A123" s="100"/>
      <c r="B123" s="100"/>
      <c r="C123" s="100"/>
      <c r="D123" s="100"/>
      <c r="E123" s="100"/>
      <c r="F123" s="100"/>
      <c r="G123" s="103"/>
      <c r="H123" s="186"/>
      <c r="I123" s="195">
        <v>0.51</v>
      </c>
      <c r="J123" s="107">
        <v>0.49</v>
      </c>
      <c r="K123" s="107"/>
      <c r="L123" s="107"/>
      <c r="M123" s="187"/>
      <c r="N123" s="169">
        <f t="shared" si="41"/>
        <v>1</v>
      </c>
      <c r="O123" s="144">
        <v>1</v>
      </c>
      <c r="P123" s="145">
        <v>15</v>
      </c>
      <c r="Q123" s="113">
        <v>15</v>
      </c>
      <c r="R123" s="113"/>
      <c r="S123" s="113"/>
      <c r="T123" s="146"/>
      <c r="U123" s="148">
        <f t="shared" si="42"/>
        <v>15</v>
      </c>
      <c r="V123" s="149">
        <f t="shared" si="43"/>
        <v>15</v>
      </c>
      <c r="W123" s="189"/>
      <c r="X123" s="199"/>
      <c r="Y123" s="151"/>
      <c r="Z123" s="190"/>
      <c r="AA123" s="153"/>
      <c r="AB123" s="154">
        <f t="shared" si="44"/>
        <v>0</v>
      </c>
      <c r="AC123" s="149">
        <f t="shared" si="45"/>
        <v>0</v>
      </c>
      <c r="AD123" s="125">
        <v>2</v>
      </c>
      <c r="AE123" s="148">
        <f t="shared" si="46"/>
        <v>2</v>
      </c>
      <c r="AF123" s="156"/>
      <c r="AG123" s="156"/>
      <c r="AH123" s="113">
        <f t="shared" si="47"/>
        <v>17</v>
      </c>
      <c r="AI123" s="157">
        <v>65</v>
      </c>
      <c r="AJ123" s="113">
        <f t="shared" si="48"/>
        <v>82</v>
      </c>
      <c r="AK123" s="113">
        <f t="shared" si="49"/>
        <v>82</v>
      </c>
      <c r="AL123" s="158">
        <f t="shared" si="50"/>
        <v>1.02</v>
      </c>
      <c r="AM123" s="159"/>
      <c r="AN123" s="160">
        <f t="shared" si="53"/>
        <v>1</v>
      </c>
      <c r="AO123" s="160">
        <f t="shared" si="53"/>
        <v>2</v>
      </c>
      <c r="AP123" s="133"/>
      <c r="AQ123" s="134"/>
      <c r="AR123" s="161"/>
      <c r="AS123" s="161"/>
      <c r="AT123" s="161"/>
      <c r="AU123" s="161"/>
      <c r="AV123" s="162"/>
      <c r="AW123" s="137">
        <f t="shared" si="51"/>
        <v>0</v>
      </c>
      <c r="AX123" s="137">
        <f t="shared" si="52"/>
        <v>0</v>
      </c>
    </row>
    <row r="124" ht="46.5" customHeight="1" spans="1:50" s="97" customFormat="1" x14ac:dyDescent="0.25">
      <c r="A124" s="100"/>
      <c r="B124" s="100"/>
      <c r="C124" s="100"/>
      <c r="D124" s="100"/>
      <c r="E124" s="100"/>
      <c r="F124" s="100"/>
      <c r="G124" s="103"/>
      <c r="H124" s="186"/>
      <c r="I124" s="195">
        <v>0.51</v>
      </c>
      <c r="J124" s="107">
        <v>0.49</v>
      </c>
      <c r="K124" s="107"/>
      <c r="L124" s="107"/>
      <c r="M124" s="187"/>
      <c r="N124" s="169">
        <f t="shared" si="41"/>
        <v>1</v>
      </c>
      <c r="O124" s="144">
        <v>1</v>
      </c>
      <c r="P124" s="145">
        <v>15</v>
      </c>
      <c r="Q124" s="113">
        <v>15</v>
      </c>
      <c r="R124" s="113"/>
      <c r="S124" s="113"/>
      <c r="T124" s="146"/>
      <c r="U124" s="148">
        <f t="shared" si="42"/>
        <v>15</v>
      </c>
      <c r="V124" s="149">
        <f t="shared" si="43"/>
        <v>15</v>
      </c>
      <c r="W124" s="189"/>
      <c r="X124" s="199"/>
      <c r="Y124" s="151"/>
      <c r="Z124" s="190"/>
      <c r="AA124" s="153"/>
      <c r="AB124" s="154">
        <f t="shared" si="44"/>
        <v>0</v>
      </c>
      <c r="AC124" s="149">
        <f t="shared" si="45"/>
        <v>0</v>
      </c>
      <c r="AD124" s="125">
        <v>2</v>
      </c>
      <c r="AE124" s="148">
        <f t="shared" si="46"/>
        <v>2</v>
      </c>
      <c r="AF124" s="156"/>
      <c r="AG124" s="156"/>
      <c r="AH124" s="113">
        <f t="shared" si="47"/>
        <v>17</v>
      </c>
      <c r="AI124" s="157">
        <v>65</v>
      </c>
      <c r="AJ124" s="113">
        <f t="shared" si="48"/>
        <v>82</v>
      </c>
      <c r="AK124" s="113">
        <f t="shared" si="49"/>
        <v>82</v>
      </c>
      <c r="AL124" s="158">
        <f t="shared" si="50"/>
        <v>1.02</v>
      </c>
      <c r="AM124" s="159"/>
      <c r="AN124" s="160">
        <f t="shared" si="53"/>
        <v>1</v>
      </c>
      <c r="AO124" s="160">
        <f t="shared" si="53"/>
        <v>2</v>
      </c>
      <c r="AP124" s="133"/>
      <c r="AQ124" s="134"/>
      <c r="AR124" s="161"/>
      <c r="AS124" s="161"/>
      <c r="AT124" s="161"/>
      <c r="AU124" s="161"/>
      <c r="AV124" s="162"/>
      <c r="AW124" s="137">
        <f t="shared" si="51"/>
        <v>0</v>
      </c>
      <c r="AX124" s="137">
        <f t="shared" si="52"/>
        <v>0</v>
      </c>
    </row>
    <row r="125" ht="46.5" customHeight="1" spans="1:50" s="97" customFormat="1" x14ac:dyDescent="0.25">
      <c r="A125" s="100"/>
      <c r="B125" s="100"/>
      <c r="C125" s="100"/>
      <c r="D125" s="100"/>
      <c r="E125" s="100"/>
      <c r="F125" s="100"/>
      <c r="G125" s="103"/>
      <c r="H125" s="186"/>
      <c r="I125" s="195">
        <v>0.51</v>
      </c>
      <c r="J125" s="107">
        <v>0.49</v>
      </c>
      <c r="K125" s="107"/>
      <c r="L125" s="107"/>
      <c r="M125" s="187"/>
      <c r="N125" s="169">
        <f t="shared" si="41"/>
        <v>1</v>
      </c>
      <c r="O125" s="144">
        <v>1</v>
      </c>
      <c r="P125" s="145">
        <v>15</v>
      </c>
      <c r="Q125" s="113">
        <v>15</v>
      </c>
      <c r="R125" s="113"/>
      <c r="S125" s="113"/>
      <c r="T125" s="146"/>
      <c r="U125" s="148">
        <f t="shared" si="42"/>
        <v>15</v>
      </c>
      <c r="V125" s="149">
        <f t="shared" si="43"/>
        <v>15</v>
      </c>
      <c r="W125" s="189"/>
      <c r="X125" s="199"/>
      <c r="Y125" s="151"/>
      <c r="Z125" s="190"/>
      <c r="AA125" s="153"/>
      <c r="AB125" s="154">
        <f t="shared" si="44"/>
        <v>0</v>
      </c>
      <c r="AC125" s="149">
        <f t="shared" si="45"/>
        <v>0</v>
      </c>
      <c r="AD125" s="125">
        <v>2</v>
      </c>
      <c r="AE125" s="148">
        <f t="shared" si="46"/>
        <v>2</v>
      </c>
      <c r="AF125" s="156"/>
      <c r="AG125" s="156"/>
      <c r="AH125" s="113">
        <f t="shared" si="47"/>
        <v>17</v>
      </c>
      <c r="AI125" s="157">
        <v>65</v>
      </c>
      <c r="AJ125" s="113">
        <f t="shared" si="48"/>
        <v>82</v>
      </c>
      <c r="AK125" s="113">
        <f t="shared" si="49"/>
        <v>82</v>
      </c>
      <c r="AL125" s="158">
        <f t="shared" si="50"/>
        <v>1.02</v>
      </c>
      <c r="AM125" s="159"/>
      <c r="AN125" s="160">
        <f t="shared" si="53"/>
        <v>1</v>
      </c>
      <c r="AO125" s="160">
        <f t="shared" si="53"/>
        <v>2</v>
      </c>
      <c r="AP125" s="133"/>
      <c r="AQ125" s="134"/>
      <c r="AR125" s="161"/>
      <c r="AS125" s="161"/>
      <c r="AT125" s="161"/>
      <c r="AU125" s="161"/>
      <c r="AV125" s="162"/>
      <c r="AW125" s="137">
        <f t="shared" si="51"/>
        <v>0</v>
      </c>
      <c r="AX125" s="137">
        <f t="shared" si="52"/>
        <v>0</v>
      </c>
    </row>
    <row r="126" ht="47.25" customHeight="1" spans="1:50" s="56" customFormat="1" x14ac:dyDescent="0.25">
      <c r="A126" s="100"/>
      <c r="B126" s="100"/>
      <c r="C126" s="100"/>
      <c r="D126" s="100"/>
      <c r="E126" s="100"/>
      <c r="F126" s="100"/>
      <c r="G126" s="103"/>
      <c r="H126" s="186"/>
      <c r="I126" s="195">
        <v>0.51</v>
      </c>
      <c r="J126" s="107">
        <v>0.49</v>
      </c>
      <c r="K126" s="107"/>
      <c r="L126" s="107"/>
      <c r="M126" s="187"/>
      <c r="N126" s="169">
        <f t="shared" si="41"/>
        <v>1</v>
      </c>
      <c r="O126" s="144">
        <v>1</v>
      </c>
      <c r="P126" s="145">
        <v>15</v>
      </c>
      <c r="Q126" s="113">
        <v>15</v>
      </c>
      <c r="R126" s="113"/>
      <c r="S126" s="113"/>
      <c r="T126" s="146"/>
      <c r="U126" s="148">
        <f t="shared" si="42"/>
        <v>15</v>
      </c>
      <c r="V126" s="149">
        <f t="shared" si="43"/>
        <v>15</v>
      </c>
      <c r="W126" s="189"/>
      <c r="X126" s="199"/>
      <c r="Y126" s="151"/>
      <c r="Z126" s="190"/>
      <c r="AA126" s="153"/>
      <c r="AB126" s="154">
        <f t="shared" si="44"/>
        <v>0</v>
      </c>
      <c r="AC126" s="149">
        <f t="shared" si="45"/>
        <v>0</v>
      </c>
      <c r="AD126" s="125">
        <v>2</v>
      </c>
      <c r="AE126" s="148">
        <f t="shared" si="46"/>
        <v>2</v>
      </c>
      <c r="AF126" s="156"/>
      <c r="AG126" s="156"/>
      <c r="AH126" s="113">
        <f t="shared" si="47"/>
        <v>17</v>
      </c>
      <c r="AI126" s="157">
        <v>65</v>
      </c>
      <c r="AJ126" s="113">
        <f t="shared" si="48"/>
        <v>82</v>
      </c>
      <c r="AK126" s="113">
        <f t="shared" si="49"/>
        <v>82</v>
      </c>
      <c r="AL126" s="158">
        <f t="shared" si="50"/>
        <v>1.02</v>
      </c>
      <c r="AM126" s="159"/>
      <c r="AN126" s="160">
        <f t="shared" si="53"/>
        <v>1</v>
      </c>
      <c r="AO126" s="160">
        <f t="shared" si="53"/>
        <v>2</v>
      </c>
      <c r="AP126" s="133"/>
      <c r="AQ126" s="134"/>
      <c r="AR126" s="161"/>
      <c r="AS126" s="161"/>
      <c r="AT126" s="161"/>
      <c r="AU126" s="161"/>
      <c r="AV126" s="162"/>
      <c r="AW126" s="137">
        <f t="shared" si="51"/>
        <v>0</v>
      </c>
      <c r="AX126" s="137">
        <f t="shared" si="52"/>
        <v>0</v>
      </c>
    </row>
    <row r="127" ht="46.5" customHeight="1" spans="1:50" s="97" customFormat="1" x14ac:dyDescent="0.25">
      <c r="A127" s="100"/>
      <c r="B127" s="100"/>
      <c r="C127" s="100"/>
      <c r="D127" s="100"/>
      <c r="E127" s="100"/>
      <c r="F127" s="100"/>
      <c r="G127" s="103"/>
      <c r="H127" s="186"/>
      <c r="I127" s="195">
        <v>0.51</v>
      </c>
      <c r="J127" s="107">
        <v>0.49</v>
      </c>
      <c r="K127" s="107"/>
      <c r="L127" s="107"/>
      <c r="M127" s="187"/>
      <c r="N127" s="169">
        <f t="shared" si="41"/>
        <v>1</v>
      </c>
      <c r="O127" s="144">
        <v>1</v>
      </c>
      <c r="P127" s="145">
        <v>15</v>
      </c>
      <c r="Q127" s="113">
        <v>15</v>
      </c>
      <c r="R127" s="113"/>
      <c r="S127" s="113"/>
      <c r="T127" s="146"/>
      <c r="U127" s="148">
        <f t="shared" si="42"/>
        <v>15</v>
      </c>
      <c r="V127" s="149">
        <f t="shared" si="43"/>
        <v>15</v>
      </c>
      <c r="W127" s="189"/>
      <c r="X127" s="199"/>
      <c r="Y127" s="151"/>
      <c r="Z127" s="190"/>
      <c r="AA127" s="153"/>
      <c r="AB127" s="154">
        <f t="shared" si="44"/>
        <v>0</v>
      </c>
      <c r="AC127" s="149">
        <f t="shared" si="45"/>
        <v>0</v>
      </c>
      <c r="AD127" s="125">
        <v>2</v>
      </c>
      <c r="AE127" s="148">
        <f t="shared" si="46"/>
        <v>2</v>
      </c>
      <c r="AF127" s="156"/>
      <c r="AG127" s="156"/>
      <c r="AH127" s="113">
        <f t="shared" si="47"/>
        <v>17</v>
      </c>
      <c r="AI127" s="157">
        <v>65</v>
      </c>
      <c r="AJ127" s="113">
        <f t="shared" si="48"/>
        <v>82</v>
      </c>
      <c r="AK127" s="113">
        <f t="shared" si="49"/>
        <v>82</v>
      </c>
      <c r="AL127" s="158">
        <f t="shared" si="50"/>
        <v>1.02</v>
      </c>
      <c r="AM127" s="159"/>
      <c r="AN127" s="160">
        <f t="shared" si="53"/>
        <v>1</v>
      </c>
      <c r="AO127" s="160">
        <f t="shared" si="53"/>
        <v>2</v>
      </c>
      <c r="AP127" s="133"/>
      <c r="AQ127" s="134"/>
      <c r="AR127" s="161"/>
      <c r="AS127" s="161"/>
      <c r="AT127" s="161"/>
      <c r="AU127" s="161"/>
      <c r="AV127" s="162"/>
      <c r="AW127" s="137">
        <f t="shared" si="51"/>
        <v>0</v>
      </c>
      <c r="AX127" s="137">
        <f t="shared" si="52"/>
        <v>0</v>
      </c>
    </row>
    <row r="128" ht="47.25" customHeight="1" spans="1:50" s="56" customFormat="1" x14ac:dyDescent="0.25">
      <c r="A128" s="100"/>
      <c r="B128" s="100"/>
      <c r="C128" s="100"/>
      <c r="D128" s="100"/>
      <c r="E128" s="100"/>
      <c r="F128" s="100"/>
      <c r="G128" s="103"/>
      <c r="H128" s="186"/>
      <c r="I128" s="195">
        <v>0.51</v>
      </c>
      <c r="J128" s="107">
        <v>0.49</v>
      </c>
      <c r="K128" s="107"/>
      <c r="L128" s="107"/>
      <c r="M128" s="187"/>
      <c r="N128" s="169">
        <f t="shared" si="41"/>
        <v>1</v>
      </c>
      <c r="O128" s="144">
        <v>1</v>
      </c>
      <c r="P128" s="145">
        <v>15</v>
      </c>
      <c r="Q128" s="113">
        <v>15</v>
      </c>
      <c r="R128" s="113"/>
      <c r="S128" s="113"/>
      <c r="T128" s="146"/>
      <c r="U128" s="148">
        <f t="shared" si="42"/>
        <v>15</v>
      </c>
      <c r="V128" s="149">
        <f t="shared" si="43"/>
        <v>15</v>
      </c>
      <c r="W128" s="189"/>
      <c r="X128" s="199"/>
      <c r="Y128" s="151"/>
      <c r="Z128" s="190"/>
      <c r="AA128" s="153"/>
      <c r="AB128" s="154">
        <f t="shared" si="44"/>
        <v>0</v>
      </c>
      <c r="AC128" s="149">
        <f t="shared" si="45"/>
        <v>0</v>
      </c>
      <c r="AD128" s="125">
        <v>2</v>
      </c>
      <c r="AE128" s="148">
        <f t="shared" si="46"/>
        <v>2</v>
      </c>
      <c r="AF128" s="156"/>
      <c r="AG128" s="156"/>
      <c r="AH128" s="113">
        <f t="shared" si="47"/>
        <v>17</v>
      </c>
      <c r="AI128" s="157">
        <v>65</v>
      </c>
      <c r="AJ128" s="113">
        <f t="shared" si="48"/>
        <v>82</v>
      </c>
      <c r="AK128" s="113">
        <f t="shared" si="49"/>
        <v>82</v>
      </c>
      <c r="AL128" s="158">
        <f t="shared" si="50"/>
        <v>1.02</v>
      </c>
      <c r="AM128" s="159"/>
      <c r="AN128" s="160">
        <f t="shared" si="53"/>
        <v>1</v>
      </c>
      <c r="AO128" s="160">
        <f t="shared" si="53"/>
        <v>2</v>
      </c>
      <c r="AP128" s="133"/>
      <c r="AQ128" s="134"/>
      <c r="AR128" s="161"/>
      <c r="AS128" s="161"/>
      <c r="AT128" s="161"/>
      <c r="AU128" s="161"/>
      <c r="AV128" s="162"/>
      <c r="AW128" s="137">
        <f t="shared" si="51"/>
        <v>0</v>
      </c>
      <c r="AX128" s="137">
        <f t="shared" si="52"/>
        <v>0</v>
      </c>
    </row>
    <row r="129" ht="46.5" customHeight="1" spans="1:50" s="97" customFormat="1" x14ac:dyDescent="0.25">
      <c r="A129" s="100"/>
      <c r="B129" s="100"/>
      <c r="C129" s="100"/>
      <c r="D129" s="100"/>
      <c r="E129" s="100"/>
      <c r="F129" s="100"/>
      <c r="G129" s="103"/>
      <c r="H129" s="186"/>
      <c r="I129" s="195">
        <v>0.51</v>
      </c>
      <c r="J129" s="107">
        <v>0.49</v>
      </c>
      <c r="K129" s="107"/>
      <c r="L129" s="107"/>
      <c r="M129" s="187"/>
      <c r="N129" s="169">
        <f t="shared" si="41"/>
        <v>1</v>
      </c>
      <c r="O129" s="144">
        <v>1</v>
      </c>
      <c r="P129" s="145">
        <v>15</v>
      </c>
      <c r="Q129" s="113">
        <v>15</v>
      </c>
      <c r="R129" s="113"/>
      <c r="S129" s="113"/>
      <c r="T129" s="146"/>
      <c r="U129" s="148">
        <f t="shared" si="42"/>
        <v>15</v>
      </c>
      <c r="V129" s="149">
        <f t="shared" si="43"/>
        <v>15</v>
      </c>
      <c r="W129" s="189"/>
      <c r="X129" s="199"/>
      <c r="Y129" s="151"/>
      <c r="Z129" s="190"/>
      <c r="AA129" s="153"/>
      <c r="AB129" s="154">
        <f t="shared" si="44"/>
        <v>0</v>
      </c>
      <c r="AC129" s="149">
        <f t="shared" si="45"/>
        <v>0</v>
      </c>
      <c r="AD129" s="125">
        <v>2</v>
      </c>
      <c r="AE129" s="148">
        <f t="shared" si="46"/>
        <v>2</v>
      </c>
      <c r="AF129" s="156"/>
      <c r="AG129" s="156"/>
      <c r="AH129" s="113">
        <f t="shared" si="47"/>
        <v>17</v>
      </c>
      <c r="AI129" s="157">
        <v>65</v>
      </c>
      <c r="AJ129" s="113">
        <f t="shared" si="48"/>
        <v>82</v>
      </c>
      <c r="AK129" s="113">
        <f t="shared" si="49"/>
        <v>82</v>
      </c>
      <c r="AL129" s="158">
        <f t="shared" si="50"/>
        <v>1.02</v>
      </c>
      <c r="AM129" s="159"/>
      <c r="AN129" s="160">
        <f t="shared" si="53"/>
        <v>1</v>
      </c>
      <c r="AO129" s="160">
        <f t="shared" si="53"/>
        <v>2</v>
      </c>
      <c r="AP129" s="133"/>
      <c r="AQ129" s="134"/>
      <c r="AR129" s="161"/>
      <c r="AS129" s="161"/>
      <c r="AT129" s="161"/>
      <c r="AU129" s="161"/>
      <c r="AV129" s="162"/>
      <c r="AW129" s="137">
        <f t="shared" si="51"/>
        <v>0</v>
      </c>
      <c r="AX129" s="137">
        <f t="shared" si="52"/>
        <v>0</v>
      </c>
    </row>
    <row r="130" ht="46.5" customHeight="1" spans="1:50" s="97" customFormat="1" x14ac:dyDescent="0.25">
      <c r="A130" s="100"/>
      <c r="B130" s="100"/>
      <c r="C130" s="100"/>
      <c r="D130" s="100"/>
      <c r="E130" s="100"/>
      <c r="F130" s="100"/>
      <c r="G130" s="103"/>
      <c r="H130" s="186"/>
      <c r="I130" s="195">
        <v>0.51</v>
      </c>
      <c r="J130" s="107">
        <v>0.49</v>
      </c>
      <c r="K130" s="107"/>
      <c r="L130" s="107"/>
      <c r="M130" s="187"/>
      <c r="N130" s="169">
        <f t="shared" si="41"/>
        <v>1</v>
      </c>
      <c r="O130" s="144">
        <v>1</v>
      </c>
      <c r="P130" s="145">
        <v>15</v>
      </c>
      <c r="Q130" s="113">
        <v>15</v>
      </c>
      <c r="R130" s="113"/>
      <c r="S130" s="113"/>
      <c r="T130" s="146"/>
      <c r="U130" s="148">
        <f t="shared" si="42"/>
        <v>15</v>
      </c>
      <c r="V130" s="149">
        <f t="shared" si="43"/>
        <v>15</v>
      </c>
      <c r="W130" s="189"/>
      <c r="X130" s="199"/>
      <c r="Y130" s="151"/>
      <c r="Z130" s="190"/>
      <c r="AA130" s="153"/>
      <c r="AB130" s="154">
        <f t="shared" si="44"/>
        <v>0</v>
      </c>
      <c r="AC130" s="149">
        <f t="shared" si="45"/>
        <v>0</v>
      </c>
      <c r="AD130" s="125">
        <v>2</v>
      </c>
      <c r="AE130" s="148">
        <f t="shared" si="46"/>
        <v>2</v>
      </c>
      <c r="AF130" s="156"/>
      <c r="AG130" s="156"/>
      <c r="AH130" s="113">
        <f t="shared" si="47"/>
        <v>17</v>
      </c>
      <c r="AI130" s="157">
        <v>65</v>
      </c>
      <c r="AJ130" s="113">
        <f t="shared" si="48"/>
        <v>82</v>
      </c>
      <c r="AK130" s="113">
        <f t="shared" si="49"/>
        <v>82</v>
      </c>
      <c r="AL130" s="158">
        <f t="shared" si="50"/>
        <v>1.02</v>
      </c>
      <c r="AM130" s="159"/>
      <c r="AN130" s="160">
        <f t="shared" si="53"/>
        <v>1</v>
      </c>
      <c r="AO130" s="160">
        <f t="shared" si="53"/>
        <v>2</v>
      </c>
      <c r="AP130" s="133"/>
      <c r="AQ130" s="134"/>
      <c r="AR130" s="161"/>
      <c r="AS130" s="161"/>
      <c r="AT130" s="161"/>
      <c r="AU130" s="161"/>
      <c r="AV130" s="162"/>
      <c r="AW130" s="137">
        <f t="shared" si="51"/>
        <v>0</v>
      </c>
      <c r="AX130" s="137">
        <f t="shared" si="52"/>
        <v>0</v>
      </c>
    </row>
    <row r="131" ht="47.25" customHeight="1" spans="1:50" s="97" customFormat="1" x14ac:dyDescent="0.25">
      <c r="A131" s="100"/>
      <c r="B131" s="100"/>
      <c r="C131" s="100"/>
      <c r="D131" s="100"/>
      <c r="E131" s="100"/>
      <c r="F131" s="100"/>
      <c r="G131" s="103"/>
      <c r="H131" s="186"/>
      <c r="I131" s="195">
        <v>0.51</v>
      </c>
      <c r="J131" s="107">
        <v>0.49</v>
      </c>
      <c r="K131" s="107"/>
      <c r="L131" s="107"/>
      <c r="M131" s="187"/>
      <c r="N131" s="169">
        <f t="shared" si="41"/>
        <v>1</v>
      </c>
      <c r="O131" s="144">
        <v>1</v>
      </c>
      <c r="P131" s="145">
        <v>15</v>
      </c>
      <c r="Q131" s="113">
        <v>15</v>
      </c>
      <c r="R131" s="113"/>
      <c r="S131" s="113"/>
      <c r="T131" s="146"/>
      <c r="U131" s="148">
        <f t="shared" si="42"/>
        <v>15</v>
      </c>
      <c r="V131" s="149">
        <f t="shared" si="43"/>
        <v>15</v>
      </c>
      <c r="W131" s="189"/>
      <c r="X131" s="199"/>
      <c r="Y131" s="151"/>
      <c r="Z131" s="190"/>
      <c r="AA131" s="153"/>
      <c r="AB131" s="154">
        <f t="shared" si="44"/>
        <v>0</v>
      </c>
      <c r="AC131" s="149">
        <f t="shared" si="45"/>
        <v>0</v>
      </c>
      <c r="AD131" s="125">
        <v>2</v>
      </c>
      <c r="AE131" s="148">
        <f t="shared" si="46"/>
        <v>2</v>
      </c>
      <c r="AF131" s="156"/>
      <c r="AG131" s="156"/>
      <c r="AH131" s="113">
        <f t="shared" si="47"/>
        <v>17</v>
      </c>
      <c r="AI131" s="157">
        <v>65</v>
      </c>
      <c r="AJ131" s="113">
        <f t="shared" si="48"/>
        <v>82</v>
      </c>
      <c r="AK131" s="113">
        <f t="shared" si="49"/>
        <v>82</v>
      </c>
      <c r="AL131" s="158">
        <f t="shared" si="50"/>
        <v>1.02</v>
      </c>
      <c r="AM131" s="159"/>
      <c r="AN131" s="160">
        <f t="shared" ref="AN131:AO136" si="54">100%+AM131</f>
        <v>1</v>
      </c>
      <c r="AO131" s="160">
        <f t="shared" si="54"/>
        <v>2</v>
      </c>
      <c r="AP131" s="133"/>
      <c r="AQ131" s="134"/>
      <c r="AR131" s="161"/>
      <c r="AS131" s="161"/>
      <c r="AT131" s="161"/>
      <c r="AU131" s="161"/>
      <c r="AV131" s="162"/>
      <c r="AW131" s="137">
        <f t="shared" si="51"/>
        <v>0</v>
      </c>
      <c r="AX131" s="137">
        <f t="shared" si="52"/>
        <v>0</v>
      </c>
    </row>
    <row r="132" ht="47.25" customHeight="1" spans="1:50" s="56" customFormat="1" x14ac:dyDescent="0.25">
      <c r="A132" s="100"/>
      <c r="B132" s="100"/>
      <c r="C132" s="100"/>
      <c r="D132" s="100"/>
      <c r="E132" s="100"/>
      <c r="F132" s="100"/>
      <c r="G132" s="103"/>
      <c r="H132" s="186"/>
      <c r="I132" s="195">
        <v>0.51</v>
      </c>
      <c r="J132" s="107">
        <v>0.49</v>
      </c>
      <c r="K132" s="107"/>
      <c r="L132" s="107"/>
      <c r="M132" s="187"/>
      <c r="N132" s="169">
        <f t="shared" si="41"/>
        <v>1</v>
      </c>
      <c r="O132" s="144">
        <v>1</v>
      </c>
      <c r="P132" s="145">
        <v>15</v>
      </c>
      <c r="Q132" s="113">
        <v>15</v>
      </c>
      <c r="R132" s="113"/>
      <c r="S132" s="113"/>
      <c r="T132" s="146"/>
      <c r="U132" s="148">
        <f t="shared" si="42"/>
        <v>15</v>
      </c>
      <c r="V132" s="149">
        <f t="shared" si="43"/>
        <v>15</v>
      </c>
      <c r="W132" s="189"/>
      <c r="X132" s="199"/>
      <c r="Y132" s="151"/>
      <c r="Z132" s="190"/>
      <c r="AA132" s="153"/>
      <c r="AB132" s="154">
        <f t="shared" si="44"/>
        <v>0</v>
      </c>
      <c r="AC132" s="149">
        <f t="shared" si="45"/>
        <v>0</v>
      </c>
      <c r="AD132" s="125">
        <v>2</v>
      </c>
      <c r="AE132" s="148">
        <f t="shared" si="46"/>
        <v>2</v>
      </c>
      <c r="AF132" s="156"/>
      <c r="AG132" s="156"/>
      <c r="AH132" s="113">
        <f t="shared" si="47"/>
        <v>17</v>
      </c>
      <c r="AI132" s="157">
        <v>65</v>
      </c>
      <c r="AJ132" s="113">
        <f t="shared" si="48"/>
        <v>82</v>
      </c>
      <c r="AK132" s="113">
        <f t="shared" si="49"/>
        <v>82</v>
      </c>
      <c r="AL132" s="158">
        <f t="shared" si="50"/>
        <v>1.02</v>
      </c>
      <c r="AM132" s="159"/>
      <c r="AN132" s="160">
        <f t="shared" si="54"/>
        <v>1</v>
      </c>
      <c r="AO132" s="160">
        <f t="shared" si="54"/>
        <v>2</v>
      </c>
      <c r="AP132" s="133"/>
      <c r="AQ132" s="134"/>
      <c r="AR132" s="161"/>
      <c r="AS132" s="161"/>
      <c r="AT132" s="161"/>
      <c r="AU132" s="161"/>
      <c r="AV132" s="162"/>
      <c r="AW132" s="137">
        <f t="shared" si="51"/>
        <v>0</v>
      </c>
      <c r="AX132" s="137">
        <f t="shared" si="52"/>
        <v>0</v>
      </c>
    </row>
    <row r="133" ht="46.5" customHeight="1" spans="1:50" s="97" customFormat="1" x14ac:dyDescent="0.25">
      <c r="A133" s="100"/>
      <c r="B133" s="100"/>
      <c r="C133" s="100"/>
      <c r="D133" s="100"/>
      <c r="E133" s="100"/>
      <c r="F133" s="100"/>
      <c r="G133" s="103"/>
      <c r="H133" s="186"/>
      <c r="I133" s="195">
        <v>0.51</v>
      </c>
      <c r="J133" s="107">
        <v>0.49</v>
      </c>
      <c r="K133" s="107"/>
      <c r="L133" s="107"/>
      <c r="M133" s="187"/>
      <c r="N133" s="169">
        <f t="shared" si="41"/>
        <v>1</v>
      </c>
      <c r="O133" s="144">
        <v>1</v>
      </c>
      <c r="P133" s="145">
        <v>15</v>
      </c>
      <c r="Q133" s="113">
        <v>15</v>
      </c>
      <c r="R133" s="113"/>
      <c r="S133" s="113"/>
      <c r="T133" s="146"/>
      <c r="U133" s="148">
        <f t="shared" si="42"/>
        <v>15</v>
      </c>
      <c r="V133" s="149">
        <f t="shared" si="43"/>
        <v>15</v>
      </c>
      <c r="W133" s="189"/>
      <c r="X133" s="199"/>
      <c r="Y133" s="151"/>
      <c r="Z133" s="190"/>
      <c r="AA133" s="153"/>
      <c r="AB133" s="154">
        <f t="shared" si="44"/>
        <v>0</v>
      </c>
      <c r="AC133" s="149">
        <f t="shared" si="45"/>
        <v>0</v>
      </c>
      <c r="AD133" s="125">
        <v>2</v>
      </c>
      <c r="AE133" s="148">
        <f t="shared" si="46"/>
        <v>2</v>
      </c>
      <c r="AF133" s="156"/>
      <c r="AG133" s="156"/>
      <c r="AH133" s="113">
        <f t="shared" si="47"/>
        <v>17</v>
      </c>
      <c r="AI133" s="157">
        <v>65</v>
      </c>
      <c r="AJ133" s="113">
        <f t="shared" si="48"/>
        <v>82</v>
      </c>
      <c r="AK133" s="113">
        <f t="shared" si="49"/>
        <v>82</v>
      </c>
      <c r="AL133" s="158">
        <f t="shared" si="50"/>
        <v>1.02</v>
      </c>
      <c r="AM133" s="159"/>
      <c r="AN133" s="160">
        <f t="shared" si="54"/>
        <v>1</v>
      </c>
      <c r="AO133" s="160">
        <f t="shared" si="54"/>
        <v>2</v>
      </c>
      <c r="AP133" s="133"/>
      <c r="AQ133" s="134"/>
      <c r="AR133" s="161"/>
      <c r="AS133" s="161"/>
      <c r="AT133" s="161"/>
      <c r="AU133" s="161"/>
      <c r="AV133" s="162"/>
      <c r="AW133" s="137">
        <f t="shared" si="51"/>
        <v>0</v>
      </c>
      <c r="AX133" s="137">
        <f t="shared" si="52"/>
        <v>0</v>
      </c>
    </row>
    <row r="134" ht="47.25" customHeight="1" spans="1:50" s="56" customFormat="1" x14ac:dyDescent="0.25">
      <c r="A134" s="100"/>
      <c r="B134" s="100"/>
      <c r="C134" s="100"/>
      <c r="D134" s="100"/>
      <c r="E134" s="100"/>
      <c r="F134" s="100"/>
      <c r="G134" s="103"/>
      <c r="H134" s="186"/>
      <c r="I134" s="195">
        <v>0.51</v>
      </c>
      <c r="J134" s="107">
        <v>0.49</v>
      </c>
      <c r="K134" s="107"/>
      <c r="L134" s="107"/>
      <c r="M134" s="187"/>
      <c r="N134" s="169">
        <f t="shared" si="41"/>
        <v>1</v>
      </c>
      <c r="O134" s="144">
        <v>1</v>
      </c>
      <c r="P134" s="145">
        <v>15</v>
      </c>
      <c r="Q134" s="113">
        <v>15</v>
      </c>
      <c r="R134" s="113"/>
      <c r="S134" s="113"/>
      <c r="T134" s="146"/>
      <c r="U134" s="148">
        <f t="shared" si="42"/>
        <v>15</v>
      </c>
      <c r="V134" s="149">
        <f t="shared" si="43"/>
        <v>15</v>
      </c>
      <c r="W134" s="189"/>
      <c r="X134" s="199"/>
      <c r="Y134" s="151"/>
      <c r="Z134" s="190"/>
      <c r="AA134" s="153"/>
      <c r="AB134" s="154">
        <f t="shared" si="44"/>
        <v>0</v>
      </c>
      <c r="AC134" s="149">
        <f t="shared" si="45"/>
        <v>0</v>
      </c>
      <c r="AD134" s="125">
        <v>2</v>
      </c>
      <c r="AE134" s="148">
        <f t="shared" si="46"/>
        <v>2</v>
      </c>
      <c r="AF134" s="156"/>
      <c r="AG134" s="156"/>
      <c r="AH134" s="113">
        <f t="shared" si="47"/>
        <v>17</v>
      </c>
      <c r="AI134" s="157">
        <v>65</v>
      </c>
      <c r="AJ134" s="113">
        <f t="shared" si="48"/>
        <v>82</v>
      </c>
      <c r="AK134" s="113">
        <f t="shared" si="49"/>
        <v>82</v>
      </c>
      <c r="AL134" s="158">
        <f t="shared" si="50"/>
        <v>1.02</v>
      </c>
      <c r="AM134" s="159"/>
      <c r="AN134" s="160">
        <f t="shared" si="54"/>
        <v>1</v>
      </c>
      <c r="AO134" s="160">
        <f t="shared" si="54"/>
        <v>2</v>
      </c>
      <c r="AP134" s="133"/>
      <c r="AQ134" s="134"/>
      <c r="AR134" s="161"/>
      <c r="AS134" s="161"/>
      <c r="AT134" s="161"/>
      <c r="AU134" s="161"/>
      <c r="AV134" s="162"/>
      <c r="AW134" s="137">
        <f t="shared" si="51"/>
        <v>0</v>
      </c>
      <c r="AX134" s="137">
        <f t="shared" si="52"/>
        <v>0</v>
      </c>
    </row>
    <row r="135" ht="47.25" customHeight="1" spans="1:50" s="97" customFormat="1" x14ac:dyDescent="0.25">
      <c r="A135" s="100"/>
      <c r="B135" s="100"/>
      <c r="C135" s="100"/>
      <c r="D135" s="100"/>
      <c r="E135" s="100"/>
      <c r="F135" s="100"/>
      <c r="G135" s="103"/>
      <c r="H135" s="186"/>
      <c r="I135" s="195">
        <v>0.51</v>
      </c>
      <c r="J135" s="107">
        <v>0.49</v>
      </c>
      <c r="K135" s="107"/>
      <c r="L135" s="107"/>
      <c r="M135" s="187"/>
      <c r="N135" s="169">
        <f t="shared" si="41"/>
        <v>1</v>
      </c>
      <c r="O135" s="144">
        <v>1</v>
      </c>
      <c r="P135" s="145">
        <v>15</v>
      </c>
      <c r="Q135" s="113">
        <v>15</v>
      </c>
      <c r="R135" s="113"/>
      <c r="S135" s="113"/>
      <c r="T135" s="146"/>
      <c r="U135" s="148">
        <f t="shared" si="42"/>
        <v>15</v>
      </c>
      <c r="V135" s="149">
        <f t="shared" si="43"/>
        <v>15</v>
      </c>
      <c r="W135" s="189"/>
      <c r="X135" s="199"/>
      <c r="Y135" s="151"/>
      <c r="Z135" s="190"/>
      <c r="AA135" s="153"/>
      <c r="AB135" s="154">
        <f t="shared" si="44"/>
        <v>0</v>
      </c>
      <c r="AC135" s="149">
        <f t="shared" si="45"/>
        <v>0</v>
      </c>
      <c r="AD135" s="125">
        <v>2</v>
      </c>
      <c r="AE135" s="148">
        <f t="shared" si="46"/>
        <v>2</v>
      </c>
      <c r="AF135" s="156"/>
      <c r="AG135" s="156"/>
      <c r="AH135" s="113">
        <f t="shared" si="47"/>
        <v>17</v>
      </c>
      <c r="AI135" s="157">
        <v>65</v>
      </c>
      <c r="AJ135" s="113">
        <f t="shared" si="48"/>
        <v>82</v>
      </c>
      <c r="AK135" s="113">
        <f t="shared" si="49"/>
        <v>82</v>
      </c>
      <c r="AL135" s="158">
        <f t="shared" si="50"/>
        <v>1.02</v>
      </c>
      <c r="AM135" s="159"/>
      <c r="AN135" s="160">
        <f t="shared" si="54"/>
        <v>1</v>
      </c>
      <c r="AO135" s="160">
        <f t="shared" si="54"/>
        <v>2</v>
      </c>
      <c r="AP135" s="133"/>
      <c r="AQ135" s="134"/>
      <c r="AR135" s="161"/>
      <c r="AS135" s="161"/>
      <c r="AT135" s="161"/>
      <c r="AU135" s="161"/>
      <c r="AV135" s="162"/>
      <c r="AW135" s="137">
        <f t="shared" si="51"/>
        <v>0</v>
      </c>
      <c r="AX135" s="137">
        <f t="shared" si="52"/>
        <v>0</v>
      </c>
    </row>
    <row r="136" ht="46.5" customHeight="1" spans="1:50" s="97" customFormat="1" x14ac:dyDescent="0.25">
      <c r="A136" s="100"/>
      <c r="B136" s="100"/>
      <c r="C136" s="100"/>
      <c r="D136" s="100"/>
      <c r="E136" s="100"/>
      <c r="F136" s="100"/>
      <c r="G136" s="103"/>
      <c r="H136" s="186"/>
      <c r="I136" s="195">
        <v>0.51</v>
      </c>
      <c r="J136" s="107">
        <v>0.49</v>
      </c>
      <c r="K136" s="107"/>
      <c r="L136" s="107"/>
      <c r="M136" s="187"/>
      <c r="N136" s="169">
        <f t="shared" si="41"/>
        <v>1</v>
      </c>
      <c r="O136" s="144">
        <v>1</v>
      </c>
      <c r="P136" s="145">
        <v>15</v>
      </c>
      <c r="Q136" s="113">
        <v>15</v>
      </c>
      <c r="R136" s="113"/>
      <c r="S136" s="113"/>
      <c r="T136" s="146"/>
      <c r="U136" s="148">
        <f t="shared" si="42"/>
        <v>15</v>
      </c>
      <c r="V136" s="149">
        <f t="shared" si="43"/>
        <v>15</v>
      </c>
      <c r="W136" s="189"/>
      <c r="X136" s="199"/>
      <c r="Y136" s="151"/>
      <c r="Z136" s="190"/>
      <c r="AA136" s="153"/>
      <c r="AB136" s="154">
        <f t="shared" si="44"/>
        <v>0</v>
      </c>
      <c r="AC136" s="149">
        <f t="shared" si="45"/>
        <v>0</v>
      </c>
      <c r="AD136" s="125">
        <v>2</v>
      </c>
      <c r="AE136" s="148">
        <f t="shared" si="46"/>
        <v>2</v>
      </c>
      <c r="AF136" s="156"/>
      <c r="AG136" s="156"/>
      <c r="AH136" s="113">
        <f t="shared" si="47"/>
        <v>17</v>
      </c>
      <c r="AI136" s="157">
        <v>65</v>
      </c>
      <c r="AJ136" s="113">
        <f t="shared" si="48"/>
        <v>82</v>
      </c>
      <c r="AK136" s="113">
        <f t="shared" si="49"/>
        <v>82</v>
      </c>
      <c r="AL136" s="158">
        <f t="shared" si="50"/>
        <v>1.02</v>
      </c>
      <c r="AM136" s="159"/>
      <c r="AN136" s="160">
        <f t="shared" si="54"/>
        <v>1</v>
      </c>
      <c r="AO136" s="160">
        <f t="shared" si="54"/>
        <v>2</v>
      </c>
      <c r="AP136" s="133"/>
      <c r="AQ136" s="134"/>
      <c r="AR136" s="161"/>
      <c r="AS136" s="161"/>
      <c r="AT136" s="161"/>
      <c r="AU136" s="161"/>
      <c r="AV136" s="162"/>
      <c r="AW136" s="137">
        <f t="shared" si="51"/>
        <v>0</v>
      </c>
      <c r="AX136" s="137">
        <f t="shared" si="52"/>
        <v>0</v>
      </c>
    </row>
  </sheetData>
  <mergeCells count="41">
    <mergeCell ref="D1:E1"/>
    <mergeCell ref="F1:G1"/>
    <mergeCell ref="I1:J1"/>
    <mergeCell ref="Y1:Z1"/>
    <mergeCell ref="AA1:AC1"/>
    <mergeCell ref="AD1:AE1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AS2:AT2"/>
    <mergeCell ref="C3:H3"/>
    <mergeCell ref="I3:M3"/>
    <mergeCell ref="P3:U3"/>
    <mergeCell ref="W3:AE3"/>
    <mergeCell ref="A3:A4"/>
    <mergeCell ref="B3:B4"/>
    <mergeCell ref="N3:N4"/>
    <mergeCell ref="O3:O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6:H6"/>
    <mergeCell ref="A8:H8"/>
    <mergeCell ref="A10:H10"/>
  </mergeCells>
  <pageMargins left="0.7" right="0.7" top="0.75" bottom="0.75" header="0.3" footer="0.3"/>
  <pageSetup paperSize="9" orientation="portrait" horizontalDpi="4294967295" verticalDpi="4294967295" scale="40" fitToWidth="1" fitToHeight="1" firstPageNumber="1" useFirstPageNumber="1" copies="1"/>
</worksheet>
</file>

<file path=xl/worksheets/sheet8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X136"/>
  <sheetViews>
    <sheetView workbookViewId="0" zoomScale="80" zoomScaleNormal="80">
      <selection activeCell="J16" sqref="J16"/>
    </sheetView>
  </sheetViews>
  <sheetFormatPr defaultRowHeight="13.5" outlineLevelRow="0" outlineLevelCol="0" x14ac:dyDescent="0.15" defaultColWidth="8.88671875" customHeight="1"/>
  <cols>
    <col min="1" max="1" width="5.33203125" style="1" customWidth="1"/>
    <col min="2" max="2" width="5.109375" style="2" customWidth="1"/>
    <col min="3" max="3" width="8.33203125" style="3" customWidth="1"/>
    <col min="4" max="7" width="8.33203125" style="1" customWidth="1"/>
    <col min="8" max="13" width="8.109375" style="1" customWidth="1"/>
    <col min="14" max="15" width="5.88671875" style="1" customWidth="1"/>
    <col min="16" max="21" width="7.5546875" style="1" customWidth="1"/>
    <col min="22" max="22" width="7.6640625" style="4" hidden="1" customWidth="1"/>
    <col min="23" max="27" width="8.33203125" style="1" customWidth="1"/>
    <col min="28" max="28" width="7.6640625" style="1" customWidth="1"/>
    <col min="29" max="29" width="7.6640625" style="4" hidden="1" customWidth="1"/>
    <col min="30" max="31" width="7.6640625" style="4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 customWidth="1"/>
    <col min="49" max="50" width="15.109375" style="1" customWidth="1"/>
    <col min="51" max="16384" width="8.88671875" style="1" customWidth="1"/>
  </cols>
  <sheetData>
    <row r="1" ht="32.25" customHeight="1" spans="3:42" x14ac:dyDescent="0.25">
      <c r="C1" s="5" t="s">
        <v>0</v>
      </c>
      <c r="D1" s="6">
        <v>4538070000</v>
      </c>
      <c r="E1" s="7"/>
      <c r="F1" s="6"/>
      <c r="G1" s="7"/>
      <c r="H1" s="8" t="s">
        <v>1</v>
      </c>
      <c r="I1" s="9">
        <v>4674530000</v>
      </c>
      <c r="J1" s="9"/>
      <c r="K1" s="220" t="s">
        <v>220</v>
      </c>
      <c r="L1" s="11"/>
      <c r="M1" s="11"/>
      <c r="N1" s="12"/>
      <c r="O1" s="12"/>
      <c r="P1" s="12"/>
      <c r="Q1" s="12"/>
      <c r="R1" s="12"/>
      <c r="S1" s="12"/>
      <c r="T1" s="12"/>
      <c r="U1" s="12"/>
      <c r="V1" s="12"/>
      <c r="W1" s="12"/>
      <c r="X1" s="13"/>
      <c r="Y1" s="14" t="s">
        <v>3</v>
      </c>
      <c r="Z1" s="14"/>
      <c r="AA1" s="15" t="s">
        <v>4</v>
      </c>
      <c r="AB1" s="16"/>
      <c r="AC1" s="17"/>
      <c r="AD1" s="18" t="s">
        <v>5</v>
      </c>
      <c r="AE1" s="19"/>
      <c r="AF1" s="20"/>
      <c r="AG1" s="21" t="s">
        <v>6</v>
      </c>
      <c r="AH1" s="22"/>
      <c r="AI1" s="23">
        <f>D1</f>
        <v>4538070000</v>
      </c>
      <c r="AJ1" s="24"/>
      <c r="AK1" s="24"/>
      <c r="AL1" s="25" t="s">
        <v>7</v>
      </c>
      <c r="AM1" s="26"/>
      <c r="AN1" s="26"/>
      <c r="AO1" s="26"/>
      <c r="AP1" s="12"/>
    </row>
    <row r="2" ht="29.25" customHeight="1" spans="1:49" s="27" customFormat="1" x14ac:dyDescent="0.25">
      <c r="A2" s="20"/>
      <c r="B2" s="28"/>
      <c r="C2" s="29" t="s">
        <v>8</v>
      </c>
      <c r="D2" s="30">
        <v>4674530000</v>
      </c>
      <c r="E2" s="31"/>
      <c r="F2" s="32"/>
      <c r="G2" s="33"/>
      <c r="H2" s="5" t="s">
        <v>9</v>
      </c>
      <c r="I2" s="34">
        <f>D2*1</f>
        <v>4674530000</v>
      </c>
      <c r="J2" s="32"/>
      <c r="K2" s="35" t="s">
        <v>10</v>
      </c>
      <c r="L2" s="36" t="s">
        <v>11</v>
      </c>
      <c r="M2" s="37">
        <v>45950.45833333333</v>
      </c>
      <c r="N2" s="37"/>
      <c r="O2" s="37"/>
      <c r="P2" s="37"/>
      <c r="Q2" s="38" t="s">
        <v>221</v>
      </c>
      <c r="R2" s="38"/>
      <c r="S2" s="38"/>
      <c r="T2" s="39"/>
      <c r="U2" s="40"/>
      <c r="V2" s="40"/>
      <c r="W2" s="41"/>
      <c r="X2" s="42"/>
      <c r="Y2" s="202">
        <v>2847600000</v>
      </c>
      <c r="Z2" s="202"/>
      <c r="AA2" s="44">
        <f>I1</f>
        <v>4674530000</v>
      </c>
      <c r="AB2" s="45"/>
      <c r="AC2" s="46"/>
      <c r="AD2" s="47">
        <f>TRUNC(Y2/AA2,4)</f>
        <v>0.6091</v>
      </c>
      <c r="AE2" s="48"/>
      <c r="AF2" s="49"/>
      <c r="AG2" s="50"/>
      <c r="AH2" s="50"/>
      <c r="AI2" s="50"/>
      <c r="AJ2" s="50"/>
      <c r="AK2" s="50"/>
      <c r="AL2" s="50"/>
      <c r="AM2" s="50"/>
      <c r="AN2" s="51" t="s">
        <v>172</v>
      </c>
      <c r="AP2" s="1"/>
      <c r="AQ2" s="1"/>
      <c r="AR2" s="52" t="s">
        <v>15</v>
      </c>
      <c r="AS2" s="53">
        <f>AI1</f>
        <v>4538070000</v>
      </c>
      <c r="AT2" s="54"/>
      <c r="AW2" s="55"/>
    </row>
    <row r="3" ht="24.95" customHeight="1" spans="1:50" s="56" customFormat="1" x14ac:dyDescent="0.25">
      <c r="A3" s="57" t="s">
        <v>16</v>
      </c>
      <c r="B3" s="58" t="s">
        <v>17</v>
      </c>
      <c r="C3" s="59" t="s">
        <v>18</v>
      </c>
      <c r="D3" s="60"/>
      <c r="E3" s="60"/>
      <c r="F3" s="60"/>
      <c r="G3" s="60"/>
      <c r="H3" s="61"/>
      <c r="I3" s="59" t="s">
        <v>19</v>
      </c>
      <c r="J3" s="60"/>
      <c r="K3" s="60"/>
      <c r="L3" s="60"/>
      <c r="M3" s="61"/>
      <c r="N3" s="62" t="s">
        <v>20</v>
      </c>
      <c r="O3" s="63" t="s">
        <v>21</v>
      </c>
      <c r="P3" s="59" t="s">
        <v>22</v>
      </c>
      <c r="Q3" s="60"/>
      <c r="R3" s="64"/>
      <c r="S3" s="64"/>
      <c r="T3" s="60"/>
      <c r="U3" s="61"/>
      <c r="V3" s="65"/>
      <c r="W3" s="59" t="s">
        <v>23</v>
      </c>
      <c r="X3" s="60"/>
      <c r="Y3" s="60"/>
      <c r="Z3" s="60"/>
      <c r="AA3" s="60"/>
      <c r="AB3" s="60"/>
      <c r="AC3" s="60"/>
      <c r="AD3" s="60"/>
      <c r="AE3" s="61"/>
      <c r="AF3" s="60"/>
      <c r="AG3" s="60"/>
      <c r="AH3" s="60"/>
      <c r="AI3" s="60"/>
      <c r="AJ3" s="60"/>
      <c r="AK3" s="61"/>
      <c r="AL3" s="66" t="s">
        <v>24</v>
      </c>
      <c r="AM3" s="67" t="s">
        <v>25</v>
      </c>
      <c r="AN3" s="68" t="s">
        <v>26</v>
      </c>
      <c r="AO3" s="69" t="s">
        <v>27</v>
      </c>
      <c r="AP3" s="70" t="s">
        <v>28</v>
      </c>
      <c r="AQ3" s="65" t="s">
        <v>29</v>
      </c>
      <c r="AR3" s="67" t="s">
        <v>30</v>
      </c>
      <c r="AS3" s="65" t="s">
        <v>31</v>
      </c>
      <c r="AT3" s="65" t="s">
        <v>32</v>
      </c>
      <c r="AU3" s="65" t="s">
        <v>33</v>
      </c>
      <c r="AV3" s="71" t="s">
        <v>34</v>
      </c>
      <c r="AW3" s="65" t="s">
        <v>35</v>
      </c>
      <c r="AX3" s="65" t="s">
        <v>36</v>
      </c>
    </row>
    <row r="4" ht="39.75" customHeight="1" spans="1:50" s="56" customFormat="1" x14ac:dyDescent="0.25">
      <c r="A4" s="72"/>
      <c r="B4" s="73"/>
      <c r="C4" s="74" t="s">
        <v>37</v>
      </c>
      <c r="D4" s="75" t="s">
        <v>38</v>
      </c>
      <c r="E4" s="76" t="s">
        <v>39</v>
      </c>
      <c r="F4" s="76" t="s">
        <v>40</v>
      </c>
      <c r="G4" s="77" t="s">
        <v>41</v>
      </c>
      <c r="H4" s="65" t="s">
        <v>100</v>
      </c>
      <c r="I4" s="78" t="s">
        <v>37</v>
      </c>
      <c r="J4" s="79" t="s">
        <v>38</v>
      </c>
      <c r="K4" s="75" t="s">
        <v>39</v>
      </c>
      <c r="L4" s="75" t="s">
        <v>40</v>
      </c>
      <c r="M4" s="80" t="s">
        <v>41</v>
      </c>
      <c r="N4" s="81"/>
      <c r="O4" s="82"/>
      <c r="P4" s="78" t="s">
        <v>37</v>
      </c>
      <c r="Q4" s="79" t="s">
        <v>38</v>
      </c>
      <c r="R4" s="75" t="s">
        <v>39</v>
      </c>
      <c r="S4" s="75" t="s">
        <v>40</v>
      </c>
      <c r="T4" s="80" t="s">
        <v>41</v>
      </c>
      <c r="U4" s="83" t="s">
        <v>42</v>
      </c>
      <c r="V4" s="84" t="s">
        <v>43</v>
      </c>
      <c r="W4" s="85" t="s">
        <v>37</v>
      </c>
      <c r="X4" s="79" t="s">
        <v>38</v>
      </c>
      <c r="Y4" s="79" t="s">
        <v>39</v>
      </c>
      <c r="Z4" s="79" t="s">
        <v>40</v>
      </c>
      <c r="AA4" s="80" t="s">
        <v>41</v>
      </c>
      <c r="AB4" s="86" t="s">
        <v>44</v>
      </c>
      <c r="AC4" s="87" t="s">
        <v>45</v>
      </c>
      <c r="AD4" s="88" t="s">
        <v>46</v>
      </c>
      <c r="AE4" s="88" t="s">
        <v>47</v>
      </c>
      <c r="AF4" s="89" t="s">
        <v>48</v>
      </c>
      <c r="AG4" s="89" t="s">
        <v>49</v>
      </c>
      <c r="AH4" s="90" t="s">
        <v>50</v>
      </c>
      <c r="AI4" s="91" t="s">
        <v>51</v>
      </c>
      <c r="AJ4" s="91"/>
      <c r="AK4" s="91" t="s">
        <v>52</v>
      </c>
      <c r="AL4" s="92"/>
      <c r="AM4" s="93"/>
      <c r="AN4" s="94"/>
      <c r="AO4" s="95"/>
      <c r="AP4" s="70"/>
      <c r="AQ4" s="65"/>
      <c r="AR4" s="93"/>
      <c r="AS4" s="65"/>
      <c r="AT4" s="65"/>
      <c r="AU4" s="65"/>
      <c r="AV4" s="96"/>
      <c r="AW4" s="65"/>
      <c r="AX4" s="65"/>
    </row>
    <row r="5" ht="46.5" customHeight="1" spans="1:50" s="97" customFormat="1" x14ac:dyDescent="0.25">
      <c r="A5" s="98">
        <v>1</v>
      </c>
      <c r="B5" s="163"/>
      <c r="C5" s="101" t="s">
        <v>54</v>
      </c>
      <c r="D5" s="102"/>
      <c r="E5" s="163"/>
      <c r="F5" s="102"/>
      <c r="G5" s="103"/>
      <c r="H5" s="104"/>
      <c r="I5" s="166">
        <v>1</v>
      </c>
      <c r="J5" s="247"/>
      <c r="K5" s="107"/>
      <c r="L5" s="108"/>
      <c r="M5" s="109"/>
      <c r="N5" s="110">
        <f>SUM(I5:M5)</f>
        <v>1</v>
      </c>
      <c r="O5" s="111">
        <v>1</v>
      </c>
      <c r="P5" s="112">
        <v>15</v>
      </c>
      <c r="Q5" s="217"/>
      <c r="R5" s="112"/>
      <c r="S5" s="114"/>
      <c r="T5" s="115"/>
      <c r="U5" s="116">
        <f>ROUND(((P5*I5)+(Q5*J5)+(R5*K5)+(S5*L5)+(T5*M5))*O5,2)</f>
        <v>15</v>
      </c>
      <c r="V5" s="117">
        <f>IF(U5&gt;=15,15,U5)</f>
        <v>15</v>
      </c>
      <c r="W5" s="120">
        <v>75440266000</v>
      </c>
      <c r="X5" s="221"/>
      <c r="Y5" s="120"/>
      <c r="Z5" s="121"/>
      <c r="AA5" s="122"/>
      <c r="AB5" s="123">
        <f>ROUND((((W5*I5)+(X5*J5)+(Y5*K5)+(Z5*L5)+(AA5*M5))/$I$2),2)*13</f>
        <v>209.82</v>
      </c>
      <c r="AC5" s="124">
        <f>IF(AB5&gt;=13,13,AB5)</f>
        <v>13</v>
      </c>
      <c r="AD5" s="125">
        <v>2</v>
      </c>
      <c r="AE5" s="116">
        <f>IF((AC5+AD5)&gt;=15,15,(AC5+AD5))</f>
        <v>15</v>
      </c>
      <c r="AF5" s="126"/>
      <c r="AG5" s="127">
        <v>3.2</v>
      </c>
      <c r="AH5" s="128">
        <f>IF((V5+AE5+AF5)&gt;=30,30,(V5+AE5+AF5))</f>
        <v>30</v>
      </c>
      <c r="AI5" s="129">
        <v>65</v>
      </c>
      <c r="AJ5" s="128">
        <f>V5+AE5+AF5+AI5+AG5</f>
        <v>98.2</v>
      </c>
      <c r="AK5" s="128">
        <f>IF(AH5+AI5+AG5&gt;=95,95,AH5+AI5+AG5)</f>
        <v>95</v>
      </c>
      <c r="AL5" s="130">
        <f>-((50-((176+(45+(50-AH5)))))/200)</f>
        <v>0.955</v>
      </c>
      <c r="AM5" s="131"/>
      <c r="AN5" s="132">
        <f>100%+AM5</f>
        <v>1</v>
      </c>
      <c r="AO5" s="132">
        <f>100%+AN5</f>
        <v>2</v>
      </c>
      <c r="AP5" s="133"/>
      <c r="AQ5" s="134"/>
      <c r="AR5" s="135"/>
      <c r="AS5" s="135"/>
      <c r="AT5" s="135"/>
      <c r="AU5" s="135"/>
      <c r="AV5" s="136"/>
      <c r="AW5" s="137">
        <f>AR5+AS5+AT5+AU5+AV5</f>
        <v>0</v>
      </c>
      <c r="AX5" s="137">
        <f>(AR5*I5)+(AS5*J5)+(AT5*K5)+(AU5*L5)+(AV5*M5)</f>
        <v>0</v>
      </c>
    </row>
    <row r="6" ht="21.95" customHeight="1" spans="1:50" s="97" customFormat="1" x14ac:dyDescent="0.25">
      <c r="A6" s="138" t="s">
        <v>56</v>
      </c>
      <c r="B6" s="139"/>
      <c r="C6" s="139"/>
      <c r="D6" s="139"/>
      <c r="E6" s="139"/>
      <c r="F6" s="139"/>
      <c r="G6" s="139"/>
      <c r="H6" s="140"/>
      <c r="I6" s="248">
        <v>85</v>
      </c>
      <c r="J6" s="142"/>
      <c r="K6" s="142"/>
      <c r="L6" s="142"/>
      <c r="M6" s="142"/>
      <c r="N6" s="143">
        <f>I6*I5+J6*J5+K6*K5+L6*L5+M6*M5</f>
        <v>85</v>
      </c>
      <c r="O6" s="144"/>
      <c r="P6" s="145"/>
      <c r="Q6" s="113"/>
      <c r="R6" s="113"/>
      <c r="S6" s="146"/>
      <c r="T6" s="147"/>
      <c r="U6" s="148"/>
      <c r="V6" s="149"/>
      <c r="W6" s="150"/>
      <c r="X6" s="151"/>
      <c r="Y6" s="152"/>
      <c r="Z6" s="151"/>
      <c r="AA6" s="153"/>
      <c r="AB6" s="154"/>
      <c r="AC6" s="149"/>
      <c r="AD6" s="148"/>
      <c r="AE6" s="148"/>
      <c r="AF6" s="155"/>
      <c r="AG6" s="156"/>
      <c r="AH6" s="113"/>
      <c r="AI6" s="157"/>
      <c r="AJ6" s="113"/>
      <c r="AK6" s="113"/>
      <c r="AL6" s="158"/>
      <c r="AM6" s="159"/>
      <c r="AN6" s="160"/>
      <c r="AO6" s="160"/>
      <c r="AP6" s="133"/>
      <c r="AQ6" s="134"/>
      <c r="AR6" s="161"/>
      <c r="AS6" s="161"/>
      <c r="AT6" s="161"/>
      <c r="AU6" s="161"/>
      <c r="AV6" s="162"/>
      <c r="AW6" s="137"/>
      <c r="AX6" s="137"/>
    </row>
    <row r="7" ht="46.5" customHeight="1" spans="1:50" s="97" customFormat="1" x14ac:dyDescent="0.25">
      <c r="A7" s="98">
        <v>2</v>
      </c>
      <c r="B7" s="163"/>
      <c r="C7" s="101" t="s">
        <v>59</v>
      </c>
      <c r="D7" s="102"/>
      <c r="E7" s="163"/>
      <c r="F7" s="163"/>
      <c r="G7" s="103"/>
      <c r="H7" s="171"/>
      <c r="I7" s="166">
        <v>1</v>
      </c>
      <c r="J7" s="107"/>
      <c r="K7" s="107"/>
      <c r="L7" s="167"/>
      <c r="M7" s="168"/>
      <c r="N7" s="169">
        <f>SUM(I7:M7)</f>
        <v>1</v>
      </c>
      <c r="O7" s="144">
        <v>1</v>
      </c>
      <c r="P7" s="112">
        <v>15</v>
      </c>
      <c r="Q7" s="178"/>
      <c r="R7" s="112"/>
      <c r="S7" s="146"/>
      <c r="T7" s="147"/>
      <c r="U7" s="148">
        <f>ROUND(((P7*I7)+(Q7*J7)+(R7*K7)+(S7*L7)+(T7*M7))*O7,2)</f>
        <v>15</v>
      </c>
      <c r="V7" s="149">
        <f>IF(U7&gt;=15,15,U7)</f>
        <v>15</v>
      </c>
      <c r="W7" s="120">
        <v>17928117000</v>
      </c>
      <c r="X7" s="120"/>
      <c r="Y7" s="120"/>
      <c r="Z7" s="151"/>
      <c r="AA7" s="153"/>
      <c r="AB7" s="154">
        <f>ROUND((((W7*I7)+(X7*J7)+(Y7*K7)+(Z7*L7)+(AA7*M7))/$I$2),2)*13</f>
        <v>49.92</v>
      </c>
      <c r="AC7" s="149">
        <f>IF(AB7&gt;=13,13,AB7)</f>
        <v>13</v>
      </c>
      <c r="AD7" s="125">
        <v>2</v>
      </c>
      <c r="AE7" s="148">
        <f>IF((AC7+AD7)&gt;=15,15,(AC7+AD7))</f>
        <v>15</v>
      </c>
      <c r="AF7" s="155"/>
      <c r="AG7" s="127">
        <v>3.2</v>
      </c>
      <c r="AH7" s="113">
        <f>IF((V7+AE7+AF7)&gt;=30,30,(V7+AE7+AF7))</f>
        <v>30</v>
      </c>
      <c r="AI7" s="157">
        <v>65</v>
      </c>
      <c r="AJ7" s="113">
        <f>V7+AE7+AF7+AI7+AG7</f>
        <v>98.2</v>
      </c>
      <c r="AK7" s="113">
        <f>IF(AH7+AI7+AG7&gt;=95,95,AH7+AI7+AG7)</f>
        <v>95</v>
      </c>
      <c r="AL7" s="158">
        <f>-((50-((176+(45+(50-AH7)))))/200)</f>
        <v>0.955</v>
      </c>
      <c r="AM7" s="159"/>
      <c r="AN7" s="160">
        <f>100%+AM7</f>
        <v>1</v>
      </c>
      <c r="AO7" s="160">
        <f>100%+AN7</f>
        <v>2</v>
      </c>
      <c r="AP7" s="133"/>
      <c r="AQ7" s="134"/>
      <c r="AR7" s="161"/>
      <c r="AS7" s="161"/>
      <c r="AT7" s="161"/>
      <c r="AU7" s="161"/>
      <c r="AV7" s="162"/>
      <c r="AW7" s="172">
        <f>AR7+AS7+AT7+AU7+AV7</f>
        <v>0</v>
      </c>
      <c r="AX7" s="172">
        <f>(AR7*I7)+(AS7*J7)+(AT7*K7)+(AU7*L7)+(AV7*M7)</f>
        <v>0</v>
      </c>
    </row>
    <row r="8" ht="21.95" customHeight="1" spans="1:50" s="97" customFormat="1" x14ac:dyDescent="0.25">
      <c r="A8" s="138" t="s">
        <v>56</v>
      </c>
      <c r="B8" s="139"/>
      <c r="C8" s="139"/>
      <c r="D8" s="139"/>
      <c r="E8" s="139"/>
      <c r="F8" s="139"/>
      <c r="G8" s="139"/>
      <c r="H8" s="140"/>
      <c r="I8" s="142">
        <v>85</v>
      </c>
      <c r="J8" s="142"/>
      <c r="K8" s="142"/>
      <c r="L8" s="142"/>
      <c r="M8" s="142"/>
      <c r="N8" s="143">
        <f>I8*I7+J8*J7+K8*K7+L8*L7+M8*M7</f>
        <v>85</v>
      </c>
      <c r="O8" s="144"/>
      <c r="P8" s="145"/>
      <c r="Q8" s="113"/>
      <c r="R8" s="113"/>
      <c r="S8" s="146"/>
      <c r="T8" s="147"/>
      <c r="U8" s="148"/>
      <c r="V8" s="149"/>
      <c r="W8" s="150"/>
      <c r="X8" s="151"/>
      <c r="Y8" s="152"/>
      <c r="Z8" s="151"/>
      <c r="AA8" s="153"/>
      <c r="AB8" s="154"/>
      <c r="AC8" s="149"/>
      <c r="AD8" s="148"/>
      <c r="AE8" s="148"/>
      <c r="AF8" s="155"/>
      <c r="AG8" s="156"/>
      <c r="AH8" s="113"/>
      <c r="AI8" s="157"/>
      <c r="AJ8" s="113"/>
      <c r="AK8" s="113"/>
      <c r="AL8" s="158"/>
      <c r="AM8" s="159"/>
      <c r="AN8" s="160"/>
      <c r="AO8" s="160"/>
      <c r="AP8" s="133"/>
      <c r="AQ8" s="134"/>
      <c r="AR8" s="161"/>
      <c r="AS8" s="161"/>
      <c r="AT8" s="161"/>
      <c r="AU8" s="161"/>
      <c r="AV8" s="162"/>
      <c r="AW8" s="137"/>
      <c r="AX8" s="137"/>
    </row>
    <row r="9" ht="46.5" customHeight="1" spans="1:50" s="97" customFormat="1" x14ac:dyDescent="0.25">
      <c r="A9" s="98">
        <v>3</v>
      </c>
      <c r="B9" s="163"/>
      <c r="C9" s="101" t="s">
        <v>222</v>
      </c>
      <c r="D9" s="203" t="s">
        <v>223</v>
      </c>
      <c r="E9" s="163"/>
      <c r="F9" s="163"/>
      <c r="G9" s="164"/>
      <c r="H9" s="165"/>
      <c r="I9" s="166">
        <v>0.85</v>
      </c>
      <c r="J9" s="175">
        <v>0.15</v>
      </c>
      <c r="K9" s="107"/>
      <c r="L9" s="167"/>
      <c r="M9" s="168"/>
      <c r="N9" s="169">
        <f>SUM(I9:M9)</f>
        <v>1</v>
      </c>
      <c r="O9" s="144">
        <v>1</v>
      </c>
      <c r="P9" s="112">
        <v>15</v>
      </c>
      <c r="Q9" s="178">
        <v>15</v>
      </c>
      <c r="R9" s="112"/>
      <c r="S9" s="113"/>
      <c r="T9" s="147"/>
      <c r="U9" s="148">
        <f>ROUND(((P9*I9)+(Q9*J9)+(R9*K9)+(S9*L9)+(T9*M9))*O9,2)</f>
        <v>15</v>
      </c>
      <c r="V9" s="149">
        <f>IF(U9&gt;=15,15,U9)</f>
        <v>15</v>
      </c>
      <c r="W9" s="120">
        <v>13410300000</v>
      </c>
      <c r="X9" s="120">
        <v>704364000</v>
      </c>
      <c r="Y9" s="120"/>
      <c r="Z9" s="151"/>
      <c r="AA9" s="153"/>
      <c r="AB9" s="154">
        <f>ROUND((((W9*I9)+(X9*J9)+(Y9*K9)+(Z9*L9)+(AA9*M9))/$I$2),2)*13</f>
        <v>31.98</v>
      </c>
      <c r="AC9" s="149">
        <f>IF(AB9&gt;=13,13,AB9)</f>
        <v>13</v>
      </c>
      <c r="AD9" s="125">
        <v>2</v>
      </c>
      <c r="AE9" s="148">
        <f>IF((AC9+AD9)&gt;=15,15,(AC9+AD9))</f>
        <v>15</v>
      </c>
      <c r="AF9" s="155">
        <f>3*I9</f>
        <v>2.55</v>
      </c>
      <c r="AG9" s="127">
        <v>3.2</v>
      </c>
      <c r="AH9" s="113">
        <f>IF((V9+AE9+AF9)&gt;=30,30,(V9+AE9+AF9))</f>
        <v>30</v>
      </c>
      <c r="AI9" s="157">
        <v>65</v>
      </c>
      <c r="AJ9" s="113">
        <f>V9+AE9+AF9+AI9+AG9</f>
        <v>100.75</v>
      </c>
      <c r="AK9" s="113">
        <f>IF(AH9+AI9+AG9&gt;=95,95,AH9+AI9+AG9)</f>
        <v>95</v>
      </c>
      <c r="AL9" s="158">
        <f>-((50-((176+(45+(50-AH9)))))/200)</f>
        <v>0.955</v>
      </c>
      <c r="AM9" s="159"/>
      <c r="AN9" s="160">
        <f>100%+AM9</f>
        <v>1</v>
      </c>
      <c r="AO9" s="160">
        <f>100%+AN9</f>
        <v>2</v>
      </c>
      <c r="AP9" s="133"/>
      <c r="AQ9" s="134"/>
      <c r="AR9" s="161"/>
      <c r="AS9" s="161"/>
      <c r="AT9" s="161"/>
      <c r="AU9" s="161"/>
      <c r="AV9" s="162"/>
      <c r="AW9" s="137">
        <f>AR9+AS9+AT9+AU9+AV9</f>
        <v>0</v>
      </c>
      <c r="AX9" s="137">
        <f>(AR9*I9)+(AS9*J9)+(AT9*K9)+(AU9*L9)+(AV9*M9)</f>
        <v>0</v>
      </c>
    </row>
    <row r="10" ht="21.95" customHeight="1" spans="1:50" s="97" customFormat="1" x14ac:dyDescent="0.25">
      <c r="A10" s="138" t="s">
        <v>56</v>
      </c>
      <c r="B10" s="139"/>
      <c r="C10" s="139"/>
      <c r="D10" s="139"/>
      <c r="E10" s="139"/>
      <c r="F10" s="139"/>
      <c r="G10" s="139"/>
      <c r="H10" s="140"/>
      <c r="I10" s="248">
        <v>85</v>
      </c>
      <c r="J10" s="142">
        <v>85</v>
      </c>
      <c r="K10" s="142"/>
      <c r="L10" s="142"/>
      <c r="M10" s="142"/>
      <c r="N10" s="143">
        <f>I10*I9+J10*J9+K10*K9+L10*L9+M10*M9</f>
        <v>85</v>
      </c>
      <c r="O10" s="144"/>
      <c r="P10" s="145"/>
      <c r="Q10" s="113"/>
      <c r="R10" s="113"/>
      <c r="S10" s="146"/>
      <c r="T10" s="147"/>
      <c r="U10" s="148"/>
      <c r="V10" s="149"/>
      <c r="W10" s="150"/>
      <c r="X10" s="151"/>
      <c r="Y10" s="152"/>
      <c r="Z10" s="151"/>
      <c r="AA10" s="153"/>
      <c r="AB10" s="154"/>
      <c r="AC10" s="149"/>
      <c r="AD10" s="148"/>
      <c r="AE10" s="148"/>
      <c r="AF10" s="155"/>
      <c r="AG10" s="156"/>
      <c r="AH10" s="113"/>
      <c r="AI10" s="157"/>
      <c r="AJ10" s="113"/>
      <c r="AK10" s="113"/>
      <c r="AL10" s="158"/>
      <c r="AM10" s="159"/>
      <c r="AN10" s="160"/>
      <c r="AO10" s="160"/>
      <c r="AP10" s="133"/>
      <c r="AQ10" s="134"/>
      <c r="AR10" s="161"/>
      <c r="AS10" s="161"/>
      <c r="AT10" s="161"/>
      <c r="AU10" s="161"/>
      <c r="AV10" s="162"/>
      <c r="AW10" s="137"/>
      <c r="AX10" s="137"/>
    </row>
    <row r="11" ht="46.5" customHeight="1" spans="1:50" s="97" customFormat="1" x14ac:dyDescent="0.25">
      <c r="A11" s="98">
        <v>4</v>
      </c>
      <c r="B11" s="196"/>
      <c r="C11" s="101" t="s">
        <v>224</v>
      </c>
      <c r="D11" s="174" t="s">
        <v>225</v>
      </c>
      <c r="E11" s="163"/>
      <c r="F11" s="163"/>
      <c r="G11" s="103"/>
      <c r="H11" s="171"/>
      <c r="I11" s="166">
        <v>0.9</v>
      </c>
      <c r="J11" s="107">
        <v>0.1</v>
      </c>
      <c r="K11" s="107"/>
      <c r="L11" s="176"/>
      <c r="M11" s="168"/>
      <c r="N11" s="169">
        <f t="shared" ref="N11:N42" si="0">SUM(I11:M11)</f>
        <v>1</v>
      </c>
      <c r="O11" s="144">
        <v>1</v>
      </c>
      <c r="P11" s="112">
        <v>15</v>
      </c>
      <c r="Q11" s="112">
        <v>15</v>
      </c>
      <c r="R11" s="156"/>
      <c r="S11" s="113"/>
      <c r="T11" s="147"/>
      <c r="U11" s="148">
        <f t="shared" ref="U11:U74" si="1">ROUND(((P11*I11)+(Q11*J11)+(R11*K11)+(S11*L11)+(T11*M11))*O11,2)</f>
        <v>15</v>
      </c>
      <c r="V11" s="149">
        <f t="shared" ref="V11:V74" si="2">IF(U11&gt;=15,15,U11)</f>
        <v>15</v>
      </c>
      <c r="W11" s="192">
        <v>28147269000</v>
      </c>
      <c r="X11" s="120">
        <v>222246000</v>
      </c>
      <c r="Y11" s="120"/>
      <c r="Z11" s="151"/>
      <c r="AA11" s="153"/>
      <c r="AB11" s="154">
        <f t="shared" ref="AB11:AB74" si="3">ROUND((((W11*I11)+(X11*J11)+(Y11*K11)+(Z11*L11)+(AA11*M11))/$I$2),2)*13</f>
        <v>70.46</v>
      </c>
      <c r="AC11" s="149">
        <f t="shared" ref="AC11:AC74" si="4">IF(AB11&gt;=13,13,AB11)</f>
        <v>13</v>
      </c>
      <c r="AD11" s="125">
        <v>2</v>
      </c>
      <c r="AE11" s="148">
        <f t="shared" ref="AE11:AE74" si="5">IF((AC11+AD11)&gt;=15,15,(AC11+AD11))</f>
        <v>15</v>
      </c>
      <c r="AF11" s="155"/>
      <c r="AG11" s="127">
        <v>3.2</v>
      </c>
      <c r="AH11" s="113">
        <f t="shared" ref="AH11:AH74" si="6">IF((V11+AE11+AF11)&gt;=30,30,(V11+AE11+AF11))</f>
        <v>30</v>
      </c>
      <c r="AI11" s="157">
        <v>65</v>
      </c>
      <c r="AJ11" s="113">
        <f t="shared" ref="AJ11:AJ74" si="7">V11+AE11+AF11+AI11+AG11</f>
        <v>98.2</v>
      </c>
      <c r="AK11" s="113">
        <f t="shared" ref="AK11:AK74" si="8">IF(AH11+AI11+AG11&gt;=95,95,AH11+AI11+AG11)</f>
        <v>95</v>
      </c>
      <c r="AL11" s="158">
        <f t="shared" ref="AL11:AL74" si="9">-((50-((176+(45+(50-AH11)))))/200)</f>
        <v>0.955</v>
      </c>
      <c r="AM11" s="159"/>
      <c r="AN11" s="160">
        <f t="shared" ref="AN11:AO27" si="10">100%+AM11</f>
        <v>1</v>
      </c>
      <c r="AO11" s="160">
        <f t="shared" si="10"/>
        <v>2</v>
      </c>
      <c r="AP11" s="133"/>
      <c r="AQ11" s="134"/>
      <c r="AR11" s="161"/>
      <c r="AS11" s="161"/>
      <c r="AT11" s="161"/>
      <c r="AU11" s="161"/>
      <c r="AV11" s="162"/>
      <c r="AW11" s="137">
        <f t="shared" ref="AW11:AW74" si="11">AR11+AS11+AT11+AU11+AV11</f>
        <v>0</v>
      </c>
      <c r="AX11" s="137">
        <f t="shared" ref="AX11:AX74" si="12">(AR11*I11)+(AS11*J11)+(AT11*K11)+(AU11*L11)+(AV11*M11)</f>
        <v>0</v>
      </c>
    </row>
    <row r="12" ht="21.95" customHeight="1" spans="1:50" s="97" customFormat="1" x14ac:dyDescent="0.25">
      <c r="A12" s="138" t="s">
        <v>56</v>
      </c>
      <c r="B12" s="139"/>
      <c r="C12" s="139"/>
      <c r="D12" s="139"/>
      <c r="E12" s="139"/>
      <c r="F12" s="139"/>
      <c r="G12" s="139"/>
      <c r="H12" s="140"/>
      <c r="I12" s="248">
        <v>85</v>
      </c>
      <c r="J12" s="142">
        <v>85</v>
      </c>
      <c r="K12" s="142"/>
      <c r="L12" s="142"/>
      <c r="M12" s="142"/>
      <c r="N12" s="143">
        <f>I12*I11+J12*J11+K12*K11+L12*L11+M12*M11</f>
        <v>85</v>
      </c>
      <c r="O12" s="144"/>
      <c r="P12" s="145"/>
      <c r="Q12" s="113"/>
      <c r="R12" s="113"/>
      <c r="S12" s="146"/>
      <c r="T12" s="147"/>
      <c r="U12" s="148"/>
      <c r="V12" s="149"/>
      <c r="W12" s="150"/>
      <c r="X12" s="151"/>
      <c r="Y12" s="152"/>
      <c r="Z12" s="151"/>
      <c r="AA12" s="153"/>
      <c r="AB12" s="154"/>
      <c r="AC12" s="149"/>
      <c r="AD12" s="148"/>
      <c r="AE12" s="148"/>
      <c r="AF12" s="155"/>
      <c r="AG12" s="156"/>
      <c r="AH12" s="113"/>
      <c r="AI12" s="157"/>
      <c r="AJ12" s="113"/>
      <c r="AK12" s="113"/>
      <c r="AL12" s="158"/>
      <c r="AM12" s="159"/>
      <c r="AN12" s="160"/>
      <c r="AO12" s="160"/>
      <c r="AP12" s="133"/>
      <c r="AQ12" s="134"/>
      <c r="AR12" s="161"/>
      <c r="AS12" s="161"/>
      <c r="AT12" s="161"/>
      <c r="AU12" s="161"/>
      <c r="AV12" s="162"/>
      <c r="AW12" s="137"/>
      <c r="AX12" s="137"/>
    </row>
    <row r="13" ht="46.5" customHeight="1" spans="1:50" s="97" customFormat="1" x14ac:dyDescent="0.25">
      <c r="A13" s="98">
        <v>5</v>
      </c>
      <c r="B13" s="196"/>
      <c r="C13" s="102" t="s">
        <v>146</v>
      </c>
      <c r="D13" s="174" t="s">
        <v>226</v>
      </c>
      <c r="E13" s="100"/>
      <c r="F13" s="163"/>
      <c r="G13" s="103" t="s">
        <v>227</v>
      </c>
      <c r="H13" s="171" t="s">
        <v>228</v>
      </c>
      <c r="I13" s="166">
        <v>0.7</v>
      </c>
      <c r="J13" s="226">
        <v>0.2136</v>
      </c>
      <c r="K13" s="107"/>
      <c r="L13" s="167"/>
      <c r="M13" s="168"/>
      <c r="N13" s="169">
        <f t="shared" si="0"/>
        <v>0.9136</v>
      </c>
      <c r="O13" s="229">
        <v>1.1</v>
      </c>
      <c r="P13" s="112">
        <v>15</v>
      </c>
      <c r="Q13" s="112">
        <v>15</v>
      </c>
      <c r="R13" s="113"/>
      <c r="S13" s="146"/>
      <c r="T13" s="147"/>
      <c r="U13" s="148">
        <f t="shared" si="1"/>
        <v>15.07</v>
      </c>
      <c r="V13" s="149">
        <f t="shared" si="2"/>
        <v>15</v>
      </c>
      <c r="W13" s="120">
        <v>61572822000</v>
      </c>
      <c r="X13" s="120">
        <v>1174870000</v>
      </c>
      <c r="Y13" s="120"/>
      <c r="Z13" s="151"/>
      <c r="AA13" s="153"/>
      <c r="AB13" s="154">
        <f t="shared" si="3"/>
        <v>120.50999999999999</v>
      </c>
      <c r="AC13" s="149">
        <f t="shared" si="4"/>
        <v>13</v>
      </c>
      <c r="AD13" s="125">
        <v>0</v>
      </c>
      <c r="AE13" s="148">
        <f t="shared" si="5"/>
        <v>13</v>
      </c>
      <c r="AF13" s="156">
        <f>0.5*J13</f>
        <v>0.1068</v>
      </c>
      <c r="AG13" s="127">
        <v>3.2</v>
      </c>
      <c r="AH13" s="113">
        <f t="shared" si="6"/>
        <v>28.1068</v>
      </c>
      <c r="AI13" s="157">
        <v>65</v>
      </c>
      <c r="AJ13" s="113">
        <f t="shared" si="7"/>
        <v>96.3068</v>
      </c>
      <c r="AK13" s="113">
        <f t="shared" si="8"/>
        <v>95</v>
      </c>
      <c r="AL13" s="158">
        <f t="shared" si="9"/>
        <v>0.964466</v>
      </c>
      <c r="AM13" s="159"/>
      <c r="AN13" s="160">
        <f t="shared" si="10"/>
        <v>1</v>
      </c>
      <c r="AO13" s="160">
        <f t="shared" si="10"/>
        <v>2</v>
      </c>
      <c r="AP13" s="133"/>
      <c r="AQ13" s="134"/>
      <c r="AR13" s="161"/>
      <c r="AS13" s="161"/>
      <c r="AT13" s="161"/>
      <c r="AU13" s="161"/>
      <c r="AV13" s="162"/>
      <c r="AW13" s="137">
        <f t="shared" si="11"/>
        <v>0</v>
      </c>
      <c r="AX13" s="137">
        <f t="shared" si="12"/>
        <v>0</v>
      </c>
    </row>
    <row r="14" ht="21.95" customHeight="1" spans="1:50" s="97" customFormat="1" x14ac:dyDescent="0.25">
      <c r="A14" s="138" t="s">
        <v>56</v>
      </c>
      <c r="B14" s="139"/>
      <c r="C14" s="139"/>
      <c r="D14" s="139"/>
      <c r="E14" s="139"/>
      <c r="F14" s="139"/>
      <c r="G14" s="139"/>
      <c r="H14" s="140"/>
      <c r="I14" s="248">
        <v>85</v>
      </c>
      <c r="J14" s="142">
        <v>85</v>
      </c>
      <c r="K14" s="142"/>
      <c r="L14" s="142"/>
      <c r="M14" s="142"/>
      <c r="N14" s="143">
        <f>I14*I13+J14*J13+K14*K13+L14*L13+M14*M13</f>
        <v>77.65599999999999</v>
      </c>
      <c r="O14" s="144"/>
      <c r="P14" s="145"/>
      <c r="Q14" s="113"/>
      <c r="R14" s="113"/>
      <c r="S14" s="146"/>
      <c r="T14" s="147"/>
      <c r="U14" s="148"/>
      <c r="V14" s="149"/>
      <c r="W14" s="150"/>
      <c r="X14" s="151"/>
      <c r="Y14" s="152"/>
      <c r="Z14" s="151"/>
      <c r="AA14" s="153"/>
      <c r="AB14" s="154"/>
      <c r="AC14" s="149"/>
      <c r="AD14" s="148"/>
      <c r="AE14" s="148"/>
      <c r="AF14" s="155"/>
      <c r="AG14" s="156"/>
      <c r="AH14" s="113"/>
      <c r="AI14" s="157"/>
      <c r="AJ14" s="113"/>
      <c r="AK14" s="113"/>
      <c r="AL14" s="158"/>
      <c r="AM14" s="159"/>
      <c r="AN14" s="160"/>
      <c r="AO14" s="160"/>
      <c r="AP14" s="133"/>
      <c r="AQ14" s="134"/>
      <c r="AR14" s="161"/>
      <c r="AS14" s="161"/>
      <c r="AT14" s="161"/>
      <c r="AU14" s="161"/>
      <c r="AV14" s="162"/>
      <c r="AW14" s="137"/>
      <c r="AX14" s="137"/>
    </row>
    <row r="15" ht="46.5" customHeight="1" spans="1:50" s="97" customFormat="1" x14ac:dyDescent="0.25">
      <c r="A15" s="98">
        <v>6</v>
      </c>
      <c r="B15" s="99"/>
      <c r="C15" s="174" t="s">
        <v>229</v>
      </c>
      <c r="D15" s="174" t="s">
        <v>230</v>
      </c>
      <c r="E15" s="163" t="s">
        <v>206</v>
      </c>
      <c r="F15" s="163"/>
      <c r="G15" s="103" t="s">
        <v>227</v>
      </c>
      <c r="H15" s="171" t="s">
        <v>231</v>
      </c>
      <c r="I15" s="226">
        <v>0.27</v>
      </c>
      <c r="J15" s="107">
        <v>0.18</v>
      </c>
      <c r="K15" s="107">
        <v>0.4</v>
      </c>
      <c r="L15" s="107"/>
      <c r="M15" s="187"/>
      <c r="N15" s="169">
        <f t="shared" si="0"/>
        <v>0.8500000000000001</v>
      </c>
      <c r="O15" s="229">
        <v>1.1</v>
      </c>
      <c r="P15" s="177">
        <v>14.9</v>
      </c>
      <c r="Q15" s="112">
        <v>15</v>
      </c>
      <c r="R15" s="112">
        <v>15</v>
      </c>
      <c r="S15" s="113"/>
      <c r="T15" s="146"/>
      <c r="U15" s="148">
        <f t="shared" si="1"/>
        <v>14</v>
      </c>
      <c r="V15" s="149">
        <f t="shared" si="2"/>
        <v>14</v>
      </c>
      <c r="W15" s="183">
        <v>781586000</v>
      </c>
      <c r="X15" s="120">
        <v>856790000</v>
      </c>
      <c r="Y15" s="189">
        <v>23014391000</v>
      </c>
      <c r="Z15" s="161"/>
      <c r="AA15" s="153"/>
      <c r="AB15" s="154">
        <f t="shared" si="3"/>
        <v>26.65</v>
      </c>
      <c r="AC15" s="149">
        <f t="shared" si="4"/>
        <v>13</v>
      </c>
      <c r="AD15" s="125">
        <v>0</v>
      </c>
      <c r="AE15" s="148">
        <f t="shared" si="5"/>
        <v>13</v>
      </c>
      <c r="AF15" s="156"/>
      <c r="AG15" s="127">
        <v>3.2</v>
      </c>
      <c r="AH15" s="113">
        <f t="shared" si="6"/>
        <v>27</v>
      </c>
      <c r="AI15" s="157">
        <v>65</v>
      </c>
      <c r="AJ15" s="113">
        <f t="shared" si="7"/>
        <v>95.2</v>
      </c>
      <c r="AK15" s="113">
        <f t="shared" si="8"/>
        <v>95</v>
      </c>
      <c r="AL15" s="158">
        <f t="shared" si="9"/>
        <v>0.97</v>
      </c>
      <c r="AM15" s="159"/>
      <c r="AN15" s="160">
        <f t="shared" si="10"/>
        <v>1</v>
      </c>
      <c r="AO15" s="160">
        <f t="shared" si="10"/>
        <v>2</v>
      </c>
      <c r="AP15" s="133"/>
      <c r="AQ15" s="134"/>
      <c r="AR15" s="161"/>
      <c r="AS15" s="161"/>
      <c r="AT15" s="161"/>
      <c r="AU15" s="161"/>
      <c r="AV15" s="162"/>
      <c r="AW15" s="137">
        <f t="shared" si="11"/>
        <v>0</v>
      </c>
      <c r="AX15" s="137">
        <f t="shared" si="12"/>
        <v>0</v>
      </c>
    </row>
    <row r="16" ht="21.95" customHeight="1" spans="1:50" s="97" customFormat="1" x14ac:dyDescent="0.25">
      <c r="A16" s="138" t="s">
        <v>56</v>
      </c>
      <c r="B16" s="139"/>
      <c r="C16" s="139"/>
      <c r="D16" s="139"/>
      <c r="E16" s="139"/>
      <c r="F16" s="139"/>
      <c r="G16" s="139"/>
      <c r="H16" s="140"/>
      <c r="I16" s="248">
        <v>85</v>
      </c>
      <c r="J16" s="142">
        <v>85</v>
      </c>
      <c r="K16" s="142">
        <v>85</v>
      </c>
      <c r="L16" s="142"/>
      <c r="M16" s="142"/>
      <c r="N16" s="143">
        <f>I16*I15+J16*J15+K16*K15+L16*L15+M16*M15</f>
        <v>72.25</v>
      </c>
      <c r="O16" s="144"/>
      <c r="P16" s="145"/>
      <c r="Q16" s="113"/>
      <c r="R16" s="113"/>
      <c r="S16" s="146"/>
      <c r="T16" s="147"/>
      <c r="U16" s="148"/>
      <c r="V16" s="149"/>
      <c r="W16" s="150"/>
      <c r="X16" s="151"/>
      <c r="Y16" s="152"/>
      <c r="Z16" s="151"/>
      <c r="AA16" s="153"/>
      <c r="AB16" s="154"/>
      <c r="AC16" s="149"/>
      <c r="AD16" s="148"/>
      <c r="AE16" s="148"/>
      <c r="AF16" s="155"/>
      <c r="AG16" s="156"/>
      <c r="AH16" s="113"/>
      <c r="AI16" s="157"/>
      <c r="AJ16" s="113"/>
      <c r="AK16" s="113"/>
      <c r="AL16" s="158"/>
      <c r="AM16" s="159"/>
      <c r="AN16" s="160"/>
      <c r="AO16" s="160"/>
      <c r="AP16" s="133"/>
      <c r="AQ16" s="134"/>
      <c r="AR16" s="161"/>
      <c r="AS16" s="161"/>
      <c r="AT16" s="161"/>
      <c r="AU16" s="161"/>
      <c r="AV16" s="162"/>
      <c r="AW16" s="137"/>
      <c r="AX16" s="137"/>
    </row>
    <row r="17" ht="46.5" customHeight="1" spans="1:50" s="97" customFormat="1" x14ac:dyDescent="0.25">
      <c r="A17" s="98">
        <v>7</v>
      </c>
      <c r="B17" s="102"/>
      <c r="C17" s="209" t="s">
        <v>232</v>
      </c>
      <c r="D17" s="174" t="s">
        <v>233</v>
      </c>
      <c r="E17" s="163"/>
      <c r="F17" s="163"/>
      <c r="G17" s="103"/>
      <c r="H17" s="186"/>
      <c r="I17" s="166">
        <v>0.51</v>
      </c>
      <c r="J17" s="107">
        <v>0.49</v>
      </c>
      <c r="K17" s="107"/>
      <c r="L17" s="107"/>
      <c r="M17" s="187"/>
      <c r="N17" s="169">
        <f t="shared" si="0"/>
        <v>1</v>
      </c>
      <c r="O17" s="144">
        <v>1</v>
      </c>
      <c r="P17" s="145">
        <v>15</v>
      </c>
      <c r="Q17" s="113">
        <v>15</v>
      </c>
      <c r="R17" s="113"/>
      <c r="S17" s="113"/>
      <c r="T17" s="146"/>
      <c r="U17" s="148">
        <f t="shared" si="1"/>
        <v>15</v>
      </c>
      <c r="V17" s="149">
        <f t="shared" si="2"/>
        <v>15</v>
      </c>
      <c r="W17" s="192">
        <v>19538352000</v>
      </c>
      <c r="X17" s="183">
        <v>1956205000</v>
      </c>
      <c r="Y17" s="120"/>
      <c r="Z17" s="190"/>
      <c r="AA17" s="153"/>
      <c r="AB17" s="154">
        <f t="shared" si="3"/>
        <v>30.419999999999998</v>
      </c>
      <c r="AC17" s="149">
        <f t="shared" si="4"/>
        <v>13</v>
      </c>
      <c r="AD17" s="125">
        <v>2</v>
      </c>
      <c r="AE17" s="148">
        <f t="shared" si="5"/>
        <v>15</v>
      </c>
      <c r="AF17" s="156">
        <f>0.5*I17</f>
        <v>0.255</v>
      </c>
      <c r="AG17" s="127">
        <v>3.2</v>
      </c>
      <c r="AH17" s="113">
        <f t="shared" si="6"/>
        <v>30</v>
      </c>
      <c r="AI17" s="157">
        <v>65</v>
      </c>
      <c r="AJ17" s="113">
        <f t="shared" si="7"/>
        <v>98.455</v>
      </c>
      <c r="AK17" s="113">
        <f t="shared" si="8"/>
        <v>95</v>
      </c>
      <c r="AL17" s="158">
        <f t="shared" si="9"/>
        <v>0.955</v>
      </c>
      <c r="AM17" s="159"/>
      <c r="AN17" s="160">
        <f t="shared" si="10"/>
        <v>1</v>
      </c>
      <c r="AO17" s="160">
        <f t="shared" si="10"/>
        <v>2</v>
      </c>
      <c r="AP17" s="133"/>
      <c r="AQ17" s="134"/>
      <c r="AR17" s="161"/>
      <c r="AS17" s="161"/>
      <c r="AT17" s="161"/>
      <c r="AU17" s="161"/>
      <c r="AV17" s="162"/>
      <c r="AW17" s="137">
        <f t="shared" si="11"/>
        <v>0</v>
      </c>
      <c r="AX17" s="137">
        <f t="shared" si="12"/>
        <v>0</v>
      </c>
    </row>
    <row r="18" ht="21.95" customHeight="1" spans="1:50" s="97" customFormat="1" x14ac:dyDescent="0.25">
      <c r="A18" s="138" t="s">
        <v>56</v>
      </c>
      <c r="B18" s="139"/>
      <c r="C18" s="139"/>
      <c r="D18" s="139"/>
      <c r="E18" s="139"/>
      <c r="F18" s="139"/>
      <c r="G18" s="139"/>
      <c r="H18" s="140"/>
      <c r="I18" s="248">
        <v>85</v>
      </c>
      <c r="J18" s="142">
        <v>85</v>
      </c>
      <c r="K18" s="142"/>
      <c r="L18" s="142"/>
      <c r="M18" s="142"/>
      <c r="N18" s="143">
        <f>I18*I17+J18*J17+K18*K17+L18*L17+M18*M17</f>
        <v>85</v>
      </c>
      <c r="O18" s="144"/>
      <c r="P18" s="145"/>
      <c r="Q18" s="113"/>
      <c r="R18" s="113"/>
      <c r="S18" s="146"/>
      <c r="T18" s="147"/>
      <c r="U18" s="148"/>
      <c r="V18" s="149"/>
      <c r="W18" s="150"/>
      <c r="X18" s="151"/>
      <c r="Y18" s="152"/>
      <c r="Z18" s="151"/>
      <c r="AA18" s="153"/>
      <c r="AB18" s="154"/>
      <c r="AC18" s="149"/>
      <c r="AD18" s="148"/>
      <c r="AE18" s="148"/>
      <c r="AF18" s="155"/>
      <c r="AG18" s="156"/>
      <c r="AH18" s="113"/>
      <c r="AI18" s="157"/>
      <c r="AJ18" s="113"/>
      <c r="AK18" s="113"/>
      <c r="AL18" s="158"/>
      <c r="AM18" s="159"/>
      <c r="AN18" s="160"/>
      <c r="AO18" s="160"/>
      <c r="AP18" s="133"/>
      <c r="AQ18" s="134"/>
      <c r="AR18" s="161"/>
      <c r="AS18" s="161"/>
      <c r="AT18" s="161"/>
      <c r="AU18" s="161"/>
      <c r="AV18" s="162"/>
      <c r="AW18" s="137"/>
      <c r="AX18" s="137"/>
    </row>
    <row r="19" ht="46.5" customHeight="1" spans="1:50" s="97" customFormat="1" x14ac:dyDescent="0.25">
      <c r="A19" s="98">
        <v>8</v>
      </c>
      <c r="B19" s="196"/>
      <c r="C19" s="203" t="s">
        <v>234</v>
      </c>
      <c r="D19" s="100" t="s">
        <v>235</v>
      </c>
      <c r="E19" s="100"/>
      <c r="F19" s="100"/>
      <c r="G19" s="103"/>
      <c r="H19" s="186"/>
      <c r="I19" s="195">
        <v>0.51</v>
      </c>
      <c r="J19" s="107">
        <v>0.49</v>
      </c>
      <c r="K19" s="107"/>
      <c r="L19" s="107"/>
      <c r="M19" s="187"/>
      <c r="N19" s="169">
        <f t="shared" si="0"/>
        <v>1</v>
      </c>
      <c r="O19" s="144">
        <v>1</v>
      </c>
      <c r="P19" s="145">
        <v>15</v>
      </c>
      <c r="Q19" s="113">
        <v>15</v>
      </c>
      <c r="R19" s="156"/>
      <c r="S19" s="113"/>
      <c r="T19" s="146"/>
      <c r="U19" s="148">
        <f t="shared" si="1"/>
        <v>15</v>
      </c>
      <c r="V19" s="149">
        <f t="shared" si="2"/>
        <v>15</v>
      </c>
      <c r="W19" s="197">
        <v>0</v>
      </c>
      <c r="X19" s="120">
        <v>34160627000</v>
      </c>
      <c r="Y19" s="183"/>
      <c r="Z19" s="190"/>
      <c r="AA19" s="153"/>
      <c r="AB19" s="154">
        <f t="shared" si="3"/>
        <v>46.54</v>
      </c>
      <c r="AC19" s="149">
        <f t="shared" si="4"/>
        <v>13</v>
      </c>
      <c r="AD19" s="125">
        <v>2</v>
      </c>
      <c r="AE19" s="148">
        <f t="shared" si="5"/>
        <v>15</v>
      </c>
      <c r="AF19" s="156"/>
      <c r="AG19" s="127">
        <v>3.2</v>
      </c>
      <c r="AH19" s="113">
        <f t="shared" si="6"/>
        <v>30</v>
      </c>
      <c r="AI19" s="157">
        <v>65</v>
      </c>
      <c r="AJ19" s="113">
        <f t="shared" si="7"/>
        <v>98.2</v>
      </c>
      <c r="AK19" s="113">
        <f t="shared" si="8"/>
        <v>95</v>
      </c>
      <c r="AL19" s="158">
        <f t="shared" si="9"/>
        <v>0.955</v>
      </c>
      <c r="AM19" s="159"/>
      <c r="AN19" s="160">
        <f t="shared" si="10"/>
        <v>1</v>
      </c>
      <c r="AO19" s="160">
        <f t="shared" si="10"/>
        <v>2</v>
      </c>
      <c r="AP19" s="133"/>
      <c r="AQ19" s="134"/>
      <c r="AR19" s="161"/>
      <c r="AS19" s="161"/>
      <c r="AT19" s="161"/>
      <c r="AU19" s="161"/>
      <c r="AV19" s="162"/>
      <c r="AW19" s="137">
        <f t="shared" si="11"/>
        <v>0</v>
      </c>
      <c r="AX19" s="137">
        <f t="shared" si="12"/>
        <v>0</v>
      </c>
    </row>
    <row r="20" ht="21.95" customHeight="1" spans="1:50" s="97" customFormat="1" x14ac:dyDescent="0.25">
      <c r="A20" s="138" t="s">
        <v>56</v>
      </c>
      <c r="B20" s="139"/>
      <c r="C20" s="139"/>
      <c r="D20" s="139"/>
      <c r="E20" s="139"/>
      <c r="F20" s="139"/>
      <c r="G20" s="139"/>
      <c r="H20" s="140"/>
      <c r="I20" s="248">
        <v>85</v>
      </c>
      <c r="J20" s="142">
        <v>85</v>
      </c>
      <c r="K20" s="142"/>
      <c r="L20" s="142"/>
      <c r="M20" s="142"/>
      <c r="N20" s="143">
        <f>I20*I19+J20*J19+K20*K19+L20*L19+M20*M19</f>
        <v>85</v>
      </c>
      <c r="O20" s="144"/>
      <c r="P20" s="145"/>
      <c r="Q20" s="113"/>
      <c r="R20" s="113"/>
      <c r="S20" s="146"/>
      <c r="T20" s="147"/>
      <c r="U20" s="148"/>
      <c r="V20" s="149"/>
      <c r="W20" s="150"/>
      <c r="X20" s="151"/>
      <c r="Y20" s="152"/>
      <c r="Z20" s="151"/>
      <c r="AA20" s="153"/>
      <c r="AB20" s="154"/>
      <c r="AC20" s="149"/>
      <c r="AD20" s="148"/>
      <c r="AE20" s="148"/>
      <c r="AF20" s="155"/>
      <c r="AG20" s="156"/>
      <c r="AH20" s="113"/>
      <c r="AI20" s="157"/>
      <c r="AJ20" s="113"/>
      <c r="AK20" s="113"/>
      <c r="AL20" s="158"/>
      <c r="AM20" s="159"/>
      <c r="AN20" s="160"/>
      <c r="AO20" s="160"/>
      <c r="AP20" s="133"/>
      <c r="AQ20" s="134"/>
      <c r="AR20" s="161"/>
      <c r="AS20" s="161"/>
      <c r="AT20" s="161"/>
      <c r="AU20" s="161"/>
      <c r="AV20" s="162"/>
      <c r="AW20" s="137"/>
      <c r="AX20" s="137"/>
    </row>
    <row r="21" ht="46.5" customHeight="1" spans="1:50" s="97" customFormat="1" x14ac:dyDescent="0.25">
      <c r="A21" s="239">
        <v>9</v>
      </c>
      <c r="B21" s="100"/>
      <c r="C21" s="100" t="s">
        <v>236</v>
      </c>
      <c r="D21" s="174" t="s">
        <v>237</v>
      </c>
      <c r="E21" s="100"/>
      <c r="F21" s="100"/>
      <c r="G21" s="214"/>
      <c r="H21" s="186"/>
      <c r="I21" s="195">
        <v>0.7</v>
      </c>
      <c r="J21" s="107">
        <v>0.3</v>
      </c>
      <c r="K21" s="107"/>
      <c r="L21" s="107"/>
      <c r="M21" s="187"/>
      <c r="N21" s="169">
        <f t="shared" si="0"/>
        <v>1</v>
      </c>
      <c r="O21" s="144">
        <v>1</v>
      </c>
      <c r="P21" s="145">
        <v>15</v>
      </c>
      <c r="Q21" s="113">
        <v>15</v>
      </c>
      <c r="R21" s="113"/>
      <c r="S21" s="113"/>
      <c r="T21" s="146"/>
      <c r="U21" s="148">
        <f t="shared" si="1"/>
        <v>15</v>
      </c>
      <c r="V21" s="149">
        <f t="shared" si="2"/>
        <v>15</v>
      </c>
      <c r="W21" s="189">
        <v>72793312000</v>
      </c>
      <c r="X21" s="199">
        <v>1743811000</v>
      </c>
      <c r="Y21" s="151"/>
      <c r="Z21" s="190"/>
      <c r="AA21" s="153"/>
      <c r="AB21" s="154">
        <f t="shared" si="3"/>
        <v>143.13</v>
      </c>
      <c r="AC21" s="149">
        <f t="shared" si="4"/>
        <v>13</v>
      </c>
      <c r="AD21" s="125">
        <v>2</v>
      </c>
      <c r="AE21" s="148">
        <f t="shared" si="5"/>
        <v>15</v>
      </c>
      <c r="AF21" s="156"/>
      <c r="AG21" s="127">
        <v>3.2</v>
      </c>
      <c r="AH21" s="113">
        <f t="shared" si="6"/>
        <v>30</v>
      </c>
      <c r="AI21" s="157">
        <v>65</v>
      </c>
      <c r="AJ21" s="113">
        <f t="shared" si="7"/>
        <v>98.2</v>
      </c>
      <c r="AK21" s="113">
        <f t="shared" si="8"/>
        <v>95</v>
      </c>
      <c r="AL21" s="158">
        <f t="shared" si="9"/>
        <v>0.955</v>
      </c>
      <c r="AM21" s="159"/>
      <c r="AN21" s="160">
        <f t="shared" si="10"/>
        <v>1</v>
      </c>
      <c r="AO21" s="160">
        <f t="shared" si="10"/>
        <v>2</v>
      </c>
      <c r="AP21" s="133"/>
      <c r="AQ21" s="134"/>
      <c r="AR21" s="161"/>
      <c r="AS21" s="161"/>
      <c r="AT21" s="161"/>
      <c r="AU21" s="161"/>
      <c r="AV21" s="162"/>
      <c r="AW21" s="137">
        <f t="shared" si="11"/>
        <v>0</v>
      </c>
      <c r="AX21" s="137">
        <f t="shared" si="12"/>
        <v>0</v>
      </c>
    </row>
    <row r="22" ht="21.95" customHeight="1" spans="1:50" s="97" customFormat="1" x14ac:dyDescent="0.25">
      <c r="A22" s="138" t="s">
        <v>56</v>
      </c>
      <c r="B22" s="139"/>
      <c r="C22" s="139"/>
      <c r="D22" s="139"/>
      <c r="E22" s="139"/>
      <c r="F22" s="139"/>
      <c r="G22" s="139"/>
      <c r="H22" s="140"/>
      <c r="I22" s="248">
        <v>85</v>
      </c>
      <c r="J22" s="142">
        <v>85</v>
      </c>
      <c r="K22" s="142"/>
      <c r="L22" s="142"/>
      <c r="M22" s="142"/>
      <c r="N22" s="143">
        <f>I22*I21+J22*J21+K22*K21+L22*L21+M22*M21</f>
        <v>85</v>
      </c>
      <c r="O22" s="144"/>
      <c r="P22" s="145"/>
      <c r="Q22" s="113"/>
      <c r="R22" s="113"/>
      <c r="S22" s="146"/>
      <c r="T22" s="147"/>
      <c r="U22" s="148"/>
      <c r="V22" s="149"/>
      <c r="W22" s="150"/>
      <c r="X22" s="151"/>
      <c r="Y22" s="152"/>
      <c r="Z22" s="151"/>
      <c r="AA22" s="153"/>
      <c r="AB22" s="154"/>
      <c r="AC22" s="149"/>
      <c r="AD22" s="148"/>
      <c r="AE22" s="148"/>
      <c r="AF22" s="155"/>
      <c r="AG22" s="156"/>
      <c r="AH22" s="113"/>
      <c r="AI22" s="157"/>
      <c r="AJ22" s="113"/>
      <c r="AK22" s="113"/>
      <c r="AL22" s="158"/>
      <c r="AM22" s="159"/>
      <c r="AN22" s="160"/>
      <c r="AO22" s="160"/>
      <c r="AP22" s="133"/>
      <c r="AQ22" s="134"/>
      <c r="AR22" s="161"/>
      <c r="AS22" s="161"/>
      <c r="AT22" s="161"/>
      <c r="AU22" s="161"/>
      <c r="AV22" s="162"/>
      <c r="AW22" s="137"/>
      <c r="AX22" s="137"/>
    </row>
    <row r="23" ht="46.5" customHeight="1" spans="1:50" s="97" customFormat="1" x14ac:dyDescent="0.25">
      <c r="A23" s="239">
        <v>10</v>
      </c>
      <c r="B23" s="100"/>
      <c r="C23" s="209" t="s">
        <v>238</v>
      </c>
      <c r="D23" s="174" t="s">
        <v>239</v>
      </c>
      <c r="E23" s="100"/>
      <c r="F23" s="100"/>
      <c r="G23" s="103"/>
      <c r="H23" s="186"/>
      <c r="I23" s="195">
        <v>0.7</v>
      </c>
      <c r="J23" s="107">
        <v>0.3</v>
      </c>
      <c r="K23" s="107"/>
      <c r="L23" s="107"/>
      <c r="M23" s="187"/>
      <c r="N23" s="169">
        <f t="shared" si="0"/>
        <v>1</v>
      </c>
      <c r="O23" s="144">
        <v>1</v>
      </c>
      <c r="P23" s="145">
        <v>15</v>
      </c>
      <c r="Q23" s="113">
        <v>15</v>
      </c>
      <c r="R23" s="113"/>
      <c r="S23" s="113"/>
      <c r="T23" s="146"/>
      <c r="U23" s="148">
        <f t="shared" si="1"/>
        <v>15</v>
      </c>
      <c r="V23" s="149">
        <f t="shared" si="2"/>
        <v>15</v>
      </c>
      <c r="W23" s="192">
        <v>37227845000</v>
      </c>
      <c r="X23" s="161">
        <v>7441762000</v>
      </c>
      <c r="Y23" s="151"/>
      <c r="Z23" s="190"/>
      <c r="AA23" s="153"/>
      <c r="AB23" s="154">
        <f t="shared" si="3"/>
        <v>78.64999999999999</v>
      </c>
      <c r="AC23" s="149">
        <f t="shared" si="4"/>
        <v>13</v>
      </c>
      <c r="AD23" s="125">
        <v>2</v>
      </c>
      <c r="AE23" s="148">
        <f t="shared" si="5"/>
        <v>15</v>
      </c>
      <c r="AF23" s="156"/>
      <c r="AG23" s="127">
        <v>3.2</v>
      </c>
      <c r="AH23" s="113">
        <f t="shared" si="6"/>
        <v>30</v>
      </c>
      <c r="AI23" s="157">
        <v>65</v>
      </c>
      <c r="AJ23" s="113">
        <f t="shared" si="7"/>
        <v>98.2</v>
      </c>
      <c r="AK23" s="113">
        <f t="shared" si="8"/>
        <v>95</v>
      </c>
      <c r="AL23" s="158">
        <f t="shared" si="9"/>
        <v>0.955</v>
      </c>
      <c r="AM23" s="159"/>
      <c r="AN23" s="160">
        <f t="shared" si="10"/>
        <v>1</v>
      </c>
      <c r="AO23" s="160">
        <f t="shared" si="10"/>
        <v>2</v>
      </c>
      <c r="AP23" s="133"/>
      <c r="AQ23" s="134"/>
      <c r="AR23" s="161"/>
      <c r="AS23" s="161"/>
      <c r="AT23" s="161"/>
      <c r="AU23" s="161"/>
      <c r="AV23" s="162"/>
      <c r="AW23" s="137">
        <f t="shared" si="11"/>
        <v>0</v>
      </c>
      <c r="AX23" s="137">
        <f t="shared" si="12"/>
        <v>0</v>
      </c>
    </row>
    <row r="24" ht="21.95" customHeight="1" spans="1:50" s="97" customFormat="1" x14ac:dyDescent="0.25">
      <c r="A24" s="138" t="s">
        <v>56</v>
      </c>
      <c r="B24" s="139"/>
      <c r="C24" s="139"/>
      <c r="D24" s="139"/>
      <c r="E24" s="139"/>
      <c r="F24" s="139"/>
      <c r="G24" s="139"/>
      <c r="H24" s="140"/>
      <c r="I24" s="248">
        <v>85</v>
      </c>
      <c r="J24" s="142">
        <v>85</v>
      </c>
      <c r="K24" s="142"/>
      <c r="L24" s="142"/>
      <c r="M24" s="142"/>
      <c r="N24" s="143">
        <f>I24*I23+J24*J23+K24*K23+L24*L23+M24*M23</f>
        <v>85</v>
      </c>
      <c r="O24" s="144"/>
      <c r="P24" s="145"/>
      <c r="Q24" s="113"/>
      <c r="R24" s="113"/>
      <c r="S24" s="146"/>
      <c r="T24" s="147"/>
      <c r="U24" s="148"/>
      <c r="V24" s="149"/>
      <c r="W24" s="150"/>
      <c r="X24" s="151"/>
      <c r="Y24" s="152"/>
      <c r="Z24" s="151"/>
      <c r="AA24" s="153"/>
      <c r="AB24" s="154"/>
      <c r="AC24" s="149"/>
      <c r="AD24" s="148"/>
      <c r="AE24" s="148"/>
      <c r="AF24" s="155"/>
      <c r="AG24" s="156"/>
      <c r="AH24" s="113"/>
      <c r="AI24" s="157"/>
      <c r="AJ24" s="113"/>
      <c r="AK24" s="113"/>
      <c r="AL24" s="158"/>
      <c r="AM24" s="159"/>
      <c r="AN24" s="160"/>
      <c r="AO24" s="160"/>
      <c r="AP24" s="133"/>
      <c r="AQ24" s="134"/>
      <c r="AR24" s="161"/>
      <c r="AS24" s="161"/>
      <c r="AT24" s="161"/>
      <c r="AU24" s="161"/>
      <c r="AV24" s="162"/>
      <c r="AW24" s="137"/>
      <c r="AX24" s="137"/>
    </row>
    <row r="25" ht="46.5" customHeight="1" spans="1:50" s="97" customFormat="1" x14ac:dyDescent="0.25">
      <c r="A25" s="239">
        <v>11</v>
      </c>
      <c r="B25" s="100"/>
      <c r="C25" s="209" t="s">
        <v>157</v>
      </c>
      <c r="D25" s="205" t="s">
        <v>240</v>
      </c>
      <c r="E25" s="100"/>
      <c r="F25" s="100"/>
      <c r="G25" s="103"/>
      <c r="H25" s="171" t="s">
        <v>241</v>
      </c>
      <c r="I25" s="195">
        <v>0.7</v>
      </c>
      <c r="J25" s="226">
        <v>0.1695</v>
      </c>
      <c r="K25" s="107"/>
      <c r="L25" s="107"/>
      <c r="M25" s="187"/>
      <c r="N25" s="169">
        <f t="shared" si="0"/>
        <v>0.8694999999999999</v>
      </c>
      <c r="O25" s="144">
        <v>1</v>
      </c>
      <c r="P25" s="145">
        <v>15</v>
      </c>
      <c r="Q25" s="113">
        <v>15</v>
      </c>
      <c r="R25" s="113"/>
      <c r="S25" s="113"/>
      <c r="T25" s="146"/>
      <c r="U25" s="148">
        <f t="shared" si="1"/>
        <v>13.04</v>
      </c>
      <c r="V25" s="149">
        <f t="shared" si="2"/>
        <v>13.04</v>
      </c>
      <c r="W25" s="192">
        <v>13914768000</v>
      </c>
      <c r="X25" s="199">
        <v>5312265000</v>
      </c>
      <c r="Y25" s="151"/>
      <c r="Z25" s="190"/>
      <c r="AA25" s="153"/>
      <c r="AB25" s="154">
        <f t="shared" si="3"/>
        <v>29.639999999999997</v>
      </c>
      <c r="AC25" s="149">
        <f t="shared" si="4"/>
        <v>13</v>
      </c>
      <c r="AD25" s="125">
        <v>0</v>
      </c>
      <c r="AE25" s="148">
        <f t="shared" si="5"/>
        <v>13</v>
      </c>
      <c r="AF25" s="156">
        <f>3*I25</f>
        <v>2.0999999999999996</v>
      </c>
      <c r="AG25" s="127">
        <v>3.2</v>
      </c>
      <c r="AH25" s="113">
        <f t="shared" si="6"/>
        <v>28.14</v>
      </c>
      <c r="AI25" s="157">
        <v>65</v>
      </c>
      <c r="AJ25" s="113">
        <f t="shared" si="7"/>
        <v>96.34</v>
      </c>
      <c r="AK25" s="113">
        <f t="shared" si="8"/>
        <v>95</v>
      </c>
      <c r="AL25" s="158">
        <f t="shared" si="9"/>
        <v>0.9643</v>
      </c>
      <c r="AM25" s="159"/>
      <c r="AN25" s="160">
        <f t="shared" si="10"/>
        <v>1</v>
      </c>
      <c r="AO25" s="160">
        <f t="shared" si="10"/>
        <v>2</v>
      </c>
      <c r="AP25" s="133"/>
      <c r="AQ25" s="134"/>
      <c r="AR25" s="161"/>
      <c r="AS25" s="161"/>
      <c r="AT25" s="161"/>
      <c r="AU25" s="161"/>
      <c r="AV25" s="162"/>
      <c r="AW25" s="137">
        <f t="shared" si="11"/>
        <v>0</v>
      </c>
      <c r="AX25" s="137">
        <f t="shared" si="12"/>
        <v>0</v>
      </c>
    </row>
    <row r="26" ht="21.95" customHeight="1" spans="1:50" s="97" customFormat="1" x14ac:dyDescent="0.25">
      <c r="A26" s="138" t="s">
        <v>56</v>
      </c>
      <c r="B26" s="139"/>
      <c r="C26" s="139"/>
      <c r="D26" s="139"/>
      <c r="E26" s="139"/>
      <c r="F26" s="139"/>
      <c r="G26" s="139"/>
      <c r="H26" s="140"/>
      <c r="I26" s="248">
        <v>85</v>
      </c>
      <c r="J26" s="142">
        <v>85</v>
      </c>
      <c r="K26" s="142"/>
      <c r="L26" s="142"/>
      <c r="M26" s="142"/>
      <c r="N26" s="143">
        <f>I26*I25+J26*J25+K26*K25+L26*L25+M26*M25</f>
        <v>73.9075</v>
      </c>
      <c r="O26" s="144"/>
      <c r="P26" s="145"/>
      <c r="Q26" s="113"/>
      <c r="R26" s="113"/>
      <c r="S26" s="146"/>
      <c r="T26" s="147"/>
      <c r="U26" s="148"/>
      <c r="V26" s="149"/>
      <c r="W26" s="150"/>
      <c r="X26" s="151"/>
      <c r="Y26" s="152"/>
      <c r="Z26" s="151"/>
      <c r="AA26" s="153"/>
      <c r="AB26" s="154"/>
      <c r="AC26" s="149"/>
      <c r="AD26" s="148"/>
      <c r="AE26" s="148"/>
      <c r="AF26" s="155"/>
      <c r="AG26" s="156"/>
      <c r="AH26" s="113"/>
      <c r="AI26" s="157"/>
      <c r="AJ26" s="113"/>
      <c r="AK26" s="113"/>
      <c r="AL26" s="158"/>
      <c r="AM26" s="159"/>
      <c r="AN26" s="160"/>
      <c r="AO26" s="160"/>
      <c r="AP26" s="133"/>
      <c r="AQ26" s="134"/>
      <c r="AR26" s="161"/>
      <c r="AS26" s="161"/>
      <c r="AT26" s="161"/>
      <c r="AU26" s="161"/>
      <c r="AV26" s="162"/>
      <c r="AW26" s="137"/>
      <c r="AX26" s="137"/>
    </row>
    <row r="27" ht="46.5" customHeight="1" spans="1:50" s="97" customFormat="1" x14ac:dyDescent="0.25">
      <c r="A27" s="239">
        <v>12</v>
      </c>
      <c r="B27" s="100"/>
      <c r="C27" s="100" t="s">
        <v>242</v>
      </c>
      <c r="D27" s="174" t="s">
        <v>243</v>
      </c>
      <c r="E27" s="100"/>
      <c r="F27" s="100"/>
      <c r="G27" s="103"/>
      <c r="H27" s="186"/>
      <c r="I27" s="195">
        <v>0.51</v>
      </c>
      <c r="J27" s="107">
        <v>0.49</v>
      </c>
      <c r="K27" s="107"/>
      <c r="L27" s="107"/>
      <c r="M27" s="187"/>
      <c r="N27" s="169">
        <f t="shared" si="0"/>
        <v>1</v>
      </c>
      <c r="O27" s="144">
        <v>1</v>
      </c>
      <c r="P27" s="145">
        <v>15</v>
      </c>
      <c r="Q27" s="113">
        <v>15</v>
      </c>
      <c r="R27" s="113"/>
      <c r="S27" s="113"/>
      <c r="T27" s="146"/>
      <c r="U27" s="148">
        <f t="shared" si="1"/>
        <v>15</v>
      </c>
      <c r="V27" s="149">
        <f t="shared" si="2"/>
        <v>15</v>
      </c>
      <c r="W27" s="189">
        <v>9826016000</v>
      </c>
      <c r="X27" s="199">
        <v>2864143000</v>
      </c>
      <c r="Y27" s="151"/>
      <c r="Z27" s="190"/>
      <c r="AA27" s="153"/>
      <c r="AB27" s="154">
        <f t="shared" si="3"/>
        <v>17.810000000000002</v>
      </c>
      <c r="AC27" s="149">
        <f t="shared" si="4"/>
        <v>13</v>
      </c>
      <c r="AD27" s="125">
        <v>2</v>
      </c>
      <c r="AE27" s="148">
        <f t="shared" si="5"/>
        <v>15</v>
      </c>
      <c r="AF27" s="156"/>
      <c r="AG27" s="127">
        <v>3.2</v>
      </c>
      <c r="AH27" s="113">
        <f t="shared" si="6"/>
        <v>30</v>
      </c>
      <c r="AI27" s="157">
        <v>65</v>
      </c>
      <c r="AJ27" s="113">
        <f t="shared" si="7"/>
        <v>98.2</v>
      </c>
      <c r="AK27" s="113">
        <f t="shared" si="8"/>
        <v>95</v>
      </c>
      <c r="AL27" s="158">
        <f t="shared" si="9"/>
        <v>0.955</v>
      </c>
      <c r="AM27" s="159"/>
      <c r="AN27" s="160">
        <f t="shared" si="10"/>
        <v>1</v>
      </c>
      <c r="AO27" s="160">
        <f t="shared" si="10"/>
        <v>2</v>
      </c>
      <c r="AP27" s="133"/>
      <c r="AQ27" s="134"/>
      <c r="AR27" s="161"/>
      <c r="AS27" s="161"/>
      <c r="AT27" s="161"/>
      <c r="AU27" s="161"/>
      <c r="AV27" s="162"/>
      <c r="AW27" s="137">
        <f t="shared" si="11"/>
        <v>0</v>
      </c>
      <c r="AX27" s="137">
        <f t="shared" si="12"/>
        <v>0</v>
      </c>
    </row>
    <row r="28" ht="21.95" customHeight="1" spans="1:50" s="97" customFormat="1" x14ac:dyDescent="0.25">
      <c r="A28" s="138" t="s">
        <v>56</v>
      </c>
      <c r="B28" s="139"/>
      <c r="C28" s="139"/>
      <c r="D28" s="139"/>
      <c r="E28" s="139"/>
      <c r="F28" s="139"/>
      <c r="G28" s="139"/>
      <c r="H28" s="140"/>
      <c r="I28" s="248">
        <v>85</v>
      </c>
      <c r="J28" s="142">
        <v>85</v>
      </c>
      <c r="K28" s="142"/>
      <c r="L28" s="142"/>
      <c r="M28" s="142"/>
      <c r="N28" s="143">
        <f>I28*I27+J28*J27+K28*K27+L28*L27+M28*M27</f>
        <v>85</v>
      </c>
      <c r="O28" s="144"/>
      <c r="P28" s="145"/>
      <c r="Q28" s="113"/>
      <c r="R28" s="113"/>
      <c r="S28" s="146"/>
      <c r="T28" s="147"/>
      <c r="U28" s="148"/>
      <c r="V28" s="149"/>
      <c r="W28" s="150"/>
      <c r="X28" s="151"/>
      <c r="Y28" s="152"/>
      <c r="Z28" s="151"/>
      <c r="AA28" s="153"/>
      <c r="AB28" s="154"/>
      <c r="AC28" s="149"/>
      <c r="AD28" s="148"/>
      <c r="AE28" s="148"/>
      <c r="AF28" s="155"/>
      <c r="AG28" s="156"/>
      <c r="AH28" s="113"/>
      <c r="AI28" s="157"/>
      <c r="AJ28" s="113"/>
      <c r="AK28" s="113"/>
      <c r="AL28" s="158"/>
      <c r="AM28" s="159"/>
      <c r="AN28" s="160"/>
      <c r="AO28" s="160"/>
      <c r="AP28" s="133"/>
      <c r="AQ28" s="134"/>
      <c r="AR28" s="161"/>
      <c r="AS28" s="161"/>
      <c r="AT28" s="161"/>
      <c r="AU28" s="161"/>
      <c r="AV28" s="162"/>
      <c r="AW28" s="137"/>
      <c r="AX28" s="137"/>
    </row>
    <row r="29" ht="46.5" customHeight="1" spans="1:50" s="97" customFormat="1" x14ac:dyDescent="0.25">
      <c r="A29" s="239">
        <v>13</v>
      </c>
      <c r="B29" s="100"/>
      <c r="C29" s="100" t="s">
        <v>244</v>
      </c>
      <c r="D29" s="174" t="s">
        <v>245</v>
      </c>
      <c r="E29" s="100"/>
      <c r="F29" s="100"/>
      <c r="G29" s="103"/>
      <c r="H29" s="186"/>
      <c r="I29" s="195">
        <v>0.51</v>
      </c>
      <c r="J29" s="107">
        <v>0.49</v>
      </c>
      <c r="K29" s="107"/>
      <c r="L29" s="107"/>
      <c r="M29" s="187"/>
      <c r="N29" s="169">
        <f t="shared" si="0"/>
        <v>1</v>
      </c>
      <c r="O29" s="144">
        <v>1</v>
      </c>
      <c r="P29" s="145">
        <v>15</v>
      </c>
      <c r="Q29" s="113">
        <v>15</v>
      </c>
      <c r="R29" s="113"/>
      <c r="S29" s="113"/>
      <c r="T29" s="146"/>
      <c r="U29" s="148">
        <f t="shared" si="1"/>
        <v>15</v>
      </c>
      <c r="V29" s="149">
        <f t="shared" si="2"/>
        <v>15</v>
      </c>
      <c r="W29" s="189">
        <v>15298736000</v>
      </c>
      <c r="X29" s="199">
        <v>7601919000</v>
      </c>
      <c r="Y29" s="151"/>
      <c r="Z29" s="190"/>
      <c r="AA29" s="153"/>
      <c r="AB29" s="154">
        <f t="shared" si="3"/>
        <v>32.11</v>
      </c>
      <c r="AC29" s="149">
        <f t="shared" si="4"/>
        <v>13</v>
      </c>
      <c r="AD29" s="125">
        <v>2</v>
      </c>
      <c r="AE29" s="148">
        <f t="shared" si="5"/>
        <v>15</v>
      </c>
      <c r="AF29" s="156"/>
      <c r="AG29" s="127">
        <v>3.2</v>
      </c>
      <c r="AH29" s="113">
        <f t="shared" si="6"/>
        <v>30</v>
      </c>
      <c r="AI29" s="157">
        <v>65</v>
      </c>
      <c r="AJ29" s="113">
        <f t="shared" si="7"/>
        <v>98.2</v>
      </c>
      <c r="AK29" s="113">
        <f t="shared" si="8"/>
        <v>95</v>
      </c>
      <c r="AL29" s="158">
        <f t="shared" si="9"/>
        <v>0.955</v>
      </c>
      <c r="AM29" s="159"/>
      <c r="AN29" s="160">
        <f t="shared" ref="AN29:AO50" si="13">100%+AM29</f>
        <v>1</v>
      </c>
      <c r="AO29" s="160">
        <f t="shared" si="13"/>
        <v>2</v>
      </c>
      <c r="AP29" s="133"/>
      <c r="AQ29" s="134"/>
      <c r="AR29" s="161"/>
      <c r="AS29" s="161"/>
      <c r="AT29" s="161"/>
      <c r="AU29" s="161"/>
      <c r="AV29" s="162"/>
      <c r="AW29" s="137">
        <f t="shared" si="11"/>
        <v>0</v>
      </c>
      <c r="AX29" s="137">
        <f t="shared" si="12"/>
        <v>0</v>
      </c>
    </row>
    <row r="30" ht="21.95" customHeight="1" spans="1:50" s="97" customFormat="1" x14ac:dyDescent="0.25">
      <c r="A30" s="138" t="s">
        <v>56</v>
      </c>
      <c r="B30" s="139"/>
      <c r="C30" s="139"/>
      <c r="D30" s="139"/>
      <c r="E30" s="139"/>
      <c r="F30" s="139"/>
      <c r="G30" s="139"/>
      <c r="H30" s="140"/>
      <c r="I30" s="248">
        <v>85</v>
      </c>
      <c r="J30" s="142">
        <v>85</v>
      </c>
      <c r="K30" s="142"/>
      <c r="L30" s="142"/>
      <c r="M30" s="142"/>
      <c r="N30" s="143">
        <f>I30*I29+J30*J29+K30*K29+L30*L29+M30*M29</f>
        <v>85</v>
      </c>
      <c r="O30" s="144"/>
      <c r="P30" s="145"/>
      <c r="Q30" s="113"/>
      <c r="R30" s="113"/>
      <c r="S30" s="146"/>
      <c r="T30" s="147"/>
      <c r="U30" s="148"/>
      <c r="V30" s="149"/>
      <c r="W30" s="150"/>
      <c r="X30" s="151"/>
      <c r="Y30" s="152"/>
      <c r="Z30" s="151"/>
      <c r="AA30" s="153"/>
      <c r="AB30" s="154"/>
      <c r="AC30" s="149"/>
      <c r="AD30" s="148"/>
      <c r="AE30" s="148"/>
      <c r="AF30" s="155"/>
      <c r="AG30" s="156"/>
      <c r="AH30" s="113"/>
      <c r="AI30" s="157"/>
      <c r="AJ30" s="113"/>
      <c r="AK30" s="113"/>
      <c r="AL30" s="158"/>
      <c r="AM30" s="159"/>
      <c r="AN30" s="160"/>
      <c r="AO30" s="160"/>
      <c r="AP30" s="133"/>
      <c r="AQ30" s="134"/>
      <c r="AR30" s="161"/>
      <c r="AS30" s="161"/>
      <c r="AT30" s="161"/>
      <c r="AU30" s="161"/>
      <c r="AV30" s="162"/>
      <c r="AW30" s="137"/>
      <c r="AX30" s="137"/>
    </row>
    <row r="31" ht="46.5" customHeight="1" spans="1:50" s="97" customFormat="1" x14ac:dyDescent="0.25">
      <c r="A31" s="239">
        <v>14</v>
      </c>
      <c r="B31" s="100"/>
      <c r="C31" s="174" t="s">
        <v>246</v>
      </c>
      <c r="D31" s="100" t="s">
        <v>247</v>
      </c>
      <c r="E31" s="100"/>
      <c r="F31" s="100"/>
      <c r="G31" s="103"/>
      <c r="H31" s="186"/>
      <c r="I31" s="195">
        <v>0.51</v>
      </c>
      <c r="J31" s="107">
        <v>0.49</v>
      </c>
      <c r="K31" s="107"/>
      <c r="L31" s="107"/>
      <c r="M31" s="187"/>
      <c r="N31" s="169">
        <f t="shared" si="0"/>
        <v>1</v>
      </c>
      <c r="O31" s="144">
        <v>1</v>
      </c>
      <c r="P31" s="145">
        <v>15</v>
      </c>
      <c r="Q31" s="113">
        <v>15</v>
      </c>
      <c r="R31" s="113"/>
      <c r="S31" s="113"/>
      <c r="T31" s="146"/>
      <c r="U31" s="148">
        <f t="shared" si="1"/>
        <v>15</v>
      </c>
      <c r="V31" s="149">
        <f t="shared" si="2"/>
        <v>15</v>
      </c>
      <c r="W31" s="189">
        <v>2728330000</v>
      </c>
      <c r="X31" s="189">
        <v>7891990000</v>
      </c>
      <c r="Y31" s="151"/>
      <c r="Z31" s="190"/>
      <c r="AA31" s="153"/>
      <c r="AB31" s="154">
        <f t="shared" si="3"/>
        <v>14.560000000000002</v>
      </c>
      <c r="AC31" s="149">
        <f t="shared" si="4"/>
        <v>13</v>
      </c>
      <c r="AD31" s="125">
        <v>2</v>
      </c>
      <c r="AE31" s="148">
        <f t="shared" si="5"/>
        <v>15</v>
      </c>
      <c r="AF31" s="156"/>
      <c r="AG31" s="127">
        <v>3.2</v>
      </c>
      <c r="AH31" s="113">
        <f t="shared" si="6"/>
        <v>30</v>
      </c>
      <c r="AI31" s="157">
        <v>65</v>
      </c>
      <c r="AJ31" s="113">
        <f t="shared" si="7"/>
        <v>98.2</v>
      </c>
      <c r="AK31" s="113">
        <f t="shared" si="8"/>
        <v>95</v>
      </c>
      <c r="AL31" s="158">
        <f t="shared" si="9"/>
        <v>0.955</v>
      </c>
      <c r="AM31" s="159"/>
      <c r="AN31" s="160">
        <f t="shared" si="13"/>
        <v>1</v>
      </c>
      <c r="AO31" s="160">
        <f t="shared" si="13"/>
        <v>2</v>
      </c>
      <c r="AP31" s="133"/>
      <c r="AQ31" s="134"/>
      <c r="AR31" s="161"/>
      <c r="AS31" s="161"/>
      <c r="AT31" s="161"/>
      <c r="AU31" s="161"/>
      <c r="AV31" s="162"/>
      <c r="AW31" s="137">
        <f t="shared" si="11"/>
        <v>0</v>
      </c>
      <c r="AX31" s="137">
        <f t="shared" si="12"/>
        <v>0</v>
      </c>
    </row>
    <row r="32" ht="21.95" customHeight="1" spans="1:50" s="97" customFormat="1" x14ac:dyDescent="0.25">
      <c r="A32" s="138" t="s">
        <v>56</v>
      </c>
      <c r="B32" s="139"/>
      <c r="C32" s="139"/>
      <c r="D32" s="139"/>
      <c r="E32" s="139"/>
      <c r="F32" s="139"/>
      <c r="G32" s="139"/>
      <c r="H32" s="140"/>
      <c r="I32" s="248">
        <v>85</v>
      </c>
      <c r="J32" s="142">
        <v>85</v>
      </c>
      <c r="K32" s="142"/>
      <c r="L32" s="142"/>
      <c r="M32" s="142"/>
      <c r="N32" s="143">
        <f>I32*I31+J32*J31+K32*K31+L32*L31+M32*M31</f>
        <v>85</v>
      </c>
      <c r="O32" s="144"/>
      <c r="P32" s="145"/>
      <c r="Q32" s="113"/>
      <c r="R32" s="113"/>
      <c r="S32" s="146"/>
      <c r="T32" s="147"/>
      <c r="U32" s="148"/>
      <c r="V32" s="149"/>
      <c r="W32" s="150"/>
      <c r="X32" s="151"/>
      <c r="Y32" s="152"/>
      <c r="Z32" s="151"/>
      <c r="AA32" s="153"/>
      <c r="AB32" s="154"/>
      <c r="AC32" s="149"/>
      <c r="AD32" s="148"/>
      <c r="AE32" s="148"/>
      <c r="AF32" s="155"/>
      <c r="AG32" s="156"/>
      <c r="AH32" s="113"/>
      <c r="AI32" s="157"/>
      <c r="AJ32" s="113"/>
      <c r="AK32" s="113"/>
      <c r="AL32" s="158"/>
      <c r="AM32" s="159"/>
      <c r="AN32" s="160"/>
      <c r="AO32" s="160"/>
      <c r="AP32" s="133"/>
      <c r="AQ32" s="134"/>
      <c r="AR32" s="161"/>
      <c r="AS32" s="161"/>
      <c r="AT32" s="161"/>
      <c r="AU32" s="161"/>
      <c r="AV32" s="162"/>
      <c r="AW32" s="137"/>
      <c r="AX32" s="137"/>
    </row>
    <row r="33" ht="46.5" customHeight="1" spans="1:50" s="97" customFormat="1" x14ac:dyDescent="0.25">
      <c r="A33" s="239">
        <v>15</v>
      </c>
      <c r="B33" s="100"/>
      <c r="C33" s="212" t="s">
        <v>248</v>
      </c>
      <c r="D33" s="174" t="s">
        <v>249</v>
      </c>
      <c r="E33" s="100"/>
      <c r="F33" s="100"/>
      <c r="G33" s="103"/>
      <c r="H33" s="186"/>
      <c r="I33" s="195">
        <v>0.51</v>
      </c>
      <c r="J33" s="107">
        <v>0.49</v>
      </c>
      <c r="K33" s="107"/>
      <c r="L33" s="107"/>
      <c r="M33" s="187"/>
      <c r="N33" s="169">
        <f t="shared" si="0"/>
        <v>1</v>
      </c>
      <c r="O33" s="144">
        <v>1</v>
      </c>
      <c r="P33" s="145">
        <v>15</v>
      </c>
      <c r="Q33" s="218">
        <v>11.8</v>
      </c>
      <c r="R33" s="113"/>
      <c r="S33" s="113"/>
      <c r="T33" s="146"/>
      <c r="U33" s="148">
        <f t="shared" si="1"/>
        <v>13.43</v>
      </c>
      <c r="V33" s="149">
        <f t="shared" si="2"/>
        <v>13.43</v>
      </c>
      <c r="W33" s="189">
        <v>9491864000</v>
      </c>
      <c r="X33" s="199">
        <v>2871000000</v>
      </c>
      <c r="Y33" s="151"/>
      <c r="Z33" s="190"/>
      <c r="AA33" s="153"/>
      <c r="AB33" s="154">
        <f t="shared" si="3"/>
        <v>17.42</v>
      </c>
      <c r="AC33" s="149">
        <f t="shared" si="4"/>
        <v>13</v>
      </c>
      <c r="AD33" s="125">
        <v>2</v>
      </c>
      <c r="AE33" s="148">
        <f t="shared" si="5"/>
        <v>15</v>
      </c>
      <c r="AF33" s="156"/>
      <c r="AG33" s="127">
        <v>3.2</v>
      </c>
      <c r="AH33" s="113">
        <f t="shared" si="6"/>
        <v>28.43</v>
      </c>
      <c r="AI33" s="157">
        <v>65</v>
      </c>
      <c r="AJ33" s="113">
        <f t="shared" si="7"/>
        <v>96.63000000000001</v>
      </c>
      <c r="AK33" s="113">
        <f t="shared" si="8"/>
        <v>95</v>
      </c>
      <c r="AL33" s="158">
        <f t="shared" si="9"/>
        <v>0.96285</v>
      </c>
      <c r="AM33" s="159"/>
      <c r="AN33" s="160">
        <f t="shared" si="13"/>
        <v>1</v>
      </c>
      <c r="AO33" s="160">
        <f t="shared" si="13"/>
        <v>2</v>
      </c>
      <c r="AP33" s="133"/>
      <c r="AQ33" s="134"/>
      <c r="AR33" s="161"/>
      <c r="AS33" s="161"/>
      <c r="AT33" s="161"/>
      <c r="AU33" s="161"/>
      <c r="AV33" s="162"/>
      <c r="AW33" s="137">
        <f t="shared" si="11"/>
        <v>0</v>
      </c>
      <c r="AX33" s="137">
        <f t="shared" si="12"/>
        <v>0</v>
      </c>
    </row>
    <row r="34" ht="21.95" customHeight="1" spans="1:50" s="97" customFormat="1" x14ac:dyDescent="0.25">
      <c r="A34" s="138" t="s">
        <v>56</v>
      </c>
      <c r="B34" s="139"/>
      <c r="C34" s="139"/>
      <c r="D34" s="139"/>
      <c r="E34" s="139"/>
      <c r="F34" s="139"/>
      <c r="G34" s="139"/>
      <c r="H34" s="140"/>
      <c r="I34" s="248">
        <v>85</v>
      </c>
      <c r="J34" s="142">
        <v>85</v>
      </c>
      <c r="K34" s="142"/>
      <c r="L34" s="142"/>
      <c r="M34" s="142"/>
      <c r="N34" s="143">
        <f>I34*I33+J34*J33+K34*K33+L34*L33+M34*M33</f>
        <v>85</v>
      </c>
      <c r="O34" s="144"/>
      <c r="P34" s="145"/>
      <c r="Q34" s="113"/>
      <c r="R34" s="113"/>
      <c r="S34" s="146"/>
      <c r="T34" s="147"/>
      <c r="U34" s="148"/>
      <c r="V34" s="149"/>
      <c r="W34" s="150"/>
      <c r="X34" s="151"/>
      <c r="Y34" s="152"/>
      <c r="Z34" s="151"/>
      <c r="AA34" s="153"/>
      <c r="AB34" s="154"/>
      <c r="AC34" s="149"/>
      <c r="AD34" s="148"/>
      <c r="AE34" s="148"/>
      <c r="AF34" s="155"/>
      <c r="AG34" s="156"/>
      <c r="AH34" s="113"/>
      <c r="AI34" s="157"/>
      <c r="AJ34" s="113"/>
      <c r="AK34" s="113"/>
      <c r="AL34" s="158"/>
      <c r="AM34" s="159"/>
      <c r="AN34" s="160"/>
      <c r="AO34" s="160"/>
      <c r="AP34" s="133"/>
      <c r="AQ34" s="134"/>
      <c r="AR34" s="161"/>
      <c r="AS34" s="161"/>
      <c r="AT34" s="161"/>
      <c r="AU34" s="161"/>
      <c r="AV34" s="162"/>
      <c r="AW34" s="137"/>
      <c r="AX34" s="137"/>
    </row>
    <row r="35" ht="46.5" customHeight="1" spans="1:50" s="97" customFormat="1" x14ac:dyDescent="0.25">
      <c r="A35" s="239">
        <v>16</v>
      </c>
      <c r="B35" s="100"/>
      <c r="C35" s="100" t="s">
        <v>250</v>
      </c>
      <c r="D35" s="249" t="s">
        <v>251</v>
      </c>
      <c r="E35" s="100"/>
      <c r="F35" s="100"/>
      <c r="G35" s="103"/>
      <c r="H35" s="233" t="s">
        <v>252</v>
      </c>
      <c r="I35" s="245">
        <v>0.4786</v>
      </c>
      <c r="J35" s="250">
        <v>0.49</v>
      </c>
      <c r="K35" s="107"/>
      <c r="L35" s="107"/>
      <c r="M35" s="187"/>
      <c r="N35" s="169">
        <f t="shared" si="0"/>
        <v>0.9686</v>
      </c>
      <c r="O35" s="144">
        <v>1</v>
      </c>
      <c r="P35" s="145">
        <v>15</v>
      </c>
      <c r="Q35" s="251">
        <v>11.8</v>
      </c>
      <c r="R35" s="113"/>
      <c r="S35" s="113"/>
      <c r="T35" s="146"/>
      <c r="U35" s="148">
        <f t="shared" si="1"/>
        <v>12.96</v>
      </c>
      <c r="V35" s="149">
        <f t="shared" si="2"/>
        <v>12.96</v>
      </c>
      <c r="W35" s="189">
        <v>3843363000</v>
      </c>
      <c r="X35" s="252">
        <v>17599269000</v>
      </c>
      <c r="Y35" s="151"/>
      <c r="Z35" s="190"/>
      <c r="AA35" s="153"/>
      <c r="AB35" s="154">
        <f t="shared" si="3"/>
        <v>29.120000000000005</v>
      </c>
      <c r="AC35" s="149">
        <f t="shared" si="4"/>
        <v>13</v>
      </c>
      <c r="AD35" s="125">
        <v>1</v>
      </c>
      <c r="AE35" s="148">
        <f t="shared" si="5"/>
        <v>14</v>
      </c>
      <c r="AF35" s="156"/>
      <c r="AG35" s="127">
        <v>3.2</v>
      </c>
      <c r="AH35" s="113">
        <f t="shared" si="6"/>
        <v>26.96</v>
      </c>
      <c r="AI35" s="157">
        <v>65</v>
      </c>
      <c r="AJ35" s="113">
        <f t="shared" si="7"/>
        <v>95.16000000000001</v>
      </c>
      <c r="AK35" s="113">
        <f t="shared" si="8"/>
        <v>95</v>
      </c>
      <c r="AL35" s="158">
        <f t="shared" si="9"/>
        <v>0.9702</v>
      </c>
      <c r="AM35" s="159"/>
      <c r="AN35" s="160">
        <f t="shared" si="13"/>
        <v>1</v>
      </c>
      <c r="AO35" s="160">
        <f t="shared" si="13"/>
        <v>2</v>
      </c>
      <c r="AP35" s="133"/>
      <c r="AQ35" s="134"/>
      <c r="AR35" s="161"/>
      <c r="AS35" s="161"/>
      <c r="AT35" s="161"/>
      <c r="AU35" s="161"/>
      <c r="AV35" s="162"/>
      <c r="AW35" s="137">
        <f t="shared" si="11"/>
        <v>0</v>
      </c>
      <c r="AX35" s="137">
        <f t="shared" si="12"/>
        <v>0</v>
      </c>
    </row>
    <row r="36" ht="21.95" customHeight="1" spans="1:50" s="97" customFormat="1" x14ac:dyDescent="0.25">
      <c r="A36" s="138" t="s">
        <v>56</v>
      </c>
      <c r="B36" s="139"/>
      <c r="C36" s="139"/>
      <c r="D36" s="139"/>
      <c r="E36" s="139"/>
      <c r="F36" s="139"/>
      <c r="G36" s="139"/>
      <c r="H36" s="140"/>
      <c r="I36" s="248">
        <v>85</v>
      </c>
      <c r="J36" s="142">
        <v>85</v>
      </c>
      <c r="K36" s="142"/>
      <c r="L36" s="142"/>
      <c r="M36" s="142"/>
      <c r="N36" s="143">
        <f>I36*I35+J36*J35+K36*K35+L36*L35+M36*M35</f>
        <v>82.331</v>
      </c>
      <c r="O36" s="144"/>
      <c r="P36" s="145"/>
      <c r="Q36" s="113"/>
      <c r="R36" s="113"/>
      <c r="S36" s="146"/>
      <c r="T36" s="147"/>
      <c r="U36" s="148"/>
      <c r="V36" s="149"/>
      <c r="W36" s="150"/>
      <c r="X36" s="151"/>
      <c r="Y36" s="152"/>
      <c r="Z36" s="151"/>
      <c r="AA36" s="153"/>
      <c r="AB36" s="154"/>
      <c r="AC36" s="149"/>
      <c r="AD36" s="148"/>
      <c r="AE36" s="148"/>
      <c r="AF36" s="155"/>
      <c r="AG36" s="156"/>
      <c r="AH36" s="113"/>
      <c r="AI36" s="157"/>
      <c r="AJ36" s="113"/>
      <c r="AK36" s="113"/>
      <c r="AL36" s="158"/>
      <c r="AM36" s="159"/>
      <c r="AN36" s="160"/>
      <c r="AO36" s="160"/>
      <c r="AP36" s="133"/>
      <c r="AQ36" s="134"/>
      <c r="AR36" s="161"/>
      <c r="AS36" s="161"/>
      <c r="AT36" s="161"/>
      <c r="AU36" s="161"/>
      <c r="AV36" s="162"/>
      <c r="AW36" s="137"/>
      <c r="AX36" s="137"/>
    </row>
    <row r="37" ht="46.5" customHeight="1" spans="1:50" s="97" customFormat="1" x14ac:dyDescent="0.25">
      <c r="A37" s="100"/>
      <c r="B37" s="100"/>
      <c r="C37" s="212"/>
      <c r="D37" s="100"/>
      <c r="E37" s="100"/>
      <c r="F37" s="100"/>
      <c r="G37" s="103"/>
      <c r="H37" s="186"/>
      <c r="I37" s="195"/>
      <c r="J37" s="107"/>
      <c r="K37" s="107"/>
      <c r="L37" s="107"/>
      <c r="M37" s="187"/>
      <c r="N37" s="169">
        <f t="shared" si="0"/>
        <v>0</v>
      </c>
      <c r="O37" s="144">
        <v>1</v>
      </c>
      <c r="P37" s="145"/>
      <c r="Q37" s="113"/>
      <c r="R37" s="113"/>
      <c r="S37" s="113"/>
      <c r="T37" s="146"/>
      <c r="U37" s="148">
        <f t="shared" si="1"/>
        <v>0</v>
      </c>
      <c r="V37" s="149">
        <f t="shared" si="2"/>
        <v>0</v>
      </c>
      <c r="W37" s="189"/>
      <c r="X37" s="199"/>
      <c r="Y37" s="151"/>
      <c r="Z37" s="190"/>
      <c r="AA37" s="153"/>
      <c r="AB37" s="154">
        <f t="shared" si="3"/>
        <v>0</v>
      </c>
      <c r="AC37" s="149">
        <f t="shared" si="4"/>
        <v>0</v>
      </c>
      <c r="AD37" s="125">
        <v>2</v>
      </c>
      <c r="AE37" s="148">
        <f t="shared" si="5"/>
        <v>2</v>
      </c>
      <c r="AF37" s="156"/>
      <c r="AG37" s="156"/>
      <c r="AH37" s="113">
        <f t="shared" si="6"/>
        <v>2</v>
      </c>
      <c r="AI37" s="157">
        <v>65</v>
      </c>
      <c r="AJ37" s="113">
        <f t="shared" si="7"/>
        <v>67</v>
      </c>
      <c r="AK37" s="113">
        <f t="shared" si="8"/>
        <v>67</v>
      </c>
      <c r="AL37" s="158">
        <f t="shared" si="9"/>
        <v>1.095</v>
      </c>
      <c r="AM37" s="159"/>
      <c r="AN37" s="160">
        <f t="shared" si="13"/>
        <v>1</v>
      </c>
      <c r="AO37" s="160">
        <f t="shared" si="13"/>
        <v>2</v>
      </c>
      <c r="AP37" s="133"/>
      <c r="AQ37" s="134"/>
      <c r="AR37" s="161"/>
      <c r="AS37" s="161"/>
      <c r="AT37" s="161"/>
      <c r="AU37" s="161"/>
      <c r="AV37" s="162"/>
      <c r="AW37" s="137">
        <f t="shared" si="11"/>
        <v>0</v>
      </c>
      <c r="AX37" s="137">
        <f t="shared" si="12"/>
        <v>0</v>
      </c>
    </row>
    <row r="38" ht="46.5" customHeight="1" spans="1:50" s="97" customFormat="1" x14ac:dyDescent="0.25">
      <c r="A38" s="100"/>
      <c r="B38" s="100"/>
      <c r="C38" s="174" t="s">
        <v>253</v>
      </c>
      <c r="D38" s="100"/>
      <c r="E38" s="100"/>
      <c r="F38" s="100"/>
      <c r="G38" s="103"/>
      <c r="H38" s="186"/>
      <c r="I38" s="195"/>
      <c r="J38" s="107"/>
      <c r="K38" s="107"/>
      <c r="L38" s="107"/>
      <c r="M38" s="187"/>
      <c r="N38" s="169">
        <f t="shared" si="0"/>
        <v>0</v>
      </c>
      <c r="O38" s="144">
        <v>1</v>
      </c>
      <c r="P38" s="145">
        <v>15</v>
      </c>
      <c r="Q38" s="113"/>
      <c r="R38" s="113"/>
      <c r="S38" s="113"/>
      <c r="T38" s="146"/>
      <c r="U38" s="148">
        <f t="shared" si="1"/>
        <v>0</v>
      </c>
      <c r="V38" s="149">
        <f t="shared" si="2"/>
        <v>0</v>
      </c>
      <c r="W38" s="189">
        <v>3</v>
      </c>
      <c r="X38" s="199"/>
      <c r="Y38" s="151"/>
      <c r="Z38" s="190"/>
      <c r="AA38" s="153"/>
      <c r="AB38" s="154">
        <f t="shared" si="3"/>
        <v>0</v>
      </c>
      <c r="AC38" s="149">
        <f t="shared" si="4"/>
        <v>0</v>
      </c>
      <c r="AD38" s="125">
        <v>2</v>
      </c>
      <c r="AE38" s="148">
        <f t="shared" si="5"/>
        <v>2</v>
      </c>
      <c r="AF38" s="156"/>
      <c r="AG38" s="156"/>
      <c r="AH38" s="113">
        <f t="shared" si="6"/>
        <v>2</v>
      </c>
      <c r="AI38" s="157">
        <v>65</v>
      </c>
      <c r="AJ38" s="113">
        <f t="shared" si="7"/>
        <v>67</v>
      </c>
      <c r="AK38" s="113">
        <f t="shared" si="8"/>
        <v>67</v>
      </c>
      <c r="AL38" s="158">
        <f t="shared" si="9"/>
        <v>1.095</v>
      </c>
      <c r="AM38" s="159"/>
      <c r="AN38" s="160">
        <f t="shared" si="13"/>
        <v>1</v>
      </c>
      <c r="AO38" s="160">
        <f t="shared" si="13"/>
        <v>2</v>
      </c>
      <c r="AP38" s="133"/>
      <c r="AQ38" s="134"/>
      <c r="AR38" s="161"/>
      <c r="AS38" s="161"/>
      <c r="AT38" s="161"/>
      <c r="AU38" s="161"/>
      <c r="AV38" s="162"/>
      <c r="AW38" s="137">
        <f t="shared" si="11"/>
        <v>0</v>
      </c>
      <c r="AX38" s="137">
        <f t="shared" si="12"/>
        <v>0</v>
      </c>
    </row>
    <row r="39" ht="46.5" customHeight="1" spans="1:50" s="97" customFormat="1" x14ac:dyDescent="0.25">
      <c r="A39" s="100"/>
      <c r="B39" s="100"/>
      <c r="C39" s="174" t="s">
        <v>254</v>
      </c>
      <c r="D39" s="100"/>
      <c r="E39" s="100"/>
      <c r="F39" s="100"/>
      <c r="G39" s="103"/>
      <c r="H39" s="186"/>
      <c r="I39" s="195"/>
      <c r="J39" s="107"/>
      <c r="K39" s="107"/>
      <c r="L39" s="107"/>
      <c r="M39" s="187"/>
      <c r="N39" s="169">
        <f t="shared" si="0"/>
        <v>0</v>
      </c>
      <c r="O39" s="144">
        <v>1</v>
      </c>
      <c r="P39" s="145"/>
      <c r="Q39" s="113"/>
      <c r="R39" s="113"/>
      <c r="S39" s="113"/>
      <c r="T39" s="146"/>
      <c r="U39" s="148">
        <f t="shared" si="1"/>
        <v>0</v>
      </c>
      <c r="V39" s="149">
        <f t="shared" si="2"/>
        <v>0</v>
      </c>
      <c r="W39" s="189"/>
      <c r="X39" s="199"/>
      <c r="Y39" s="151"/>
      <c r="Z39" s="190"/>
      <c r="AA39" s="153"/>
      <c r="AB39" s="154">
        <f t="shared" si="3"/>
        <v>0</v>
      </c>
      <c r="AC39" s="149">
        <f t="shared" si="4"/>
        <v>0</v>
      </c>
      <c r="AD39" s="125">
        <v>2</v>
      </c>
      <c r="AE39" s="148">
        <f t="shared" si="5"/>
        <v>2</v>
      </c>
      <c r="AF39" s="156"/>
      <c r="AG39" s="156"/>
      <c r="AH39" s="113">
        <f t="shared" si="6"/>
        <v>2</v>
      </c>
      <c r="AI39" s="157">
        <v>65</v>
      </c>
      <c r="AJ39" s="113">
        <f t="shared" si="7"/>
        <v>67</v>
      </c>
      <c r="AK39" s="113">
        <f t="shared" si="8"/>
        <v>67</v>
      </c>
      <c r="AL39" s="158">
        <f t="shared" si="9"/>
        <v>1.095</v>
      </c>
      <c r="AM39" s="159"/>
      <c r="AN39" s="160">
        <f t="shared" si="13"/>
        <v>1</v>
      </c>
      <c r="AO39" s="160">
        <f t="shared" si="13"/>
        <v>2</v>
      </c>
      <c r="AP39" s="133"/>
      <c r="AQ39" s="134"/>
      <c r="AR39" s="161"/>
      <c r="AS39" s="161"/>
      <c r="AT39" s="161"/>
      <c r="AU39" s="161"/>
      <c r="AV39" s="162"/>
      <c r="AW39" s="137">
        <f t="shared" si="11"/>
        <v>0</v>
      </c>
      <c r="AX39" s="137">
        <f t="shared" si="12"/>
        <v>0</v>
      </c>
    </row>
    <row r="40" ht="46.5" customHeight="1" spans="1:50" s="97" customFormat="1" x14ac:dyDescent="0.25">
      <c r="A40" s="100"/>
      <c r="B40" s="100"/>
      <c r="C40" s="100" t="s">
        <v>255</v>
      </c>
      <c r="D40" s="100"/>
      <c r="E40" s="100"/>
      <c r="F40" s="100"/>
      <c r="G40" s="103"/>
      <c r="H40" s="186"/>
      <c r="I40" s="195"/>
      <c r="J40" s="107"/>
      <c r="K40" s="107"/>
      <c r="L40" s="107"/>
      <c r="M40" s="187"/>
      <c r="N40" s="169">
        <f t="shared" si="0"/>
        <v>0</v>
      </c>
      <c r="O40" s="144">
        <v>1</v>
      </c>
      <c r="P40" s="145"/>
      <c r="Q40" s="113"/>
      <c r="R40" s="113"/>
      <c r="S40" s="113"/>
      <c r="T40" s="146"/>
      <c r="U40" s="148">
        <f t="shared" si="1"/>
        <v>0</v>
      </c>
      <c r="V40" s="149">
        <f t="shared" si="2"/>
        <v>0</v>
      </c>
      <c r="W40" s="189"/>
      <c r="X40" s="199"/>
      <c r="Y40" s="151"/>
      <c r="Z40" s="190"/>
      <c r="AA40" s="153"/>
      <c r="AB40" s="154">
        <f t="shared" si="3"/>
        <v>0</v>
      </c>
      <c r="AC40" s="149">
        <f t="shared" si="4"/>
        <v>0</v>
      </c>
      <c r="AD40" s="125">
        <v>2</v>
      </c>
      <c r="AE40" s="148">
        <f t="shared" si="5"/>
        <v>2</v>
      </c>
      <c r="AF40" s="156"/>
      <c r="AG40" s="156"/>
      <c r="AH40" s="113">
        <f t="shared" si="6"/>
        <v>2</v>
      </c>
      <c r="AI40" s="157">
        <v>65</v>
      </c>
      <c r="AJ40" s="113">
        <f t="shared" si="7"/>
        <v>67</v>
      </c>
      <c r="AK40" s="113">
        <f t="shared" si="8"/>
        <v>67</v>
      </c>
      <c r="AL40" s="158">
        <f t="shared" si="9"/>
        <v>1.095</v>
      </c>
      <c r="AM40" s="159"/>
      <c r="AN40" s="160">
        <f t="shared" si="13"/>
        <v>1</v>
      </c>
      <c r="AO40" s="160">
        <f t="shared" si="13"/>
        <v>2</v>
      </c>
      <c r="AP40" s="133"/>
      <c r="AQ40" s="134"/>
      <c r="AR40" s="161"/>
      <c r="AS40" s="161"/>
      <c r="AT40" s="161"/>
      <c r="AU40" s="161"/>
      <c r="AV40" s="162"/>
      <c r="AW40" s="137">
        <f t="shared" si="11"/>
        <v>0</v>
      </c>
      <c r="AX40" s="137">
        <f t="shared" si="12"/>
        <v>0</v>
      </c>
    </row>
    <row r="41" ht="46.5" customHeight="1" spans="1:50" s="97" customFormat="1" x14ac:dyDescent="0.25">
      <c r="A41" s="100"/>
      <c r="B41" s="100"/>
      <c r="C41" s="100"/>
      <c r="D41" s="100" t="s">
        <v>256</v>
      </c>
      <c r="E41" s="100"/>
      <c r="F41" s="100"/>
      <c r="G41" s="103"/>
      <c r="H41" s="186"/>
      <c r="I41" s="195"/>
      <c r="J41" s="107"/>
      <c r="K41" s="107"/>
      <c r="L41" s="107"/>
      <c r="M41" s="187"/>
      <c r="N41" s="169">
        <f t="shared" si="0"/>
        <v>0</v>
      </c>
      <c r="O41" s="144">
        <v>1</v>
      </c>
      <c r="P41" s="145"/>
      <c r="Q41" s="113"/>
      <c r="R41" s="113"/>
      <c r="S41" s="113"/>
      <c r="T41" s="146"/>
      <c r="U41" s="148">
        <f t="shared" si="1"/>
        <v>0</v>
      </c>
      <c r="V41" s="149">
        <f t="shared" si="2"/>
        <v>0</v>
      </c>
      <c r="W41" s="189"/>
      <c r="X41" s="199"/>
      <c r="Y41" s="151"/>
      <c r="Z41" s="190"/>
      <c r="AA41" s="153"/>
      <c r="AB41" s="154">
        <f t="shared" si="3"/>
        <v>0</v>
      </c>
      <c r="AC41" s="149">
        <f t="shared" si="4"/>
        <v>0</v>
      </c>
      <c r="AD41" s="125">
        <v>2</v>
      </c>
      <c r="AE41" s="148">
        <f t="shared" si="5"/>
        <v>2</v>
      </c>
      <c r="AF41" s="156"/>
      <c r="AG41" s="156"/>
      <c r="AH41" s="113">
        <f t="shared" si="6"/>
        <v>2</v>
      </c>
      <c r="AI41" s="157">
        <v>65</v>
      </c>
      <c r="AJ41" s="113">
        <f t="shared" si="7"/>
        <v>67</v>
      </c>
      <c r="AK41" s="113">
        <f t="shared" si="8"/>
        <v>67</v>
      </c>
      <c r="AL41" s="158">
        <f t="shared" si="9"/>
        <v>1.095</v>
      </c>
      <c r="AM41" s="159"/>
      <c r="AN41" s="160">
        <f t="shared" si="13"/>
        <v>1</v>
      </c>
      <c r="AO41" s="160">
        <f t="shared" si="13"/>
        <v>2</v>
      </c>
      <c r="AP41" s="133"/>
      <c r="AQ41" s="134"/>
      <c r="AR41" s="161"/>
      <c r="AS41" s="161"/>
      <c r="AT41" s="161"/>
      <c r="AU41" s="161"/>
      <c r="AV41" s="162"/>
      <c r="AW41" s="137">
        <f t="shared" si="11"/>
        <v>0</v>
      </c>
      <c r="AX41" s="137">
        <f t="shared" si="12"/>
        <v>0</v>
      </c>
    </row>
    <row r="42" ht="46.5" customHeight="1" spans="1:50" s="97" customFormat="1" x14ac:dyDescent="0.25">
      <c r="A42" s="100"/>
      <c r="B42" s="100"/>
      <c r="C42" s="203" t="s">
        <v>257</v>
      </c>
      <c r="D42" s="203" t="s">
        <v>258</v>
      </c>
      <c r="E42" s="100"/>
      <c r="F42" s="100"/>
      <c r="G42" s="103"/>
      <c r="H42" s="186"/>
      <c r="I42" s="195">
        <v>0.51</v>
      </c>
      <c r="J42" s="107">
        <v>0.49</v>
      </c>
      <c r="K42" s="107"/>
      <c r="L42" s="107"/>
      <c r="M42" s="187"/>
      <c r="N42" s="169">
        <f t="shared" si="0"/>
        <v>1</v>
      </c>
      <c r="O42" s="144">
        <v>1</v>
      </c>
      <c r="P42" s="145">
        <v>15</v>
      </c>
      <c r="Q42" s="113">
        <v>15</v>
      </c>
      <c r="R42" s="113"/>
      <c r="S42" s="113"/>
      <c r="T42" s="146"/>
      <c r="U42" s="148">
        <f t="shared" si="1"/>
        <v>15</v>
      </c>
      <c r="V42" s="149">
        <f t="shared" si="2"/>
        <v>15</v>
      </c>
      <c r="W42" s="189"/>
      <c r="X42" s="199"/>
      <c r="Y42" s="151"/>
      <c r="Z42" s="190"/>
      <c r="AA42" s="153"/>
      <c r="AB42" s="154">
        <f t="shared" si="3"/>
        <v>0</v>
      </c>
      <c r="AC42" s="149">
        <f t="shared" si="4"/>
        <v>0</v>
      </c>
      <c r="AD42" s="125">
        <v>2</v>
      </c>
      <c r="AE42" s="148">
        <f t="shared" si="5"/>
        <v>2</v>
      </c>
      <c r="AF42" s="156"/>
      <c r="AG42" s="156"/>
      <c r="AH42" s="113">
        <f t="shared" si="6"/>
        <v>17</v>
      </c>
      <c r="AI42" s="157">
        <v>65</v>
      </c>
      <c r="AJ42" s="113">
        <f t="shared" si="7"/>
        <v>82</v>
      </c>
      <c r="AK42" s="113">
        <f t="shared" si="8"/>
        <v>82</v>
      </c>
      <c r="AL42" s="158">
        <f t="shared" si="9"/>
        <v>1.02</v>
      </c>
      <c r="AM42" s="159"/>
      <c r="AN42" s="160">
        <f t="shared" si="13"/>
        <v>1</v>
      </c>
      <c r="AO42" s="160">
        <f t="shared" si="13"/>
        <v>2</v>
      </c>
      <c r="AP42" s="133"/>
      <c r="AQ42" s="134"/>
      <c r="AR42" s="161"/>
      <c r="AS42" s="161"/>
      <c r="AT42" s="161"/>
      <c r="AU42" s="161"/>
      <c r="AV42" s="162"/>
      <c r="AW42" s="137">
        <f t="shared" si="11"/>
        <v>0</v>
      </c>
      <c r="AX42" s="137">
        <f t="shared" si="12"/>
        <v>0</v>
      </c>
    </row>
    <row r="43" ht="46.5" customHeight="1" spans="1:50" s="97" customFormat="1" x14ac:dyDescent="0.25">
      <c r="A43" s="100"/>
      <c r="B43" s="100"/>
      <c r="C43" s="253"/>
      <c r="D43" s="100"/>
      <c r="E43" s="100"/>
      <c r="F43" s="100"/>
      <c r="G43" s="103"/>
      <c r="H43" s="186"/>
      <c r="I43" s="254">
        <v>0.51</v>
      </c>
      <c r="J43" s="107">
        <v>0.49</v>
      </c>
      <c r="K43" s="107"/>
      <c r="L43" s="107"/>
      <c r="M43" s="187"/>
      <c r="N43" s="169">
        <f t="shared" ref="N43:N106" si="14">SUM(I43:M43)</f>
        <v>1</v>
      </c>
      <c r="O43" s="144">
        <v>1</v>
      </c>
      <c r="P43" s="255">
        <v>15</v>
      </c>
      <c r="Q43" s="113">
        <v>15</v>
      </c>
      <c r="R43" s="113"/>
      <c r="S43" s="113"/>
      <c r="T43" s="146"/>
      <c r="U43" s="148">
        <f t="shared" si="1"/>
        <v>15</v>
      </c>
      <c r="V43" s="149">
        <f t="shared" si="2"/>
        <v>15</v>
      </c>
      <c r="W43" s="256"/>
      <c r="X43" s="199"/>
      <c r="Y43" s="151"/>
      <c r="Z43" s="190"/>
      <c r="AA43" s="153"/>
      <c r="AB43" s="154">
        <f t="shared" si="3"/>
        <v>0</v>
      </c>
      <c r="AC43" s="149">
        <f t="shared" si="4"/>
        <v>0</v>
      </c>
      <c r="AD43" s="125">
        <v>2</v>
      </c>
      <c r="AE43" s="148">
        <f t="shared" si="5"/>
        <v>2</v>
      </c>
      <c r="AF43" s="156"/>
      <c r="AG43" s="156"/>
      <c r="AH43" s="113">
        <f t="shared" si="6"/>
        <v>17</v>
      </c>
      <c r="AI43" s="157">
        <v>65</v>
      </c>
      <c r="AJ43" s="113">
        <f t="shared" si="7"/>
        <v>82</v>
      </c>
      <c r="AK43" s="113">
        <f t="shared" si="8"/>
        <v>82</v>
      </c>
      <c r="AL43" s="158">
        <f t="shared" si="9"/>
        <v>1.02</v>
      </c>
      <c r="AM43" s="159"/>
      <c r="AN43" s="160">
        <f t="shared" si="13"/>
        <v>1</v>
      </c>
      <c r="AO43" s="160">
        <f t="shared" si="13"/>
        <v>2</v>
      </c>
      <c r="AP43" s="133"/>
      <c r="AQ43" s="134"/>
      <c r="AR43" s="161"/>
      <c r="AS43" s="161"/>
      <c r="AT43" s="161"/>
      <c r="AU43" s="161"/>
      <c r="AV43" s="162"/>
      <c r="AW43" s="137">
        <f t="shared" si="11"/>
        <v>0</v>
      </c>
      <c r="AX43" s="137">
        <f t="shared" si="12"/>
        <v>0</v>
      </c>
    </row>
    <row r="44" ht="46.5" customHeight="1" spans="1:50" s="97" customFormat="1" x14ac:dyDescent="0.25">
      <c r="A44" s="100"/>
      <c r="B44" s="100"/>
      <c r="C44" s="100"/>
      <c r="D44" s="100"/>
      <c r="E44" s="100"/>
      <c r="F44" s="100"/>
      <c r="G44" s="103"/>
      <c r="H44" s="186"/>
      <c r="I44" s="195">
        <v>0.51</v>
      </c>
      <c r="J44" s="107">
        <v>0.49</v>
      </c>
      <c r="K44" s="107"/>
      <c r="L44" s="107"/>
      <c r="M44" s="187"/>
      <c r="N44" s="169">
        <f t="shared" si="14"/>
        <v>1</v>
      </c>
      <c r="O44" s="144">
        <v>1</v>
      </c>
      <c r="P44" s="145">
        <v>15</v>
      </c>
      <c r="Q44" s="113">
        <v>15</v>
      </c>
      <c r="R44" s="113"/>
      <c r="S44" s="113"/>
      <c r="T44" s="146"/>
      <c r="U44" s="148">
        <f t="shared" si="1"/>
        <v>15</v>
      </c>
      <c r="V44" s="149">
        <f t="shared" si="2"/>
        <v>15</v>
      </c>
      <c r="W44" s="189"/>
      <c r="X44" s="199"/>
      <c r="Y44" s="151"/>
      <c r="Z44" s="190"/>
      <c r="AA44" s="153"/>
      <c r="AB44" s="154">
        <f t="shared" si="3"/>
        <v>0</v>
      </c>
      <c r="AC44" s="149">
        <f t="shared" si="4"/>
        <v>0</v>
      </c>
      <c r="AD44" s="125">
        <v>2</v>
      </c>
      <c r="AE44" s="148">
        <f t="shared" si="5"/>
        <v>2</v>
      </c>
      <c r="AF44" s="156"/>
      <c r="AG44" s="156"/>
      <c r="AH44" s="113">
        <f t="shared" si="6"/>
        <v>17</v>
      </c>
      <c r="AI44" s="157">
        <v>65</v>
      </c>
      <c r="AJ44" s="113">
        <f t="shared" si="7"/>
        <v>82</v>
      </c>
      <c r="AK44" s="113">
        <f t="shared" si="8"/>
        <v>82</v>
      </c>
      <c r="AL44" s="158">
        <f t="shared" si="9"/>
        <v>1.02</v>
      </c>
      <c r="AM44" s="159"/>
      <c r="AN44" s="160">
        <f t="shared" si="13"/>
        <v>1</v>
      </c>
      <c r="AO44" s="160">
        <f t="shared" si="13"/>
        <v>2</v>
      </c>
      <c r="AP44" s="133"/>
      <c r="AQ44" s="134"/>
      <c r="AR44" s="161"/>
      <c r="AS44" s="161"/>
      <c r="AT44" s="161"/>
      <c r="AU44" s="161"/>
      <c r="AV44" s="162"/>
      <c r="AW44" s="137">
        <f t="shared" si="11"/>
        <v>0</v>
      </c>
      <c r="AX44" s="137">
        <f t="shared" si="12"/>
        <v>0</v>
      </c>
    </row>
    <row r="45" ht="46.5" customHeight="1" spans="1:50" s="97" customFormat="1" x14ac:dyDescent="0.25">
      <c r="A45" s="100"/>
      <c r="B45" s="100"/>
      <c r="C45" s="100"/>
      <c r="D45" s="100"/>
      <c r="E45" s="100"/>
      <c r="F45" s="100"/>
      <c r="G45" s="103"/>
      <c r="H45" s="186"/>
      <c r="I45" s="195">
        <v>0.51</v>
      </c>
      <c r="J45" s="107">
        <v>0.49</v>
      </c>
      <c r="K45" s="107"/>
      <c r="L45" s="107"/>
      <c r="M45" s="187"/>
      <c r="N45" s="169">
        <f t="shared" si="14"/>
        <v>1</v>
      </c>
      <c r="O45" s="144">
        <v>1</v>
      </c>
      <c r="P45" s="145">
        <v>15</v>
      </c>
      <c r="Q45" s="113">
        <v>15</v>
      </c>
      <c r="R45" s="113"/>
      <c r="S45" s="113"/>
      <c r="T45" s="146"/>
      <c r="U45" s="148">
        <f t="shared" si="1"/>
        <v>15</v>
      </c>
      <c r="V45" s="149">
        <f t="shared" si="2"/>
        <v>15</v>
      </c>
      <c r="W45" s="189"/>
      <c r="X45" s="199"/>
      <c r="Y45" s="151"/>
      <c r="Z45" s="190"/>
      <c r="AA45" s="153"/>
      <c r="AB45" s="154">
        <f t="shared" si="3"/>
        <v>0</v>
      </c>
      <c r="AC45" s="149">
        <f t="shared" si="4"/>
        <v>0</v>
      </c>
      <c r="AD45" s="125">
        <v>2</v>
      </c>
      <c r="AE45" s="148">
        <f t="shared" si="5"/>
        <v>2</v>
      </c>
      <c r="AF45" s="156"/>
      <c r="AG45" s="156"/>
      <c r="AH45" s="113">
        <f t="shared" si="6"/>
        <v>17</v>
      </c>
      <c r="AI45" s="157">
        <v>65</v>
      </c>
      <c r="AJ45" s="113">
        <f t="shared" si="7"/>
        <v>82</v>
      </c>
      <c r="AK45" s="113">
        <f t="shared" si="8"/>
        <v>82</v>
      </c>
      <c r="AL45" s="158">
        <f t="shared" si="9"/>
        <v>1.02</v>
      </c>
      <c r="AM45" s="159"/>
      <c r="AN45" s="160">
        <f t="shared" si="13"/>
        <v>1</v>
      </c>
      <c r="AO45" s="160">
        <f t="shared" si="13"/>
        <v>2</v>
      </c>
      <c r="AP45" s="133"/>
      <c r="AQ45" s="134"/>
      <c r="AR45" s="161"/>
      <c r="AS45" s="161"/>
      <c r="AT45" s="161"/>
      <c r="AU45" s="161"/>
      <c r="AV45" s="162"/>
      <c r="AW45" s="137">
        <f t="shared" si="11"/>
        <v>0</v>
      </c>
      <c r="AX45" s="137">
        <f t="shared" si="12"/>
        <v>0</v>
      </c>
    </row>
    <row r="46" ht="46.5" customHeight="1" spans="1:50" s="97" customFormat="1" x14ac:dyDescent="0.25">
      <c r="A46" s="100"/>
      <c r="B46" s="100"/>
      <c r="C46" s="100"/>
      <c r="D46" s="100"/>
      <c r="E46" s="100"/>
      <c r="F46" s="100"/>
      <c r="G46" s="103"/>
      <c r="H46" s="186"/>
      <c r="I46" s="195">
        <v>0.51</v>
      </c>
      <c r="J46" s="107">
        <v>0.49</v>
      </c>
      <c r="K46" s="107"/>
      <c r="L46" s="107"/>
      <c r="M46" s="187"/>
      <c r="N46" s="169">
        <f t="shared" si="14"/>
        <v>1</v>
      </c>
      <c r="O46" s="144">
        <v>1</v>
      </c>
      <c r="P46" s="145">
        <v>15</v>
      </c>
      <c r="Q46" s="113">
        <v>15</v>
      </c>
      <c r="R46" s="113"/>
      <c r="S46" s="113"/>
      <c r="T46" s="146"/>
      <c r="U46" s="148">
        <f t="shared" si="1"/>
        <v>15</v>
      </c>
      <c r="V46" s="149">
        <f t="shared" si="2"/>
        <v>15</v>
      </c>
      <c r="W46" s="189"/>
      <c r="X46" s="199"/>
      <c r="Y46" s="151"/>
      <c r="Z46" s="190"/>
      <c r="AA46" s="153"/>
      <c r="AB46" s="154">
        <f t="shared" si="3"/>
        <v>0</v>
      </c>
      <c r="AC46" s="149">
        <f t="shared" si="4"/>
        <v>0</v>
      </c>
      <c r="AD46" s="125">
        <v>2</v>
      </c>
      <c r="AE46" s="148">
        <f t="shared" si="5"/>
        <v>2</v>
      </c>
      <c r="AF46" s="156"/>
      <c r="AG46" s="156"/>
      <c r="AH46" s="113">
        <f t="shared" si="6"/>
        <v>17</v>
      </c>
      <c r="AI46" s="157">
        <v>65</v>
      </c>
      <c r="AJ46" s="113">
        <f t="shared" si="7"/>
        <v>82</v>
      </c>
      <c r="AK46" s="113">
        <f t="shared" si="8"/>
        <v>82</v>
      </c>
      <c r="AL46" s="158">
        <f t="shared" si="9"/>
        <v>1.02</v>
      </c>
      <c r="AM46" s="159"/>
      <c r="AN46" s="160">
        <f t="shared" si="13"/>
        <v>1</v>
      </c>
      <c r="AO46" s="160">
        <f t="shared" si="13"/>
        <v>2</v>
      </c>
      <c r="AP46" s="133"/>
      <c r="AQ46" s="134"/>
      <c r="AR46" s="161"/>
      <c r="AS46" s="161"/>
      <c r="AT46" s="161"/>
      <c r="AU46" s="161"/>
      <c r="AV46" s="162"/>
      <c r="AW46" s="137">
        <f t="shared" si="11"/>
        <v>0</v>
      </c>
      <c r="AX46" s="137">
        <f t="shared" si="12"/>
        <v>0</v>
      </c>
    </row>
    <row r="47" ht="46.5" customHeight="1" spans="1:50" s="97" customFormat="1" x14ac:dyDescent="0.25">
      <c r="A47" s="100"/>
      <c r="B47" s="100"/>
      <c r="C47" s="100"/>
      <c r="D47" s="100"/>
      <c r="E47" s="100"/>
      <c r="F47" s="100"/>
      <c r="G47" s="103"/>
      <c r="H47" s="186"/>
      <c r="I47" s="195">
        <v>0.51</v>
      </c>
      <c r="J47" s="107">
        <v>0.49</v>
      </c>
      <c r="K47" s="107"/>
      <c r="L47" s="107"/>
      <c r="M47" s="187"/>
      <c r="N47" s="169">
        <f t="shared" si="14"/>
        <v>1</v>
      </c>
      <c r="O47" s="144">
        <v>1</v>
      </c>
      <c r="P47" s="145">
        <v>15</v>
      </c>
      <c r="Q47" s="113">
        <v>15</v>
      </c>
      <c r="R47" s="113"/>
      <c r="S47" s="113"/>
      <c r="T47" s="146"/>
      <c r="U47" s="148">
        <f t="shared" si="1"/>
        <v>15</v>
      </c>
      <c r="V47" s="149">
        <f t="shared" si="2"/>
        <v>15</v>
      </c>
      <c r="W47" s="189"/>
      <c r="X47" s="199"/>
      <c r="Y47" s="151"/>
      <c r="Z47" s="190"/>
      <c r="AA47" s="153"/>
      <c r="AB47" s="154">
        <f t="shared" si="3"/>
        <v>0</v>
      </c>
      <c r="AC47" s="149">
        <f t="shared" si="4"/>
        <v>0</v>
      </c>
      <c r="AD47" s="125">
        <v>2</v>
      </c>
      <c r="AE47" s="148">
        <f t="shared" si="5"/>
        <v>2</v>
      </c>
      <c r="AF47" s="156"/>
      <c r="AG47" s="156"/>
      <c r="AH47" s="113">
        <f t="shared" si="6"/>
        <v>17</v>
      </c>
      <c r="AI47" s="157">
        <v>65</v>
      </c>
      <c r="AJ47" s="113">
        <f t="shared" si="7"/>
        <v>82</v>
      </c>
      <c r="AK47" s="113">
        <f t="shared" si="8"/>
        <v>82</v>
      </c>
      <c r="AL47" s="158">
        <f t="shared" si="9"/>
        <v>1.02</v>
      </c>
      <c r="AM47" s="159"/>
      <c r="AN47" s="160">
        <f t="shared" si="13"/>
        <v>1</v>
      </c>
      <c r="AO47" s="160">
        <f t="shared" si="13"/>
        <v>2</v>
      </c>
      <c r="AP47" s="133"/>
      <c r="AQ47" s="134"/>
      <c r="AR47" s="161"/>
      <c r="AS47" s="161"/>
      <c r="AT47" s="161"/>
      <c r="AU47" s="161"/>
      <c r="AV47" s="162"/>
      <c r="AW47" s="137">
        <f t="shared" si="11"/>
        <v>0</v>
      </c>
      <c r="AX47" s="137">
        <f t="shared" si="12"/>
        <v>0</v>
      </c>
    </row>
    <row r="48" ht="46.5" customHeight="1" spans="1:50" s="97" customFormat="1" x14ac:dyDescent="0.25">
      <c r="A48" s="100"/>
      <c r="B48" s="100"/>
      <c r="C48" s="100"/>
      <c r="D48" s="100"/>
      <c r="E48" s="100"/>
      <c r="F48" s="100"/>
      <c r="G48" s="103"/>
      <c r="H48" s="186"/>
      <c r="I48" s="195">
        <v>0.51</v>
      </c>
      <c r="J48" s="107">
        <v>0.49</v>
      </c>
      <c r="K48" s="107"/>
      <c r="L48" s="107"/>
      <c r="M48" s="187"/>
      <c r="N48" s="169">
        <f t="shared" si="14"/>
        <v>1</v>
      </c>
      <c r="O48" s="144">
        <v>1</v>
      </c>
      <c r="P48" s="145">
        <v>15</v>
      </c>
      <c r="Q48" s="113">
        <v>15</v>
      </c>
      <c r="R48" s="113"/>
      <c r="S48" s="113"/>
      <c r="T48" s="146"/>
      <c r="U48" s="148">
        <f t="shared" si="1"/>
        <v>15</v>
      </c>
      <c r="V48" s="149">
        <f t="shared" si="2"/>
        <v>15</v>
      </c>
      <c r="W48" s="189"/>
      <c r="X48" s="199"/>
      <c r="Y48" s="151"/>
      <c r="Z48" s="190"/>
      <c r="AA48" s="153"/>
      <c r="AB48" s="154">
        <f t="shared" si="3"/>
        <v>0</v>
      </c>
      <c r="AC48" s="149">
        <f t="shared" si="4"/>
        <v>0</v>
      </c>
      <c r="AD48" s="125">
        <v>2</v>
      </c>
      <c r="AE48" s="148">
        <f t="shared" si="5"/>
        <v>2</v>
      </c>
      <c r="AF48" s="156"/>
      <c r="AG48" s="156"/>
      <c r="AH48" s="113">
        <f t="shared" si="6"/>
        <v>17</v>
      </c>
      <c r="AI48" s="157">
        <v>65</v>
      </c>
      <c r="AJ48" s="113">
        <f t="shared" si="7"/>
        <v>82</v>
      </c>
      <c r="AK48" s="113">
        <f t="shared" si="8"/>
        <v>82</v>
      </c>
      <c r="AL48" s="158">
        <f t="shared" si="9"/>
        <v>1.02</v>
      </c>
      <c r="AM48" s="159"/>
      <c r="AN48" s="160">
        <f t="shared" si="13"/>
        <v>1</v>
      </c>
      <c r="AO48" s="160">
        <f t="shared" si="13"/>
        <v>2</v>
      </c>
      <c r="AP48" s="133"/>
      <c r="AQ48" s="134"/>
      <c r="AR48" s="161"/>
      <c r="AS48" s="161"/>
      <c r="AT48" s="161"/>
      <c r="AU48" s="161"/>
      <c r="AV48" s="162"/>
      <c r="AW48" s="137">
        <f t="shared" si="11"/>
        <v>0</v>
      </c>
      <c r="AX48" s="137">
        <f t="shared" si="12"/>
        <v>0</v>
      </c>
    </row>
    <row r="49" ht="46.5" customHeight="1" spans="1:50" s="97" customFormat="1" x14ac:dyDescent="0.25">
      <c r="A49" s="100"/>
      <c r="B49" s="100"/>
      <c r="C49" s="100"/>
      <c r="D49" s="100"/>
      <c r="E49" s="100"/>
      <c r="F49" s="100"/>
      <c r="G49" s="103"/>
      <c r="H49" s="186"/>
      <c r="I49" s="195">
        <v>0.51</v>
      </c>
      <c r="J49" s="107">
        <v>0.49</v>
      </c>
      <c r="K49" s="107"/>
      <c r="L49" s="107"/>
      <c r="M49" s="187"/>
      <c r="N49" s="169">
        <f t="shared" si="14"/>
        <v>1</v>
      </c>
      <c r="O49" s="144">
        <v>1</v>
      </c>
      <c r="P49" s="145">
        <v>15</v>
      </c>
      <c r="Q49" s="113">
        <v>15</v>
      </c>
      <c r="R49" s="113"/>
      <c r="S49" s="113"/>
      <c r="T49" s="146"/>
      <c r="U49" s="148">
        <f t="shared" si="1"/>
        <v>15</v>
      </c>
      <c r="V49" s="149">
        <f t="shared" si="2"/>
        <v>15</v>
      </c>
      <c r="W49" s="189"/>
      <c r="X49" s="199"/>
      <c r="Y49" s="151"/>
      <c r="Z49" s="190"/>
      <c r="AA49" s="153"/>
      <c r="AB49" s="154">
        <f t="shared" si="3"/>
        <v>0</v>
      </c>
      <c r="AC49" s="149">
        <f t="shared" si="4"/>
        <v>0</v>
      </c>
      <c r="AD49" s="125">
        <v>2</v>
      </c>
      <c r="AE49" s="148">
        <f t="shared" si="5"/>
        <v>2</v>
      </c>
      <c r="AF49" s="156"/>
      <c r="AG49" s="156"/>
      <c r="AH49" s="113">
        <f t="shared" si="6"/>
        <v>17</v>
      </c>
      <c r="AI49" s="157">
        <v>65</v>
      </c>
      <c r="AJ49" s="113">
        <f t="shared" si="7"/>
        <v>82</v>
      </c>
      <c r="AK49" s="113">
        <f t="shared" si="8"/>
        <v>82</v>
      </c>
      <c r="AL49" s="158">
        <f t="shared" si="9"/>
        <v>1.02</v>
      </c>
      <c r="AM49" s="159"/>
      <c r="AN49" s="160">
        <f t="shared" si="13"/>
        <v>1</v>
      </c>
      <c r="AO49" s="160">
        <f t="shared" si="13"/>
        <v>2</v>
      </c>
      <c r="AP49" s="133"/>
      <c r="AQ49" s="134"/>
      <c r="AR49" s="161"/>
      <c r="AS49" s="161"/>
      <c r="AT49" s="161"/>
      <c r="AU49" s="161"/>
      <c r="AV49" s="162"/>
      <c r="AW49" s="137">
        <f t="shared" si="11"/>
        <v>0</v>
      </c>
      <c r="AX49" s="137">
        <f t="shared" si="12"/>
        <v>0</v>
      </c>
    </row>
    <row r="50" ht="46.5" customHeight="1" spans="1:50" s="97" customFormat="1" x14ac:dyDescent="0.25">
      <c r="A50" s="100"/>
      <c r="B50" s="100"/>
      <c r="C50" s="100"/>
      <c r="D50" s="100"/>
      <c r="E50" s="100"/>
      <c r="F50" s="100"/>
      <c r="G50" s="103"/>
      <c r="H50" s="186"/>
      <c r="I50" s="195">
        <v>0.51</v>
      </c>
      <c r="J50" s="107">
        <v>0.49</v>
      </c>
      <c r="K50" s="107"/>
      <c r="L50" s="107"/>
      <c r="M50" s="187"/>
      <c r="N50" s="169">
        <f t="shared" si="14"/>
        <v>1</v>
      </c>
      <c r="O50" s="144">
        <v>1</v>
      </c>
      <c r="P50" s="145">
        <v>15</v>
      </c>
      <c r="Q50" s="113">
        <v>15</v>
      </c>
      <c r="R50" s="113"/>
      <c r="S50" s="113"/>
      <c r="T50" s="146"/>
      <c r="U50" s="148">
        <f t="shared" si="1"/>
        <v>15</v>
      </c>
      <c r="V50" s="149">
        <f t="shared" si="2"/>
        <v>15</v>
      </c>
      <c r="W50" s="189"/>
      <c r="X50" s="199"/>
      <c r="Y50" s="151"/>
      <c r="Z50" s="190"/>
      <c r="AA50" s="153"/>
      <c r="AB50" s="154">
        <f t="shared" si="3"/>
        <v>0</v>
      </c>
      <c r="AC50" s="149">
        <f t="shared" si="4"/>
        <v>0</v>
      </c>
      <c r="AD50" s="125">
        <v>2</v>
      </c>
      <c r="AE50" s="148">
        <f t="shared" si="5"/>
        <v>2</v>
      </c>
      <c r="AF50" s="156"/>
      <c r="AG50" s="156"/>
      <c r="AH50" s="113">
        <f t="shared" si="6"/>
        <v>17</v>
      </c>
      <c r="AI50" s="157">
        <v>65</v>
      </c>
      <c r="AJ50" s="113">
        <f t="shared" si="7"/>
        <v>82</v>
      </c>
      <c r="AK50" s="113">
        <f t="shared" si="8"/>
        <v>82</v>
      </c>
      <c r="AL50" s="158">
        <f t="shared" si="9"/>
        <v>1.02</v>
      </c>
      <c r="AM50" s="159"/>
      <c r="AN50" s="160">
        <f t="shared" si="13"/>
        <v>1</v>
      </c>
      <c r="AO50" s="160">
        <f t="shared" si="13"/>
        <v>2</v>
      </c>
      <c r="AP50" s="133"/>
      <c r="AQ50" s="134"/>
      <c r="AR50" s="161"/>
      <c r="AS50" s="161"/>
      <c r="AT50" s="161"/>
      <c r="AU50" s="161"/>
      <c r="AV50" s="162"/>
      <c r="AW50" s="137">
        <f t="shared" si="11"/>
        <v>0</v>
      </c>
      <c r="AX50" s="137">
        <f t="shared" si="12"/>
        <v>0</v>
      </c>
    </row>
    <row r="51" ht="46.5" customHeight="1" spans="1:50" s="97" customFormat="1" x14ac:dyDescent="0.25">
      <c r="A51" s="100"/>
      <c r="B51" s="100"/>
      <c r="C51" s="100"/>
      <c r="D51" s="100"/>
      <c r="E51" s="100"/>
      <c r="F51" s="100"/>
      <c r="G51" s="103"/>
      <c r="H51" s="186"/>
      <c r="I51" s="195">
        <v>0.51</v>
      </c>
      <c r="J51" s="107">
        <v>0.49</v>
      </c>
      <c r="K51" s="107"/>
      <c r="L51" s="107"/>
      <c r="M51" s="187"/>
      <c r="N51" s="169">
        <f t="shared" si="14"/>
        <v>1</v>
      </c>
      <c r="O51" s="144">
        <v>1</v>
      </c>
      <c r="P51" s="145">
        <v>15</v>
      </c>
      <c r="Q51" s="113">
        <v>15</v>
      </c>
      <c r="R51" s="113"/>
      <c r="S51" s="113"/>
      <c r="T51" s="146"/>
      <c r="U51" s="148">
        <f t="shared" si="1"/>
        <v>15</v>
      </c>
      <c r="V51" s="149">
        <f t="shared" si="2"/>
        <v>15</v>
      </c>
      <c r="W51" s="189"/>
      <c r="X51" s="199"/>
      <c r="Y51" s="151"/>
      <c r="Z51" s="190"/>
      <c r="AA51" s="153"/>
      <c r="AB51" s="154">
        <f t="shared" si="3"/>
        <v>0</v>
      </c>
      <c r="AC51" s="149">
        <f t="shared" si="4"/>
        <v>0</v>
      </c>
      <c r="AD51" s="125">
        <v>2</v>
      </c>
      <c r="AE51" s="148">
        <f t="shared" si="5"/>
        <v>2</v>
      </c>
      <c r="AF51" s="156"/>
      <c r="AG51" s="156"/>
      <c r="AH51" s="113">
        <f t="shared" si="6"/>
        <v>17</v>
      </c>
      <c r="AI51" s="157">
        <v>65</v>
      </c>
      <c r="AJ51" s="113">
        <f t="shared" si="7"/>
        <v>82</v>
      </c>
      <c r="AK51" s="113">
        <f t="shared" si="8"/>
        <v>82</v>
      </c>
      <c r="AL51" s="158">
        <f t="shared" si="9"/>
        <v>1.02</v>
      </c>
      <c r="AM51" s="159"/>
      <c r="AN51" s="160">
        <f t="shared" ref="AN51:AO70" si="15">100%+AM51</f>
        <v>1</v>
      </c>
      <c r="AO51" s="160">
        <f t="shared" si="15"/>
        <v>2</v>
      </c>
      <c r="AP51" s="133"/>
      <c r="AQ51" s="134"/>
      <c r="AR51" s="161"/>
      <c r="AS51" s="161"/>
      <c r="AT51" s="161"/>
      <c r="AU51" s="161"/>
      <c r="AV51" s="162"/>
      <c r="AW51" s="137">
        <f t="shared" si="11"/>
        <v>0</v>
      </c>
      <c r="AX51" s="137">
        <f t="shared" si="12"/>
        <v>0</v>
      </c>
    </row>
    <row r="52" ht="46.5" customHeight="1" spans="1:50" s="97" customFormat="1" x14ac:dyDescent="0.25">
      <c r="A52" s="100"/>
      <c r="B52" s="100"/>
      <c r="C52" s="100"/>
      <c r="D52" s="100"/>
      <c r="E52" s="100"/>
      <c r="F52" s="100"/>
      <c r="G52" s="103"/>
      <c r="H52" s="186"/>
      <c r="I52" s="195">
        <v>0.51</v>
      </c>
      <c r="J52" s="107">
        <v>0.49</v>
      </c>
      <c r="K52" s="107"/>
      <c r="L52" s="107"/>
      <c r="M52" s="187"/>
      <c r="N52" s="169">
        <f t="shared" si="14"/>
        <v>1</v>
      </c>
      <c r="O52" s="144">
        <v>1</v>
      </c>
      <c r="P52" s="145">
        <v>15</v>
      </c>
      <c r="Q52" s="113">
        <v>15</v>
      </c>
      <c r="R52" s="113"/>
      <c r="S52" s="113"/>
      <c r="T52" s="146"/>
      <c r="U52" s="148">
        <f t="shared" si="1"/>
        <v>15</v>
      </c>
      <c r="V52" s="149">
        <f t="shared" si="2"/>
        <v>15</v>
      </c>
      <c r="W52" s="189"/>
      <c r="X52" s="199"/>
      <c r="Y52" s="151"/>
      <c r="Z52" s="190"/>
      <c r="AA52" s="153"/>
      <c r="AB52" s="154">
        <f t="shared" si="3"/>
        <v>0</v>
      </c>
      <c r="AC52" s="149">
        <f t="shared" si="4"/>
        <v>0</v>
      </c>
      <c r="AD52" s="125">
        <v>2</v>
      </c>
      <c r="AE52" s="148">
        <f t="shared" si="5"/>
        <v>2</v>
      </c>
      <c r="AF52" s="156"/>
      <c r="AG52" s="156"/>
      <c r="AH52" s="113">
        <f t="shared" si="6"/>
        <v>17</v>
      </c>
      <c r="AI52" s="157">
        <v>65</v>
      </c>
      <c r="AJ52" s="113">
        <f t="shared" si="7"/>
        <v>82</v>
      </c>
      <c r="AK52" s="113">
        <f t="shared" si="8"/>
        <v>82</v>
      </c>
      <c r="AL52" s="158">
        <f t="shared" si="9"/>
        <v>1.02</v>
      </c>
      <c r="AM52" s="159"/>
      <c r="AN52" s="160">
        <f t="shared" si="15"/>
        <v>1</v>
      </c>
      <c r="AO52" s="160">
        <f t="shared" si="15"/>
        <v>2</v>
      </c>
      <c r="AP52" s="133"/>
      <c r="AQ52" s="134"/>
      <c r="AR52" s="161"/>
      <c r="AS52" s="161"/>
      <c r="AT52" s="161"/>
      <c r="AU52" s="161"/>
      <c r="AV52" s="162"/>
      <c r="AW52" s="137">
        <f t="shared" si="11"/>
        <v>0</v>
      </c>
      <c r="AX52" s="137">
        <f t="shared" si="12"/>
        <v>0</v>
      </c>
    </row>
    <row r="53" ht="46.5" customHeight="1" spans="1:50" s="97" customFormat="1" x14ac:dyDescent="0.25">
      <c r="A53" s="100"/>
      <c r="B53" s="100"/>
      <c r="C53" s="100"/>
      <c r="D53" s="100"/>
      <c r="E53" s="100"/>
      <c r="F53" s="100"/>
      <c r="G53" s="103"/>
      <c r="H53" s="186"/>
      <c r="I53" s="195">
        <v>0.51</v>
      </c>
      <c r="J53" s="107">
        <v>0.49</v>
      </c>
      <c r="K53" s="107"/>
      <c r="L53" s="107"/>
      <c r="M53" s="187"/>
      <c r="N53" s="169">
        <f t="shared" si="14"/>
        <v>1</v>
      </c>
      <c r="O53" s="144">
        <v>1</v>
      </c>
      <c r="P53" s="145">
        <v>15</v>
      </c>
      <c r="Q53" s="113">
        <v>15</v>
      </c>
      <c r="R53" s="113"/>
      <c r="S53" s="113"/>
      <c r="T53" s="146"/>
      <c r="U53" s="148">
        <f t="shared" si="1"/>
        <v>15</v>
      </c>
      <c r="V53" s="149">
        <f t="shared" si="2"/>
        <v>15</v>
      </c>
      <c r="W53" s="189"/>
      <c r="X53" s="199"/>
      <c r="Y53" s="151"/>
      <c r="Z53" s="190"/>
      <c r="AA53" s="153"/>
      <c r="AB53" s="154">
        <f t="shared" si="3"/>
        <v>0</v>
      </c>
      <c r="AC53" s="149">
        <f t="shared" si="4"/>
        <v>0</v>
      </c>
      <c r="AD53" s="125">
        <v>2</v>
      </c>
      <c r="AE53" s="148">
        <f t="shared" si="5"/>
        <v>2</v>
      </c>
      <c r="AF53" s="156"/>
      <c r="AG53" s="156"/>
      <c r="AH53" s="113">
        <f t="shared" si="6"/>
        <v>17</v>
      </c>
      <c r="AI53" s="157">
        <v>65</v>
      </c>
      <c r="AJ53" s="113">
        <f t="shared" si="7"/>
        <v>82</v>
      </c>
      <c r="AK53" s="113">
        <f t="shared" si="8"/>
        <v>82</v>
      </c>
      <c r="AL53" s="158">
        <f t="shared" si="9"/>
        <v>1.02</v>
      </c>
      <c r="AM53" s="159"/>
      <c r="AN53" s="160">
        <f t="shared" si="15"/>
        <v>1</v>
      </c>
      <c r="AO53" s="160">
        <f t="shared" si="15"/>
        <v>2</v>
      </c>
      <c r="AP53" s="133"/>
      <c r="AQ53" s="134"/>
      <c r="AR53" s="161"/>
      <c r="AS53" s="161"/>
      <c r="AT53" s="161"/>
      <c r="AU53" s="161"/>
      <c r="AV53" s="162"/>
      <c r="AW53" s="137">
        <f t="shared" si="11"/>
        <v>0</v>
      </c>
      <c r="AX53" s="137">
        <f t="shared" si="12"/>
        <v>0</v>
      </c>
    </row>
    <row r="54" ht="46.5" customHeight="1" spans="1:50" s="97" customFormat="1" x14ac:dyDescent="0.25">
      <c r="A54" s="100"/>
      <c r="B54" s="100"/>
      <c r="C54" s="100"/>
      <c r="D54" s="100"/>
      <c r="E54" s="100"/>
      <c r="F54" s="100"/>
      <c r="G54" s="103"/>
      <c r="H54" s="186"/>
      <c r="I54" s="195">
        <v>0.51</v>
      </c>
      <c r="J54" s="107">
        <v>0.49</v>
      </c>
      <c r="K54" s="107"/>
      <c r="L54" s="107"/>
      <c r="M54" s="187"/>
      <c r="N54" s="169">
        <f t="shared" si="14"/>
        <v>1</v>
      </c>
      <c r="O54" s="144">
        <v>1</v>
      </c>
      <c r="P54" s="145">
        <v>15</v>
      </c>
      <c r="Q54" s="113">
        <v>15</v>
      </c>
      <c r="R54" s="113"/>
      <c r="S54" s="113"/>
      <c r="T54" s="146"/>
      <c r="U54" s="148">
        <f t="shared" si="1"/>
        <v>15</v>
      </c>
      <c r="V54" s="149">
        <f t="shared" si="2"/>
        <v>15</v>
      </c>
      <c r="W54" s="189"/>
      <c r="X54" s="199"/>
      <c r="Y54" s="151"/>
      <c r="Z54" s="190"/>
      <c r="AA54" s="153"/>
      <c r="AB54" s="154">
        <f t="shared" si="3"/>
        <v>0</v>
      </c>
      <c r="AC54" s="149">
        <f t="shared" si="4"/>
        <v>0</v>
      </c>
      <c r="AD54" s="125">
        <v>2</v>
      </c>
      <c r="AE54" s="148">
        <f t="shared" si="5"/>
        <v>2</v>
      </c>
      <c r="AF54" s="156"/>
      <c r="AG54" s="156"/>
      <c r="AH54" s="113">
        <f t="shared" si="6"/>
        <v>17</v>
      </c>
      <c r="AI54" s="157">
        <v>65</v>
      </c>
      <c r="AJ54" s="113">
        <f t="shared" si="7"/>
        <v>82</v>
      </c>
      <c r="AK54" s="113">
        <f t="shared" si="8"/>
        <v>82</v>
      </c>
      <c r="AL54" s="158">
        <f t="shared" si="9"/>
        <v>1.02</v>
      </c>
      <c r="AM54" s="159"/>
      <c r="AN54" s="160">
        <f t="shared" si="15"/>
        <v>1</v>
      </c>
      <c r="AO54" s="160">
        <f t="shared" si="15"/>
        <v>2</v>
      </c>
      <c r="AP54" s="133"/>
      <c r="AQ54" s="134"/>
      <c r="AR54" s="161"/>
      <c r="AS54" s="161"/>
      <c r="AT54" s="161"/>
      <c r="AU54" s="161"/>
      <c r="AV54" s="162"/>
      <c r="AW54" s="137">
        <f t="shared" si="11"/>
        <v>0</v>
      </c>
      <c r="AX54" s="137">
        <f t="shared" si="12"/>
        <v>0</v>
      </c>
    </row>
    <row r="55" ht="46.5" customHeight="1" spans="1:50" s="97" customFormat="1" x14ac:dyDescent="0.25">
      <c r="A55" s="100"/>
      <c r="B55" s="100"/>
      <c r="C55" s="100"/>
      <c r="D55" s="100"/>
      <c r="E55" s="100"/>
      <c r="F55" s="100"/>
      <c r="G55" s="103"/>
      <c r="H55" s="186"/>
      <c r="I55" s="195">
        <v>0.51</v>
      </c>
      <c r="J55" s="107">
        <v>0.49</v>
      </c>
      <c r="K55" s="107"/>
      <c r="L55" s="107"/>
      <c r="M55" s="187"/>
      <c r="N55" s="169">
        <f t="shared" si="14"/>
        <v>1</v>
      </c>
      <c r="O55" s="144">
        <v>1</v>
      </c>
      <c r="P55" s="145">
        <v>15</v>
      </c>
      <c r="Q55" s="113">
        <v>15</v>
      </c>
      <c r="R55" s="113"/>
      <c r="S55" s="113"/>
      <c r="T55" s="146"/>
      <c r="U55" s="148">
        <f t="shared" si="1"/>
        <v>15</v>
      </c>
      <c r="V55" s="149">
        <f t="shared" si="2"/>
        <v>15</v>
      </c>
      <c r="W55" s="189"/>
      <c r="X55" s="199"/>
      <c r="Y55" s="151"/>
      <c r="Z55" s="190"/>
      <c r="AA55" s="153"/>
      <c r="AB55" s="154">
        <f t="shared" si="3"/>
        <v>0</v>
      </c>
      <c r="AC55" s="149">
        <f t="shared" si="4"/>
        <v>0</v>
      </c>
      <c r="AD55" s="125">
        <v>2</v>
      </c>
      <c r="AE55" s="148">
        <f t="shared" si="5"/>
        <v>2</v>
      </c>
      <c r="AF55" s="156"/>
      <c r="AG55" s="156"/>
      <c r="AH55" s="113">
        <f t="shared" si="6"/>
        <v>17</v>
      </c>
      <c r="AI55" s="157">
        <v>65</v>
      </c>
      <c r="AJ55" s="113">
        <f t="shared" si="7"/>
        <v>82</v>
      </c>
      <c r="AK55" s="113">
        <f t="shared" si="8"/>
        <v>82</v>
      </c>
      <c r="AL55" s="158">
        <f t="shared" si="9"/>
        <v>1.02</v>
      </c>
      <c r="AM55" s="159"/>
      <c r="AN55" s="160">
        <f t="shared" si="15"/>
        <v>1</v>
      </c>
      <c r="AO55" s="160">
        <f t="shared" si="15"/>
        <v>2</v>
      </c>
      <c r="AP55" s="133"/>
      <c r="AQ55" s="134"/>
      <c r="AR55" s="161"/>
      <c r="AS55" s="161"/>
      <c r="AT55" s="161"/>
      <c r="AU55" s="161"/>
      <c r="AV55" s="162"/>
      <c r="AW55" s="137">
        <f t="shared" si="11"/>
        <v>0</v>
      </c>
      <c r="AX55" s="137">
        <f t="shared" si="12"/>
        <v>0</v>
      </c>
    </row>
    <row r="56" ht="46.5" customHeight="1" spans="1:50" s="97" customFormat="1" x14ac:dyDescent="0.25">
      <c r="A56" s="100"/>
      <c r="B56" s="100"/>
      <c r="C56" s="100"/>
      <c r="D56" s="100"/>
      <c r="E56" s="100"/>
      <c r="F56" s="100"/>
      <c r="G56" s="103"/>
      <c r="H56" s="186"/>
      <c r="I56" s="195">
        <v>0.51</v>
      </c>
      <c r="J56" s="107">
        <v>0.49</v>
      </c>
      <c r="K56" s="107"/>
      <c r="L56" s="107"/>
      <c r="M56" s="187"/>
      <c r="N56" s="169">
        <f t="shared" si="14"/>
        <v>1</v>
      </c>
      <c r="O56" s="144">
        <v>1</v>
      </c>
      <c r="P56" s="145">
        <v>15</v>
      </c>
      <c r="Q56" s="113">
        <v>15</v>
      </c>
      <c r="R56" s="113"/>
      <c r="S56" s="113"/>
      <c r="T56" s="146"/>
      <c r="U56" s="148">
        <f t="shared" si="1"/>
        <v>15</v>
      </c>
      <c r="V56" s="149">
        <f t="shared" si="2"/>
        <v>15</v>
      </c>
      <c r="W56" s="189"/>
      <c r="X56" s="199"/>
      <c r="Y56" s="151"/>
      <c r="Z56" s="190"/>
      <c r="AA56" s="153"/>
      <c r="AB56" s="154">
        <f t="shared" si="3"/>
        <v>0</v>
      </c>
      <c r="AC56" s="149">
        <f t="shared" si="4"/>
        <v>0</v>
      </c>
      <c r="AD56" s="125">
        <v>2</v>
      </c>
      <c r="AE56" s="148">
        <f t="shared" si="5"/>
        <v>2</v>
      </c>
      <c r="AF56" s="156"/>
      <c r="AG56" s="156"/>
      <c r="AH56" s="113">
        <f t="shared" si="6"/>
        <v>17</v>
      </c>
      <c r="AI56" s="157">
        <v>65</v>
      </c>
      <c r="AJ56" s="113">
        <f t="shared" si="7"/>
        <v>82</v>
      </c>
      <c r="AK56" s="113">
        <f t="shared" si="8"/>
        <v>82</v>
      </c>
      <c r="AL56" s="158">
        <f t="shared" si="9"/>
        <v>1.02</v>
      </c>
      <c r="AM56" s="159"/>
      <c r="AN56" s="160">
        <f t="shared" si="15"/>
        <v>1</v>
      </c>
      <c r="AO56" s="160">
        <f t="shared" si="15"/>
        <v>2</v>
      </c>
      <c r="AP56" s="133"/>
      <c r="AQ56" s="134"/>
      <c r="AR56" s="161"/>
      <c r="AS56" s="161"/>
      <c r="AT56" s="161"/>
      <c r="AU56" s="161"/>
      <c r="AV56" s="162"/>
      <c r="AW56" s="137">
        <f t="shared" si="11"/>
        <v>0</v>
      </c>
      <c r="AX56" s="137">
        <f t="shared" si="12"/>
        <v>0</v>
      </c>
    </row>
    <row r="57" ht="46.5" customHeight="1" spans="1:50" s="97" customFormat="1" x14ac:dyDescent="0.25">
      <c r="A57" s="100"/>
      <c r="B57" s="100"/>
      <c r="C57" s="100"/>
      <c r="D57" s="100"/>
      <c r="E57" s="100"/>
      <c r="F57" s="100"/>
      <c r="G57" s="103"/>
      <c r="H57" s="186"/>
      <c r="I57" s="195">
        <v>0.51</v>
      </c>
      <c r="J57" s="107">
        <v>0.49</v>
      </c>
      <c r="K57" s="107"/>
      <c r="L57" s="107"/>
      <c r="M57" s="187"/>
      <c r="N57" s="169">
        <f t="shared" si="14"/>
        <v>1</v>
      </c>
      <c r="O57" s="144">
        <v>1</v>
      </c>
      <c r="P57" s="145">
        <v>15</v>
      </c>
      <c r="Q57" s="113">
        <v>15</v>
      </c>
      <c r="R57" s="113"/>
      <c r="S57" s="113"/>
      <c r="T57" s="146"/>
      <c r="U57" s="148">
        <f t="shared" si="1"/>
        <v>15</v>
      </c>
      <c r="V57" s="149">
        <f t="shared" si="2"/>
        <v>15</v>
      </c>
      <c r="W57" s="189"/>
      <c r="X57" s="199"/>
      <c r="Y57" s="151"/>
      <c r="Z57" s="190"/>
      <c r="AA57" s="153"/>
      <c r="AB57" s="154">
        <f t="shared" si="3"/>
        <v>0</v>
      </c>
      <c r="AC57" s="149">
        <f t="shared" si="4"/>
        <v>0</v>
      </c>
      <c r="AD57" s="125">
        <v>2</v>
      </c>
      <c r="AE57" s="148">
        <f t="shared" si="5"/>
        <v>2</v>
      </c>
      <c r="AF57" s="156"/>
      <c r="AG57" s="156"/>
      <c r="AH57" s="113">
        <f t="shared" si="6"/>
        <v>17</v>
      </c>
      <c r="AI57" s="157">
        <v>65</v>
      </c>
      <c r="AJ57" s="113">
        <f t="shared" si="7"/>
        <v>82</v>
      </c>
      <c r="AK57" s="113">
        <f t="shared" si="8"/>
        <v>82</v>
      </c>
      <c r="AL57" s="158">
        <f t="shared" si="9"/>
        <v>1.02</v>
      </c>
      <c r="AM57" s="159"/>
      <c r="AN57" s="160">
        <f t="shared" si="15"/>
        <v>1</v>
      </c>
      <c r="AO57" s="160">
        <f t="shared" si="15"/>
        <v>2</v>
      </c>
      <c r="AP57" s="133"/>
      <c r="AQ57" s="134"/>
      <c r="AR57" s="161"/>
      <c r="AS57" s="161"/>
      <c r="AT57" s="161"/>
      <c r="AU57" s="161"/>
      <c r="AV57" s="162"/>
      <c r="AW57" s="137">
        <f t="shared" si="11"/>
        <v>0</v>
      </c>
      <c r="AX57" s="137">
        <f t="shared" si="12"/>
        <v>0</v>
      </c>
    </row>
    <row r="58" ht="46.5" customHeight="1" spans="1:50" s="97" customFormat="1" x14ac:dyDescent="0.25">
      <c r="A58" s="100"/>
      <c r="B58" s="100"/>
      <c r="C58" s="100"/>
      <c r="D58" s="100"/>
      <c r="E58" s="100"/>
      <c r="F58" s="100"/>
      <c r="G58" s="103"/>
      <c r="H58" s="186"/>
      <c r="I58" s="195">
        <v>0.51</v>
      </c>
      <c r="J58" s="107">
        <v>0.49</v>
      </c>
      <c r="K58" s="107"/>
      <c r="L58" s="107"/>
      <c r="M58" s="187"/>
      <c r="N58" s="169">
        <f t="shared" si="14"/>
        <v>1</v>
      </c>
      <c r="O58" s="144">
        <v>1</v>
      </c>
      <c r="P58" s="145">
        <v>15</v>
      </c>
      <c r="Q58" s="113">
        <v>15</v>
      </c>
      <c r="R58" s="113"/>
      <c r="S58" s="113"/>
      <c r="T58" s="146"/>
      <c r="U58" s="148">
        <f t="shared" si="1"/>
        <v>15</v>
      </c>
      <c r="V58" s="149">
        <f t="shared" si="2"/>
        <v>15</v>
      </c>
      <c r="W58" s="189"/>
      <c r="X58" s="199"/>
      <c r="Y58" s="151"/>
      <c r="Z58" s="190"/>
      <c r="AA58" s="153"/>
      <c r="AB58" s="154">
        <f t="shared" si="3"/>
        <v>0</v>
      </c>
      <c r="AC58" s="149">
        <f t="shared" si="4"/>
        <v>0</v>
      </c>
      <c r="AD58" s="125">
        <v>2</v>
      </c>
      <c r="AE58" s="148">
        <f t="shared" si="5"/>
        <v>2</v>
      </c>
      <c r="AF58" s="156"/>
      <c r="AG58" s="156"/>
      <c r="AH58" s="113">
        <f t="shared" si="6"/>
        <v>17</v>
      </c>
      <c r="AI58" s="157">
        <v>65</v>
      </c>
      <c r="AJ58" s="113">
        <f t="shared" si="7"/>
        <v>82</v>
      </c>
      <c r="AK58" s="113">
        <f t="shared" si="8"/>
        <v>82</v>
      </c>
      <c r="AL58" s="158">
        <f t="shared" si="9"/>
        <v>1.02</v>
      </c>
      <c r="AM58" s="159"/>
      <c r="AN58" s="160">
        <f t="shared" si="15"/>
        <v>1</v>
      </c>
      <c r="AO58" s="160">
        <f t="shared" si="15"/>
        <v>2</v>
      </c>
      <c r="AP58" s="133"/>
      <c r="AQ58" s="134"/>
      <c r="AR58" s="161"/>
      <c r="AS58" s="161"/>
      <c r="AT58" s="161"/>
      <c r="AU58" s="161"/>
      <c r="AV58" s="162"/>
      <c r="AW58" s="137">
        <f t="shared" si="11"/>
        <v>0</v>
      </c>
      <c r="AX58" s="137">
        <f t="shared" si="12"/>
        <v>0</v>
      </c>
    </row>
    <row r="59" ht="46.5" customHeight="1" spans="1:50" s="97" customFormat="1" x14ac:dyDescent="0.25">
      <c r="A59" s="100"/>
      <c r="B59" s="100"/>
      <c r="C59" s="100"/>
      <c r="D59" s="100"/>
      <c r="E59" s="100"/>
      <c r="F59" s="100"/>
      <c r="G59" s="103"/>
      <c r="H59" s="186"/>
      <c r="I59" s="195">
        <v>0.51</v>
      </c>
      <c r="J59" s="107">
        <v>0.49</v>
      </c>
      <c r="K59" s="107"/>
      <c r="L59" s="107"/>
      <c r="M59" s="187"/>
      <c r="N59" s="169">
        <f t="shared" si="14"/>
        <v>1</v>
      </c>
      <c r="O59" s="144">
        <v>1</v>
      </c>
      <c r="P59" s="145">
        <v>15</v>
      </c>
      <c r="Q59" s="113">
        <v>15</v>
      </c>
      <c r="R59" s="113"/>
      <c r="S59" s="113"/>
      <c r="T59" s="146"/>
      <c r="U59" s="148">
        <f t="shared" si="1"/>
        <v>15</v>
      </c>
      <c r="V59" s="149">
        <f t="shared" si="2"/>
        <v>15</v>
      </c>
      <c r="W59" s="189"/>
      <c r="X59" s="199"/>
      <c r="Y59" s="151"/>
      <c r="Z59" s="190"/>
      <c r="AA59" s="153"/>
      <c r="AB59" s="154">
        <f t="shared" si="3"/>
        <v>0</v>
      </c>
      <c r="AC59" s="149">
        <f t="shared" si="4"/>
        <v>0</v>
      </c>
      <c r="AD59" s="125">
        <v>2</v>
      </c>
      <c r="AE59" s="148">
        <f t="shared" si="5"/>
        <v>2</v>
      </c>
      <c r="AF59" s="156"/>
      <c r="AG59" s="156"/>
      <c r="AH59" s="113">
        <f t="shared" si="6"/>
        <v>17</v>
      </c>
      <c r="AI59" s="157">
        <v>65</v>
      </c>
      <c r="AJ59" s="113">
        <f t="shared" si="7"/>
        <v>82</v>
      </c>
      <c r="AK59" s="113">
        <f t="shared" si="8"/>
        <v>82</v>
      </c>
      <c r="AL59" s="158">
        <f t="shared" si="9"/>
        <v>1.02</v>
      </c>
      <c r="AM59" s="159"/>
      <c r="AN59" s="160">
        <f t="shared" si="15"/>
        <v>1</v>
      </c>
      <c r="AO59" s="160">
        <f t="shared" si="15"/>
        <v>2</v>
      </c>
      <c r="AP59" s="133"/>
      <c r="AQ59" s="134"/>
      <c r="AR59" s="161"/>
      <c r="AS59" s="161"/>
      <c r="AT59" s="161"/>
      <c r="AU59" s="161"/>
      <c r="AV59" s="162"/>
      <c r="AW59" s="137">
        <f t="shared" si="11"/>
        <v>0</v>
      </c>
      <c r="AX59" s="137">
        <f t="shared" si="12"/>
        <v>0</v>
      </c>
    </row>
    <row r="60" ht="46.5" customHeight="1" spans="1:50" s="97" customFormat="1" x14ac:dyDescent="0.25">
      <c r="A60" s="100"/>
      <c r="B60" s="100"/>
      <c r="C60" s="100"/>
      <c r="D60" s="100"/>
      <c r="E60" s="100"/>
      <c r="F60" s="100"/>
      <c r="G60" s="103"/>
      <c r="H60" s="186"/>
      <c r="I60" s="195">
        <v>0.51</v>
      </c>
      <c r="J60" s="107">
        <v>0.49</v>
      </c>
      <c r="K60" s="107"/>
      <c r="L60" s="107"/>
      <c r="M60" s="187"/>
      <c r="N60" s="169">
        <f t="shared" si="14"/>
        <v>1</v>
      </c>
      <c r="O60" s="144">
        <v>1</v>
      </c>
      <c r="P60" s="145">
        <v>15</v>
      </c>
      <c r="Q60" s="113">
        <v>15</v>
      </c>
      <c r="R60" s="113"/>
      <c r="S60" s="113"/>
      <c r="T60" s="146"/>
      <c r="U60" s="148">
        <f t="shared" si="1"/>
        <v>15</v>
      </c>
      <c r="V60" s="149">
        <f t="shared" si="2"/>
        <v>15</v>
      </c>
      <c r="W60" s="189"/>
      <c r="X60" s="199"/>
      <c r="Y60" s="151"/>
      <c r="Z60" s="190"/>
      <c r="AA60" s="153"/>
      <c r="AB60" s="154">
        <f t="shared" si="3"/>
        <v>0</v>
      </c>
      <c r="AC60" s="149">
        <f t="shared" si="4"/>
        <v>0</v>
      </c>
      <c r="AD60" s="125">
        <v>2</v>
      </c>
      <c r="AE60" s="148">
        <f t="shared" si="5"/>
        <v>2</v>
      </c>
      <c r="AF60" s="156"/>
      <c r="AG60" s="156"/>
      <c r="AH60" s="113">
        <f t="shared" si="6"/>
        <v>17</v>
      </c>
      <c r="AI60" s="157">
        <v>65</v>
      </c>
      <c r="AJ60" s="113">
        <f t="shared" si="7"/>
        <v>82</v>
      </c>
      <c r="AK60" s="113">
        <f t="shared" si="8"/>
        <v>82</v>
      </c>
      <c r="AL60" s="158">
        <f t="shared" si="9"/>
        <v>1.02</v>
      </c>
      <c r="AM60" s="159"/>
      <c r="AN60" s="160">
        <f t="shared" si="15"/>
        <v>1</v>
      </c>
      <c r="AO60" s="160">
        <f t="shared" si="15"/>
        <v>2</v>
      </c>
      <c r="AP60" s="133"/>
      <c r="AQ60" s="134"/>
      <c r="AR60" s="161"/>
      <c r="AS60" s="161"/>
      <c r="AT60" s="161"/>
      <c r="AU60" s="161"/>
      <c r="AV60" s="162"/>
      <c r="AW60" s="137">
        <f t="shared" si="11"/>
        <v>0</v>
      </c>
      <c r="AX60" s="137">
        <f t="shared" si="12"/>
        <v>0</v>
      </c>
    </row>
    <row r="61" ht="46.5" customHeight="1" spans="1:50" s="97" customFormat="1" x14ac:dyDescent="0.25">
      <c r="A61" s="100"/>
      <c r="B61" s="100"/>
      <c r="C61" s="100"/>
      <c r="D61" s="100"/>
      <c r="E61" s="100"/>
      <c r="F61" s="100"/>
      <c r="G61" s="103"/>
      <c r="H61" s="186"/>
      <c r="I61" s="195">
        <v>0.51</v>
      </c>
      <c r="J61" s="107">
        <v>0.49</v>
      </c>
      <c r="K61" s="107"/>
      <c r="L61" s="107"/>
      <c r="M61" s="187"/>
      <c r="N61" s="169">
        <f t="shared" si="14"/>
        <v>1</v>
      </c>
      <c r="O61" s="144">
        <v>1</v>
      </c>
      <c r="P61" s="145">
        <v>15</v>
      </c>
      <c r="Q61" s="113">
        <v>15</v>
      </c>
      <c r="R61" s="113"/>
      <c r="S61" s="113"/>
      <c r="T61" s="146"/>
      <c r="U61" s="148">
        <f t="shared" si="1"/>
        <v>15</v>
      </c>
      <c r="V61" s="149">
        <f t="shared" si="2"/>
        <v>15</v>
      </c>
      <c r="W61" s="189"/>
      <c r="X61" s="199"/>
      <c r="Y61" s="151"/>
      <c r="Z61" s="190"/>
      <c r="AA61" s="153"/>
      <c r="AB61" s="154">
        <f t="shared" si="3"/>
        <v>0</v>
      </c>
      <c r="AC61" s="149">
        <f t="shared" si="4"/>
        <v>0</v>
      </c>
      <c r="AD61" s="125">
        <v>2</v>
      </c>
      <c r="AE61" s="148">
        <f t="shared" si="5"/>
        <v>2</v>
      </c>
      <c r="AF61" s="156"/>
      <c r="AG61" s="156"/>
      <c r="AH61" s="113">
        <f t="shared" si="6"/>
        <v>17</v>
      </c>
      <c r="AI61" s="157">
        <v>65</v>
      </c>
      <c r="AJ61" s="113">
        <f t="shared" si="7"/>
        <v>82</v>
      </c>
      <c r="AK61" s="113">
        <f t="shared" si="8"/>
        <v>82</v>
      </c>
      <c r="AL61" s="158">
        <f t="shared" si="9"/>
        <v>1.02</v>
      </c>
      <c r="AM61" s="159"/>
      <c r="AN61" s="160">
        <f t="shared" si="15"/>
        <v>1</v>
      </c>
      <c r="AO61" s="160">
        <f t="shared" si="15"/>
        <v>2</v>
      </c>
      <c r="AP61" s="133"/>
      <c r="AQ61" s="134"/>
      <c r="AR61" s="161"/>
      <c r="AS61" s="161"/>
      <c r="AT61" s="161"/>
      <c r="AU61" s="161"/>
      <c r="AV61" s="162"/>
      <c r="AW61" s="137">
        <f t="shared" si="11"/>
        <v>0</v>
      </c>
      <c r="AX61" s="137">
        <f t="shared" si="12"/>
        <v>0</v>
      </c>
    </row>
    <row r="62" ht="46.5" customHeight="1" spans="1:50" s="97" customFormat="1" x14ac:dyDescent="0.25">
      <c r="A62" s="100"/>
      <c r="B62" s="100"/>
      <c r="C62" s="100"/>
      <c r="D62" s="100"/>
      <c r="E62" s="100"/>
      <c r="F62" s="100"/>
      <c r="G62" s="103"/>
      <c r="H62" s="186"/>
      <c r="I62" s="195">
        <v>0.51</v>
      </c>
      <c r="J62" s="107">
        <v>0.49</v>
      </c>
      <c r="K62" s="107"/>
      <c r="L62" s="107"/>
      <c r="M62" s="187"/>
      <c r="N62" s="169">
        <f t="shared" si="14"/>
        <v>1</v>
      </c>
      <c r="O62" s="144">
        <v>1</v>
      </c>
      <c r="P62" s="145">
        <v>15</v>
      </c>
      <c r="Q62" s="113">
        <v>15</v>
      </c>
      <c r="R62" s="113"/>
      <c r="S62" s="113"/>
      <c r="T62" s="146"/>
      <c r="U62" s="148">
        <f t="shared" si="1"/>
        <v>15</v>
      </c>
      <c r="V62" s="149">
        <f t="shared" si="2"/>
        <v>15</v>
      </c>
      <c r="W62" s="189"/>
      <c r="X62" s="199"/>
      <c r="Y62" s="151"/>
      <c r="Z62" s="190"/>
      <c r="AA62" s="153"/>
      <c r="AB62" s="154">
        <f t="shared" si="3"/>
        <v>0</v>
      </c>
      <c r="AC62" s="149">
        <f t="shared" si="4"/>
        <v>0</v>
      </c>
      <c r="AD62" s="125">
        <v>2</v>
      </c>
      <c r="AE62" s="148">
        <f t="shared" si="5"/>
        <v>2</v>
      </c>
      <c r="AF62" s="156"/>
      <c r="AG62" s="156"/>
      <c r="AH62" s="113">
        <f t="shared" si="6"/>
        <v>17</v>
      </c>
      <c r="AI62" s="157">
        <v>65</v>
      </c>
      <c r="AJ62" s="113">
        <f t="shared" si="7"/>
        <v>82</v>
      </c>
      <c r="AK62" s="113">
        <f t="shared" si="8"/>
        <v>82</v>
      </c>
      <c r="AL62" s="158">
        <f t="shared" si="9"/>
        <v>1.02</v>
      </c>
      <c r="AM62" s="159"/>
      <c r="AN62" s="160">
        <f t="shared" si="15"/>
        <v>1</v>
      </c>
      <c r="AO62" s="160">
        <f t="shared" si="15"/>
        <v>2</v>
      </c>
      <c r="AP62" s="133"/>
      <c r="AQ62" s="134"/>
      <c r="AR62" s="161"/>
      <c r="AS62" s="161"/>
      <c r="AT62" s="161"/>
      <c r="AU62" s="161"/>
      <c r="AV62" s="162"/>
      <c r="AW62" s="137">
        <f t="shared" si="11"/>
        <v>0</v>
      </c>
      <c r="AX62" s="137">
        <f t="shared" si="12"/>
        <v>0</v>
      </c>
    </row>
    <row r="63" ht="46.5" customHeight="1" spans="1:50" s="97" customFormat="1" x14ac:dyDescent="0.25">
      <c r="A63" s="100"/>
      <c r="B63" s="100"/>
      <c r="C63" s="100"/>
      <c r="D63" s="100"/>
      <c r="E63" s="100"/>
      <c r="F63" s="100"/>
      <c r="G63" s="103"/>
      <c r="H63" s="186"/>
      <c r="I63" s="195">
        <v>0.51</v>
      </c>
      <c r="J63" s="107">
        <v>0.49</v>
      </c>
      <c r="K63" s="107"/>
      <c r="L63" s="107"/>
      <c r="M63" s="187"/>
      <c r="N63" s="169">
        <f t="shared" si="14"/>
        <v>1</v>
      </c>
      <c r="O63" s="144">
        <v>1</v>
      </c>
      <c r="P63" s="145">
        <v>15</v>
      </c>
      <c r="Q63" s="113">
        <v>15</v>
      </c>
      <c r="R63" s="113"/>
      <c r="S63" s="113"/>
      <c r="T63" s="146"/>
      <c r="U63" s="148">
        <f t="shared" si="1"/>
        <v>15</v>
      </c>
      <c r="V63" s="149">
        <f t="shared" si="2"/>
        <v>15</v>
      </c>
      <c r="W63" s="189"/>
      <c r="X63" s="199"/>
      <c r="Y63" s="151"/>
      <c r="Z63" s="190"/>
      <c r="AA63" s="153"/>
      <c r="AB63" s="154">
        <f t="shared" si="3"/>
        <v>0</v>
      </c>
      <c r="AC63" s="149">
        <f t="shared" si="4"/>
        <v>0</v>
      </c>
      <c r="AD63" s="125">
        <v>2</v>
      </c>
      <c r="AE63" s="148">
        <f t="shared" si="5"/>
        <v>2</v>
      </c>
      <c r="AF63" s="156"/>
      <c r="AG63" s="156"/>
      <c r="AH63" s="113">
        <f t="shared" si="6"/>
        <v>17</v>
      </c>
      <c r="AI63" s="157">
        <v>65</v>
      </c>
      <c r="AJ63" s="113">
        <f t="shared" si="7"/>
        <v>82</v>
      </c>
      <c r="AK63" s="113">
        <f t="shared" si="8"/>
        <v>82</v>
      </c>
      <c r="AL63" s="158">
        <f t="shared" si="9"/>
        <v>1.02</v>
      </c>
      <c r="AM63" s="159"/>
      <c r="AN63" s="160">
        <f t="shared" si="15"/>
        <v>1</v>
      </c>
      <c r="AO63" s="160">
        <f t="shared" si="15"/>
        <v>2</v>
      </c>
      <c r="AP63" s="133"/>
      <c r="AQ63" s="134"/>
      <c r="AR63" s="161"/>
      <c r="AS63" s="161"/>
      <c r="AT63" s="161"/>
      <c r="AU63" s="161"/>
      <c r="AV63" s="162"/>
      <c r="AW63" s="137">
        <f t="shared" si="11"/>
        <v>0</v>
      </c>
      <c r="AX63" s="137">
        <f t="shared" si="12"/>
        <v>0</v>
      </c>
    </row>
    <row r="64" ht="46.5" customHeight="1" spans="1:50" s="97" customFormat="1" x14ac:dyDescent="0.25">
      <c r="A64" s="100"/>
      <c r="B64" s="100"/>
      <c r="C64" s="100"/>
      <c r="D64" s="100"/>
      <c r="E64" s="100"/>
      <c r="F64" s="100"/>
      <c r="G64" s="103"/>
      <c r="H64" s="186"/>
      <c r="I64" s="195">
        <v>0.51</v>
      </c>
      <c r="J64" s="107">
        <v>0.49</v>
      </c>
      <c r="K64" s="107"/>
      <c r="L64" s="107"/>
      <c r="M64" s="187"/>
      <c r="N64" s="169">
        <f t="shared" si="14"/>
        <v>1</v>
      </c>
      <c r="O64" s="144">
        <v>1</v>
      </c>
      <c r="P64" s="145">
        <v>15</v>
      </c>
      <c r="Q64" s="113">
        <v>15</v>
      </c>
      <c r="R64" s="113"/>
      <c r="S64" s="113"/>
      <c r="T64" s="146"/>
      <c r="U64" s="148">
        <f t="shared" si="1"/>
        <v>15</v>
      </c>
      <c r="V64" s="149">
        <f t="shared" si="2"/>
        <v>15</v>
      </c>
      <c r="W64" s="189"/>
      <c r="X64" s="199"/>
      <c r="Y64" s="151"/>
      <c r="Z64" s="190"/>
      <c r="AA64" s="153"/>
      <c r="AB64" s="154">
        <f t="shared" si="3"/>
        <v>0</v>
      </c>
      <c r="AC64" s="149">
        <f t="shared" si="4"/>
        <v>0</v>
      </c>
      <c r="AD64" s="125">
        <v>2</v>
      </c>
      <c r="AE64" s="148">
        <f t="shared" si="5"/>
        <v>2</v>
      </c>
      <c r="AF64" s="156"/>
      <c r="AG64" s="156"/>
      <c r="AH64" s="113">
        <f t="shared" si="6"/>
        <v>17</v>
      </c>
      <c r="AI64" s="157">
        <v>65</v>
      </c>
      <c r="AJ64" s="113">
        <f t="shared" si="7"/>
        <v>82</v>
      </c>
      <c r="AK64" s="113">
        <f t="shared" si="8"/>
        <v>82</v>
      </c>
      <c r="AL64" s="158">
        <f t="shared" si="9"/>
        <v>1.02</v>
      </c>
      <c r="AM64" s="159"/>
      <c r="AN64" s="160">
        <f t="shared" si="15"/>
        <v>1</v>
      </c>
      <c r="AO64" s="160">
        <f t="shared" si="15"/>
        <v>2</v>
      </c>
      <c r="AP64" s="133"/>
      <c r="AQ64" s="134"/>
      <c r="AR64" s="161"/>
      <c r="AS64" s="161"/>
      <c r="AT64" s="161"/>
      <c r="AU64" s="161"/>
      <c r="AV64" s="162"/>
      <c r="AW64" s="137">
        <f t="shared" si="11"/>
        <v>0</v>
      </c>
      <c r="AX64" s="137">
        <f t="shared" si="12"/>
        <v>0</v>
      </c>
    </row>
    <row r="65" ht="46.5" customHeight="1" spans="1:50" s="97" customFormat="1" x14ac:dyDescent="0.25">
      <c r="A65" s="100"/>
      <c r="B65" s="100"/>
      <c r="C65" s="100"/>
      <c r="D65" s="100"/>
      <c r="E65" s="100"/>
      <c r="F65" s="100"/>
      <c r="G65" s="103"/>
      <c r="H65" s="186"/>
      <c r="I65" s="195">
        <v>0.51</v>
      </c>
      <c r="J65" s="107">
        <v>0.49</v>
      </c>
      <c r="K65" s="107"/>
      <c r="L65" s="107"/>
      <c r="M65" s="187"/>
      <c r="N65" s="169">
        <f t="shared" si="14"/>
        <v>1</v>
      </c>
      <c r="O65" s="144">
        <v>1</v>
      </c>
      <c r="P65" s="145">
        <v>15</v>
      </c>
      <c r="Q65" s="113">
        <v>15</v>
      </c>
      <c r="R65" s="113"/>
      <c r="S65" s="113"/>
      <c r="T65" s="146"/>
      <c r="U65" s="148">
        <f t="shared" si="1"/>
        <v>15</v>
      </c>
      <c r="V65" s="149">
        <f t="shared" si="2"/>
        <v>15</v>
      </c>
      <c r="W65" s="189"/>
      <c r="X65" s="199"/>
      <c r="Y65" s="151"/>
      <c r="Z65" s="190"/>
      <c r="AA65" s="153"/>
      <c r="AB65" s="154">
        <f t="shared" si="3"/>
        <v>0</v>
      </c>
      <c r="AC65" s="149">
        <f t="shared" si="4"/>
        <v>0</v>
      </c>
      <c r="AD65" s="125">
        <v>2</v>
      </c>
      <c r="AE65" s="148">
        <f t="shared" si="5"/>
        <v>2</v>
      </c>
      <c r="AF65" s="156"/>
      <c r="AG65" s="156"/>
      <c r="AH65" s="113">
        <f t="shared" si="6"/>
        <v>17</v>
      </c>
      <c r="AI65" s="157">
        <v>65</v>
      </c>
      <c r="AJ65" s="113">
        <f t="shared" si="7"/>
        <v>82</v>
      </c>
      <c r="AK65" s="113">
        <f t="shared" si="8"/>
        <v>82</v>
      </c>
      <c r="AL65" s="158">
        <f t="shared" si="9"/>
        <v>1.02</v>
      </c>
      <c r="AM65" s="159"/>
      <c r="AN65" s="160">
        <f t="shared" si="15"/>
        <v>1</v>
      </c>
      <c r="AO65" s="160">
        <f t="shared" si="15"/>
        <v>2</v>
      </c>
      <c r="AP65" s="133"/>
      <c r="AQ65" s="134"/>
      <c r="AR65" s="161"/>
      <c r="AS65" s="161"/>
      <c r="AT65" s="161"/>
      <c r="AU65" s="161"/>
      <c r="AV65" s="162"/>
      <c r="AW65" s="137">
        <f t="shared" si="11"/>
        <v>0</v>
      </c>
      <c r="AX65" s="137">
        <f t="shared" si="12"/>
        <v>0</v>
      </c>
    </row>
    <row r="66" ht="46.5" customHeight="1" spans="1:50" s="97" customFormat="1" x14ac:dyDescent="0.25">
      <c r="A66" s="100"/>
      <c r="B66" s="100"/>
      <c r="C66" s="100"/>
      <c r="D66" s="100"/>
      <c r="E66" s="100"/>
      <c r="F66" s="100"/>
      <c r="G66" s="103"/>
      <c r="H66" s="186"/>
      <c r="I66" s="195">
        <v>0.51</v>
      </c>
      <c r="J66" s="107">
        <v>0.49</v>
      </c>
      <c r="K66" s="107"/>
      <c r="L66" s="107"/>
      <c r="M66" s="187"/>
      <c r="N66" s="169">
        <f t="shared" si="14"/>
        <v>1</v>
      </c>
      <c r="O66" s="144">
        <v>1</v>
      </c>
      <c r="P66" s="145">
        <v>15</v>
      </c>
      <c r="Q66" s="113">
        <v>15</v>
      </c>
      <c r="R66" s="113"/>
      <c r="S66" s="113"/>
      <c r="T66" s="146"/>
      <c r="U66" s="148">
        <f t="shared" si="1"/>
        <v>15</v>
      </c>
      <c r="V66" s="149">
        <f t="shared" si="2"/>
        <v>15</v>
      </c>
      <c r="W66" s="189"/>
      <c r="X66" s="199"/>
      <c r="Y66" s="151"/>
      <c r="Z66" s="190"/>
      <c r="AA66" s="153"/>
      <c r="AB66" s="154">
        <f t="shared" si="3"/>
        <v>0</v>
      </c>
      <c r="AC66" s="149">
        <f t="shared" si="4"/>
        <v>0</v>
      </c>
      <c r="AD66" s="125">
        <v>2</v>
      </c>
      <c r="AE66" s="148">
        <f t="shared" si="5"/>
        <v>2</v>
      </c>
      <c r="AF66" s="156"/>
      <c r="AG66" s="156"/>
      <c r="AH66" s="113">
        <f t="shared" si="6"/>
        <v>17</v>
      </c>
      <c r="AI66" s="157">
        <v>65</v>
      </c>
      <c r="AJ66" s="113">
        <f t="shared" si="7"/>
        <v>82</v>
      </c>
      <c r="AK66" s="113">
        <f t="shared" si="8"/>
        <v>82</v>
      </c>
      <c r="AL66" s="158">
        <f t="shared" si="9"/>
        <v>1.02</v>
      </c>
      <c r="AM66" s="159"/>
      <c r="AN66" s="160">
        <f t="shared" si="15"/>
        <v>1</v>
      </c>
      <c r="AO66" s="160">
        <f t="shared" si="15"/>
        <v>2</v>
      </c>
      <c r="AP66" s="133"/>
      <c r="AQ66" s="134"/>
      <c r="AR66" s="161"/>
      <c r="AS66" s="161"/>
      <c r="AT66" s="161"/>
      <c r="AU66" s="161"/>
      <c r="AV66" s="162"/>
      <c r="AW66" s="137">
        <f t="shared" si="11"/>
        <v>0</v>
      </c>
      <c r="AX66" s="137">
        <f t="shared" si="12"/>
        <v>0</v>
      </c>
    </row>
    <row r="67" ht="46.5" customHeight="1" spans="1:50" s="97" customFormat="1" x14ac:dyDescent="0.25">
      <c r="A67" s="100"/>
      <c r="B67" s="100"/>
      <c r="C67" s="100"/>
      <c r="D67" s="100"/>
      <c r="E67" s="100"/>
      <c r="F67" s="100"/>
      <c r="G67" s="103"/>
      <c r="H67" s="186"/>
      <c r="I67" s="195">
        <v>0.51</v>
      </c>
      <c r="J67" s="107">
        <v>0.49</v>
      </c>
      <c r="K67" s="107"/>
      <c r="L67" s="107"/>
      <c r="M67" s="187"/>
      <c r="N67" s="169">
        <f t="shared" si="14"/>
        <v>1</v>
      </c>
      <c r="O67" s="144">
        <v>1</v>
      </c>
      <c r="P67" s="145">
        <v>15</v>
      </c>
      <c r="Q67" s="113">
        <v>15</v>
      </c>
      <c r="R67" s="113"/>
      <c r="S67" s="113"/>
      <c r="T67" s="146"/>
      <c r="U67" s="148">
        <f t="shared" si="1"/>
        <v>15</v>
      </c>
      <c r="V67" s="149">
        <f t="shared" si="2"/>
        <v>15</v>
      </c>
      <c r="W67" s="189"/>
      <c r="X67" s="199"/>
      <c r="Y67" s="151"/>
      <c r="Z67" s="190"/>
      <c r="AA67" s="153"/>
      <c r="AB67" s="154">
        <f t="shared" si="3"/>
        <v>0</v>
      </c>
      <c r="AC67" s="149">
        <f t="shared" si="4"/>
        <v>0</v>
      </c>
      <c r="AD67" s="125">
        <v>2</v>
      </c>
      <c r="AE67" s="148">
        <f t="shared" si="5"/>
        <v>2</v>
      </c>
      <c r="AF67" s="156"/>
      <c r="AG67" s="156"/>
      <c r="AH67" s="113">
        <f t="shared" si="6"/>
        <v>17</v>
      </c>
      <c r="AI67" s="157">
        <v>65</v>
      </c>
      <c r="AJ67" s="113">
        <f t="shared" si="7"/>
        <v>82</v>
      </c>
      <c r="AK67" s="113">
        <f t="shared" si="8"/>
        <v>82</v>
      </c>
      <c r="AL67" s="158">
        <f t="shared" si="9"/>
        <v>1.02</v>
      </c>
      <c r="AM67" s="159"/>
      <c r="AN67" s="160">
        <f t="shared" si="15"/>
        <v>1</v>
      </c>
      <c r="AO67" s="160">
        <f t="shared" si="15"/>
        <v>2</v>
      </c>
      <c r="AP67" s="133"/>
      <c r="AQ67" s="134"/>
      <c r="AR67" s="161"/>
      <c r="AS67" s="161"/>
      <c r="AT67" s="161"/>
      <c r="AU67" s="161"/>
      <c r="AV67" s="162"/>
      <c r="AW67" s="137">
        <f t="shared" si="11"/>
        <v>0</v>
      </c>
      <c r="AX67" s="137">
        <f t="shared" si="12"/>
        <v>0</v>
      </c>
    </row>
    <row r="68" ht="46.5" customHeight="1" spans="1:50" s="97" customFormat="1" x14ac:dyDescent="0.25">
      <c r="A68" s="100"/>
      <c r="B68" s="100"/>
      <c r="C68" s="100"/>
      <c r="D68" s="100"/>
      <c r="E68" s="100"/>
      <c r="F68" s="100"/>
      <c r="G68" s="103"/>
      <c r="H68" s="186"/>
      <c r="I68" s="195">
        <v>0.51</v>
      </c>
      <c r="J68" s="107">
        <v>0.49</v>
      </c>
      <c r="K68" s="107"/>
      <c r="L68" s="107"/>
      <c r="M68" s="187"/>
      <c r="N68" s="169">
        <f t="shared" si="14"/>
        <v>1</v>
      </c>
      <c r="O68" s="144">
        <v>1</v>
      </c>
      <c r="P68" s="145">
        <v>15</v>
      </c>
      <c r="Q68" s="113">
        <v>15</v>
      </c>
      <c r="R68" s="113"/>
      <c r="S68" s="113"/>
      <c r="T68" s="146"/>
      <c r="U68" s="148">
        <f t="shared" si="1"/>
        <v>15</v>
      </c>
      <c r="V68" s="149">
        <f t="shared" si="2"/>
        <v>15</v>
      </c>
      <c r="W68" s="189"/>
      <c r="X68" s="199"/>
      <c r="Y68" s="151"/>
      <c r="Z68" s="190"/>
      <c r="AA68" s="153"/>
      <c r="AB68" s="154">
        <f t="shared" si="3"/>
        <v>0</v>
      </c>
      <c r="AC68" s="149">
        <f t="shared" si="4"/>
        <v>0</v>
      </c>
      <c r="AD68" s="125">
        <v>2</v>
      </c>
      <c r="AE68" s="148">
        <f t="shared" si="5"/>
        <v>2</v>
      </c>
      <c r="AF68" s="156"/>
      <c r="AG68" s="156"/>
      <c r="AH68" s="113">
        <f t="shared" si="6"/>
        <v>17</v>
      </c>
      <c r="AI68" s="157">
        <v>65</v>
      </c>
      <c r="AJ68" s="113">
        <f t="shared" si="7"/>
        <v>82</v>
      </c>
      <c r="AK68" s="113">
        <f t="shared" si="8"/>
        <v>82</v>
      </c>
      <c r="AL68" s="158">
        <f t="shared" si="9"/>
        <v>1.02</v>
      </c>
      <c r="AM68" s="159"/>
      <c r="AN68" s="160">
        <f t="shared" si="15"/>
        <v>1</v>
      </c>
      <c r="AO68" s="160">
        <f t="shared" si="15"/>
        <v>2</v>
      </c>
      <c r="AP68" s="133"/>
      <c r="AQ68" s="134"/>
      <c r="AR68" s="161"/>
      <c r="AS68" s="161"/>
      <c r="AT68" s="161"/>
      <c r="AU68" s="161"/>
      <c r="AV68" s="162"/>
      <c r="AW68" s="137">
        <f t="shared" si="11"/>
        <v>0</v>
      </c>
      <c r="AX68" s="137">
        <f t="shared" si="12"/>
        <v>0</v>
      </c>
    </row>
    <row r="69" ht="46.5" customHeight="1" spans="1:50" s="97" customFormat="1" x14ac:dyDescent="0.25">
      <c r="A69" s="100"/>
      <c r="B69" s="100"/>
      <c r="C69" s="100"/>
      <c r="D69" s="100"/>
      <c r="E69" s="100"/>
      <c r="F69" s="100"/>
      <c r="G69" s="103"/>
      <c r="H69" s="186"/>
      <c r="I69" s="195">
        <v>0.51</v>
      </c>
      <c r="J69" s="107">
        <v>0.49</v>
      </c>
      <c r="K69" s="107"/>
      <c r="L69" s="107"/>
      <c r="M69" s="187"/>
      <c r="N69" s="169">
        <f t="shared" si="14"/>
        <v>1</v>
      </c>
      <c r="O69" s="144">
        <v>1</v>
      </c>
      <c r="P69" s="145">
        <v>15</v>
      </c>
      <c r="Q69" s="113">
        <v>15</v>
      </c>
      <c r="R69" s="113"/>
      <c r="S69" s="113"/>
      <c r="T69" s="146"/>
      <c r="U69" s="148">
        <f t="shared" si="1"/>
        <v>15</v>
      </c>
      <c r="V69" s="149">
        <f t="shared" si="2"/>
        <v>15</v>
      </c>
      <c r="W69" s="189"/>
      <c r="X69" s="199"/>
      <c r="Y69" s="151"/>
      <c r="Z69" s="190"/>
      <c r="AA69" s="153"/>
      <c r="AB69" s="154">
        <f t="shared" si="3"/>
        <v>0</v>
      </c>
      <c r="AC69" s="149">
        <f t="shared" si="4"/>
        <v>0</v>
      </c>
      <c r="AD69" s="125">
        <v>2</v>
      </c>
      <c r="AE69" s="148">
        <f t="shared" si="5"/>
        <v>2</v>
      </c>
      <c r="AF69" s="156"/>
      <c r="AG69" s="156"/>
      <c r="AH69" s="113">
        <f t="shared" si="6"/>
        <v>17</v>
      </c>
      <c r="AI69" s="157">
        <v>65</v>
      </c>
      <c r="AJ69" s="113">
        <f t="shared" si="7"/>
        <v>82</v>
      </c>
      <c r="AK69" s="113">
        <f t="shared" si="8"/>
        <v>82</v>
      </c>
      <c r="AL69" s="158">
        <f t="shared" si="9"/>
        <v>1.02</v>
      </c>
      <c r="AM69" s="159"/>
      <c r="AN69" s="160">
        <f t="shared" si="15"/>
        <v>1</v>
      </c>
      <c r="AO69" s="160">
        <f t="shared" si="15"/>
        <v>2</v>
      </c>
      <c r="AP69" s="133"/>
      <c r="AQ69" s="134"/>
      <c r="AR69" s="161"/>
      <c r="AS69" s="161"/>
      <c r="AT69" s="161"/>
      <c r="AU69" s="161"/>
      <c r="AV69" s="162"/>
      <c r="AW69" s="137">
        <f t="shared" si="11"/>
        <v>0</v>
      </c>
      <c r="AX69" s="137">
        <f t="shared" si="12"/>
        <v>0</v>
      </c>
    </row>
    <row r="70" ht="46.5" customHeight="1" spans="1:50" s="97" customFormat="1" x14ac:dyDescent="0.25">
      <c r="A70" s="100"/>
      <c r="B70" s="100"/>
      <c r="C70" s="100"/>
      <c r="D70" s="100"/>
      <c r="E70" s="100"/>
      <c r="F70" s="100"/>
      <c r="G70" s="103"/>
      <c r="H70" s="186"/>
      <c r="I70" s="195">
        <v>0.51</v>
      </c>
      <c r="J70" s="107">
        <v>0.49</v>
      </c>
      <c r="K70" s="107"/>
      <c r="L70" s="107"/>
      <c r="M70" s="187"/>
      <c r="N70" s="169">
        <f t="shared" si="14"/>
        <v>1</v>
      </c>
      <c r="O70" s="144">
        <v>1</v>
      </c>
      <c r="P70" s="145">
        <v>15</v>
      </c>
      <c r="Q70" s="113">
        <v>15</v>
      </c>
      <c r="R70" s="113"/>
      <c r="S70" s="113"/>
      <c r="T70" s="146"/>
      <c r="U70" s="148">
        <f t="shared" si="1"/>
        <v>15</v>
      </c>
      <c r="V70" s="149">
        <f t="shared" si="2"/>
        <v>15</v>
      </c>
      <c r="W70" s="189"/>
      <c r="X70" s="199"/>
      <c r="Y70" s="151"/>
      <c r="Z70" s="190"/>
      <c r="AA70" s="153"/>
      <c r="AB70" s="154">
        <f t="shared" si="3"/>
        <v>0</v>
      </c>
      <c r="AC70" s="149">
        <f t="shared" si="4"/>
        <v>0</v>
      </c>
      <c r="AD70" s="125">
        <v>2</v>
      </c>
      <c r="AE70" s="148">
        <f t="shared" si="5"/>
        <v>2</v>
      </c>
      <c r="AF70" s="156"/>
      <c r="AG70" s="156"/>
      <c r="AH70" s="113">
        <f t="shared" si="6"/>
        <v>17</v>
      </c>
      <c r="AI70" s="157">
        <v>65</v>
      </c>
      <c r="AJ70" s="113">
        <f t="shared" si="7"/>
        <v>82</v>
      </c>
      <c r="AK70" s="113">
        <f t="shared" si="8"/>
        <v>82</v>
      </c>
      <c r="AL70" s="158">
        <f t="shared" si="9"/>
        <v>1.02</v>
      </c>
      <c r="AM70" s="159"/>
      <c r="AN70" s="160">
        <f t="shared" si="15"/>
        <v>1</v>
      </c>
      <c r="AO70" s="160">
        <f t="shared" si="15"/>
        <v>2</v>
      </c>
      <c r="AP70" s="133"/>
      <c r="AQ70" s="134"/>
      <c r="AR70" s="161"/>
      <c r="AS70" s="161"/>
      <c r="AT70" s="161"/>
      <c r="AU70" s="161"/>
      <c r="AV70" s="162"/>
      <c r="AW70" s="137">
        <f t="shared" si="11"/>
        <v>0</v>
      </c>
      <c r="AX70" s="137">
        <f t="shared" si="12"/>
        <v>0</v>
      </c>
    </row>
    <row r="71" ht="46.5" customHeight="1" spans="1:50" s="97" customFormat="1" x14ac:dyDescent="0.25">
      <c r="A71" s="100"/>
      <c r="B71" s="100"/>
      <c r="C71" s="100"/>
      <c r="D71" s="100"/>
      <c r="E71" s="100"/>
      <c r="F71" s="100"/>
      <c r="G71" s="103"/>
      <c r="H71" s="186"/>
      <c r="I71" s="195">
        <v>0.51</v>
      </c>
      <c r="J71" s="107">
        <v>0.49</v>
      </c>
      <c r="K71" s="107"/>
      <c r="L71" s="107"/>
      <c r="M71" s="187"/>
      <c r="N71" s="169">
        <f t="shared" si="14"/>
        <v>1</v>
      </c>
      <c r="O71" s="144">
        <v>1</v>
      </c>
      <c r="P71" s="145">
        <v>15</v>
      </c>
      <c r="Q71" s="113">
        <v>15</v>
      </c>
      <c r="R71" s="113"/>
      <c r="S71" s="113"/>
      <c r="T71" s="146"/>
      <c r="U71" s="148">
        <f t="shared" si="1"/>
        <v>15</v>
      </c>
      <c r="V71" s="149">
        <f t="shared" si="2"/>
        <v>15</v>
      </c>
      <c r="W71" s="189"/>
      <c r="X71" s="199"/>
      <c r="Y71" s="151"/>
      <c r="Z71" s="190"/>
      <c r="AA71" s="153"/>
      <c r="AB71" s="154">
        <f t="shared" si="3"/>
        <v>0</v>
      </c>
      <c r="AC71" s="149">
        <f t="shared" si="4"/>
        <v>0</v>
      </c>
      <c r="AD71" s="125">
        <v>2</v>
      </c>
      <c r="AE71" s="148">
        <f t="shared" si="5"/>
        <v>2</v>
      </c>
      <c r="AF71" s="156"/>
      <c r="AG71" s="156"/>
      <c r="AH71" s="113">
        <f t="shared" si="6"/>
        <v>17</v>
      </c>
      <c r="AI71" s="157">
        <v>65</v>
      </c>
      <c r="AJ71" s="113">
        <f t="shared" si="7"/>
        <v>82</v>
      </c>
      <c r="AK71" s="113">
        <f t="shared" si="8"/>
        <v>82</v>
      </c>
      <c r="AL71" s="158">
        <f t="shared" si="9"/>
        <v>1.02</v>
      </c>
      <c r="AM71" s="159"/>
      <c r="AN71" s="160">
        <f t="shared" ref="AN71:AO90" si="16">100%+AM71</f>
        <v>1</v>
      </c>
      <c r="AO71" s="160">
        <f t="shared" si="16"/>
        <v>2</v>
      </c>
      <c r="AP71" s="133"/>
      <c r="AQ71" s="134"/>
      <c r="AR71" s="161"/>
      <c r="AS71" s="161"/>
      <c r="AT71" s="161"/>
      <c r="AU71" s="161"/>
      <c r="AV71" s="162"/>
      <c r="AW71" s="137">
        <f t="shared" si="11"/>
        <v>0</v>
      </c>
      <c r="AX71" s="137">
        <f t="shared" si="12"/>
        <v>0</v>
      </c>
    </row>
    <row r="72" ht="46.5" customHeight="1" spans="1:50" s="97" customFormat="1" x14ac:dyDescent="0.25">
      <c r="A72" s="100"/>
      <c r="B72" s="100"/>
      <c r="C72" s="100"/>
      <c r="D72" s="100"/>
      <c r="E72" s="100"/>
      <c r="F72" s="100"/>
      <c r="G72" s="103"/>
      <c r="H72" s="186"/>
      <c r="I72" s="195">
        <v>0.51</v>
      </c>
      <c r="J72" s="107">
        <v>0.49</v>
      </c>
      <c r="K72" s="107"/>
      <c r="L72" s="107"/>
      <c r="M72" s="187"/>
      <c r="N72" s="169">
        <f t="shared" si="14"/>
        <v>1</v>
      </c>
      <c r="O72" s="144">
        <v>1</v>
      </c>
      <c r="P72" s="145">
        <v>15</v>
      </c>
      <c r="Q72" s="113">
        <v>15</v>
      </c>
      <c r="R72" s="113"/>
      <c r="S72" s="113"/>
      <c r="T72" s="146"/>
      <c r="U72" s="148">
        <f t="shared" si="1"/>
        <v>15</v>
      </c>
      <c r="V72" s="149">
        <f t="shared" si="2"/>
        <v>15</v>
      </c>
      <c r="W72" s="189"/>
      <c r="X72" s="199"/>
      <c r="Y72" s="151"/>
      <c r="Z72" s="190"/>
      <c r="AA72" s="153"/>
      <c r="AB72" s="154">
        <f t="shared" si="3"/>
        <v>0</v>
      </c>
      <c r="AC72" s="149">
        <f t="shared" si="4"/>
        <v>0</v>
      </c>
      <c r="AD72" s="125">
        <v>2</v>
      </c>
      <c r="AE72" s="148">
        <f t="shared" si="5"/>
        <v>2</v>
      </c>
      <c r="AF72" s="156"/>
      <c r="AG72" s="156"/>
      <c r="AH72" s="113">
        <f t="shared" si="6"/>
        <v>17</v>
      </c>
      <c r="AI72" s="157">
        <v>65</v>
      </c>
      <c r="AJ72" s="113">
        <f t="shared" si="7"/>
        <v>82</v>
      </c>
      <c r="AK72" s="113">
        <f t="shared" si="8"/>
        <v>82</v>
      </c>
      <c r="AL72" s="158">
        <f t="shared" si="9"/>
        <v>1.02</v>
      </c>
      <c r="AM72" s="159"/>
      <c r="AN72" s="160">
        <f t="shared" si="16"/>
        <v>1</v>
      </c>
      <c r="AO72" s="160">
        <f t="shared" si="16"/>
        <v>2</v>
      </c>
      <c r="AP72" s="133"/>
      <c r="AQ72" s="134"/>
      <c r="AR72" s="161"/>
      <c r="AS72" s="161"/>
      <c r="AT72" s="161"/>
      <c r="AU72" s="161"/>
      <c r="AV72" s="162"/>
      <c r="AW72" s="137">
        <f t="shared" si="11"/>
        <v>0</v>
      </c>
      <c r="AX72" s="137">
        <f t="shared" si="12"/>
        <v>0</v>
      </c>
    </row>
    <row r="73" ht="46.5" customHeight="1" spans="1:50" s="97" customFormat="1" x14ac:dyDescent="0.25">
      <c r="A73" s="100"/>
      <c r="B73" s="100"/>
      <c r="C73" s="100"/>
      <c r="D73" s="100"/>
      <c r="E73" s="100"/>
      <c r="F73" s="100"/>
      <c r="G73" s="103"/>
      <c r="H73" s="186"/>
      <c r="I73" s="195">
        <v>0.51</v>
      </c>
      <c r="J73" s="107">
        <v>0.49</v>
      </c>
      <c r="K73" s="107"/>
      <c r="L73" s="107"/>
      <c r="M73" s="187"/>
      <c r="N73" s="169">
        <f t="shared" si="14"/>
        <v>1</v>
      </c>
      <c r="O73" s="144">
        <v>1</v>
      </c>
      <c r="P73" s="145">
        <v>15</v>
      </c>
      <c r="Q73" s="113">
        <v>15</v>
      </c>
      <c r="R73" s="113"/>
      <c r="S73" s="113"/>
      <c r="T73" s="146"/>
      <c r="U73" s="148">
        <f t="shared" si="1"/>
        <v>15</v>
      </c>
      <c r="V73" s="149">
        <f t="shared" si="2"/>
        <v>15</v>
      </c>
      <c r="W73" s="189"/>
      <c r="X73" s="199"/>
      <c r="Y73" s="151"/>
      <c r="Z73" s="190"/>
      <c r="AA73" s="153"/>
      <c r="AB73" s="154">
        <f t="shared" si="3"/>
        <v>0</v>
      </c>
      <c r="AC73" s="149">
        <f t="shared" si="4"/>
        <v>0</v>
      </c>
      <c r="AD73" s="125">
        <v>2</v>
      </c>
      <c r="AE73" s="148">
        <f t="shared" si="5"/>
        <v>2</v>
      </c>
      <c r="AF73" s="156"/>
      <c r="AG73" s="156"/>
      <c r="AH73" s="113">
        <f t="shared" si="6"/>
        <v>17</v>
      </c>
      <c r="AI73" s="157">
        <v>65</v>
      </c>
      <c r="AJ73" s="113">
        <f t="shared" si="7"/>
        <v>82</v>
      </c>
      <c r="AK73" s="113">
        <f t="shared" si="8"/>
        <v>82</v>
      </c>
      <c r="AL73" s="158">
        <f t="shared" si="9"/>
        <v>1.02</v>
      </c>
      <c r="AM73" s="159"/>
      <c r="AN73" s="160">
        <f t="shared" si="16"/>
        <v>1</v>
      </c>
      <c r="AO73" s="160">
        <f t="shared" si="16"/>
        <v>2</v>
      </c>
      <c r="AP73" s="133"/>
      <c r="AQ73" s="134"/>
      <c r="AR73" s="161"/>
      <c r="AS73" s="161"/>
      <c r="AT73" s="161"/>
      <c r="AU73" s="161"/>
      <c r="AV73" s="162"/>
      <c r="AW73" s="137">
        <f t="shared" si="11"/>
        <v>0</v>
      </c>
      <c r="AX73" s="137">
        <f t="shared" si="12"/>
        <v>0</v>
      </c>
    </row>
    <row r="74" ht="46.5" customHeight="1" spans="1:50" s="97" customFormat="1" x14ac:dyDescent="0.25">
      <c r="A74" s="100"/>
      <c r="B74" s="100"/>
      <c r="C74" s="100"/>
      <c r="D74" s="100"/>
      <c r="E74" s="100"/>
      <c r="F74" s="100"/>
      <c r="G74" s="103"/>
      <c r="H74" s="186"/>
      <c r="I74" s="195">
        <v>0.51</v>
      </c>
      <c r="J74" s="107">
        <v>0.49</v>
      </c>
      <c r="K74" s="107"/>
      <c r="L74" s="107"/>
      <c r="M74" s="187"/>
      <c r="N74" s="169">
        <f t="shared" si="14"/>
        <v>1</v>
      </c>
      <c r="O74" s="144">
        <v>1</v>
      </c>
      <c r="P74" s="145">
        <v>15</v>
      </c>
      <c r="Q74" s="113">
        <v>15</v>
      </c>
      <c r="R74" s="113"/>
      <c r="S74" s="113"/>
      <c r="T74" s="146"/>
      <c r="U74" s="148">
        <f t="shared" si="1"/>
        <v>15</v>
      </c>
      <c r="V74" s="149">
        <f t="shared" si="2"/>
        <v>15</v>
      </c>
      <c r="W74" s="189"/>
      <c r="X74" s="199"/>
      <c r="Y74" s="151"/>
      <c r="Z74" s="190"/>
      <c r="AA74" s="153"/>
      <c r="AB74" s="154">
        <f t="shared" si="3"/>
        <v>0</v>
      </c>
      <c r="AC74" s="149">
        <f t="shared" si="4"/>
        <v>0</v>
      </c>
      <c r="AD74" s="125">
        <v>2</v>
      </c>
      <c r="AE74" s="148">
        <f t="shared" si="5"/>
        <v>2</v>
      </c>
      <c r="AF74" s="156"/>
      <c r="AG74" s="156"/>
      <c r="AH74" s="113">
        <f t="shared" si="6"/>
        <v>17</v>
      </c>
      <c r="AI74" s="157">
        <v>65</v>
      </c>
      <c r="AJ74" s="113">
        <f t="shared" si="7"/>
        <v>82</v>
      </c>
      <c r="AK74" s="113">
        <f t="shared" si="8"/>
        <v>82</v>
      </c>
      <c r="AL74" s="158">
        <f t="shared" si="9"/>
        <v>1.02</v>
      </c>
      <c r="AM74" s="159"/>
      <c r="AN74" s="160">
        <f t="shared" si="16"/>
        <v>1</v>
      </c>
      <c r="AO74" s="160">
        <f t="shared" si="16"/>
        <v>2</v>
      </c>
      <c r="AP74" s="133"/>
      <c r="AQ74" s="134"/>
      <c r="AR74" s="161"/>
      <c r="AS74" s="161"/>
      <c r="AT74" s="161"/>
      <c r="AU74" s="161"/>
      <c r="AV74" s="162"/>
      <c r="AW74" s="137">
        <f t="shared" si="11"/>
        <v>0</v>
      </c>
      <c r="AX74" s="137">
        <f t="shared" si="12"/>
        <v>0</v>
      </c>
    </row>
    <row r="75" ht="46.5" customHeight="1" spans="1:50" s="97" customFormat="1" x14ac:dyDescent="0.25">
      <c r="A75" s="100"/>
      <c r="B75" s="100"/>
      <c r="C75" s="100"/>
      <c r="D75" s="100"/>
      <c r="E75" s="100"/>
      <c r="F75" s="100"/>
      <c r="G75" s="103"/>
      <c r="H75" s="186"/>
      <c r="I75" s="195">
        <v>0.51</v>
      </c>
      <c r="J75" s="107">
        <v>0.49</v>
      </c>
      <c r="K75" s="107"/>
      <c r="L75" s="107"/>
      <c r="M75" s="187"/>
      <c r="N75" s="169">
        <f t="shared" si="14"/>
        <v>1</v>
      </c>
      <c r="O75" s="144">
        <v>1</v>
      </c>
      <c r="P75" s="145">
        <v>15</v>
      </c>
      <c r="Q75" s="113">
        <v>15</v>
      </c>
      <c r="R75" s="113"/>
      <c r="S75" s="113"/>
      <c r="T75" s="146"/>
      <c r="U75" s="148">
        <f t="shared" ref="U75:U136" si="17">ROUND(((P75*I75)+(Q75*J75)+(R75*K75)+(S75*L75)+(T75*M75))*O75,2)</f>
        <v>15</v>
      </c>
      <c r="V75" s="149">
        <f t="shared" ref="V75:V136" si="18">IF(U75&gt;=15,15,U75)</f>
        <v>15</v>
      </c>
      <c r="W75" s="189"/>
      <c r="X75" s="199"/>
      <c r="Y75" s="151"/>
      <c r="Z75" s="190"/>
      <c r="AA75" s="153"/>
      <c r="AB75" s="154">
        <f t="shared" ref="AB75:AB136" si="19">ROUND((((W75*I75)+(X75*J75)+(Y75*K75)+(Z75*L75)+(AA75*M75))/$I$2),2)*13</f>
        <v>0</v>
      </c>
      <c r="AC75" s="149">
        <f t="shared" ref="AC75:AC136" si="20">IF(AB75&gt;=13,13,AB75)</f>
        <v>0</v>
      </c>
      <c r="AD75" s="125">
        <v>2</v>
      </c>
      <c r="AE75" s="148">
        <f t="shared" ref="AE75:AE136" si="21">IF((AC75+AD75)&gt;=15,15,(AC75+AD75))</f>
        <v>2</v>
      </c>
      <c r="AF75" s="156"/>
      <c r="AG75" s="156"/>
      <c r="AH75" s="113">
        <f t="shared" ref="AH75:AH136" si="22">IF((V75+AE75+AF75)&gt;=30,30,(V75+AE75+AF75))</f>
        <v>17</v>
      </c>
      <c r="AI75" s="157">
        <v>65</v>
      </c>
      <c r="AJ75" s="113">
        <f t="shared" ref="AJ75:AJ136" si="23">V75+AE75+AF75+AI75+AG75</f>
        <v>82</v>
      </c>
      <c r="AK75" s="113">
        <f t="shared" ref="AK75:AK136" si="24">IF(AH75+AI75+AG75&gt;=95,95,AH75+AI75+AG75)</f>
        <v>82</v>
      </c>
      <c r="AL75" s="158">
        <f t="shared" ref="AL75:AL136" si="25">-((50-((176+(45+(50-AH75)))))/200)</f>
        <v>1.02</v>
      </c>
      <c r="AM75" s="159"/>
      <c r="AN75" s="160">
        <f t="shared" si="16"/>
        <v>1</v>
      </c>
      <c r="AO75" s="160">
        <f t="shared" si="16"/>
        <v>2</v>
      </c>
      <c r="AP75" s="133"/>
      <c r="AQ75" s="134"/>
      <c r="AR75" s="161"/>
      <c r="AS75" s="161"/>
      <c r="AT75" s="161"/>
      <c r="AU75" s="161"/>
      <c r="AV75" s="162"/>
      <c r="AW75" s="137">
        <f t="shared" ref="AW75:AW136" si="26">AR75+AS75+AT75+AU75+AV75</f>
        <v>0</v>
      </c>
      <c r="AX75" s="137">
        <f t="shared" ref="AX75:AX136" si="27">(AR75*I75)+(AS75*J75)+(AT75*K75)+(AU75*L75)+(AV75*M75)</f>
        <v>0</v>
      </c>
    </row>
    <row r="76" ht="46.5" customHeight="1" spans="1:50" s="97" customFormat="1" x14ac:dyDescent="0.25">
      <c r="A76" s="100"/>
      <c r="B76" s="100"/>
      <c r="C76" s="100"/>
      <c r="D76" s="100"/>
      <c r="E76" s="100"/>
      <c r="F76" s="100"/>
      <c r="G76" s="103"/>
      <c r="H76" s="186"/>
      <c r="I76" s="195">
        <v>0.51</v>
      </c>
      <c r="J76" s="107">
        <v>0.49</v>
      </c>
      <c r="K76" s="107"/>
      <c r="L76" s="107"/>
      <c r="M76" s="187"/>
      <c r="N76" s="169">
        <f t="shared" si="14"/>
        <v>1</v>
      </c>
      <c r="O76" s="144">
        <v>1</v>
      </c>
      <c r="P76" s="145">
        <v>15</v>
      </c>
      <c r="Q76" s="113">
        <v>15</v>
      </c>
      <c r="R76" s="113"/>
      <c r="S76" s="113"/>
      <c r="T76" s="146"/>
      <c r="U76" s="148">
        <f t="shared" si="17"/>
        <v>15</v>
      </c>
      <c r="V76" s="149">
        <f t="shared" si="18"/>
        <v>15</v>
      </c>
      <c r="W76" s="189"/>
      <c r="X76" s="199"/>
      <c r="Y76" s="151"/>
      <c r="Z76" s="190"/>
      <c r="AA76" s="153"/>
      <c r="AB76" s="154">
        <f t="shared" si="19"/>
        <v>0</v>
      </c>
      <c r="AC76" s="149">
        <f t="shared" si="20"/>
        <v>0</v>
      </c>
      <c r="AD76" s="125">
        <v>2</v>
      </c>
      <c r="AE76" s="148">
        <f t="shared" si="21"/>
        <v>2</v>
      </c>
      <c r="AF76" s="156"/>
      <c r="AG76" s="156"/>
      <c r="AH76" s="113">
        <f t="shared" si="22"/>
        <v>17</v>
      </c>
      <c r="AI76" s="157">
        <v>65</v>
      </c>
      <c r="AJ76" s="113">
        <f t="shared" si="23"/>
        <v>82</v>
      </c>
      <c r="AK76" s="113">
        <f t="shared" si="24"/>
        <v>82</v>
      </c>
      <c r="AL76" s="158">
        <f t="shared" si="25"/>
        <v>1.02</v>
      </c>
      <c r="AM76" s="159"/>
      <c r="AN76" s="160">
        <f t="shared" si="16"/>
        <v>1</v>
      </c>
      <c r="AO76" s="160">
        <f t="shared" si="16"/>
        <v>2</v>
      </c>
      <c r="AP76" s="133"/>
      <c r="AQ76" s="134"/>
      <c r="AR76" s="161"/>
      <c r="AS76" s="161"/>
      <c r="AT76" s="161"/>
      <c r="AU76" s="161"/>
      <c r="AV76" s="162"/>
      <c r="AW76" s="137">
        <f t="shared" si="26"/>
        <v>0</v>
      </c>
      <c r="AX76" s="137">
        <f t="shared" si="27"/>
        <v>0</v>
      </c>
    </row>
    <row r="77" ht="46.5" customHeight="1" spans="1:50" s="97" customFormat="1" x14ac:dyDescent="0.25">
      <c r="A77" s="100"/>
      <c r="B77" s="100"/>
      <c r="C77" s="100"/>
      <c r="D77" s="100"/>
      <c r="E77" s="100"/>
      <c r="F77" s="100"/>
      <c r="G77" s="103"/>
      <c r="H77" s="186"/>
      <c r="I77" s="195">
        <v>0.51</v>
      </c>
      <c r="J77" s="107">
        <v>0.49</v>
      </c>
      <c r="K77" s="107"/>
      <c r="L77" s="107"/>
      <c r="M77" s="187"/>
      <c r="N77" s="169">
        <f t="shared" si="14"/>
        <v>1</v>
      </c>
      <c r="O77" s="144">
        <v>1</v>
      </c>
      <c r="P77" s="145">
        <v>15</v>
      </c>
      <c r="Q77" s="113">
        <v>15</v>
      </c>
      <c r="R77" s="113"/>
      <c r="S77" s="113"/>
      <c r="T77" s="146"/>
      <c r="U77" s="148">
        <f t="shared" si="17"/>
        <v>15</v>
      </c>
      <c r="V77" s="149">
        <f t="shared" si="18"/>
        <v>15</v>
      </c>
      <c r="W77" s="189"/>
      <c r="X77" s="199"/>
      <c r="Y77" s="151"/>
      <c r="Z77" s="190"/>
      <c r="AA77" s="153"/>
      <c r="AB77" s="154">
        <f t="shared" si="19"/>
        <v>0</v>
      </c>
      <c r="AC77" s="149">
        <f t="shared" si="20"/>
        <v>0</v>
      </c>
      <c r="AD77" s="125">
        <v>2</v>
      </c>
      <c r="AE77" s="148">
        <f t="shared" si="21"/>
        <v>2</v>
      </c>
      <c r="AF77" s="156"/>
      <c r="AG77" s="156"/>
      <c r="AH77" s="113">
        <f t="shared" si="22"/>
        <v>17</v>
      </c>
      <c r="AI77" s="157">
        <v>65</v>
      </c>
      <c r="AJ77" s="113">
        <f t="shared" si="23"/>
        <v>82</v>
      </c>
      <c r="AK77" s="113">
        <f t="shared" si="24"/>
        <v>82</v>
      </c>
      <c r="AL77" s="158">
        <f t="shared" si="25"/>
        <v>1.02</v>
      </c>
      <c r="AM77" s="159"/>
      <c r="AN77" s="160">
        <f t="shared" si="16"/>
        <v>1</v>
      </c>
      <c r="AO77" s="160">
        <f t="shared" si="16"/>
        <v>2</v>
      </c>
      <c r="AP77" s="133"/>
      <c r="AQ77" s="134"/>
      <c r="AR77" s="161"/>
      <c r="AS77" s="161"/>
      <c r="AT77" s="161"/>
      <c r="AU77" s="161"/>
      <c r="AV77" s="162"/>
      <c r="AW77" s="137">
        <f t="shared" si="26"/>
        <v>0</v>
      </c>
      <c r="AX77" s="137">
        <f t="shared" si="27"/>
        <v>0</v>
      </c>
    </row>
    <row r="78" ht="46.5" customHeight="1" spans="1:50" s="97" customFormat="1" x14ac:dyDescent="0.25">
      <c r="A78" s="100"/>
      <c r="B78" s="100"/>
      <c r="C78" s="100"/>
      <c r="D78" s="100"/>
      <c r="E78" s="100"/>
      <c r="F78" s="100"/>
      <c r="G78" s="103"/>
      <c r="H78" s="186"/>
      <c r="I78" s="195">
        <v>0.51</v>
      </c>
      <c r="J78" s="107">
        <v>0.49</v>
      </c>
      <c r="K78" s="107"/>
      <c r="L78" s="107"/>
      <c r="M78" s="187"/>
      <c r="N78" s="169">
        <f t="shared" si="14"/>
        <v>1</v>
      </c>
      <c r="O78" s="144">
        <v>1</v>
      </c>
      <c r="P78" s="145">
        <v>15</v>
      </c>
      <c r="Q78" s="113">
        <v>15</v>
      </c>
      <c r="R78" s="113"/>
      <c r="S78" s="113"/>
      <c r="T78" s="146"/>
      <c r="U78" s="148">
        <f t="shared" si="17"/>
        <v>15</v>
      </c>
      <c r="V78" s="149">
        <f t="shared" si="18"/>
        <v>15</v>
      </c>
      <c r="W78" s="189"/>
      <c r="X78" s="199"/>
      <c r="Y78" s="151"/>
      <c r="Z78" s="190"/>
      <c r="AA78" s="153"/>
      <c r="AB78" s="154">
        <f t="shared" si="19"/>
        <v>0</v>
      </c>
      <c r="AC78" s="149">
        <f t="shared" si="20"/>
        <v>0</v>
      </c>
      <c r="AD78" s="125">
        <v>2</v>
      </c>
      <c r="AE78" s="148">
        <f t="shared" si="21"/>
        <v>2</v>
      </c>
      <c r="AF78" s="156"/>
      <c r="AG78" s="156"/>
      <c r="AH78" s="113">
        <f t="shared" si="22"/>
        <v>17</v>
      </c>
      <c r="AI78" s="157">
        <v>65</v>
      </c>
      <c r="AJ78" s="113">
        <f t="shared" si="23"/>
        <v>82</v>
      </c>
      <c r="AK78" s="113">
        <f t="shared" si="24"/>
        <v>82</v>
      </c>
      <c r="AL78" s="158">
        <f t="shared" si="25"/>
        <v>1.02</v>
      </c>
      <c r="AM78" s="159"/>
      <c r="AN78" s="160">
        <f t="shared" si="16"/>
        <v>1</v>
      </c>
      <c r="AO78" s="160">
        <f t="shared" si="16"/>
        <v>2</v>
      </c>
      <c r="AP78" s="133"/>
      <c r="AQ78" s="134"/>
      <c r="AR78" s="161"/>
      <c r="AS78" s="161"/>
      <c r="AT78" s="161"/>
      <c r="AU78" s="161"/>
      <c r="AV78" s="162"/>
      <c r="AW78" s="137">
        <f t="shared" si="26"/>
        <v>0</v>
      </c>
      <c r="AX78" s="137">
        <f t="shared" si="27"/>
        <v>0</v>
      </c>
    </row>
    <row r="79" ht="46.5" customHeight="1" spans="1:50" s="97" customFormat="1" x14ac:dyDescent="0.25">
      <c r="A79" s="100"/>
      <c r="B79" s="100"/>
      <c r="C79" s="100"/>
      <c r="D79" s="100"/>
      <c r="E79" s="100"/>
      <c r="F79" s="100"/>
      <c r="G79" s="103"/>
      <c r="H79" s="186"/>
      <c r="I79" s="195">
        <v>0.51</v>
      </c>
      <c r="J79" s="107">
        <v>0.49</v>
      </c>
      <c r="K79" s="107"/>
      <c r="L79" s="107"/>
      <c r="M79" s="187"/>
      <c r="N79" s="169">
        <f t="shared" si="14"/>
        <v>1</v>
      </c>
      <c r="O79" s="144">
        <v>1</v>
      </c>
      <c r="P79" s="145">
        <v>15</v>
      </c>
      <c r="Q79" s="113">
        <v>15</v>
      </c>
      <c r="R79" s="113"/>
      <c r="S79" s="113"/>
      <c r="T79" s="146"/>
      <c r="U79" s="148">
        <f t="shared" si="17"/>
        <v>15</v>
      </c>
      <c r="V79" s="149">
        <f t="shared" si="18"/>
        <v>15</v>
      </c>
      <c r="W79" s="189"/>
      <c r="X79" s="199"/>
      <c r="Y79" s="151"/>
      <c r="Z79" s="190"/>
      <c r="AA79" s="153"/>
      <c r="AB79" s="154">
        <f t="shared" si="19"/>
        <v>0</v>
      </c>
      <c r="AC79" s="149">
        <f t="shared" si="20"/>
        <v>0</v>
      </c>
      <c r="AD79" s="125">
        <v>2</v>
      </c>
      <c r="AE79" s="148">
        <f t="shared" si="21"/>
        <v>2</v>
      </c>
      <c r="AF79" s="156"/>
      <c r="AG79" s="156"/>
      <c r="AH79" s="113">
        <f t="shared" si="22"/>
        <v>17</v>
      </c>
      <c r="AI79" s="157">
        <v>65</v>
      </c>
      <c r="AJ79" s="113">
        <f t="shared" si="23"/>
        <v>82</v>
      </c>
      <c r="AK79" s="113">
        <f t="shared" si="24"/>
        <v>82</v>
      </c>
      <c r="AL79" s="158">
        <f t="shared" si="25"/>
        <v>1.02</v>
      </c>
      <c r="AM79" s="159"/>
      <c r="AN79" s="160">
        <f t="shared" si="16"/>
        <v>1</v>
      </c>
      <c r="AO79" s="160">
        <f t="shared" si="16"/>
        <v>2</v>
      </c>
      <c r="AP79" s="133"/>
      <c r="AQ79" s="134"/>
      <c r="AR79" s="161"/>
      <c r="AS79" s="161"/>
      <c r="AT79" s="161"/>
      <c r="AU79" s="161"/>
      <c r="AV79" s="162"/>
      <c r="AW79" s="137">
        <f t="shared" si="26"/>
        <v>0</v>
      </c>
      <c r="AX79" s="137">
        <f t="shared" si="27"/>
        <v>0</v>
      </c>
    </row>
    <row r="80" ht="46.5" customHeight="1" spans="1:50" s="97" customFormat="1" x14ac:dyDescent="0.25">
      <c r="A80" s="100"/>
      <c r="B80" s="100"/>
      <c r="C80" s="100"/>
      <c r="D80" s="100"/>
      <c r="E80" s="100"/>
      <c r="F80" s="100"/>
      <c r="G80" s="103"/>
      <c r="H80" s="186"/>
      <c r="I80" s="195">
        <v>0.51</v>
      </c>
      <c r="J80" s="107">
        <v>0.49</v>
      </c>
      <c r="K80" s="107"/>
      <c r="L80" s="107"/>
      <c r="M80" s="187"/>
      <c r="N80" s="169">
        <f t="shared" si="14"/>
        <v>1</v>
      </c>
      <c r="O80" s="144">
        <v>1</v>
      </c>
      <c r="P80" s="145">
        <v>15</v>
      </c>
      <c r="Q80" s="113">
        <v>15</v>
      </c>
      <c r="R80" s="113"/>
      <c r="S80" s="113"/>
      <c r="T80" s="146"/>
      <c r="U80" s="148">
        <f t="shared" si="17"/>
        <v>15</v>
      </c>
      <c r="V80" s="149">
        <f t="shared" si="18"/>
        <v>15</v>
      </c>
      <c r="W80" s="189"/>
      <c r="X80" s="199"/>
      <c r="Y80" s="151"/>
      <c r="Z80" s="190"/>
      <c r="AA80" s="153"/>
      <c r="AB80" s="154">
        <f t="shared" si="19"/>
        <v>0</v>
      </c>
      <c r="AC80" s="149">
        <f t="shared" si="20"/>
        <v>0</v>
      </c>
      <c r="AD80" s="125">
        <v>2</v>
      </c>
      <c r="AE80" s="148">
        <f t="shared" si="21"/>
        <v>2</v>
      </c>
      <c r="AF80" s="156"/>
      <c r="AG80" s="156"/>
      <c r="AH80" s="113">
        <f t="shared" si="22"/>
        <v>17</v>
      </c>
      <c r="AI80" s="157">
        <v>65</v>
      </c>
      <c r="AJ80" s="113">
        <f t="shared" si="23"/>
        <v>82</v>
      </c>
      <c r="AK80" s="113">
        <f t="shared" si="24"/>
        <v>82</v>
      </c>
      <c r="AL80" s="158">
        <f t="shared" si="25"/>
        <v>1.02</v>
      </c>
      <c r="AM80" s="159"/>
      <c r="AN80" s="160">
        <f t="shared" si="16"/>
        <v>1</v>
      </c>
      <c r="AO80" s="160">
        <f t="shared" si="16"/>
        <v>2</v>
      </c>
      <c r="AP80" s="133"/>
      <c r="AQ80" s="134"/>
      <c r="AR80" s="161"/>
      <c r="AS80" s="161"/>
      <c r="AT80" s="161"/>
      <c r="AU80" s="161"/>
      <c r="AV80" s="162"/>
      <c r="AW80" s="137">
        <f t="shared" si="26"/>
        <v>0</v>
      </c>
      <c r="AX80" s="137">
        <f t="shared" si="27"/>
        <v>0</v>
      </c>
    </row>
    <row r="81" ht="46.5" customHeight="1" spans="1:50" s="97" customFormat="1" x14ac:dyDescent="0.25">
      <c r="A81" s="100"/>
      <c r="B81" s="100"/>
      <c r="C81" s="100"/>
      <c r="D81" s="100"/>
      <c r="E81" s="100"/>
      <c r="F81" s="100"/>
      <c r="G81" s="103"/>
      <c r="H81" s="186"/>
      <c r="I81" s="195">
        <v>0.51</v>
      </c>
      <c r="J81" s="107">
        <v>0.49</v>
      </c>
      <c r="K81" s="107"/>
      <c r="L81" s="107"/>
      <c r="M81" s="187"/>
      <c r="N81" s="169">
        <f t="shared" si="14"/>
        <v>1</v>
      </c>
      <c r="O81" s="144">
        <v>1</v>
      </c>
      <c r="P81" s="145">
        <v>15</v>
      </c>
      <c r="Q81" s="113">
        <v>15</v>
      </c>
      <c r="R81" s="113"/>
      <c r="S81" s="113"/>
      <c r="T81" s="146"/>
      <c r="U81" s="148">
        <f t="shared" si="17"/>
        <v>15</v>
      </c>
      <c r="V81" s="149">
        <f t="shared" si="18"/>
        <v>15</v>
      </c>
      <c r="W81" s="189"/>
      <c r="X81" s="199"/>
      <c r="Y81" s="151"/>
      <c r="Z81" s="190"/>
      <c r="AA81" s="153"/>
      <c r="AB81" s="154">
        <f t="shared" si="19"/>
        <v>0</v>
      </c>
      <c r="AC81" s="149">
        <f t="shared" si="20"/>
        <v>0</v>
      </c>
      <c r="AD81" s="125">
        <v>2</v>
      </c>
      <c r="AE81" s="148">
        <f t="shared" si="21"/>
        <v>2</v>
      </c>
      <c r="AF81" s="156"/>
      <c r="AG81" s="156"/>
      <c r="AH81" s="113">
        <f t="shared" si="22"/>
        <v>17</v>
      </c>
      <c r="AI81" s="157">
        <v>65</v>
      </c>
      <c r="AJ81" s="113">
        <f t="shared" si="23"/>
        <v>82</v>
      </c>
      <c r="AK81" s="113">
        <f t="shared" si="24"/>
        <v>82</v>
      </c>
      <c r="AL81" s="158">
        <f t="shared" si="25"/>
        <v>1.02</v>
      </c>
      <c r="AM81" s="159"/>
      <c r="AN81" s="160">
        <f t="shared" si="16"/>
        <v>1</v>
      </c>
      <c r="AO81" s="160">
        <f t="shared" si="16"/>
        <v>2</v>
      </c>
      <c r="AP81" s="133"/>
      <c r="AQ81" s="134"/>
      <c r="AR81" s="161"/>
      <c r="AS81" s="161"/>
      <c r="AT81" s="161"/>
      <c r="AU81" s="161"/>
      <c r="AV81" s="162"/>
      <c r="AW81" s="137">
        <f t="shared" si="26"/>
        <v>0</v>
      </c>
      <c r="AX81" s="137">
        <f t="shared" si="27"/>
        <v>0</v>
      </c>
    </row>
    <row r="82" ht="46.5" customHeight="1" spans="1:50" s="97" customFormat="1" x14ac:dyDescent="0.25">
      <c r="A82" s="100"/>
      <c r="B82" s="100"/>
      <c r="C82" s="100"/>
      <c r="D82" s="100"/>
      <c r="E82" s="100"/>
      <c r="F82" s="100"/>
      <c r="G82" s="103"/>
      <c r="H82" s="186"/>
      <c r="I82" s="195">
        <v>0.51</v>
      </c>
      <c r="J82" s="107">
        <v>0.49</v>
      </c>
      <c r="K82" s="107"/>
      <c r="L82" s="107"/>
      <c r="M82" s="187"/>
      <c r="N82" s="169">
        <f t="shared" si="14"/>
        <v>1</v>
      </c>
      <c r="O82" s="144">
        <v>1</v>
      </c>
      <c r="P82" s="145">
        <v>15</v>
      </c>
      <c r="Q82" s="113">
        <v>15</v>
      </c>
      <c r="R82" s="113"/>
      <c r="S82" s="113"/>
      <c r="T82" s="146"/>
      <c r="U82" s="148">
        <f t="shared" si="17"/>
        <v>15</v>
      </c>
      <c r="V82" s="149">
        <f t="shared" si="18"/>
        <v>15</v>
      </c>
      <c r="W82" s="189"/>
      <c r="X82" s="199"/>
      <c r="Y82" s="151"/>
      <c r="Z82" s="190"/>
      <c r="AA82" s="153"/>
      <c r="AB82" s="154">
        <f t="shared" si="19"/>
        <v>0</v>
      </c>
      <c r="AC82" s="149">
        <f t="shared" si="20"/>
        <v>0</v>
      </c>
      <c r="AD82" s="125">
        <v>2</v>
      </c>
      <c r="AE82" s="148">
        <f t="shared" si="21"/>
        <v>2</v>
      </c>
      <c r="AF82" s="156"/>
      <c r="AG82" s="156"/>
      <c r="AH82" s="113">
        <f t="shared" si="22"/>
        <v>17</v>
      </c>
      <c r="AI82" s="157">
        <v>65</v>
      </c>
      <c r="AJ82" s="113">
        <f t="shared" si="23"/>
        <v>82</v>
      </c>
      <c r="AK82" s="113">
        <f t="shared" si="24"/>
        <v>82</v>
      </c>
      <c r="AL82" s="158">
        <f t="shared" si="25"/>
        <v>1.02</v>
      </c>
      <c r="AM82" s="159"/>
      <c r="AN82" s="160">
        <f t="shared" si="16"/>
        <v>1</v>
      </c>
      <c r="AO82" s="160">
        <f t="shared" si="16"/>
        <v>2</v>
      </c>
      <c r="AP82" s="133"/>
      <c r="AQ82" s="134"/>
      <c r="AR82" s="161"/>
      <c r="AS82" s="161"/>
      <c r="AT82" s="161"/>
      <c r="AU82" s="161"/>
      <c r="AV82" s="162"/>
      <c r="AW82" s="137">
        <f t="shared" si="26"/>
        <v>0</v>
      </c>
      <c r="AX82" s="137">
        <f t="shared" si="27"/>
        <v>0</v>
      </c>
    </row>
    <row r="83" ht="46.5" customHeight="1" spans="1:50" s="97" customFormat="1" x14ac:dyDescent="0.25">
      <c r="A83" s="100"/>
      <c r="B83" s="100"/>
      <c r="C83" s="100"/>
      <c r="D83" s="100"/>
      <c r="E83" s="100"/>
      <c r="F83" s="100"/>
      <c r="G83" s="103"/>
      <c r="H83" s="186"/>
      <c r="I83" s="195">
        <v>0.51</v>
      </c>
      <c r="J83" s="107">
        <v>0.49</v>
      </c>
      <c r="K83" s="107"/>
      <c r="L83" s="107"/>
      <c r="M83" s="187"/>
      <c r="N83" s="169">
        <f t="shared" si="14"/>
        <v>1</v>
      </c>
      <c r="O83" s="144">
        <v>1</v>
      </c>
      <c r="P83" s="145">
        <v>15</v>
      </c>
      <c r="Q83" s="113">
        <v>15</v>
      </c>
      <c r="R83" s="113"/>
      <c r="S83" s="113"/>
      <c r="T83" s="146"/>
      <c r="U83" s="148">
        <f t="shared" si="17"/>
        <v>15</v>
      </c>
      <c r="V83" s="149">
        <f t="shared" si="18"/>
        <v>15</v>
      </c>
      <c r="W83" s="189"/>
      <c r="X83" s="199"/>
      <c r="Y83" s="151"/>
      <c r="Z83" s="190"/>
      <c r="AA83" s="153"/>
      <c r="AB83" s="154">
        <f t="shared" si="19"/>
        <v>0</v>
      </c>
      <c r="AC83" s="149">
        <f t="shared" si="20"/>
        <v>0</v>
      </c>
      <c r="AD83" s="125">
        <v>2</v>
      </c>
      <c r="AE83" s="148">
        <f t="shared" si="21"/>
        <v>2</v>
      </c>
      <c r="AF83" s="156"/>
      <c r="AG83" s="156"/>
      <c r="AH83" s="113">
        <f t="shared" si="22"/>
        <v>17</v>
      </c>
      <c r="AI83" s="157">
        <v>65</v>
      </c>
      <c r="AJ83" s="113">
        <f t="shared" si="23"/>
        <v>82</v>
      </c>
      <c r="AK83" s="113">
        <f t="shared" si="24"/>
        <v>82</v>
      </c>
      <c r="AL83" s="158">
        <f t="shared" si="25"/>
        <v>1.02</v>
      </c>
      <c r="AM83" s="159"/>
      <c r="AN83" s="160">
        <f t="shared" si="16"/>
        <v>1</v>
      </c>
      <c r="AO83" s="160">
        <f t="shared" si="16"/>
        <v>2</v>
      </c>
      <c r="AP83" s="133"/>
      <c r="AQ83" s="134"/>
      <c r="AR83" s="161"/>
      <c r="AS83" s="161"/>
      <c r="AT83" s="161"/>
      <c r="AU83" s="161"/>
      <c r="AV83" s="162"/>
      <c r="AW83" s="137">
        <f t="shared" si="26"/>
        <v>0</v>
      </c>
      <c r="AX83" s="137">
        <f t="shared" si="27"/>
        <v>0</v>
      </c>
    </row>
    <row r="84" ht="46.5" customHeight="1" spans="1:50" s="97" customFormat="1" x14ac:dyDescent="0.25">
      <c r="A84" s="100"/>
      <c r="B84" s="100"/>
      <c r="C84" s="100"/>
      <c r="D84" s="100"/>
      <c r="E84" s="100"/>
      <c r="F84" s="100"/>
      <c r="G84" s="103"/>
      <c r="H84" s="186"/>
      <c r="I84" s="195">
        <v>0.51</v>
      </c>
      <c r="J84" s="107">
        <v>0.49</v>
      </c>
      <c r="K84" s="107"/>
      <c r="L84" s="107"/>
      <c r="M84" s="187"/>
      <c r="N84" s="169">
        <f t="shared" si="14"/>
        <v>1</v>
      </c>
      <c r="O84" s="144">
        <v>1</v>
      </c>
      <c r="P84" s="145">
        <v>15</v>
      </c>
      <c r="Q84" s="113">
        <v>15</v>
      </c>
      <c r="R84" s="113"/>
      <c r="S84" s="113"/>
      <c r="T84" s="146"/>
      <c r="U84" s="148">
        <f t="shared" si="17"/>
        <v>15</v>
      </c>
      <c r="V84" s="149">
        <f t="shared" si="18"/>
        <v>15</v>
      </c>
      <c r="W84" s="189"/>
      <c r="X84" s="199"/>
      <c r="Y84" s="151"/>
      <c r="Z84" s="190"/>
      <c r="AA84" s="153"/>
      <c r="AB84" s="154">
        <f t="shared" si="19"/>
        <v>0</v>
      </c>
      <c r="AC84" s="149">
        <f t="shared" si="20"/>
        <v>0</v>
      </c>
      <c r="AD84" s="125">
        <v>2</v>
      </c>
      <c r="AE84" s="148">
        <f t="shared" si="21"/>
        <v>2</v>
      </c>
      <c r="AF84" s="156"/>
      <c r="AG84" s="156"/>
      <c r="AH84" s="113">
        <f t="shared" si="22"/>
        <v>17</v>
      </c>
      <c r="AI84" s="157">
        <v>65</v>
      </c>
      <c r="AJ84" s="113">
        <f t="shared" si="23"/>
        <v>82</v>
      </c>
      <c r="AK84" s="113">
        <f t="shared" si="24"/>
        <v>82</v>
      </c>
      <c r="AL84" s="158">
        <f t="shared" si="25"/>
        <v>1.02</v>
      </c>
      <c r="AM84" s="159"/>
      <c r="AN84" s="160">
        <f t="shared" si="16"/>
        <v>1</v>
      </c>
      <c r="AO84" s="160">
        <f t="shared" si="16"/>
        <v>2</v>
      </c>
      <c r="AP84" s="133"/>
      <c r="AQ84" s="134"/>
      <c r="AR84" s="161"/>
      <c r="AS84" s="161"/>
      <c r="AT84" s="161"/>
      <c r="AU84" s="161"/>
      <c r="AV84" s="162"/>
      <c r="AW84" s="137">
        <f t="shared" si="26"/>
        <v>0</v>
      </c>
      <c r="AX84" s="137">
        <f t="shared" si="27"/>
        <v>0</v>
      </c>
    </row>
    <row r="85" ht="46.5" customHeight="1" spans="1:50" s="97" customFormat="1" x14ac:dyDescent="0.25">
      <c r="A85" s="100"/>
      <c r="B85" s="100"/>
      <c r="C85" s="100"/>
      <c r="D85" s="100"/>
      <c r="E85" s="100"/>
      <c r="F85" s="100"/>
      <c r="G85" s="103"/>
      <c r="H85" s="186"/>
      <c r="I85" s="195">
        <v>0.51</v>
      </c>
      <c r="J85" s="107">
        <v>0.49</v>
      </c>
      <c r="K85" s="107"/>
      <c r="L85" s="107"/>
      <c r="M85" s="187"/>
      <c r="N85" s="169">
        <f t="shared" si="14"/>
        <v>1</v>
      </c>
      <c r="O85" s="144">
        <v>1</v>
      </c>
      <c r="P85" s="145">
        <v>15</v>
      </c>
      <c r="Q85" s="113">
        <v>15</v>
      </c>
      <c r="R85" s="113"/>
      <c r="S85" s="113"/>
      <c r="T85" s="146"/>
      <c r="U85" s="148">
        <f t="shared" si="17"/>
        <v>15</v>
      </c>
      <c r="V85" s="149">
        <f t="shared" si="18"/>
        <v>15</v>
      </c>
      <c r="W85" s="189"/>
      <c r="X85" s="199"/>
      <c r="Y85" s="151"/>
      <c r="Z85" s="190"/>
      <c r="AA85" s="153"/>
      <c r="AB85" s="154">
        <f t="shared" si="19"/>
        <v>0</v>
      </c>
      <c r="AC85" s="149">
        <f t="shared" si="20"/>
        <v>0</v>
      </c>
      <c r="AD85" s="125">
        <v>2</v>
      </c>
      <c r="AE85" s="148">
        <f t="shared" si="21"/>
        <v>2</v>
      </c>
      <c r="AF85" s="156"/>
      <c r="AG85" s="156"/>
      <c r="AH85" s="113">
        <f t="shared" si="22"/>
        <v>17</v>
      </c>
      <c r="AI85" s="157">
        <v>65</v>
      </c>
      <c r="AJ85" s="113">
        <f t="shared" si="23"/>
        <v>82</v>
      </c>
      <c r="AK85" s="113">
        <f t="shared" si="24"/>
        <v>82</v>
      </c>
      <c r="AL85" s="158">
        <f t="shared" si="25"/>
        <v>1.02</v>
      </c>
      <c r="AM85" s="159"/>
      <c r="AN85" s="160">
        <f t="shared" si="16"/>
        <v>1</v>
      </c>
      <c r="AO85" s="160">
        <f t="shared" si="16"/>
        <v>2</v>
      </c>
      <c r="AP85" s="133"/>
      <c r="AQ85" s="134"/>
      <c r="AR85" s="161"/>
      <c r="AS85" s="161"/>
      <c r="AT85" s="161"/>
      <c r="AU85" s="161"/>
      <c r="AV85" s="162"/>
      <c r="AW85" s="137">
        <f t="shared" si="26"/>
        <v>0</v>
      </c>
      <c r="AX85" s="137">
        <f t="shared" si="27"/>
        <v>0</v>
      </c>
    </row>
    <row r="86" ht="46.5" customHeight="1" spans="1:50" s="97" customFormat="1" x14ac:dyDescent="0.25">
      <c r="A86" s="100"/>
      <c r="B86" s="100"/>
      <c r="C86" s="100"/>
      <c r="D86" s="100"/>
      <c r="E86" s="100"/>
      <c r="F86" s="100"/>
      <c r="G86" s="103"/>
      <c r="H86" s="186"/>
      <c r="I86" s="195">
        <v>0.51</v>
      </c>
      <c r="J86" s="107">
        <v>0.49</v>
      </c>
      <c r="K86" s="107"/>
      <c r="L86" s="107"/>
      <c r="M86" s="187"/>
      <c r="N86" s="169">
        <f t="shared" si="14"/>
        <v>1</v>
      </c>
      <c r="O86" s="144">
        <v>1</v>
      </c>
      <c r="P86" s="145">
        <v>15</v>
      </c>
      <c r="Q86" s="113">
        <v>15</v>
      </c>
      <c r="R86" s="113"/>
      <c r="S86" s="113"/>
      <c r="T86" s="146"/>
      <c r="U86" s="148">
        <f t="shared" si="17"/>
        <v>15</v>
      </c>
      <c r="V86" s="149">
        <f t="shared" si="18"/>
        <v>15</v>
      </c>
      <c r="W86" s="189"/>
      <c r="X86" s="199"/>
      <c r="Y86" s="151"/>
      <c r="Z86" s="190"/>
      <c r="AA86" s="153"/>
      <c r="AB86" s="154">
        <f t="shared" si="19"/>
        <v>0</v>
      </c>
      <c r="AC86" s="149">
        <f t="shared" si="20"/>
        <v>0</v>
      </c>
      <c r="AD86" s="125">
        <v>2</v>
      </c>
      <c r="AE86" s="148">
        <f t="shared" si="21"/>
        <v>2</v>
      </c>
      <c r="AF86" s="156"/>
      <c r="AG86" s="156"/>
      <c r="AH86" s="113">
        <f t="shared" si="22"/>
        <v>17</v>
      </c>
      <c r="AI86" s="157">
        <v>65</v>
      </c>
      <c r="AJ86" s="113">
        <f t="shared" si="23"/>
        <v>82</v>
      </c>
      <c r="AK86" s="113">
        <f t="shared" si="24"/>
        <v>82</v>
      </c>
      <c r="AL86" s="158">
        <f t="shared" si="25"/>
        <v>1.02</v>
      </c>
      <c r="AM86" s="159"/>
      <c r="AN86" s="160">
        <f t="shared" si="16"/>
        <v>1</v>
      </c>
      <c r="AO86" s="160">
        <f t="shared" si="16"/>
        <v>2</v>
      </c>
      <c r="AP86" s="133"/>
      <c r="AQ86" s="134"/>
      <c r="AR86" s="161"/>
      <c r="AS86" s="161"/>
      <c r="AT86" s="161"/>
      <c r="AU86" s="161"/>
      <c r="AV86" s="162"/>
      <c r="AW86" s="137">
        <f t="shared" si="26"/>
        <v>0</v>
      </c>
      <c r="AX86" s="137">
        <f t="shared" si="27"/>
        <v>0</v>
      </c>
    </row>
    <row r="87" ht="46.5" customHeight="1" spans="1:50" s="97" customFormat="1" x14ac:dyDescent="0.25">
      <c r="A87" s="100"/>
      <c r="B87" s="100"/>
      <c r="C87" s="100"/>
      <c r="D87" s="100"/>
      <c r="E87" s="100"/>
      <c r="F87" s="100"/>
      <c r="G87" s="103"/>
      <c r="H87" s="186"/>
      <c r="I87" s="195">
        <v>0.51</v>
      </c>
      <c r="J87" s="107">
        <v>0.49</v>
      </c>
      <c r="K87" s="107"/>
      <c r="L87" s="107"/>
      <c r="M87" s="187"/>
      <c r="N87" s="169">
        <f t="shared" si="14"/>
        <v>1</v>
      </c>
      <c r="O87" s="144">
        <v>1</v>
      </c>
      <c r="P87" s="145">
        <v>15</v>
      </c>
      <c r="Q87" s="113">
        <v>15</v>
      </c>
      <c r="R87" s="113"/>
      <c r="S87" s="113"/>
      <c r="T87" s="146"/>
      <c r="U87" s="148">
        <f t="shared" si="17"/>
        <v>15</v>
      </c>
      <c r="V87" s="149">
        <f t="shared" si="18"/>
        <v>15</v>
      </c>
      <c r="W87" s="189"/>
      <c r="X87" s="199"/>
      <c r="Y87" s="151"/>
      <c r="Z87" s="190"/>
      <c r="AA87" s="153"/>
      <c r="AB87" s="154">
        <f t="shared" si="19"/>
        <v>0</v>
      </c>
      <c r="AC87" s="149">
        <f t="shared" si="20"/>
        <v>0</v>
      </c>
      <c r="AD87" s="125">
        <v>2</v>
      </c>
      <c r="AE87" s="148">
        <f t="shared" si="21"/>
        <v>2</v>
      </c>
      <c r="AF87" s="156"/>
      <c r="AG87" s="156"/>
      <c r="AH87" s="113">
        <f t="shared" si="22"/>
        <v>17</v>
      </c>
      <c r="AI87" s="157">
        <v>65</v>
      </c>
      <c r="AJ87" s="113">
        <f t="shared" si="23"/>
        <v>82</v>
      </c>
      <c r="AK87" s="113">
        <f t="shared" si="24"/>
        <v>82</v>
      </c>
      <c r="AL87" s="158">
        <f t="shared" si="25"/>
        <v>1.02</v>
      </c>
      <c r="AM87" s="159"/>
      <c r="AN87" s="160">
        <f t="shared" si="16"/>
        <v>1</v>
      </c>
      <c r="AO87" s="160">
        <f t="shared" si="16"/>
        <v>2</v>
      </c>
      <c r="AP87" s="133"/>
      <c r="AQ87" s="134"/>
      <c r="AR87" s="161"/>
      <c r="AS87" s="161"/>
      <c r="AT87" s="161"/>
      <c r="AU87" s="161"/>
      <c r="AV87" s="162"/>
      <c r="AW87" s="137">
        <f t="shared" si="26"/>
        <v>0</v>
      </c>
      <c r="AX87" s="137">
        <f t="shared" si="27"/>
        <v>0</v>
      </c>
    </row>
    <row r="88" ht="46.5" customHeight="1" spans="1:50" s="97" customFormat="1" x14ac:dyDescent="0.25">
      <c r="A88" s="100"/>
      <c r="B88" s="100"/>
      <c r="C88" s="100"/>
      <c r="D88" s="100"/>
      <c r="E88" s="100"/>
      <c r="F88" s="100"/>
      <c r="G88" s="103"/>
      <c r="H88" s="186"/>
      <c r="I88" s="195">
        <v>0.51</v>
      </c>
      <c r="J88" s="107">
        <v>0.49</v>
      </c>
      <c r="K88" s="107"/>
      <c r="L88" s="107"/>
      <c r="M88" s="187"/>
      <c r="N88" s="169">
        <f t="shared" si="14"/>
        <v>1</v>
      </c>
      <c r="O88" s="144">
        <v>1</v>
      </c>
      <c r="P88" s="145">
        <v>15</v>
      </c>
      <c r="Q88" s="113">
        <v>15</v>
      </c>
      <c r="R88" s="113"/>
      <c r="S88" s="113"/>
      <c r="T88" s="146"/>
      <c r="U88" s="148">
        <f t="shared" si="17"/>
        <v>15</v>
      </c>
      <c r="V88" s="149">
        <f t="shared" si="18"/>
        <v>15</v>
      </c>
      <c r="W88" s="189"/>
      <c r="X88" s="199"/>
      <c r="Y88" s="151"/>
      <c r="Z88" s="190"/>
      <c r="AA88" s="153"/>
      <c r="AB88" s="154">
        <f t="shared" si="19"/>
        <v>0</v>
      </c>
      <c r="AC88" s="149">
        <f t="shared" si="20"/>
        <v>0</v>
      </c>
      <c r="AD88" s="125">
        <v>2</v>
      </c>
      <c r="AE88" s="148">
        <f t="shared" si="21"/>
        <v>2</v>
      </c>
      <c r="AF88" s="156"/>
      <c r="AG88" s="156"/>
      <c r="AH88" s="113">
        <f t="shared" si="22"/>
        <v>17</v>
      </c>
      <c r="AI88" s="157">
        <v>65</v>
      </c>
      <c r="AJ88" s="113">
        <f t="shared" si="23"/>
        <v>82</v>
      </c>
      <c r="AK88" s="113">
        <f t="shared" si="24"/>
        <v>82</v>
      </c>
      <c r="AL88" s="158">
        <f t="shared" si="25"/>
        <v>1.02</v>
      </c>
      <c r="AM88" s="159"/>
      <c r="AN88" s="160">
        <f t="shared" si="16"/>
        <v>1</v>
      </c>
      <c r="AO88" s="160">
        <f t="shared" si="16"/>
        <v>2</v>
      </c>
      <c r="AP88" s="133"/>
      <c r="AQ88" s="134"/>
      <c r="AR88" s="161"/>
      <c r="AS88" s="161"/>
      <c r="AT88" s="161"/>
      <c r="AU88" s="161"/>
      <c r="AV88" s="162"/>
      <c r="AW88" s="137">
        <f t="shared" si="26"/>
        <v>0</v>
      </c>
      <c r="AX88" s="137">
        <f t="shared" si="27"/>
        <v>0</v>
      </c>
    </row>
    <row r="89" ht="46.5" customHeight="1" spans="1:50" s="97" customFormat="1" x14ac:dyDescent="0.25">
      <c r="A89" s="100"/>
      <c r="B89" s="100"/>
      <c r="C89" s="100"/>
      <c r="D89" s="100"/>
      <c r="E89" s="100"/>
      <c r="F89" s="100"/>
      <c r="G89" s="103"/>
      <c r="H89" s="186"/>
      <c r="I89" s="195">
        <v>0.51</v>
      </c>
      <c r="J89" s="107">
        <v>0.49</v>
      </c>
      <c r="K89" s="107"/>
      <c r="L89" s="107"/>
      <c r="M89" s="187"/>
      <c r="N89" s="169">
        <f t="shared" si="14"/>
        <v>1</v>
      </c>
      <c r="O89" s="144">
        <v>1</v>
      </c>
      <c r="P89" s="145">
        <v>15</v>
      </c>
      <c r="Q89" s="113">
        <v>15</v>
      </c>
      <c r="R89" s="113"/>
      <c r="S89" s="113"/>
      <c r="T89" s="146"/>
      <c r="U89" s="148">
        <f t="shared" si="17"/>
        <v>15</v>
      </c>
      <c r="V89" s="149">
        <f t="shared" si="18"/>
        <v>15</v>
      </c>
      <c r="W89" s="189"/>
      <c r="X89" s="199"/>
      <c r="Y89" s="151"/>
      <c r="Z89" s="190"/>
      <c r="AA89" s="153"/>
      <c r="AB89" s="154">
        <f t="shared" si="19"/>
        <v>0</v>
      </c>
      <c r="AC89" s="149">
        <f t="shared" si="20"/>
        <v>0</v>
      </c>
      <c r="AD89" s="125">
        <v>2</v>
      </c>
      <c r="AE89" s="148">
        <f t="shared" si="21"/>
        <v>2</v>
      </c>
      <c r="AF89" s="156"/>
      <c r="AG89" s="156"/>
      <c r="AH89" s="113">
        <f t="shared" si="22"/>
        <v>17</v>
      </c>
      <c r="AI89" s="157">
        <v>65</v>
      </c>
      <c r="AJ89" s="113">
        <f t="shared" si="23"/>
        <v>82</v>
      </c>
      <c r="AK89" s="113">
        <f t="shared" si="24"/>
        <v>82</v>
      </c>
      <c r="AL89" s="158">
        <f t="shared" si="25"/>
        <v>1.02</v>
      </c>
      <c r="AM89" s="159"/>
      <c r="AN89" s="160">
        <f t="shared" si="16"/>
        <v>1</v>
      </c>
      <c r="AO89" s="160">
        <f t="shared" si="16"/>
        <v>2</v>
      </c>
      <c r="AP89" s="133"/>
      <c r="AQ89" s="134"/>
      <c r="AR89" s="161"/>
      <c r="AS89" s="161"/>
      <c r="AT89" s="161"/>
      <c r="AU89" s="161"/>
      <c r="AV89" s="162"/>
      <c r="AW89" s="137">
        <f t="shared" si="26"/>
        <v>0</v>
      </c>
      <c r="AX89" s="137">
        <f t="shared" si="27"/>
        <v>0</v>
      </c>
    </row>
    <row r="90" ht="46.5" customHeight="1" spans="1:50" s="97" customFormat="1" x14ac:dyDescent="0.25">
      <c r="A90" s="100"/>
      <c r="B90" s="100"/>
      <c r="C90" s="100"/>
      <c r="D90" s="100"/>
      <c r="E90" s="100"/>
      <c r="F90" s="100"/>
      <c r="G90" s="103"/>
      <c r="H90" s="186"/>
      <c r="I90" s="195">
        <v>0.51</v>
      </c>
      <c r="J90" s="107">
        <v>0.49</v>
      </c>
      <c r="K90" s="107"/>
      <c r="L90" s="107"/>
      <c r="M90" s="187"/>
      <c r="N90" s="169">
        <f t="shared" si="14"/>
        <v>1</v>
      </c>
      <c r="O90" s="144">
        <v>1</v>
      </c>
      <c r="P90" s="145">
        <v>15</v>
      </c>
      <c r="Q90" s="113">
        <v>15</v>
      </c>
      <c r="R90" s="113"/>
      <c r="S90" s="113"/>
      <c r="T90" s="146"/>
      <c r="U90" s="148">
        <f t="shared" si="17"/>
        <v>15</v>
      </c>
      <c r="V90" s="149">
        <f t="shared" si="18"/>
        <v>15</v>
      </c>
      <c r="W90" s="189"/>
      <c r="X90" s="199"/>
      <c r="Y90" s="151"/>
      <c r="Z90" s="190"/>
      <c r="AA90" s="153"/>
      <c r="AB90" s="154">
        <f t="shared" si="19"/>
        <v>0</v>
      </c>
      <c r="AC90" s="149">
        <f t="shared" si="20"/>
        <v>0</v>
      </c>
      <c r="AD90" s="125">
        <v>2</v>
      </c>
      <c r="AE90" s="148">
        <f t="shared" si="21"/>
        <v>2</v>
      </c>
      <c r="AF90" s="156"/>
      <c r="AG90" s="156"/>
      <c r="AH90" s="113">
        <f t="shared" si="22"/>
        <v>17</v>
      </c>
      <c r="AI90" s="157">
        <v>65</v>
      </c>
      <c r="AJ90" s="113">
        <f t="shared" si="23"/>
        <v>82</v>
      </c>
      <c r="AK90" s="113">
        <f t="shared" si="24"/>
        <v>82</v>
      </c>
      <c r="AL90" s="158">
        <f t="shared" si="25"/>
        <v>1.02</v>
      </c>
      <c r="AM90" s="159"/>
      <c r="AN90" s="160">
        <f t="shared" si="16"/>
        <v>1</v>
      </c>
      <c r="AO90" s="160">
        <f t="shared" si="16"/>
        <v>2</v>
      </c>
      <c r="AP90" s="133"/>
      <c r="AQ90" s="134"/>
      <c r="AR90" s="161"/>
      <c r="AS90" s="161"/>
      <c r="AT90" s="161"/>
      <c r="AU90" s="161"/>
      <c r="AV90" s="162"/>
      <c r="AW90" s="137">
        <f t="shared" si="26"/>
        <v>0</v>
      </c>
      <c r="AX90" s="137">
        <f t="shared" si="27"/>
        <v>0</v>
      </c>
    </row>
    <row r="91" ht="46.5" customHeight="1" spans="1:50" s="97" customFormat="1" x14ac:dyDescent="0.25">
      <c r="A91" s="100"/>
      <c r="B91" s="100"/>
      <c r="C91" s="100"/>
      <c r="D91" s="100"/>
      <c r="E91" s="100"/>
      <c r="F91" s="100"/>
      <c r="G91" s="103"/>
      <c r="H91" s="186"/>
      <c r="I91" s="195">
        <v>0.51</v>
      </c>
      <c r="J91" s="107">
        <v>0.49</v>
      </c>
      <c r="K91" s="107"/>
      <c r="L91" s="107"/>
      <c r="M91" s="187"/>
      <c r="N91" s="169">
        <f t="shared" si="14"/>
        <v>1</v>
      </c>
      <c r="O91" s="144">
        <v>1</v>
      </c>
      <c r="P91" s="145">
        <v>15</v>
      </c>
      <c r="Q91" s="113">
        <v>15</v>
      </c>
      <c r="R91" s="113"/>
      <c r="S91" s="113"/>
      <c r="T91" s="146"/>
      <c r="U91" s="148">
        <f t="shared" si="17"/>
        <v>15</v>
      </c>
      <c r="V91" s="149">
        <f t="shared" si="18"/>
        <v>15</v>
      </c>
      <c r="W91" s="189"/>
      <c r="X91" s="199"/>
      <c r="Y91" s="151"/>
      <c r="Z91" s="190"/>
      <c r="AA91" s="153"/>
      <c r="AB91" s="154">
        <f t="shared" si="19"/>
        <v>0</v>
      </c>
      <c r="AC91" s="149">
        <f t="shared" si="20"/>
        <v>0</v>
      </c>
      <c r="AD91" s="125">
        <v>2</v>
      </c>
      <c r="AE91" s="148">
        <f t="shared" si="21"/>
        <v>2</v>
      </c>
      <c r="AF91" s="156"/>
      <c r="AG91" s="156"/>
      <c r="AH91" s="113">
        <f t="shared" si="22"/>
        <v>17</v>
      </c>
      <c r="AI91" s="157">
        <v>65</v>
      </c>
      <c r="AJ91" s="113">
        <f t="shared" si="23"/>
        <v>82</v>
      </c>
      <c r="AK91" s="113">
        <f t="shared" si="24"/>
        <v>82</v>
      </c>
      <c r="AL91" s="158">
        <f t="shared" si="25"/>
        <v>1.02</v>
      </c>
      <c r="AM91" s="159"/>
      <c r="AN91" s="160">
        <f t="shared" ref="AN91:AO110" si="28">100%+AM91</f>
        <v>1</v>
      </c>
      <c r="AO91" s="160">
        <f t="shared" si="28"/>
        <v>2</v>
      </c>
      <c r="AP91" s="133"/>
      <c r="AQ91" s="134"/>
      <c r="AR91" s="161"/>
      <c r="AS91" s="161"/>
      <c r="AT91" s="161"/>
      <c r="AU91" s="161"/>
      <c r="AV91" s="162"/>
      <c r="AW91" s="137">
        <f t="shared" si="26"/>
        <v>0</v>
      </c>
      <c r="AX91" s="137">
        <f t="shared" si="27"/>
        <v>0</v>
      </c>
    </row>
    <row r="92" ht="46.5" customHeight="1" spans="1:50" s="97" customFormat="1" x14ac:dyDescent="0.25">
      <c r="A92" s="100"/>
      <c r="B92" s="100"/>
      <c r="C92" s="100"/>
      <c r="D92" s="100"/>
      <c r="E92" s="100"/>
      <c r="F92" s="100"/>
      <c r="G92" s="103"/>
      <c r="H92" s="186"/>
      <c r="I92" s="195">
        <v>0.51</v>
      </c>
      <c r="J92" s="107">
        <v>0.49</v>
      </c>
      <c r="K92" s="107"/>
      <c r="L92" s="107"/>
      <c r="M92" s="187"/>
      <c r="N92" s="169">
        <f t="shared" si="14"/>
        <v>1</v>
      </c>
      <c r="O92" s="144">
        <v>1</v>
      </c>
      <c r="P92" s="145">
        <v>15</v>
      </c>
      <c r="Q92" s="113">
        <v>15</v>
      </c>
      <c r="R92" s="113"/>
      <c r="S92" s="113"/>
      <c r="T92" s="146"/>
      <c r="U92" s="148">
        <f t="shared" si="17"/>
        <v>15</v>
      </c>
      <c r="V92" s="149">
        <f t="shared" si="18"/>
        <v>15</v>
      </c>
      <c r="W92" s="189"/>
      <c r="X92" s="199"/>
      <c r="Y92" s="151"/>
      <c r="Z92" s="190"/>
      <c r="AA92" s="153"/>
      <c r="AB92" s="154">
        <f t="shared" si="19"/>
        <v>0</v>
      </c>
      <c r="AC92" s="149">
        <f t="shared" si="20"/>
        <v>0</v>
      </c>
      <c r="AD92" s="125">
        <v>2</v>
      </c>
      <c r="AE92" s="148">
        <f t="shared" si="21"/>
        <v>2</v>
      </c>
      <c r="AF92" s="156"/>
      <c r="AG92" s="156"/>
      <c r="AH92" s="113">
        <f t="shared" si="22"/>
        <v>17</v>
      </c>
      <c r="AI92" s="157">
        <v>65</v>
      </c>
      <c r="AJ92" s="113">
        <f t="shared" si="23"/>
        <v>82</v>
      </c>
      <c r="AK92" s="113">
        <f t="shared" si="24"/>
        <v>82</v>
      </c>
      <c r="AL92" s="158">
        <f t="shared" si="25"/>
        <v>1.02</v>
      </c>
      <c r="AM92" s="159"/>
      <c r="AN92" s="160">
        <f t="shared" si="28"/>
        <v>1</v>
      </c>
      <c r="AO92" s="160">
        <f t="shared" si="28"/>
        <v>2</v>
      </c>
      <c r="AP92" s="133"/>
      <c r="AQ92" s="134"/>
      <c r="AR92" s="161"/>
      <c r="AS92" s="161"/>
      <c r="AT92" s="161"/>
      <c r="AU92" s="161"/>
      <c r="AV92" s="162"/>
      <c r="AW92" s="137">
        <f t="shared" si="26"/>
        <v>0</v>
      </c>
      <c r="AX92" s="137">
        <f t="shared" si="27"/>
        <v>0</v>
      </c>
    </row>
    <row r="93" ht="46.5" customHeight="1" spans="1:50" s="97" customFormat="1" x14ac:dyDescent="0.25">
      <c r="A93" s="100"/>
      <c r="B93" s="100"/>
      <c r="C93" s="100"/>
      <c r="D93" s="100"/>
      <c r="E93" s="100"/>
      <c r="F93" s="100"/>
      <c r="G93" s="103"/>
      <c r="H93" s="186"/>
      <c r="I93" s="195">
        <v>0.51</v>
      </c>
      <c r="J93" s="107">
        <v>0.49</v>
      </c>
      <c r="K93" s="107"/>
      <c r="L93" s="107"/>
      <c r="M93" s="187"/>
      <c r="N93" s="169">
        <f t="shared" si="14"/>
        <v>1</v>
      </c>
      <c r="O93" s="144">
        <v>1</v>
      </c>
      <c r="P93" s="145">
        <v>15</v>
      </c>
      <c r="Q93" s="113">
        <v>15</v>
      </c>
      <c r="R93" s="113"/>
      <c r="S93" s="113"/>
      <c r="T93" s="146"/>
      <c r="U93" s="148">
        <f t="shared" si="17"/>
        <v>15</v>
      </c>
      <c r="V93" s="149">
        <f t="shared" si="18"/>
        <v>15</v>
      </c>
      <c r="W93" s="189"/>
      <c r="X93" s="199"/>
      <c r="Y93" s="151"/>
      <c r="Z93" s="190"/>
      <c r="AA93" s="153"/>
      <c r="AB93" s="154">
        <f t="shared" si="19"/>
        <v>0</v>
      </c>
      <c r="AC93" s="149">
        <f t="shared" si="20"/>
        <v>0</v>
      </c>
      <c r="AD93" s="125">
        <v>2</v>
      </c>
      <c r="AE93" s="148">
        <f t="shared" si="21"/>
        <v>2</v>
      </c>
      <c r="AF93" s="156"/>
      <c r="AG93" s="156"/>
      <c r="AH93" s="113">
        <f t="shared" si="22"/>
        <v>17</v>
      </c>
      <c r="AI93" s="157">
        <v>65</v>
      </c>
      <c r="AJ93" s="113">
        <f t="shared" si="23"/>
        <v>82</v>
      </c>
      <c r="AK93" s="113">
        <f t="shared" si="24"/>
        <v>82</v>
      </c>
      <c r="AL93" s="158">
        <f t="shared" si="25"/>
        <v>1.02</v>
      </c>
      <c r="AM93" s="159"/>
      <c r="AN93" s="160">
        <f t="shared" si="28"/>
        <v>1</v>
      </c>
      <c r="AO93" s="160">
        <f t="shared" si="28"/>
        <v>2</v>
      </c>
      <c r="AP93" s="133"/>
      <c r="AQ93" s="134"/>
      <c r="AR93" s="161"/>
      <c r="AS93" s="161"/>
      <c r="AT93" s="161"/>
      <c r="AU93" s="161"/>
      <c r="AV93" s="162"/>
      <c r="AW93" s="137">
        <f t="shared" si="26"/>
        <v>0</v>
      </c>
      <c r="AX93" s="137">
        <f t="shared" si="27"/>
        <v>0</v>
      </c>
    </row>
    <row r="94" ht="46.5" customHeight="1" spans="1:50" s="97" customFormat="1" x14ac:dyDescent="0.25">
      <c r="A94" s="100"/>
      <c r="B94" s="100"/>
      <c r="C94" s="100"/>
      <c r="D94" s="100"/>
      <c r="E94" s="100"/>
      <c r="F94" s="100"/>
      <c r="G94" s="103"/>
      <c r="H94" s="186"/>
      <c r="I94" s="195">
        <v>0.51</v>
      </c>
      <c r="J94" s="107">
        <v>0.49</v>
      </c>
      <c r="K94" s="107"/>
      <c r="L94" s="107"/>
      <c r="M94" s="187"/>
      <c r="N94" s="169">
        <f t="shared" si="14"/>
        <v>1</v>
      </c>
      <c r="O94" s="144">
        <v>1</v>
      </c>
      <c r="P94" s="145">
        <v>15</v>
      </c>
      <c r="Q94" s="113">
        <v>15</v>
      </c>
      <c r="R94" s="113"/>
      <c r="S94" s="113"/>
      <c r="T94" s="146"/>
      <c r="U94" s="148">
        <f t="shared" si="17"/>
        <v>15</v>
      </c>
      <c r="V94" s="149">
        <f t="shared" si="18"/>
        <v>15</v>
      </c>
      <c r="W94" s="189"/>
      <c r="X94" s="199"/>
      <c r="Y94" s="151"/>
      <c r="Z94" s="190"/>
      <c r="AA94" s="153"/>
      <c r="AB94" s="154">
        <f t="shared" si="19"/>
        <v>0</v>
      </c>
      <c r="AC94" s="149">
        <f t="shared" si="20"/>
        <v>0</v>
      </c>
      <c r="AD94" s="125">
        <v>2</v>
      </c>
      <c r="AE94" s="148">
        <f t="shared" si="21"/>
        <v>2</v>
      </c>
      <c r="AF94" s="156"/>
      <c r="AG94" s="156"/>
      <c r="AH94" s="113">
        <f t="shared" si="22"/>
        <v>17</v>
      </c>
      <c r="AI94" s="157">
        <v>65</v>
      </c>
      <c r="AJ94" s="113">
        <f t="shared" si="23"/>
        <v>82</v>
      </c>
      <c r="AK94" s="113">
        <f t="shared" si="24"/>
        <v>82</v>
      </c>
      <c r="AL94" s="158">
        <f t="shared" si="25"/>
        <v>1.02</v>
      </c>
      <c r="AM94" s="159"/>
      <c r="AN94" s="160">
        <f t="shared" si="28"/>
        <v>1</v>
      </c>
      <c r="AO94" s="160">
        <f t="shared" si="28"/>
        <v>2</v>
      </c>
      <c r="AP94" s="133"/>
      <c r="AQ94" s="134"/>
      <c r="AR94" s="161"/>
      <c r="AS94" s="161"/>
      <c r="AT94" s="161"/>
      <c r="AU94" s="161"/>
      <c r="AV94" s="162"/>
      <c r="AW94" s="137">
        <f t="shared" si="26"/>
        <v>0</v>
      </c>
      <c r="AX94" s="137">
        <f t="shared" si="27"/>
        <v>0</v>
      </c>
    </row>
    <row r="95" ht="46.5" customHeight="1" spans="1:50" s="97" customFormat="1" x14ac:dyDescent="0.25">
      <c r="A95" s="100"/>
      <c r="B95" s="100"/>
      <c r="C95" s="100"/>
      <c r="D95" s="100"/>
      <c r="E95" s="100"/>
      <c r="F95" s="100"/>
      <c r="G95" s="103"/>
      <c r="H95" s="186"/>
      <c r="I95" s="195">
        <v>0.51</v>
      </c>
      <c r="J95" s="107">
        <v>0.49</v>
      </c>
      <c r="K95" s="107"/>
      <c r="L95" s="107"/>
      <c r="M95" s="187"/>
      <c r="N95" s="169">
        <f t="shared" si="14"/>
        <v>1</v>
      </c>
      <c r="O95" s="144">
        <v>1</v>
      </c>
      <c r="P95" s="145">
        <v>15</v>
      </c>
      <c r="Q95" s="113">
        <v>15</v>
      </c>
      <c r="R95" s="113"/>
      <c r="S95" s="113"/>
      <c r="T95" s="146"/>
      <c r="U95" s="148">
        <f t="shared" si="17"/>
        <v>15</v>
      </c>
      <c r="V95" s="149">
        <f t="shared" si="18"/>
        <v>15</v>
      </c>
      <c r="W95" s="189"/>
      <c r="X95" s="199"/>
      <c r="Y95" s="151"/>
      <c r="Z95" s="190"/>
      <c r="AA95" s="153"/>
      <c r="AB95" s="154">
        <f t="shared" si="19"/>
        <v>0</v>
      </c>
      <c r="AC95" s="149">
        <f t="shared" si="20"/>
        <v>0</v>
      </c>
      <c r="AD95" s="125">
        <v>2</v>
      </c>
      <c r="AE95" s="148">
        <f t="shared" si="21"/>
        <v>2</v>
      </c>
      <c r="AF95" s="156"/>
      <c r="AG95" s="156"/>
      <c r="AH95" s="113">
        <f t="shared" si="22"/>
        <v>17</v>
      </c>
      <c r="AI95" s="157">
        <v>65</v>
      </c>
      <c r="AJ95" s="113">
        <f t="shared" si="23"/>
        <v>82</v>
      </c>
      <c r="AK95" s="113">
        <f t="shared" si="24"/>
        <v>82</v>
      </c>
      <c r="AL95" s="158">
        <f t="shared" si="25"/>
        <v>1.02</v>
      </c>
      <c r="AM95" s="159"/>
      <c r="AN95" s="160">
        <f t="shared" si="28"/>
        <v>1</v>
      </c>
      <c r="AO95" s="160">
        <f t="shared" si="28"/>
        <v>2</v>
      </c>
      <c r="AP95" s="133"/>
      <c r="AQ95" s="134"/>
      <c r="AR95" s="161"/>
      <c r="AS95" s="161"/>
      <c r="AT95" s="161"/>
      <c r="AU95" s="161"/>
      <c r="AV95" s="162"/>
      <c r="AW95" s="137">
        <f t="shared" si="26"/>
        <v>0</v>
      </c>
      <c r="AX95" s="137">
        <f t="shared" si="27"/>
        <v>0</v>
      </c>
    </row>
    <row r="96" ht="46.5" customHeight="1" spans="1:50" s="97" customFormat="1" x14ac:dyDescent="0.25">
      <c r="A96" s="100"/>
      <c r="B96" s="100"/>
      <c r="C96" s="100"/>
      <c r="D96" s="100"/>
      <c r="E96" s="100"/>
      <c r="F96" s="100"/>
      <c r="G96" s="103"/>
      <c r="H96" s="186"/>
      <c r="I96" s="195">
        <v>0.51</v>
      </c>
      <c r="J96" s="107">
        <v>0.49</v>
      </c>
      <c r="K96" s="107"/>
      <c r="L96" s="107"/>
      <c r="M96" s="187"/>
      <c r="N96" s="169">
        <f t="shared" si="14"/>
        <v>1</v>
      </c>
      <c r="O96" s="144">
        <v>1</v>
      </c>
      <c r="P96" s="145">
        <v>15</v>
      </c>
      <c r="Q96" s="113">
        <v>15</v>
      </c>
      <c r="R96" s="113"/>
      <c r="S96" s="113"/>
      <c r="T96" s="146"/>
      <c r="U96" s="148">
        <f t="shared" si="17"/>
        <v>15</v>
      </c>
      <c r="V96" s="149">
        <f t="shared" si="18"/>
        <v>15</v>
      </c>
      <c r="W96" s="189"/>
      <c r="X96" s="199"/>
      <c r="Y96" s="151"/>
      <c r="Z96" s="190"/>
      <c r="AA96" s="153"/>
      <c r="AB96" s="154">
        <f t="shared" si="19"/>
        <v>0</v>
      </c>
      <c r="AC96" s="149">
        <f t="shared" si="20"/>
        <v>0</v>
      </c>
      <c r="AD96" s="125">
        <v>2</v>
      </c>
      <c r="AE96" s="148">
        <f t="shared" si="21"/>
        <v>2</v>
      </c>
      <c r="AF96" s="156"/>
      <c r="AG96" s="156"/>
      <c r="AH96" s="113">
        <f t="shared" si="22"/>
        <v>17</v>
      </c>
      <c r="AI96" s="157">
        <v>65</v>
      </c>
      <c r="AJ96" s="113">
        <f t="shared" si="23"/>
        <v>82</v>
      </c>
      <c r="AK96" s="113">
        <f t="shared" si="24"/>
        <v>82</v>
      </c>
      <c r="AL96" s="158">
        <f t="shared" si="25"/>
        <v>1.02</v>
      </c>
      <c r="AM96" s="159"/>
      <c r="AN96" s="160">
        <f t="shared" si="28"/>
        <v>1</v>
      </c>
      <c r="AO96" s="160">
        <f t="shared" si="28"/>
        <v>2</v>
      </c>
      <c r="AP96" s="133"/>
      <c r="AQ96" s="134"/>
      <c r="AR96" s="161"/>
      <c r="AS96" s="161"/>
      <c r="AT96" s="161"/>
      <c r="AU96" s="161"/>
      <c r="AV96" s="162"/>
      <c r="AW96" s="137">
        <f t="shared" si="26"/>
        <v>0</v>
      </c>
      <c r="AX96" s="137">
        <f t="shared" si="27"/>
        <v>0</v>
      </c>
    </row>
    <row r="97" ht="46.5" customHeight="1" spans="1:50" s="97" customFormat="1" x14ac:dyDescent="0.25">
      <c r="A97" s="100"/>
      <c r="B97" s="100"/>
      <c r="C97" s="100"/>
      <c r="D97" s="100"/>
      <c r="E97" s="100"/>
      <c r="F97" s="100"/>
      <c r="G97" s="103"/>
      <c r="H97" s="186"/>
      <c r="I97" s="195">
        <v>0.51</v>
      </c>
      <c r="J97" s="107">
        <v>0.49</v>
      </c>
      <c r="K97" s="107"/>
      <c r="L97" s="107"/>
      <c r="M97" s="187"/>
      <c r="N97" s="169">
        <f t="shared" si="14"/>
        <v>1</v>
      </c>
      <c r="O97" s="144">
        <v>1</v>
      </c>
      <c r="P97" s="145">
        <v>15</v>
      </c>
      <c r="Q97" s="113">
        <v>15</v>
      </c>
      <c r="R97" s="113"/>
      <c r="S97" s="113"/>
      <c r="T97" s="146"/>
      <c r="U97" s="148">
        <f t="shared" si="17"/>
        <v>15</v>
      </c>
      <c r="V97" s="149">
        <f t="shared" si="18"/>
        <v>15</v>
      </c>
      <c r="W97" s="189"/>
      <c r="X97" s="199"/>
      <c r="Y97" s="151"/>
      <c r="Z97" s="190"/>
      <c r="AA97" s="153"/>
      <c r="AB97" s="154">
        <f t="shared" si="19"/>
        <v>0</v>
      </c>
      <c r="AC97" s="149">
        <f t="shared" si="20"/>
        <v>0</v>
      </c>
      <c r="AD97" s="125">
        <v>2</v>
      </c>
      <c r="AE97" s="148">
        <f t="shared" si="21"/>
        <v>2</v>
      </c>
      <c r="AF97" s="156"/>
      <c r="AG97" s="156"/>
      <c r="AH97" s="113">
        <f t="shared" si="22"/>
        <v>17</v>
      </c>
      <c r="AI97" s="157">
        <v>65</v>
      </c>
      <c r="AJ97" s="113">
        <f t="shared" si="23"/>
        <v>82</v>
      </c>
      <c r="AK97" s="113">
        <f t="shared" si="24"/>
        <v>82</v>
      </c>
      <c r="AL97" s="158">
        <f t="shared" si="25"/>
        <v>1.02</v>
      </c>
      <c r="AM97" s="159"/>
      <c r="AN97" s="160">
        <f t="shared" si="28"/>
        <v>1</v>
      </c>
      <c r="AO97" s="160">
        <f t="shared" si="28"/>
        <v>2</v>
      </c>
      <c r="AP97" s="133"/>
      <c r="AQ97" s="134"/>
      <c r="AR97" s="161"/>
      <c r="AS97" s="161"/>
      <c r="AT97" s="161"/>
      <c r="AU97" s="161"/>
      <c r="AV97" s="162"/>
      <c r="AW97" s="137">
        <f t="shared" si="26"/>
        <v>0</v>
      </c>
      <c r="AX97" s="137">
        <f t="shared" si="27"/>
        <v>0</v>
      </c>
    </row>
    <row r="98" ht="64.5" customHeight="1" spans="1:50" s="56" customFormat="1" x14ac:dyDescent="0.25">
      <c r="A98" s="100"/>
      <c r="B98" s="100"/>
      <c r="C98" s="100"/>
      <c r="D98" s="100"/>
      <c r="E98" s="100"/>
      <c r="F98" s="100"/>
      <c r="G98" s="103"/>
      <c r="H98" s="186"/>
      <c r="I98" s="195">
        <v>0.51</v>
      </c>
      <c r="J98" s="107">
        <v>0.49</v>
      </c>
      <c r="K98" s="107"/>
      <c r="L98" s="107"/>
      <c r="M98" s="187"/>
      <c r="N98" s="169">
        <f t="shared" si="14"/>
        <v>1</v>
      </c>
      <c r="O98" s="144">
        <v>1</v>
      </c>
      <c r="P98" s="145">
        <v>15</v>
      </c>
      <c r="Q98" s="113">
        <v>15</v>
      </c>
      <c r="R98" s="113"/>
      <c r="S98" s="113"/>
      <c r="T98" s="146"/>
      <c r="U98" s="148">
        <f t="shared" si="17"/>
        <v>15</v>
      </c>
      <c r="V98" s="149">
        <f t="shared" si="18"/>
        <v>15</v>
      </c>
      <c r="W98" s="189"/>
      <c r="X98" s="199"/>
      <c r="Y98" s="151"/>
      <c r="Z98" s="190"/>
      <c r="AA98" s="153"/>
      <c r="AB98" s="154">
        <f t="shared" si="19"/>
        <v>0</v>
      </c>
      <c r="AC98" s="149">
        <f t="shared" si="20"/>
        <v>0</v>
      </c>
      <c r="AD98" s="125">
        <v>2</v>
      </c>
      <c r="AE98" s="148">
        <f t="shared" si="21"/>
        <v>2</v>
      </c>
      <c r="AF98" s="156"/>
      <c r="AG98" s="156"/>
      <c r="AH98" s="113">
        <f t="shared" si="22"/>
        <v>17</v>
      </c>
      <c r="AI98" s="157">
        <v>65</v>
      </c>
      <c r="AJ98" s="113">
        <f t="shared" si="23"/>
        <v>82</v>
      </c>
      <c r="AK98" s="113">
        <f t="shared" si="24"/>
        <v>82</v>
      </c>
      <c r="AL98" s="158">
        <f t="shared" si="25"/>
        <v>1.02</v>
      </c>
      <c r="AM98" s="159"/>
      <c r="AN98" s="160">
        <f t="shared" si="28"/>
        <v>1</v>
      </c>
      <c r="AO98" s="160">
        <f t="shared" si="28"/>
        <v>2</v>
      </c>
      <c r="AP98" s="133"/>
      <c r="AQ98" s="134"/>
      <c r="AR98" s="161"/>
      <c r="AS98" s="161"/>
      <c r="AT98" s="161"/>
      <c r="AU98" s="161"/>
      <c r="AV98" s="162"/>
      <c r="AW98" s="137">
        <f t="shared" si="26"/>
        <v>0</v>
      </c>
      <c r="AX98" s="137">
        <f t="shared" si="27"/>
        <v>0</v>
      </c>
    </row>
    <row r="99" ht="46.5" customHeight="1" spans="1:50" s="97" customFormat="1" x14ac:dyDescent="0.25">
      <c r="A99" s="100"/>
      <c r="B99" s="100"/>
      <c r="C99" s="100"/>
      <c r="D99" s="100"/>
      <c r="E99" s="100"/>
      <c r="F99" s="100"/>
      <c r="G99" s="103"/>
      <c r="H99" s="186"/>
      <c r="I99" s="195">
        <v>0.51</v>
      </c>
      <c r="J99" s="107">
        <v>0.49</v>
      </c>
      <c r="K99" s="107"/>
      <c r="L99" s="107"/>
      <c r="M99" s="187"/>
      <c r="N99" s="169">
        <f t="shared" si="14"/>
        <v>1</v>
      </c>
      <c r="O99" s="144">
        <v>1</v>
      </c>
      <c r="P99" s="145">
        <v>15</v>
      </c>
      <c r="Q99" s="113">
        <v>15</v>
      </c>
      <c r="R99" s="113"/>
      <c r="S99" s="113"/>
      <c r="T99" s="146"/>
      <c r="U99" s="148">
        <f t="shared" si="17"/>
        <v>15</v>
      </c>
      <c r="V99" s="149">
        <f t="shared" si="18"/>
        <v>15</v>
      </c>
      <c r="W99" s="189"/>
      <c r="X99" s="199"/>
      <c r="Y99" s="151"/>
      <c r="Z99" s="190"/>
      <c r="AA99" s="153"/>
      <c r="AB99" s="154">
        <f t="shared" si="19"/>
        <v>0</v>
      </c>
      <c r="AC99" s="149">
        <f t="shared" si="20"/>
        <v>0</v>
      </c>
      <c r="AD99" s="125">
        <v>2</v>
      </c>
      <c r="AE99" s="148">
        <f t="shared" si="21"/>
        <v>2</v>
      </c>
      <c r="AF99" s="156"/>
      <c r="AG99" s="156"/>
      <c r="AH99" s="113">
        <f t="shared" si="22"/>
        <v>17</v>
      </c>
      <c r="AI99" s="157">
        <v>65</v>
      </c>
      <c r="AJ99" s="113">
        <f t="shared" si="23"/>
        <v>82</v>
      </c>
      <c r="AK99" s="113">
        <f t="shared" si="24"/>
        <v>82</v>
      </c>
      <c r="AL99" s="158">
        <f t="shared" si="25"/>
        <v>1.02</v>
      </c>
      <c r="AM99" s="159"/>
      <c r="AN99" s="160">
        <f t="shared" si="28"/>
        <v>1</v>
      </c>
      <c r="AO99" s="160">
        <f t="shared" si="28"/>
        <v>2</v>
      </c>
      <c r="AP99" s="133"/>
      <c r="AQ99" s="134"/>
      <c r="AR99" s="161"/>
      <c r="AS99" s="161"/>
      <c r="AT99" s="161"/>
      <c r="AU99" s="161"/>
      <c r="AV99" s="162"/>
      <c r="AW99" s="137">
        <f t="shared" si="26"/>
        <v>0</v>
      </c>
      <c r="AX99" s="137">
        <f t="shared" si="27"/>
        <v>0</v>
      </c>
    </row>
    <row r="100" ht="46.5" customHeight="1" spans="1:50" s="97" customFormat="1" x14ac:dyDescent="0.25">
      <c r="A100" s="100"/>
      <c r="B100" s="100"/>
      <c r="C100" s="100"/>
      <c r="D100" s="100"/>
      <c r="E100" s="100"/>
      <c r="F100" s="100"/>
      <c r="G100" s="103"/>
      <c r="H100" s="186"/>
      <c r="I100" s="195">
        <v>0.51</v>
      </c>
      <c r="J100" s="107">
        <v>0.49</v>
      </c>
      <c r="K100" s="107"/>
      <c r="L100" s="107"/>
      <c r="M100" s="187"/>
      <c r="N100" s="169">
        <f t="shared" si="14"/>
        <v>1</v>
      </c>
      <c r="O100" s="144">
        <v>1</v>
      </c>
      <c r="P100" s="145">
        <v>15</v>
      </c>
      <c r="Q100" s="113">
        <v>15</v>
      </c>
      <c r="R100" s="113"/>
      <c r="S100" s="113"/>
      <c r="T100" s="146"/>
      <c r="U100" s="148">
        <f t="shared" si="17"/>
        <v>15</v>
      </c>
      <c r="V100" s="149">
        <f t="shared" si="18"/>
        <v>15</v>
      </c>
      <c r="W100" s="189"/>
      <c r="X100" s="199"/>
      <c r="Y100" s="151"/>
      <c r="Z100" s="190"/>
      <c r="AA100" s="153"/>
      <c r="AB100" s="154">
        <f t="shared" si="19"/>
        <v>0</v>
      </c>
      <c r="AC100" s="149">
        <f t="shared" si="20"/>
        <v>0</v>
      </c>
      <c r="AD100" s="125">
        <v>2</v>
      </c>
      <c r="AE100" s="148">
        <f t="shared" si="21"/>
        <v>2</v>
      </c>
      <c r="AF100" s="156"/>
      <c r="AG100" s="156"/>
      <c r="AH100" s="113">
        <f t="shared" si="22"/>
        <v>17</v>
      </c>
      <c r="AI100" s="157">
        <v>65</v>
      </c>
      <c r="AJ100" s="113">
        <f t="shared" si="23"/>
        <v>82</v>
      </c>
      <c r="AK100" s="113">
        <f t="shared" si="24"/>
        <v>82</v>
      </c>
      <c r="AL100" s="158">
        <f t="shared" si="25"/>
        <v>1.02</v>
      </c>
      <c r="AM100" s="159"/>
      <c r="AN100" s="160">
        <f t="shared" si="28"/>
        <v>1</v>
      </c>
      <c r="AO100" s="160">
        <f t="shared" si="28"/>
        <v>2</v>
      </c>
      <c r="AP100" s="133"/>
      <c r="AQ100" s="134"/>
      <c r="AR100" s="161"/>
      <c r="AS100" s="161"/>
      <c r="AT100" s="161"/>
      <c r="AU100" s="161"/>
      <c r="AV100" s="162"/>
      <c r="AW100" s="137">
        <f t="shared" si="26"/>
        <v>0</v>
      </c>
      <c r="AX100" s="137">
        <f t="shared" si="27"/>
        <v>0</v>
      </c>
    </row>
    <row r="101" ht="46.5" customHeight="1" spans="1:50" s="97" customFormat="1" x14ac:dyDescent="0.25">
      <c r="A101" s="100"/>
      <c r="B101" s="100"/>
      <c r="C101" s="100"/>
      <c r="D101" s="100"/>
      <c r="E101" s="100"/>
      <c r="F101" s="100"/>
      <c r="G101" s="103"/>
      <c r="H101" s="186"/>
      <c r="I101" s="195">
        <v>0.51</v>
      </c>
      <c r="J101" s="107">
        <v>0.49</v>
      </c>
      <c r="K101" s="107"/>
      <c r="L101" s="107"/>
      <c r="M101" s="187"/>
      <c r="N101" s="169">
        <f t="shared" si="14"/>
        <v>1</v>
      </c>
      <c r="O101" s="144">
        <v>1</v>
      </c>
      <c r="P101" s="145">
        <v>15</v>
      </c>
      <c r="Q101" s="113">
        <v>15</v>
      </c>
      <c r="R101" s="113"/>
      <c r="S101" s="113"/>
      <c r="T101" s="146"/>
      <c r="U101" s="148">
        <f t="shared" si="17"/>
        <v>15</v>
      </c>
      <c r="V101" s="149">
        <f t="shared" si="18"/>
        <v>15</v>
      </c>
      <c r="W101" s="189"/>
      <c r="X101" s="199"/>
      <c r="Y101" s="151"/>
      <c r="Z101" s="190"/>
      <c r="AA101" s="153"/>
      <c r="AB101" s="154">
        <f t="shared" si="19"/>
        <v>0</v>
      </c>
      <c r="AC101" s="149">
        <f t="shared" si="20"/>
        <v>0</v>
      </c>
      <c r="AD101" s="125">
        <v>2</v>
      </c>
      <c r="AE101" s="148">
        <f t="shared" si="21"/>
        <v>2</v>
      </c>
      <c r="AF101" s="156"/>
      <c r="AG101" s="156"/>
      <c r="AH101" s="113">
        <f t="shared" si="22"/>
        <v>17</v>
      </c>
      <c r="AI101" s="157">
        <v>65</v>
      </c>
      <c r="AJ101" s="113">
        <f t="shared" si="23"/>
        <v>82</v>
      </c>
      <c r="AK101" s="113">
        <f t="shared" si="24"/>
        <v>82</v>
      </c>
      <c r="AL101" s="158">
        <f t="shared" si="25"/>
        <v>1.02</v>
      </c>
      <c r="AM101" s="159"/>
      <c r="AN101" s="160">
        <f t="shared" si="28"/>
        <v>1</v>
      </c>
      <c r="AO101" s="160">
        <f t="shared" si="28"/>
        <v>2</v>
      </c>
      <c r="AP101" s="133"/>
      <c r="AQ101" s="134"/>
      <c r="AR101" s="161"/>
      <c r="AS101" s="161"/>
      <c r="AT101" s="161"/>
      <c r="AU101" s="161"/>
      <c r="AV101" s="162"/>
      <c r="AW101" s="137">
        <f t="shared" si="26"/>
        <v>0</v>
      </c>
      <c r="AX101" s="137">
        <f t="shared" si="27"/>
        <v>0</v>
      </c>
    </row>
    <row r="102" ht="47.25" customHeight="1" spans="1:50" s="97" customFormat="1" x14ac:dyDescent="0.25">
      <c r="A102" s="100"/>
      <c r="B102" s="100"/>
      <c r="C102" s="100"/>
      <c r="D102" s="100"/>
      <c r="E102" s="100"/>
      <c r="F102" s="100"/>
      <c r="G102" s="103"/>
      <c r="H102" s="186"/>
      <c r="I102" s="195">
        <v>0.51</v>
      </c>
      <c r="J102" s="107">
        <v>0.49</v>
      </c>
      <c r="K102" s="107"/>
      <c r="L102" s="107"/>
      <c r="M102" s="187"/>
      <c r="N102" s="169">
        <f t="shared" si="14"/>
        <v>1</v>
      </c>
      <c r="O102" s="144">
        <v>1</v>
      </c>
      <c r="P102" s="145">
        <v>15</v>
      </c>
      <c r="Q102" s="113">
        <v>15</v>
      </c>
      <c r="R102" s="113"/>
      <c r="S102" s="113"/>
      <c r="T102" s="146"/>
      <c r="U102" s="148">
        <f t="shared" si="17"/>
        <v>15</v>
      </c>
      <c r="V102" s="149">
        <f t="shared" si="18"/>
        <v>15</v>
      </c>
      <c r="W102" s="189"/>
      <c r="X102" s="199"/>
      <c r="Y102" s="151"/>
      <c r="Z102" s="190"/>
      <c r="AA102" s="153"/>
      <c r="AB102" s="154">
        <f t="shared" si="19"/>
        <v>0</v>
      </c>
      <c r="AC102" s="149">
        <f t="shared" si="20"/>
        <v>0</v>
      </c>
      <c r="AD102" s="125">
        <v>2</v>
      </c>
      <c r="AE102" s="148">
        <f t="shared" si="21"/>
        <v>2</v>
      </c>
      <c r="AF102" s="156"/>
      <c r="AG102" s="156"/>
      <c r="AH102" s="113">
        <f t="shared" si="22"/>
        <v>17</v>
      </c>
      <c r="AI102" s="157">
        <v>65</v>
      </c>
      <c r="AJ102" s="113">
        <f t="shared" si="23"/>
        <v>82</v>
      </c>
      <c r="AK102" s="113">
        <f t="shared" si="24"/>
        <v>82</v>
      </c>
      <c r="AL102" s="158">
        <f t="shared" si="25"/>
        <v>1.02</v>
      </c>
      <c r="AM102" s="159"/>
      <c r="AN102" s="160">
        <f t="shared" si="28"/>
        <v>1</v>
      </c>
      <c r="AO102" s="160">
        <f t="shared" si="28"/>
        <v>2</v>
      </c>
      <c r="AP102" s="133"/>
      <c r="AQ102" s="134"/>
      <c r="AR102" s="161"/>
      <c r="AS102" s="161"/>
      <c r="AT102" s="161"/>
      <c r="AU102" s="161"/>
      <c r="AV102" s="162"/>
      <c r="AW102" s="137">
        <f t="shared" si="26"/>
        <v>0</v>
      </c>
      <c r="AX102" s="137">
        <f t="shared" si="27"/>
        <v>0</v>
      </c>
    </row>
    <row r="103" ht="46.5" customHeight="1" spans="1:50" s="97" customFormat="1" x14ac:dyDescent="0.25">
      <c r="A103" s="100"/>
      <c r="B103" s="100"/>
      <c r="C103" s="100"/>
      <c r="D103" s="100"/>
      <c r="E103" s="100"/>
      <c r="F103" s="100"/>
      <c r="G103" s="103"/>
      <c r="H103" s="186"/>
      <c r="I103" s="195">
        <v>0.51</v>
      </c>
      <c r="J103" s="107">
        <v>0.49</v>
      </c>
      <c r="K103" s="107"/>
      <c r="L103" s="107"/>
      <c r="M103" s="187"/>
      <c r="N103" s="169">
        <f t="shared" si="14"/>
        <v>1</v>
      </c>
      <c r="O103" s="144">
        <v>1</v>
      </c>
      <c r="P103" s="145">
        <v>15</v>
      </c>
      <c r="Q103" s="113">
        <v>15</v>
      </c>
      <c r="R103" s="113"/>
      <c r="S103" s="113"/>
      <c r="T103" s="146"/>
      <c r="U103" s="148">
        <f t="shared" si="17"/>
        <v>15</v>
      </c>
      <c r="V103" s="149">
        <f t="shared" si="18"/>
        <v>15</v>
      </c>
      <c r="W103" s="189"/>
      <c r="X103" s="199"/>
      <c r="Y103" s="151"/>
      <c r="Z103" s="190"/>
      <c r="AA103" s="153"/>
      <c r="AB103" s="154">
        <f t="shared" si="19"/>
        <v>0</v>
      </c>
      <c r="AC103" s="149">
        <f t="shared" si="20"/>
        <v>0</v>
      </c>
      <c r="AD103" s="125">
        <v>2</v>
      </c>
      <c r="AE103" s="148">
        <f t="shared" si="21"/>
        <v>2</v>
      </c>
      <c r="AF103" s="156"/>
      <c r="AG103" s="156"/>
      <c r="AH103" s="113">
        <f t="shared" si="22"/>
        <v>17</v>
      </c>
      <c r="AI103" s="157">
        <v>65</v>
      </c>
      <c r="AJ103" s="113">
        <f t="shared" si="23"/>
        <v>82</v>
      </c>
      <c r="AK103" s="113">
        <f t="shared" si="24"/>
        <v>82</v>
      </c>
      <c r="AL103" s="158">
        <f t="shared" si="25"/>
        <v>1.02</v>
      </c>
      <c r="AM103" s="159"/>
      <c r="AN103" s="160">
        <f t="shared" si="28"/>
        <v>1</v>
      </c>
      <c r="AO103" s="160">
        <f t="shared" si="28"/>
        <v>2</v>
      </c>
      <c r="AP103" s="133"/>
      <c r="AQ103" s="134"/>
      <c r="AR103" s="161"/>
      <c r="AS103" s="161"/>
      <c r="AT103" s="161"/>
      <c r="AU103" s="161"/>
      <c r="AV103" s="162"/>
      <c r="AW103" s="137">
        <f t="shared" si="26"/>
        <v>0</v>
      </c>
      <c r="AX103" s="137">
        <f t="shared" si="27"/>
        <v>0</v>
      </c>
    </row>
    <row r="104" ht="46.5" customHeight="1" spans="1:50" s="97" customFormat="1" x14ac:dyDescent="0.25">
      <c r="A104" s="100"/>
      <c r="B104" s="100"/>
      <c r="C104" s="100"/>
      <c r="D104" s="100"/>
      <c r="E104" s="100"/>
      <c r="F104" s="100"/>
      <c r="G104" s="103"/>
      <c r="H104" s="186"/>
      <c r="I104" s="195">
        <v>0.51</v>
      </c>
      <c r="J104" s="107">
        <v>0.49</v>
      </c>
      <c r="K104" s="107"/>
      <c r="L104" s="107"/>
      <c r="M104" s="187"/>
      <c r="N104" s="169">
        <f t="shared" si="14"/>
        <v>1</v>
      </c>
      <c r="O104" s="144">
        <v>1</v>
      </c>
      <c r="P104" s="145">
        <v>15</v>
      </c>
      <c r="Q104" s="113">
        <v>15</v>
      </c>
      <c r="R104" s="113"/>
      <c r="S104" s="113"/>
      <c r="T104" s="146"/>
      <c r="U104" s="148">
        <f t="shared" si="17"/>
        <v>15</v>
      </c>
      <c r="V104" s="149">
        <f t="shared" si="18"/>
        <v>15</v>
      </c>
      <c r="W104" s="189"/>
      <c r="X104" s="199"/>
      <c r="Y104" s="151"/>
      <c r="Z104" s="190"/>
      <c r="AA104" s="153"/>
      <c r="AB104" s="154">
        <f t="shared" si="19"/>
        <v>0</v>
      </c>
      <c r="AC104" s="149">
        <f t="shared" si="20"/>
        <v>0</v>
      </c>
      <c r="AD104" s="125">
        <v>2</v>
      </c>
      <c r="AE104" s="148">
        <f t="shared" si="21"/>
        <v>2</v>
      </c>
      <c r="AF104" s="156"/>
      <c r="AG104" s="156"/>
      <c r="AH104" s="113">
        <f t="shared" si="22"/>
        <v>17</v>
      </c>
      <c r="AI104" s="157">
        <v>65</v>
      </c>
      <c r="AJ104" s="113">
        <f t="shared" si="23"/>
        <v>82</v>
      </c>
      <c r="AK104" s="113">
        <f t="shared" si="24"/>
        <v>82</v>
      </c>
      <c r="AL104" s="158">
        <f t="shared" si="25"/>
        <v>1.02</v>
      </c>
      <c r="AM104" s="159"/>
      <c r="AN104" s="160">
        <f t="shared" si="28"/>
        <v>1</v>
      </c>
      <c r="AO104" s="160">
        <f t="shared" si="28"/>
        <v>2</v>
      </c>
      <c r="AP104" s="133"/>
      <c r="AQ104" s="134"/>
      <c r="AR104" s="161"/>
      <c r="AS104" s="161"/>
      <c r="AT104" s="161"/>
      <c r="AU104" s="161"/>
      <c r="AV104" s="162"/>
      <c r="AW104" s="137">
        <f t="shared" si="26"/>
        <v>0</v>
      </c>
      <c r="AX104" s="137">
        <f t="shared" si="27"/>
        <v>0</v>
      </c>
    </row>
    <row r="105" ht="46.5" customHeight="1" spans="1:50" s="97" customFormat="1" x14ac:dyDescent="0.25">
      <c r="A105" s="100"/>
      <c r="B105" s="100"/>
      <c r="C105" s="100"/>
      <c r="D105" s="100"/>
      <c r="E105" s="100"/>
      <c r="F105" s="100"/>
      <c r="G105" s="103"/>
      <c r="H105" s="186"/>
      <c r="I105" s="195">
        <v>0.51</v>
      </c>
      <c r="J105" s="107">
        <v>0.49</v>
      </c>
      <c r="K105" s="107"/>
      <c r="L105" s="107"/>
      <c r="M105" s="187"/>
      <c r="N105" s="169">
        <f t="shared" si="14"/>
        <v>1</v>
      </c>
      <c r="O105" s="144">
        <v>1</v>
      </c>
      <c r="P105" s="145">
        <v>15</v>
      </c>
      <c r="Q105" s="113">
        <v>15</v>
      </c>
      <c r="R105" s="113"/>
      <c r="S105" s="113"/>
      <c r="T105" s="146"/>
      <c r="U105" s="148">
        <f t="shared" si="17"/>
        <v>15</v>
      </c>
      <c r="V105" s="149">
        <f t="shared" si="18"/>
        <v>15</v>
      </c>
      <c r="W105" s="189"/>
      <c r="X105" s="199"/>
      <c r="Y105" s="151"/>
      <c r="Z105" s="190"/>
      <c r="AA105" s="153"/>
      <c r="AB105" s="154">
        <f t="shared" si="19"/>
        <v>0</v>
      </c>
      <c r="AC105" s="149">
        <f t="shared" si="20"/>
        <v>0</v>
      </c>
      <c r="AD105" s="125">
        <v>2</v>
      </c>
      <c r="AE105" s="148">
        <f t="shared" si="21"/>
        <v>2</v>
      </c>
      <c r="AF105" s="156"/>
      <c r="AG105" s="156"/>
      <c r="AH105" s="113">
        <f t="shared" si="22"/>
        <v>17</v>
      </c>
      <c r="AI105" s="157">
        <v>65</v>
      </c>
      <c r="AJ105" s="113">
        <f t="shared" si="23"/>
        <v>82</v>
      </c>
      <c r="AK105" s="113">
        <f t="shared" si="24"/>
        <v>82</v>
      </c>
      <c r="AL105" s="158">
        <f t="shared" si="25"/>
        <v>1.02</v>
      </c>
      <c r="AM105" s="159"/>
      <c r="AN105" s="160">
        <f t="shared" si="28"/>
        <v>1</v>
      </c>
      <c r="AO105" s="160">
        <f t="shared" si="28"/>
        <v>2</v>
      </c>
      <c r="AP105" s="133"/>
      <c r="AQ105" s="134"/>
      <c r="AR105" s="161"/>
      <c r="AS105" s="161"/>
      <c r="AT105" s="161"/>
      <c r="AU105" s="161"/>
      <c r="AV105" s="162"/>
      <c r="AW105" s="137">
        <f t="shared" si="26"/>
        <v>0</v>
      </c>
      <c r="AX105" s="137">
        <f t="shared" si="27"/>
        <v>0</v>
      </c>
    </row>
    <row r="106" ht="46.5" customHeight="1" spans="1:50" s="97" customFormat="1" x14ac:dyDescent="0.25">
      <c r="A106" s="100"/>
      <c r="B106" s="100"/>
      <c r="C106" s="100"/>
      <c r="D106" s="100"/>
      <c r="E106" s="100"/>
      <c r="F106" s="100"/>
      <c r="G106" s="103"/>
      <c r="H106" s="186"/>
      <c r="I106" s="195">
        <v>0.51</v>
      </c>
      <c r="J106" s="107">
        <v>0.49</v>
      </c>
      <c r="K106" s="107"/>
      <c r="L106" s="107"/>
      <c r="M106" s="187"/>
      <c r="N106" s="169">
        <f t="shared" si="14"/>
        <v>1</v>
      </c>
      <c r="O106" s="144">
        <v>1</v>
      </c>
      <c r="P106" s="145">
        <v>15</v>
      </c>
      <c r="Q106" s="113">
        <v>15</v>
      </c>
      <c r="R106" s="113"/>
      <c r="S106" s="113"/>
      <c r="T106" s="146"/>
      <c r="U106" s="148">
        <f t="shared" si="17"/>
        <v>15</v>
      </c>
      <c r="V106" s="149">
        <f t="shared" si="18"/>
        <v>15</v>
      </c>
      <c r="W106" s="189"/>
      <c r="X106" s="199"/>
      <c r="Y106" s="151"/>
      <c r="Z106" s="190"/>
      <c r="AA106" s="153"/>
      <c r="AB106" s="154">
        <f t="shared" si="19"/>
        <v>0</v>
      </c>
      <c r="AC106" s="149">
        <f t="shared" si="20"/>
        <v>0</v>
      </c>
      <c r="AD106" s="125">
        <v>2</v>
      </c>
      <c r="AE106" s="148">
        <f t="shared" si="21"/>
        <v>2</v>
      </c>
      <c r="AF106" s="156"/>
      <c r="AG106" s="156"/>
      <c r="AH106" s="113">
        <f t="shared" si="22"/>
        <v>17</v>
      </c>
      <c r="AI106" s="157">
        <v>65</v>
      </c>
      <c r="AJ106" s="113">
        <f t="shared" si="23"/>
        <v>82</v>
      </c>
      <c r="AK106" s="113">
        <f t="shared" si="24"/>
        <v>82</v>
      </c>
      <c r="AL106" s="158">
        <f t="shared" si="25"/>
        <v>1.02</v>
      </c>
      <c r="AM106" s="159"/>
      <c r="AN106" s="160">
        <f t="shared" si="28"/>
        <v>1</v>
      </c>
      <c r="AO106" s="160">
        <f t="shared" si="28"/>
        <v>2</v>
      </c>
      <c r="AP106" s="133"/>
      <c r="AQ106" s="134"/>
      <c r="AR106" s="161"/>
      <c r="AS106" s="161"/>
      <c r="AT106" s="161"/>
      <c r="AU106" s="161"/>
      <c r="AV106" s="162"/>
      <c r="AW106" s="137">
        <f t="shared" si="26"/>
        <v>0</v>
      </c>
      <c r="AX106" s="137">
        <f t="shared" si="27"/>
        <v>0</v>
      </c>
    </row>
    <row r="107" ht="47.25" customHeight="1" spans="1:50" s="56" customFormat="1" x14ac:dyDescent="0.25">
      <c r="A107" s="100"/>
      <c r="B107" s="100"/>
      <c r="C107" s="100"/>
      <c r="D107" s="100"/>
      <c r="E107" s="100"/>
      <c r="F107" s="100"/>
      <c r="G107" s="103"/>
      <c r="H107" s="186"/>
      <c r="I107" s="195">
        <v>0.51</v>
      </c>
      <c r="J107" s="107">
        <v>0.49</v>
      </c>
      <c r="K107" s="107"/>
      <c r="L107" s="107"/>
      <c r="M107" s="187"/>
      <c r="N107" s="169">
        <f t="shared" ref="N107:N136" si="29">SUM(I107:M107)</f>
        <v>1</v>
      </c>
      <c r="O107" s="144">
        <v>1</v>
      </c>
      <c r="P107" s="145">
        <v>15</v>
      </c>
      <c r="Q107" s="113">
        <v>15</v>
      </c>
      <c r="R107" s="113"/>
      <c r="S107" s="113"/>
      <c r="T107" s="146"/>
      <c r="U107" s="148">
        <f t="shared" si="17"/>
        <v>15</v>
      </c>
      <c r="V107" s="149">
        <f t="shared" si="18"/>
        <v>15</v>
      </c>
      <c r="W107" s="189"/>
      <c r="X107" s="199"/>
      <c r="Y107" s="151"/>
      <c r="Z107" s="190"/>
      <c r="AA107" s="153"/>
      <c r="AB107" s="154">
        <f t="shared" si="19"/>
        <v>0</v>
      </c>
      <c r="AC107" s="149">
        <f t="shared" si="20"/>
        <v>0</v>
      </c>
      <c r="AD107" s="125">
        <v>2</v>
      </c>
      <c r="AE107" s="148">
        <f t="shared" si="21"/>
        <v>2</v>
      </c>
      <c r="AF107" s="156"/>
      <c r="AG107" s="156"/>
      <c r="AH107" s="113">
        <f t="shared" si="22"/>
        <v>17</v>
      </c>
      <c r="AI107" s="157">
        <v>65</v>
      </c>
      <c r="AJ107" s="113">
        <f t="shared" si="23"/>
        <v>82</v>
      </c>
      <c r="AK107" s="113">
        <f t="shared" si="24"/>
        <v>82</v>
      </c>
      <c r="AL107" s="158">
        <f t="shared" si="25"/>
        <v>1.02</v>
      </c>
      <c r="AM107" s="159"/>
      <c r="AN107" s="160">
        <f t="shared" si="28"/>
        <v>1</v>
      </c>
      <c r="AO107" s="160">
        <f t="shared" si="28"/>
        <v>2</v>
      </c>
      <c r="AP107" s="133"/>
      <c r="AQ107" s="134"/>
      <c r="AR107" s="161"/>
      <c r="AS107" s="161"/>
      <c r="AT107" s="161"/>
      <c r="AU107" s="161"/>
      <c r="AV107" s="162"/>
      <c r="AW107" s="137">
        <f t="shared" si="26"/>
        <v>0</v>
      </c>
      <c r="AX107" s="137">
        <f t="shared" si="27"/>
        <v>0</v>
      </c>
    </row>
    <row r="108" ht="57" customHeight="1" spans="1:50" s="97" customFormat="1" x14ac:dyDescent="0.25">
      <c r="A108" s="100"/>
      <c r="B108" s="100"/>
      <c r="C108" s="100"/>
      <c r="D108" s="100"/>
      <c r="E108" s="100"/>
      <c r="F108" s="100"/>
      <c r="G108" s="103"/>
      <c r="H108" s="186"/>
      <c r="I108" s="195">
        <v>0.51</v>
      </c>
      <c r="J108" s="107">
        <v>0.49</v>
      </c>
      <c r="K108" s="107"/>
      <c r="L108" s="107"/>
      <c r="M108" s="187"/>
      <c r="N108" s="169">
        <f t="shared" si="29"/>
        <v>1</v>
      </c>
      <c r="O108" s="144">
        <v>1</v>
      </c>
      <c r="P108" s="145">
        <v>15</v>
      </c>
      <c r="Q108" s="113">
        <v>15</v>
      </c>
      <c r="R108" s="113"/>
      <c r="S108" s="113"/>
      <c r="T108" s="146"/>
      <c r="U108" s="148">
        <f t="shared" si="17"/>
        <v>15</v>
      </c>
      <c r="V108" s="149">
        <f t="shared" si="18"/>
        <v>15</v>
      </c>
      <c r="W108" s="189"/>
      <c r="X108" s="199"/>
      <c r="Y108" s="151"/>
      <c r="Z108" s="190"/>
      <c r="AA108" s="153"/>
      <c r="AB108" s="154">
        <f t="shared" si="19"/>
        <v>0</v>
      </c>
      <c r="AC108" s="149">
        <f t="shared" si="20"/>
        <v>0</v>
      </c>
      <c r="AD108" s="125">
        <v>2</v>
      </c>
      <c r="AE108" s="148">
        <f t="shared" si="21"/>
        <v>2</v>
      </c>
      <c r="AF108" s="156"/>
      <c r="AG108" s="156"/>
      <c r="AH108" s="113">
        <f t="shared" si="22"/>
        <v>17</v>
      </c>
      <c r="AI108" s="157">
        <v>65</v>
      </c>
      <c r="AJ108" s="113">
        <f t="shared" si="23"/>
        <v>82</v>
      </c>
      <c r="AK108" s="113">
        <f t="shared" si="24"/>
        <v>82</v>
      </c>
      <c r="AL108" s="158">
        <f t="shared" si="25"/>
        <v>1.02</v>
      </c>
      <c r="AM108" s="159"/>
      <c r="AN108" s="160">
        <f t="shared" si="28"/>
        <v>1</v>
      </c>
      <c r="AO108" s="160">
        <f t="shared" si="28"/>
        <v>2</v>
      </c>
      <c r="AP108" s="133"/>
      <c r="AQ108" s="134"/>
      <c r="AR108" s="161"/>
      <c r="AS108" s="161"/>
      <c r="AT108" s="161"/>
      <c r="AU108" s="161"/>
      <c r="AV108" s="162"/>
      <c r="AW108" s="137">
        <f t="shared" si="26"/>
        <v>0</v>
      </c>
      <c r="AX108" s="137">
        <f t="shared" si="27"/>
        <v>0</v>
      </c>
    </row>
    <row r="109" ht="46.5" customHeight="1" spans="1:50" s="97" customFormat="1" x14ac:dyDescent="0.25">
      <c r="A109" s="100"/>
      <c r="B109" s="100"/>
      <c r="C109" s="100"/>
      <c r="D109" s="100"/>
      <c r="E109" s="100"/>
      <c r="F109" s="100"/>
      <c r="G109" s="103"/>
      <c r="H109" s="186"/>
      <c r="I109" s="195">
        <v>0.51</v>
      </c>
      <c r="J109" s="107">
        <v>0.49</v>
      </c>
      <c r="K109" s="107"/>
      <c r="L109" s="107"/>
      <c r="M109" s="187"/>
      <c r="N109" s="169">
        <f t="shared" si="29"/>
        <v>1</v>
      </c>
      <c r="O109" s="144">
        <v>1</v>
      </c>
      <c r="P109" s="145">
        <v>15</v>
      </c>
      <c r="Q109" s="113">
        <v>15</v>
      </c>
      <c r="R109" s="113"/>
      <c r="S109" s="113"/>
      <c r="T109" s="146"/>
      <c r="U109" s="148">
        <f t="shared" si="17"/>
        <v>15</v>
      </c>
      <c r="V109" s="149">
        <f t="shared" si="18"/>
        <v>15</v>
      </c>
      <c r="W109" s="189"/>
      <c r="X109" s="199"/>
      <c r="Y109" s="151"/>
      <c r="Z109" s="190"/>
      <c r="AA109" s="153"/>
      <c r="AB109" s="154">
        <f t="shared" si="19"/>
        <v>0</v>
      </c>
      <c r="AC109" s="149">
        <f t="shared" si="20"/>
        <v>0</v>
      </c>
      <c r="AD109" s="125">
        <v>2</v>
      </c>
      <c r="AE109" s="148">
        <f t="shared" si="21"/>
        <v>2</v>
      </c>
      <c r="AF109" s="156"/>
      <c r="AG109" s="156"/>
      <c r="AH109" s="113">
        <f t="shared" si="22"/>
        <v>17</v>
      </c>
      <c r="AI109" s="157">
        <v>65</v>
      </c>
      <c r="AJ109" s="113">
        <f t="shared" si="23"/>
        <v>82</v>
      </c>
      <c r="AK109" s="113">
        <f t="shared" si="24"/>
        <v>82</v>
      </c>
      <c r="AL109" s="158">
        <f t="shared" si="25"/>
        <v>1.02</v>
      </c>
      <c r="AM109" s="159"/>
      <c r="AN109" s="160">
        <f t="shared" si="28"/>
        <v>1</v>
      </c>
      <c r="AO109" s="160">
        <f t="shared" si="28"/>
        <v>2</v>
      </c>
      <c r="AP109" s="133"/>
      <c r="AQ109" s="134"/>
      <c r="AR109" s="161"/>
      <c r="AS109" s="161"/>
      <c r="AT109" s="161"/>
      <c r="AU109" s="161"/>
      <c r="AV109" s="162"/>
      <c r="AW109" s="137">
        <f t="shared" si="26"/>
        <v>0</v>
      </c>
      <c r="AX109" s="137">
        <f t="shared" si="27"/>
        <v>0</v>
      </c>
    </row>
    <row r="110" ht="47.25" customHeight="1" spans="1:50" s="56" customFormat="1" x14ac:dyDescent="0.25">
      <c r="A110" s="100"/>
      <c r="B110" s="100"/>
      <c r="C110" s="100"/>
      <c r="D110" s="100"/>
      <c r="E110" s="100"/>
      <c r="F110" s="100"/>
      <c r="G110" s="103"/>
      <c r="H110" s="186"/>
      <c r="I110" s="195">
        <v>0.51</v>
      </c>
      <c r="J110" s="107">
        <v>0.49</v>
      </c>
      <c r="K110" s="107"/>
      <c r="L110" s="107"/>
      <c r="M110" s="187"/>
      <c r="N110" s="169">
        <f t="shared" si="29"/>
        <v>1</v>
      </c>
      <c r="O110" s="144">
        <v>1</v>
      </c>
      <c r="P110" s="145">
        <v>15</v>
      </c>
      <c r="Q110" s="113">
        <v>15</v>
      </c>
      <c r="R110" s="113"/>
      <c r="S110" s="113"/>
      <c r="T110" s="146"/>
      <c r="U110" s="148">
        <f t="shared" si="17"/>
        <v>15</v>
      </c>
      <c r="V110" s="149">
        <f t="shared" si="18"/>
        <v>15</v>
      </c>
      <c r="W110" s="189"/>
      <c r="X110" s="199"/>
      <c r="Y110" s="151"/>
      <c r="Z110" s="190"/>
      <c r="AA110" s="153"/>
      <c r="AB110" s="154">
        <f t="shared" si="19"/>
        <v>0</v>
      </c>
      <c r="AC110" s="149">
        <f t="shared" si="20"/>
        <v>0</v>
      </c>
      <c r="AD110" s="125">
        <v>2</v>
      </c>
      <c r="AE110" s="148">
        <f t="shared" si="21"/>
        <v>2</v>
      </c>
      <c r="AF110" s="156"/>
      <c r="AG110" s="156"/>
      <c r="AH110" s="113">
        <f t="shared" si="22"/>
        <v>17</v>
      </c>
      <c r="AI110" s="157">
        <v>65</v>
      </c>
      <c r="AJ110" s="113">
        <f t="shared" si="23"/>
        <v>82</v>
      </c>
      <c r="AK110" s="113">
        <f t="shared" si="24"/>
        <v>82</v>
      </c>
      <c r="AL110" s="158">
        <f t="shared" si="25"/>
        <v>1.02</v>
      </c>
      <c r="AM110" s="159"/>
      <c r="AN110" s="160">
        <f t="shared" si="28"/>
        <v>1</v>
      </c>
      <c r="AO110" s="160">
        <f t="shared" si="28"/>
        <v>2</v>
      </c>
      <c r="AP110" s="133"/>
      <c r="AQ110" s="134"/>
      <c r="AR110" s="161"/>
      <c r="AS110" s="161"/>
      <c r="AT110" s="161"/>
      <c r="AU110" s="161"/>
      <c r="AV110" s="162"/>
      <c r="AW110" s="137">
        <f t="shared" si="26"/>
        <v>0</v>
      </c>
      <c r="AX110" s="137">
        <f t="shared" si="27"/>
        <v>0</v>
      </c>
    </row>
    <row r="111" ht="46.5" customHeight="1" spans="1:50" s="97" customFormat="1" x14ac:dyDescent="0.25">
      <c r="A111" s="100"/>
      <c r="B111" s="100"/>
      <c r="C111" s="100"/>
      <c r="D111" s="100"/>
      <c r="E111" s="100"/>
      <c r="F111" s="100"/>
      <c r="G111" s="103"/>
      <c r="H111" s="186"/>
      <c r="I111" s="195">
        <v>0.51</v>
      </c>
      <c r="J111" s="107">
        <v>0.49</v>
      </c>
      <c r="K111" s="107"/>
      <c r="L111" s="107"/>
      <c r="M111" s="187"/>
      <c r="N111" s="169">
        <f t="shared" si="29"/>
        <v>1</v>
      </c>
      <c r="O111" s="144">
        <v>1</v>
      </c>
      <c r="P111" s="145">
        <v>15</v>
      </c>
      <c r="Q111" s="113">
        <v>15</v>
      </c>
      <c r="R111" s="113"/>
      <c r="S111" s="113"/>
      <c r="T111" s="146"/>
      <c r="U111" s="148">
        <f t="shared" si="17"/>
        <v>15</v>
      </c>
      <c r="V111" s="149">
        <f t="shared" si="18"/>
        <v>15</v>
      </c>
      <c r="W111" s="189"/>
      <c r="X111" s="199"/>
      <c r="Y111" s="151"/>
      <c r="Z111" s="190"/>
      <c r="AA111" s="153"/>
      <c r="AB111" s="154">
        <f t="shared" si="19"/>
        <v>0</v>
      </c>
      <c r="AC111" s="149">
        <f t="shared" si="20"/>
        <v>0</v>
      </c>
      <c r="AD111" s="125">
        <v>2</v>
      </c>
      <c r="AE111" s="148">
        <f t="shared" si="21"/>
        <v>2</v>
      </c>
      <c r="AF111" s="156"/>
      <c r="AG111" s="156"/>
      <c r="AH111" s="113">
        <f t="shared" si="22"/>
        <v>17</v>
      </c>
      <c r="AI111" s="157">
        <v>65</v>
      </c>
      <c r="AJ111" s="113">
        <f t="shared" si="23"/>
        <v>82</v>
      </c>
      <c r="AK111" s="113">
        <f t="shared" si="24"/>
        <v>82</v>
      </c>
      <c r="AL111" s="158">
        <f t="shared" si="25"/>
        <v>1.02</v>
      </c>
      <c r="AM111" s="159"/>
      <c r="AN111" s="160">
        <f t="shared" ref="AN111:AO130" si="30">100%+AM111</f>
        <v>1</v>
      </c>
      <c r="AO111" s="160">
        <f t="shared" si="30"/>
        <v>2</v>
      </c>
      <c r="AP111" s="133"/>
      <c r="AQ111" s="134"/>
      <c r="AR111" s="161"/>
      <c r="AS111" s="161"/>
      <c r="AT111" s="161"/>
      <c r="AU111" s="161"/>
      <c r="AV111" s="162"/>
      <c r="AW111" s="137">
        <f t="shared" si="26"/>
        <v>0</v>
      </c>
      <c r="AX111" s="137">
        <f t="shared" si="27"/>
        <v>0</v>
      </c>
    </row>
    <row r="112" ht="46.5" customHeight="1" spans="1:50" s="97" customFormat="1" x14ac:dyDescent="0.25">
      <c r="A112" s="100"/>
      <c r="B112" s="100"/>
      <c r="C112" s="100"/>
      <c r="D112" s="100"/>
      <c r="E112" s="100"/>
      <c r="F112" s="100"/>
      <c r="G112" s="103"/>
      <c r="H112" s="186"/>
      <c r="I112" s="195">
        <v>0.51</v>
      </c>
      <c r="J112" s="107">
        <v>0.49</v>
      </c>
      <c r="K112" s="107"/>
      <c r="L112" s="107"/>
      <c r="M112" s="187"/>
      <c r="N112" s="169">
        <f t="shared" si="29"/>
        <v>1</v>
      </c>
      <c r="O112" s="144">
        <v>1</v>
      </c>
      <c r="P112" s="145">
        <v>15</v>
      </c>
      <c r="Q112" s="113">
        <v>15</v>
      </c>
      <c r="R112" s="113"/>
      <c r="S112" s="113"/>
      <c r="T112" s="146"/>
      <c r="U112" s="148">
        <f t="shared" si="17"/>
        <v>15</v>
      </c>
      <c r="V112" s="149">
        <f t="shared" si="18"/>
        <v>15</v>
      </c>
      <c r="W112" s="189"/>
      <c r="X112" s="199"/>
      <c r="Y112" s="151"/>
      <c r="Z112" s="190"/>
      <c r="AA112" s="153"/>
      <c r="AB112" s="154">
        <f t="shared" si="19"/>
        <v>0</v>
      </c>
      <c r="AC112" s="149">
        <f t="shared" si="20"/>
        <v>0</v>
      </c>
      <c r="AD112" s="125">
        <v>2</v>
      </c>
      <c r="AE112" s="148">
        <f t="shared" si="21"/>
        <v>2</v>
      </c>
      <c r="AF112" s="156"/>
      <c r="AG112" s="156"/>
      <c r="AH112" s="113">
        <f t="shared" si="22"/>
        <v>17</v>
      </c>
      <c r="AI112" s="157">
        <v>65</v>
      </c>
      <c r="AJ112" s="113">
        <f t="shared" si="23"/>
        <v>82</v>
      </c>
      <c r="AK112" s="113">
        <f t="shared" si="24"/>
        <v>82</v>
      </c>
      <c r="AL112" s="158">
        <f t="shared" si="25"/>
        <v>1.02</v>
      </c>
      <c r="AM112" s="159"/>
      <c r="AN112" s="160">
        <f t="shared" si="30"/>
        <v>1</v>
      </c>
      <c r="AO112" s="160">
        <f t="shared" si="30"/>
        <v>2</v>
      </c>
      <c r="AP112" s="133"/>
      <c r="AQ112" s="134"/>
      <c r="AR112" s="161"/>
      <c r="AS112" s="161"/>
      <c r="AT112" s="161"/>
      <c r="AU112" s="161"/>
      <c r="AV112" s="162"/>
      <c r="AW112" s="137">
        <f t="shared" si="26"/>
        <v>0</v>
      </c>
      <c r="AX112" s="137">
        <f t="shared" si="27"/>
        <v>0</v>
      </c>
    </row>
    <row r="113" ht="46.5" customHeight="1" spans="1:50" s="97" customFormat="1" x14ac:dyDescent="0.25">
      <c r="A113" s="100"/>
      <c r="B113" s="100"/>
      <c r="C113" s="100"/>
      <c r="D113" s="100"/>
      <c r="E113" s="100"/>
      <c r="F113" s="100"/>
      <c r="G113" s="103"/>
      <c r="H113" s="186"/>
      <c r="I113" s="195">
        <v>0.51</v>
      </c>
      <c r="J113" s="107">
        <v>0.49</v>
      </c>
      <c r="K113" s="107"/>
      <c r="L113" s="107"/>
      <c r="M113" s="187"/>
      <c r="N113" s="169">
        <f t="shared" si="29"/>
        <v>1</v>
      </c>
      <c r="O113" s="144">
        <v>1</v>
      </c>
      <c r="P113" s="145">
        <v>15</v>
      </c>
      <c r="Q113" s="113">
        <v>15</v>
      </c>
      <c r="R113" s="113"/>
      <c r="S113" s="113"/>
      <c r="T113" s="146"/>
      <c r="U113" s="148">
        <f t="shared" si="17"/>
        <v>15</v>
      </c>
      <c r="V113" s="149">
        <f t="shared" si="18"/>
        <v>15</v>
      </c>
      <c r="W113" s="189"/>
      <c r="X113" s="199"/>
      <c r="Y113" s="151"/>
      <c r="Z113" s="190"/>
      <c r="AA113" s="153"/>
      <c r="AB113" s="154">
        <f t="shared" si="19"/>
        <v>0</v>
      </c>
      <c r="AC113" s="149">
        <f t="shared" si="20"/>
        <v>0</v>
      </c>
      <c r="AD113" s="125">
        <v>2</v>
      </c>
      <c r="AE113" s="148">
        <f t="shared" si="21"/>
        <v>2</v>
      </c>
      <c r="AF113" s="156"/>
      <c r="AG113" s="156"/>
      <c r="AH113" s="113">
        <f t="shared" si="22"/>
        <v>17</v>
      </c>
      <c r="AI113" s="157">
        <v>65</v>
      </c>
      <c r="AJ113" s="113">
        <f t="shared" si="23"/>
        <v>82</v>
      </c>
      <c r="AK113" s="113">
        <f t="shared" si="24"/>
        <v>82</v>
      </c>
      <c r="AL113" s="158">
        <f t="shared" si="25"/>
        <v>1.02</v>
      </c>
      <c r="AM113" s="159"/>
      <c r="AN113" s="160">
        <f t="shared" si="30"/>
        <v>1</v>
      </c>
      <c r="AO113" s="160">
        <f t="shared" si="30"/>
        <v>2</v>
      </c>
      <c r="AP113" s="133"/>
      <c r="AQ113" s="134"/>
      <c r="AR113" s="161"/>
      <c r="AS113" s="161"/>
      <c r="AT113" s="161"/>
      <c r="AU113" s="161"/>
      <c r="AV113" s="162"/>
      <c r="AW113" s="137">
        <f t="shared" si="26"/>
        <v>0</v>
      </c>
      <c r="AX113" s="137">
        <f t="shared" si="27"/>
        <v>0</v>
      </c>
    </row>
    <row r="114" ht="53.25" customHeight="1" spans="1:50" s="97" customFormat="1" x14ac:dyDescent="0.25">
      <c r="A114" s="100"/>
      <c r="B114" s="100"/>
      <c r="C114" s="100"/>
      <c r="D114" s="100"/>
      <c r="E114" s="100"/>
      <c r="F114" s="100"/>
      <c r="G114" s="103"/>
      <c r="H114" s="186"/>
      <c r="I114" s="195">
        <v>0.51</v>
      </c>
      <c r="J114" s="107">
        <v>0.49</v>
      </c>
      <c r="K114" s="107"/>
      <c r="L114" s="107"/>
      <c r="M114" s="187"/>
      <c r="N114" s="169">
        <f t="shared" si="29"/>
        <v>1</v>
      </c>
      <c r="O114" s="144">
        <v>1</v>
      </c>
      <c r="P114" s="145">
        <v>15</v>
      </c>
      <c r="Q114" s="113">
        <v>15</v>
      </c>
      <c r="R114" s="113"/>
      <c r="S114" s="113"/>
      <c r="T114" s="146"/>
      <c r="U114" s="148">
        <f t="shared" si="17"/>
        <v>15</v>
      </c>
      <c r="V114" s="149">
        <f t="shared" si="18"/>
        <v>15</v>
      </c>
      <c r="W114" s="189"/>
      <c r="X114" s="199"/>
      <c r="Y114" s="151"/>
      <c r="Z114" s="190"/>
      <c r="AA114" s="153"/>
      <c r="AB114" s="154">
        <f t="shared" si="19"/>
        <v>0</v>
      </c>
      <c r="AC114" s="149">
        <f t="shared" si="20"/>
        <v>0</v>
      </c>
      <c r="AD114" s="125">
        <v>2</v>
      </c>
      <c r="AE114" s="148">
        <f t="shared" si="21"/>
        <v>2</v>
      </c>
      <c r="AF114" s="156"/>
      <c r="AG114" s="156"/>
      <c r="AH114" s="113">
        <f t="shared" si="22"/>
        <v>17</v>
      </c>
      <c r="AI114" s="157">
        <v>65</v>
      </c>
      <c r="AJ114" s="113">
        <f t="shared" si="23"/>
        <v>82</v>
      </c>
      <c r="AK114" s="113">
        <f t="shared" si="24"/>
        <v>82</v>
      </c>
      <c r="AL114" s="158">
        <f t="shared" si="25"/>
        <v>1.02</v>
      </c>
      <c r="AM114" s="159"/>
      <c r="AN114" s="160">
        <f t="shared" si="30"/>
        <v>1</v>
      </c>
      <c r="AO114" s="160">
        <f t="shared" si="30"/>
        <v>2</v>
      </c>
      <c r="AP114" s="133"/>
      <c r="AQ114" s="134"/>
      <c r="AR114" s="161"/>
      <c r="AS114" s="161"/>
      <c r="AT114" s="161"/>
      <c r="AU114" s="161"/>
      <c r="AV114" s="162"/>
      <c r="AW114" s="137">
        <f t="shared" si="26"/>
        <v>0</v>
      </c>
      <c r="AX114" s="137">
        <f t="shared" si="27"/>
        <v>0</v>
      </c>
    </row>
    <row r="115" ht="46.5" customHeight="1" spans="1:50" s="97" customFormat="1" x14ac:dyDescent="0.25">
      <c r="A115" s="100"/>
      <c r="B115" s="100"/>
      <c r="C115" s="100"/>
      <c r="D115" s="100"/>
      <c r="E115" s="100"/>
      <c r="F115" s="100"/>
      <c r="G115" s="103"/>
      <c r="H115" s="186"/>
      <c r="I115" s="195">
        <v>0.51</v>
      </c>
      <c r="J115" s="107">
        <v>0.49</v>
      </c>
      <c r="K115" s="107"/>
      <c r="L115" s="107"/>
      <c r="M115" s="187"/>
      <c r="N115" s="169">
        <f t="shared" si="29"/>
        <v>1</v>
      </c>
      <c r="O115" s="144">
        <v>1</v>
      </c>
      <c r="P115" s="145">
        <v>15</v>
      </c>
      <c r="Q115" s="113">
        <v>15</v>
      </c>
      <c r="R115" s="113"/>
      <c r="S115" s="113"/>
      <c r="T115" s="146"/>
      <c r="U115" s="148">
        <f t="shared" si="17"/>
        <v>15</v>
      </c>
      <c r="V115" s="149">
        <f t="shared" si="18"/>
        <v>15</v>
      </c>
      <c r="W115" s="189"/>
      <c r="X115" s="199"/>
      <c r="Y115" s="151"/>
      <c r="Z115" s="190"/>
      <c r="AA115" s="153"/>
      <c r="AB115" s="154">
        <f t="shared" si="19"/>
        <v>0</v>
      </c>
      <c r="AC115" s="149">
        <f t="shared" si="20"/>
        <v>0</v>
      </c>
      <c r="AD115" s="125">
        <v>2</v>
      </c>
      <c r="AE115" s="148">
        <f t="shared" si="21"/>
        <v>2</v>
      </c>
      <c r="AF115" s="156"/>
      <c r="AG115" s="156"/>
      <c r="AH115" s="113">
        <f t="shared" si="22"/>
        <v>17</v>
      </c>
      <c r="AI115" s="157">
        <v>65</v>
      </c>
      <c r="AJ115" s="113">
        <f t="shared" si="23"/>
        <v>82</v>
      </c>
      <c r="AK115" s="113">
        <f t="shared" si="24"/>
        <v>82</v>
      </c>
      <c r="AL115" s="158">
        <f t="shared" si="25"/>
        <v>1.02</v>
      </c>
      <c r="AM115" s="159"/>
      <c r="AN115" s="160">
        <f t="shared" si="30"/>
        <v>1</v>
      </c>
      <c r="AO115" s="160">
        <f t="shared" si="30"/>
        <v>2</v>
      </c>
      <c r="AP115" s="133"/>
      <c r="AQ115" s="134"/>
      <c r="AR115" s="161"/>
      <c r="AS115" s="161"/>
      <c r="AT115" s="161"/>
      <c r="AU115" s="161"/>
      <c r="AV115" s="162"/>
      <c r="AW115" s="137">
        <f t="shared" si="26"/>
        <v>0</v>
      </c>
      <c r="AX115" s="137">
        <f t="shared" si="27"/>
        <v>0</v>
      </c>
    </row>
    <row r="116" ht="46.5" customHeight="1" spans="1:50" s="97" customFormat="1" x14ac:dyDescent="0.25">
      <c r="A116" s="100"/>
      <c r="B116" s="100"/>
      <c r="C116" s="100"/>
      <c r="D116" s="100"/>
      <c r="E116" s="100"/>
      <c r="F116" s="100"/>
      <c r="G116" s="103"/>
      <c r="H116" s="186"/>
      <c r="I116" s="195">
        <v>0.51</v>
      </c>
      <c r="J116" s="107">
        <v>0.49</v>
      </c>
      <c r="K116" s="107"/>
      <c r="L116" s="107"/>
      <c r="M116" s="187"/>
      <c r="N116" s="169">
        <f t="shared" si="29"/>
        <v>1</v>
      </c>
      <c r="O116" s="144">
        <v>1</v>
      </c>
      <c r="P116" s="145">
        <v>15</v>
      </c>
      <c r="Q116" s="113">
        <v>15</v>
      </c>
      <c r="R116" s="113"/>
      <c r="S116" s="113"/>
      <c r="T116" s="146"/>
      <c r="U116" s="148">
        <f t="shared" si="17"/>
        <v>15</v>
      </c>
      <c r="V116" s="149">
        <f t="shared" si="18"/>
        <v>15</v>
      </c>
      <c r="W116" s="189"/>
      <c r="X116" s="199"/>
      <c r="Y116" s="151"/>
      <c r="Z116" s="190"/>
      <c r="AA116" s="153"/>
      <c r="AB116" s="154">
        <f t="shared" si="19"/>
        <v>0</v>
      </c>
      <c r="AC116" s="149">
        <f t="shared" si="20"/>
        <v>0</v>
      </c>
      <c r="AD116" s="125">
        <v>2</v>
      </c>
      <c r="AE116" s="148">
        <f t="shared" si="21"/>
        <v>2</v>
      </c>
      <c r="AF116" s="156"/>
      <c r="AG116" s="156"/>
      <c r="AH116" s="113">
        <f t="shared" si="22"/>
        <v>17</v>
      </c>
      <c r="AI116" s="157">
        <v>65</v>
      </c>
      <c r="AJ116" s="113">
        <f t="shared" si="23"/>
        <v>82</v>
      </c>
      <c r="AK116" s="113">
        <f t="shared" si="24"/>
        <v>82</v>
      </c>
      <c r="AL116" s="158">
        <f t="shared" si="25"/>
        <v>1.02</v>
      </c>
      <c r="AM116" s="159"/>
      <c r="AN116" s="160">
        <f t="shared" si="30"/>
        <v>1</v>
      </c>
      <c r="AO116" s="160">
        <f t="shared" si="30"/>
        <v>2</v>
      </c>
      <c r="AP116" s="133"/>
      <c r="AQ116" s="134"/>
      <c r="AR116" s="161"/>
      <c r="AS116" s="161"/>
      <c r="AT116" s="161"/>
      <c r="AU116" s="161"/>
      <c r="AV116" s="162"/>
      <c r="AW116" s="137">
        <f t="shared" si="26"/>
        <v>0</v>
      </c>
      <c r="AX116" s="137">
        <f t="shared" si="27"/>
        <v>0</v>
      </c>
    </row>
    <row r="117" ht="46.5" customHeight="1" spans="1:50" s="97" customFormat="1" x14ac:dyDescent="0.25">
      <c r="A117" s="100"/>
      <c r="B117" s="100"/>
      <c r="C117" s="100"/>
      <c r="D117" s="100"/>
      <c r="E117" s="100"/>
      <c r="F117" s="100"/>
      <c r="G117" s="103"/>
      <c r="H117" s="186"/>
      <c r="I117" s="195">
        <v>0.51</v>
      </c>
      <c r="J117" s="107">
        <v>0.49</v>
      </c>
      <c r="K117" s="107"/>
      <c r="L117" s="107"/>
      <c r="M117" s="187"/>
      <c r="N117" s="169">
        <f t="shared" si="29"/>
        <v>1</v>
      </c>
      <c r="O117" s="144">
        <v>1</v>
      </c>
      <c r="P117" s="145">
        <v>15</v>
      </c>
      <c r="Q117" s="113">
        <v>15</v>
      </c>
      <c r="R117" s="113"/>
      <c r="S117" s="113"/>
      <c r="T117" s="146"/>
      <c r="U117" s="148">
        <f t="shared" si="17"/>
        <v>15</v>
      </c>
      <c r="V117" s="149">
        <f t="shared" si="18"/>
        <v>15</v>
      </c>
      <c r="W117" s="189"/>
      <c r="X117" s="199"/>
      <c r="Y117" s="151"/>
      <c r="Z117" s="190"/>
      <c r="AA117" s="153"/>
      <c r="AB117" s="154">
        <f t="shared" si="19"/>
        <v>0</v>
      </c>
      <c r="AC117" s="149">
        <f t="shared" si="20"/>
        <v>0</v>
      </c>
      <c r="AD117" s="125">
        <v>2</v>
      </c>
      <c r="AE117" s="148">
        <f t="shared" si="21"/>
        <v>2</v>
      </c>
      <c r="AF117" s="156"/>
      <c r="AG117" s="156"/>
      <c r="AH117" s="113">
        <f t="shared" si="22"/>
        <v>17</v>
      </c>
      <c r="AI117" s="157">
        <v>65</v>
      </c>
      <c r="AJ117" s="113">
        <f t="shared" si="23"/>
        <v>82</v>
      </c>
      <c r="AK117" s="113">
        <f t="shared" si="24"/>
        <v>82</v>
      </c>
      <c r="AL117" s="158">
        <f t="shared" si="25"/>
        <v>1.02</v>
      </c>
      <c r="AM117" s="159"/>
      <c r="AN117" s="160">
        <f t="shared" si="30"/>
        <v>1</v>
      </c>
      <c r="AO117" s="160">
        <f t="shared" si="30"/>
        <v>2</v>
      </c>
      <c r="AP117" s="133"/>
      <c r="AQ117" s="134"/>
      <c r="AR117" s="161"/>
      <c r="AS117" s="161"/>
      <c r="AT117" s="161"/>
      <c r="AU117" s="161"/>
      <c r="AV117" s="162"/>
      <c r="AW117" s="137">
        <f t="shared" si="26"/>
        <v>0</v>
      </c>
      <c r="AX117" s="137">
        <f t="shared" si="27"/>
        <v>0</v>
      </c>
    </row>
    <row r="118" ht="47.25" customHeight="1" spans="1:50" s="56" customFormat="1" x14ac:dyDescent="0.25">
      <c r="A118" s="100"/>
      <c r="B118" s="100"/>
      <c r="C118" s="100"/>
      <c r="D118" s="100"/>
      <c r="E118" s="100"/>
      <c r="F118" s="100"/>
      <c r="G118" s="103"/>
      <c r="H118" s="186"/>
      <c r="I118" s="195">
        <v>0.51</v>
      </c>
      <c r="J118" s="107">
        <v>0.49</v>
      </c>
      <c r="K118" s="107"/>
      <c r="L118" s="107"/>
      <c r="M118" s="187"/>
      <c r="N118" s="169">
        <f t="shared" si="29"/>
        <v>1</v>
      </c>
      <c r="O118" s="144">
        <v>1</v>
      </c>
      <c r="P118" s="145">
        <v>15</v>
      </c>
      <c r="Q118" s="113">
        <v>15</v>
      </c>
      <c r="R118" s="113"/>
      <c r="S118" s="113"/>
      <c r="T118" s="146"/>
      <c r="U118" s="148">
        <f t="shared" si="17"/>
        <v>15</v>
      </c>
      <c r="V118" s="149">
        <f t="shared" si="18"/>
        <v>15</v>
      </c>
      <c r="W118" s="189"/>
      <c r="X118" s="199"/>
      <c r="Y118" s="151"/>
      <c r="Z118" s="190"/>
      <c r="AA118" s="153"/>
      <c r="AB118" s="154">
        <f t="shared" si="19"/>
        <v>0</v>
      </c>
      <c r="AC118" s="149">
        <f t="shared" si="20"/>
        <v>0</v>
      </c>
      <c r="AD118" s="125">
        <v>2</v>
      </c>
      <c r="AE118" s="148">
        <f t="shared" si="21"/>
        <v>2</v>
      </c>
      <c r="AF118" s="156"/>
      <c r="AG118" s="156"/>
      <c r="AH118" s="113">
        <f t="shared" si="22"/>
        <v>17</v>
      </c>
      <c r="AI118" s="157">
        <v>65</v>
      </c>
      <c r="AJ118" s="113">
        <f t="shared" si="23"/>
        <v>82</v>
      </c>
      <c r="AK118" s="113">
        <f t="shared" si="24"/>
        <v>82</v>
      </c>
      <c r="AL118" s="158">
        <f t="shared" si="25"/>
        <v>1.02</v>
      </c>
      <c r="AM118" s="159"/>
      <c r="AN118" s="160">
        <f t="shared" si="30"/>
        <v>1</v>
      </c>
      <c r="AO118" s="160">
        <f t="shared" si="30"/>
        <v>2</v>
      </c>
      <c r="AP118" s="133"/>
      <c r="AQ118" s="134"/>
      <c r="AR118" s="161"/>
      <c r="AS118" s="161"/>
      <c r="AT118" s="161"/>
      <c r="AU118" s="161"/>
      <c r="AV118" s="162"/>
      <c r="AW118" s="137">
        <f t="shared" si="26"/>
        <v>0</v>
      </c>
      <c r="AX118" s="137">
        <f t="shared" si="27"/>
        <v>0</v>
      </c>
    </row>
    <row r="119" ht="47.25" customHeight="1" spans="1:50" s="56" customFormat="1" x14ac:dyDescent="0.25">
      <c r="A119" s="100"/>
      <c r="B119" s="100"/>
      <c r="C119" s="100"/>
      <c r="D119" s="100"/>
      <c r="E119" s="100"/>
      <c r="F119" s="100"/>
      <c r="G119" s="103"/>
      <c r="H119" s="186"/>
      <c r="I119" s="195">
        <v>0.51</v>
      </c>
      <c r="J119" s="107">
        <v>0.49</v>
      </c>
      <c r="K119" s="107"/>
      <c r="L119" s="107"/>
      <c r="M119" s="187"/>
      <c r="N119" s="169">
        <f t="shared" si="29"/>
        <v>1</v>
      </c>
      <c r="O119" s="144">
        <v>1</v>
      </c>
      <c r="P119" s="145">
        <v>15</v>
      </c>
      <c r="Q119" s="113">
        <v>15</v>
      </c>
      <c r="R119" s="113"/>
      <c r="S119" s="113"/>
      <c r="T119" s="146"/>
      <c r="U119" s="148">
        <f t="shared" si="17"/>
        <v>15</v>
      </c>
      <c r="V119" s="149">
        <f t="shared" si="18"/>
        <v>15</v>
      </c>
      <c r="W119" s="189"/>
      <c r="X119" s="199"/>
      <c r="Y119" s="151"/>
      <c r="Z119" s="190"/>
      <c r="AA119" s="153"/>
      <c r="AB119" s="154">
        <f t="shared" si="19"/>
        <v>0</v>
      </c>
      <c r="AC119" s="149">
        <f t="shared" si="20"/>
        <v>0</v>
      </c>
      <c r="AD119" s="125">
        <v>2</v>
      </c>
      <c r="AE119" s="148">
        <f t="shared" si="21"/>
        <v>2</v>
      </c>
      <c r="AF119" s="156"/>
      <c r="AG119" s="156"/>
      <c r="AH119" s="113">
        <f t="shared" si="22"/>
        <v>17</v>
      </c>
      <c r="AI119" s="157">
        <v>65</v>
      </c>
      <c r="AJ119" s="113">
        <f t="shared" si="23"/>
        <v>82</v>
      </c>
      <c r="AK119" s="113">
        <f t="shared" si="24"/>
        <v>82</v>
      </c>
      <c r="AL119" s="158">
        <f t="shared" si="25"/>
        <v>1.02</v>
      </c>
      <c r="AM119" s="159"/>
      <c r="AN119" s="160">
        <f t="shared" si="30"/>
        <v>1</v>
      </c>
      <c r="AO119" s="160">
        <f t="shared" si="30"/>
        <v>2</v>
      </c>
      <c r="AP119" s="133"/>
      <c r="AQ119" s="134"/>
      <c r="AR119" s="161"/>
      <c r="AS119" s="161"/>
      <c r="AT119" s="161"/>
      <c r="AU119" s="161"/>
      <c r="AV119" s="162"/>
      <c r="AW119" s="137">
        <f t="shared" si="26"/>
        <v>0</v>
      </c>
      <c r="AX119" s="137">
        <f t="shared" si="27"/>
        <v>0</v>
      </c>
    </row>
    <row r="120" ht="46.5" customHeight="1" spans="1:50" s="97" customFormat="1" x14ac:dyDescent="0.25">
      <c r="A120" s="100"/>
      <c r="B120" s="100"/>
      <c r="C120" s="100"/>
      <c r="D120" s="100"/>
      <c r="E120" s="100"/>
      <c r="F120" s="100"/>
      <c r="G120" s="103"/>
      <c r="H120" s="186"/>
      <c r="I120" s="195">
        <v>0.51</v>
      </c>
      <c r="J120" s="107">
        <v>0.49</v>
      </c>
      <c r="K120" s="107"/>
      <c r="L120" s="107"/>
      <c r="M120" s="187"/>
      <c r="N120" s="169">
        <f t="shared" si="29"/>
        <v>1</v>
      </c>
      <c r="O120" s="144">
        <v>1</v>
      </c>
      <c r="P120" s="145">
        <v>15</v>
      </c>
      <c r="Q120" s="113">
        <v>15</v>
      </c>
      <c r="R120" s="113"/>
      <c r="S120" s="113"/>
      <c r="T120" s="146"/>
      <c r="U120" s="148">
        <f t="shared" si="17"/>
        <v>15</v>
      </c>
      <c r="V120" s="149">
        <f t="shared" si="18"/>
        <v>15</v>
      </c>
      <c r="W120" s="189"/>
      <c r="X120" s="199"/>
      <c r="Y120" s="151"/>
      <c r="Z120" s="190"/>
      <c r="AA120" s="153"/>
      <c r="AB120" s="154">
        <f t="shared" si="19"/>
        <v>0</v>
      </c>
      <c r="AC120" s="149">
        <f t="shared" si="20"/>
        <v>0</v>
      </c>
      <c r="AD120" s="125">
        <v>2</v>
      </c>
      <c r="AE120" s="148">
        <f t="shared" si="21"/>
        <v>2</v>
      </c>
      <c r="AF120" s="156"/>
      <c r="AG120" s="156"/>
      <c r="AH120" s="113">
        <f t="shared" si="22"/>
        <v>17</v>
      </c>
      <c r="AI120" s="157">
        <v>65</v>
      </c>
      <c r="AJ120" s="113">
        <f t="shared" si="23"/>
        <v>82</v>
      </c>
      <c r="AK120" s="113">
        <f t="shared" si="24"/>
        <v>82</v>
      </c>
      <c r="AL120" s="158">
        <f t="shared" si="25"/>
        <v>1.02</v>
      </c>
      <c r="AM120" s="159"/>
      <c r="AN120" s="160">
        <f t="shared" si="30"/>
        <v>1</v>
      </c>
      <c r="AO120" s="160">
        <f t="shared" si="30"/>
        <v>2</v>
      </c>
      <c r="AP120" s="133"/>
      <c r="AQ120" s="134"/>
      <c r="AR120" s="161"/>
      <c r="AS120" s="161"/>
      <c r="AT120" s="161"/>
      <c r="AU120" s="161"/>
      <c r="AV120" s="162"/>
      <c r="AW120" s="137">
        <f t="shared" si="26"/>
        <v>0</v>
      </c>
      <c r="AX120" s="137">
        <f t="shared" si="27"/>
        <v>0</v>
      </c>
    </row>
    <row r="121" ht="47.25" customHeight="1" spans="1:50" s="56" customFormat="1" x14ac:dyDescent="0.25">
      <c r="A121" s="100"/>
      <c r="B121" s="100"/>
      <c r="C121" s="100"/>
      <c r="D121" s="100"/>
      <c r="E121" s="100"/>
      <c r="F121" s="100"/>
      <c r="G121" s="103"/>
      <c r="H121" s="186"/>
      <c r="I121" s="195">
        <v>0.51</v>
      </c>
      <c r="J121" s="107">
        <v>0.49</v>
      </c>
      <c r="K121" s="107"/>
      <c r="L121" s="107"/>
      <c r="M121" s="187"/>
      <c r="N121" s="169">
        <f t="shared" si="29"/>
        <v>1</v>
      </c>
      <c r="O121" s="144">
        <v>1</v>
      </c>
      <c r="P121" s="145">
        <v>15</v>
      </c>
      <c r="Q121" s="113">
        <v>15</v>
      </c>
      <c r="R121" s="113"/>
      <c r="S121" s="113"/>
      <c r="T121" s="146"/>
      <c r="U121" s="148">
        <f t="shared" si="17"/>
        <v>15</v>
      </c>
      <c r="V121" s="149">
        <f t="shared" si="18"/>
        <v>15</v>
      </c>
      <c r="W121" s="189"/>
      <c r="X121" s="199"/>
      <c r="Y121" s="151"/>
      <c r="Z121" s="190"/>
      <c r="AA121" s="153"/>
      <c r="AB121" s="154">
        <f t="shared" si="19"/>
        <v>0</v>
      </c>
      <c r="AC121" s="149">
        <f t="shared" si="20"/>
        <v>0</v>
      </c>
      <c r="AD121" s="125">
        <v>2</v>
      </c>
      <c r="AE121" s="148">
        <f t="shared" si="21"/>
        <v>2</v>
      </c>
      <c r="AF121" s="156"/>
      <c r="AG121" s="156"/>
      <c r="AH121" s="113">
        <f t="shared" si="22"/>
        <v>17</v>
      </c>
      <c r="AI121" s="157">
        <v>65</v>
      </c>
      <c r="AJ121" s="113">
        <f t="shared" si="23"/>
        <v>82</v>
      </c>
      <c r="AK121" s="113">
        <f t="shared" si="24"/>
        <v>82</v>
      </c>
      <c r="AL121" s="158">
        <f t="shared" si="25"/>
        <v>1.02</v>
      </c>
      <c r="AM121" s="159"/>
      <c r="AN121" s="160">
        <f t="shared" si="30"/>
        <v>1</v>
      </c>
      <c r="AO121" s="160">
        <f t="shared" si="30"/>
        <v>2</v>
      </c>
      <c r="AP121" s="133"/>
      <c r="AQ121" s="134"/>
      <c r="AR121" s="161"/>
      <c r="AS121" s="161"/>
      <c r="AT121" s="161"/>
      <c r="AU121" s="161"/>
      <c r="AV121" s="162"/>
      <c r="AW121" s="137">
        <f t="shared" si="26"/>
        <v>0</v>
      </c>
      <c r="AX121" s="137">
        <f t="shared" si="27"/>
        <v>0</v>
      </c>
    </row>
    <row r="122" ht="47.25" customHeight="1" spans="1:50" s="97" customFormat="1" x14ac:dyDescent="0.25">
      <c r="A122" s="100"/>
      <c r="B122" s="100"/>
      <c r="C122" s="100"/>
      <c r="D122" s="100"/>
      <c r="E122" s="100"/>
      <c r="F122" s="100"/>
      <c r="G122" s="103"/>
      <c r="H122" s="186"/>
      <c r="I122" s="195">
        <v>0.51</v>
      </c>
      <c r="J122" s="107">
        <v>0.49</v>
      </c>
      <c r="K122" s="107"/>
      <c r="L122" s="107"/>
      <c r="M122" s="187"/>
      <c r="N122" s="169">
        <f t="shared" si="29"/>
        <v>1</v>
      </c>
      <c r="O122" s="144">
        <v>1</v>
      </c>
      <c r="P122" s="145">
        <v>15</v>
      </c>
      <c r="Q122" s="113">
        <v>15</v>
      </c>
      <c r="R122" s="113"/>
      <c r="S122" s="113"/>
      <c r="T122" s="146"/>
      <c r="U122" s="148">
        <f t="shared" si="17"/>
        <v>15</v>
      </c>
      <c r="V122" s="149">
        <f t="shared" si="18"/>
        <v>15</v>
      </c>
      <c r="W122" s="189"/>
      <c r="X122" s="199"/>
      <c r="Y122" s="151"/>
      <c r="Z122" s="190"/>
      <c r="AA122" s="153"/>
      <c r="AB122" s="154">
        <f t="shared" si="19"/>
        <v>0</v>
      </c>
      <c r="AC122" s="149">
        <f t="shared" si="20"/>
        <v>0</v>
      </c>
      <c r="AD122" s="125">
        <v>2</v>
      </c>
      <c r="AE122" s="148">
        <f t="shared" si="21"/>
        <v>2</v>
      </c>
      <c r="AF122" s="156"/>
      <c r="AG122" s="156"/>
      <c r="AH122" s="113">
        <f t="shared" si="22"/>
        <v>17</v>
      </c>
      <c r="AI122" s="157">
        <v>65</v>
      </c>
      <c r="AJ122" s="113">
        <f t="shared" si="23"/>
        <v>82</v>
      </c>
      <c r="AK122" s="113">
        <f t="shared" si="24"/>
        <v>82</v>
      </c>
      <c r="AL122" s="158">
        <f t="shared" si="25"/>
        <v>1.02</v>
      </c>
      <c r="AM122" s="159"/>
      <c r="AN122" s="160">
        <f t="shared" si="30"/>
        <v>1</v>
      </c>
      <c r="AO122" s="160">
        <f t="shared" si="30"/>
        <v>2</v>
      </c>
      <c r="AP122" s="133"/>
      <c r="AQ122" s="134"/>
      <c r="AR122" s="161"/>
      <c r="AS122" s="161"/>
      <c r="AT122" s="161"/>
      <c r="AU122" s="161"/>
      <c r="AV122" s="162"/>
      <c r="AW122" s="137">
        <f t="shared" si="26"/>
        <v>0</v>
      </c>
      <c r="AX122" s="137">
        <f t="shared" si="27"/>
        <v>0</v>
      </c>
    </row>
    <row r="123" ht="47.25" customHeight="1" spans="1:50" s="97" customFormat="1" x14ac:dyDescent="0.25">
      <c r="A123" s="100"/>
      <c r="B123" s="100"/>
      <c r="C123" s="100"/>
      <c r="D123" s="100"/>
      <c r="E123" s="100"/>
      <c r="F123" s="100"/>
      <c r="G123" s="103"/>
      <c r="H123" s="186"/>
      <c r="I123" s="195">
        <v>0.51</v>
      </c>
      <c r="J123" s="107">
        <v>0.49</v>
      </c>
      <c r="K123" s="107"/>
      <c r="L123" s="107"/>
      <c r="M123" s="187"/>
      <c r="N123" s="169">
        <f t="shared" si="29"/>
        <v>1</v>
      </c>
      <c r="O123" s="144">
        <v>1</v>
      </c>
      <c r="P123" s="145">
        <v>15</v>
      </c>
      <c r="Q123" s="113">
        <v>15</v>
      </c>
      <c r="R123" s="113"/>
      <c r="S123" s="113"/>
      <c r="T123" s="146"/>
      <c r="U123" s="148">
        <f t="shared" si="17"/>
        <v>15</v>
      </c>
      <c r="V123" s="149">
        <f t="shared" si="18"/>
        <v>15</v>
      </c>
      <c r="W123" s="189"/>
      <c r="X123" s="199"/>
      <c r="Y123" s="151"/>
      <c r="Z123" s="190"/>
      <c r="AA123" s="153"/>
      <c r="AB123" s="154">
        <f t="shared" si="19"/>
        <v>0</v>
      </c>
      <c r="AC123" s="149">
        <f t="shared" si="20"/>
        <v>0</v>
      </c>
      <c r="AD123" s="125">
        <v>2</v>
      </c>
      <c r="AE123" s="148">
        <f t="shared" si="21"/>
        <v>2</v>
      </c>
      <c r="AF123" s="156"/>
      <c r="AG123" s="156"/>
      <c r="AH123" s="113">
        <f t="shared" si="22"/>
        <v>17</v>
      </c>
      <c r="AI123" s="157">
        <v>65</v>
      </c>
      <c r="AJ123" s="113">
        <f t="shared" si="23"/>
        <v>82</v>
      </c>
      <c r="AK123" s="113">
        <f t="shared" si="24"/>
        <v>82</v>
      </c>
      <c r="AL123" s="158">
        <f t="shared" si="25"/>
        <v>1.02</v>
      </c>
      <c r="AM123" s="159"/>
      <c r="AN123" s="160">
        <f t="shared" si="30"/>
        <v>1</v>
      </c>
      <c r="AO123" s="160">
        <f t="shared" si="30"/>
        <v>2</v>
      </c>
      <c r="AP123" s="133"/>
      <c r="AQ123" s="134"/>
      <c r="AR123" s="161"/>
      <c r="AS123" s="161"/>
      <c r="AT123" s="161"/>
      <c r="AU123" s="161"/>
      <c r="AV123" s="162"/>
      <c r="AW123" s="137">
        <f t="shared" si="26"/>
        <v>0</v>
      </c>
      <c r="AX123" s="137">
        <f t="shared" si="27"/>
        <v>0</v>
      </c>
    </row>
    <row r="124" ht="46.5" customHeight="1" spans="1:50" s="97" customFormat="1" x14ac:dyDescent="0.25">
      <c r="A124" s="100"/>
      <c r="B124" s="100"/>
      <c r="C124" s="100"/>
      <c r="D124" s="100"/>
      <c r="E124" s="100"/>
      <c r="F124" s="100"/>
      <c r="G124" s="103"/>
      <c r="H124" s="186"/>
      <c r="I124" s="195">
        <v>0.51</v>
      </c>
      <c r="J124" s="107">
        <v>0.49</v>
      </c>
      <c r="K124" s="107"/>
      <c r="L124" s="107"/>
      <c r="M124" s="187"/>
      <c r="N124" s="169">
        <f t="shared" si="29"/>
        <v>1</v>
      </c>
      <c r="O124" s="144">
        <v>1</v>
      </c>
      <c r="P124" s="145">
        <v>15</v>
      </c>
      <c r="Q124" s="113">
        <v>15</v>
      </c>
      <c r="R124" s="113"/>
      <c r="S124" s="113"/>
      <c r="T124" s="146"/>
      <c r="U124" s="148">
        <f t="shared" si="17"/>
        <v>15</v>
      </c>
      <c r="V124" s="149">
        <f t="shared" si="18"/>
        <v>15</v>
      </c>
      <c r="W124" s="189"/>
      <c r="X124" s="199"/>
      <c r="Y124" s="151"/>
      <c r="Z124" s="190"/>
      <c r="AA124" s="153"/>
      <c r="AB124" s="154">
        <f t="shared" si="19"/>
        <v>0</v>
      </c>
      <c r="AC124" s="149">
        <f t="shared" si="20"/>
        <v>0</v>
      </c>
      <c r="AD124" s="125">
        <v>2</v>
      </c>
      <c r="AE124" s="148">
        <f t="shared" si="21"/>
        <v>2</v>
      </c>
      <c r="AF124" s="156"/>
      <c r="AG124" s="156"/>
      <c r="AH124" s="113">
        <f t="shared" si="22"/>
        <v>17</v>
      </c>
      <c r="AI124" s="157">
        <v>65</v>
      </c>
      <c r="AJ124" s="113">
        <f t="shared" si="23"/>
        <v>82</v>
      </c>
      <c r="AK124" s="113">
        <f t="shared" si="24"/>
        <v>82</v>
      </c>
      <c r="AL124" s="158">
        <f t="shared" si="25"/>
        <v>1.02</v>
      </c>
      <c r="AM124" s="159"/>
      <c r="AN124" s="160">
        <f t="shared" si="30"/>
        <v>1</v>
      </c>
      <c r="AO124" s="160">
        <f t="shared" si="30"/>
        <v>2</v>
      </c>
      <c r="AP124" s="133"/>
      <c r="AQ124" s="134"/>
      <c r="AR124" s="161"/>
      <c r="AS124" s="161"/>
      <c r="AT124" s="161"/>
      <c r="AU124" s="161"/>
      <c r="AV124" s="162"/>
      <c r="AW124" s="137">
        <f t="shared" si="26"/>
        <v>0</v>
      </c>
      <c r="AX124" s="137">
        <f t="shared" si="27"/>
        <v>0</v>
      </c>
    </row>
    <row r="125" ht="46.5" customHeight="1" spans="1:50" s="97" customFormat="1" x14ac:dyDescent="0.25">
      <c r="A125" s="100"/>
      <c r="B125" s="100"/>
      <c r="C125" s="100"/>
      <c r="D125" s="100"/>
      <c r="E125" s="100"/>
      <c r="F125" s="100"/>
      <c r="G125" s="103"/>
      <c r="H125" s="186"/>
      <c r="I125" s="195">
        <v>0.51</v>
      </c>
      <c r="J125" s="107">
        <v>0.49</v>
      </c>
      <c r="K125" s="107"/>
      <c r="L125" s="107"/>
      <c r="M125" s="187"/>
      <c r="N125" s="169">
        <f t="shared" si="29"/>
        <v>1</v>
      </c>
      <c r="O125" s="144">
        <v>1</v>
      </c>
      <c r="P125" s="145">
        <v>15</v>
      </c>
      <c r="Q125" s="113">
        <v>15</v>
      </c>
      <c r="R125" s="113"/>
      <c r="S125" s="113"/>
      <c r="T125" s="146"/>
      <c r="U125" s="148">
        <f t="shared" si="17"/>
        <v>15</v>
      </c>
      <c r="V125" s="149">
        <f t="shared" si="18"/>
        <v>15</v>
      </c>
      <c r="W125" s="189"/>
      <c r="X125" s="199"/>
      <c r="Y125" s="151"/>
      <c r="Z125" s="190"/>
      <c r="AA125" s="153"/>
      <c r="AB125" s="154">
        <f t="shared" si="19"/>
        <v>0</v>
      </c>
      <c r="AC125" s="149">
        <f t="shared" si="20"/>
        <v>0</v>
      </c>
      <c r="AD125" s="125">
        <v>2</v>
      </c>
      <c r="AE125" s="148">
        <f t="shared" si="21"/>
        <v>2</v>
      </c>
      <c r="AF125" s="156"/>
      <c r="AG125" s="156"/>
      <c r="AH125" s="113">
        <f t="shared" si="22"/>
        <v>17</v>
      </c>
      <c r="AI125" s="157">
        <v>65</v>
      </c>
      <c r="AJ125" s="113">
        <f t="shared" si="23"/>
        <v>82</v>
      </c>
      <c r="AK125" s="113">
        <f t="shared" si="24"/>
        <v>82</v>
      </c>
      <c r="AL125" s="158">
        <f t="shared" si="25"/>
        <v>1.02</v>
      </c>
      <c r="AM125" s="159"/>
      <c r="AN125" s="160">
        <f t="shared" si="30"/>
        <v>1</v>
      </c>
      <c r="AO125" s="160">
        <f t="shared" si="30"/>
        <v>2</v>
      </c>
      <c r="AP125" s="133"/>
      <c r="AQ125" s="134"/>
      <c r="AR125" s="161"/>
      <c r="AS125" s="161"/>
      <c r="AT125" s="161"/>
      <c r="AU125" s="161"/>
      <c r="AV125" s="162"/>
      <c r="AW125" s="137">
        <f t="shared" si="26"/>
        <v>0</v>
      </c>
      <c r="AX125" s="137">
        <f t="shared" si="27"/>
        <v>0</v>
      </c>
    </row>
    <row r="126" ht="47.25" customHeight="1" spans="1:50" s="56" customFormat="1" x14ac:dyDescent="0.25">
      <c r="A126" s="100"/>
      <c r="B126" s="100"/>
      <c r="C126" s="100"/>
      <c r="D126" s="100"/>
      <c r="E126" s="100"/>
      <c r="F126" s="100"/>
      <c r="G126" s="103"/>
      <c r="H126" s="186"/>
      <c r="I126" s="195">
        <v>0.51</v>
      </c>
      <c r="J126" s="107">
        <v>0.49</v>
      </c>
      <c r="K126" s="107"/>
      <c r="L126" s="107"/>
      <c r="M126" s="187"/>
      <c r="N126" s="169">
        <f t="shared" si="29"/>
        <v>1</v>
      </c>
      <c r="O126" s="144">
        <v>1</v>
      </c>
      <c r="P126" s="145">
        <v>15</v>
      </c>
      <c r="Q126" s="113">
        <v>15</v>
      </c>
      <c r="R126" s="113"/>
      <c r="S126" s="113"/>
      <c r="T126" s="146"/>
      <c r="U126" s="148">
        <f t="shared" si="17"/>
        <v>15</v>
      </c>
      <c r="V126" s="149">
        <f t="shared" si="18"/>
        <v>15</v>
      </c>
      <c r="W126" s="189"/>
      <c r="X126" s="199"/>
      <c r="Y126" s="151"/>
      <c r="Z126" s="190"/>
      <c r="AA126" s="153"/>
      <c r="AB126" s="154">
        <f t="shared" si="19"/>
        <v>0</v>
      </c>
      <c r="AC126" s="149">
        <f t="shared" si="20"/>
        <v>0</v>
      </c>
      <c r="AD126" s="125">
        <v>2</v>
      </c>
      <c r="AE126" s="148">
        <f t="shared" si="21"/>
        <v>2</v>
      </c>
      <c r="AF126" s="156"/>
      <c r="AG126" s="156"/>
      <c r="AH126" s="113">
        <f t="shared" si="22"/>
        <v>17</v>
      </c>
      <c r="AI126" s="157">
        <v>65</v>
      </c>
      <c r="AJ126" s="113">
        <f t="shared" si="23"/>
        <v>82</v>
      </c>
      <c r="AK126" s="113">
        <f t="shared" si="24"/>
        <v>82</v>
      </c>
      <c r="AL126" s="158">
        <f t="shared" si="25"/>
        <v>1.02</v>
      </c>
      <c r="AM126" s="159"/>
      <c r="AN126" s="160">
        <f t="shared" si="30"/>
        <v>1</v>
      </c>
      <c r="AO126" s="160">
        <f t="shared" si="30"/>
        <v>2</v>
      </c>
      <c r="AP126" s="133"/>
      <c r="AQ126" s="134"/>
      <c r="AR126" s="161"/>
      <c r="AS126" s="161"/>
      <c r="AT126" s="161"/>
      <c r="AU126" s="161"/>
      <c r="AV126" s="162"/>
      <c r="AW126" s="137">
        <f t="shared" si="26"/>
        <v>0</v>
      </c>
      <c r="AX126" s="137">
        <f t="shared" si="27"/>
        <v>0</v>
      </c>
    </row>
    <row r="127" ht="46.5" customHeight="1" spans="1:50" s="97" customFormat="1" x14ac:dyDescent="0.25">
      <c r="A127" s="100"/>
      <c r="B127" s="100"/>
      <c r="C127" s="100"/>
      <c r="D127" s="100"/>
      <c r="E127" s="100"/>
      <c r="F127" s="100"/>
      <c r="G127" s="103"/>
      <c r="H127" s="186"/>
      <c r="I127" s="195">
        <v>0.51</v>
      </c>
      <c r="J127" s="107">
        <v>0.49</v>
      </c>
      <c r="K127" s="107"/>
      <c r="L127" s="107"/>
      <c r="M127" s="187"/>
      <c r="N127" s="169">
        <f t="shared" si="29"/>
        <v>1</v>
      </c>
      <c r="O127" s="144">
        <v>1</v>
      </c>
      <c r="P127" s="145">
        <v>15</v>
      </c>
      <c r="Q127" s="113">
        <v>15</v>
      </c>
      <c r="R127" s="113"/>
      <c r="S127" s="113"/>
      <c r="T127" s="146"/>
      <c r="U127" s="148">
        <f t="shared" si="17"/>
        <v>15</v>
      </c>
      <c r="V127" s="149">
        <f t="shared" si="18"/>
        <v>15</v>
      </c>
      <c r="W127" s="189"/>
      <c r="X127" s="199"/>
      <c r="Y127" s="151"/>
      <c r="Z127" s="190"/>
      <c r="AA127" s="153"/>
      <c r="AB127" s="154">
        <f t="shared" si="19"/>
        <v>0</v>
      </c>
      <c r="AC127" s="149">
        <f t="shared" si="20"/>
        <v>0</v>
      </c>
      <c r="AD127" s="125">
        <v>2</v>
      </c>
      <c r="AE127" s="148">
        <f t="shared" si="21"/>
        <v>2</v>
      </c>
      <c r="AF127" s="156"/>
      <c r="AG127" s="156"/>
      <c r="AH127" s="113">
        <f t="shared" si="22"/>
        <v>17</v>
      </c>
      <c r="AI127" s="157">
        <v>65</v>
      </c>
      <c r="AJ127" s="113">
        <f t="shared" si="23"/>
        <v>82</v>
      </c>
      <c r="AK127" s="113">
        <f t="shared" si="24"/>
        <v>82</v>
      </c>
      <c r="AL127" s="158">
        <f t="shared" si="25"/>
        <v>1.02</v>
      </c>
      <c r="AM127" s="159"/>
      <c r="AN127" s="160">
        <f t="shared" si="30"/>
        <v>1</v>
      </c>
      <c r="AO127" s="160">
        <f t="shared" si="30"/>
        <v>2</v>
      </c>
      <c r="AP127" s="133"/>
      <c r="AQ127" s="134"/>
      <c r="AR127" s="161"/>
      <c r="AS127" s="161"/>
      <c r="AT127" s="161"/>
      <c r="AU127" s="161"/>
      <c r="AV127" s="162"/>
      <c r="AW127" s="137">
        <f t="shared" si="26"/>
        <v>0</v>
      </c>
      <c r="AX127" s="137">
        <f t="shared" si="27"/>
        <v>0</v>
      </c>
    </row>
    <row r="128" ht="47.25" customHeight="1" spans="1:50" s="56" customFormat="1" x14ac:dyDescent="0.25">
      <c r="A128" s="100"/>
      <c r="B128" s="100"/>
      <c r="C128" s="100"/>
      <c r="D128" s="100"/>
      <c r="E128" s="100"/>
      <c r="F128" s="100"/>
      <c r="G128" s="103"/>
      <c r="H128" s="186"/>
      <c r="I128" s="195">
        <v>0.51</v>
      </c>
      <c r="J128" s="107">
        <v>0.49</v>
      </c>
      <c r="K128" s="107"/>
      <c r="L128" s="107"/>
      <c r="M128" s="187"/>
      <c r="N128" s="169">
        <f t="shared" si="29"/>
        <v>1</v>
      </c>
      <c r="O128" s="144">
        <v>1</v>
      </c>
      <c r="P128" s="145">
        <v>15</v>
      </c>
      <c r="Q128" s="113">
        <v>15</v>
      </c>
      <c r="R128" s="113"/>
      <c r="S128" s="113"/>
      <c r="T128" s="146"/>
      <c r="U128" s="148">
        <f t="shared" si="17"/>
        <v>15</v>
      </c>
      <c r="V128" s="149">
        <f t="shared" si="18"/>
        <v>15</v>
      </c>
      <c r="W128" s="189"/>
      <c r="X128" s="199"/>
      <c r="Y128" s="151"/>
      <c r="Z128" s="190"/>
      <c r="AA128" s="153"/>
      <c r="AB128" s="154">
        <f t="shared" si="19"/>
        <v>0</v>
      </c>
      <c r="AC128" s="149">
        <f t="shared" si="20"/>
        <v>0</v>
      </c>
      <c r="AD128" s="125">
        <v>2</v>
      </c>
      <c r="AE128" s="148">
        <f t="shared" si="21"/>
        <v>2</v>
      </c>
      <c r="AF128" s="156"/>
      <c r="AG128" s="156"/>
      <c r="AH128" s="113">
        <f t="shared" si="22"/>
        <v>17</v>
      </c>
      <c r="AI128" s="157">
        <v>65</v>
      </c>
      <c r="AJ128" s="113">
        <f t="shared" si="23"/>
        <v>82</v>
      </c>
      <c r="AK128" s="113">
        <f t="shared" si="24"/>
        <v>82</v>
      </c>
      <c r="AL128" s="158">
        <f t="shared" si="25"/>
        <v>1.02</v>
      </c>
      <c r="AM128" s="159"/>
      <c r="AN128" s="160">
        <f t="shared" si="30"/>
        <v>1</v>
      </c>
      <c r="AO128" s="160">
        <f t="shared" si="30"/>
        <v>2</v>
      </c>
      <c r="AP128" s="133"/>
      <c r="AQ128" s="134"/>
      <c r="AR128" s="161"/>
      <c r="AS128" s="161"/>
      <c r="AT128" s="161"/>
      <c r="AU128" s="161"/>
      <c r="AV128" s="162"/>
      <c r="AW128" s="137">
        <f t="shared" si="26"/>
        <v>0</v>
      </c>
      <c r="AX128" s="137">
        <f t="shared" si="27"/>
        <v>0</v>
      </c>
    </row>
    <row r="129" ht="46.5" customHeight="1" spans="1:50" s="97" customFormat="1" x14ac:dyDescent="0.25">
      <c r="A129" s="100"/>
      <c r="B129" s="100"/>
      <c r="C129" s="100"/>
      <c r="D129" s="100"/>
      <c r="E129" s="100"/>
      <c r="F129" s="100"/>
      <c r="G129" s="103"/>
      <c r="H129" s="186"/>
      <c r="I129" s="195">
        <v>0.51</v>
      </c>
      <c r="J129" s="107">
        <v>0.49</v>
      </c>
      <c r="K129" s="107"/>
      <c r="L129" s="107"/>
      <c r="M129" s="187"/>
      <c r="N129" s="169">
        <f t="shared" si="29"/>
        <v>1</v>
      </c>
      <c r="O129" s="144">
        <v>1</v>
      </c>
      <c r="P129" s="145">
        <v>15</v>
      </c>
      <c r="Q129" s="113">
        <v>15</v>
      </c>
      <c r="R129" s="113"/>
      <c r="S129" s="113"/>
      <c r="T129" s="146"/>
      <c r="U129" s="148">
        <f t="shared" si="17"/>
        <v>15</v>
      </c>
      <c r="V129" s="149">
        <f t="shared" si="18"/>
        <v>15</v>
      </c>
      <c r="W129" s="189"/>
      <c r="X129" s="199"/>
      <c r="Y129" s="151"/>
      <c r="Z129" s="190"/>
      <c r="AA129" s="153"/>
      <c r="AB129" s="154">
        <f t="shared" si="19"/>
        <v>0</v>
      </c>
      <c r="AC129" s="149">
        <f t="shared" si="20"/>
        <v>0</v>
      </c>
      <c r="AD129" s="125">
        <v>2</v>
      </c>
      <c r="AE129" s="148">
        <f t="shared" si="21"/>
        <v>2</v>
      </c>
      <c r="AF129" s="156"/>
      <c r="AG129" s="156"/>
      <c r="AH129" s="113">
        <f t="shared" si="22"/>
        <v>17</v>
      </c>
      <c r="AI129" s="157">
        <v>65</v>
      </c>
      <c r="AJ129" s="113">
        <f t="shared" si="23"/>
        <v>82</v>
      </c>
      <c r="AK129" s="113">
        <f t="shared" si="24"/>
        <v>82</v>
      </c>
      <c r="AL129" s="158">
        <f t="shared" si="25"/>
        <v>1.02</v>
      </c>
      <c r="AM129" s="159"/>
      <c r="AN129" s="160">
        <f t="shared" si="30"/>
        <v>1</v>
      </c>
      <c r="AO129" s="160">
        <f t="shared" si="30"/>
        <v>2</v>
      </c>
      <c r="AP129" s="133"/>
      <c r="AQ129" s="134"/>
      <c r="AR129" s="161"/>
      <c r="AS129" s="161"/>
      <c r="AT129" s="161"/>
      <c r="AU129" s="161"/>
      <c r="AV129" s="162"/>
      <c r="AW129" s="137">
        <f t="shared" si="26"/>
        <v>0</v>
      </c>
      <c r="AX129" s="137">
        <f t="shared" si="27"/>
        <v>0</v>
      </c>
    </row>
    <row r="130" ht="46.5" customHeight="1" spans="1:50" s="97" customFormat="1" x14ac:dyDescent="0.25">
      <c r="A130" s="100"/>
      <c r="B130" s="100"/>
      <c r="C130" s="100"/>
      <c r="D130" s="100"/>
      <c r="E130" s="100"/>
      <c r="F130" s="100"/>
      <c r="G130" s="103"/>
      <c r="H130" s="186"/>
      <c r="I130" s="195">
        <v>0.51</v>
      </c>
      <c r="J130" s="107">
        <v>0.49</v>
      </c>
      <c r="K130" s="107"/>
      <c r="L130" s="107"/>
      <c r="M130" s="187"/>
      <c r="N130" s="169">
        <f t="shared" si="29"/>
        <v>1</v>
      </c>
      <c r="O130" s="144">
        <v>1</v>
      </c>
      <c r="P130" s="145">
        <v>15</v>
      </c>
      <c r="Q130" s="113">
        <v>15</v>
      </c>
      <c r="R130" s="113"/>
      <c r="S130" s="113"/>
      <c r="T130" s="146"/>
      <c r="U130" s="148">
        <f t="shared" si="17"/>
        <v>15</v>
      </c>
      <c r="V130" s="149">
        <f t="shared" si="18"/>
        <v>15</v>
      </c>
      <c r="W130" s="189"/>
      <c r="X130" s="199"/>
      <c r="Y130" s="151"/>
      <c r="Z130" s="190"/>
      <c r="AA130" s="153"/>
      <c r="AB130" s="154">
        <f t="shared" si="19"/>
        <v>0</v>
      </c>
      <c r="AC130" s="149">
        <f t="shared" si="20"/>
        <v>0</v>
      </c>
      <c r="AD130" s="125">
        <v>2</v>
      </c>
      <c r="AE130" s="148">
        <f t="shared" si="21"/>
        <v>2</v>
      </c>
      <c r="AF130" s="156"/>
      <c r="AG130" s="156"/>
      <c r="AH130" s="113">
        <f t="shared" si="22"/>
        <v>17</v>
      </c>
      <c r="AI130" s="157">
        <v>65</v>
      </c>
      <c r="AJ130" s="113">
        <f t="shared" si="23"/>
        <v>82</v>
      </c>
      <c r="AK130" s="113">
        <f t="shared" si="24"/>
        <v>82</v>
      </c>
      <c r="AL130" s="158">
        <f t="shared" si="25"/>
        <v>1.02</v>
      </c>
      <c r="AM130" s="159"/>
      <c r="AN130" s="160">
        <f t="shared" si="30"/>
        <v>1</v>
      </c>
      <c r="AO130" s="160">
        <f t="shared" si="30"/>
        <v>2</v>
      </c>
      <c r="AP130" s="133"/>
      <c r="AQ130" s="134"/>
      <c r="AR130" s="161"/>
      <c r="AS130" s="161"/>
      <c r="AT130" s="161"/>
      <c r="AU130" s="161"/>
      <c r="AV130" s="162"/>
      <c r="AW130" s="137">
        <f t="shared" si="26"/>
        <v>0</v>
      </c>
      <c r="AX130" s="137">
        <f t="shared" si="27"/>
        <v>0</v>
      </c>
    </row>
    <row r="131" ht="47.25" customHeight="1" spans="1:50" s="97" customFormat="1" x14ac:dyDescent="0.25">
      <c r="A131" s="100"/>
      <c r="B131" s="100"/>
      <c r="C131" s="100"/>
      <c r="D131" s="100"/>
      <c r="E131" s="100"/>
      <c r="F131" s="100"/>
      <c r="G131" s="103"/>
      <c r="H131" s="186"/>
      <c r="I131" s="195">
        <v>0.51</v>
      </c>
      <c r="J131" s="107">
        <v>0.49</v>
      </c>
      <c r="K131" s="107"/>
      <c r="L131" s="107"/>
      <c r="M131" s="187"/>
      <c r="N131" s="169">
        <f t="shared" si="29"/>
        <v>1</v>
      </c>
      <c r="O131" s="144">
        <v>1</v>
      </c>
      <c r="P131" s="145">
        <v>15</v>
      </c>
      <c r="Q131" s="113">
        <v>15</v>
      </c>
      <c r="R131" s="113"/>
      <c r="S131" s="113"/>
      <c r="T131" s="146"/>
      <c r="U131" s="148">
        <f t="shared" si="17"/>
        <v>15</v>
      </c>
      <c r="V131" s="149">
        <f t="shared" si="18"/>
        <v>15</v>
      </c>
      <c r="W131" s="189"/>
      <c r="X131" s="199"/>
      <c r="Y131" s="151"/>
      <c r="Z131" s="190"/>
      <c r="AA131" s="153"/>
      <c r="AB131" s="154">
        <f t="shared" si="19"/>
        <v>0</v>
      </c>
      <c r="AC131" s="149">
        <f t="shared" si="20"/>
        <v>0</v>
      </c>
      <c r="AD131" s="125">
        <v>2</v>
      </c>
      <c r="AE131" s="148">
        <f t="shared" si="21"/>
        <v>2</v>
      </c>
      <c r="AF131" s="156"/>
      <c r="AG131" s="156"/>
      <c r="AH131" s="113">
        <f t="shared" si="22"/>
        <v>17</v>
      </c>
      <c r="AI131" s="157">
        <v>65</v>
      </c>
      <c r="AJ131" s="113">
        <f t="shared" si="23"/>
        <v>82</v>
      </c>
      <c r="AK131" s="113">
        <f t="shared" si="24"/>
        <v>82</v>
      </c>
      <c r="AL131" s="158">
        <f t="shared" si="25"/>
        <v>1.02</v>
      </c>
      <c r="AM131" s="159"/>
      <c r="AN131" s="160">
        <f t="shared" ref="AN131:AO136" si="31">100%+AM131</f>
        <v>1</v>
      </c>
      <c r="AO131" s="160">
        <f t="shared" si="31"/>
        <v>2</v>
      </c>
      <c r="AP131" s="133"/>
      <c r="AQ131" s="134"/>
      <c r="AR131" s="161"/>
      <c r="AS131" s="161"/>
      <c r="AT131" s="161"/>
      <c r="AU131" s="161"/>
      <c r="AV131" s="162"/>
      <c r="AW131" s="137">
        <f t="shared" si="26"/>
        <v>0</v>
      </c>
      <c r="AX131" s="137">
        <f t="shared" si="27"/>
        <v>0</v>
      </c>
    </row>
    <row r="132" ht="47.25" customHeight="1" spans="1:50" s="56" customFormat="1" x14ac:dyDescent="0.25">
      <c r="A132" s="100"/>
      <c r="B132" s="100"/>
      <c r="C132" s="100"/>
      <c r="D132" s="100"/>
      <c r="E132" s="100"/>
      <c r="F132" s="100"/>
      <c r="G132" s="103"/>
      <c r="H132" s="186"/>
      <c r="I132" s="195">
        <v>0.51</v>
      </c>
      <c r="J132" s="107">
        <v>0.49</v>
      </c>
      <c r="K132" s="107"/>
      <c r="L132" s="107"/>
      <c r="M132" s="187"/>
      <c r="N132" s="169">
        <f t="shared" si="29"/>
        <v>1</v>
      </c>
      <c r="O132" s="144">
        <v>1</v>
      </c>
      <c r="P132" s="145">
        <v>15</v>
      </c>
      <c r="Q132" s="113">
        <v>15</v>
      </c>
      <c r="R132" s="113"/>
      <c r="S132" s="113"/>
      <c r="T132" s="146"/>
      <c r="U132" s="148">
        <f t="shared" si="17"/>
        <v>15</v>
      </c>
      <c r="V132" s="149">
        <f t="shared" si="18"/>
        <v>15</v>
      </c>
      <c r="W132" s="189"/>
      <c r="X132" s="199"/>
      <c r="Y132" s="151"/>
      <c r="Z132" s="190"/>
      <c r="AA132" s="153"/>
      <c r="AB132" s="154">
        <f t="shared" si="19"/>
        <v>0</v>
      </c>
      <c r="AC132" s="149">
        <f t="shared" si="20"/>
        <v>0</v>
      </c>
      <c r="AD132" s="125">
        <v>2</v>
      </c>
      <c r="AE132" s="148">
        <f t="shared" si="21"/>
        <v>2</v>
      </c>
      <c r="AF132" s="156"/>
      <c r="AG132" s="156"/>
      <c r="AH132" s="113">
        <f t="shared" si="22"/>
        <v>17</v>
      </c>
      <c r="AI132" s="157">
        <v>65</v>
      </c>
      <c r="AJ132" s="113">
        <f t="shared" si="23"/>
        <v>82</v>
      </c>
      <c r="AK132" s="113">
        <f t="shared" si="24"/>
        <v>82</v>
      </c>
      <c r="AL132" s="158">
        <f t="shared" si="25"/>
        <v>1.02</v>
      </c>
      <c r="AM132" s="159"/>
      <c r="AN132" s="160">
        <f t="shared" si="31"/>
        <v>1</v>
      </c>
      <c r="AO132" s="160">
        <f t="shared" si="31"/>
        <v>2</v>
      </c>
      <c r="AP132" s="133"/>
      <c r="AQ132" s="134"/>
      <c r="AR132" s="161"/>
      <c r="AS132" s="161"/>
      <c r="AT132" s="161"/>
      <c r="AU132" s="161"/>
      <c r="AV132" s="162"/>
      <c r="AW132" s="137">
        <f t="shared" si="26"/>
        <v>0</v>
      </c>
      <c r="AX132" s="137">
        <f t="shared" si="27"/>
        <v>0</v>
      </c>
    </row>
    <row r="133" ht="46.5" customHeight="1" spans="1:50" s="97" customFormat="1" x14ac:dyDescent="0.25">
      <c r="A133" s="100"/>
      <c r="B133" s="100"/>
      <c r="C133" s="100"/>
      <c r="D133" s="100"/>
      <c r="E133" s="100"/>
      <c r="F133" s="100"/>
      <c r="G133" s="103"/>
      <c r="H133" s="186"/>
      <c r="I133" s="195">
        <v>0.51</v>
      </c>
      <c r="J133" s="107">
        <v>0.49</v>
      </c>
      <c r="K133" s="107"/>
      <c r="L133" s="107"/>
      <c r="M133" s="187"/>
      <c r="N133" s="169">
        <f t="shared" si="29"/>
        <v>1</v>
      </c>
      <c r="O133" s="144">
        <v>1</v>
      </c>
      <c r="P133" s="145">
        <v>15</v>
      </c>
      <c r="Q133" s="113">
        <v>15</v>
      </c>
      <c r="R133" s="113"/>
      <c r="S133" s="113"/>
      <c r="T133" s="146"/>
      <c r="U133" s="148">
        <f t="shared" si="17"/>
        <v>15</v>
      </c>
      <c r="V133" s="149">
        <f t="shared" si="18"/>
        <v>15</v>
      </c>
      <c r="W133" s="189"/>
      <c r="X133" s="199"/>
      <c r="Y133" s="151"/>
      <c r="Z133" s="190"/>
      <c r="AA133" s="153"/>
      <c r="AB133" s="154">
        <f t="shared" si="19"/>
        <v>0</v>
      </c>
      <c r="AC133" s="149">
        <f t="shared" si="20"/>
        <v>0</v>
      </c>
      <c r="AD133" s="125">
        <v>2</v>
      </c>
      <c r="AE133" s="148">
        <f t="shared" si="21"/>
        <v>2</v>
      </c>
      <c r="AF133" s="156"/>
      <c r="AG133" s="156"/>
      <c r="AH133" s="113">
        <f t="shared" si="22"/>
        <v>17</v>
      </c>
      <c r="AI133" s="157">
        <v>65</v>
      </c>
      <c r="AJ133" s="113">
        <f t="shared" si="23"/>
        <v>82</v>
      </c>
      <c r="AK133" s="113">
        <f t="shared" si="24"/>
        <v>82</v>
      </c>
      <c r="AL133" s="158">
        <f t="shared" si="25"/>
        <v>1.02</v>
      </c>
      <c r="AM133" s="159"/>
      <c r="AN133" s="160">
        <f t="shared" si="31"/>
        <v>1</v>
      </c>
      <c r="AO133" s="160">
        <f t="shared" si="31"/>
        <v>2</v>
      </c>
      <c r="AP133" s="133"/>
      <c r="AQ133" s="134"/>
      <c r="AR133" s="161"/>
      <c r="AS133" s="161"/>
      <c r="AT133" s="161"/>
      <c r="AU133" s="161"/>
      <c r="AV133" s="162"/>
      <c r="AW133" s="137">
        <f t="shared" si="26"/>
        <v>0</v>
      </c>
      <c r="AX133" s="137">
        <f t="shared" si="27"/>
        <v>0</v>
      </c>
    </row>
    <row r="134" ht="47.25" customHeight="1" spans="1:50" s="56" customFormat="1" x14ac:dyDescent="0.25">
      <c r="A134" s="100"/>
      <c r="B134" s="100"/>
      <c r="C134" s="100"/>
      <c r="D134" s="100"/>
      <c r="E134" s="100"/>
      <c r="F134" s="100"/>
      <c r="G134" s="103"/>
      <c r="H134" s="186"/>
      <c r="I134" s="195">
        <v>0.51</v>
      </c>
      <c r="J134" s="107">
        <v>0.49</v>
      </c>
      <c r="K134" s="107"/>
      <c r="L134" s="107"/>
      <c r="M134" s="187"/>
      <c r="N134" s="169">
        <f t="shared" si="29"/>
        <v>1</v>
      </c>
      <c r="O134" s="144">
        <v>1</v>
      </c>
      <c r="P134" s="145">
        <v>15</v>
      </c>
      <c r="Q134" s="113">
        <v>15</v>
      </c>
      <c r="R134" s="113"/>
      <c r="S134" s="113"/>
      <c r="T134" s="146"/>
      <c r="U134" s="148">
        <f t="shared" si="17"/>
        <v>15</v>
      </c>
      <c r="V134" s="149">
        <f t="shared" si="18"/>
        <v>15</v>
      </c>
      <c r="W134" s="189"/>
      <c r="X134" s="199"/>
      <c r="Y134" s="151"/>
      <c r="Z134" s="190"/>
      <c r="AA134" s="153"/>
      <c r="AB134" s="154">
        <f t="shared" si="19"/>
        <v>0</v>
      </c>
      <c r="AC134" s="149">
        <f t="shared" si="20"/>
        <v>0</v>
      </c>
      <c r="AD134" s="125">
        <v>2</v>
      </c>
      <c r="AE134" s="148">
        <f t="shared" si="21"/>
        <v>2</v>
      </c>
      <c r="AF134" s="156"/>
      <c r="AG134" s="156"/>
      <c r="AH134" s="113">
        <f t="shared" si="22"/>
        <v>17</v>
      </c>
      <c r="AI134" s="157">
        <v>65</v>
      </c>
      <c r="AJ134" s="113">
        <f t="shared" si="23"/>
        <v>82</v>
      </c>
      <c r="AK134" s="113">
        <f t="shared" si="24"/>
        <v>82</v>
      </c>
      <c r="AL134" s="158">
        <f t="shared" si="25"/>
        <v>1.02</v>
      </c>
      <c r="AM134" s="159"/>
      <c r="AN134" s="160">
        <f t="shared" si="31"/>
        <v>1</v>
      </c>
      <c r="AO134" s="160">
        <f t="shared" si="31"/>
        <v>2</v>
      </c>
      <c r="AP134" s="133"/>
      <c r="AQ134" s="134"/>
      <c r="AR134" s="161"/>
      <c r="AS134" s="161"/>
      <c r="AT134" s="161"/>
      <c r="AU134" s="161"/>
      <c r="AV134" s="162"/>
      <c r="AW134" s="137">
        <f t="shared" si="26"/>
        <v>0</v>
      </c>
      <c r="AX134" s="137">
        <f t="shared" si="27"/>
        <v>0</v>
      </c>
    </row>
    <row r="135" ht="47.25" customHeight="1" spans="1:50" s="97" customFormat="1" x14ac:dyDescent="0.25">
      <c r="A135" s="100"/>
      <c r="B135" s="100"/>
      <c r="C135" s="100"/>
      <c r="D135" s="100"/>
      <c r="E135" s="100"/>
      <c r="F135" s="100"/>
      <c r="G135" s="103"/>
      <c r="H135" s="186"/>
      <c r="I135" s="195">
        <v>0.51</v>
      </c>
      <c r="J135" s="107">
        <v>0.49</v>
      </c>
      <c r="K135" s="107"/>
      <c r="L135" s="107"/>
      <c r="M135" s="187"/>
      <c r="N135" s="169">
        <f t="shared" si="29"/>
        <v>1</v>
      </c>
      <c r="O135" s="144">
        <v>1</v>
      </c>
      <c r="P135" s="145">
        <v>15</v>
      </c>
      <c r="Q135" s="113">
        <v>15</v>
      </c>
      <c r="R135" s="113"/>
      <c r="S135" s="113"/>
      <c r="T135" s="146"/>
      <c r="U135" s="148">
        <f t="shared" si="17"/>
        <v>15</v>
      </c>
      <c r="V135" s="149">
        <f t="shared" si="18"/>
        <v>15</v>
      </c>
      <c r="W135" s="189"/>
      <c r="X135" s="199"/>
      <c r="Y135" s="151"/>
      <c r="Z135" s="190"/>
      <c r="AA135" s="153"/>
      <c r="AB135" s="154">
        <f t="shared" si="19"/>
        <v>0</v>
      </c>
      <c r="AC135" s="149">
        <f t="shared" si="20"/>
        <v>0</v>
      </c>
      <c r="AD135" s="125">
        <v>2</v>
      </c>
      <c r="AE135" s="148">
        <f t="shared" si="21"/>
        <v>2</v>
      </c>
      <c r="AF135" s="156"/>
      <c r="AG135" s="156"/>
      <c r="AH135" s="113">
        <f t="shared" si="22"/>
        <v>17</v>
      </c>
      <c r="AI135" s="157">
        <v>65</v>
      </c>
      <c r="AJ135" s="113">
        <f t="shared" si="23"/>
        <v>82</v>
      </c>
      <c r="AK135" s="113">
        <f t="shared" si="24"/>
        <v>82</v>
      </c>
      <c r="AL135" s="158">
        <f t="shared" si="25"/>
        <v>1.02</v>
      </c>
      <c r="AM135" s="159"/>
      <c r="AN135" s="160">
        <f t="shared" si="31"/>
        <v>1</v>
      </c>
      <c r="AO135" s="160">
        <f t="shared" si="31"/>
        <v>2</v>
      </c>
      <c r="AP135" s="133"/>
      <c r="AQ135" s="134"/>
      <c r="AR135" s="161"/>
      <c r="AS135" s="161"/>
      <c r="AT135" s="161"/>
      <c r="AU135" s="161"/>
      <c r="AV135" s="162"/>
      <c r="AW135" s="137">
        <f t="shared" si="26"/>
        <v>0</v>
      </c>
      <c r="AX135" s="137">
        <f t="shared" si="27"/>
        <v>0</v>
      </c>
    </row>
    <row r="136" ht="46.5" customHeight="1" spans="1:50" s="97" customFormat="1" x14ac:dyDescent="0.25">
      <c r="A136" s="100"/>
      <c r="B136" s="100"/>
      <c r="C136" s="100"/>
      <c r="D136" s="100"/>
      <c r="E136" s="100"/>
      <c r="F136" s="100"/>
      <c r="G136" s="103"/>
      <c r="H136" s="186"/>
      <c r="I136" s="195">
        <v>0.51</v>
      </c>
      <c r="J136" s="107">
        <v>0.49</v>
      </c>
      <c r="K136" s="107"/>
      <c r="L136" s="107"/>
      <c r="M136" s="187"/>
      <c r="N136" s="169">
        <f t="shared" si="29"/>
        <v>1</v>
      </c>
      <c r="O136" s="144">
        <v>1</v>
      </c>
      <c r="P136" s="145">
        <v>15</v>
      </c>
      <c r="Q136" s="113">
        <v>15</v>
      </c>
      <c r="R136" s="113"/>
      <c r="S136" s="113"/>
      <c r="T136" s="146"/>
      <c r="U136" s="148">
        <f t="shared" si="17"/>
        <v>15</v>
      </c>
      <c r="V136" s="149">
        <f t="shared" si="18"/>
        <v>15</v>
      </c>
      <c r="W136" s="189"/>
      <c r="X136" s="199"/>
      <c r="Y136" s="151"/>
      <c r="Z136" s="190"/>
      <c r="AA136" s="153"/>
      <c r="AB136" s="154">
        <f t="shared" si="19"/>
        <v>0</v>
      </c>
      <c r="AC136" s="149">
        <f t="shared" si="20"/>
        <v>0</v>
      </c>
      <c r="AD136" s="125">
        <v>2</v>
      </c>
      <c r="AE136" s="148">
        <f t="shared" si="21"/>
        <v>2</v>
      </c>
      <c r="AF136" s="156"/>
      <c r="AG136" s="156"/>
      <c r="AH136" s="113">
        <f t="shared" si="22"/>
        <v>17</v>
      </c>
      <c r="AI136" s="157">
        <v>65</v>
      </c>
      <c r="AJ136" s="113">
        <f t="shared" si="23"/>
        <v>82</v>
      </c>
      <c r="AK136" s="113">
        <f t="shared" si="24"/>
        <v>82</v>
      </c>
      <c r="AL136" s="158">
        <f t="shared" si="25"/>
        <v>1.02</v>
      </c>
      <c r="AM136" s="159"/>
      <c r="AN136" s="160">
        <f t="shared" si="31"/>
        <v>1</v>
      </c>
      <c r="AO136" s="160">
        <f t="shared" si="31"/>
        <v>2</v>
      </c>
      <c r="AP136" s="133"/>
      <c r="AQ136" s="134"/>
      <c r="AR136" s="161"/>
      <c r="AS136" s="161"/>
      <c r="AT136" s="161"/>
      <c r="AU136" s="161"/>
      <c r="AV136" s="162"/>
      <c r="AW136" s="137">
        <f t="shared" si="26"/>
        <v>0</v>
      </c>
      <c r="AX136" s="137">
        <f t="shared" si="27"/>
        <v>0</v>
      </c>
    </row>
  </sheetData>
  <mergeCells count="54">
    <mergeCell ref="D1:E1"/>
    <mergeCell ref="F1:G1"/>
    <mergeCell ref="I1:J1"/>
    <mergeCell ref="Y1:Z1"/>
    <mergeCell ref="AA1:AC1"/>
    <mergeCell ref="AD1:AE1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AS2:AT2"/>
    <mergeCell ref="C3:H3"/>
    <mergeCell ref="I3:M3"/>
    <mergeCell ref="P3:U3"/>
    <mergeCell ref="W3:AE3"/>
    <mergeCell ref="A3:A4"/>
    <mergeCell ref="B3:B4"/>
    <mergeCell ref="N3:N4"/>
    <mergeCell ref="O3:O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6:H6"/>
    <mergeCell ref="A8:H8"/>
    <mergeCell ref="A10:H10"/>
    <mergeCell ref="A12:H12"/>
    <mergeCell ref="A14:H14"/>
    <mergeCell ref="A16:H16"/>
    <mergeCell ref="A18:H18"/>
    <mergeCell ref="A20:H20"/>
    <mergeCell ref="A22:H22"/>
    <mergeCell ref="A24:H24"/>
    <mergeCell ref="A26:H26"/>
    <mergeCell ref="A28:H28"/>
    <mergeCell ref="A30:H30"/>
    <mergeCell ref="A32:H32"/>
    <mergeCell ref="A34:H34"/>
    <mergeCell ref="A36:H36"/>
  </mergeCells>
  <pageMargins left="0.7" right="0.7" top="0.75" bottom="0.75" header="0.3" footer="0.3"/>
  <pageSetup paperSize="9" orientation="portrait" horizontalDpi="4294967295" verticalDpi="4294967295" scale="40" fitToWidth="1" fitToHeight="1" firstPageNumber="1" useFirstPageNumber="1" copies="1"/>
</worksheet>
</file>

<file path=xl/worksheets/sheet8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X136"/>
  <sheetViews>
    <sheetView workbookViewId="0" zoomScale="80" zoomScaleNormal="80">
      <selection activeCell="J16" sqref="J16"/>
    </sheetView>
  </sheetViews>
  <sheetFormatPr defaultRowHeight="13.5" outlineLevelRow="0" outlineLevelCol="0" x14ac:dyDescent="0.15" defaultColWidth="8.88671875" customHeight="1"/>
  <cols>
    <col min="1" max="1" width="5.33203125" style="1" customWidth="1"/>
    <col min="2" max="2" width="5.109375" style="2" customWidth="1"/>
    <col min="3" max="3" width="8.33203125" style="3" customWidth="1"/>
    <col min="4" max="7" width="8.33203125" style="1" customWidth="1"/>
    <col min="8" max="13" width="8.109375" style="1" customWidth="1"/>
    <col min="14" max="15" width="5.88671875" style="1" customWidth="1"/>
    <col min="16" max="21" width="7.5546875" style="1" customWidth="1"/>
    <col min="22" max="22" width="7.6640625" style="4" hidden="1" customWidth="1"/>
    <col min="23" max="27" width="8.33203125" style="1" customWidth="1"/>
    <col min="28" max="28" width="7.6640625" style="1" customWidth="1"/>
    <col min="29" max="29" width="7.6640625" style="4" hidden="1" customWidth="1"/>
    <col min="30" max="31" width="7.6640625" style="4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 customWidth="1"/>
    <col min="49" max="50" width="15.109375" style="1" customWidth="1"/>
    <col min="51" max="16384" width="8.88671875" style="1" customWidth="1"/>
  </cols>
  <sheetData>
    <row r="1" ht="32.25" customHeight="1" spans="3:42" x14ac:dyDescent="0.25">
      <c r="C1" s="5" t="s">
        <v>0</v>
      </c>
      <c r="D1" s="6">
        <v>4748830000</v>
      </c>
      <c r="E1" s="7"/>
      <c r="F1" s="6"/>
      <c r="G1" s="7"/>
      <c r="H1" s="8" t="s">
        <v>1</v>
      </c>
      <c r="I1" s="9">
        <v>7160032000</v>
      </c>
      <c r="J1" s="9"/>
      <c r="K1" s="220" t="s">
        <v>259</v>
      </c>
      <c r="L1" s="11"/>
      <c r="M1" s="11"/>
      <c r="N1" s="12"/>
      <c r="O1" s="12"/>
      <c r="P1" s="12"/>
      <c r="Q1" s="12"/>
      <c r="R1" s="12"/>
      <c r="S1" s="12"/>
      <c r="T1" s="12"/>
      <c r="U1" s="12"/>
      <c r="V1" s="12"/>
      <c r="W1" s="12"/>
      <c r="X1" s="13"/>
      <c r="Y1" s="14" t="s">
        <v>3</v>
      </c>
      <c r="Z1" s="14"/>
      <c r="AA1" s="15" t="s">
        <v>4</v>
      </c>
      <c r="AB1" s="16"/>
      <c r="AC1" s="17"/>
      <c r="AD1" s="18" t="s">
        <v>5</v>
      </c>
      <c r="AE1" s="19"/>
      <c r="AF1" s="20"/>
      <c r="AG1" s="21" t="s">
        <v>260</v>
      </c>
      <c r="AH1" s="22"/>
      <c r="AI1" s="23">
        <f>D1</f>
        <v>4748830000</v>
      </c>
      <c r="AJ1" s="24"/>
      <c r="AK1" s="24"/>
      <c r="AL1" s="25" t="s">
        <v>7</v>
      </c>
      <c r="AM1" s="26"/>
      <c r="AN1" s="26"/>
      <c r="AO1" s="26"/>
      <c r="AP1" s="12"/>
    </row>
    <row r="2" ht="29.25" customHeight="1" spans="1:49" s="27" customFormat="1" x14ac:dyDescent="0.25">
      <c r="A2" s="20"/>
      <c r="B2" s="28"/>
      <c r="C2" s="29" t="s">
        <v>8</v>
      </c>
      <c r="D2" s="30">
        <v>5223713000</v>
      </c>
      <c r="E2" s="31"/>
      <c r="F2" s="32"/>
      <c r="G2" s="33"/>
      <c r="H2" s="5" t="s">
        <v>9</v>
      </c>
      <c r="I2" s="34">
        <f>D2*1</f>
        <v>5223713000</v>
      </c>
      <c r="J2" s="32"/>
      <c r="K2" s="35" t="s">
        <v>10</v>
      </c>
      <c r="L2" s="36" t="s">
        <v>11</v>
      </c>
      <c r="M2" s="37">
        <v>45961.42361111111</v>
      </c>
      <c r="N2" s="37"/>
      <c r="O2" s="37"/>
      <c r="P2" s="37"/>
      <c r="Q2" s="38" t="s">
        <v>261</v>
      </c>
      <c r="R2" s="38"/>
      <c r="S2" s="38"/>
      <c r="T2" s="39"/>
      <c r="U2" s="40"/>
      <c r="V2" s="40"/>
      <c r="W2" s="41"/>
      <c r="X2" s="42"/>
      <c r="Y2" s="202">
        <v>854500000</v>
      </c>
      <c r="Z2" s="202"/>
      <c r="AA2" s="44">
        <f>I1</f>
        <v>7160032000</v>
      </c>
      <c r="AB2" s="45"/>
      <c r="AC2" s="46"/>
      <c r="AD2" s="47">
        <f>TRUNC(Y2/AA2,4)</f>
        <v>0.1193</v>
      </c>
      <c r="AE2" s="48"/>
      <c r="AF2" s="49"/>
      <c r="AG2" s="50"/>
      <c r="AH2" s="50"/>
      <c r="AI2" s="50"/>
      <c r="AJ2" s="50"/>
      <c r="AK2" s="50"/>
      <c r="AL2" s="50"/>
      <c r="AM2" s="50"/>
      <c r="AN2" s="51" t="s">
        <v>172</v>
      </c>
      <c r="AP2" s="1"/>
      <c r="AQ2" s="1"/>
      <c r="AR2" s="52" t="s">
        <v>15</v>
      </c>
      <c r="AS2" s="53">
        <f>AI1</f>
        <v>4748830000</v>
      </c>
      <c r="AT2" s="54"/>
      <c r="AW2" s="55"/>
    </row>
    <row r="3" ht="24.95" customHeight="1" spans="1:50" s="56" customFormat="1" x14ac:dyDescent="0.25">
      <c r="A3" s="57" t="s">
        <v>16</v>
      </c>
      <c r="B3" s="58" t="s">
        <v>17</v>
      </c>
      <c r="C3" s="59" t="s">
        <v>18</v>
      </c>
      <c r="D3" s="60"/>
      <c r="E3" s="60"/>
      <c r="F3" s="60"/>
      <c r="G3" s="60"/>
      <c r="H3" s="61"/>
      <c r="I3" s="59" t="s">
        <v>19</v>
      </c>
      <c r="J3" s="60"/>
      <c r="K3" s="60"/>
      <c r="L3" s="60"/>
      <c r="M3" s="61"/>
      <c r="N3" s="62" t="s">
        <v>20</v>
      </c>
      <c r="O3" s="63" t="s">
        <v>21</v>
      </c>
      <c r="P3" s="59" t="s">
        <v>22</v>
      </c>
      <c r="Q3" s="60"/>
      <c r="R3" s="64"/>
      <c r="S3" s="64"/>
      <c r="T3" s="60"/>
      <c r="U3" s="61"/>
      <c r="V3" s="65"/>
      <c r="W3" s="59" t="s">
        <v>23</v>
      </c>
      <c r="X3" s="60"/>
      <c r="Y3" s="60"/>
      <c r="Z3" s="60"/>
      <c r="AA3" s="60"/>
      <c r="AB3" s="60"/>
      <c r="AC3" s="60"/>
      <c r="AD3" s="60"/>
      <c r="AE3" s="61"/>
      <c r="AF3" s="60"/>
      <c r="AG3" s="60"/>
      <c r="AH3" s="60"/>
      <c r="AI3" s="60"/>
      <c r="AJ3" s="60"/>
      <c r="AK3" s="61"/>
      <c r="AL3" s="66" t="s">
        <v>24</v>
      </c>
      <c r="AM3" s="67" t="s">
        <v>25</v>
      </c>
      <c r="AN3" s="68" t="s">
        <v>26</v>
      </c>
      <c r="AO3" s="69" t="s">
        <v>27</v>
      </c>
      <c r="AP3" s="70" t="s">
        <v>28</v>
      </c>
      <c r="AQ3" s="65" t="s">
        <v>29</v>
      </c>
      <c r="AR3" s="67" t="s">
        <v>30</v>
      </c>
      <c r="AS3" s="65" t="s">
        <v>31</v>
      </c>
      <c r="AT3" s="65" t="s">
        <v>32</v>
      </c>
      <c r="AU3" s="65" t="s">
        <v>33</v>
      </c>
      <c r="AV3" s="71" t="s">
        <v>34</v>
      </c>
      <c r="AW3" s="65" t="s">
        <v>35</v>
      </c>
      <c r="AX3" s="65" t="s">
        <v>36</v>
      </c>
    </row>
    <row r="4" ht="39.75" customHeight="1" spans="1:50" s="56" customFormat="1" x14ac:dyDescent="0.25">
      <c r="A4" s="72"/>
      <c r="B4" s="73"/>
      <c r="C4" s="74" t="s">
        <v>37</v>
      </c>
      <c r="D4" s="75" t="s">
        <v>38</v>
      </c>
      <c r="E4" s="76" t="s">
        <v>39</v>
      </c>
      <c r="F4" s="76" t="s">
        <v>40</v>
      </c>
      <c r="G4" s="77" t="s">
        <v>41</v>
      </c>
      <c r="H4" s="65" t="s">
        <v>100</v>
      </c>
      <c r="I4" s="78" t="s">
        <v>37</v>
      </c>
      <c r="J4" s="79" t="s">
        <v>38</v>
      </c>
      <c r="K4" s="75" t="s">
        <v>39</v>
      </c>
      <c r="L4" s="75" t="s">
        <v>40</v>
      </c>
      <c r="M4" s="80" t="s">
        <v>41</v>
      </c>
      <c r="N4" s="81"/>
      <c r="O4" s="82"/>
      <c r="P4" s="78" t="s">
        <v>37</v>
      </c>
      <c r="Q4" s="79" t="s">
        <v>38</v>
      </c>
      <c r="R4" s="75" t="s">
        <v>39</v>
      </c>
      <c r="S4" s="75" t="s">
        <v>40</v>
      </c>
      <c r="T4" s="80" t="s">
        <v>41</v>
      </c>
      <c r="U4" s="83" t="s">
        <v>42</v>
      </c>
      <c r="V4" s="84" t="s">
        <v>43</v>
      </c>
      <c r="W4" s="85" t="s">
        <v>37</v>
      </c>
      <c r="X4" s="79" t="s">
        <v>38</v>
      </c>
      <c r="Y4" s="79" t="s">
        <v>39</v>
      </c>
      <c r="Z4" s="79" t="s">
        <v>40</v>
      </c>
      <c r="AA4" s="80" t="s">
        <v>41</v>
      </c>
      <c r="AB4" s="86" t="s">
        <v>44</v>
      </c>
      <c r="AC4" s="87" t="s">
        <v>45</v>
      </c>
      <c r="AD4" s="88" t="s">
        <v>46</v>
      </c>
      <c r="AE4" s="88" t="s">
        <v>47</v>
      </c>
      <c r="AF4" s="89" t="s">
        <v>48</v>
      </c>
      <c r="AG4" s="89" t="s">
        <v>49</v>
      </c>
      <c r="AH4" s="90" t="s">
        <v>50</v>
      </c>
      <c r="AI4" s="91" t="s">
        <v>51</v>
      </c>
      <c r="AJ4" s="91"/>
      <c r="AK4" s="91" t="s">
        <v>52</v>
      </c>
      <c r="AL4" s="92"/>
      <c r="AM4" s="93"/>
      <c r="AN4" s="94"/>
      <c r="AO4" s="95"/>
      <c r="AP4" s="70"/>
      <c r="AQ4" s="65"/>
      <c r="AR4" s="93"/>
      <c r="AS4" s="65"/>
      <c r="AT4" s="65"/>
      <c r="AU4" s="65"/>
      <c r="AV4" s="96"/>
      <c r="AW4" s="65"/>
      <c r="AX4" s="65"/>
    </row>
    <row r="5" ht="46.5" customHeight="1" spans="1:50" s="97" customFormat="1" x14ac:dyDescent="0.25">
      <c r="A5" s="98">
        <v>1</v>
      </c>
      <c r="B5" s="163"/>
      <c r="C5" s="212" t="s">
        <v>54</v>
      </c>
      <c r="D5" s="174" t="s">
        <v>262</v>
      </c>
      <c r="E5" s="163"/>
      <c r="F5" s="102"/>
      <c r="G5" s="103"/>
      <c r="H5" s="104"/>
      <c r="I5" s="166">
        <v>0.6</v>
      </c>
      <c r="J5" s="242">
        <v>0.1651</v>
      </c>
      <c r="K5" s="107">
        <v>0.1</v>
      </c>
      <c r="L5" s="108"/>
      <c r="M5" s="109"/>
      <c r="N5" s="110">
        <f>SUM(I5:M5)</f>
        <v>0.8651</v>
      </c>
      <c r="O5" s="111">
        <v>1.1</v>
      </c>
      <c r="P5" s="112">
        <v>15</v>
      </c>
      <c r="Q5" s="217">
        <v>15</v>
      </c>
      <c r="R5" s="112">
        <v>15</v>
      </c>
      <c r="S5" s="114"/>
      <c r="T5" s="115"/>
      <c r="U5" s="116">
        <f>ROUND(((P5*I5)+(Q5*J5)+(R5*K5)+(S5*L5)+(T5*M5))*O5,2)</f>
        <v>14.27</v>
      </c>
      <c r="V5" s="117">
        <f>IF(U5&gt;=15,15,U5)</f>
        <v>14.27</v>
      </c>
      <c r="W5" s="120">
        <v>75440266000</v>
      </c>
      <c r="X5" s="221">
        <v>1896430000</v>
      </c>
      <c r="Y5" s="120"/>
      <c r="Z5" s="121"/>
      <c r="AA5" s="122"/>
      <c r="AB5" s="123">
        <f>ROUND((((W5*I5)+(X5*J5)+(Y5*K5)+(Z5*L5)+(AA5*M5))/$I$2),2)*13</f>
        <v>113.49000000000001</v>
      </c>
      <c r="AC5" s="124">
        <f>IF(AB5&gt;=13,13,AB5)</f>
        <v>13</v>
      </c>
      <c r="AD5" s="257">
        <v>0</v>
      </c>
      <c r="AE5" s="116">
        <f>IF((AC5+AD5)&gt;=15,15,(AC5+AD5))</f>
        <v>13</v>
      </c>
      <c r="AF5" s="126">
        <f>1.5*I5</f>
        <v>0.8999999999999999</v>
      </c>
      <c r="AG5" s="127"/>
      <c r="AH5" s="128">
        <f>IF((V5+AE5+AF5)&gt;=30,30,(V5+AE5+AF5))</f>
        <v>28.169999999999998</v>
      </c>
      <c r="AI5" s="129">
        <v>65</v>
      </c>
      <c r="AJ5" s="128">
        <f>V5+AE5+AF5+AI5+AG5</f>
        <v>93.17</v>
      </c>
      <c r="AK5" s="128">
        <f>IF(AH5+AI5+AG5&gt;=95,95,AH5+AI5+AG5)</f>
        <v>93.17</v>
      </c>
      <c r="AL5" s="130">
        <f>-((50-((176+(45+(50-AH5)))))/200)</f>
        <v>0.96415</v>
      </c>
      <c r="AM5" s="131"/>
      <c r="AN5" s="132">
        <f>100%+AM5</f>
        <v>1</v>
      </c>
      <c r="AO5" s="132">
        <f>100%+AN5</f>
        <v>2</v>
      </c>
      <c r="AP5" s="133"/>
      <c r="AQ5" s="134"/>
      <c r="AR5" s="135"/>
      <c r="AS5" s="135"/>
      <c r="AT5" s="135"/>
      <c r="AU5" s="135"/>
      <c r="AV5" s="136"/>
      <c r="AW5" s="137">
        <f>AR5+AS5+AT5+AU5+AV5</f>
        <v>0</v>
      </c>
      <c r="AX5" s="137">
        <f>(AR5*I5)+(AS5*J5)+(AT5*K5)+(AU5*L5)+(AV5*M5)</f>
        <v>0</v>
      </c>
    </row>
    <row r="6" ht="21.95" customHeight="1" spans="1:50" s="97" customFormat="1" x14ac:dyDescent="0.25">
      <c r="A6" s="138" t="s">
        <v>56</v>
      </c>
      <c r="B6" s="139"/>
      <c r="C6" s="139"/>
      <c r="D6" s="139"/>
      <c r="E6" s="139"/>
      <c r="F6" s="139"/>
      <c r="G6" s="139"/>
      <c r="H6" s="140"/>
      <c r="I6" s="248">
        <v>85</v>
      </c>
      <c r="J6" s="142">
        <v>85</v>
      </c>
      <c r="K6" s="142"/>
      <c r="L6" s="142"/>
      <c r="M6" s="142"/>
      <c r="N6" s="143">
        <f>I6*I5+J6*J5+K6*K5+L6*L5+M6*M5</f>
        <v>65.0335</v>
      </c>
      <c r="O6" s="144"/>
      <c r="P6" s="145"/>
      <c r="Q6" s="113"/>
      <c r="R6" s="113"/>
      <c r="S6" s="146"/>
      <c r="T6" s="147"/>
      <c r="U6" s="148"/>
      <c r="V6" s="149"/>
      <c r="W6" s="150"/>
      <c r="X6" s="151"/>
      <c r="Y6" s="152"/>
      <c r="Z6" s="151"/>
      <c r="AA6" s="153"/>
      <c r="AB6" s="154"/>
      <c r="AC6" s="149"/>
      <c r="AD6" s="148"/>
      <c r="AE6" s="148"/>
      <c r="AF6" s="155"/>
      <c r="AG6" s="156"/>
      <c r="AH6" s="113"/>
      <c r="AI6" s="157"/>
      <c r="AJ6" s="113"/>
      <c r="AK6" s="113"/>
      <c r="AL6" s="158"/>
      <c r="AM6" s="159"/>
      <c r="AN6" s="160"/>
      <c r="AO6" s="160"/>
      <c r="AP6" s="133"/>
      <c r="AQ6" s="134"/>
      <c r="AR6" s="161"/>
      <c r="AS6" s="161"/>
      <c r="AT6" s="161"/>
      <c r="AU6" s="161"/>
      <c r="AV6" s="162"/>
      <c r="AW6" s="137"/>
      <c r="AX6" s="137"/>
    </row>
    <row r="7" ht="46.5" customHeight="1" spans="1:50" s="97" customFormat="1" x14ac:dyDescent="0.25">
      <c r="A7" s="98"/>
      <c r="B7" s="163"/>
      <c r="C7" s="101"/>
      <c r="D7" s="102"/>
      <c r="E7" s="163"/>
      <c r="F7" s="163"/>
      <c r="G7" s="103"/>
      <c r="H7" s="171"/>
      <c r="I7" s="166"/>
      <c r="J7" s="107"/>
      <c r="K7" s="107"/>
      <c r="L7" s="167"/>
      <c r="M7" s="168"/>
      <c r="N7" s="169">
        <f>SUM(I7:M7)</f>
        <v>0</v>
      </c>
      <c r="O7" s="144">
        <v>1</v>
      </c>
      <c r="P7" s="112"/>
      <c r="Q7" s="178"/>
      <c r="R7" s="112"/>
      <c r="S7" s="146"/>
      <c r="T7" s="147"/>
      <c r="U7" s="148">
        <f>ROUND(((P7*I7)+(Q7*J7)+(R7*K7)+(S7*L7)+(T7*M7))*O7,2)</f>
        <v>0</v>
      </c>
      <c r="V7" s="149">
        <f>IF(U7&gt;=15,15,U7)</f>
        <v>0</v>
      </c>
      <c r="W7" s="120"/>
      <c r="X7" s="120"/>
      <c r="Y7" s="120"/>
      <c r="Z7" s="151"/>
      <c r="AA7" s="153"/>
      <c r="AB7" s="154">
        <f>ROUND((((W7*I7)+(X7*J7)+(Y7*K7)+(Z7*L7)+(AA7*M7))/$I$2),2)*13</f>
        <v>0</v>
      </c>
      <c r="AC7" s="149">
        <f>IF(AB7&gt;=13,13,AB7)</f>
        <v>0</v>
      </c>
      <c r="AD7" s="125">
        <v>2</v>
      </c>
      <c r="AE7" s="148">
        <f>IF((AC7+AD7)&gt;=15,15,(AC7+AD7))</f>
        <v>2</v>
      </c>
      <c r="AF7" s="155"/>
      <c r="AG7" s="127"/>
      <c r="AH7" s="113">
        <f>IF((V7+AE7+AF7)&gt;=30,30,(V7+AE7+AF7))</f>
        <v>2</v>
      </c>
      <c r="AI7" s="157">
        <v>65</v>
      </c>
      <c r="AJ7" s="113">
        <f>V7+AE7+AF7+AI7+AG7</f>
        <v>67</v>
      </c>
      <c r="AK7" s="113">
        <f>IF(AH7+AI7+AG7&gt;=95,95,AH7+AI7+AG7)</f>
        <v>67</v>
      </c>
      <c r="AL7" s="158">
        <f>-((50-((176+(45+(50-AH7)))))/200)</f>
        <v>1.095</v>
      </c>
      <c r="AM7" s="159"/>
      <c r="AN7" s="160">
        <f>100%+AM7</f>
        <v>1</v>
      </c>
      <c r="AO7" s="160">
        <f>100%+AN7</f>
        <v>2</v>
      </c>
      <c r="AP7" s="133"/>
      <c r="AQ7" s="134"/>
      <c r="AR7" s="161"/>
      <c r="AS7" s="161"/>
      <c r="AT7" s="161"/>
      <c r="AU7" s="161"/>
      <c r="AV7" s="162"/>
      <c r="AW7" s="172">
        <f>AR7+AS7+AT7+AU7+AV7</f>
        <v>0</v>
      </c>
      <c r="AX7" s="172">
        <f>(AR7*I7)+(AS7*J7)+(AT7*K7)+(AU7*L7)+(AV7*M7)</f>
        <v>0</v>
      </c>
    </row>
    <row r="8" ht="21.95" customHeight="1" spans="1:50" s="97" customFormat="1" x14ac:dyDescent="0.25">
      <c r="A8" s="138" t="s">
        <v>56</v>
      </c>
      <c r="B8" s="139"/>
      <c r="C8" s="139"/>
      <c r="D8" s="139"/>
      <c r="E8" s="139"/>
      <c r="F8" s="139"/>
      <c r="G8" s="139"/>
      <c r="H8" s="140"/>
      <c r="I8" s="142">
        <v>85</v>
      </c>
      <c r="J8" s="142"/>
      <c r="K8" s="142"/>
      <c r="L8" s="142"/>
      <c r="M8" s="142"/>
      <c r="N8" s="143">
        <f>I8*I7+J8*J7+K8*K7+L8*L7+M8*M7</f>
        <v>0</v>
      </c>
      <c r="O8" s="144"/>
      <c r="P8" s="145"/>
      <c r="Q8" s="113"/>
      <c r="R8" s="113"/>
      <c r="S8" s="146"/>
      <c r="T8" s="147"/>
      <c r="U8" s="148"/>
      <c r="V8" s="149"/>
      <c r="W8" s="150"/>
      <c r="X8" s="151"/>
      <c r="Y8" s="152"/>
      <c r="Z8" s="151"/>
      <c r="AA8" s="153"/>
      <c r="AB8" s="154"/>
      <c r="AC8" s="149"/>
      <c r="AD8" s="148"/>
      <c r="AE8" s="148"/>
      <c r="AF8" s="155"/>
      <c r="AG8" s="156"/>
      <c r="AH8" s="113"/>
      <c r="AI8" s="157"/>
      <c r="AJ8" s="113"/>
      <c r="AK8" s="113"/>
      <c r="AL8" s="158"/>
      <c r="AM8" s="159"/>
      <c r="AN8" s="160"/>
      <c r="AO8" s="160"/>
      <c r="AP8" s="133"/>
      <c r="AQ8" s="134"/>
      <c r="AR8" s="161"/>
      <c r="AS8" s="161"/>
      <c r="AT8" s="161"/>
      <c r="AU8" s="161"/>
      <c r="AV8" s="162"/>
      <c r="AW8" s="137"/>
      <c r="AX8" s="137"/>
    </row>
    <row r="9" ht="46.5" customHeight="1" spans="1:50" s="97" customFormat="1" x14ac:dyDescent="0.25">
      <c r="A9" s="98"/>
      <c r="B9" s="163"/>
      <c r="C9" s="101"/>
      <c r="D9" s="203"/>
      <c r="E9" s="163"/>
      <c r="F9" s="163"/>
      <c r="G9" s="164"/>
      <c r="H9" s="165"/>
      <c r="I9" s="166"/>
      <c r="J9" s="175"/>
      <c r="K9" s="107"/>
      <c r="L9" s="167"/>
      <c r="M9" s="168"/>
      <c r="N9" s="169">
        <f>SUM(I9:M9)</f>
        <v>0</v>
      </c>
      <c r="O9" s="144">
        <v>1</v>
      </c>
      <c r="P9" s="112"/>
      <c r="Q9" s="178"/>
      <c r="R9" s="112"/>
      <c r="S9" s="113"/>
      <c r="T9" s="147"/>
      <c r="U9" s="148">
        <f>ROUND(((P9*I9)+(Q9*J9)+(R9*K9)+(S9*L9)+(T9*M9))*O9,2)</f>
        <v>0</v>
      </c>
      <c r="V9" s="149">
        <f>IF(U9&gt;=15,15,U9)</f>
        <v>0</v>
      </c>
      <c r="W9" s="120"/>
      <c r="X9" s="120"/>
      <c r="Y9" s="120"/>
      <c r="Z9" s="151"/>
      <c r="AA9" s="153"/>
      <c r="AB9" s="154">
        <f>ROUND((((W9*I9)+(X9*J9)+(Y9*K9)+(Z9*L9)+(AA9*M9))/$I$2),2)*13</f>
        <v>0</v>
      </c>
      <c r="AC9" s="149">
        <f>IF(AB9&gt;=13,13,AB9)</f>
        <v>0</v>
      </c>
      <c r="AD9" s="125">
        <v>2</v>
      </c>
      <c r="AE9" s="148">
        <f>IF((AC9+AD9)&gt;=15,15,(AC9+AD9))</f>
        <v>2</v>
      </c>
      <c r="AF9" s="155">
        <f>3*I9</f>
        <v>0</v>
      </c>
      <c r="AG9" s="127"/>
      <c r="AH9" s="113">
        <f>IF((V9+AE9+AF9)&gt;=30,30,(V9+AE9+AF9))</f>
        <v>2</v>
      </c>
      <c r="AI9" s="157">
        <v>65</v>
      </c>
      <c r="AJ9" s="113">
        <f>V9+AE9+AF9+AI9+AG9</f>
        <v>67</v>
      </c>
      <c r="AK9" s="113">
        <f>IF(AH9+AI9+AG9&gt;=95,95,AH9+AI9+AG9)</f>
        <v>67</v>
      </c>
      <c r="AL9" s="158">
        <f>-((50-((176+(45+(50-AH9)))))/200)</f>
        <v>1.095</v>
      </c>
      <c r="AM9" s="159"/>
      <c r="AN9" s="160">
        <f>100%+AM9</f>
        <v>1</v>
      </c>
      <c r="AO9" s="160">
        <f>100%+AN9</f>
        <v>2</v>
      </c>
      <c r="AP9" s="133"/>
      <c r="AQ9" s="134"/>
      <c r="AR9" s="161"/>
      <c r="AS9" s="161"/>
      <c r="AT9" s="161"/>
      <c r="AU9" s="161"/>
      <c r="AV9" s="162"/>
      <c r="AW9" s="137">
        <f>AR9+AS9+AT9+AU9+AV9</f>
        <v>0</v>
      </c>
      <c r="AX9" s="137">
        <f>(AR9*I9)+(AS9*J9)+(AT9*K9)+(AU9*L9)+(AV9*M9)</f>
        <v>0</v>
      </c>
    </row>
    <row r="10" ht="21.95" customHeight="1" spans="1:50" s="97" customFormat="1" x14ac:dyDescent="0.25">
      <c r="A10" s="138" t="s">
        <v>56</v>
      </c>
      <c r="B10" s="139"/>
      <c r="C10" s="139"/>
      <c r="D10" s="139"/>
      <c r="E10" s="139"/>
      <c r="F10" s="139"/>
      <c r="G10" s="139"/>
      <c r="H10" s="140"/>
      <c r="I10" s="248">
        <v>85</v>
      </c>
      <c r="J10" s="142">
        <v>85</v>
      </c>
      <c r="K10" s="142"/>
      <c r="L10" s="142"/>
      <c r="M10" s="142"/>
      <c r="N10" s="143">
        <f>I10*I9+J10*J9+K10*K9+L10*L9+M10*M9</f>
        <v>0</v>
      </c>
      <c r="O10" s="144"/>
      <c r="P10" s="145"/>
      <c r="Q10" s="113"/>
      <c r="R10" s="113"/>
      <c r="S10" s="146"/>
      <c r="T10" s="147"/>
      <c r="U10" s="148"/>
      <c r="V10" s="149"/>
      <c r="W10" s="150"/>
      <c r="X10" s="151"/>
      <c r="Y10" s="152"/>
      <c r="Z10" s="151"/>
      <c r="AA10" s="153"/>
      <c r="AB10" s="154"/>
      <c r="AC10" s="149"/>
      <c r="AD10" s="148"/>
      <c r="AE10" s="148"/>
      <c r="AF10" s="155"/>
      <c r="AG10" s="156"/>
      <c r="AH10" s="113"/>
      <c r="AI10" s="157"/>
      <c r="AJ10" s="113"/>
      <c r="AK10" s="113"/>
      <c r="AL10" s="158"/>
      <c r="AM10" s="159"/>
      <c r="AN10" s="160"/>
      <c r="AO10" s="160"/>
      <c r="AP10" s="133"/>
      <c r="AQ10" s="134"/>
      <c r="AR10" s="161"/>
      <c r="AS10" s="161"/>
      <c r="AT10" s="161"/>
      <c r="AU10" s="161"/>
      <c r="AV10" s="162"/>
      <c r="AW10" s="137"/>
      <c r="AX10" s="137"/>
    </row>
    <row r="11" ht="46.5" customHeight="1" spans="1:50" s="97" customFormat="1" x14ac:dyDescent="0.25">
      <c r="A11" s="98"/>
      <c r="B11" s="196"/>
      <c r="C11" s="101"/>
      <c r="D11" s="174"/>
      <c r="E11" s="163"/>
      <c r="F11" s="163"/>
      <c r="G11" s="103"/>
      <c r="H11" s="171"/>
      <c r="I11" s="166"/>
      <c r="J11" s="107"/>
      <c r="K11" s="107"/>
      <c r="L11" s="176"/>
      <c r="M11" s="168"/>
      <c r="N11" s="169">
        <f t="shared" ref="N11:N42" si="0">SUM(I11:M11)</f>
        <v>0</v>
      </c>
      <c r="O11" s="144">
        <v>1</v>
      </c>
      <c r="P11" s="112"/>
      <c r="Q11" s="112"/>
      <c r="R11" s="156"/>
      <c r="S11" s="113"/>
      <c r="T11" s="147"/>
      <c r="U11" s="148">
        <f t="shared" ref="U11:U74" si="1">ROUND(((P11*I11)+(Q11*J11)+(R11*K11)+(S11*L11)+(T11*M11))*O11,2)</f>
        <v>0</v>
      </c>
      <c r="V11" s="149">
        <f t="shared" ref="V11:V74" si="2">IF(U11&gt;=15,15,U11)</f>
        <v>0</v>
      </c>
      <c r="W11" s="192"/>
      <c r="X11" s="120"/>
      <c r="Y11" s="120"/>
      <c r="Z11" s="151"/>
      <c r="AA11" s="153"/>
      <c r="AB11" s="154">
        <f t="shared" ref="AB11:AB74" si="3">ROUND((((W11*I11)+(X11*J11)+(Y11*K11)+(Z11*L11)+(AA11*M11))/$I$2),2)*13</f>
        <v>0</v>
      </c>
      <c r="AC11" s="149">
        <f t="shared" ref="AC11:AC74" si="4">IF(AB11&gt;=13,13,AB11)</f>
        <v>0</v>
      </c>
      <c r="AD11" s="125">
        <v>2</v>
      </c>
      <c r="AE11" s="148">
        <f t="shared" ref="AE11:AE74" si="5">IF((AC11+AD11)&gt;=15,15,(AC11+AD11))</f>
        <v>2</v>
      </c>
      <c r="AF11" s="155"/>
      <c r="AG11" s="127"/>
      <c r="AH11" s="113">
        <f t="shared" ref="AH11:AH74" si="6">IF((V11+AE11+AF11)&gt;=30,30,(V11+AE11+AF11))</f>
        <v>2</v>
      </c>
      <c r="AI11" s="157">
        <v>65</v>
      </c>
      <c r="AJ11" s="113">
        <f t="shared" ref="AJ11:AJ74" si="7">V11+AE11+AF11+AI11+AG11</f>
        <v>67</v>
      </c>
      <c r="AK11" s="113">
        <f t="shared" ref="AK11:AK74" si="8">IF(AH11+AI11+AG11&gt;=95,95,AH11+AI11+AG11)</f>
        <v>67</v>
      </c>
      <c r="AL11" s="158">
        <f t="shared" ref="AL11:AL74" si="9">-((50-((176+(45+(50-AH11)))))/200)</f>
        <v>1.095</v>
      </c>
      <c r="AM11" s="159"/>
      <c r="AN11" s="160">
        <f t="shared" ref="AN11:AO27" si="10">100%+AM11</f>
        <v>1</v>
      </c>
      <c r="AO11" s="160">
        <f t="shared" si="10"/>
        <v>2</v>
      </c>
      <c r="AP11" s="133"/>
      <c r="AQ11" s="134"/>
      <c r="AR11" s="161"/>
      <c r="AS11" s="161"/>
      <c r="AT11" s="161"/>
      <c r="AU11" s="161"/>
      <c r="AV11" s="162"/>
      <c r="AW11" s="137">
        <f t="shared" ref="AW11:AW74" si="11">AR11+AS11+AT11+AU11+AV11</f>
        <v>0</v>
      </c>
      <c r="AX11" s="137">
        <f t="shared" ref="AX11:AX74" si="12">(AR11*I11)+(AS11*J11)+(AT11*K11)+(AU11*L11)+(AV11*M11)</f>
        <v>0</v>
      </c>
    </row>
    <row r="12" ht="21.95" customHeight="1" spans="1:50" s="97" customFormat="1" x14ac:dyDescent="0.25">
      <c r="A12" s="138" t="s">
        <v>56</v>
      </c>
      <c r="B12" s="139"/>
      <c r="C12" s="139"/>
      <c r="D12" s="139"/>
      <c r="E12" s="139"/>
      <c r="F12" s="139"/>
      <c r="G12" s="139"/>
      <c r="H12" s="140"/>
      <c r="I12" s="248">
        <v>85</v>
      </c>
      <c r="J12" s="142">
        <v>85</v>
      </c>
      <c r="K12" s="142"/>
      <c r="L12" s="142"/>
      <c r="M12" s="142"/>
      <c r="N12" s="143">
        <f>I12*I11+J12*J11+K12*K11+L12*L11+M12*M11</f>
        <v>0</v>
      </c>
      <c r="O12" s="144">
        <v>1</v>
      </c>
      <c r="P12" s="145"/>
      <c r="Q12" s="113"/>
      <c r="R12" s="113"/>
      <c r="S12" s="146"/>
      <c r="T12" s="147"/>
      <c r="U12" s="148"/>
      <c r="V12" s="149"/>
      <c r="W12" s="150"/>
      <c r="X12" s="151"/>
      <c r="Y12" s="152"/>
      <c r="Z12" s="151"/>
      <c r="AA12" s="153"/>
      <c r="AB12" s="154"/>
      <c r="AC12" s="149"/>
      <c r="AD12" s="148"/>
      <c r="AE12" s="148"/>
      <c r="AF12" s="155"/>
      <c r="AG12" s="156"/>
      <c r="AH12" s="113"/>
      <c r="AI12" s="157"/>
      <c r="AJ12" s="113"/>
      <c r="AK12" s="113"/>
      <c r="AL12" s="158"/>
      <c r="AM12" s="159"/>
      <c r="AN12" s="160"/>
      <c r="AO12" s="160"/>
      <c r="AP12" s="133"/>
      <c r="AQ12" s="134"/>
      <c r="AR12" s="161"/>
      <c r="AS12" s="161"/>
      <c r="AT12" s="161"/>
      <c r="AU12" s="161"/>
      <c r="AV12" s="162"/>
      <c r="AW12" s="137"/>
      <c r="AX12" s="137"/>
    </row>
    <row r="13" ht="46.5" customHeight="1" spans="1:50" s="97" customFormat="1" x14ac:dyDescent="0.25">
      <c r="A13" s="98"/>
      <c r="B13" s="196"/>
      <c r="C13" s="102"/>
      <c r="D13" s="174"/>
      <c r="E13" s="100"/>
      <c r="F13" s="163"/>
      <c r="G13" s="103"/>
      <c r="H13" s="171"/>
      <c r="I13" s="166"/>
      <c r="J13" s="106"/>
      <c r="K13" s="107"/>
      <c r="L13" s="167"/>
      <c r="M13" s="168"/>
      <c r="N13" s="169">
        <f t="shared" si="0"/>
        <v>0</v>
      </c>
      <c r="O13" s="144">
        <v>1</v>
      </c>
      <c r="P13" s="112"/>
      <c r="Q13" s="112"/>
      <c r="R13" s="113"/>
      <c r="S13" s="146"/>
      <c r="T13" s="147"/>
      <c r="U13" s="148">
        <f t="shared" si="1"/>
        <v>0</v>
      </c>
      <c r="V13" s="149">
        <f t="shared" si="2"/>
        <v>0</v>
      </c>
      <c r="W13" s="120"/>
      <c r="X13" s="120"/>
      <c r="Y13" s="120"/>
      <c r="Z13" s="151"/>
      <c r="AA13" s="153"/>
      <c r="AB13" s="154">
        <f t="shared" si="3"/>
        <v>0</v>
      </c>
      <c r="AC13" s="149">
        <f t="shared" si="4"/>
        <v>0</v>
      </c>
      <c r="AD13" s="125">
        <v>0</v>
      </c>
      <c r="AE13" s="148">
        <f t="shared" si="5"/>
        <v>0</v>
      </c>
      <c r="AF13" s="156">
        <f>0.5*J13</f>
        <v>0</v>
      </c>
      <c r="AG13" s="127"/>
      <c r="AH13" s="113">
        <f t="shared" si="6"/>
        <v>0</v>
      </c>
      <c r="AI13" s="157">
        <v>65</v>
      </c>
      <c r="AJ13" s="113">
        <f t="shared" si="7"/>
        <v>65</v>
      </c>
      <c r="AK13" s="113">
        <f t="shared" si="8"/>
        <v>65</v>
      </c>
      <c r="AL13" s="158">
        <f t="shared" si="9"/>
        <v>1.105</v>
      </c>
      <c r="AM13" s="159"/>
      <c r="AN13" s="160">
        <f t="shared" si="10"/>
        <v>1</v>
      </c>
      <c r="AO13" s="160">
        <f t="shared" si="10"/>
        <v>2</v>
      </c>
      <c r="AP13" s="133"/>
      <c r="AQ13" s="134"/>
      <c r="AR13" s="161"/>
      <c r="AS13" s="161"/>
      <c r="AT13" s="161"/>
      <c r="AU13" s="161"/>
      <c r="AV13" s="162"/>
      <c r="AW13" s="137">
        <f t="shared" si="11"/>
        <v>0</v>
      </c>
      <c r="AX13" s="137">
        <f t="shared" si="12"/>
        <v>0</v>
      </c>
    </row>
    <row r="14" ht="21.95" customHeight="1" spans="1:50" s="97" customFormat="1" x14ac:dyDescent="0.25">
      <c r="A14" s="138" t="s">
        <v>56</v>
      </c>
      <c r="B14" s="139"/>
      <c r="C14" s="139"/>
      <c r="D14" s="139"/>
      <c r="E14" s="139"/>
      <c r="F14" s="139"/>
      <c r="G14" s="139"/>
      <c r="H14" s="140"/>
      <c r="I14" s="248">
        <v>85</v>
      </c>
      <c r="J14" s="142">
        <v>85</v>
      </c>
      <c r="K14" s="142"/>
      <c r="L14" s="142"/>
      <c r="M14" s="142"/>
      <c r="N14" s="143">
        <f>I14*I13+J14*J13+K14*K13+L14*L13+M14*M13</f>
        <v>0</v>
      </c>
      <c r="O14" s="144"/>
      <c r="P14" s="145"/>
      <c r="Q14" s="113"/>
      <c r="R14" s="113"/>
      <c r="S14" s="146"/>
      <c r="T14" s="147"/>
      <c r="U14" s="148"/>
      <c r="V14" s="149"/>
      <c r="W14" s="150"/>
      <c r="X14" s="151"/>
      <c r="Y14" s="152"/>
      <c r="Z14" s="151"/>
      <c r="AA14" s="153"/>
      <c r="AB14" s="154"/>
      <c r="AC14" s="149"/>
      <c r="AD14" s="125"/>
      <c r="AE14" s="148"/>
      <c r="AF14" s="155"/>
      <c r="AG14" s="156"/>
      <c r="AH14" s="113"/>
      <c r="AI14" s="157"/>
      <c r="AJ14" s="113"/>
      <c r="AK14" s="113"/>
      <c r="AL14" s="158"/>
      <c r="AM14" s="159"/>
      <c r="AN14" s="160"/>
      <c r="AO14" s="160"/>
      <c r="AP14" s="133"/>
      <c r="AQ14" s="134"/>
      <c r="AR14" s="161"/>
      <c r="AS14" s="161"/>
      <c r="AT14" s="161"/>
      <c r="AU14" s="161"/>
      <c r="AV14" s="162"/>
      <c r="AW14" s="137"/>
      <c r="AX14" s="137"/>
    </row>
    <row r="15" ht="46.5" customHeight="1" spans="1:50" s="97" customFormat="1" x14ac:dyDescent="0.25">
      <c r="A15" s="98"/>
      <c r="B15" s="99"/>
      <c r="C15" s="174"/>
      <c r="D15" s="174"/>
      <c r="E15" s="163"/>
      <c r="F15" s="163"/>
      <c r="G15" s="103"/>
      <c r="H15" s="171"/>
      <c r="I15" s="106"/>
      <c r="J15" s="107"/>
      <c r="K15" s="107"/>
      <c r="L15" s="107"/>
      <c r="M15" s="187"/>
      <c r="N15" s="169">
        <f t="shared" si="0"/>
        <v>0</v>
      </c>
      <c r="O15" s="144">
        <v>1</v>
      </c>
      <c r="P15" s="178"/>
      <c r="Q15" s="112"/>
      <c r="R15" s="112"/>
      <c r="S15" s="113"/>
      <c r="T15" s="146"/>
      <c r="U15" s="148">
        <f t="shared" si="1"/>
        <v>0</v>
      </c>
      <c r="V15" s="149">
        <f t="shared" si="2"/>
        <v>0</v>
      </c>
      <c r="W15" s="183"/>
      <c r="X15" s="120"/>
      <c r="Y15" s="189"/>
      <c r="Z15" s="161"/>
      <c r="AA15" s="153"/>
      <c r="AB15" s="154">
        <f t="shared" si="3"/>
        <v>0</v>
      </c>
      <c r="AC15" s="149">
        <f t="shared" si="4"/>
        <v>0</v>
      </c>
      <c r="AD15" s="125">
        <v>0</v>
      </c>
      <c r="AE15" s="148">
        <f t="shared" si="5"/>
        <v>0</v>
      </c>
      <c r="AF15" s="156"/>
      <c r="AG15" s="127"/>
      <c r="AH15" s="113">
        <f t="shared" si="6"/>
        <v>0</v>
      </c>
      <c r="AI15" s="157">
        <v>65</v>
      </c>
      <c r="AJ15" s="113">
        <f t="shared" si="7"/>
        <v>65</v>
      </c>
      <c r="AK15" s="113">
        <f t="shared" si="8"/>
        <v>65</v>
      </c>
      <c r="AL15" s="158">
        <f t="shared" si="9"/>
        <v>1.105</v>
      </c>
      <c r="AM15" s="159"/>
      <c r="AN15" s="160">
        <f t="shared" si="10"/>
        <v>1</v>
      </c>
      <c r="AO15" s="160">
        <f t="shared" si="10"/>
        <v>2</v>
      </c>
      <c r="AP15" s="133"/>
      <c r="AQ15" s="134"/>
      <c r="AR15" s="161"/>
      <c r="AS15" s="161"/>
      <c r="AT15" s="161"/>
      <c r="AU15" s="161"/>
      <c r="AV15" s="162"/>
      <c r="AW15" s="137">
        <f t="shared" si="11"/>
        <v>0</v>
      </c>
      <c r="AX15" s="137">
        <f t="shared" si="12"/>
        <v>0</v>
      </c>
    </row>
    <row r="16" ht="21.95" customHeight="1" spans="1:50" s="97" customFormat="1" x14ac:dyDescent="0.25">
      <c r="A16" s="138" t="s">
        <v>56</v>
      </c>
      <c r="B16" s="139"/>
      <c r="C16" s="139"/>
      <c r="D16" s="139"/>
      <c r="E16" s="139"/>
      <c r="F16" s="139"/>
      <c r="G16" s="139"/>
      <c r="H16" s="140"/>
      <c r="I16" s="248">
        <v>85</v>
      </c>
      <c r="J16" s="142">
        <v>85</v>
      </c>
      <c r="K16" s="142">
        <v>85</v>
      </c>
      <c r="L16" s="142"/>
      <c r="M16" s="142"/>
      <c r="N16" s="143">
        <f>I16*I15+J16*J15+K16*K15+L16*L15+M16*M15</f>
        <v>0</v>
      </c>
      <c r="O16" s="144"/>
      <c r="P16" s="145"/>
      <c r="Q16" s="113"/>
      <c r="R16" s="113"/>
      <c r="S16" s="146"/>
      <c r="T16" s="147"/>
      <c r="U16" s="148"/>
      <c r="V16" s="149"/>
      <c r="W16" s="150"/>
      <c r="X16" s="151"/>
      <c r="Y16" s="152"/>
      <c r="Z16" s="151"/>
      <c r="AA16" s="153"/>
      <c r="AB16" s="154"/>
      <c r="AC16" s="149"/>
      <c r="AD16" s="148"/>
      <c r="AE16" s="148"/>
      <c r="AF16" s="155"/>
      <c r="AG16" s="156"/>
      <c r="AH16" s="113"/>
      <c r="AI16" s="157"/>
      <c r="AJ16" s="113"/>
      <c r="AK16" s="113"/>
      <c r="AL16" s="158"/>
      <c r="AM16" s="159"/>
      <c r="AN16" s="160"/>
      <c r="AO16" s="160"/>
      <c r="AP16" s="133"/>
      <c r="AQ16" s="134"/>
      <c r="AR16" s="161"/>
      <c r="AS16" s="161"/>
      <c r="AT16" s="161"/>
      <c r="AU16" s="161"/>
      <c r="AV16" s="162"/>
      <c r="AW16" s="137"/>
      <c r="AX16" s="137"/>
    </row>
    <row r="17" ht="46.5" customHeight="1" spans="1:50" s="97" customFormat="1" x14ac:dyDescent="0.25">
      <c r="A17" s="98"/>
      <c r="B17" s="102"/>
      <c r="C17" s="209"/>
      <c r="D17" s="174"/>
      <c r="E17" s="163"/>
      <c r="F17" s="163"/>
      <c r="G17" s="103"/>
      <c r="H17" s="186"/>
      <c r="I17" s="166"/>
      <c r="J17" s="107"/>
      <c r="K17" s="107"/>
      <c r="L17" s="107"/>
      <c r="M17" s="187"/>
      <c r="N17" s="169">
        <f t="shared" si="0"/>
        <v>0</v>
      </c>
      <c r="O17" s="144">
        <v>1</v>
      </c>
      <c r="P17" s="145"/>
      <c r="Q17" s="113"/>
      <c r="R17" s="113"/>
      <c r="S17" s="113"/>
      <c r="T17" s="146"/>
      <c r="U17" s="148">
        <f t="shared" si="1"/>
        <v>0</v>
      </c>
      <c r="V17" s="149">
        <f t="shared" si="2"/>
        <v>0</v>
      </c>
      <c r="W17" s="192"/>
      <c r="X17" s="183"/>
      <c r="Y17" s="120"/>
      <c r="Z17" s="190"/>
      <c r="AA17" s="153"/>
      <c r="AB17" s="154">
        <f t="shared" si="3"/>
        <v>0</v>
      </c>
      <c r="AC17" s="149">
        <f t="shared" si="4"/>
        <v>0</v>
      </c>
      <c r="AD17" s="125">
        <v>2</v>
      </c>
      <c r="AE17" s="148">
        <f t="shared" si="5"/>
        <v>2</v>
      </c>
      <c r="AF17" s="156">
        <f>0.5*I17</f>
        <v>0</v>
      </c>
      <c r="AG17" s="127"/>
      <c r="AH17" s="113">
        <f t="shared" si="6"/>
        <v>2</v>
      </c>
      <c r="AI17" s="157">
        <v>65</v>
      </c>
      <c r="AJ17" s="113">
        <f t="shared" si="7"/>
        <v>67</v>
      </c>
      <c r="AK17" s="113">
        <f t="shared" si="8"/>
        <v>67</v>
      </c>
      <c r="AL17" s="158">
        <f t="shared" si="9"/>
        <v>1.095</v>
      </c>
      <c r="AM17" s="159"/>
      <c r="AN17" s="160">
        <f t="shared" si="10"/>
        <v>1</v>
      </c>
      <c r="AO17" s="160">
        <f t="shared" si="10"/>
        <v>2</v>
      </c>
      <c r="AP17" s="133"/>
      <c r="AQ17" s="134"/>
      <c r="AR17" s="161"/>
      <c r="AS17" s="161"/>
      <c r="AT17" s="161"/>
      <c r="AU17" s="161"/>
      <c r="AV17" s="162"/>
      <c r="AW17" s="137">
        <f t="shared" si="11"/>
        <v>0</v>
      </c>
      <c r="AX17" s="137">
        <f t="shared" si="12"/>
        <v>0</v>
      </c>
    </row>
    <row r="18" ht="21.95" customHeight="1" spans="1:50" s="97" customFormat="1" x14ac:dyDescent="0.25">
      <c r="A18" s="138" t="s">
        <v>56</v>
      </c>
      <c r="B18" s="139"/>
      <c r="C18" s="139"/>
      <c r="D18" s="139"/>
      <c r="E18" s="139"/>
      <c r="F18" s="139"/>
      <c r="G18" s="139"/>
      <c r="H18" s="140"/>
      <c r="I18" s="248">
        <v>85</v>
      </c>
      <c r="J18" s="142">
        <v>85</v>
      </c>
      <c r="K18" s="142"/>
      <c r="L18" s="142"/>
      <c r="M18" s="142"/>
      <c r="N18" s="143">
        <f>I18*I17+J18*J17+K18*K17+L18*L17+M18*M17</f>
        <v>0</v>
      </c>
      <c r="O18" s="144"/>
      <c r="P18" s="145"/>
      <c r="Q18" s="113"/>
      <c r="R18" s="113"/>
      <c r="S18" s="146"/>
      <c r="T18" s="147"/>
      <c r="U18" s="148"/>
      <c r="V18" s="149"/>
      <c r="W18" s="150"/>
      <c r="X18" s="151"/>
      <c r="Y18" s="152"/>
      <c r="Z18" s="151"/>
      <c r="AA18" s="153"/>
      <c r="AB18" s="154"/>
      <c r="AC18" s="149"/>
      <c r="AD18" s="148"/>
      <c r="AE18" s="148"/>
      <c r="AF18" s="155"/>
      <c r="AG18" s="156"/>
      <c r="AH18" s="113"/>
      <c r="AI18" s="157"/>
      <c r="AJ18" s="113"/>
      <c r="AK18" s="113"/>
      <c r="AL18" s="158"/>
      <c r="AM18" s="159"/>
      <c r="AN18" s="160"/>
      <c r="AO18" s="160"/>
      <c r="AP18" s="133"/>
      <c r="AQ18" s="134"/>
      <c r="AR18" s="161"/>
      <c r="AS18" s="161"/>
      <c r="AT18" s="161"/>
      <c r="AU18" s="161"/>
      <c r="AV18" s="162"/>
      <c r="AW18" s="137"/>
      <c r="AX18" s="137"/>
    </row>
    <row r="19" ht="46.5" customHeight="1" spans="1:50" s="97" customFormat="1" x14ac:dyDescent="0.25">
      <c r="A19" s="98"/>
      <c r="B19" s="196"/>
      <c r="C19" s="203"/>
      <c r="D19" s="100"/>
      <c r="E19" s="100"/>
      <c r="F19" s="100"/>
      <c r="G19" s="103"/>
      <c r="H19" s="186"/>
      <c r="I19" s="195"/>
      <c r="J19" s="107"/>
      <c r="K19" s="107"/>
      <c r="L19" s="107"/>
      <c r="M19" s="187"/>
      <c r="N19" s="169">
        <f t="shared" si="0"/>
        <v>0</v>
      </c>
      <c r="O19" s="144">
        <v>1</v>
      </c>
      <c r="P19" s="145"/>
      <c r="Q19" s="113"/>
      <c r="R19" s="156"/>
      <c r="S19" s="113"/>
      <c r="T19" s="146"/>
      <c r="U19" s="148">
        <f t="shared" si="1"/>
        <v>0</v>
      </c>
      <c r="V19" s="149">
        <f t="shared" si="2"/>
        <v>0</v>
      </c>
      <c r="W19" s="197"/>
      <c r="X19" s="120"/>
      <c r="Y19" s="183"/>
      <c r="Z19" s="190"/>
      <c r="AA19" s="153"/>
      <c r="AB19" s="154">
        <f t="shared" si="3"/>
        <v>0</v>
      </c>
      <c r="AC19" s="149">
        <f t="shared" si="4"/>
        <v>0</v>
      </c>
      <c r="AD19" s="125">
        <v>2</v>
      </c>
      <c r="AE19" s="148">
        <f t="shared" si="5"/>
        <v>2</v>
      </c>
      <c r="AF19" s="156"/>
      <c r="AG19" s="127"/>
      <c r="AH19" s="113">
        <f t="shared" si="6"/>
        <v>2</v>
      </c>
      <c r="AI19" s="157">
        <v>65</v>
      </c>
      <c r="AJ19" s="113">
        <f t="shared" si="7"/>
        <v>67</v>
      </c>
      <c r="AK19" s="113">
        <f t="shared" si="8"/>
        <v>67</v>
      </c>
      <c r="AL19" s="158">
        <f t="shared" si="9"/>
        <v>1.095</v>
      </c>
      <c r="AM19" s="159"/>
      <c r="AN19" s="160">
        <f t="shared" si="10"/>
        <v>1</v>
      </c>
      <c r="AO19" s="160">
        <f t="shared" si="10"/>
        <v>2</v>
      </c>
      <c r="AP19" s="133"/>
      <c r="AQ19" s="134"/>
      <c r="AR19" s="161"/>
      <c r="AS19" s="161"/>
      <c r="AT19" s="161"/>
      <c r="AU19" s="161"/>
      <c r="AV19" s="162"/>
      <c r="AW19" s="137">
        <f t="shared" si="11"/>
        <v>0</v>
      </c>
      <c r="AX19" s="137">
        <f t="shared" si="12"/>
        <v>0</v>
      </c>
    </row>
    <row r="20" ht="21.95" customHeight="1" spans="1:50" s="97" customFormat="1" x14ac:dyDescent="0.25">
      <c r="A20" s="138" t="s">
        <v>56</v>
      </c>
      <c r="B20" s="139"/>
      <c r="C20" s="139"/>
      <c r="D20" s="139"/>
      <c r="E20" s="139"/>
      <c r="F20" s="139"/>
      <c r="G20" s="139"/>
      <c r="H20" s="140"/>
      <c r="I20" s="248">
        <v>85</v>
      </c>
      <c r="J20" s="142">
        <v>85</v>
      </c>
      <c r="K20" s="142"/>
      <c r="L20" s="142"/>
      <c r="M20" s="142"/>
      <c r="N20" s="143">
        <f>I20*I19+J20*J19+K20*K19+L20*L19+M20*M19</f>
        <v>0</v>
      </c>
      <c r="O20" s="144"/>
      <c r="P20" s="145"/>
      <c r="Q20" s="113"/>
      <c r="R20" s="113"/>
      <c r="S20" s="146"/>
      <c r="T20" s="147"/>
      <c r="U20" s="148"/>
      <c r="V20" s="149"/>
      <c r="W20" s="150"/>
      <c r="X20" s="151"/>
      <c r="Y20" s="152"/>
      <c r="Z20" s="151"/>
      <c r="AA20" s="153"/>
      <c r="AB20" s="154"/>
      <c r="AC20" s="149"/>
      <c r="AD20" s="148"/>
      <c r="AE20" s="148"/>
      <c r="AF20" s="155"/>
      <c r="AG20" s="156"/>
      <c r="AH20" s="113"/>
      <c r="AI20" s="157"/>
      <c r="AJ20" s="113"/>
      <c r="AK20" s="113"/>
      <c r="AL20" s="158"/>
      <c r="AM20" s="159"/>
      <c r="AN20" s="160"/>
      <c r="AO20" s="160"/>
      <c r="AP20" s="133"/>
      <c r="AQ20" s="134"/>
      <c r="AR20" s="161"/>
      <c r="AS20" s="161"/>
      <c r="AT20" s="161"/>
      <c r="AU20" s="161"/>
      <c r="AV20" s="162"/>
      <c r="AW20" s="137"/>
      <c r="AX20" s="137"/>
    </row>
    <row r="21" ht="46.5" customHeight="1" spans="1:50" s="97" customFormat="1" x14ac:dyDescent="0.25">
      <c r="A21" s="239"/>
      <c r="B21" s="100"/>
      <c r="C21" s="100"/>
      <c r="D21" s="174"/>
      <c r="E21" s="100"/>
      <c r="F21" s="100"/>
      <c r="G21" s="214"/>
      <c r="H21" s="186"/>
      <c r="I21" s="195">
        <v>0.7</v>
      </c>
      <c r="J21" s="107">
        <v>0.3</v>
      </c>
      <c r="K21" s="107"/>
      <c r="L21" s="107"/>
      <c r="M21" s="187"/>
      <c r="N21" s="169">
        <f t="shared" si="0"/>
        <v>1</v>
      </c>
      <c r="O21" s="144">
        <v>1</v>
      </c>
      <c r="P21" s="145"/>
      <c r="Q21" s="113"/>
      <c r="R21" s="113"/>
      <c r="S21" s="113"/>
      <c r="T21" s="146"/>
      <c r="U21" s="148">
        <f t="shared" si="1"/>
        <v>0</v>
      </c>
      <c r="V21" s="149">
        <f t="shared" si="2"/>
        <v>0</v>
      </c>
      <c r="W21" s="189"/>
      <c r="X21" s="199"/>
      <c r="Y21" s="151"/>
      <c r="Z21" s="190"/>
      <c r="AA21" s="153"/>
      <c r="AB21" s="154">
        <f t="shared" si="3"/>
        <v>0</v>
      </c>
      <c r="AC21" s="149">
        <f t="shared" si="4"/>
        <v>0</v>
      </c>
      <c r="AD21" s="125">
        <v>2</v>
      </c>
      <c r="AE21" s="148">
        <f t="shared" si="5"/>
        <v>2</v>
      </c>
      <c r="AF21" s="156"/>
      <c r="AG21" s="127"/>
      <c r="AH21" s="113">
        <f t="shared" si="6"/>
        <v>2</v>
      </c>
      <c r="AI21" s="157">
        <v>65</v>
      </c>
      <c r="AJ21" s="113">
        <f t="shared" si="7"/>
        <v>67</v>
      </c>
      <c r="AK21" s="113">
        <f t="shared" si="8"/>
        <v>67</v>
      </c>
      <c r="AL21" s="158">
        <f t="shared" si="9"/>
        <v>1.095</v>
      </c>
      <c r="AM21" s="159"/>
      <c r="AN21" s="160">
        <f t="shared" si="10"/>
        <v>1</v>
      </c>
      <c r="AO21" s="160">
        <f t="shared" si="10"/>
        <v>2</v>
      </c>
      <c r="AP21" s="133"/>
      <c r="AQ21" s="134"/>
      <c r="AR21" s="161"/>
      <c r="AS21" s="161"/>
      <c r="AT21" s="161"/>
      <c r="AU21" s="161"/>
      <c r="AV21" s="162"/>
      <c r="AW21" s="137">
        <f t="shared" si="11"/>
        <v>0</v>
      </c>
      <c r="AX21" s="137">
        <f t="shared" si="12"/>
        <v>0</v>
      </c>
    </row>
    <row r="22" ht="21.95" customHeight="1" spans="1:50" s="97" customFormat="1" x14ac:dyDescent="0.25">
      <c r="A22" s="138" t="s">
        <v>56</v>
      </c>
      <c r="B22" s="139"/>
      <c r="C22" s="139"/>
      <c r="D22" s="139"/>
      <c r="E22" s="139"/>
      <c r="F22" s="139"/>
      <c r="G22" s="139"/>
      <c r="H22" s="140"/>
      <c r="I22" s="248">
        <v>85</v>
      </c>
      <c r="J22" s="142">
        <v>85</v>
      </c>
      <c r="K22" s="142"/>
      <c r="L22" s="142"/>
      <c r="M22" s="142"/>
      <c r="N22" s="143">
        <f>I22*I21+J22*J21+K22*K21+L22*L21+M22*M21</f>
        <v>85</v>
      </c>
      <c r="O22" s="144"/>
      <c r="P22" s="145"/>
      <c r="Q22" s="113"/>
      <c r="R22" s="113"/>
      <c r="S22" s="146"/>
      <c r="T22" s="147"/>
      <c r="U22" s="148"/>
      <c r="V22" s="149"/>
      <c r="W22" s="150"/>
      <c r="X22" s="151"/>
      <c r="Y22" s="152"/>
      <c r="Z22" s="151"/>
      <c r="AA22" s="153"/>
      <c r="AB22" s="154"/>
      <c r="AC22" s="149"/>
      <c r="AD22" s="148"/>
      <c r="AE22" s="148"/>
      <c r="AF22" s="155"/>
      <c r="AG22" s="156"/>
      <c r="AH22" s="113"/>
      <c r="AI22" s="157"/>
      <c r="AJ22" s="113"/>
      <c r="AK22" s="113"/>
      <c r="AL22" s="158"/>
      <c r="AM22" s="159"/>
      <c r="AN22" s="160"/>
      <c r="AO22" s="160"/>
      <c r="AP22" s="133"/>
      <c r="AQ22" s="134"/>
      <c r="AR22" s="161"/>
      <c r="AS22" s="161"/>
      <c r="AT22" s="161"/>
      <c r="AU22" s="161"/>
      <c r="AV22" s="162"/>
      <c r="AW22" s="137"/>
      <c r="AX22" s="137"/>
    </row>
    <row r="23" ht="46.5" customHeight="1" spans="1:50" s="97" customFormat="1" x14ac:dyDescent="0.25">
      <c r="A23" s="239"/>
      <c r="B23" s="100"/>
      <c r="C23" s="209"/>
      <c r="D23" s="174"/>
      <c r="E23" s="100"/>
      <c r="F23" s="100"/>
      <c r="G23" s="103"/>
      <c r="H23" s="186"/>
      <c r="I23" s="195">
        <v>0.7</v>
      </c>
      <c r="J23" s="107">
        <v>0.3</v>
      </c>
      <c r="K23" s="107"/>
      <c r="L23" s="107"/>
      <c r="M23" s="187"/>
      <c r="N23" s="169">
        <f t="shared" si="0"/>
        <v>1</v>
      </c>
      <c r="O23" s="144">
        <v>1</v>
      </c>
      <c r="P23" s="145">
        <v>15</v>
      </c>
      <c r="Q23" s="113">
        <v>15</v>
      </c>
      <c r="R23" s="113"/>
      <c r="S23" s="113"/>
      <c r="T23" s="146"/>
      <c r="U23" s="148">
        <f t="shared" si="1"/>
        <v>15</v>
      </c>
      <c r="V23" s="149">
        <f t="shared" si="2"/>
        <v>15</v>
      </c>
      <c r="W23" s="192"/>
      <c r="X23" s="161"/>
      <c r="Y23" s="151"/>
      <c r="Z23" s="190"/>
      <c r="AA23" s="153"/>
      <c r="AB23" s="154">
        <f t="shared" si="3"/>
        <v>0</v>
      </c>
      <c r="AC23" s="149">
        <f t="shared" si="4"/>
        <v>0</v>
      </c>
      <c r="AD23" s="125">
        <v>2</v>
      </c>
      <c r="AE23" s="148">
        <f t="shared" si="5"/>
        <v>2</v>
      </c>
      <c r="AF23" s="156"/>
      <c r="AG23" s="127"/>
      <c r="AH23" s="113">
        <f t="shared" si="6"/>
        <v>17</v>
      </c>
      <c r="AI23" s="157">
        <v>65</v>
      </c>
      <c r="AJ23" s="113">
        <f t="shared" si="7"/>
        <v>82</v>
      </c>
      <c r="AK23" s="113">
        <f t="shared" si="8"/>
        <v>82</v>
      </c>
      <c r="AL23" s="158">
        <f t="shared" si="9"/>
        <v>1.02</v>
      </c>
      <c r="AM23" s="159"/>
      <c r="AN23" s="160">
        <f t="shared" si="10"/>
        <v>1</v>
      </c>
      <c r="AO23" s="160">
        <f t="shared" si="10"/>
        <v>2</v>
      </c>
      <c r="AP23" s="133"/>
      <c r="AQ23" s="134"/>
      <c r="AR23" s="161"/>
      <c r="AS23" s="161"/>
      <c r="AT23" s="161"/>
      <c r="AU23" s="161"/>
      <c r="AV23" s="162"/>
      <c r="AW23" s="137">
        <f t="shared" si="11"/>
        <v>0</v>
      </c>
      <c r="AX23" s="137">
        <f t="shared" si="12"/>
        <v>0</v>
      </c>
    </row>
    <row r="24" ht="21.95" customHeight="1" spans="1:50" s="97" customFormat="1" x14ac:dyDescent="0.25">
      <c r="A24" s="138" t="s">
        <v>56</v>
      </c>
      <c r="B24" s="139"/>
      <c r="C24" s="139"/>
      <c r="D24" s="139"/>
      <c r="E24" s="139"/>
      <c r="F24" s="139"/>
      <c r="G24" s="139"/>
      <c r="H24" s="140"/>
      <c r="I24" s="248">
        <v>85</v>
      </c>
      <c r="J24" s="142">
        <v>85</v>
      </c>
      <c r="K24" s="142"/>
      <c r="L24" s="142"/>
      <c r="M24" s="142"/>
      <c r="N24" s="143">
        <f>I24*I23+J24*J23+K24*K23+L24*L23+M24*M23</f>
        <v>85</v>
      </c>
      <c r="O24" s="144"/>
      <c r="P24" s="145"/>
      <c r="Q24" s="113"/>
      <c r="R24" s="113"/>
      <c r="S24" s="146"/>
      <c r="T24" s="147"/>
      <c r="U24" s="148"/>
      <c r="V24" s="149"/>
      <c r="W24" s="150"/>
      <c r="X24" s="151"/>
      <c r="Y24" s="152"/>
      <c r="Z24" s="151"/>
      <c r="AA24" s="153"/>
      <c r="AB24" s="154"/>
      <c r="AC24" s="149"/>
      <c r="AD24" s="148"/>
      <c r="AE24" s="148"/>
      <c r="AF24" s="155"/>
      <c r="AG24" s="156"/>
      <c r="AH24" s="113"/>
      <c r="AI24" s="157"/>
      <c r="AJ24" s="113"/>
      <c r="AK24" s="113"/>
      <c r="AL24" s="158"/>
      <c r="AM24" s="159"/>
      <c r="AN24" s="160"/>
      <c r="AO24" s="160"/>
      <c r="AP24" s="133"/>
      <c r="AQ24" s="134"/>
      <c r="AR24" s="161"/>
      <c r="AS24" s="161"/>
      <c r="AT24" s="161"/>
      <c r="AU24" s="161"/>
      <c r="AV24" s="162"/>
      <c r="AW24" s="137"/>
      <c r="AX24" s="137"/>
    </row>
    <row r="25" ht="46.5" customHeight="1" spans="1:50" s="97" customFormat="1" x14ac:dyDescent="0.25">
      <c r="A25" s="239"/>
      <c r="B25" s="100"/>
      <c r="C25" s="209"/>
      <c r="D25" s="205"/>
      <c r="E25" s="100"/>
      <c r="F25" s="100"/>
      <c r="G25" s="103"/>
      <c r="H25" s="171" t="s">
        <v>241</v>
      </c>
      <c r="I25" s="195">
        <v>0.7</v>
      </c>
      <c r="J25" s="226">
        <v>0.1695</v>
      </c>
      <c r="K25" s="107"/>
      <c r="L25" s="107"/>
      <c r="M25" s="187"/>
      <c r="N25" s="169">
        <f t="shared" si="0"/>
        <v>0.8694999999999999</v>
      </c>
      <c r="O25" s="144">
        <v>1</v>
      </c>
      <c r="P25" s="145">
        <v>15</v>
      </c>
      <c r="Q25" s="113">
        <v>15</v>
      </c>
      <c r="R25" s="113"/>
      <c r="S25" s="113"/>
      <c r="T25" s="146"/>
      <c r="U25" s="148">
        <f t="shared" si="1"/>
        <v>13.04</v>
      </c>
      <c r="V25" s="149">
        <f t="shared" si="2"/>
        <v>13.04</v>
      </c>
      <c r="W25" s="192"/>
      <c r="X25" s="199"/>
      <c r="Y25" s="151"/>
      <c r="Z25" s="190"/>
      <c r="AA25" s="153"/>
      <c r="AB25" s="154">
        <f t="shared" si="3"/>
        <v>0</v>
      </c>
      <c r="AC25" s="149">
        <f t="shared" si="4"/>
        <v>0</v>
      </c>
      <c r="AD25" s="125">
        <v>0</v>
      </c>
      <c r="AE25" s="148">
        <f t="shared" si="5"/>
        <v>0</v>
      </c>
      <c r="AF25" s="156">
        <f>3*I25</f>
        <v>2.0999999999999996</v>
      </c>
      <c r="AG25" s="127"/>
      <c r="AH25" s="113">
        <f t="shared" si="6"/>
        <v>15.139999999999999</v>
      </c>
      <c r="AI25" s="157">
        <v>65</v>
      </c>
      <c r="AJ25" s="113">
        <f t="shared" si="7"/>
        <v>80.14</v>
      </c>
      <c r="AK25" s="113">
        <f t="shared" si="8"/>
        <v>80.14</v>
      </c>
      <c r="AL25" s="158">
        <f t="shared" si="9"/>
        <v>1.0293</v>
      </c>
      <c r="AM25" s="159"/>
      <c r="AN25" s="160">
        <f t="shared" si="10"/>
        <v>1</v>
      </c>
      <c r="AO25" s="160">
        <f t="shared" si="10"/>
        <v>2</v>
      </c>
      <c r="AP25" s="133"/>
      <c r="AQ25" s="134"/>
      <c r="AR25" s="161"/>
      <c r="AS25" s="161"/>
      <c r="AT25" s="161"/>
      <c r="AU25" s="161"/>
      <c r="AV25" s="162"/>
      <c r="AW25" s="137">
        <f t="shared" si="11"/>
        <v>0</v>
      </c>
      <c r="AX25" s="137">
        <f t="shared" si="12"/>
        <v>0</v>
      </c>
    </row>
    <row r="26" ht="21.95" customHeight="1" spans="1:50" s="97" customFormat="1" x14ac:dyDescent="0.25">
      <c r="A26" s="138" t="s">
        <v>56</v>
      </c>
      <c r="B26" s="139"/>
      <c r="C26" s="139"/>
      <c r="D26" s="139"/>
      <c r="E26" s="139"/>
      <c r="F26" s="139"/>
      <c r="G26" s="139"/>
      <c r="H26" s="140"/>
      <c r="I26" s="248">
        <v>85</v>
      </c>
      <c r="J26" s="142">
        <v>85</v>
      </c>
      <c r="K26" s="142"/>
      <c r="L26" s="142"/>
      <c r="M26" s="142"/>
      <c r="N26" s="143">
        <f>I26*I25+J26*J25+K26*K25+L26*L25+M26*M25</f>
        <v>73.9075</v>
      </c>
      <c r="O26" s="144"/>
      <c r="P26" s="145"/>
      <c r="Q26" s="113"/>
      <c r="R26" s="113"/>
      <c r="S26" s="146"/>
      <c r="T26" s="147"/>
      <c r="U26" s="148"/>
      <c r="V26" s="149"/>
      <c r="W26" s="150"/>
      <c r="X26" s="151"/>
      <c r="Y26" s="152"/>
      <c r="Z26" s="151"/>
      <c r="AA26" s="153"/>
      <c r="AB26" s="154"/>
      <c r="AC26" s="149"/>
      <c r="AD26" s="148"/>
      <c r="AE26" s="148"/>
      <c r="AF26" s="155"/>
      <c r="AG26" s="156"/>
      <c r="AH26" s="113"/>
      <c r="AI26" s="157"/>
      <c r="AJ26" s="113"/>
      <c r="AK26" s="113"/>
      <c r="AL26" s="158"/>
      <c r="AM26" s="159"/>
      <c r="AN26" s="160"/>
      <c r="AO26" s="160"/>
      <c r="AP26" s="133"/>
      <c r="AQ26" s="134"/>
      <c r="AR26" s="161"/>
      <c r="AS26" s="161"/>
      <c r="AT26" s="161"/>
      <c r="AU26" s="161"/>
      <c r="AV26" s="162"/>
      <c r="AW26" s="137"/>
      <c r="AX26" s="137"/>
    </row>
    <row r="27" ht="46.5" customHeight="1" spans="1:50" s="97" customFormat="1" x14ac:dyDescent="0.25">
      <c r="A27" s="239"/>
      <c r="B27" s="100"/>
      <c r="C27" s="100"/>
      <c r="D27" s="174"/>
      <c r="E27" s="100"/>
      <c r="F27" s="100"/>
      <c r="G27" s="103"/>
      <c r="H27" s="186"/>
      <c r="I27" s="195">
        <v>0.51</v>
      </c>
      <c r="J27" s="107">
        <v>0.49</v>
      </c>
      <c r="K27" s="107"/>
      <c r="L27" s="107"/>
      <c r="M27" s="187"/>
      <c r="N27" s="169">
        <f t="shared" si="0"/>
        <v>1</v>
      </c>
      <c r="O27" s="144">
        <v>1</v>
      </c>
      <c r="P27" s="145">
        <v>15</v>
      </c>
      <c r="Q27" s="113">
        <v>15</v>
      </c>
      <c r="R27" s="113"/>
      <c r="S27" s="113"/>
      <c r="T27" s="146"/>
      <c r="U27" s="148">
        <f t="shared" si="1"/>
        <v>15</v>
      </c>
      <c r="V27" s="149">
        <f t="shared" si="2"/>
        <v>15</v>
      </c>
      <c r="W27" s="189"/>
      <c r="X27" s="199"/>
      <c r="Y27" s="151"/>
      <c r="Z27" s="190"/>
      <c r="AA27" s="153"/>
      <c r="AB27" s="154">
        <f t="shared" si="3"/>
        <v>0</v>
      </c>
      <c r="AC27" s="149">
        <f t="shared" si="4"/>
        <v>0</v>
      </c>
      <c r="AD27" s="125">
        <v>2</v>
      </c>
      <c r="AE27" s="148">
        <f t="shared" si="5"/>
        <v>2</v>
      </c>
      <c r="AF27" s="156"/>
      <c r="AG27" s="127"/>
      <c r="AH27" s="113">
        <f t="shared" si="6"/>
        <v>17</v>
      </c>
      <c r="AI27" s="157">
        <v>65</v>
      </c>
      <c r="AJ27" s="113">
        <f t="shared" si="7"/>
        <v>82</v>
      </c>
      <c r="AK27" s="113">
        <f t="shared" si="8"/>
        <v>82</v>
      </c>
      <c r="AL27" s="158">
        <f t="shared" si="9"/>
        <v>1.02</v>
      </c>
      <c r="AM27" s="159"/>
      <c r="AN27" s="160">
        <f t="shared" si="10"/>
        <v>1</v>
      </c>
      <c r="AO27" s="160">
        <f t="shared" si="10"/>
        <v>2</v>
      </c>
      <c r="AP27" s="133"/>
      <c r="AQ27" s="134"/>
      <c r="AR27" s="161"/>
      <c r="AS27" s="161"/>
      <c r="AT27" s="161"/>
      <c r="AU27" s="161"/>
      <c r="AV27" s="162"/>
      <c r="AW27" s="137">
        <f t="shared" si="11"/>
        <v>0</v>
      </c>
      <c r="AX27" s="137">
        <f t="shared" si="12"/>
        <v>0</v>
      </c>
    </row>
    <row r="28" ht="21.95" customHeight="1" spans="1:50" s="97" customFormat="1" x14ac:dyDescent="0.25">
      <c r="A28" s="138" t="s">
        <v>56</v>
      </c>
      <c r="B28" s="139"/>
      <c r="C28" s="139"/>
      <c r="D28" s="139"/>
      <c r="E28" s="139"/>
      <c r="F28" s="139"/>
      <c r="G28" s="139"/>
      <c r="H28" s="140"/>
      <c r="I28" s="248">
        <v>85</v>
      </c>
      <c r="J28" s="142">
        <v>85</v>
      </c>
      <c r="K28" s="142"/>
      <c r="L28" s="142"/>
      <c r="M28" s="142"/>
      <c r="N28" s="143">
        <f>I28*I27+J28*J27+K28*K27+L28*L27+M28*M27</f>
        <v>85</v>
      </c>
      <c r="O28" s="144"/>
      <c r="P28" s="145"/>
      <c r="Q28" s="113"/>
      <c r="R28" s="113"/>
      <c r="S28" s="146"/>
      <c r="T28" s="147"/>
      <c r="U28" s="148"/>
      <c r="V28" s="149"/>
      <c r="W28" s="150"/>
      <c r="X28" s="151"/>
      <c r="Y28" s="152"/>
      <c r="Z28" s="151"/>
      <c r="AA28" s="153"/>
      <c r="AB28" s="154"/>
      <c r="AC28" s="149"/>
      <c r="AD28" s="148"/>
      <c r="AE28" s="148"/>
      <c r="AF28" s="155"/>
      <c r="AG28" s="156"/>
      <c r="AH28" s="113"/>
      <c r="AI28" s="157"/>
      <c r="AJ28" s="113"/>
      <c r="AK28" s="113"/>
      <c r="AL28" s="158"/>
      <c r="AM28" s="159"/>
      <c r="AN28" s="160"/>
      <c r="AO28" s="160"/>
      <c r="AP28" s="133"/>
      <c r="AQ28" s="134"/>
      <c r="AR28" s="161"/>
      <c r="AS28" s="161"/>
      <c r="AT28" s="161"/>
      <c r="AU28" s="161"/>
      <c r="AV28" s="162"/>
      <c r="AW28" s="137"/>
      <c r="AX28" s="137"/>
    </row>
    <row r="29" ht="46.5" customHeight="1" spans="1:50" s="97" customFormat="1" x14ac:dyDescent="0.25">
      <c r="A29" s="239"/>
      <c r="B29" s="100"/>
      <c r="C29" s="100"/>
      <c r="D29" s="174"/>
      <c r="E29" s="100"/>
      <c r="F29" s="100"/>
      <c r="G29" s="103"/>
      <c r="H29" s="186"/>
      <c r="I29" s="195">
        <v>0.51</v>
      </c>
      <c r="J29" s="107">
        <v>0.49</v>
      </c>
      <c r="K29" s="107"/>
      <c r="L29" s="107"/>
      <c r="M29" s="187"/>
      <c r="N29" s="169">
        <f t="shared" si="0"/>
        <v>1</v>
      </c>
      <c r="O29" s="144">
        <v>1</v>
      </c>
      <c r="P29" s="145">
        <v>15</v>
      </c>
      <c r="Q29" s="113">
        <v>15</v>
      </c>
      <c r="R29" s="113"/>
      <c r="S29" s="113"/>
      <c r="T29" s="146"/>
      <c r="U29" s="148">
        <f t="shared" si="1"/>
        <v>15</v>
      </c>
      <c r="V29" s="149">
        <f t="shared" si="2"/>
        <v>15</v>
      </c>
      <c r="W29" s="189"/>
      <c r="X29" s="199"/>
      <c r="Y29" s="151"/>
      <c r="Z29" s="190"/>
      <c r="AA29" s="153"/>
      <c r="AB29" s="154">
        <f t="shared" si="3"/>
        <v>0</v>
      </c>
      <c r="AC29" s="149">
        <f t="shared" si="4"/>
        <v>0</v>
      </c>
      <c r="AD29" s="125">
        <v>2</v>
      </c>
      <c r="AE29" s="148">
        <f t="shared" si="5"/>
        <v>2</v>
      </c>
      <c r="AF29" s="156"/>
      <c r="AG29" s="127"/>
      <c r="AH29" s="113">
        <f t="shared" si="6"/>
        <v>17</v>
      </c>
      <c r="AI29" s="157">
        <v>65</v>
      </c>
      <c r="AJ29" s="113">
        <f t="shared" si="7"/>
        <v>82</v>
      </c>
      <c r="AK29" s="113">
        <f t="shared" si="8"/>
        <v>82</v>
      </c>
      <c r="AL29" s="158">
        <f t="shared" si="9"/>
        <v>1.02</v>
      </c>
      <c r="AM29" s="159"/>
      <c r="AN29" s="160">
        <f t="shared" ref="AN29:AO50" si="13">100%+AM29</f>
        <v>1</v>
      </c>
      <c r="AO29" s="160">
        <f t="shared" si="13"/>
        <v>2</v>
      </c>
      <c r="AP29" s="133"/>
      <c r="AQ29" s="134"/>
      <c r="AR29" s="161"/>
      <c r="AS29" s="161"/>
      <c r="AT29" s="161"/>
      <c r="AU29" s="161"/>
      <c r="AV29" s="162"/>
      <c r="AW29" s="137">
        <f t="shared" si="11"/>
        <v>0</v>
      </c>
      <c r="AX29" s="137">
        <f t="shared" si="12"/>
        <v>0</v>
      </c>
    </row>
    <row r="30" ht="21.95" customHeight="1" spans="1:50" s="97" customFormat="1" x14ac:dyDescent="0.25">
      <c r="A30" s="138" t="s">
        <v>56</v>
      </c>
      <c r="B30" s="139"/>
      <c r="C30" s="139"/>
      <c r="D30" s="139"/>
      <c r="E30" s="139"/>
      <c r="F30" s="139"/>
      <c r="G30" s="139"/>
      <c r="H30" s="140"/>
      <c r="I30" s="248">
        <v>85</v>
      </c>
      <c r="J30" s="142">
        <v>85</v>
      </c>
      <c r="K30" s="142"/>
      <c r="L30" s="142"/>
      <c r="M30" s="142"/>
      <c r="N30" s="143">
        <f>I30*I29+J30*J29+K30*K29+L30*L29+M30*M29</f>
        <v>85</v>
      </c>
      <c r="O30" s="144"/>
      <c r="P30" s="145"/>
      <c r="Q30" s="113"/>
      <c r="R30" s="113"/>
      <c r="S30" s="146"/>
      <c r="T30" s="147"/>
      <c r="U30" s="148"/>
      <c r="V30" s="149"/>
      <c r="W30" s="150"/>
      <c r="X30" s="151"/>
      <c r="Y30" s="152"/>
      <c r="Z30" s="151"/>
      <c r="AA30" s="153"/>
      <c r="AB30" s="154"/>
      <c r="AC30" s="149"/>
      <c r="AD30" s="148"/>
      <c r="AE30" s="148"/>
      <c r="AF30" s="155"/>
      <c r="AG30" s="156"/>
      <c r="AH30" s="113"/>
      <c r="AI30" s="157"/>
      <c r="AJ30" s="113"/>
      <c r="AK30" s="113"/>
      <c r="AL30" s="158"/>
      <c r="AM30" s="159"/>
      <c r="AN30" s="160"/>
      <c r="AO30" s="160"/>
      <c r="AP30" s="133"/>
      <c r="AQ30" s="134"/>
      <c r="AR30" s="161"/>
      <c r="AS30" s="161"/>
      <c r="AT30" s="161"/>
      <c r="AU30" s="161"/>
      <c r="AV30" s="162"/>
      <c r="AW30" s="137"/>
      <c r="AX30" s="137"/>
    </row>
    <row r="31" ht="46.5" customHeight="1" spans="1:50" s="97" customFormat="1" x14ac:dyDescent="0.25">
      <c r="A31" s="239"/>
      <c r="B31" s="100"/>
      <c r="C31" s="174"/>
      <c r="D31" s="100"/>
      <c r="E31" s="100"/>
      <c r="F31" s="100"/>
      <c r="G31" s="103"/>
      <c r="H31" s="186"/>
      <c r="I31" s="195">
        <v>0.51</v>
      </c>
      <c r="J31" s="107">
        <v>0.49</v>
      </c>
      <c r="K31" s="107"/>
      <c r="L31" s="107"/>
      <c r="M31" s="187"/>
      <c r="N31" s="169">
        <f t="shared" si="0"/>
        <v>1</v>
      </c>
      <c r="O31" s="144">
        <v>1</v>
      </c>
      <c r="P31" s="145">
        <v>15</v>
      </c>
      <c r="Q31" s="113">
        <v>15</v>
      </c>
      <c r="R31" s="113"/>
      <c r="S31" s="113"/>
      <c r="T31" s="146"/>
      <c r="U31" s="148">
        <f t="shared" si="1"/>
        <v>15</v>
      </c>
      <c r="V31" s="149">
        <f t="shared" si="2"/>
        <v>15</v>
      </c>
      <c r="W31" s="189"/>
      <c r="X31" s="189"/>
      <c r="Y31" s="151"/>
      <c r="Z31" s="190"/>
      <c r="AA31" s="153"/>
      <c r="AB31" s="154">
        <f t="shared" si="3"/>
        <v>0</v>
      </c>
      <c r="AC31" s="149">
        <f t="shared" si="4"/>
        <v>0</v>
      </c>
      <c r="AD31" s="125">
        <v>2</v>
      </c>
      <c r="AE31" s="148">
        <f t="shared" si="5"/>
        <v>2</v>
      </c>
      <c r="AF31" s="156"/>
      <c r="AG31" s="127"/>
      <c r="AH31" s="113">
        <f t="shared" si="6"/>
        <v>17</v>
      </c>
      <c r="AI31" s="157">
        <v>65</v>
      </c>
      <c r="AJ31" s="113">
        <f t="shared" si="7"/>
        <v>82</v>
      </c>
      <c r="AK31" s="113">
        <f t="shared" si="8"/>
        <v>82</v>
      </c>
      <c r="AL31" s="158">
        <f t="shared" si="9"/>
        <v>1.02</v>
      </c>
      <c r="AM31" s="159"/>
      <c r="AN31" s="160">
        <f t="shared" si="13"/>
        <v>1</v>
      </c>
      <c r="AO31" s="160">
        <f t="shared" si="13"/>
        <v>2</v>
      </c>
      <c r="AP31" s="133"/>
      <c r="AQ31" s="134"/>
      <c r="AR31" s="161"/>
      <c r="AS31" s="161"/>
      <c r="AT31" s="161"/>
      <c r="AU31" s="161"/>
      <c r="AV31" s="162"/>
      <c r="AW31" s="137">
        <f t="shared" si="11"/>
        <v>0</v>
      </c>
      <c r="AX31" s="137">
        <f t="shared" si="12"/>
        <v>0</v>
      </c>
    </row>
    <row r="32" ht="21.95" customHeight="1" spans="1:50" s="97" customFormat="1" x14ac:dyDescent="0.25">
      <c r="A32" s="138" t="s">
        <v>56</v>
      </c>
      <c r="B32" s="139"/>
      <c r="C32" s="139"/>
      <c r="D32" s="139"/>
      <c r="E32" s="139"/>
      <c r="F32" s="139"/>
      <c r="G32" s="139"/>
      <c r="H32" s="140"/>
      <c r="I32" s="248">
        <v>85</v>
      </c>
      <c r="J32" s="142">
        <v>85</v>
      </c>
      <c r="K32" s="142"/>
      <c r="L32" s="142"/>
      <c r="M32" s="142"/>
      <c r="N32" s="143">
        <f>I32*I31+J32*J31+K32*K31+L32*L31+M32*M31</f>
        <v>85</v>
      </c>
      <c r="O32" s="144"/>
      <c r="P32" s="145"/>
      <c r="Q32" s="113"/>
      <c r="R32" s="113"/>
      <c r="S32" s="146"/>
      <c r="T32" s="147"/>
      <c r="U32" s="148"/>
      <c r="V32" s="149"/>
      <c r="W32" s="150"/>
      <c r="X32" s="151"/>
      <c r="Y32" s="152"/>
      <c r="Z32" s="151"/>
      <c r="AA32" s="153"/>
      <c r="AB32" s="154"/>
      <c r="AC32" s="149"/>
      <c r="AD32" s="148"/>
      <c r="AE32" s="148"/>
      <c r="AF32" s="155"/>
      <c r="AG32" s="156"/>
      <c r="AH32" s="113"/>
      <c r="AI32" s="157"/>
      <c r="AJ32" s="113"/>
      <c r="AK32" s="113"/>
      <c r="AL32" s="158"/>
      <c r="AM32" s="159"/>
      <c r="AN32" s="160"/>
      <c r="AO32" s="160"/>
      <c r="AP32" s="133"/>
      <c r="AQ32" s="134"/>
      <c r="AR32" s="161"/>
      <c r="AS32" s="161"/>
      <c r="AT32" s="161"/>
      <c r="AU32" s="161"/>
      <c r="AV32" s="162"/>
      <c r="AW32" s="137"/>
      <c r="AX32" s="137"/>
    </row>
    <row r="33" ht="46.5" customHeight="1" spans="1:50" s="97" customFormat="1" x14ac:dyDescent="0.25">
      <c r="A33" s="239"/>
      <c r="B33" s="100"/>
      <c r="C33" s="212"/>
      <c r="D33" s="174"/>
      <c r="E33" s="100"/>
      <c r="F33" s="100"/>
      <c r="G33" s="103"/>
      <c r="H33" s="186"/>
      <c r="I33" s="195">
        <v>0.51</v>
      </c>
      <c r="J33" s="107">
        <v>0.49</v>
      </c>
      <c r="K33" s="107"/>
      <c r="L33" s="107"/>
      <c r="M33" s="187"/>
      <c r="N33" s="169">
        <f t="shared" si="0"/>
        <v>1</v>
      </c>
      <c r="O33" s="144">
        <v>1</v>
      </c>
      <c r="P33" s="145">
        <v>15</v>
      </c>
      <c r="Q33" s="218">
        <v>11.8</v>
      </c>
      <c r="R33" s="113"/>
      <c r="S33" s="113"/>
      <c r="T33" s="146"/>
      <c r="U33" s="148">
        <f t="shared" si="1"/>
        <v>13.43</v>
      </c>
      <c r="V33" s="149">
        <f t="shared" si="2"/>
        <v>13.43</v>
      </c>
      <c r="W33" s="189"/>
      <c r="X33" s="199"/>
      <c r="Y33" s="151"/>
      <c r="Z33" s="190"/>
      <c r="AA33" s="153"/>
      <c r="AB33" s="154">
        <f t="shared" si="3"/>
        <v>0</v>
      </c>
      <c r="AC33" s="149">
        <f t="shared" si="4"/>
        <v>0</v>
      </c>
      <c r="AD33" s="125">
        <v>2</v>
      </c>
      <c r="AE33" s="148">
        <f t="shared" si="5"/>
        <v>2</v>
      </c>
      <c r="AF33" s="156"/>
      <c r="AG33" s="127"/>
      <c r="AH33" s="113">
        <f t="shared" si="6"/>
        <v>15.43</v>
      </c>
      <c r="AI33" s="157">
        <v>65</v>
      </c>
      <c r="AJ33" s="113">
        <f t="shared" si="7"/>
        <v>80.43</v>
      </c>
      <c r="AK33" s="113">
        <f t="shared" si="8"/>
        <v>80.43</v>
      </c>
      <c r="AL33" s="158">
        <f t="shared" si="9"/>
        <v>1.02785</v>
      </c>
      <c r="AM33" s="159"/>
      <c r="AN33" s="160">
        <f t="shared" si="13"/>
        <v>1</v>
      </c>
      <c r="AO33" s="160">
        <f t="shared" si="13"/>
        <v>2</v>
      </c>
      <c r="AP33" s="133"/>
      <c r="AQ33" s="134"/>
      <c r="AR33" s="161"/>
      <c r="AS33" s="161"/>
      <c r="AT33" s="161"/>
      <c r="AU33" s="161"/>
      <c r="AV33" s="162"/>
      <c r="AW33" s="137">
        <f t="shared" si="11"/>
        <v>0</v>
      </c>
      <c r="AX33" s="137">
        <f t="shared" si="12"/>
        <v>0</v>
      </c>
    </row>
    <row r="34" ht="21.95" customHeight="1" spans="1:50" s="97" customFormat="1" x14ac:dyDescent="0.25">
      <c r="A34" s="138" t="s">
        <v>56</v>
      </c>
      <c r="B34" s="139"/>
      <c r="C34" s="139"/>
      <c r="D34" s="139"/>
      <c r="E34" s="139"/>
      <c r="F34" s="139"/>
      <c r="G34" s="139"/>
      <c r="H34" s="140"/>
      <c r="I34" s="248">
        <v>85</v>
      </c>
      <c r="J34" s="142">
        <v>85</v>
      </c>
      <c r="K34" s="142"/>
      <c r="L34" s="142"/>
      <c r="M34" s="142"/>
      <c r="N34" s="143">
        <f>I34*I33+J34*J33+K34*K33+L34*L33+M34*M33</f>
        <v>85</v>
      </c>
      <c r="O34" s="144"/>
      <c r="P34" s="145"/>
      <c r="Q34" s="113"/>
      <c r="R34" s="113"/>
      <c r="S34" s="146"/>
      <c r="T34" s="147"/>
      <c r="U34" s="148"/>
      <c r="V34" s="149"/>
      <c r="W34" s="150"/>
      <c r="X34" s="151"/>
      <c r="Y34" s="152"/>
      <c r="Z34" s="151"/>
      <c r="AA34" s="153"/>
      <c r="AB34" s="154"/>
      <c r="AC34" s="149"/>
      <c r="AD34" s="148"/>
      <c r="AE34" s="148"/>
      <c r="AF34" s="155"/>
      <c r="AG34" s="156"/>
      <c r="AH34" s="113"/>
      <c r="AI34" s="157"/>
      <c r="AJ34" s="113"/>
      <c r="AK34" s="113"/>
      <c r="AL34" s="158"/>
      <c r="AM34" s="159"/>
      <c r="AN34" s="160"/>
      <c r="AO34" s="160"/>
      <c r="AP34" s="133"/>
      <c r="AQ34" s="134"/>
      <c r="AR34" s="161"/>
      <c r="AS34" s="161"/>
      <c r="AT34" s="161"/>
      <c r="AU34" s="161"/>
      <c r="AV34" s="162"/>
      <c r="AW34" s="137"/>
      <c r="AX34" s="137"/>
    </row>
    <row r="35" ht="46.5" customHeight="1" spans="1:50" s="97" customFormat="1" x14ac:dyDescent="0.25">
      <c r="A35" s="239"/>
      <c r="B35" s="100"/>
      <c r="C35" s="100"/>
      <c r="D35" s="174"/>
      <c r="E35" s="100"/>
      <c r="F35" s="100"/>
      <c r="G35" s="103"/>
      <c r="H35" s="233" t="s">
        <v>252</v>
      </c>
      <c r="I35" s="245">
        <v>0.4786</v>
      </c>
      <c r="J35" s="107">
        <v>0.49</v>
      </c>
      <c r="K35" s="107"/>
      <c r="L35" s="107"/>
      <c r="M35" s="187"/>
      <c r="N35" s="169">
        <f t="shared" si="0"/>
        <v>0.9686</v>
      </c>
      <c r="O35" s="144">
        <v>1</v>
      </c>
      <c r="P35" s="145">
        <v>15</v>
      </c>
      <c r="Q35" s="218">
        <v>11.8</v>
      </c>
      <c r="R35" s="113"/>
      <c r="S35" s="113"/>
      <c r="T35" s="146"/>
      <c r="U35" s="148">
        <f t="shared" si="1"/>
        <v>12.96</v>
      </c>
      <c r="V35" s="149">
        <f t="shared" si="2"/>
        <v>12.96</v>
      </c>
      <c r="W35" s="189"/>
      <c r="X35" s="199"/>
      <c r="Y35" s="151"/>
      <c r="Z35" s="190"/>
      <c r="AA35" s="153"/>
      <c r="AB35" s="154">
        <f t="shared" si="3"/>
        <v>0</v>
      </c>
      <c r="AC35" s="149">
        <f t="shared" si="4"/>
        <v>0</v>
      </c>
      <c r="AD35" s="125">
        <v>1</v>
      </c>
      <c r="AE35" s="148">
        <f t="shared" si="5"/>
        <v>1</v>
      </c>
      <c r="AF35" s="156"/>
      <c r="AG35" s="127"/>
      <c r="AH35" s="113">
        <f t="shared" si="6"/>
        <v>13.96</v>
      </c>
      <c r="AI35" s="157">
        <v>65</v>
      </c>
      <c r="AJ35" s="113">
        <f t="shared" si="7"/>
        <v>78.96000000000001</v>
      </c>
      <c r="AK35" s="113">
        <f t="shared" si="8"/>
        <v>78.96000000000001</v>
      </c>
      <c r="AL35" s="158">
        <f t="shared" si="9"/>
        <v>1.0352</v>
      </c>
      <c r="AM35" s="159"/>
      <c r="AN35" s="160">
        <f t="shared" si="13"/>
        <v>1</v>
      </c>
      <c r="AO35" s="160">
        <f t="shared" si="13"/>
        <v>2</v>
      </c>
      <c r="AP35" s="133"/>
      <c r="AQ35" s="134"/>
      <c r="AR35" s="161"/>
      <c r="AS35" s="161"/>
      <c r="AT35" s="161"/>
      <c r="AU35" s="161"/>
      <c r="AV35" s="162"/>
      <c r="AW35" s="137">
        <f t="shared" si="11"/>
        <v>0</v>
      </c>
      <c r="AX35" s="137">
        <f t="shared" si="12"/>
        <v>0</v>
      </c>
    </row>
    <row r="36" ht="21.95" customHeight="1" spans="1:50" s="97" customFormat="1" x14ac:dyDescent="0.25">
      <c r="A36" s="138" t="s">
        <v>56</v>
      </c>
      <c r="B36" s="139"/>
      <c r="C36" s="139"/>
      <c r="D36" s="139"/>
      <c r="E36" s="139"/>
      <c r="F36" s="139"/>
      <c r="G36" s="139"/>
      <c r="H36" s="140"/>
      <c r="I36" s="248">
        <v>85</v>
      </c>
      <c r="J36" s="142">
        <v>85</v>
      </c>
      <c r="K36" s="142"/>
      <c r="L36" s="142"/>
      <c r="M36" s="142"/>
      <c r="N36" s="143">
        <f>I36*I35+J36*J35+K36*K35+L36*L35+M36*M35</f>
        <v>82.331</v>
      </c>
      <c r="O36" s="144"/>
      <c r="P36" s="145"/>
      <c r="Q36" s="113"/>
      <c r="R36" s="113"/>
      <c r="S36" s="146"/>
      <c r="T36" s="147"/>
      <c r="U36" s="148"/>
      <c r="V36" s="149"/>
      <c r="W36" s="150"/>
      <c r="X36" s="151"/>
      <c r="Y36" s="152"/>
      <c r="Z36" s="151"/>
      <c r="AA36" s="153"/>
      <c r="AB36" s="154"/>
      <c r="AC36" s="149"/>
      <c r="AD36" s="148"/>
      <c r="AE36" s="148"/>
      <c r="AF36" s="155"/>
      <c r="AG36" s="156"/>
      <c r="AH36" s="113"/>
      <c r="AI36" s="157"/>
      <c r="AJ36" s="113"/>
      <c r="AK36" s="113"/>
      <c r="AL36" s="158"/>
      <c r="AM36" s="159"/>
      <c r="AN36" s="160"/>
      <c r="AO36" s="160"/>
      <c r="AP36" s="133"/>
      <c r="AQ36" s="134"/>
      <c r="AR36" s="161"/>
      <c r="AS36" s="161"/>
      <c r="AT36" s="161"/>
      <c r="AU36" s="161"/>
      <c r="AV36" s="162"/>
      <c r="AW36" s="137"/>
      <c r="AX36" s="137"/>
    </row>
    <row r="37" ht="46.5" customHeight="1" spans="1:50" s="97" customFormat="1" x14ac:dyDescent="0.25">
      <c r="A37" s="100"/>
      <c r="B37" s="100"/>
      <c r="C37" s="212"/>
      <c r="D37" s="174"/>
      <c r="E37" s="100"/>
      <c r="F37" s="100"/>
      <c r="G37" s="103"/>
      <c r="H37" s="186"/>
      <c r="I37" s="195">
        <v>0.7</v>
      </c>
      <c r="J37" s="226">
        <v>0.1651</v>
      </c>
      <c r="K37" s="107"/>
      <c r="L37" s="107"/>
      <c r="M37" s="187"/>
      <c r="N37" s="169">
        <f t="shared" si="0"/>
        <v>0.8651</v>
      </c>
      <c r="O37" s="144">
        <v>1</v>
      </c>
      <c r="P37" s="145"/>
      <c r="Q37" s="113"/>
      <c r="R37" s="113"/>
      <c r="S37" s="113"/>
      <c r="T37" s="146"/>
      <c r="U37" s="148">
        <f t="shared" si="1"/>
        <v>0</v>
      </c>
      <c r="V37" s="149">
        <f t="shared" si="2"/>
        <v>0</v>
      </c>
      <c r="W37" s="189"/>
      <c r="X37" s="199"/>
      <c r="Y37" s="151"/>
      <c r="Z37" s="190"/>
      <c r="AA37" s="153"/>
      <c r="AB37" s="154">
        <f t="shared" si="3"/>
        <v>0</v>
      </c>
      <c r="AC37" s="149">
        <f t="shared" si="4"/>
        <v>0</v>
      </c>
      <c r="AD37" s="125">
        <v>2</v>
      </c>
      <c r="AE37" s="148">
        <f t="shared" si="5"/>
        <v>2</v>
      </c>
      <c r="AF37" s="156"/>
      <c r="AG37" s="156"/>
      <c r="AH37" s="113">
        <f t="shared" si="6"/>
        <v>2</v>
      </c>
      <c r="AI37" s="157">
        <v>65</v>
      </c>
      <c r="AJ37" s="113">
        <f t="shared" si="7"/>
        <v>67</v>
      </c>
      <c r="AK37" s="113">
        <f t="shared" si="8"/>
        <v>67</v>
      </c>
      <c r="AL37" s="158">
        <f t="shared" si="9"/>
        <v>1.095</v>
      </c>
      <c r="AM37" s="159"/>
      <c r="AN37" s="160">
        <f t="shared" si="13"/>
        <v>1</v>
      </c>
      <c r="AO37" s="160">
        <f t="shared" si="13"/>
        <v>2</v>
      </c>
      <c r="AP37" s="133"/>
      <c r="AQ37" s="134"/>
      <c r="AR37" s="161"/>
      <c r="AS37" s="161"/>
      <c r="AT37" s="161"/>
      <c r="AU37" s="161"/>
      <c r="AV37" s="162"/>
      <c r="AW37" s="137">
        <f t="shared" si="11"/>
        <v>0</v>
      </c>
      <c r="AX37" s="137">
        <f t="shared" si="12"/>
        <v>0</v>
      </c>
    </row>
    <row r="38" ht="46.5" customHeight="1" spans="1:50" s="97" customFormat="1" x14ac:dyDescent="0.25">
      <c r="A38" s="100"/>
      <c r="B38" s="100"/>
      <c r="C38" s="100"/>
      <c r="D38" s="100"/>
      <c r="E38" s="100"/>
      <c r="F38" s="100"/>
      <c r="G38" s="103"/>
      <c r="H38" s="186"/>
      <c r="I38" s="195"/>
      <c r="J38" s="107"/>
      <c r="K38" s="107"/>
      <c r="L38" s="107"/>
      <c r="M38" s="187"/>
      <c r="N38" s="169">
        <f t="shared" si="0"/>
        <v>0</v>
      </c>
      <c r="O38" s="144">
        <v>1</v>
      </c>
      <c r="P38" s="145"/>
      <c r="Q38" s="113"/>
      <c r="R38" s="113"/>
      <c r="S38" s="113"/>
      <c r="T38" s="146"/>
      <c r="U38" s="148">
        <f t="shared" si="1"/>
        <v>0</v>
      </c>
      <c r="V38" s="149">
        <f t="shared" si="2"/>
        <v>0</v>
      </c>
      <c r="W38" s="189"/>
      <c r="X38" s="199"/>
      <c r="Y38" s="151"/>
      <c r="Z38" s="190"/>
      <c r="AA38" s="153"/>
      <c r="AB38" s="154">
        <f t="shared" si="3"/>
        <v>0</v>
      </c>
      <c r="AC38" s="149">
        <f t="shared" si="4"/>
        <v>0</v>
      </c>
      <c r="AD38" s="125">
        <v>2</v>
      </c>
      <c r="AE38" s="148">
        <f t="shared" si="5"/>
        <v>2</v>
      </c>
      <c r="AF38" s="156"/>
      <c r="AG38" s="156"/>
      <c r="AH38" s="113">
        <f t="shared" si="6"/>
        <v>2</v>
      </c>
      <c r="AI38" s="157">
        <v>65</v>
      </c>
      <c r="AJ38" s="113">
        <f t="shared" si="7"/>
        <v>67</v>
      </c>
      <c r="AK38" s="113">
        <f t="shared" si="8"/>
        <v>67</v>
      </c>
      <c r="AL38" s="158">
        <f t="shared" si="9"/>
        <v>1.095</v>
      </c>
      <c r="AM38" s="159"/>
      <c r="AN38" s="160">
        <f t="shared" si="13"/>
        <v>1</v>
      </c>
      <c r="AO38" s="160">
        <f t="shared" si="13"/>
        <v>2</v>
      </c>
      <c r="AP38" s="133"/>
      <c r="AQ38" s="134"/>
      <c r="AR38" s="161"/>
      <c r="AS38" s="161"/>
      <c r="AT38" s="161"/>
      <c r="AU38" s="161"/>
      <c r="AV38" s="162"/>
      <c r="AW38" s="137">
        <f t="shared" si="11"/>
        <v>0</v>
      </c>
      <c r="AX38" s="137">
        <f t="shared" si="12"/>
        <v>0</v>
      </c>
    </row>
    <row r="39" ht="46.5" customHeight="1" spans="1:50" s="97" customFormat="1" x14ac:dyDescent="0.25">
      <c r="A39" s="100"/>
      <c r="B39" s="100"/>
      <c r="C39" s="100"/>
      <c r="D39" s="100"/>
      <c r="E39" s="100"/>
      <c r="F39" s="100"/>
      <c r="G39" s="103"/>
      <c r="H39" s="186"/>
      <c r="I39" s="195"/>
      <c r="J39" s="107"/>
      <c r="K39" s="107"/>
      <c r="L39" s="107"/>
      <c r="M39" s="187"/>
      <c r="N39" s="169">
        <f t="shared" si="0"/>
        <v>0</v>
      </c>
      <c r="O39" s="144">
        <v>1</v>
      </c>
      <c r="P39" s="145"/>
      <c r="Q39" s="113"/>
      <c r="R39" s="113"/>
      <c r="S39" s="113"/>
      <c r="T39" s="146"/>
      <c r="U39" s="148">
        <f t="shared" si="1"/>
        <v>0</v>
      </c>
      <c r="V39" s="149">
        <f t="shared" si="2"/>
        <v>0</v>
      </c>
      <c r="W39" s="189"/>
      <c r="X39" s="199"/>
      <c r="Y39" s="151"/>
      <c r="Z39" s="190"/>
      <c r="AA39" s="153"/>
      <c r="AB39" s="154">
        <f t="shared" si="3"/>
        <v>0</v>
      </c>
      <c r="AC39" s="149">
        <f t="shared" si="4"/>
        <v>0</v>
      </c>
      <c r="AD39" s="125">
        <v>2</v>
      </c>
      <c r="AE39" s="148">
        <f t="shared" si="5"/>
        <v>2</v>
      </c>
      <c r="AF39" s="156"/>
      <c r="AG39" s="156"/>
      <c r="AH39" s="113">
        <f t="shared" si="6"/>
        <v>2</v>
      </c>
      <c r="AI39" s="157">
        <v>65</v>
      </c>
      <c r="AJ39" s="113">
        <f t="shared" si="7"/>
        <v>67</v>
      </c>
      <c r="AK39" s="113">
        <f t="shared" si="8"/>
        <v>67</v>
      </c>
      <c r="AL39" s="158">
        <f t="shared" si="9"/>
        <v>1.095</v>
      </c>
      <c r="AM39" s="159"/>
      <c r="AN39" s="160">
        <f t="shared" si="13"/>
        <v>1</v>
      </c>
      <c r="AO39" s="160">
        <f t="shared" si="13"/>
        <v>2</v>
      </c>
      <c r="AP39" s="133"/>
      <c r="AQ39" s="134"/>
      <c r="AR39" s="161"/>
      <c r="AS39" s="161"/>
      <c r="AT39" s="161"/>
      <c r="AU39" s="161"/>
      <c r="AV39" s="162"/>
      <c r="AW39" s="137">
        <f t="shared" si="11"/>
        <v>0</v>
      </c>
      <c r="AX39" s="137">
        <f t="shared" si="12"/>
        <v>0</v>
      </c>
    </row>
    <row r="40" ht="46.5" customHeight="1" spans="1:50" s="97" customFormat="1" x14ac:dyDescent="0.25">
      <c r="A40" s="100"/>
      <c r="B40" s="100"/>
      <c r="C40" s="100" t="s">
        <v>255</v>
      </c>
      <c r="D40" s="100"/>
      <c r="E40" s="100"/>
      <c r="F40" s="100"/>
      <c r="G40" s="103"/>
      <c r="H40" s="186"/>
      <c r="I40" s="195"/>
      <c r="J40" s="107"/>
      <c r="K40" s="107"/>
      <c r="L40" s="107"/>
      <c r="M40" s="187"/>
      <c r="N40" s="169">
        <f t="shared" si="0"/>
        <v>0</v>
      </c>
      <c r="O40" s="144">
        <v>1</v>
      </c>
      <c r="P40" s="145"/>
      <c r="Q40" s="113"/>
      <c r="R40" s="113"/>
      <c r="S40" s="113"/>
      <c r="T40" s="146"/>
      <c r="U40" s="148">
        <f t="shared" si="1"/>
        <v>0</v>
      </c>
      <c r="V40" s="149">
        <f t="shared" si="2"/>
        <v>0</v>
      </c>
      <c r="W40" s="189"/>
      <c r="X40" s="199"/>
      <c r="Y40" s="151"/>
      <c r="Z40" s="190"/>
      <c r="AA40" s="153"/>
      <c r="AB40" s="154">
        <f t="shared" si="3"/>
        <v>0</v>
      </c>
      <c r="AC40" s="149">
        <f t="shared" si="4"/>
        <v>0</v>
      </c>
      <c r="AD40" s="125">
        <v>2</v>
      </c>
      <c r="AE40" s="148">
        <f t="shared" si="5"/>
        <v>2</v>
      </c>
      <c r="AF40" s="156"/>
      <c r="AG40" s="156"/>
      <c r="AH40" s="113">
        <f t="shared" si="6"/>
        <v>2</v>
      </c>
      <c r="AI40" s="157">
        <v>65</v>
      </c>
      <c r="AJ40" s="113">
        <f t="shared" si="7"/>
        <v>67</v>
      </c>
      <c r="AK40" s="113">
        <f t="shared" si="8"/>
        <v>67</v>
      </c>
      <c r="AL40" s="158">
        <f t="shared" si="9"/>
        <v>1.095</v>
      </c>
      <c r="AM40" s="159"/>
      <c r="AN40" s="160">
        <f t="shared" si="13"/>
        <v>1</v>
      </c>
      <c r="AO40" s="160">
        <f t="shared" si="13"/>
        <v>2</v>
      </c>
      <c r="AP40" s="133"/>
      <c r="AQ40" s="134"/>
      <c r="AR40" s="161"/>
      <c r="AS40" s="161"/>
      <c r="AT40" s="161"/>
      <c r="AU40" s="161"/>
      <c r="AV40" s="162"/>
      <c r="AW40" s="137">
        <f t="shared" si="11"/>
        <v>0</v>
      </c>
      <c r="AX40" s="137">
        <f t="shared" si="12"/>
        <v>0</v>
      </c>
    </row>
    <row r="41" ht="46.5" customHeight="1" spans="1:50" s="97" customFormat="1" x14ac:dyDescent="0.25">
      <c r="A41" s="100"/>
      <c r="B41" s="100"/>
      <c r="C41" s="100"/>
      <c r="D41" s="100" t="s">
        <v>256</v>
      </c>
      <c r="E41" s="100"/>
      <c r="F41" s="100"/>
      <c r="G41" s="103"/>
      <c r="H41" s="186"/>
      <c r="I41" s="195"/>
      <c r="J41" s="107"/>
      <c r="K41" s="107"/>
      <c r="L41" s="107"/>
      <c r="M41" s="187"/>
      <c r="N41" s="169">
        <f t="shared" si="0"/>
        <v>0</v>
      </c>
      <c r="O41" s="144">
        <v>1</v>
      </c>
      <c r="P41" s="145"/>
      <c r="Q41" s="113"/>
      <c r="R41" s="113"/>
      <c r="S41" s="113"/>
      <c r="T41" s="146"/>
      <c r="U41" s="148">
        <f t="shared" si="1"/>
        <v>0</v>
      </c>
      <c r="V41" s="149">
        <f t="shared" si="2"/>
        <v>0</v>
      </c>
      <c r="W41" s="189"/>
      <c r="X41" s="199"/>
      <c r="Y41" s="151"/>
      <c r="Z41" s="190"/>
      <c r="AA41" s="153"/>
      <c r="AB41" s="154">
        <f t="shared" si="3"/>
        <v>0</v>
      </c>
      <c r="AC41" s="149">
        <f t="shared" si="4"/>
        <v>0</v>
      </c>
      <c r="AD41" s="125">
        <v>2</v>
      </c>
      <c r="AE41" s="148">
        <f t="shared" si="5"/>
        <v>2</v>
      </c>
      <c r="AF41" s="156"/>
      <c r="AG41" s="156"/>
      <c r="AH41" s="113">
        <f t="shared" si="6"/>
        <v>2</v>
      </c>
      <c r="AI41" s="157">
        <v>65</v>
      </c>
      <c r="AJ41" s="113">
        <f t="shared" si="7"/>
        <v>67</v>
      </c>
      <c r="AK41" s="113">
        <f t="shared" si="8"/>
        <v>67</v>
      </c>
      <c r="AL41" s="158">
        <f t="shared" si="9"/>
        <v>1.095</v>
      </c>
      <c r="AM41" s="159"/>
      <c r="AN41" s="160">
        <f t="shared" si="13"/>
        <v>1</v>
      </c>
      <c r="AO41" s="160">
        <f t="shared" si="13"/>
        <v>2</v>
      </c>
      <c r="AP41" s="133"/>
      <c r="AQ41" s="134"/>
      <c r="AR41" s="161"/>
      <c r="AS41" s="161"/>
      <c r="AT41" s="161"/>
      <c r="AU41" s="161"/>
      <c r="AV41" s="162"/>
      <c r="AW41" s="137">
        <f t="shared" si="11"/>
        <v>0</v>
      </c>
      <c r="AX41" s="137">
        <f t="shared" si="12"/>
        <v>0</v>
      </c>
    </row>
    <row r="42" ht="46.5" customHeight="1" spans="1:50" s="97" customFormat="1" x14ac:dyDescent="0.25">
      <c r="A42" s="100"/>
      <c r="B42" s="100"/>
      <c r="C42" s="203" t="s">
        <v>257</v>
      </c>
      <c r="D42" s="203" t="s">
        <v>258</v>
      </c>
      <c r="E42" s="100"/>
      <c r="F42" s="100"/>
      <c r="G42" s="103"/>
      <c r="H42" s="186"/>
      <c r="I42" s="195">
        <v>0.51</v>
      </c>
      <c r="J42" s="107">
        <v>0.49</v>
      </c>
      <c r="K42" s="107"/>
      <c r="L42" s="107"/>
      <c r="M42" s="187"/>
      <c r="N42" s="169">
        <f t="shared" si="0"/>
        <v>1</v>
      </c>
      <c r="O42" s="144">
        <v>1</v>
      </c>
      <c r="P42" s="145">
        <v>15</v>
      </c>
      <c r="Q42" s="113">
        <v>15</v>
      </c>
      <c r="R42" s="113"/>
      <c r="S42" s="113"/>
      <c r="T42" s="146"/>
      <c r="U42" s="148">
        <f t="shared" si="1"/>
        <v>15</v>
      </c>
      <c r="V42" s="149">
        <f t="shared" si="2"/>
        <v>15</v>
      </c>
      <c r="W42" s="189"/>
      <c r="X42" s="199"/>
      <c r="Y42" s="151"/>
      <c r="Z42" s="190"/>
      <c r="AA42" s="153"/>
      <c r="AB42" s="154">
        <f t="shared" si="3"/>
        <v>0</v>
      </c>
      <c r="AC42" s="149">
        <f t="shared" si="4"/>
        <v>0</v>
      </c>
      <c r="AD42" s="125">
        <v>2</v>
      </c>
      <c r="AE42" s="148">
        <f t="shared" si="5"/>
        <v>2</v>
      </c>
      <c r="AF42" s="156"/>
      <c r="AG42" s="156"/>
      <c r="AH42" s="113">
        <f t="shared" si="6"/>
        <v>17</v>
      </c>
      <c r="AI42" s="157">
        <v>65</v>
      </c>
      <c r="AJ42" s="113">
        <f t="shared" si="7"/>
        <v>82</v>
      </c>
      <c r="AK42" s="113">
        <f t="shared" si="8"/>
        <v>82</v>
      </c>
      <c r="AL42" s="158">
        <f t="shared" si="9"/>
        <v>1.02</v>
      </c>
      <c r="AM42" s="159"/>
      <c r="AN42" s="160">
        <f t="shared" si="13"/>
        <v>1</v>
      </c>
      <c r="AO42" s="160">
        <f t="shared" si="13"/>
        <v>2</v>
      </c>
      <c r="AP42" s="133"/>
      <c r="AQ42" s="134"/>
      <c r="AR42" s="161"/>
      <c r="AS42" s="161"/>
      <c r="AT42" s="161"/>
      <c r="AU42" s="161"/>
      <c r="AV42" s="162"/>
      <c r="AW42" s="137">
        <f t="shared" si="11"/>
        <v>0</v>
      </c>
      <c r="AX42" s="137">
        <f t="shared" si="12"/>
        <v>0</v>
      </c>
    </row>
    <row r="43" ht="46.5" customHeight="1" spans="1:50" s="97" customFormat="1" x14ac:dyDescent="0.25">
      <c r="A43" s="100"/>
      <c r="B43" s="100"/>
      <c r="C43" s="100"/>
      <c r="D43" s="100"/>
      <c r="E43" s="100"/>
      <c r="F43" s="100"/>
      <c r="G43" s="103"/>
      <c r="H43" s="186"/>
      <c r="I43" s="195">
        <v>0.51</v>
      </c>
      <c r="J43" s="107">
        <v>0.49</v>
      </c>
      <c r="K43" s="107"/>
      <c r="L43" s="107"/>
      <c r="M43" s="187"/>
      <c r="N43" s="169">
        <f t="shared" ref="N43:N106" si="14">SUM(I43:M43)</f>
        <v>1</v>
      </c>
      <c r="O43" s="144">
        <v>1</v>
      </c>
      <c r="P43" s="145">
        <v>15</v>
      </c>
      <c r="Q43" s="113">
        <v>15</v>
      </c>
      <c r="R43" s="113"/>
      <c r="S43" s="113"/>
      <c r="T43" s="146"/>
      <c r="U43" s="148">
        <f t="shared" si="1"/>
        <v>15</v>
      </c>
      <c r="V43" s="149">
        <f t="shared" si="2"/>
        <v>15</v>
      </c>
      <c r="W43" s="189"/>
      <c r="X43" s="199"/>
      <c r="Y43" s="151"/>
      <c r="Z43" s="190"/>
      <c r="AA43" s="153"/>
      <c r="AB43" s="154">
        <f t="shared" si="3"/>
        <v>0</v>
      </c>
      <c r="AC43" s="149">
        <f t="shared" si="4"/>
        <v>0</v>
      </c>
      <c r="AD43" s="125">
        <v>2</v>
      </c>
      <c r="AE43" s="148">
        <f t="shared" si="5"/>
        <v>2</v>
      </c>
      <c r="AF43" s="156"/>
      <c r="AG43" s="156"/>
      <c r="AH43" s="113">
        <f t="shared" si="6"/>
        <v>17</v>
      </c>
      <c r="AI43" s="157">
        <v>65</v>
      </c>
      <c r="AJ43" s="113">
        <f t="shared" si="7"/>
        <v>82</v>
      </c>
      <c r="AK43" s="113">
        <f t="shared" si="8"/>
        <v>82</v>
      </c>
      <c r="AL43" s="158">
        <f t="shared" si="9"/>
        <v>1.02</v>
      </c>
      <c r="AM43" s="159"/>
      <c r="AN43" s="160">
        <f t="shared" si="13"/>
        <v>1</v>
      </c>
      <c r="AO43" s="160">
        <f t="shared" si="13"/>
        <v>2</v>
      </c>
      <c r="AP43" s="133"/>
      <c r="AQ43" s="134"/>
      <c r="AR43" s="161"/>
      <c r="AS43" s="161"/>
      <c r="AT43" s="161"/>
      <c r="AU43" s="161"/>
      <c r="AV43" s="162"/>
      <c r="AW43" s="137">
        <f t="shared" si="11"/>
        <v>0</v>
      </c>
      <c r="AX43" s="137">
        <f t="shared" si="12"/>
        <v>0</v>
      </c>
    </row>
    <row r="44" ht="46.5" customHeight="1" spans="1:50" s="97" customFormat="1" x14ac:dyDescent="0.25">
      <c r="A44" s="100"/>
      <c r="B44" s="100"/>
      <c r="C44" s="100"/>
      <c r="D44" s="100"/>
      <c r="E44" s="100"/>
      <c r="F44" s="100"/>
      <c r="G44" s="103"/>
      <c r="H44" s="186"/>
      <c r="I44" s="195">
        <v>0.51</v>
      </c>
      <c r="J44" s="107">
        <v>0.49</v>
      </c>
      <c r="K44" s="107"/>
      <c r="L44" s="107"/>
      <c r="M44" s="187"/>
      <c r="N44" s="169">
        <f t="shared" si="14"/>
        <v>1</v>
      </c>
      <c r="O44" s="144">
        <v>1</v>
      </c>
      <c r="P44" s="145">
        <v>15</v>
      </c>
      <c r="Q44" s="113">
        <v>15</v>
      </c>
      <c r="R44" s="113"/>
      <c r="S44" s="113"/>
      <c r="T44" s="146"/>
      <c r="U44" s="148">
        <f t="shared" si="1"/>
        <v>15</v>
      </c>
      <c r="V44" s="149">
        <f t="shared" si="2"/>
        <v>15</v>
      </c>
      <c r="W44" s="189"/>
      <c r="X44" s="199"/>
      <c r="Y44" s="151"/>
      <c r="Z44" s="190"/>
      <c r="AA44" s="153"/>
      <c r="AB44" s="154">
        <f t="shared" si="3"/>
        <v>0</v>
      </c>
      <c r="AC44" s="149">
        <f t="shared" si="4"/>
        <v>0</v>
      </c>
      <c r="AD44" s="125">
        <v>2</v>
      </c>
      <c r="AE44" s="148">
        <f t="shared" si="5"/>
        <v>2</v>
      </c>
      <c r="AF44" s="156"/>
      <c r="AG44" s="156"/>
      <c r="AH44" s="113">
        <f t="shared" si="6"/>
        <v>17</v>
      </c>
      <c r="AI44" s="157">
        <v>65</v>
      </c>
      <c r="AJ44" s="113">
        <f t="shared" si="7"/>
        <v>82</v>
      </c>
      <c r="AK44" s="113">
        <f t="shared" si="8"/>
        <v>82</v>
      </c>
      <c r="AL44" s="158">
        <f t="shared" si="9"/>
        <v>1.02</v>
      </c>
      <c r="AM44" s="159"/>
      <c r="AN44" s="160">
        <f t="shared" si="13"/>
        <v>1</v>
      </c>
      <c r="AO44" s="160">
        <f t="shared" si="13"/>
        <v>2</v>
      </c>
      <c r="AP44" s="133"/>
      <c r="AQ44" s="134"/>
      <c r="AR44" s="161"/>
      <c r="AS44" s="161"/>
      <c r="AT44" s="161"/>
      <c r="AU44" s="161"/>
      <c r="AV44" s="162"/>
      <c r="AW44" s="137">
        <f t="shared" si="11"/>
        <v>0</v>
      </c>
      <c r="AX44" s="137">
        <f t="shared" si="12"/>
        <v>0</v>
      </c>
    </row>
    <row r="45" ht="46.5" customHeight="1" spans="1:50" s="97" customFormat="1" x14ac:dyDescent="0.25">
      <c r="A45" s="100"/>
      <c r="B45" s="100"/>
      <c r="C45" s="100"/>
      <c r="D45" s="100"/>
      <c r="E45" s="100"/>
      <c r="F45" s="100"/>
      <c r="G45" s="103"/>
      <c r="H45" s="186"/>
      <c r="I45" s="195">
        <v>0.51</v>
      </c>
      <c r="J45" s="107">
        <v>0.49</v>
      </c>
      <c r="K45" s="107"/>
      <c r="L45" s="107"/>
      <c r="M45" s="187"/>
      <c r="N45" s="169">
        <f t="shared" si="14"/>
        <v>1</v>
      </c>
      <c r="O45" s="144">
        <v>1</v>
      </c>
      <c r="P45" s="145">
        <v>15</v>
      </c>
      <c r="Q45" s="113">
        <v>15</v>
      </c>
      <c r="R45" s="113"/>
      <c r="S45" s="113"/>
      <c r="T45" s="146"/>
      <c r="U45" s="148">
        <f t="shared" si="1"/>
        <v>15</v>
      </c>
      <c r="V45" s="149">
        <f t="shared" si="2"/>
        <v>15</v>
      </c>
      <c r="W45" s="189"/>
      <c r="X45" s="199"/>
      <c r="Y45" s="151"/>
      <c r="Z45" s="190"/>
      <c r="AA45" s="153"/>
      <c r="AB45" s="154">
        <f t="shared" si="3"/>
        <v>0</v>
      </c>
      <c r="AC45" s="149">
        <f t="shared" si="4"/>
        <v>0</v>
      </c>
      <c r="AD45" s="125">
        <v>2</v>
      </c>
      <c r="AE45" s="148">
        <f t="shared" si="5"/>
        <v>2</v>
      </c>
      <c r="AF45" s="156"/>
      <c r="AG45" s="156"/>
      <c r="AH45" s="113">
        <f t="shared" si="6"/>
        <v>17</v>
      </c>
      <c r="AI45" s="157">
        <v>65</v>
      </c>
      <c r="AJ45" s="113">
        <f t="shared" si="7"/>
        <v>82</v>
      </c>
      <c r="AK45" s="113">
        <f t="shared" si="8"/>
        <v>82</v>
      </c>
      <c r="AL45" s="158">
        <f t="shared" si="9"/>
        <v>1.02</v>
      </c>
      <c r="AM45" s="159"/>
      <c r="AN45" s="160">
        <f t="shared" si="13"/>
        <v>1</v>
      </c>
      <c r="AO45" s="160">
        <f t="shared" si="13"/>
        <v>2</v>
      </c>
      <c r="AP45" s="133"/>
      <c r="AQ45" s="134"/>
      <c r="AR45" s="161"/>
      <c r="AS45" s="161"/>
      <c r="AT45" s="161"/>
      <c r="AU45" s="161"/>
      <c r="AV45" s="162"/>
      <c r="AW45" s="137">
        <f t="shared" si="11"/>
        <v>0</v>
      </c>
      <c r="AX45" s="137">
        <f t="shared" si="12"/>
        <v>0</v>
      </c>
    </row>
    <row r="46" ht="46.5" customHeight="1" spans="1:50" s="97" customFormat="1" x14ac:dyDescent="0.25">
      <c r="A46" s="100"/>
      <c r="B46" s="100"/>
      <c r="C46" s="100"/>
      <c r="D46" s="100"/>
      <c r="E46" s="100"/>
      <c r="F46" s="100"/>
      <c r="G46" s="103"/>
      <c r="H46" s="186"/>
      <c r="I46" s="195">
        <v>0.51</v>
      </c>
      <c r="J46" s="107">
        <v>0.49</v>
      </c>
      <c r="K46" s="107"/>
      <c r="L46" s="107"/>
      <c r="M46" s="187"/>
      <c r="N46" s="169">
        <f t="shared" si="14"/>
        <v>1</v>
      </c>
      <c r="O46" s="144">
        <v>1</v>
      </c>
      <c r="P46" s="145">
        <v>15</v>
      </c>
      <c r="Q46" s="113">
        <v>15</v>
      </c>
      <c r="R46" s="113"/>
      <c r="S46" s="113"/>
      <c r="T46" s="146"/>
      <c r="U46" s="148">
        <f t="shared" si="1"/>
        <v>15</v>
      </c>
      <c r="V46" s="149">
        <f t="shared" si="2"/>
        <v>15</v>
      </c>
      <c r="W46" s="189"/>
      <c r="X46" s="199"/>
      <c r="Y46" s="151"/>
      <c r="Z46" s="190"/>
      <c r="AA46" s="153"/>
      <c r="AB46" s="154">
        <f t="shared" si="3"/>
        <v>0</v>
      </c>
      <c r="AC46" s="149">
        <f t="shared" si="4"/>
        <v>0</v>
      </c>
      <c r="AD46" s="125">
        <v>2</v>
      </c>
      <c r="AE46" s="148">
        <f t="shared" si="5"/>
        <v>2</v>
      </c>
      <c r="AF46" s="156"/>
      <c r="AG46" s="156"/>
      <c r="AH46" s="113">
        <f t="shared" si="6"/>
        <v>17</v>
      </c>
      <c r="AI46" s="157">
        <v>65</v>
      </c>
      <c r="AJ46" s="113">
        <f t="shared" si="7"/>
        <v>82</v>
      </c>
      <c r="AK46" s="113">
        <f t="shared" si="8"/>
        <v>82</v>
      </c>
      <c r="AL46" s="158">
        <f t="shared" si="9"/>
        <v>1.02</v>
      </c>
      <c r="AM46" s="159"/>
      <c r="AN46" s="160">
        <f t="shared" si="13"/>
        <v>1</v>
      </c>
      <c r="AO46" s="160">
        <f t="shared" si="13"/>
        <v>2</v>
      </c>
      <c r="AP46" s="133"/>
      <c r="AQ46" s="134"/>
      <c r="AR46" s="161"/>
      <c r="AS46" s="161"/>
      <c r="AT46" s="161"/>
      <c r="AU46" s="161"/>
      <c r="AV46" s="162"/>
      <c r="AW46" s="137">
        <f t="shared" si="11"/>
        <v>0</v>
      </c>
      <c r="AX46" s="137">
        <f t="shared" si="12"/>
        <v>0</v>
      </c>
    </row>
    <row r="47" ht="46.5" customHeight="1" spans="1:50" s="97" customFormat="1" x14ac:dyDescent="0.25">
      <c r="A47" s="100"/>
      <c r="B47" s="100"/>
      <c r="C47" s="100"/>
      <c r="D47" s="100"/>
      <c r="E47" s="100"/>
      <c r="F47" s="100"/>
      <c r="G47" s="103"/>
      <c r="H47" s="186"/>
      <c r="I47" s="195">
        <v>0.51</v>
      </c>
      <c r="J47" s="107">
        <v>0.49</v>
      </c>
      <c r="K47" s="107"/>
      <c r="L47" s="107"/>
      <c r="M47" s="187"/>
      <c r="N47" s="169">
        <f t="shared" si="14"/>
        <v>1</v>
      </c>
      <c r="O47" s="144">
        <v>1</v>
      </c>
      <c r="P47" s="145">
        <v>15</v>
      </c>
      <c r="Q47" s="113">
        <v>15</v>
      </c>
      <c r="R47" s="113"/>
      <c r="S47" s="113"/>
      <c r="T47" s="146"/>
      <c r="U47" s="148">
        <f t="shared" si="1"/>
        <v>15</v>
      </c>
      <c r="V47" s="149">
        <f t="shared" si="2"/>
        <v>15</v>
      </c>
      <c r="W47" s="189"/>
      <c r="X47" s="199"/>
      <c r="Y47" s="151"/>
      <c r="Z47" s="190"/>
      <c r="AA47" s="153"/>
      <c r="AB47" s="154">
        <f t="shared" si="3"/>
        <v>0</v>
      </c>
      <c r="AC47" s="149">
        <f t="shared" si="4"/>
        <v>0</v>
      </c>
      <c r="AD47" s="125">
        <v>2</v>
      </c>
      <c r="AE47" s="148">
        <f t="shared" si="5"/>
        <v>2</v>
      </c>
      <c r="AF47" s="156"/>
      <c r="AG47" s="156"/>
      <c r="AH47" s="113">
        <f t="shared" si="6"/>
        <v>17</v>
      </c>
      <c r="AI47" s="157">
        <v>65</v>
      </c>
      <c r="AJ47" s="113">
        <f t="shared" si="7"/>
        <v>82</v>
      </c>
      <c r="AK47" s="113">
        <f t="shared" si="8"/>
        <v>82</v>
      </c>
      <c r="AL47" s="158">
        <f t="shared" si="9"/>
        <v>1.02</v>
      </c>
      <c r="AM47" s="159"/>
      <c r="AN47" s="160">
        <f t="shared" si="13"/>
        <v>1</v>
      </c>
      <c r="AO47" s="160">
        <f t="shared" si="13"/>
        <v>2</v>
      </c>
      <c r="AP47" s="133"/>
      <c r="AQ47" s="134"/>
      <c r="AR47" s="161"/>
      <c r="AS47" s="161"/>
      <c r="AT47" s="161"/>
      <c r="AU47" s="161"/>
      <c r="AV47" s="162"/>
      <c r="AW47" s="137">
        <f t="shared" si="11"/>
        <v>0</v>
      </c>
      <c r="AX47" s="137">
        <f t="shared" si="12"/>
        <v>0</v>
      </c>
    </row>
    <row r="48" ht="46.5" customHeight="1" spans="1:50" s="97" customFormat="1" x14ac:dyDescent="0.25">
      <c r="A48" s="100"/>
      <c r="B48" s="100"/>
      <c r="C48" s="100"/>
      <c r="D48" s="100"/>
      <c r="E48" s="100"/>
      <c r="F48" s="100"/>
      <c r="G48" s="103"/>
      <c r="H48" s="186"/>
      <c r="I48" s="195">
        <v>0.51</v>
      </c>
      <c r="J48" s="107">
        <v>0.49</v>
      </c>
      <c r="K48" s="107"/>
      <c r="L48" s="107"/>
      <c r="M48" s="187"/>
      <c r="N48" s="169">
        <f t="shared" si="14"/>
        <v>1</v>
      </c>
      <c r="O48" s="144">
        <v>1</v>
      </c>
      <c r="P48" s="145">
        <v>15</v>
      </c>
      <c r="Q48" s="113">
        <v>15</v>
      </c>
      <c r="R48" s="113"/>
      <c r="S48" s="113"/>
      <c r="T48" s="146"/>
      <c r="U48" s="148">
        <f t="shared" si="1"/>
        <v>15</v>
      </c>
      <c r="V48" s="149">
        <f t="shared" si="2"/>
        <v>15</v>
      </c>
      <c r="W48" s="189"/>
      <c r="X48" s="199"/>
      <c r="Y48" s="151"/>
      <c r="Z48" s="190"/>
      <c r="AA48" s="153"/>
      <c r="AB48" s="154">
        <f t="shared" si="3"/>
        <v>0</v>
      </c>
      <c r="AC48" s="149">
        <f t="shared" si="4"/>
        <v>0</v>
      </c>
      <c r="AD48" s="125">
        <v>2</v>
      </c>
      <c r="AE48" s="148">
        <f t="shared" si="5"/>
        <v>2</v>
      </c>
      <c r="AF48" s="156"/>
      <c r="AG48" s="156"/>
      <c r="AH48" s="113">
        <f t="shared" si="6"/>
        <v>17</v>
      </c>
      <c r="AI48" s="157">
        <v>65</v>
      </c>
      <c r="AJ48" s="113">
        <f t="shared" si="7"/>
        <v>82</v>
      </c>
      <c r="AK48" s="113">
        <f t="shared" si="8"/>
        <v>82</v>
      </c>
      <c r="AL48" s="158">
        <f t="shared" si="9"/>
        <v>1.02</v>
      </c>
      <c r="AM48" s="159"/>
      <c r="AN48" s="160">
        <f t="shared" si="13"/>
        <v>1</v>
      </c>
      <c r="AO48" s="160">
        <f t="shared" si="13"/>
        <v>2</v>
      </c>
      <c r="AP48" s="133"/>
      <c r="AQ48" s="134"/>
      <c r="AR48" s="161"/>
      <c r="AS48" s="161"/>
      <c r="AT48" s="161"/>
      <c r="AU48" s="161"/>
      <c r="AV48" s="162"/>
      <c r="AW48" s="137">
        <f t="shared" si="11"/>
        <v>0</v>
      </c>
      <c r="AX48" s="137">
        <f t="shared" si="12"/>
        <v>0</v>
      </c>
    </row>
    <row r="49" ht="46.5" customHeight="1" spans="1:50" s="97" customFormat="1" x14ac:dyDescent="0.25">
      <c r="A49" s="100"/>
      <c r="B49" s="100"/>
      <c r="C49" s="100"/>
      <c r="D49" s="100"/>
      <c r="E49" s="100"/>
      <c r="F49" s="100"/>
      <c r="G49" s="103"/>
      <c r="H49" s="186"/>
      <c r="I49" s="195">
        <v>0.51</v>
      </c>
      <c r="J49" s="107">
        <v>0.49</v>
      </c>
      <c r="K49" s="107"/>
      <c r="L49" s="107"/>
      <c r="M49" s="187"/>
      <c r="N49" s="169">
        <f t="shared" si="14"/>
        <v>1</v>
      </c>
      <c r="O49" s="144">
        <v>1</v>
      </c>
      <c r="P49" s="145">
        <v>15</v>
      </c>
      <c r="Q49" s="113">
        <v>15</v>
      </c>
      <c r="R49" s="113"/>
      <c r="S49" s="113"/>
      <c r="T49" s="146"/>
      <c r="U49" s="148">
        <f t="shared" si="1"/>
        <v>15</v>
      </c>
      <c r="V49" s="149">
        <f t="shared" si="2"/>
        <v>15</v>
      </c>
      <c r="W49" s="189"/>
      <c r="X49" s="199"/>
      <c r="Y49" s="151"/>
      <c r="Z49" s="190"/>
      <c r="AA49" s="153"/>
      <c r="AB49" s="154">
        <f t="shared" si="3"/>
        <v>0</v>
      </c>
      <c r="AC49" s="149">
        <f t="shared" si="4"/>
        <v>0</v>
      </c>
      <c r="AD49" s="125">
        <v>2</v>
      </c>
      <c r="AE49" s="148">
        <f t="shared" si="5"/>
        <v>2</v>
      </c>
      <c r="AF49" s="156"/>
      <c r="AG49" s="156"/>
      <c r="AH49" s="113">
        <f t="shared" si="6"/>
        <v>17</v>
      </c>
      <c r="AI49" s="157">
        <v>65</v>
      </c>
      <c r="AJ49" s="113">
        <f t="shared" si="7"/>
        <v>82</v>
      </c>
      <c r="AK49" s="113">
        <f t="shared" si="8"/>
        <v>82</v>
      </c>
      <c r="AL49" s="158">
        <f t="shared" si="9"/>
        <v>1.02</v>
      </c>
      <c r="AM49" s="159"/>
      <c r="AN49" s="160">
        <f t="shared" si="13"/>
        <v>1</v>
      </c>
      <c r="AO49" s="160">
        <f t="shared" si="13"/>
        <v>2</v>
      </c>
      <c r="AP49" s="133"/>
      <c r="AQ49" s="134"/>
      <c r="AR49" s="161"/>
      <c r="AS49" s="161"/>
      <c r="AT49" s="161"/>
      <c r="AU49" s="161"/>
      <c r="AV49" s="162"/>
      <c r="AW49" s="137">
        <f t="shared" si="11"/>
        <v>0</v>
      </c>
      <c r="AX49" s="137">
        <f t="shared" si="12"/>
        <v>0</v>
      </c>
    </row>
    <row r="50" ht="46.5" customHeight="1" spans="1:50" s="97" customFormat="1" x14ac:dyDescent="0.25">
      <c r="A50" s="100"/>
      <c r="B50" s="100"/>
      <c r="C50" s="100"/>
      <c r="D50" s="100"/>
      <c r="E50" s="100"/>
      <c r="F50" s="100"/>
      <c r="G50" s="103"/>
      <c r="H50" s="186"/>
      <c r="I50" s="195">
        <v>0.51</v>
      </c>
      <c r="J50" s="107">
        <v>0.49</v>
      </c>
      <c r="K50" s="107"/>
      <c r="L50" s="107"/>
      <c r="M50" s="187"/>
      <c r="N50" s="169">
        <f t="shared" si="14"/>
        <v>1</v>
      </c>
      <c r="O50" s="144">
        <v>1</v>
      </c>
      <c r="P50" s="145">
        <v>15</v>
      </c>
      <c r="Q50" s="113">
        <v>15</v>
      </c>
      <c r="R50" s="113"/>
      <c r="S50" s="113"/>
      <c r="T50" s="146"/>
      <c r="U50" s="148">
        <f t="shared" si="1"/>
        <v>15</v>
      </c>
      <c r="V50" s="149">
        <f t="shared" si="2"/>
        <v>15</v>
      </c>
      <c r="W50" s="189"/>
      <c r="X50" s="199"/>
      <c r="Y50" s="151"/>
      <c r="Z50" s="190"/>
      <c r="AA50" s="153"/>
      <c r="AB50" s="154">
        <f t="shared" si="3"/>
        <v>0</v>
      </c>
      <c r="AC50" s="149">
        <f t="shared" si="4"/>
        <v>0</v>
      </c>
      <c r="AD50" s="125">
        <v>2</v>
      </c>
      <c r="AE50" s="148">
        <f t="shared" si="5"/>
        <v>2</v>
      </c>
      <c r="AF50" s="156"/>
      <c r="AG50" s="156"/>
      <c r="AH50" s="113">
        <f t="shared" si="6"/>
        <v>17</v>
      </c>
      <c r="AI50" s="157">
        <v>65</v>
      </c>
      <c r="AJ50" s="113">
        <f t="shared" si="7"/>
        <v>82</v>
      </c>
      <c r="AK50" s="113">
        <f t="shared" si="8"/>
        <v>82</v>
      </c>
      <c r="AL50" s="158">
        <f t="shared" si="9"/>
        <v>1.02</v>
      </c>
      <c r="AM50" s="159"/>
      <c r="AN50" s="160">
        <f t="shared" si="13"/>
        <v>1</v>
      </c>
      <c r="AO50" s="160">
        <f t="shared" si="13"/>
        <v>2</v>
      </c>
      <c r="AP50" s="133"/>
      <c r="AQ50" s="134"/>
      <c r="AR50" s="161"/>
      <c r="AS50" s="161"/>
      <c r="AT50" s="161"/>
      <c r="AU50" s="161"/>
      <c r="AV50" s="162"/>
      <c r="AW50" s="137">
        <f t="shared" si="11"/>
        <v>0</v>
      </c>
      <c r="AX50" s="137">
        <f t="shared" si="12"/>
        <v>0</v>
      </c>
    </row>
    <row r="51" ht="46.5" customHeight="1" spans="1:50" s="97" customFormat="1" x14ac:dyDescent="0.25">
      <c r="A51" s="100"/>
      <c r="B51" s="100"/>
      <c r="C51" s="100"/>
      <c r="D51" s="100"/>
      <c r="E51" s="100"/>
      <c r="F51" s="100"/>
      <c r="G51" s="103"/>
      <c r="H51" s="186"/>
      <c r="I51" s="195">
        <v>0.51</v>
      </c>
      <c r="J51" s="107">
        <v>0.49</v>
      </c>
      <c r="K51" s="107"/>
      <c r="L51" s="107"/>
      <c r="M51" s="187"/>
      <c r="N51" s="169">
        <f t="shared" si="14"/>
        <v>1</v>
      </c>
      <c r="O51" s="144">
        <v>1</v>
      </c>
      <c r="P51" s="145">
        <v>15</v>
      </c>
      <c r="Q51" s="113">
        <v>15</v>
      </c>
      <c r="R51" s="113"/>
      <c r="S51" s="113"/>
      <c r="T51" s="146"/>
      <c r="U51" s="148">
        <f t="shared" si="1"/>
        <v>15</v>
      </c>
      <c r="V51" s="149">
        <f t="shared" si="2"/>
        <v>15</v>
      </c>
      <c r="W51" s="189"/>
      <c r="X51" s="199"/>
      <c r="Y51" s="151"/>
      <c r="Z51" s="190"/>
      <c r="AA51" s="153"/>
      <c r="AB51" s="154">
        <f t="shared" si="3"/>
        <v>0</v>
      </c>
      <c r="AC51" s="149">
        <f t="shared" si="4"/>
        <v>0</v>
      </c>
      <c r="AD51" s="125">
        <v>2</v>
      </c>
      <c r="AE51" s="148">
        <f t="shared" si="5"/>
        <v>2</v>
      </c>
      <c r="AF51" s="156"/>
      <c r="AG51" s="156"/>
      <c r="AH51" s="113">
        <f t="shared" si="6"/>
        <v>17</v>
      </c>
      <c r="AI51" s="157">
        <v>65</v>
      </c>
      <c r="AJ51" s="113">
        <f t="shared" si="7"/>
        <v>82</v>
      </c>
      <c r="AK51" s="113">
        <f t="shared" si="8"/>
        <v>82</v>
      </c>
      <c r="AL51" s="158">
        <f t="shared" si="9"/>
        <v>1.02</v>
      </c>
      <c r="AM51" s="159"/>
      <c r="AN51" s="160">
        <f t="shared" ref="AN51:AO70" si="15">100%+AM51</f>
        <v>1</v>
      </c>
      <c r="AO51" s="160">
        <f t="shared" si="15"/>
        <v>2</v>
      </c>
      <c r="AP51" s="133"/>
      <c r="AQ51" s="134"/>
      <c r="AR51" s="161"/>
      <c r="AS51" s="161"/>
      <c r="AT51" s="161"/>
      <c r="AU51" s="161"/>
      <c r="AV51" s="162"/>
      <c r="AW51" s="137">
        <f t="shared" si="11"/>
        <v>0</v>
      </c>
      <c r="AX51" s="137">
        <f t="shared" si="12"/>
        <v>0</v>
      </c>
    </row>
    <row r="52" ht="46.5" customHeight="1" spans="1:50" s="97" customFormat="1" x14ac:dyDescent="0.25">
      <c r="A52" s="100"/>
      <c r="B52" s="100"/>
      <c r="C52" s="100"/>
      <c r="D52" s="100"/>
      <c r="E52" s="100"/>
      <c r="F52" s="100"/>
      <c r="G52" s="103"/>
      <c r="H52" s="186"/>
      <c r="I52" s="195">
        <v>0.51</v>
      </c>
      <c r="J52" s="107">
        <v>0.49</v>
      </c>
      <c r="K52" s="107"/>
      <c r="L52" s="107"/>
      <c r="M52" s="187"/>
      <c r="N52" s="169">
        <f t="shared" si="14"/>
        <v>1</v>
      </c>
      <c r="O52" s="144">
        <v>1</v>
      </c>
      <c r="P52" s="145">
        <v>15</v>
      </c>
      <c r="Q52" s="113">
        <v>15</v>
      </c>
      <c r="R52" s="113"/>
      <c r="S52" s="113"/>
      <c r="T52" s="146"/>
      <c r="U52" s="148">
        <f t="shared" si="1"/>
        <v>15</v>
      </c>
      <c r="V52" s="149">
        <f t="shared" si="2"/>
        <v>15</v>
      </c>
      <c r="W52" s="189"/>
      <c r="X52" s="199"/>
      <c r="Y52" s="151"/>
      <c r="Z52" s="190"/>
      <c r="AA52" s="153"/>
      <c r="AB52" s="154">
        <f t="shared" si="3"/>
        <v>0</v>
      </c>
      <c r="AC52" s="149">
        <f t="shared" si="4"/>
        <v>0</v>
      </c>
      <c r="AD52" s="125">
        <v>2</v>
      </c>
      <c r="AE52" s="148">
        <f t="shared" si="5"/>
        <v>2</v>
      </c>
      <c r="AF52" s="156"/>
      <c r="AG52" s="156"/>
      <c r="AH52" s="113">
        <f t="shared" si="6"/>
        <v>17</v>
      </c>
      <c r="AI52" s="157">
        <v>65</v>
      </c>
      <c r="AJ52" s="113">
        <f t="shared" si="7"/>
        <v>82</v>
      </c>
      <c r="AK52" s="113">
        <f t="shared" si="8"/>
        <v>82</v>
      </c>
      <c r="AL52" s="158">
        <f t="shared" si="9"/>
        <v>1.02</v>
      </c>
      <c r="AM52" s="159"/>
      <c r="AN52" s="160">
        <f t="shared" si="15"/>
        <v>1</v>
      </c>
      <c r="AO52" s="160">
        <f t="shared" si="15"/>
        <v>2</v>
      </c>
      <c r="AP52" s="133"/>
      <c r="AQ52" s="134"/>
      <c r="AR52" s="161"/>
      <c r="AS52" s="161"/>
      <c r="AT52" s="161"/>
      <c r="AU52" s="161"/>
      <c r="AV52" s="162"/>
      <c r="AW52" s="137">
        <f t="shared" si="11"/>
        <v>0</v>
      </c>
      <c r="AX52" s="137">
        <f t="shared" si="12"/>
        <v>0</v>
      </c>
    </row>
    <row r="53" ht="46.5" customHeight="1" spans="1:50" s="97" customFormat="1" x14ac:dyDescent="0.25">
      <c r="A53" s="100"/>
      <c r="B53" s="100"/>
      <c r="C53" s="100"/>
      <c r="D53" s="100"/>
      <c r="E53" s="100"/>
      <c r="F53" s="100"/>
      <c r="G53" s="103"/>
      <c r="H53" s="186"/>
      <c r="I53" s="195">
        <v>0.51</v>
      </c>
      <c r="J53" s="107">
        <v>0.49</v>
      </c>
      <c r="K53" s="107"/>
      <c r="L53" s="107"/>
      <c r="M53" s="187"/>
      <c r="N53" s="169">
        <f t="shared" si="14"/>
        <v>1</v>
      </c>
      <c r="O53" s="144">
        <v>1</v>
      </c>
      <c r="P53" s="145">
        <v>15</v>
      </c>
      <c r="Q53" s="113">
        <v>15</v>
      </c>
      <c r="R53" s="113"/>
      <c r="S53" s="113"/>
      <c r="T53" s="146"/>
      <c r="U53" s="148">
        <f t="shared" si="1"/>
        <v>15</v>
      </c>
      <c r="V53" s="149">
        <f t="shared" si="2"/>
        <v>15</v>
      </c>
      <c r="W53" s="189"/>
      <c r="X53" s="199"/>
      <c r="Y53" s="151"/>
      <c r="Z53" s="190"/>
      <c r="AA53" s="153"/>
      <c r="AB53" s="154">
        <f t="shared" si="3"/>
        <v>0</v>
      </c>
      <c r="AC53" s="149">
        <f t="shared" si="4"/>
        <v>0</v>
      </c>
      <c r="AD53" s="125">
        <v>2</v>
      </c>
      <c r="AE53" s="148">
        <f t="shared" si="5"/>
        <v>2</v>
      </c>
      <c r="AF53" s="156"/>
      <c r="AG53" s="156"/>
      <c r="AH53" s="113">
        <f t="shared" si="6"/>
        <v>17</v>
      </c>
      <c r="AI53" s="157">
        <v>65</v>
      </c>
      <c r="AJ53" s="113">
        <f t="shared" si="7"/>
        <v>82</v>
      </c>
      <c r="AK53" s="113">
        <f t="shared" si="8"/>
        <v>82</v>
      </c>
      <c r="AL53" s="158">
        <f t="shared" si="9"/>
        <v>1.02</v>
      </c>
      <c r="AM53" s="159"/>
      <c r="AN53" s="160">
        <f t="shared" si="15"/>
        <v>1</v>
      </c>
      <c r="AO53" s="160">
        <f t="shared" si="15"/>
        <v>2</v>
      </c>
      <c r="AP53" s="133"/>
      <c r="AQ53" s="134"/>
      <c r="AR53" s="161"/>
      <c r="AS53" s="161"/>
      <c r="AT53" s="161"/>
      <c r="AU53" s="161"/>
      <c r="AV53" s="162"/>
      <c r="AW53" s="137">
        <f t="shared" si="11"/>
        <v>0</v>
      </c>
      <c r="AX53" s="137">
        <f t="shared" si="12"/>
        <v>0</v>
      </c>
    </row>
    <row r="54" ht="46.5" customHeight="1" spans="1:50" s="97" customFormat="1" x14ac:dyDescent="0.25">
      <c r="A54" s="100"/>
      <c r="B54" s="100"/>
      <c r="C54" s="100"/>
      <c r="D54" s="100"/>
      <c r="E54" s="100"/>
      <c r="F54" s="100"/>
      <c r="G54" s="103"/>
      <c r="H54" s="186"/>
      <c r="I54" s="195">
        <v>0.51</v>
      </c>
      <c r="J54" s="107">
        <v>0.49</v>
      </c>
      <c r="K54" s="107"/>
      <c r="L54" s="107"/>
      <c r="M54" s="187"/>
      <c r="N54" s="169">
        <f t="shared" si="14"/>
        <v>1</v>
      </c>
      <c r="O54" s="144">
        <v>1</v>
      </c>
      <c r="P54" s="145">
        <v>15</v>
      </c>
      <c r="Q54" s="113">
        <v>15</v>
      </c>
      <c r="R54" s="113"/>
      <c r="S54" s="113"/>
      <c r="T54" s="146"/>
      <c r="U54" s="148">
        <f t="shared" si="1"/>
        <v>15</v>
      </c>
      <c r="V54" s="149">
        <f t="shared" si="2"/>
        <v>15</v>
      </c>
      <c r="W54" s="189"/>
      <c r="X54" s="199"/>
      <c r="Y54" s="151"/>
      <c r="Z54" s="190"/>
      <c r="AA54" s="153"/>
      <c r="AB54" s="154">
        <f t="shared" si="3"/>
        <v>0</v>
      </c>
      <c r="AC54" s="149">
        <f t="shared" si="4"/>
        <v>0</v>
      </c>
      <c r="AD54" s="125">
        <v>2</v>
      </c>
      <c r="AE54" s="148">
        <f t="shared" si="5"/>
        <v>2</v>
      </c>
      <c r="AF54" s="156"/>
      <c r="AG54" s="156"/>
      <c r="AH54" s="113">
        <f t="shared" si="6"/>
        <v>17</v>
      </c>
      <c r="AI54" s="157">
        <v>65</v>
      </c>
      <c r="AJ54" s="113">
        <f t="shared" si="7"/>
        <v>82</v>
      </c>
      <c r="AK54" s="113">
        <f t="shared" si="8"/>
        <v>82</v>
      </c>
      <c r="AL54" s="158">
        <f t="shared" si="9"/>
        <v>1.02</v>
      </c>
      <c r="AM54" s="159"/>
      <c r="AN54" s="160">
        <f t="shared" si="15"/>
        <v>1</v>
      </c>
      <c r="AO54" s="160">
        <f t="shared" si="15"/>
        <v>2</v>
      </c>
      <c r="AP54" s="133"/>
      <c r="AQ54" s="134"/>
      <c r="AR54" s="161"/>
      <c r="AS54" s="161"/>
      <c r="AT54" s="161"/>
      <c r="AU54" s="161"/>
      <c r="AV54" s="162"/>
      <c r="AW54" s="137">
        <f t="shared" si="11"/>
        <v>0</v>
      </c>
      <c r="AX54" s="137">
        <f t="shared" si="12"/>
        <v>0</v>
      </c>
    </row>
    <row r="55" ht="46.5" customHeight="1" spans="1:50" s="97" customFormat="1" x14ac:dyDescent="0.25">
      <c r="A55" s="100"/>
      <c r="B55" s="100"/>
      <c r="C55" s="100"/>
      <c r="D55" s="100"/>
      <c r="E55" s="100"/>
      <c r="F55" s="100"/>
      <c r="G55" s="103"/>
      <c r="H55" s="186"/>
      <c r="I55" s="195">
        <v>0.51</v>
      </c>
      <c r="J55" s="107">
        <v>0.49</v>
      </c>
      <c r="K55" s="107"/>
      <c r="L55" s="107"/>
      <c r="M55" s="187"/>
      <c r="N55" s="169">
        <f t="shared" si="14"/>
        <v>1</v>
      </c>
      <c r="O55" s="144">
        <v>1</v>
      </c>
      <c r="P55" s="145">
        <v>15</v>
      </c>
      <c r="Q55" s="113">
        <v>15</v>
      </c>
      <c r="R55" s="113"/>
      <c r="S55" s="113"/>
      <c r="T55" s="146"/>
      <c r="U55" s="148">
        <f t="shared" si="1"/>
        <v>15</v>
      </c>
      <c r="V55" s="149">
        <f t="shared" si="2"/>
        <v>15</v>
      </c>
      <c r="W55" s="189"/>
      <c r="X55" s="199"/>
      <c r="Y55" s="151"/>
      <c r="Z55" s="190"/>
      <c r="AA55" s="153"/>
      <c r="AB55" s="154">
        <f t="shared" si="3"/>
        <v>0</v>
      </c>
      <c r="AC55" s="149">
        <f t="shared" si="4"/>
        <v>0</v>
      </c>
      <c r="AD55" s="125">
        <v>2</v>
      </c>
      <c r="AE55" s="148">
        <f t="shared" si="5"/>
        <v>2</v>
      </c>
      <c r="AF55" s="156"/>
      <c r="AG55" s="156"/>
      <c r="AH55" s="113">
        <f t="shared" si="6"/>
        <v>17</v>
      </c>
      <c r="AI55" s="157">
        <v>65</v>
      </c>
      <c r="AJ55" s="113">
        <f t="shared" si="7"/>
        <v>82</v>
      </c>
      <c r="AK55" s="113">
        <f t="shared" si="8"/>
        <v>82</v>
      </c>
      <c r="AL55" s="158">
        <f t="shared" si="9"/>
        <v>1.02</v>
      </c>
      <c r="AM55" s="159"/>
      <c r="AN55" s="160">
        <f t="shared" si="15"/>
        <v>1</v>
      </c>
      <c r="AO55" s="160">
        <f t="shared" si="15"/>
        <v>2</v>
      </c>
      <c r="AP55" s="133"/>
      <c r="AQ55" s="134"/>
      <c r="AR55" s="161"/>
      <c r="AS55" s="161"/>
      <c r="AT55" s="161"/>
      <c r="AU55" s="161"/>
      <c r="AV55" s="162"/>
      <c r="AW55" s="137">
        <f t="shared" si="11"/>
        <v>0</v>
      </c>
      <c r="AX55" s="137">
        <f t="shared" si="12"/>
        <v>0</v>
      </c>
    </row>
    <row r="56" ht="46.5" customHeight="1" spans="1:50" s="97" customFormat="1" x14ac:dyDescent="0.25">
      <c r="A56" s="100"/>
      <c r="B56" s="100"/>
      <c r="C56" s="100"/>
      <c r="D56" s="100"/>
      <c r="E56" s="100"/>
      <c r="F56" s="100"/>
      <c r="G56" s="103"/>
      <c r="H56" s="186"/>
      <c r="I56" s="195">
        <v>0.51</v>
      </c>
      <c r="J56" s="107">
        <v>0.49</v>
      </c>
      <c r="K56" s="107"/>
      <c r="L56" s="107"/>
      <c r="M56" s="187"/>
      <c r="N56" s="169">
        <f t="shared" si="14"/>
        <v>1</v>
      </c>
      <c r="O56" s="144">
        <v>1</v>
      </c>
      <c r="P56" s="145">
        <v>15</v>
      </c>
      <c r="Q56" s="113">
        <v>15</v>
      </c>
      <c r="R56" s="113"/>
      <c r="S56" s="113"/>
      <c r="T56" s="146"/>
      <c r="U56" s="148">
        <f t="shared" si="1"/>
        <v>15</v>
      </c>
      <c r="V56" s="149">
        <f t="shared" si="2"/>
        <v>15</v>
      </c>
      <c r="W56" s="189"/>
      <c r="X56" s="199"/>
      <c r="Y56" s="151"/>
      <c r="Z56" s="190"/>
      <c r="AA56" s="153"/>
      <c r="AB56" s="154">
        <f t="shared" si="3"/>
        <v>0</v>
      </c>
      <c r="AC56" s="149">
        <f t="shared" si="4"/>
        <v>0</v>
      </c>
      <c r="AD56" s="125">
        <v>2</v>
      </c>
      <c r="AE56" s="148">
        <f t="shared" si="5"/>
        <v>2</v>
      </c>
      <c r="AF56" s="156"/>
      <c r="AG56" s="156"/>
      <c r="AH56" s="113">
        <f t="shared" si="6"/>
        <v>17</v>
      </c>
      <c r="AI56" s="157">
        <v>65</v>
      </c>
      <c r="AJ56" s="113">
        <f t="shared" si="7"/>
        <v>82</v>
      </c>
      <c r="AK56" s="113">
        <f t="shared" si="8"/>
        <v>82</v>
      </c>
      <c r="AL56" s="158">
        <f t="shared" si="9"/>
        <v>1.02</v>
      </c>
      <c r="AM56" s="159"/>
      <c r="AN56" s="160">
        <f t="shared" si="15"/>
        <v>1</v>
      </c>
      <c r="AO56" s="160">
        <f t="shared" si="15"/>
        <v>2</v>
      </c>
      <c r="AP56" s="133"/>
      <c r="AQ56" s="134"/>
      <c r="AR56" s="161"/>
      <c r="AS56" s="161"/>
      <c r="AT56" s="161"/>
      <c r="AU56" s="161"/>
      <c r="AV56" s="162"/>
      <c r="AW56" s="137">
        <f t="shared" si="11"/>
        <v>0</v>
      </c>
      <c r="AX56" s="137">
        <f t="shared" si="12"/>
        <v>0</v>
      </c>
    </row>
    <row r="57" ht="46.5" customHeight="1" spans="1:50" s="97" customFormat="1" x14ac:dyDescent="0.25">
      <c r="A57" s="100"/>
      <c r="B57" s="100"/>
      <c r="C57" s="100"/>
      <c r="D57" s="100"/>
      <c r="E57" s="100"/>
      <c r="F57" s="100"/>
      <c r="G57" s="103"/>
      <c r="H57" s="186"/>
      <c r="I57" s="195">
        <v>0.51</v>
      </c>
      <c r="J57" s="107">
        <v>0.49</v>
      </c>
      <c r="K57" s="107"/>
      <c r="L57" s="107"/>
      <c r="M57" s="187"/>
      <c r="N57" s="169">
        <f t="shared" si="14"/>
        <v>1</v>
      </c>
      <c r="O57" s="144">
        <v>1</v>
      </c>
      <c r="P57" s="145">
        <v>15</v>
      </c>
      <c r="Q57" s="113">
        <v>15</v>
      </c>
      <c r="R57" s="113"/>
      <c r="S57" s="113"/>
      <c r="T57" s="146"/>
      <c r="U57" s="148">
        <f t="shared" si="1"/>
        <v>15</v>
      </c>
      <c r="V57" s="149">
        <f t="shared" si="2"/>
        <v>15</v>
      </c>
      <c r="W57" s="189"/>
      <c r="X57" s="199"/>
      <c r="Y57" s="151"/>
      <c r="Z57" s="190"/>
      <c r="AA57" s="153"/>
      <c r="AB57" s="154">
        <f t="shared" si="3"/>
        <v>0</v>
      </c>
      <c r="AC57" s="149">
        <f t="shared" si="4"/>
        <v>0</v>
      </c>
      <c r="AD57" s="125">
        <v>2</v>
      </c>
      <c r="AE57" s="148">
        <f t="shared" si="5"/>
        <v>2</v>
      </c>
      <c r="AF57" s="156"/>
      <c r="AG57" s="156"/>
      <c r="AH57" s="113">
        <f t="shared" si="6"/>
        <v>17</v>
      </c>
      <c r="AI57" s="157">
        <v>65</v>
      </c>
      <c r="AJ57" s="113">
        <f t="shared" si="7"/>
        <v>82</v>
      </c>
      <c r="AK57" s="113">
        <f t="shared" si="8"/>
        <v>82</v>
      </c>
      <c r="AL57" s="158">
        <f t="shared" si="9"/>
        <v>1.02</v>
      </c>
      <c r="AM57" s="159"/>
      <c r="AN57" s="160">
        <f t="shared" si="15"/>
        <v>1</v>
      </c>
      <c r="AO57" s="160">
        <f t="shared" si="15"/>
        <v>2</v>
      </c>
      <c r="AP57" s="133"/>
      <c r="AQ57" s="134"/>
      <c r="AR57" s="161"/>
      <c r="AS57" s="161"/>
      <c r="AT57" s="161"/>
      <c r="AU57" s="161"/>
      <c r="AV57" s="162"/>
      <c r="AW57" s="137">
        <f t="shared" si="11"/>
        <v>0</v>
      </c>
      <c r="AX57" s="137">
        <f t="shared" si="12"/>
        <v>0</v>
      </c>
    </row>
    <row r="58" ht="46.5" customHeight="1" spans="1:50" s="97" customFormat="1" x14ac:dyDescent="0.25">
      <c r="A58" s="100"/>
      <c r="B58" s="100"/>
      <c r="C58" s="100"/>
      <c r="D58" s="100"/>
      <c r="E58" s="100"/>
      <c r="F58" s="100"/>
      <c r="G58" s="103"/>
      <c r="H58" s="186"/>
      <c r="I58" s="195">
        <v>0.51</v>
      </c>
      <c r="J58" s="107">
        <v>0.49</v>
      </c>
      <c r="K58" s="107"/>
      <c r="L58" s="107"/>
      <c r="M58" s="187"/>
      <c r="N58" s="169">
        <f t="shared" si="14"/>
        <v>1</v>
      </c>
      <c r="O58" s="144">
        <v>1</v>
      </c>
      <c r="P58" s="145">
        <v>15</v>
      </c>
      <c r="Q58" s="113">
        <v>15</v>
      </c>
      <c r="R58" s="113"/>
      <c r="S58" s="113"/>
      <c r="T58" s="146"/>
      <c r="U58" s="148">
        <f t="shared" si="1"/>
        <v>15</v>
      </c>
      <c r="V58" s="149">
        <f t="shared" si="2"/>
        <v>15</v>
      </c>
      <c r="W58" s="189"/>
      <c r="X58" s="199"/>
      <c r="Y58" s="151"/>
      <c r="Z58" s="190"/>
      <c r="AA58" s="153"/>
      <c r="AB58" s="154">
        <f t="shared" si="3"/>
        <v>0</v>
      </c>
      <c r="AC58" s="149">
        <f t="shared" si="4"/>
        <v>0</v>
      </c>
      <c r="AD58" s="125">
        <v>2</v>
      </c>
      <c r="AE58" s="148">
        <f t="shared" si="5"/>
        <v>2</v>
      </c>
      <c r="AF58" s="156"/>
      <c r="AG58" s="156"/>
      <c r="AH58" s="113">
        <f t="shared" si="6"/>
        <v>17</v>
      </c>
      <c r="AI58" s="157">
        <v>65</v>
      </c>
      <c r="AJ58" s="113">
        <f t="shared" si="7"/>
        <v>82</v>
      </c>
      <c r="AK58" s="113">
        <f t="shared" si="8"/>
        <v>82</v>
      </c>
      <c r="AL58" s="158">
        <f t="shared" si="9"/>
        <v>1.02</v>
      </c>
      <c r="AM58" s="159"/>
      <c r="AN58" s="160">
        <f t="shared" si="15"/>
        <v>1</v>
      </c>
      <c r="AO58" s="160">
        <f t="shared" si="15"/>
        <v>2</v>
      </c>
      <c r="AP58" s="133"/>
      <c r="AQ58" s="134"/>
      <c r="AR58" s="161"/>
      <c r="AS58" s="161"/>
      <c r="AT58" s="161"/>
      <c r="AU58" s="161"/>
      <c r="AV58" s="162"/>
      <c r="AW58" s="137">
        <f t="shared" si="11"/>
        <v>0</v>
      </c>
      <c r="AX58" s="137">
        <f t="shared" si="12"/>
        <v>0</v>
      </c>
    </row>
    <row r="59" ht="46.5" customHeight="1" spans="1:50" s="97" customFormat="1" x14ac:dyDescent="0.25">
      <c r="A59" s="100"/>
      <c r="B59" s="100"/>
      <c r="C59" s="100"/>
      <c r="D59" s="100"/>
      <c r="E59" s="100"/>
      <c r="F59" s="100"/>
      <c r="G59" s="103"/>
      <c r="H59" s="186"/>
      <c r="I59" s="195">
        <v>0.51</v>
      </c>
      <c r="J59" s="107">
        <v>0.49</v>
      </c>
      <c r="K59" s="107"/>
      <c r="L59" s="107"/>
      <c r="M59" s="187"/>
      <c r="N59" s="169">
        <f t="shared" si="14"/>
        <v>1</v>
      </c>
      <c r="O59" s="144">
        <v>1</v>
      </c>
      <c r="P59" s="145">
        <v>15</v>
      </c>
      <c r="Q59" s="113">
        <v>15</v>
      </c>
      <c r="R59" s="113"/>
      <c r="S59" s="113"/>
      <c r="T59" s="146"/>
      <c r="U59" s="148">
        <f t="shared" si="1"/>
        <v>15</v>
      </c>
      <c r="V59" s="149">
        <f t="shared" si="2"/>
        <v>15</v>
      </c>
      <c r="W59" s="189"/>
      <c r="X59" s="199"/>
      <c r="Y59" s="151"/>
      <c r="Z59" s="190"/>
      <c r="AA59" s="153"/>
      <c r="AB59" s="154">
        <f t="shared" si="3"/>
        <v>0</v>
      </c>
      <c r="AC59" s="149">
        <f t="shared" si="4"/>
        <v>0</v>
      </c>
      <c r="AD59" s="125">
        <v>2</v>
      </c>
      <c r="AE59" s="148">
        <f t="shared" si="5"/>
        <v>2</v>
      </c>
      <c r="AF59" s="156"/>
      <c r="AG59" s="156"/>
      <c r="AH59" s="113">
        <f t="shared" si="6"/>
        <v>17</v>
      </c>
      <c r="AI59" s="157">
        <v>65</v>
      </c>
      <c r="AJ59" s="113">
        <f t="shared" si="7"/>
        <v>82</v>
      </c>
      <c r="AK59" s="113">
        <f t="shared" si="8"/>
        <v>82</v>
      </c>
      <c r="AL59" s="158">
        <f t="shared" si="9"/>
        <v>1.02</v>
      </c>
      <c r="AM59" s="159"/>
      <c r="AN59" s="160">
        <f t="shared" si="15"/>
        <v>1</v>
      </c>
      <c r="AO59" s="160">
        <f t="shared" si="15"/>
        <v>2</v>
      </c>
      <c r="AP59" s="133"/>
      <c r="AQ59" s="134"/>
      <c r="AR59" s="161"/>
      <c r="AS59" s="161"/>
      <c r="AT59" s="161"/>
      <c r="AU59" s="161"/>
      <c r="AV59" s="162"/>
      <c r="AW59" s="137">
        <f t="shared" si="11"/>
        <v>0</v>
      </c>
      <c r="AX59" s="137">
        <f t="shared" si="12"/>
        <v>0</v>
      </c>
    </row>
    <row r="60" ht="46.5" customHeight="1" spans="1:50" s="97" customFormat="1" x14ac:dyDescent="0.25">
      <c r="A60" s="100"/>
      <c r="B60" s="100"/>
      <c r="C60" s="100"/>
      <c r="D60" s="100"/>
      <c r="E60" s="100"/>
      <c r="F60" s="100"/>
      <c r="G60" s="103"/>
      <c r="H60" s="186"/>
      <c r="I60" s="195">
        <v>0.51</v>
      </c>
      <c r="J60" s="107">
        <v>0.49</v>
      </c>
      <c r="K60" s="107"/>
      <c r="L60" s="107"/>
      <c r="M60" s="187"/>
      <c r="N60" s="169">
        <f t="shared" si="14"/>
        <v>1</v>
      </c>
      <c r="O60" s="144">
        <v>1</v>
      </c>
      <c r="P60" s="145">
        <v>15</v>
      </c>
      <c r="Q60" s="113">
        <v>15</v>
      </c>
      <c r="R60" s="113"/>
      <c r="S60" s="113"/>
      <c r="T60" s="146"/>
      <c r="U60" s="148">
        <f t="shared" si="1"/>
        <v>15</v>
      </c>
      <c r="V60" s="149">
        <f t="shared" si="2"/>
        <v>15</v>
      </c>
      <c r="W60" s="189"/>
      <c r="X60" s="199"/>
      <c r="Y60" s="151"/>
      <c r="Z60" s="190"/>
      <c r="AA60" s="153"/>
      <c r="AB60" s="154">
        <f t="shared" si="3"/>
        <v>0</v>
      </c>
      <c r="AC60" s="149">
        <f t="shared" si="4"/>
        <v>0</v>
      </c>
      <c r="AD60" s="125">
        <v>2</v>
      </c>
      <c r="AE60" s="148">
        <f t="shared" si="5"/>
        <v>2</v>
      </c>
      <c r="AF60" s="156"/>
      <c r="AG60" s="156"/>
      <c r="AH60" s="113">
        <f t="shared" si="6"/>
        <v>17</v>
      </c>
      <c r="AI60" s="157">
        <v>65</v>
      </c>
      <c r="AJ60" s="113">
        <f t="shared" si="7"/>
        <v>82</v>
      </c>
      <c r="AK60" s="113">
        <f t="shared" si="8"/>
        <v>82</v>
      </c>
      <c r="AL60" s="158">
        <f t="shared" si="9"/>
        <v>1.02</v>
      </c>
      <c r="AM60" s="159"/>
      <c r="AN60" s="160">
        <f t="shared" si="15"/>
        <v>1</v>
      </c>
      <c r="AO60" s="160">
        <f t="shared" si="15"/>
        <v>2</v>
      </c>
      <c r="AP60" s="133"/>
      <c r="AQ60" s="134"/>
      <c r="AR60" s="161"/>
      <c r="AS60" s="161"/>
      <c r="AT60" s="161"/>
      <c r="AU60" s="161"/>
      <c r="AV60" s="162"/>
      <c r="AW60" s="137">
        <f t="shared" si="11"/>
        <v>0</v>
      </c>
      <c r="AX60" s="137">
        <f t="shared" si="12"/>
        <v>0</v>
      </c>
    </row>
    <row r="61" ht="46.5" customHeight="1" spans="1:50" s="97" customFormat="1" x14ac:dyDescent="0.25">
      <c r="A61" s="100"/>
      <c r="B61" s="100"/>
      <c r="C61" s="100"/>
      <c r="D61" s="100"/>
      <c r="E61" s="100"/>
      <c r="F61" s="100"/>
      <c r="G61" s="103"/>
      <c r="H61" s="186"/>
      <c r="I61" s="195">
        <v>0.51</v>
      </c>
      <c r="J61" s="107">
        <v>0.49</v>
      </c>
      <c r="K61" s="107"/>
      <c r="L61" s="107"/>
      <c r="M61" s="187"/>
      <c r="N61" s="169">
        <f t="shared" si="14"/>
        <v>1</v>
      </c>
      <c r="O61" s="144">
        <v>1</v>
      </c>
      <c r="P61" s="145">
        <v>15</v>
      </c>
      <c r="Q61" s="113">
        <v>15</v>
      </c>
      <c r="R61" s="113"/>
      <c r="S61" s="113"/>
      <c r="T61" s="146"/>
      <c r="U61" s="148">
        <f t="shared" si="1"/>
        <v>15</v>
      </c>
      <c r="V61" s="149">
        <f t="shared" si="2"/>
        <v>15</v>
      </c>
      <c r="W61" s="189"/>
      <c r="X61" s="199"/>
      <c r="Y61" s="151"/>
      <c r="Z61" s="190"/>
      <c r="AA61" s="153"/>
      <c r="AB61" s="154">
        <f t="shared" si="3"/>
        <v>0</v>
      </c>
      <c r="AC61" s="149">
        <f t="shared" si="4"/>
        <v>0</v>
      </c>
      <c r="AD61" s="125">
        <v>2</v>
      </c>
      <c r="AE61" s="148">
        <f t="shared" si="5"/>
        <v>2</v>
      </c>
      <c r="AF61" s="156"/>
      <c r="AG61" s="156"/>
      <c r="AH61" s="113">
        <f t="shared" si="6"/>
        <v>17</v>
      </c>
      <c r="AI61" s="157">
        <v>65</v>
      </c>
      <c r="AJ61" s="113">
        <f t="shared" si="7"/>
        <v>82</v>
      </c>
      <c r="AK61" s="113">
        <f t="shared" si="8"/>
        <v>82</v>
      </c>
      <c r="AL61" s="158">
        <f t="shared" si="9"/>
        <v>1.02</v>
      </c>
      <c r="AM61" s="159"/>
      <c r="AN61" s="160">
        <f t="shared" si="15"/>
        <v>1</v>
      </c>
      <c r="AO61" s="160">
        <f t="shared" si="15"/>
        <v>2</v>
      </c>
      <c r="AP61" s="133"/>
      <c r="AQ61" s="134"/>
      <c r="AR61" s="161"/>
      <c r="AS61" s="161"/>
      <c r="AT61" s="161"/>
      <c r="AU61" s="161"/>
      <c r="AV61" s="162"/>
      <c r="AW61" s="137">
        <f t="shared" si="11"/>
        <v>0</v>
      </c>
      <c r="AX61" s="137">
        <f t="shared" si="12"/>
        <v>0</v>
      </c>
    </row>
    <row r="62" ht="46.5" customHeight="1" spans="1:50" s="97" customFormat="1" x14ac:dyDescent="0.25">
      <c r="A62" s="100"/>
      <c r="B62" s="100"/>
      <c r="C62" s="100"/>
      <c r="D62" s="100"/>
      <c r="E62" s="100"/>
      <c r="F62" s="100"/>
      <c r="G62" s="103"/>
      <c r="H62" s="186"/>
      <c r="I62" s="195">
        <v>0.51</v>
      </c>
      <c r="J62" s="107">
        <v>0.49</v>
      </c>
      <c r="K62" s="107"/>
      <c r="L62" s="107"/>
      <c r="M62" s="187"/>
      <c r="N62" s="169">
        <f t="shared" si="14"/>
        <v>1</v>
      </c>
      <c r="O62" s="144">
        <v>1</v>
      </c>
      <c r="P62" s="145">
        <v>15</v>
      </c>
      <c r="Q62" s="113">
        <v>15</v>
      </c>
      <c r="R62" s="113"/>
      <c r="S62" s="113"/>
      <c r="T62" s="146"/>
      <c r="U62" s="148">
        <f t="shared" si="1"/>
        <v>15</v>
      </c>
      <c r="V62" s="149">
        <f t="shared" si="2"/>
        <v>15</v>
      </c>
      <c r="W62" s="189"/>
      <c r="X62" s="199"/>
      <c r="Y62" s="151"/>
      <c r="Z62" s="190"/>
      <c r="AA62" s="153"/>
      <c r="AB62" s="154">
        <f t="shared" si="3"/>
        <v>0</v>
      </c>
      <c r="AC62" s="149">
        <f t="shared" si="4"/>
        <v>0</v>
      </c>
      <c r="AD62" s="125">
        <v>2</v>
      </c>
      <c r="AE62" s="148">
        <f t="shared" si="5"/>
        <v>2</v>
      </c>
      <c r="AF62" s="156"/>
      <c r="AG62" s="156"/>
      <c r="AH62" s="113">
        <f t="shared" si="6"/>
        <v>17</v>
      </c>
      <c r="AI62" s="157">
        <v>65</v>
      </c>
      <c r="AJ62" s="113">
        <f t="shared" si="7"/>
        <v>82</v>
      </c>
      <c r="AK62" s="113">
        <f t="shared" si="8"/>
        <v>82</v>
      </c>
      <c r="AL62" s="158">
        <f t="shared" si="9"/>
        <v>1.02</v>
      </c>
      <c r="AM62" s="159"/>
      <c r="AN62" s="160">
        <f t="shared" si="15"/>
        <v>1</v>
      </c>
      <c r="AO62" s="160">
        <f t="shared" si="15"/>
        <v>2</v>
      </c>
      <c r="AP62" s="133"/>
      <c r="AQ62" s="134"/>
      <c r="AR62" s="161"/>
      <c r="AS62" s="161"/>
      <c r="AT62" s="161"/>
      <c r="AU62" s="161"/>
      <c r="AV62" s="162"/>
      <c r="AW62" s="137">
        <f t="shared" si="11"/>
        <v>0</v>
      </c>
      <c r="AX62" s="137">
        <f t="shared" si="12"/>
        <v>0</v>
      </c>
    </row>
    <row r="63" ht="46.5" customHeight="1" spans="1:50" s="97" customFormat="1" x14ac:dyDescent="0.25">
      <c r="A63" s="100"/>
      <c r="B63" s="100"/>
      <c r="C63" s="100"/>
      <c r="D63" s="100"/>
      <c r="E63" s="100"/>
      <c r="F63" s="100"/>
      <c r="G63" s="103"/>
      <c r="H63" s="186"/>
      <c r="I63" s="195">
        <v>0.51</v>
      </c>
      <c r="J63" s="107">
        <v>0.49</v>
      </c>
      <c r="K63" s="107"/>
      <c r="L63" s="107"/>
      <c r="M63" s="187"/>
      <c r="N63" s="169">
        <f t="shared" si="14"/>
        <v>1</v>
      </c>
      <c r="O63" s="144">
        <v>1</v>
      </c>
      <c r="P63" s="145">
        <v>15</v>
      </c>
      <c r="Q63" s="113">
        <v>15</v>
      </c>
      <c r="R63" s="113"/>
      <c r="S63" s="113"/>
      <c r="T63" s="146"/>
      <c r="U63" s="148">
        <f t="shared" si="1"/>
        <v>15</v>
      </c>
      <c r="V63" s="149">
        <f t="shared" si="2"/>
        <v>15</v>
      </c>
      <c r="W63" s="189"/>
      <c r="X63" s="199"/>
      <c r="Y63" s="151"/>
      <c r="Z63" s="190"/>
      <c r="AA63" s="153"/>
      <c r="AB63" s="154">
        <f t="shared" si="3"/>
        <v>0</v>
      </c>
      <c r="AC63" s="149">
        <f t="shared" si="4"/>
        <v>0</v>
      </c>
      <c r="AD63" s="125">
        <v>2</v>
      </c>
      <c r="AE63" s="148">
        <f t="shared" si="5"/>
        <v>2</v>
      </c>
      <c r="AF63" s="156"/>
      <c r="AG63" s="156"/>
      <c r="AH63" s="113">
        <f t="shared" si="6"/>
        <v>17</v>
      </c>
      <c r="AI63" s="157">
        <v>65</v>
      </c>
      <c r="AJ63" s="113">
        <f t="shared" si="7"/>
        <v>82</v>
      </c>
      <c r="AK63" s="113">
        <f t="shared" si="8"/>
        <v>82</v>
      </c>
      <c r="AL63" s="158">
        <f t="shared" si="9"/>
        <v>1.02</v>
      </c>
      <c r="AM63" s="159"/>
      <c r="AN63" s="160">
        <f t="shared" si="15"/>
        <v>1</v>
      </c>
      <c r="AO63" s="160">
        <f t="shared" si="15"/>
        <v>2</v>
      </c>
      <c r="AP63" s="133"/>
      <c r="AQ63" s="134"/>
      <c r="AR63" s="161"/>
      <c r="AS63" s="161"/>
      <c r="AT63" s="161"/>
      <c r="AU63" s="161"/>
      <c r="AV63" s="162"/>
      <c r="AW63" s="137">
        <f t="shared" si="11"/>
        <v>0</v>
      </c>
      <c r="AX63" s="137">
        <f t="shared" si="12"/>
        <v>0</v>
      </c>
    </row>
    <row r="64" ht="46.5" customHeight="1" spans="1:50" s="97" customFormat="1" x14ac:dyDescent="0.25">
      <c r="A64" s="100"/>
      <c r="B64" s="100"/>
      <c r="C64" s="100"/>
      <c r="D64" s="100"/>
      <c r="E64" s="100"/>
      <c r="F64" s="100"/>
      <c r="G64" s="103"/>
      <c r="H64" s="186"/>
      <c r="I64" s="195">
        <v>0.51</v>
      </c>
      <c r="J64" s="107">
        <v>0.49</v>
      </c>
      <c r="K64" s="107"/>
      <c r="L64" s="107"/>
      <c r="M64" s="187"/>
      <c r="N64" s="169">
        <f t="shared" si="14"/>
        <v>1</v>
      </c>
      <c r="O64" s="144">
        <v>1</v>
      </c>
      <c r="P64" s="145">
        <v>15</v>
      </c>
      <c r="Q64" s="113">
        <v>15</v>
      </c>
      <c r="R64" s="113"/>
      <c r="S64" s="113"/>
      <c r="T64" s="146"/>
      <c r="U64" s="148">
        <f t="shared" si="1"/>
        <v>15</v>
      </c>
      <c r="V64" s="149">
        <f t="shared" si="2"/>
        <v>15</v>
      </c>
      <c r="W64" s="189"/>
      <c r="X64" s="199"/>
      <c r="Y64" s="151"/>
      <c r="Z64" s="190"/>
      <c r="AA64" s="153"/>
      <c r="AB64" s="154">
        <f t="shared" si="3"/>
        <v>0</v>
      </c>
      <c r="AC64" s="149">
        <f t="shared" si="4"/>
        <v>0</v>
      </c>
      <c r="AD64" s="125">
        <v>2</v>
      </c>
      <c r="AE64" s="148">
        <f t="shared" si="5"/>
        <v>2</v>
      </c>
      <c r="AF64" s="156"/>
      <c r="AG64" s="156"/>
      <c r="AH64" s="113">
        <f t="shared" si="6"/>
        <v>17</v>
      </c>
      <c r="AI64" s="157">
        <v>65</v>
      </c>
      <c r="AJ64" s="113">
        <f t="shared" si="7"/>
        <v>82</v>
      </c>
      <c r="AK64" s="113">
        <f t="shared" si="8"/>
        <v>82</v>
      </c>
      <c r="AL64" s="158">
        <f t="shared" si="9"/>
        <v>1.02</v>
      </c>
      <c r="AM64" s="159"/>
      <c r="AN64" s="160">
        <f t="shared" si="15"/>
        <v>1</v>
      </c>
      <c r="AO64" s="160">
        <f t="shared" si="15"/>
        <v>2</v>
      </c>
      <c r="AP64" s="133"/>
      <c r="AQ64" s="134"/>
      <c r="AR64" s="161"/>
      <c r="AS64" s="161"/>
      <c r="AT64" s="161"/>
      <c r="AU64" s="161"/>
      <c r="AV64" s="162"/>
      <c r="AW64" s="137">
        <f t="shared" si="11"/>
        <v>0</v>
      </c>
      <c r="AX64" s="137">
        <f t="shared" si="12"/>
        <v>0</v>
      </c>
    </row>
    <row r="65" ht="46.5" customHeight="1" spans="1:50" s="97" customFormat="1" x14ac:dyDescent="0.25">
      <c r="A65" s="100"/>
      <c r="B65" s="100"/>
      <c r="C65" s="100"/>
      <c r="D65" s="100"/>
      <c r="E65" s="100"/>
      <c r="F65" s="100"/>
      <c r="G65" s="103"/>
      <c r="H65" s="186"/>
      <c r="I65" s="195">
        <v>0.51</v>
      </c>
      <c r="J65" s="107">
        <v>0.49</v>
      </c>
      <c r="K65" s="107"/>
      <c r="L65" s="107"/>
      <c r="M65" s="187"/>
      <c r="N65" s="169">
        <f t="shared" si="14"/>
        <v>1</v>
      </c>
      <c r="O65" s="144">
        <v>1</v>
      </c>
      <c r="P65" s="145">
        <v>15</v>
      </c>
      <c r="Q65" s="113">
        <v>15</v>
      </c>
      <c r="R65" s="113"/>
      <c r="S65" s="113"/>
      <c r="T65" s="146"/>
      <c r="U65" s="148">
        <f t="shared" si="1"/>
        <v>15</v>
      </c>
      <c r="V65" s="149">
        <f t="shared" si="2"/>
        <v>15</v>
      </c>
      <c r="W65" s="189"/>
      <c r="X65" s="199"/>
      <c r="Y65" s="151"/>
      <c r="Z65" s="190"/>
      <c r="AA65" s="153"/>
      <c r="AB65" s="154">
        <f t="shared" si="3"/>
        <v>0</v>
      </c>
      <c r="AC65" s="149">
        <f t="shared" si="4"/>
        <v>0</v>
      </c>
      <c r="AD65" s="125">
        <v>2</v>
      </c>
      <c r="AE65" s="148">
        <f t="shared" si="5"/>
        <v>2</v>
      </c>
      <c r="AF65" s="156"/>
      <c r="AG65" s="156"/>
      <c r="AH65" s="113">
        <f t="shared" si="6"/>
        <v>17</v>
      </c>
      <c r="AI65" s="157">
        <v>65</v>
      </c>
      <c r="AJ65" s="113">
        <f t="shared" si="7"/>
        <v>82</v>
      </c>
      <c r="AK65" s="113">
        <f t="shared" si="8"/>
        <v>82</v>
      </c>
      <c r="AL65" s="158">
        <f t="shared" si="9"/>
        <v>1.02</v>
      </c>
      <c r="AM65" s="159"/>
      <c r="AN65" s="160">
        <f t="shared" si="15"/>
        <v>1</v>
      </c>
      <c r="AO65" s="160">
        <f t="shared" si="15"/>
        <v>2</v>
      </c>
      <c r="AP65" s="133"/>
      <c r="AQ65" s="134"/>
      <c r="AR65" s="161"/>
      <c r="AS65" s="161"/>
      <c r="AT65" s="161"/>
      <c r="AU65" s="161"/>
      <c r="AV65" s="162"/>
      <c r="AW65" s="137">
        <f t="shared" si="11"/>
        <v>0</v>
      </c>
      <c r="AX65" s="137">
        <f t="shared" si="12"/>
        <v>0</v>
      </c>
    </row>
    <row r="66" ht="46.5" customHeight="1" spans="1:50" s="97" customFormat="1" x14ac:dyDescent="0.25">
      <c r="A66" s="100"/>
      <c r="B66" s="100"/>
      <c r="C66" s="100"/>
      <c r="D66" s="100"/>
      <c r="E66" s="100"/>
      <c r="F66" s="100"/>
      <c r="G66" s="103"/>
      <c r="H66" s="186"/>
      <c r="I66" s="195">
        <v>0.51</v>
      </c>
      <c r="J66" s="107">
        <v>0.49</v>
      </c>
      <c r="K66" s="107"/>
      <c r="L66" s="107"/>
      <c r="M66" s="187"/>
      <c r="N66" s="169">
        <f t="shared" si="14"/>
        <v>1</v>
      </c>
      <c r="O66" s="144">
        <v>1</v>
      </c>
      <c r="P66" s="145">
        <v>15</v>
      </c>
      <c r="Q66" s="113">
        <v>15</v>
      </c>
      <c r="R66" s="113"/>
      <c r="S66" s="113"/>
      <c r="T66" s="146"/>
      <c r="U66" s="148">
        <f t="shared" si="1"/>
        <v>15</v>
      </c>
      <c r="V66" s="149">
        <f t="shared" si="2"/>
        <v>15</v>
      </c>
      <c r="W66" s="189"/>
      <c r="X66" s="199"/>
      <c r="Y66" s="151"/>
      <c r="Z66" s="190"/>
      <c r="AA66" s="153"/>
      <c r="AB66" s="154">
        <f t="shared" si="3"/>
        <v>0</v>
      </c>
      <c r="AC66" s="149">
        <f t="shared" si="4"/>
        <v>0</v>
      </c>
      <c r="AD66" s="125">
        <v>2</v>
      </c>
      <c r="AE66" s="148">
        <f t="shared" si="5"/>
        <v>2</v>
      </c>
      <c r="AF66" s="156"/>
      <c r="AG66" s="156"/>
      <c r="AH66" s="113">
        <f t="shared" si="6"/>
        <v>17</v>
      </c>
      <c r="AI66" s="157">
        <v>65</v>
      </c>
      <c r="AJ66" s="113">
        <f t="shared" si="7"/>
        <v>82</v>
      </c>
      <c r="AK66" s="113">
        <f t="shared" si="8"/>
        <v>82</v>
      </c>
      <c r="AL66" s="158">
        <f t="shared" si="9"/>
        <v>1.02</v>
      </c>
      <c r="AM66" s="159"/>
      <c r="AN66" s="160">
        <f t="shared" si="15"/>
        <v>1</v>
      </c>
      <c r="AO66" s="160">
        <f t="shared" si="15"/>
        <v>2</v>
      </c>
      <c r="AP66" s="133"/>
      <c r="AQ66" s="134"/>
      <c r="AR66" s="161"/>
      <c r="AS66" s="161"/>
      <c r="AT66" s="161"/>
      <c r="AU66" s="161"/>
      <c r="AV66" s="162"/>
      <c r="AW66" s="137">
        <f t="shared" si="11"/>
        <v>0</v>
      </c>
      <c r="AX66" s="137">
        <f t="shared" si="12"/>
        <v>0</v>
      </c>
    </row>
    <row r="67" ht="46.5" customHeight="1" spans="1:50" s="97" customFormat="1" x14ac:dyDescent="0.25">
      <c r="A67" s="100"/>
      <c r="B67" s="100"/>
      <c r="C67" s="100"/>
      <c r="D67" s="100"/>
      <c r="E67" s="100"/>
      <c r="F67" s="100"/>
      <c r="G67" s="103"/>
      <c r="H67" s="186"/>
      <c r="I67" s="195">
        <v>0.51</v>
      </c>
      <c r="J67" s="107">
        <v>0.49</v>
      </c>
      <c r="K67" s="107"/>
      <c r="L67" s="107"/>
      <c r="M67" s="187"/>
      <c r="N67" s="169">
        <f t="shared" si="14"/>
        <v>1</v>
      </c>
      <c r="O67" s="144">
        <v>1</v>
      </c>
      <c r="P67" s="145">
        <v>15</v>
      </c>
      <c r="Q67" s="113">
        <v>15</v>
      </c>
      <c r="R67" s="113"/>
      <c r="S67" s="113"/>
      <c r="T67" s="146"/>
      <c r="U67" s="148">
        <f t="shared" si="1"/>
        <v>15</v>
      </c>
      <c r="V67" s="149">
        <f t="shared" si="2"/>
        <v>15</v>
      </c>
      <c r="W67" s="189"/>
      <c r="X67" s="199"/>
      <c r="Y67" s="151"/>
      <c r="Z67" s="190"/>
      <c r="AA67" s="153"/>
      <c r="AB67" s="154">
        <f t="shared" si="3"/>
        <v>0</v>
      </c>
      <c r="AC67" s="149">
        <f t="shared" si="4"/>
        <v>0</v>
      </c>
      <c r="AD67" s="125">
        <v>2</v>
      </c>
      <c r="AE67" s="148">
        <f t="shared" si="5"/>
        <v>2</v>
      </c>
      <c r="AF67" s="156"/>
      <c r="AG67" s="156"/>
      <c r="AH67" s="113">
        <f t="shared" si="6"/>
        <v>17</v>
      </c>
      <c r="AI67" s="157">
        <v>65</v>
      </c>
      <c r="AJ67" s="113">
        <f t="shared" si="7"/>
        <v>82</v>
      </c>
      <c r="AK67" s="113">
        <f t="shared" si="8"/>
        <v>82</v>
      </c>
      <c r="AL67" s="158">
        <f t="shared" si="9"/>
        <v>1.02</v>
      </c>
      <c r="AM67" s="159"/>
      <c r="AN67" s="160">
        <f t="shared" si="15"/>
        <v>1</v>
      </c>
      <c r="AO67" s="160">
        <f t="shared" si="15"/>
        <v>2</v>
      </c>
      <c r="AP67" s="133"/>
      <c r="AQ67" s="134"/>
      <c r="AR67" s="161"/>
      <c r="AS67" s="161"/>
      <c r="AT67" s="161"/>
      <c r="AU67" s="161"/>
      <c r="AV67" s="162"/>
      <c r="AW67" s="137">
        <f t="shared" si="11"/>
        <v>0</v>
      </c>
      <c r="AX67" s="137">
        <f t="shared" si="12"/>
        <v>0</v>
      </c>
    </row>
    <row r="68" ht="46.5" customHeight="1" spans="1:50" s="97" customFormat="1" x14ac:dyDescent="0.25">
      <c r="A68" s="100"/>
      <c r="B68" s="100"/>
      <c r="C68" s="100"/>
      <c r="D68" s="100"/>
      <c r="E68" s="100"/>
      <c r="F68" s="100"/>
      <c r="G68" s="103"/>
      <c r="H68" s="186"/>
      <c r="I68" s="195">
        <v>0.51</v>
      </c>
      <c r="J68" s="107">
        <v>0.49</v>
      </c>
      <c r="K68" s="107"/>
      <c r="L68" s="107"/>
      <c r="M68" s="187"/>
      <c r="N68" s="169">
        <f t="shared" si="14"/>
        <v>1</v>
      </c>
      <c r="O68" s="144">
        <v>1</v>
      </c>
      <c r="P68" s="145">
        <v>15</v>
      </c>
      <c r="Q68" s="113">
        <v>15</v>
      </c>
      <c r="R68" s="113"/>
      <c r="S68" s="113"/>
      <c r="T68" s="146"/>
      <c r="U68" s="148">
        <f t="shared" si="1"/>
        <v>15</v>
      </c>
      <c r="V68" s="149">
        <f t="shared" si="2"/>
        <v>15</v>
      </c>
      <c r="W68" s="189"/>
      <c r="X68" s="199"/>
      <c r="Y68" s="151"/>
      <c r="Z68" s="190"/>
      <c r="AA68" s="153"/>
      <c r="AB68" s="154">
        <f t="shared" si="3"/>
        <v>0</v>
      </c>
      <c r="AC68" s="149">
        <f t="shared" si="4"/>
        <v>0</v>
      </c>
      <c r="AD68" s="125">
        <v>2</v>
      </c>
      <c r="AE68" s="148">
        <f t="shared" si="5"/>
        <v>2</v>
      </c>
      <c r="AF68" s="156"/>
      <c r="AG68" s="156"/>
      <c r="AH68" s="113">
        <f t="shared" si="6"/>
        <v>17</v>
      </c>
      <c r="AI68" s="157">
        <v>65</v>
      </c>
      <c r="AJ68" s="113">
        <f t="shared" si="7"/>
        <v>82</v>
      </c>
      <c r="AK68" s="113">
        <f t="shared" si="8"/>
        <v>82</v>
      </c>
      <c r="AL68" s="158">
        <f t="shared" si="9"/>
        <v>1.02</v>
      </c>
      <c r="AM68" s="159"/>
      <c r="AN68" s="160">
        <f t="shared" si="15"/>
        <v>1</v>
      </c>
      <c r="AO68" s="160">
        <f t="shared" si="15"/>
        <v>2</v>
      </c>
      <c r="AP68" s="133"/>
      <c r="AQ68" s="134"/>
      <c r="AR68" s="161"/>
      <c r="AS68" s="161"/>
      <c r="AT68" s="161"/>
      <c r="AU68" s="161"/>
      <c r="AV68" s="162"/>
      <c r="AW68" s="137">
        <f t="shared" si="11"/>
        <v>0</v>
      </c>
      <c r="AX68" s="137">
        <f t="shared" si="12"/>
        <v>0</v>
      </c>
    </row>
    <row r="69" ht="46.5" customHeight="1" spans="1:50" s="97" customFormat="1" x14ac:dyDescent="0.25">
      <c r="A69" s="100"/>
      <c r="B69" s="100"/>
      <c r="C69" s="100"/>
      <c r="D69" s="100"/>
      <c r="E69" s="100"/>
      <c r="F69" s="100"/>
      <c r="G69" s="103"/>
      <c r="H69" s="186"/>
      <c r="I69" s="195">
        <v>0.51</v>
      </c>
      <c r="J69" s="107">
        <v>0.49</v>
      </c>
      <c r="K69" s="107"/>
      <c r="L69" s="107"/>
      <c r="M69" s="187"/>
      <c r="N69" s="169">
        <f t="shared" si="14"/>
        <v>1</v>
      </c>
      <c r="O69" s="144">
        <v>1</v>
      </c>
      <c r="P69" s="145">
        <v>15</v>
      </c>
      <c r="Q69" s="113">
        <v>15</v>
      </c>
      <c r="R69" s="113"/>
      <c r="S69" s="113"/>
      <c r="T69" s="146"/>
      <c r="U69" s="148">
        <f t="shared" si="1"/>
        <v>15</v>
      </c>
      <c r="V69" s="149">
        <f t="shared" si="2"/>
        <v>15</v>
      </c>
      <c r="W69" s="189"/>
      <c r="X69" s="199"/>
      <c r="Y69" s="151"/>
      <c r="Z69" s="190"/>
      <c r="AA69" s="153"/>
      <c r="AB69" s="154">
        <f t="shared" si="3"/>
        <v>0</v>
      </c>
      <c r="AC69" s="149">
        <f t="shared" si="4"/>
        <v>0</v>
      </c>
      <c r="AD69" s="125">
        <v>2</v>
      </c>
      <c r="AE69" s="148">
        <f t="shared" si="5"/>
        <v>2</v>
      </c>
      <c r="AF69" s="156"/>
      <c r="AG69" s="156"/>
      <c r="AH69" s="113">
        <f t="shared" si="6"/>
        <v>17</v>
      </c>
      <c r="AI69" s="157">
        <v>65</v>
      </c>
      <c r="AJ69" s="113">
        <f t="shared" si="7"/>
        <v>82</v>
      </c>
      <c r="AK69" s="113">
        <f t="shared" si="8"/>
        <v>82</v>
      </c>
      <c r="AL69" s="158">
        <f t="shared" si="9"/>
        <v>1.02</v>
      </c>
      <c r="AM69" s="159"/>
      <c r="AN69" s="160">
        <f t="shared" si="15"/>
        <v>1</v>
      </c>
      <c r="AO69" s="160">
        <f t="shared" si="15"/>
        <v>2</v>
      </c>
      <c r="AP69" s="133"/>
      <c r="AQ69" s="134"/>
      <c r="AR69" s="161"/>
      <c r="AS69" s="161"/>
      <c r="AT69" s="161"/>
      <c r="AU69" s="161"/>
      <c r="AV69" s="162"/>
      <c r="AW69" s="137">
        <f t="shared" si="11"/>
        <v>0</v>
      </c>
      <c r="AX69" s="137">
        <f t="shared" si="12"/>
        <v>0</v>
      </c>
    </row>
    <row r="70" ht="46.5" customHeight="1" spans="1:50" s="97" customFormat="1" x14ac:dyDescent="0.25">
      <c r="A70" s="100"/>
      <c r="B70" s="100"/>
      <c r="C70" s="100"/>
      <c r="D70" s="100"/>
      <c r="E70" s="100"/>
      <c r="F70" s="100"/>
      <c r="G70" s="103"/>
      <c r="H70" s="186"/>
      <c r="I70" s="195">
        <v>0.51</v>
      </c>
      <c r="J70" s="107">
        <v>0.49</v>
      </c>
      <c r="K70" s="107"/>
      <c r="L70" s="107"/>
      <c r="M70" s="187"/>
      <c r="N70" s="169">
        <f t="shared" si="14"/>
        <v>1</v>
      </c>
      <c r="O70" s="144">
        <v>1</v>
      </c>
      <c r="P70" s="145">
        <v>15</v>
      </c>
      <c r="Q70" s="113">
        <v>15</v>
      </c>
      <c r="R70" s="113"/>
      <c r="S70" s="113"/>
      <c r="T70" s="146"/>
      <c r="U70" s="148">
        <f t="shared" si="1"/>
        <v>15</v>
      </c>
      <c r="V70" s="149">
        <f t="shared" si="2"/>
        <v>15</v>
      </c>
      <c r="W70" s="189"/>
      <c r="X70" s="199"/>
      <c r="Y70" s="151"/>
      <c r="Z70" s="190"/>
      <c r="AA70" s="153"/>
      <c r="AB70" s="154">
        <f t="shared" si="3"/>
        <v>0</v>
      </c>
      <c r="AC70" s="149">
        <f t="shared" si="4"/>
        <v>0</v>
      </c>
      <c r="AD70" s="125">
        <v>2</v>
      </c>
      <c r="AE70" s="148">
        <f t="shared" si="5"/>
        <v>2</v>
      </c>
      <c r="AF70" s="156"/>
      <c r="AG70" s="156"/>
      <c r="AH70" s="113">
        <f t="shared" si="6"/>
        <v>17</v>
      </c>
      <c r="AI70" s="157">
        <v>65</v>
      </c>
      <c r="AJ70" s="113">
        <f t="shared" si="7"/>
        <v>82</v>
      </c>
      <c r="AK70" s="113">
        <f t="shared" si="8"/>
        <v>82</v>
      </c>
      <c r="AL70" s="158">
        <f t="shared" si="9"/>
        <v>1.02</v>
      </c>
      <c r="AM70" s="159"/>
      <c r="AN70" s="160">
        <f t="shared" si="15"/>
        <v>1</v>
      </c>
      <c r="AO70" s="160">
        <f t="shared" si="15"/>
        <v>2</v>
      </c>
      <c r="AP70" s="133"/>
      <c r="AQ70" s="134"/>
      <c r="AR70" s="161"/>
      <c r="AS70" s="161"/>
      <c r="AT70" s="161"/>
      <c r="AU70" s="161"/>
      <c r="AV70" s="162"/>
      <c r="AW70" s="137">
        <f t="shared" si="11"/>
        <v>0</v>
      </c>
      <c r="AX70" s="137">
        <f t="shared" si="12"/>
        <v>0</v>
      </c>
    </row>
    <row r="71" ht="46.5" customHeight="1" spans="1:50" s="97" customFormat="1" x14ac:dyDescent="0.25">
      <c r="A71" s="100"/>
      <c r="B71" s="100"/>
      <c r="C71" s="100"/>
      <c r="D71" s="100"/>
      <c r="E71" s="100"/>
      <c r="F71" s="100"/>
      <c r="G71" s="103"/>
      <c r="H71" s="186"/>
      <c r="I71" s="195">
        <v>0.51</v>
      </c>
      <c r="J71" s="107">
        <v>0.49</v>
      </c>
      <c r="K71" s="107"/>
      <c r="L71" s="107"/>
      <c r="M71" s="187"/>
      <c r="N71" s="169">
        <f t="shared" si="14"/>
        <v>1</v>
      </c>
      <c r="O71" s="144">
        <v>1</v>
      </c>
      <c r="P71" s="145">
        <v>15</v>
      </c>
      <c r="Q71" s="113">
        <v>15</v>
      </c>
      <c r="R71" s="113"/>
      <c r="S71" s="113"/>
      <c r="T71" s="146"/>
      <c r="U71" s="148">
        <f t="shared" si="1"/>
        <v>15</v>
      </c>
      <c r="V71" s="149">
        <f t="shared" si="2"/>
        <v>15</v>
      </c>
      <c r="W71" s="189"/>
      <c r="X71" s="199"/>
      <c r="Y71" s="151"/>
      <c r="Z71" s="190"/>
      <c r="AA71" s="153"/>
      <c r="AB71" s="154">
        <f t="shared" si="3"/>
        <v>0</v>
      </c>
      <c r="AC71" s="149">
        <f t="shared" si="4"/>
        <v>0</v>
      </c>
      <c r="AD71" s="125">
        <v>2</v>
      </c>
      <c r="AE71" s="148">
        <f t="shared" si="5"/>
        <v>2</v>
      </c>
      <c r="AF71" s="156"/>
      <c r="AG71" s="156"/>
      <c r="AH71" s="113">
        <f t="shared" si="6"/>
        <v>17</v>
      </c>
      <c r="AI71" s="157">
        <v>65</v>
      </c>
      <c r="AJ71" s="113">
        <f t="shared" si="7"/>
        <v>82</v>
      </c>
      <c r="AK71" s="113">
        <f t="shared" si="8"/>
        <v>82</v>
      </c>
      <c r="AL71" s="158">
        <f t="shared" si="9"/>
        <v>1.02</v>
      </c>
      <c r="AM71" s="159"/>
      <c r="AN71" s="160">
        <f t="shared" ref="AN71:AO90" si="16">100%+AM71</f>
        <v>1</v>
      </c>
      <c r="AO71" s="160">
        <f t="shared" si="16"/>
        <v>2</v>
      </c>
      <c r="AP71" s="133"/>
      <c r="AQ71" s="134"/>
      <c r="AR71" s="161"/>
      <c r="AS71" s="161"/>
      <c r="AT71" s="161"/>
      <c r="AU71" s="161"/>
      <c r="AV71" s="162"/>
      <c r="AW71" s="137">
        <f t="shared" si="11"/>
        <v>0</v>
      </c>
      <c r="AX71" s="137">
        <f t="shared" si="12"/>
        <v>0</v>
      </c>
    </row>
    <row r="72" ht="46.5" customHeight="1" spans="1:50" s="97" customFormat="1" x14ac:dyDescent="0.25">
      <c r="A72" s="100"/>
      <c r="B72" s="100"/>
      <c r="C72" s="100"/>
      <c r="D72" s="100"/>
      <c r="E72" s="100"/>
      <c r="F72" s="100"/>
      <c r="G72" s="103"/>
      <c r="H72" s="186"/>
      <c r="I72" s="195">
        <v>0.51</v>
      </c>
      <c r="J72" s="107">
        <v>0.49</v>
      </c>
      <c r="K72" s="107"/>
      <c r="L72" s="107"/>
      <c r="M72" s="187"/>
      <c r="N72" s="169">
        <f t="shared" si="14"/>
        <v>1</v>
      </c>
      <c r="O72" s="144">
        <v>1</v>
      </c>
      <c r="P72" s="145">
        <v>15</v>
      </c>
      <c r="Q72" s="113">
        <v>15</v>
      </c>
      <c r="R72" s="113"/>
      <c r="S72" s="113"/>
      <c r="T72" s="146"/>
      <c r="U72" s="148">
        <f t="shared" si="1"/>
        <v>15</v>
      </c>
      <c r="V72" s="149">
        <f t="shared" si="2"/>
        <v>15</v>
      </c>
      <c r="W72" s="189"/>
      <c r="X72" s="199"/>
      <c r="Y72" s="151"/>
      <c r="Z72" s="190"/>
      <c r="AA72" s="153"/>
      <c r="AB72" s="154">
        <f t="shared" si="3"/>
        <v>0</v>
      </c>
      <c r="AC72" s="149">
        <f t="shared" si="4"/>
        <v>0</v>
      </c>
      <c r="AD72" s="125">
        <v>2</v>
      </c>
      <c r="AE72" s="148">
        <f t="shared" si="5"/>
        <v>2</v>
      </c>
      <c r="AF72" s="156"/>
      <c r="AG72" s="156"/>
      <c r="AH72" s="113">
        <f t="shared" si="6"/>
        <v>17</v>
      </c>
      <c r="AI72" s="157">
        <v>65</v>
      </c>
      <c r="AJ72" s="113">
        <f t="shared" si="7"/>
        <v>82</v>
      </c>
      <c r="AK72" s="113">
        <f t="shared" si="8"/>
        <v>82</v>
      </c>
      <c r="AL72" s="158">
        <f t="shared" si="9"/>
        <v>1.02</v>
      </c>
      <c r="AM72" s="159"/>
      <c r="AN72" s="160">
        <f t="shared" si="16"/>
        <v>1</v>
      </c>
      <c r="AO72" s="160">
        <f t="shared" si="16"/>
        <v>2</v>
      </c>
      <c r="AP72" s="133"/>
      <c r="AQ72" s="134"/>
      <c r="AR72" s="161"/>
      <c r="AS72" s="161"/>
      <c r="AT72" s="161"/>
      <c r="AU72" s="161"/>
      <c r="AV72" s="162"/>
      <c r="AW72" s="137">
        <f t="shared" si="11"/>
        <v>0</v>
      </c>
      <c r="AX72" s="137">
        <f t="shared" si="12"/>
        <v>0</v>
      </c>
    </row>
    <row r="73" ht="46.5" customHeight="1" spans="1:50" s="97" customFormat="1" x14ac:dyDescent="0.25">
      <c r="A73" s="100"/>
      <c r="B73" s="100"/>
      <c r="C73" s="100"/>
      <c r="D73" s="100"/>
      <c r="E73" s="100"/>
      <c r="F73" s="100"/>
      <c r="G73" s="103"/>
      <c r="H73" s="186"/>
      <c r="I73" s="195">
        <v>0.51</v>
      </c>
      <c r="J73" s="107">
        <v>0.49</v>
      </c>
      <c r="K73" s="107"/>
      <c r="L73" s="107"/>
      <c r="M73" s="187"/>
      <c r="N73" s="169">
        <f t="shared" si="14"/>
        <v>1</v>
      </c>
      <c r="O73" s="144">
        <v>1</v>
      </c>
      <c r="P73" s="145">
        <v>15</v>
      </c>
      <c r="Q73" s="113">
        <v>15</v>
      </c>
      <c r="R73" s="113"/>
      <c r="S73" s="113"/>
      <c r="T73" s="146"/>
      <c r="U73" s="148">
        <f t="shared" si="1"/>
        <v>15</v>
      </c>
      <c r="V73" s="149">
        <f t="shared" si="2"/>
        <v>15</v>
      </c>
      <c r="W73" s="189"/>
      <c r="X73" s="199"/>
      <c r="Y73" s="151"/>
      <c r="Z73" s="190"/>
      <c r="AA73" s="153"/>
      <c r="AB73" s="154">
        <f t="shared" si="3"/>
        <v>0</v>
      </c>
      <c r="AC73" s="149">
        <f t="shared" si="4"/>
        <v>0</v>
      </c>
      <c r="AD73" s="125">
        <v>2</v>
      </c>
      <c r="AE73" s="148">
        <f t="shared" si="5"/>
        <v>2</v>
      </c>
      <c r="AF73" s="156"/>
      <c r="AG73" s="156"/>
      <c r="AH73" s="113">
        <f t="shared" si="6"/>
        <v>17</v>
      </c>
      <c r="AI73" s="157">
        <v>65</v>
      </c>
      <c r="AJ73" s="113">
        <f t="shared" si="7"/>
        <v>82</v>
      </c>
      <c r="AK73" s="113">
        <f t="shared" si="8"/>
        <v>82</v>
      </c>
      <c r="AL73" s="158">
        <f t="shared" si="9"/>
        <v>1.02</v>
      </c>
      <c r="AM73" s="159"/>
      <c r="AN73" s="160">
        <f t="shared" si="16"/>
        <v>1</v>
      </c>
      <c r="AO73" s="160">
        <f t="shared" si="16"/>
        <v>2</v>
      </c>
      <c r="AP73" s="133"/>
      <c r="AQ73" s="134"/>
      <c r="AR73" s="161"/>
      <c r="AS73" s="161"/>
      <c r="AT73" s="161"/>
      <c r="AU73" s="161"/>
      <c r="AV73" s="162"/>
      <c r="AW73" s="137">
        <f t="shared" si="11"/>
        <v>0</v>
      </c>
      <c r="AX73" s="137">
        <f t="shared" si="12"/>
        <v>0</v>
      </c>
    </row>
    <row r="74" ht="46.5" customHeight="1" spans="1:50" s="97" customFormat="1" x14ac:dyDescent="0.25">
      <c r="A74" s="100"/>
      <c r="B74" s="100"/>
      <c r="C74" s="100"/>
      <c r="D74" s="100"/>
      <c r="E74" s="100"/>
      <c r="F74" s="100"/>
      <c r="G74" s="103"/>
      <c r="H74" s="186"/>
      <c r="I74" s="195">
        <v>0.51</v>
      </c>
      <c r="J74" s="107">
        <v>0.49</v>
      </c>
      <c r="K74" s="107"/>
      <c r="L74" s="107"/>
      <c r="M74" s="187"/>
      <c r="N74" s="169">
        <f t="shared" si="14"/>
        <v>1</v>
      </c>
      <c r="O74" s="144">
        <v>1</v>
      </c>
      <c r="P74" s="145">
        <v>15</v>
      </c>
      <c r="Q74" s="113">
        <v>15</v>
      </c>
      <c r="R74" s="113"/>
      <c r="S74" s="113"/>
      <c r="T74" s="146"/>
      <c r="U74" s="148">
        <f t="shared" si="1"/>
        <v>15</v>
      </c>
      <c r="V74" s="149">
        <f t="shared" si="2"/>
        <v>15</v>
      </c>
      <c r="W74" s="189"/>
      <c r="X74" s="199"/>
      <c r="Y74" s="151"/>
      <c r="Z74" s="190"/>
      <c r="AA74" s="153"/>
      <c r="AB74" s="154">
        <f t="shared" si="3"/>
        <v>0</v>
      </c>
      <c r="AC74" s="149">
        <f t="shared" si="4"/>
        <v>0</v>
      </c>
      <c r="AD74" s="125">
        <v>2</v>
      </c>
      <c r="AE74" s="148">
        <f t="shared" si="5"/>
        <v>2</v>
      </c>
      <c r="AF74" s="156"/>
      <c r="AG74" s="156"/>
      <c r="AH74" s="113">
        <f t="shared" si="6"/>
        <v>17</v>
      </c>
      <c r="AI74" s="157">
        <v>65</v>
      </c>
      <c r="AJ74" s="113">
        <f t="shared" si="7"/>
        <v>82</v>
      </c>
      <c r="AK74" s="113">
        <f t="shared" si="8"/>
        <v>82</v>
      </c>
      <c r="AL74" s="158">
        <f t="shared" si="9"/>
        <v>1.02</v>
      </c>
      <c r="AM74" s="159"/>
      <c r="AN74" s="160">
        <f t="shared" si="16"/>
        <v>1</v>
      </c>
      <c r="AO74" s="160">
        <f t="shared" si="16"/>
        <v>2</v>
      </c>
      <c r="AP74" s="133"/>
      <c r="AQ74" s="134"/>
      <c r="AR74" s="161"/>
      <c r="AS74" s="161"/>
      <c r="AT74" s="161"/>
      <c r="AU74" s="161"/>
      <c r="AV74" s="162"/>
      <c r="AW74" s="137">
        <f t="shared" si="11"/>
        <v>0</v>
      </c>
      <c r="AX74" s="137">
        <f t="shared" si="12"/>
        <v>0</v>
      </c>
    </row>
    <row r="75" ht="46.5" customHeight="1" spans="1:50" s="97" customFormat="1" x14ac:dyDescent="0.25">
      <c r="A75" s="100"/>
      <c r="B75" s="100"/>
      <c r="C75" s="100"/>
      <c r="D75" s="100"/>
      <c r="E75" s="100"/>
      <c r="F75" s="100"/>
      <c r="G75" s="103"/>
      <c r="H75" s="186"/>
      <c r="I75" s="195">
        <v>0.51</v>
      </c>
      <c r="J75" s="107">
        <v>0.49</v>
      </c>
      <c r="K75" s="107"/>
      <c r="L75" s="107"/>
      <c r="M75" s="187"/>
      <c r="N75" s="169">
        <f t="shared" si="14"/>
        <v>1</v>
      </c>
      <c r="O75" s="144">
        <v>1</v>
      </c>
      <c r="P75" s="145">
        <v>15</v>
      </c>
      <c r="Q75" s="113">
        <v>15</v>
      </c>
      <c r="R75" s="113"/>
      <c r="S75" s="113"/>
      <c r="T75" s="146"/>
      <c r="U75" s="148">
        <f t="shared" ref="U75:U136" si="17">ROUND(((P75*I75)+(Q75*J75)+(R75*K75)+(S75*L75)+(T75*M75))*O75,2)</f>
        <v>15</v>
      </c>
      <c r="V75" s="149">
        <f t="shared" ref="V75:V136" si="18">IF(U75&gt;=15,15,U75)</f>
        <v>15</v>
      </c>
      <c r="W75" s="189"/>
      <c r="X75" s="199"/>
      <c r="Y75" s="151"/>
      <c r="Z75" s="190"/>
      <c r="AA75" s="153"/>
      <c r="AB75" s="154">
        <f t="shared" ref="AB75:AB136" si="19">ROUND((((W75*I75)+(X75*J75)+(Y75*K75)+(Z75*L75)+(AA75*M75))/$I$2),2)*13</f>
        <v>0</v>
      </c>
      <c r="AC75" s="149">
        <f t="shared" ref="AC75:AC136" si="20">IF(AB75&gt;=13,13,AB75)</f>
        <v>0</v>
      </c>
      <c r="AD75" s="125">
        <v>2</v>
      </c>
      <c r="AE75" s="148">
        <f t="shared" ref="AE75:AE136" si="21">IF((AC75+AD75)&gt;=15,15,(AC75+AD75))</f>
        <v>2</v>
      </c>
      <c r="AF75" s="156"/>
      <c r="AG75" s="156"/>
      <c r="AH75" s="113">
        <f t="shared" ref="AH75:AH136" si="22">IF((V75+AE75+AF75)&gt;=30,30,(V75+AE75+AF75))</f>
        <v>17</v>
      </c>
      <c r="AI75" s="157">
        <v>65</v>
      </c>
      <c r="AJ75" s="113">
        <f t="shared" ref="AJ75:AJ136" si="23">V75+AE75+AF75+AI75+AG75</f>
        <v>82</v>
      </c>
      <c r="AK75" s="113">
        <f t="shared" ref="AK75:AK136" si="24">IF(AH75+AI75+AG75&gt;=95,95,AH75+AI75+AG75)</f>
        <v>82</v>
      </c>
      <c r="AL75" s="158">
        <f t="shared" ref="AL75:AL136" si="25">-((50-((176+(45+(50-AH75)))))/200)</f>
        <v>1.02</v>
      </c>
      <c r="AM75" s="159"/>
      <c r="AN75" s="160">
        <f t="shared" si="16"/>
        <v>1</v>
      </c>
      <c r="AO75" s="160">
        <f t="shared" si="16"/>
        <v>2</v>
      </c>
      <c r="AP75" s="133"/>
      <c r="AQ75" s="134"/>
      <c r="AR75" s="161"/>
      <c r="AS75" s="161"/>
      <c r="AT75" s="161"/>
      <c r="AU75" s="161"/>
      <c r="AV75" s="162"/>
      <c r="AW75" s="137">
        <f t="shared" ref="AW75:AW136" si="26">AR75+AS75+AT75+AU75+AV75</f>
        <v>0</v>
      </c>
      <c r="AX75" s="137">
        <f t="shared" ref="AX75:AX136" si="27">(AR75*I75)+(AS75*J75)+(AT75*K75)+(AU75*L75)+(AV75*M75)</f>
        <v>0</v>
      </c>
    </row>
    <row r="76" ht="46.5" customHeight="1" spans="1:50" s="97" customFormat="1" x14ac:dyDescent="0.25">
      <c r="A76" s="100"/>
      <c r="B76" s="100"/>
      <c r="C76" s="100"/>
      <c r="D76" s="100"/>
      <c r="E76" s="100"/>
      <c r="F76" s="100"/>
      <c r="G76" s="103"/>
      <c r="H76" s="186"/>
      <c r="I76" s="195">
        <v>0.51</v>
      </c>
      <c r="J76" s="107">
        <v>0.49</v>
      </c>
      <c r="K76" s="107"/>
      <c r="L76" s="107"/>
      <c r="M76" s="187"/>
      <c r="N76" s="169">
        <f t="shared" si="14"/>
        <v>1</v>
      </c>
      <c r="O76" s="144">
        <v>1</v>
      </c>
      <c r="P76" s="145">
        <v>15</v>
      </c>
      <c r="Q76" s="113">
        <v>15</v>
      </c>
      <c r="R76" s="113"/>
      <c r="S76" s="113"/>
      <c r="T76" s="146"/>
      <c r="U76" s="148">
        <f t="shared" si="17"/>
        <v>15</v>
      </c>
      <c r="V76" s="149">
        <f t="shared" si="18"/>
        <v>15</v>
      </c>
      <c r="W76" s="189"/>
      <c r="X76" s="199"/>
      <c r="Y76" s="151"/>
      <c r="Z76" s="190"/>
      <c r="AA76" s="153"/>
      <c r="AB76" s="154">
        <f t="shared" si="19"/>
        <v>0</v>
      </c>
      <c r="AC76" s="149">
        <f t="shared" si="20"/>
        <v>0</v>
      </c>
      <c r="AD76" s="125">
        <v>2</v>
      </c>
      <c r="AE76" s="148">
        <f t="shared" si="21"/>
        <v>2</v>
      </c>
      <c r="AF76" s="156"/>
      <c r="AG76" s="156"/>
      <c r="AH76" s="113">
        <f t="shared" si="22"/>
        <v>17</v>
      </c>
      <c r="AI76" s="157">
        <v>65</v>
      </c>
      <c r="AJ76" s="113">
        <f t="shared" si="23"/>
        <v>82</v>
      </c>
      <c r="AK76" s="113">
        <f t="shared" si="24"/>
        <v>82</v>
      </c>
      <c r="AL76" s="158">
        <f t="shared" si="25"/>
        <v>1.02</v>
      </c>
      <c r="AM76" s="159"/>
      <c r="AN76" s="160">
        <f t="shared" si="16"/>
        <v>1</v>
      </c>
      <c r="AO76" s="160">
        <f t="shared" si="16"/>
        <v>2</v>
      </c>
      <c r="AP76" s="133"/>
      <c r="AQ76" s="134"/>
      <c r="AR76" s="161"/>
      <c r="AS76" s="161"/>
      <c r="AT76" s="161"/>
      <c r="AU76" s="161"/>
      <c r="AV76" s="162"/>
      <c r="AW76" s="137">
        <f t="shared" si="26"/>
        <v>0</v>
      </c>
      <c r="AX76" s="137">
        <f t="shared" si="27"/>
        <v>0</v>
      </c>
    </row>
    <row r="77" ht="46.5" customHeight="1" spans="1:50" s="97" customFormat="1" x14ac:dyDescent="0.25">
      <c r="A77" s="100"/>
      <c r="B77" s="100"/>
      <c r="C77" s="100"/>
      <c r="D77" s="100"/>
      <c r="E77" s="100"/>
      <c r="F77" s="100"/>
      <c r="G77" s="103"/>
      <c r="H77" s="186"/>
      <c r="I77" s="195">
        <v>0.51</v>
      </c>
      <c r="J77" s="107">
        <v>0.49</v>
      </c>
      <c r="K77" s="107"/>
      <c r="L77" s="107"/>
      <c r="M77" s="187"/>
      <c r="N77" s="169">
        <f t="shared" si="14"/>
        <v>1</v>
      </c>
      <c r="O77" s="144">
        <v>1</v>
      </c>
      <c r="P77" s="145">
        <v>15</v>
      </c>
      <c r="Q77" s="113">
        <v>15</v>
      </c>
      <c r="R77" s="113"/>
      <c r="S77" s="113"/>
      <c r="T77" s="146"/>
      <c r="U77" s="148">
        <f t="shared" si="17"/>
        <v>15</v>
      </c>
      <c r="V77" s="149">
        <f t="shared" si="18"/>
        <v>15</v>
      </c>
      <c r="W77" s="189"/>
      <c r="X77" s="199"/>
      <c r="Y77" s="151"/>
      <c r="Z77" s="190"/>
      <c r="AA77" s="153"/>
      <c r="AB77" s="154">
        <f t="shared" si="19"/>
        <v>0</v>
      </c>
      <c r="AC77" s="149">
        <f t="shared" si="20"/>
        <v>0</v>
      </c>
      <c r="AD77" s="125">
        <v>2</v>
      </c>
      <c r="AE77" s="148">
        <f t="shared" si="21"/>
        <v>2</v>
      </c>
      <c r="AF77" s="156"/>
      <c r="AG77" s="156"/>
      <c r="AH77" s="113">
        <f t="shared" si="22"/>
        <v>17</v>
      </c>
      <c r="AI77" s="157">
        <v>65</v>
      </c>
      <c r="AJ77" s="113">
        <f t="shared" si="23"/>
        <v>82</v>
      </c>
      <c r="AK77" s="113">
        <f t="shared" si="24"/>
        <v>82</v>
      </c>
      <c r="AL77" s="158">
        <f t="shared" si="25"/>
        <v>1.02</v>
      </c>
      <c r="AM77" s="159"/>
      <c r="AN77" s="160">
        <f t="shared" si="16"/>
        <v>1</v>
      </c>
      <c r="AO77" s="160">
        <f t="shared" si="16"/>
        <v>2</v>
      </c>
      <c r="AP77" s="133"/>
      <c r="AQ77" s="134"/>
      <c r="AR77" s="161"/>
      <c r="AS77" s="161"/>
      <c r="AT77" s="161"/>
      <c r="AU77" s="161"/>
      <c r="AV77" s="162"/>
      <c r="AW77" s="137">
        <f t="shared" si="26"/>
        <v>0</v>
      </c>
      <c r="AX77" s="137">
        <f t="shared" si="27"/>
        <v>0</v>
      </c>
    </row>
    <row r="78" ht="46.5" customHeight="1" spans="1:50" s="97" customFormat="1" x14ac:dyDescent="0.25">
      <c r="A78" s="100"/>
      <c r="B78" s="100"/>
      <c r="C78" s="100"/>
      <c r="D78" s="100"/>
      <c r="E78" s="100"/>
      <c r="F78" s="100"/>
      <c r="G78" s="103"/>
      <c r="H78" s="186"/>
      <c r="I78" s="195">
        <v>0.51</v>
      </c>
      <c r="J78" s="107">
        <v>0.49</v>
      </c>
      <c r="K78" s="107"/>
      <c r="L78" s="107"/>
      <c r="M78" s="187"/>
      <c r="N78" s="169">
        <f t="shared" si="14"/>
        <v>1</v>
      </c>
      <c r="O78" s="144">
        <v>1</v>
      </c>
      <c r="P78" s="145">
        <v>15</v>
      </c>
      <c r="Q78" s="113">
        <v>15</v>
      </c>
      <c r="R78" s="113"/>
      <c r="S78" s="113"/>
      <c r="T78" s="146"/>
      <c r="U78" s="148">
        <f t="shared" si="17"/>
        <v>15</v>
      </c>
      <c r="V78" s="149">
        <f t="shared" si="18"/>
        <v>15</v>
      </c>
      <c r="W78" s="189"/>
      <c r="X78" s="199"/>
      <c r="Y78" s="151"/>
      <c r="Z78" s="190"/>
      <c r="AA78" s="153"/>
      <c r="AB78" s="154">
        <f t="shared" si="19"/>
        <v>0</v>
      </c>
      <c r="AC78" s="149">
        <f t="shared" si="20"/>
        <v>0</v>
      </c>
      <c r="AD78" s="125">
        <v>2</v>
      </c>
      <c r="AE78" s="148">
        <f t="shared" si="21"/>
        <v>2</v>
      </c>
      <c r="AF78" s="156"/>
      <c r="AG78" s="156"/>
      <c r="AH78" s="113">
        <f t="shared" si="22"/>
        <v>17</v>
      </c>
      <c r="AI78" s="157">
        <v>65</v>
      </c>
      <c r="AJ78" s="113">
        <f t="shared" si="23"/>
        <v>82</v>
      </c>
      <c r="AK78" s="113">
        <f t="shared" si="24"/>
        <v>82</v>
      </c>
      <c r="AL78" s="158">
        <f t="shared" si="25"/>
        <v>1.02</v>
      </c>
      <c r="AM78" s="159"/>
      <c r="AN78" s="160">
        <f t="shared" si="16"/>
        <v>1</v>
      </c>
      <c r="AO78" s="160">
        <f t="shared" si="16"/>
        <v>2</v>
      </c>
      <c r="AP78" s="133"/>
      <c r="AQ78" s="134"/>
      <c r="AR78" s="161"/>
      <c r="AS78" s="161"/>
      <c r="AT78" s="161"/>
      <c r="AU78" s="161"/>
      <c r="AV78" s="162"/>
      <c r="AW78" s="137">
        <f t="shared" si="26"/>
        <v>0</v>
      </c>
      <c r="AX78" s="137">
        <f t="shared" si="27"/>
        <v>0</v>
      </c>
    </row>
    <row r="79" ht="46.5" customHeight="1" spans="1:50" s="97" customFormat="1" x14ac:dyDescent="0.25">
      <c r="A79" s="100"/>
      <c r="B79" s="100"/>
      <c r="C79" s="100"/>
      <c r="D79" s="100"/>
      <c r="E79" s="100"/>
      <c r="F79" s="100"/>
      <c r="G79" s="103"/>
      <c r="H79" s="186"/>
      <c r="I79" s="195">
        <v>0.51</v>
      </c>
      <c r="J79" s="107">
        <v>0.49</v>
      </c>
      <c r="K79" s="107"/>
      <c r="L79" s="107"/>
      <c r="M79" s="187"/>
      <c r="N79" s="169">
        <f t="shared" si="14"/>
        <v>1</v>
      </c>
      <c r="O79" s="144">
        <v>1</v>
      </c>
      <c r="P79" s="145">
        <v>15</v>
      </c>
      <c r="Q79" s="113">
        <v>15</v>
      </c>
      <c r="R79" s="113"/>
      <c r="S79" s="113"/>
      <c r="T79" s="146"/>
      <c r="U79" s="148">
        <f t="shared" si="17"/>
        <v>15</v>
      </c>
      <c r="V79" s="149">
        <f t="shared" si="18"/>
        <v>15</v>
      </c>
      <c r="W79" s="189"/>
      <c r="X79" s="199"/>
      <c r="Y79" s="151"/>
      <c r="Z79" s="190"/>
      <c r="AA79" s="153"/>
      <c r="AB79" s="154">
        <f t="shared" si="19"/>
        <v>0</v>
      </c>
      <c r="AC79" s="149">
        <f t="shared" si="20"/>
        <v>0</v>
      </c>
      <c r="AD79" s="125">
        <v>2</v>
      </c>
      <c r="AE79" s="148">
        <f t="shared" si="21"/>
        <v>2</v>
      </c>
      <c r="AF79" s="156"/>
      <c r="AG79" s="156"/>
      <c r="AH79" s="113">
        <f t="shared" si="22"/>
        <v>17</v>
      </c>
      <c r="AI79" s="157">
        <v>65</v>
      </c>
      <c r="AJ79" s="113">
        <f t="shared" si="23"/>
        <v>82</v>
      </c>
      <c r="AK79" s="113">
        <f t="shared" si="24"/>
        <v>82</v>
      </c>
      <c r="AL79" s="158">
        <f t="shared" si="25"/>
        <v>1.02</v>
      </c>
      <c r="AM79" s="159"/>
      <c r="AN79" s="160">
        <f t="shared" si="16"/>
        <v>1</v>
      </c>
      <c r="AO79" s="160">
        <f t="shared" si="16"/>
        <v>2</v>
      </c>
      <c r="AP79" s="133"/>
      <c r="AQ79" s="134"/>
      <c r="AR79" s="161"/>
      <c r="AS79" s="161"/>
      <c r="AT79" s="161"/>
      <c r="AU79" s="161"/>
      <c r="AV79" s="162"/>
      <c r="AW79" s="137">
        <f t="shared" si="26"/>
        <v>0</v>
      </c>
      <c r="AX79" s="137">
        <f t="shared" si="27"/>
        <v>0</v>
      </c>
    </row>
    <row r="80" ht="46.5" customHeight="1" spans="1:50" s="97" customFormat="1" x14ac:dyDescent="0.25">
      <c r="A80" s="100"/>
      <c r="B80" s="100"/>
      <c r="C80" s="100"/>
      <c r="D80" s="100"/>
      <c r="E80" s="100"/>
      <c r="F80" s="100"/>
      <c r="G80" s="103"/>
      <c r="H80" s="186"/>
      <c r="I80" s="195">
        <v>0.51</v>
      </c>
      <c r="J80" s="107">
        <v>0.49</v>
      </c>
      <c r="K80" s="107"/>
      <c r="L80" s="107"/>
      <c r="M80" s="187"/>
      <c r="N80" s="169">
        <f t="shared" si="14"/>
        <v>1</v>
      </c>
      <c r="O80" s="144">
        <v>1</v>
      </c>
      <c r="P80" s="145">
        <v>15</v>
      </c>
      <c r="Q80" s="113">
        <v>15</v>
      </c>
      <c r="R80" s="113"/>
      <c r="S80" s="113"/>
      <c r="T80" s="146"/>
      <c r="U80" s="148">
        <f t="shared" si="17"/>
        <v>15</v>
      </c>
      <c r="V80" s="149">
        <f t="shared" si="18"/>
        <v>15</v>
      </c>
      <c r="W80" s="189"/>
      <c r="X80" s="199"/>
      <c r="Y80" s="151"/>
      <c r="Z80" s="190"/>
      <c r="AA80" s="153"/>
      <c r="AB80" s="154">
        <f t="shared" si="19"/>
        <v>0</v>
      </c>
      <c r="AC80" s="149">
        <f t="shared" si="20"/>
        <v>0</v>
      </c>
      <c r="AD80" s="125">
        <v>2</v>
      </c>
      <c r="AE80" s="148">
        <f t="shared" si="21"/>
        <v>2</v>
      </c>
      <c r="AF80" s="156"/>
      <c r="AG80" s="156"/>
      <c r="AH80" s="113">
        <f t="shared" si="22"/>
        <v>17</v>
      </c>
      <c r="AI80" s="157">
        <v>65</v>
      </c>
      <c r="AJ80" s="113">
        <f t="shared" si="23"/>
        <v>82</v>
      </c>
      <c r="AK80" s="113">
        <f t="shared" si="24"/>
        <v>82</v>
      </c>
      <c r="AL80" s="158">
        <f t="shared" si="25"/>
        <v>1.02</v>
      </c>
      <c r="AM80" s="159"/>
      <c r="AN80" s="160">
        <f t="shared" si="16"/>
        <v>1</v>
      </c>
      <c r="AO80" s="160">
        <f t="shared" si="16"/>
        <v>2</v>
      </c>
      <c r="AP80" s="133"/>
      <c r="AQ80" s="134"/>
      <c r="AR80" s="161"/>
      <c r="AS80" s="161"/>
      <c r="AT80" s="161"/>
      <c r="AU80" s="161"/>
      <c r="AV80" s="162"/>
      <c r="AW80" s="137">
        <f t="shared" si="26"/>
        <v>0</v>
      </c>
      <c r="AX80" s="137">
        <f t="shared" si="27"/>
        <v>0</v>
      </c>
    </row>
    <row r="81" ht="46.5" customHeight="1" spans="1:50" s="97" customFormat="1" x14ac:dyDescent="0.25">
      <c r="A81" s="100"/>
      <c r="B81" s="100"/>
      <c r="C81" s="100"/>
      <c r="D81" s="100"/>
      <c r="E81" s="100"/>
      <c r="F81" s="100"/>
      <c r="G81" s="103"/>
      <c r="H81" s="186"/>
      <c r="I81" s="195">
        <v>0.51</v>
      </c>
      <c r="J81" s="107">
        <v>0.49</v>
      </c>
      <c r="K81" s="107"/>
      <c r="L81" s="107"/>
      <c r="M81" s="187"/>
      <c r="N81" s="169">
        <f t="shared" si="14"/>
        <v>1</v>
      </c>
      <c r="O81" s="144">
        <v>1</v>
      </c>
      <c r="P81" s="145">
        <v>15</v>
      </c>
      <c r="Q81" s="113">
        <v>15</v>
      </c>
      <c r="R81" s="113"/>
      <c r="S81" s="113"/>
      <c r="T81" s="146"/>
      <c r="U81" s="148">
        <f t="shared" si="17"/>
        <v>15</v>
      </c>
      <c r="V81" s="149">
        <f t="shared" si="18"/>
        <v>15</v>
      </c>
      <c r="W81" s="189"/>
      <c r="X81" s="199"/>
      <c r="Y81" s="151"/>
      <c r="Z81" s="190"/>
      <c r="AA81" s="153"/>
      <c r="AB81" s="154">
        <f t="shared" si="19"/>
        <v>0</v>
      </c>
      <c r="AC81" s="149">
        <f t="shared" si="20"/>
        <v>0</v>
      </c>
      <c r="AD81" s="125">
        <v>2</v>
      </c>
      <c r="AE81" s="148">
        <f t="shared" si="21"/>
        <v>2</v>
      </c>
      <c r="AF81" s="156"/>
      <c r="AG81" s="156"/>
      <c r="AH81" s="113">
        <f t="shared" si="22"/>
        <v>17</v>
      </c>
      <c r="AI81" s="157">
        <v>65</v>
      </c>
      <c r="AJ81" s="113">
        <f t="shared" si="23"/>
        <v>82</v>
      </c>
      <c r="AK81" s="113">
        <f t="shared" si="24"/>
        <v>82</v>
      </c>
      <c r="AL81" s="158">
        <f t="shared" si="25"/>
        <v>1.02</v>
      </c>
      <c r="AM81" s="159"/>
      <c r="AN81" s="160">
        <f t="shared" si="16"/>
        <v>1</v>
      </c>
      <c r="AO81" s="160">
        <f t="shared" si="16"/>
        <v>2</v>
      </c>
      <c r="AP81" s="133"/>
      <c r="AQ81" s="134"/>
      <c r="AR81" s="161"/>
      <c r="AS81" s="161"/>
      <c r="AT81" s="161"/>
      <c r="AU81" s="161"/>
      <c r="AV81" s="162"/>
      <c r="AW81" s="137">
        <f t="shared" si="26"/>
        <v>0</v>
      </c>
      <c r="AX81" s="137">
        <f t="shared" si="27"/>
        <v>0</v>
      </c>
    </row>
    <row r="82" ht="46.5" customHeight="1" spans="1:50" s="97" customFormat="1" x14ac:dyDescent="0.25">
      <c r="A82" s="100"/>
      <c r="B82" s="100"/>
      <c r="C82" s="100"/>
      <c r="D82" s="100"/>
      <c r="E82" s="100"/>
      <c r="F82" s="100"/>
      <c r="G82" s="103"/>
      <c r="H82" s="186"/>
      <c r="I82" s="195">
        <v>0.51</v>
      </c>
      <c r="J82" s="107">
        <v>0.49</v>
      </c>
      <c r="K82" s="107"/>
      <c r="L82" s="107"/>
      <c r="M82" s="187"/>
      <c r="N82" s="169">
        <f t="shared" si="14"/>
        <v>1</v>
      </c>
      <c r="O82" s="144">
        <v>1</v>
      </c>
      <c r="P82" s="145">
        <v>15</v>
      </c>
      <c r="Q82" s="113">
        <v>15</v>
      </c>
      <c r="R82" s="113"/>
      <c r="S82" s="113"/>
      <c r="T82" s="146"/>
      <c r="U82" s="148">
        <f t="shared" si="17"/>
        <v>15</v>
      </c>
      <c r="V82" s="149">
        <f t="shared" si="18"/>
        <v>15</v>
      </c>
      <c r="W82" s="189"/>
      <c r="X82" s="199"/>
      <c r="Y82" s="151"/>
      <c r="Z82" s="190"/>
      <c r="AA82" s="153"/>
      <c r="AB82" s="154">
        <f t="shared" si="19"/>
        <v>0</v>
      </c>
      <c r="AC82" s="149">
        <f t="shared" si="20"/>
        <v>0</v>
      </c>
      <c r="AD82" s="125">
        <v>2</v>
      </c>
      <c r="AE82" s="148">
        <f t="shared" si="21"/>
        <v>2</v>
      </c>
      <c r="AF82" s="156"/>
      <c r="AG82" s="156"/>
      <c r="AH82" s="113">
        <f t="shared" si="22"/>
        <v>17</v>
      </c>
      <c r="AI82" s="157">
        <v>65</v>
      </c>
      <c r="AJ82" s="113">
        <f t="shared" si="23"/>
        <v>82</v>
      </c>
      <c r="AK82" s="113">
        <f t="shared" si="24"/>
        <v>82</v>
      </c>
      <c r="AL82" s="158">
        <f t="shared" si="25"/>
        <v>1.02</v>
      </c>
      <c r="AM82" s="159"/>
      <c r="AN82" s="160">
        <f t="shared" si="16"/>
        <v>1</v>
      </c>
      <c r="AO82" s="160">
        <f t="shared" si="16"/>
        <v>2</v>
      </c>
      <c r="AP82" s="133"/>
      <c r="AQ82" s="134"/>
      <c r="AR82" s="161"/>
      <c r="AS82" s="161"/>
      <c r="AT82" s="161"/>
      <c r="AU82" s="161"/>
      <c r="AV82" s="162"/>
      <c r="AW82" s="137">
        <f t="shared" si="26"/>
        <v>0</v>
      </c>
      <c r="AX82" s="137">
        <f t="shared" si="27"/>
        <v>0</v>
      </c>
    </row>
    <row r="83" ht="46.5" customHeight="1" spans="1:50" s="97" customFormat="1" x14ac:dyDescent="0.25">
      <c r="A83" s="100"/>
      <c r="B83" s="100"/>
      <c r="C83" s="100"/>
      <c r="D83" s="100"/>
      <c r="E83" s="100"/>
      <c r="F83" s="100"/>
      <c r="G83" s="103"/>
      <c r="H83" s="186"/>
      <c r="I83" s="195">
        <v>0.51</v>
      </c>
      <c r="J83" s="107">
        <v>0.49</v>
      </c>
      <c r="K83" s="107"/>
      <c r="L83" s="107"/>
      <c r="M83" s="187"/>
      <c r="N83" s="169">
        <f t="shared" si="14"/>
        <v>1</v>
      </c>
      <c r="O83" s="144">
        <v>1</v>
      </c>
      <c r="P83" s="145">
        <v>15</v>
      </c>
      <c r="Q83" s="113">
        <v>15</v>
      </c>
      <c r="R83" s="113"/>
      <c r="S83" s="113"/>
      <c r="T83" s="146"/>
      <c r="U83" s="148">
        <f t="shared" si="17"/>
        <v>15</v>
      </c>
      <c r="V83" s="149">
        <f t="shared" si="18"/>
        <v>15</v>
      </c>
      <c r="W83" s="189"/>
      <c r="X83" s="199"/>
      <c r="Y83" s="151"/>
      <c r="Z83" s="190"/>
      <c r="AA83" s="153"/>
      <c r="AB83" s="154">
        <f t="shared" si="19"/>
        <v>0</v>
      </c>
      <c r="AC83" s="149">
        <f t="shared" si="20"/>
        <v>0</v>
      </c>
      <c r="AD83" s="125">
        <v>2</v>
      </c>
      <c r="AE83" s="148">
        <f t="shared" si="21"/>
        <v>2</v>
      </c>
      <c r="AF83" s="156"/>
      <c r="AG83" s="156"/>
      <c r="AH83" s="113">
        <f t="shared" si="22"/>
        <v>17</v>
      </c>
      <c r="AI83" s="157">
        <v>65</v>
      </c>
      <c r="AJ83" s="113">
        <f t="shared" si="23"/>
        <v>82</v>
      </c>
      <c r="AK83" s="113">
        <f t="shared" si="24"/>
        <v>82</v>
      </c>
      <c r="AL83" s="158">
        <f t="shared" si="25"/>
        <v>1.02</v>
      </c>
      <c r="AM83" s="159"/>
      <c r="AN83" s="160">
        <f t="shared" si="16"/>
        <v>1</v>
      </c>
      <c r="AO83" s="160">
        <f t="shared" si="16"/>
        <v>2</v>
      </c>
      <c r="AP83" s="133"/>
      <c r="AQ83" s="134"/>
      <c r="AR83" s="161"/>
      <c r="AS83" s="161"/>
      <c r="AT83" s="161"/>
      <c r="AU83" s="161"/>
      <c r="AV83" s="162"/>
      <c r="AW83" s="137">
        <f t="shared" si="26"/>
        <v>0</v>
      </c>
      <c r="AX83" s="137">
        <f t="shared" si="27"/>
        <v>0</v>
      </c>
    </row>
    <row r="84" ht="46.5" customHeight="1" spans="1:50" s="97" customFormat="1" x14ac:dyDescent="0.25">
      <c r="A84" s="100"/>
      <c r="B84" s="100"/>
      <c r="C84" s="100"/>
      <c r="D84" s="100"/>
      <c r="E84" s="100"/>
      <c r="F84" s="100"/>
      <c r="G84" s="103"/>
      <c r="H84" s="186"/>
      <c r="I84" s="195">
        <v>0.51</v>
      </c>
      <c r="J84" s="107">
        <v>0.49</v>
      </c>
      <c r="K84" s="107"/>
      <c r="L84" s="107"/>
      <c r="M84" s="187"/>
      <c r="N84" s="169">
        <f t="shared" si="14"/>
        <v>1</v>
      </c>
      <c r="O84" s="144">
        <v>1</v>
      </c>
      <c r="P84" s="145">
        <v>15</v>
      </c>
      <c r="Q84" s="113">
        <v>15</v>
      </c>
      <c r="R84" s="113"/>
      <c r="S84" s="113"/>
      <c r="T84" s="146"/>
      <c r="U84" s="148">
        <f t="shared" si="17"/>
        <v>15</v>
      </c>
      <c r="V84" s="149">
        <f t="shared" si="18"/>
        <v>15</v>
      </c>
      <c r="W84" s="189"/>
      <c r="X84" s="199"/>
      <c r="Y84" s="151"/>
      <c r="Z84" s="190"/>
      <c r="AA84" s="153"/>
      <c r="AB84" s="154">
        <f t="shared" si="19"/>
        <v>0</v>
      </c>
      <c r="AC84" s="149">
        <f t="shared" si="20"/>
        <v>0</v>
      </c>
      <c r="AD84" s="125">
        <v>2</v>
      </c>
      <c r="AE84" s="148">
        <f t="shared" si="21"/>
        <v>2</v>
      </c>
      <c r="AF84" s="156"/>
      <c r="AG84" s="156"/>
      <c r="AH84" s="113">
        <f t="shared" si="22"/>
        <v>17</v>
      </c>
      <c r="AI84" s="157">
        <v>65</v>
      </c>
      <c r="AJ84" s="113">
        <f t="shared" si="23"/>
        <v>82</v>
      </c>
      <c r="AK84" s="113">
        <f t="shared" si="24"/>
        <v>82</v>
      </c>
      <c r="AL84" s="158">
        <f t="shared" si="25"/>
        <v>1.02</v>
      </c>
      <c r="AM84" s="159"/>
      <c r="AN84" s="160">
        <f t="shared" si="16"/>
        <v>1</v>
      </c>
      <c r="AO84" s="160">
        <f t="shared" si="16"/>
        <v>2</v>
      </c>
      <c r="AP84" s="133"/>
      <c r="AQ84" s="134"/>
      <c r="AR84" s="161"/>
      <c r="AS84" s="161"/>
      <c r="AT84" s="161"/>
      <c r="AU84" s="161"/>
      <c r="AV84" s="162"/>
      <c r="AW84" s="137">
        <f t="shared" si="26"/>
        <v>0</v>
      </c>
      <c r="AX84" s="137">
        <f t="shared" si="27"/>
        <v>0</v>
      </c>
    </row>
    <row r="85" ht="46.5" customHeight="1" spans="1:50" s="97" customFormat="1" x14ac:dyDescent="0.25">
      <c r="A85" s="100"/>
      <c r="B85" s="100"/>
      <c r="C85" s="100"/>
      <c r="D85" s="100"/>
      <c r="E85" s="100"/>
      <c r="F85" s="100"/>
      <c r="G85" s="103"/>
      <c r="H85" s="186"/>
      <c r="I85" s="195">
        <v>0.51</v>
      </c>
      <c r="J85" s="107">
        <v>0.49</v>
      </c>
      <c r="K85" s="107"/>
      <c r="L85" s="107"/>
      <c r="M85" s="187"/>
      <c r="N85" s="169">
        <f t="shared" si="14"/>
        <v>1</v>
      </c>
      <c r="O85" s="144">
        <v>1</v>
      </c>
      <c r="P85" s="145">
        <v>15</v>
      </c>
      <c r="Q85" s="113">
        <v>15</v>
      </c>
      <c r="R85" s="113"/>
      <c r="S85" s="113"/>
      <c r="T85" s="146"/>
      <c r="U85" s="148">
        <f t="shared" si="17"/>
        <v>15</v>
      </c>
      <c r="V85" s="149">
        <f t="shared" si="18"/>
        <v>15</v>
      </c>
      <c r="W85" s="189"/>
      <c r="X85" s="199"/>
      <c r="Y85" s="151"/>
      <c r="Z85" s="190"/>
      <c r="AA85" s="153"/>
      <c r="AB85" s="154">
        <f t="shared" si="19"/>
        <v>0</v>
      </c>
      <c r="AC85" s="149">
        <f t="shared" si="20"/>
        <v>0</v>
      </c>
      <c r="AD85" s="125">
        <v>2</v>
      </c>
      <c r="AE85" s="148">
        <f t="shared" si="21"/>
        <v>2</v>
      </c>
      <c r="AF85" s="156"/>
      <c r="AG85" s="156"/>
      <c r="AH85" s="113">
        <f t="shared" si="22"/>
        <v>17</v>
      </c>
      <c r="AI85" s="157">
        <v>65</v>
      </c>
      <c r="AJ85" s="113">
        <f t="shared" si="23"/>
        <v>82</v>
      </c>
      <c r="AK85" s="113">
        <f t="shared" si="24"/>
        <v>82</v>
      </c>
      <c r="AL85" s="158">
        <f t="shared" si="25"/>
        <v>1.02</v>
      </c>
      <c r="AM85" s="159"/>
      <c r="AN85" s="160">
        <f t="shared" si="16"/>
        <v>1</v>
      </c>
      <c r="AO85" s="160">
        <f t="shared" si="16"/>
        <v>2</v>
      </c>
      <c r="AP85" s="133"/>
      <c r="AQ85" s="134"/>
      <c r="AR85" s="161"/>
      <c r="AS85" s="161"/>
      <c r="AT85" s="161"/>
      <c r="AU85" s="161"/>
      <c r="AV85" s="162"/>
      <c r="AW85" s="137">
        <f t="shared" si="26"/>
        <v>0</v>
      </c>
      <c r="AX85" s="137">
        <f t="shared" si="27"/>
        <v>0</v>
      </c>
    </row>
    <row r="86" ht="46.5" customHeight="1" spans="1:50" s="97" customFormat="1" x14ac:dyDescent="0.25">
      <c r="A86" s="100"/>
      <c r="B86" s="100"/>
      <c r="C86" s="100"/>
      <c r="D86" s="100"/>
      <c r="E86" s="100"/>
      <c r="F86" s="100"/>
      <c r="G86" s="103"/>
      <c r="H86" s="186"/>
      <c r="I86" s="195">
        <v>0.51</v>
      </c>
      <c r="J86" s="107">
        <v>0.49</v>
      </c>
      <c r="K86" s="107"/>
      <c r="L86" s="107"/>
      <c r="M86" s="187"/>
      <c r="N86" s="169">
        <f t="shared" si="14"/>
        <v>1</v>
      </c>
      <c r="O86" s="144">
        <v>1</v>
      </c>
      <c r="P86" s="145">
        <v>15</v>
      </c>
      <c r="Q86" s="113">
        <v>15</v>
      </c>
      <c r="R86" s="113"/>
      <c r="S86" s="113"/>
      <c r="T86" s="146"/>
      <c r="U86" s="148">
        <f t="shared" si="17"/>
        <v>15</v>
      </c>
      <c r="V86" s="149">
        <f t="shared" si="18"/>
        <v>15</v>
      </c>
      <c r="W86" s="189"/>
      <c r="X86" s="199"/>
      <c r="Y86" s="151"/>
      <c r="Z86" s="190"/>
      <c r="AA86" s="153"/>
      <c r="AB86" s="154">
        <f t="shared" si="19"/>
        <v>0</v>
      </c>
      <c r="AC86" s="149">
        <f t="shared" si="20"/>
        <v>0</v>
      </c>
      <c r="AD86" s="125">
        <v>2</v>
      </c>
      <c r="AE86" s="148">
        <f t="shared" si="21"/>
        <v>2</v>
      </c>
      <c r="AF86" s="156"/>
      <c r="AG86" s="156"/>
      <c r="AH86" s="113">
        <f t="shared" si="22"/>
        <v>17</v>
      </c>
      <c r="AI86" s="157">
        <v>65</v>
      </c>
      <c r="AJ86" s="113">
        <f t="shared" si="23"/>
        <v>82</v>
      </c>
      <c r="AK86" s="113">
        <f t="shared" si="24"/>
        <v>82</v>
      </c>
      <c r="AL86" s="158">
        <f t="shared" si="25"/>
        <v>1.02</v>
      </c>
      <c r="AM86" s="159"/>
      <c r="AN86" s="160">
        <f t="shared" si="16"/>
        <v>1</v>
      </c>
      <c r="AO86" s="160">
        <f t="shared" si="16"/>
        <v>2</v>
      </c>
      <c r="AP86" s="133"/>
      <c r="AQ86" s="134"/>
      <c r="AR86" s="161"/>
      <c r="AS86" s="161"/>
      <c r="AT86" s="161"/>
      <c r="AU86" s="161"/>
      <c r="AV86" s="162"/>
      <c r="AW86" s="137">
        <f t="shared" si="26"/>
        <v>0</v>
      </c>
      <c r="AX86" s="137">
        <f t="shared" si="27"/>
        <v>0</v>
      </c>
    </row>
    <row r="87" ht="46.5" customHeight="1" spans="1:50" s="97" customFormat="1" x14ac:dyDescent="0.25">
      <c r="A87" s="100"/>
      <c r="B87" s="100"/>
      <c r="C87" s="100"/>
      <c r="D87" s="100"/>
      <c r="E87" s="100"/>
      <c r="F87" s="100"/>
      <c r="G87" s="103"/>
      <c r="H87" s="186"/>
      <c r="I87" s="195">
        <v>0.51</v>
      </c>
      <c r="J87" s="107">
        <v>0.49</v>
      </c>
      <c r="K87" s="107"/>
      <c r="L87" s="107"/>
      <c r="M87" s="187"/>
      <c r="N87" s="169">
        <f t="shared" si="14"/>
        <v>1</v>
      </c>
      <c r="O87" s="144">
        <v>1</v>
      </c>
      <c r="P87" s="145">
        <v>15</v>
      </c>
      <c r="Q87" s="113">
        <v>15</v>
      </c>
      <c r="R87" s="113"/>
      <c r="S87" s="113"/>
      <c r="T87" s="146"/>
      <c r="U87" s="148">
        <f t="shared" si="17"/>
        <v>15</v>
      </c>
      <c r="V87" s="149">
        <f t="shared" si="18"/>
        <v>15</v>
      </c>
      <c r="W87" s="189"/>
      <c r="X87" s="199"/>
      <c r="Y87" s="151"/>
      <c r="Z87" s="190"/>
      <c r="AA87" s="153"/>
      <c r="AB87" s="154">
        <f t="shared" si="19"/>
        <v>0</v>
      </c>
      <c r="AC87" s="149">
        <f t="shared" si="20"/>
        <v>0</v>
      </c>
      <c r="AD87" s="125">
        <v>2</v>
      </c>
      <c r="AE87" s="148">
        <f t="shared" si="21"/>
        <v>2</v>
      </c>
      <c r="AF87" s="156"/>
      <c r="AG87" s="156"/>
      <c r="AH87" s="113">
        <f t="shared" si="22"/>
        <v>17</v>
      </c>
      <c r="AI87" s="157">
        <v>65</v>
      </c>
      <c r="AJ87" s="113">
        <f t="shared" si="23"/>
        <v>82</v>
      </c>
      <c r="AK87" s="113">
        <f t="shared" si="24"/>
        <v>82</v>
      </c>
      <c r="AL87" s="158">
        <f t="shared" si="25"/>
        <v>1.02</v>
      </c>
      <c r="AM87" s="159"/>
      <c r="AN87" s="160">
        <f t="shared" si="16"/>
        <v>1</v>
      </c>
      <c r="AO87" s="160">
        <f t="shared" si="16"/>
        <v>2</v>
      </c>
      <c r="AP87" s="133"/>
      <c r="AQ87" s="134"/>
      <c r="AR87" s="161"/>
      <c r="AS87" s="161"/>
      <c r="AT87" s="161"/>
      <c r="AU87" s="161"/>
      <c r="AV87" s="162"/>
      <c r="AW87" s="137">
        <f t="shared" si="26"/>
        <v>0</v>
      </c>
      <c r="AX87" s="137">
        <f t="shared" si="27"/>
        <v>0</v>
      </c>
    </row>
    <row r="88" ht="46.5" customHeight="1" spans="1:50" s="97" customFormat="1" x14ac:dyDescent="0.25">
      <c r="A88" s="100"/>
      <c r="B88" s="100"/>
      <c r="C88" s="100"/>
      <c r="D88" s="100"/>
      <c r="E88" s="100"/>
      <c r="F88" s="100"/>
      <c r="G88" s="103"/>
      <c r="H88" s="186"/>
      <c r="I88" s="195">
        <v>0.51</v>
      </c>
      <c r="J88" s="107">
        <v>0.49</v>
      </c>
      <c r="K88" s="107"/>
      <c r="L88" s="107"/>
      <c r="M88" s="187"/>
      <c r="N88" s="169">
        <f t="shared" si="14"/>
        <v>1</v>
      </c>
      <c r="O88" s="144">
        <v>1</v>
      </c>
      <c r="P88" s="145">
        <v>15</v>
      </c>
      <c r="Q88" s="113">
        <v>15</v>
      </c>
      <c r="R88" s="113"/>
      <c r="S88" s="113"/>
      <c r="T88" s="146"/>
      <c r="U88" s="148">
        <f t="shared" si="17"/>
        <v>15</v>
      </c>
      <c r="V88" s="149">
        <f t="shared" si="18"/>
        <v>15</v>
      </c>
      <c r="W88" s="189"/>
      <c r="X88" s="199"/>
      <c r="Y88" s="151"/>
      <c r="Z88" s="190"/>
      <c r="AA88" s="153"/>
      <c r="AB88" s="154">
        <f t="shared" si="19"/>
        <v>0</v>
      </c>
      <c r="AC88" s="149">
        <f t="shared" si="20"/>
        <v>0</v>
      </c>
      <c r="AD88" s="125">
        <v>2</v>
      </c>
      <c r="AE88" s="148">
        <f t="shared" si="21"/>
        <v>2</v>
      </c>
      <c r="AF88" s="156"/>
      <c r="AG88" s="156"/>
      <c r="AH88" s="113">
        <f t="shared" si="22"/>
        <v>17</v>
      </c>
      <c r="AI88" s="157">
        <v>65</v>
      </c>
      <c r="AJ88" s="113">
        <f t="shared" si="23"/>
        <v>82</v>
      </c>
      <c r="AK88" s="113">
        <f t="shared" si="24"/>
        <v>82</v>
      </c>
      <c r="AL88" s="158">
        <f t="shared" si="25"/>
        <v>1.02</v>
      </c>
      <c r="AM88" s="159"/>
      <c r="AN88" s="160">
        <f t="shared" si="16"/>
        <v>1</v>
      </c>
      <c r="AO88" s="160">
        <f t="shared" si="16"/>
        <v>2</v>
      </c>
      <c r="AP88" s="133"/>
      <c r="AQ88" s="134"/>
      <c r="AR88" s="161"/>
      <c r="AS88" s="161"/>
      <c r="AT88" s="161"/>
      <c r="AU88" s="161"/>
      <c r="AV88" s="162"/>
      <c r="AW88" s="137">
        <f t="shared" si="26"/>
        <v>0</v>
      </c>
      <c r="AX88" s="137">
        <f t="shared" si="27"/>
        <v>0</v>
      </c>
    </row>
    <row r="89" ht="46.5" customHeight="1" spans="1:50" s="97" customFormat="1" x14ac:dyDescent="0.25">
      <c r="A89" s="100"/>
      <c r="B89" s="100"/>
      <c r="C89" s="100"/>
      <c r="D89" s="100"/>
      <c r="E89" s="100"/>
      <c r="F89" s="100"/>
      <c r="G89" s="103"/>
      <c r="H89" s="186"/>
      <c r="I89" s="195">
        <v>0.51</v>
      </c>
      <c r="J89" s="107">
        <v>0.49</v>
      </c>
      <c r="K89" s="107"/>
      <c r="L89" s="107"/>
      <c r="M89" s="187"/>
      <c r="N89" s="169">
        <f t="shared" si="14"/>
        <v>1</v>
      </c>
      <c r="O89" s="144">
        <v>1</v>
      </c>
      <c r="P89" s="145">
        <v>15</v>
      </c>
      <c r="Q89" s="113">
        <v>15</v>
      </c>
      <c r="R89" s="113"/>
      <c r="S89" s="113"/>
      <c r="T89" s="146"/>
      <c r="U89" s="148">
        <f t="shared" si="17"/>
        <v>15</v>
      </c>
      <c r="V89" s="149">
        <f t="shared" si="18"/>
        <v>15</v>
      </c>
      <c r="W89" s="189"/>
      <c r="X89" s="199"/>
      <c r="Y89" s="151"/>
      <c r="Z89" s="190"/>
      <c r="AA89" s="153"/>
      <c r="AB89" s="154">
        <f t="shared" si="19"/>
        <v>0</v>
      </c>
      <c r="AC89" s="149">
        <f t="shared" si="20"/>
        <v>0</v>
      </c>
      <c r="AD89" s="125">
        <v>2</v>
      </c>
      <c r="AE89" s="148">
        <f t="shared" si="21"/>
        <v>2</v>
      </c>
      <c r="AF89" s="156"/>
      <c r="AG89" s="156"/>
      <c r="AH89" s="113">
        <f t="shared" si="22"/>
        <v>17</v>
      </c>
      <c r="AI89" s="157">
        <v>65</v>
      </c>
      <c r="AJ89" s="113">
        <f t="shared" si="23"/>
        <v>82</v>
      </c>
      <c r="AK89" s="113">
        <f t="shared" si="24"/>
        <v>82</v>
      </c>
      <c r="AL89" s="158">
        <f t="shared" si="25"/>
        <v>1.02</v>
      </c>
      <c r="AM89" s="159"/>
      <c r="AN89" s="160">
        <f t="shared" si="16"/>
        <v>1</v>
      </c>
      <c r="AO89" s="160">
        <f t="shared" si="16"/>
        <v>2</v>
      </c>
      <c r="AP89" s="133"/>
      <c r="AQ89" s="134"/>
      <c r="AR89" s="161"/>
      <c r="AS89" s="161"/>
      <c r="AT89" s="161"/>
      <c r="AU89" s="161"/>
      <c r="AV89" s="162"/>
      <c r="AW89" s="137">
        <f t="shared" si="26"/>
        <v>0</v>
      </c>
      <c r="AX89" s="137">
        <f t="shared" si="27"/>
        <v>0</v>
      </c>
    </row>
    <row r="90" ht="46.5" customHeight="1" spans="1:50" s="97" customFormat="1" x14ac:dyDescent="0.25">
      <c r="A90" s="100"/>
      <c r="B90" s="100"/>
      <c r="C90" s="100"/>
      <c r="D90" s="100"/>
      <c r="E90" s="100"/>
      <c r="F90" s="100"/>
      <c r="G90" s="103"/>
      <c r="H90" s="186"/>
      <c r="I90" s="195">
        <v>0.51</v>
      </c>
      <c r="J90" s="107">
        <v>0.49</v>
      </c>
      <c r="K90" s="107"/>
      <c r="L90" s="107"/>
      <c r="M90" s="187"/>
      <c r="N90" s="169">
        <f t="shared" si="14"/>
        <v>1</v>
      </c>
      <c r="O90" s="144">
        <v>1</v>
      </c>
      <c r="P90" s="145">
        <v>15</v>
      </c>
      <c r="Q90" s="113">
        <v>15</v>
      </c>
      <c r="R90" s="113"/>
      <c r="S90" s="113"/>
      <c r="T90" s="146"/>
      <c r="U90" s="148">
        <f t="shared" si="17"/>
        <v>15</v>
      </c>
      <c r="V90" s="149">
        <f t="shared" si="18"/>
        <v>15</v>
      </c>
      <c r="W90" s="189"/>
      <c r="X90" s="199"/>
      <c r="Y90" s="151"/>
      <c r="Z90" s="190"/>
      <c r="AA90" s="153"/>
      <c r="AB90" s="154">
        <f t="shared" si="19"/>
        <v>0</v>
      </c>
      <c r="AC90" s="149">
        <f t="shared" si="20"/>
        <v>0</v>
      </c>
      <c r="AD90" s="125">
        <v>2</v>
      </c>
      <c r="AE90" s="148">
        <f t="shared" si="21"/>
        <v>2</v>
      </c>
      <c r="AF90" s="156"/>
      <c r="AG90" s="156"/>
      <c r="AH90" s="113">
        <f t="shared" si="22"/>
        <v>17</v>
      </c>
      <c r="AI90" s="157">
        <v>65</v>
      </c>
      <c r="AJ90" s="113">
        <f t="shared" si="23"/>
        <v>82</v>
      </c>
      <c r="AK90" s="113">
        <f t="shared" si="24"/>
        <v>82</v>
      </c>
      <c r="AL90" s="158">
        <f t="shared" si="25"/>
        <v>1.02</v>
      </c>
      <c r="AM90" s="159"/>
      <c r="AN90" s="160">
        <f t="shared" si="16"/>
        <v>1</v>
      </c>
      <c r="AO90" s="160">
        <f t="shared" si="16"/>
        <v>2</v>
      </c>
      <c r="AP90" s="133"/>
      <c r="AQ90" s="134"/>
      <c r="AR90" s="161"/>
      <c r="AS90" s="161"/>
      <c r="AT90" s="161"/>
      <c r="AU90" s="161"/>
      <c r="AV90" s="162"/>
      <c r="AW90" s="137">
        <f t="shared" si="26"/>
        <v>0</v>
      </c>
      <c r="AX90" s="137">
        <f t="shared" si="27"/>
        <v>0</v>
      </c>
    </row>
    <row r="91" ht="46.5" customHeight="1" spans="1:50" s="97" customFormat="1" x14ac:dyDescent="0.25">
      <c r="A91" s="100"/>
      <c r="B91" s="100"/>
      <c r="C91" s="100"/>
      <c r="D91" s="100"/>
      <c r="E91" s="100"/>
      <c r="F91" s="100"/>
      <c r="G91" s="103"/>
      <c r="H91" s="186"/>
      <c r="I91" s="195">
        <v>0.51</v>
      </c>
      <c r="J91" s="107">
        <v>0.49</v>
      </c>
      <c r="K91" s="107"/>
      <c r="L91" s="107"/>
      <c r="M91" s="187"/>
      <c r="N91" s="169">
        <f t="shared" si="14"/>
        <v>1</v>
      </c>
      <c r="O91" s="144">
        <v>1</v>
      </c>
      <c r="P91" s="145">
        <v>15</v>
      </c>
      <c r="Q91" s="113">
        <v>15</v>
      </c>
      <c r="R91" s="113"/>
      <c r="S91" s="113"/>
      <c r="T91" s="146"/>
      <c r="U91" s="148">
        <f t="shared" si="17"/>
        <v>15</v>
      </c>
      <c r="V91" s="149">
        <f t="shared" si="18"/>
        <v>15</v>
      </c>
      <c r="W91" s="189"/>
      <c r="X91" s="199"/>
      <c r="Y91" s="151"/>
      <c r="Z91" s="190"/>
      <c r="AA91" s="153"/>
      <c r="AB91" s="154">
        <f t="shared" si="19"/>
        <v>0</v>
      </c>
      <c r="AC91" s="149">
        <f t="shared" si="20"/>
        <v>0</v>
      </c>
      <c r="AD91" s="125">
        <v>2</v>
      </c>
      <c r="AE91" s="148">
        <f t="shared" si="21"/>
        <v>2</v>
      </c>
      <c r="AF91" s="156"/>
      <c r="AG91" s="156"/>
      <c r="AH91" s="113">
        <f t="shared" si="22"/>
        <v>17</v>
      </c>
      <c r="AI91" s="157">
        <v>65</v>
      </c>
      <c r="AJ91" s="113">
        <f t="shared" si="23"/>
        <v>82</v>
      </c>
      <c r="AK91" s="113">
        <f t="shared" si="24"/>
        <v>82</v>
      </c>
      <c r="AL91" s="158">
        <f t="shared" si="25"/>
        <v>1.02</v>
      </c>
      <c r="AM91" s="159"/>
      <c r="AN91" s="160">
        <f t="shared" ref="AN91:AO110" si="28">100%+AM91</f>
        <v>1</v>
      </c>
      <c r="AO91" s="160">
        <f t="shared" si="28"/>
        <v>2</v>
      </c>
      <c r="AP91" s="133"/>
      <c r="AQ91" s="134"/>
      <c r="AR91" s="161"/>
      <c r="AS91" s="161"/>
      <c r="AT91" s="161"/>
      <c r="AU91" s="161"/>
      <c r="AV91" s="162"/>
      <c r="AW91" s="137">
        <f t="shared" si="26"/>
        <v>0</v>
      </c>
      <c r="AX91" s="137">
        <f t="shared" si="27"/>
        <v>0</v>
      </c>
    </row>
    <row r="92" ht="46.5" customHeight="1" spans="1:50" s="97" customFormat="1" x14ac:dyDescent="0.25">
      <c r="A92" s="100"/>
      <c r="B92" s="100"/>
      <c r="C92" s="100"/>
      <c r="D92" s="100"/>
      <c r="E92" s="100"/>
      <c r="F92" s="100"/>
      <c r="G92" s="103"/>
      <c r="H92" s="186"/>
      <c r="I92" s="195">
        <v>0.51</v>
      </c>
      <c r="J92" s="107">
        <v>0.49</v>
      </c>
      <c r="K92" s="107"/>
      <c r="L92" s="107"/>
      <c r="M92" s="187"/>
      <c r="N92" s="169">
        <f t="shared" si="14"/>
        <v>1</v>
      </c>
      <c r="O92" s="144">
        <v>1</v>
      </c>
      <c r="P92" s="145">
        <v>15</v>
      </c>
      <c r="Q92" s="113">
        <v>15</v>
      </c>
      <c r="R92" s="113"/>
      <c r="S92" s="113"/>
      <c r="T92" s="146"/>
      <c r="U92" s="148">
        <f t="shared" si="17"/>
        <v>15</v>
      </c>
      <c r="V92" s="149">
        <f t="shared" si="18"/>
        <v>15</v>
      </c>
      <c r="W92" s="189"/>
      <c r="X92" s="199"/>
      <c r="Y92" s="151"/>
      <c r="Z92" s="190"/>
      <c r="AA92" s="153"/>
      <c r="AB92" s="154">
        <f t="shared" si="19"/>
        <v>0</v>
      </c>
      <c r="AC92" s="149">
        <f t="shared" si="20"/>
        <v>0</v>
      </c>
      <c r="AD92" s="125">
        <v>2</v>
      </c>
      <c r="AE92" s="148">
        <f t="shared" si="21"/>
        <v>2</v>
      </c>
      <c r="AF92" s="156"/>
      <c r="AG92" s="156"/>
      <c r="AH92" s="113">
        <f t="shared" si="22"/>
        <v>17</v>
      </c>
      <c r="AI92" s="157">
        <v>65</v>
      </c>
      <c r="AJ92" s="113">
        <f t="shared" si="23"/>
        <v>82</v>
      </c>
      <c r="AK92" s="113">
        <f t="shared" si="24"/>
        <v>82</v>
      </c>
      <c r="AL92" s="158">
        <f t="shared" si="25"/>
        <v>1.02</v>
      </c>
      <c r="AM92" s="159"/>
      <c r="AN92" s="160">
        <f t="shared" si="28"/>
        <v>1</v>
      </c>
      <c r="AO92" s="160">
        <f t="shared" si="28"/>
        <v>2</v>
      </c>
      <c r="AP92" s="133"/>
      <c r="AQ92" s="134"/>
      <c r="AR92" s="161"/>
      <c r="AS92" s="161"/>
      <c r="AT92" s="161"/>
      <c r="AU92" s="161"/>
      <c r="AV92" s="162"/>
      <c r="AW92" s="137">
        <f t="shared" si="26"/>
        <v>0</v>
      </c>
      <c r="AX92" s="137">
        <f t="shared" si="27"/>
        <v>0</v>
      </c>
    </row>
    <row r="93" ht="46.5" customHeight="1" spans="1:50" s="97" customFormat="1" x14ac:dyDescent="0.25">
      <c r="A93" s="100"/>
      <c r="B93" s="100"/>
      <c r="C93" s="100"/>
      <c r="D93" s="100"/>
      <c r="E93" s="100"/>
      <c r="F93" s="100"/>
      <c r="G93" s="103"/>
      <c r="H93" s="186"/>
      <c r="I93" s="195">
        <v>0.51</v>
      </c>
      <c r="J93" s="107">
        <v>0.49</v>
      </c>
      <c r="K93" s="107"/>
      <c r="L93" s="107"/>
      <c r="M93" s="187"/>
      <c r="N93" s="169">
        <f t="shared" si="14"/>
        <v>1</v>
      </c>
      <c r="O93" s="144">
        <v>1</v>
      </c>
      <c r="P93" s="145">
        <v>15</v>
      </c>
      <c r="Q93" s="113">
        <v>15</v>
      </c>
      <c r="R93" s="113"/>
      <c r="S93" s="113"/>
      <c r="T93" s="146"/>
      <c r="U93" s="148">
        <f t="shared" si="17"/>
        <v>15</v>
      </c>
      <c r="V93" s="149">
        <f t="shared" si="18"/>
        <v>15</v>
      </c>
      <c r="W93" s="189"/>
      <c r="X93" s="199"/>
      <c r="Y93" s="151"/>
      <c r="Z93" s="190"/>
      <c r="AA93" s="153"/>
      <c r="AB93" s="154">
        <f t="shared" si="19"/>
        <v>0</v>
      </c>
      <c r="AC93" s="149">
        <f t="shared" si="20"/>
        <v>0</v>
      </c>
      <c r="AD93" s="125">
        <v>2</v>
      </c>
      <c r="AE93" s="148">
        <f t="shared" si="21"/>
        <v>2</v>
      </c>
      <c r="AF93" s="156"/>
      <c r="AG93" s="156"/>
      <c r="AH93" s="113">
        <f t="shared" si="22"/>
        <v>17</v>
      </c>
      <c r="AI93" s="157">
        <v>65</v>
      </c>
      <c r="AJ93" s="113">
        <f t="shared" si="23"/>
        <v>82</v>
      </c>
      <c r="AK93" s="113">
        <f t="shared" si="24"/>
        <v>82</v>
      </c>
      <c r="AL93" s="158">
        <f t="shared" si="25"/>
        <v>1.02</v>
      </c>
      <c r="AM93" s="159"/>
      <c r="AN93" s="160">
        <f t="shared" si="28"/>
        <v>1</v>
      </c>
      <c r="AO93" s="160">
        <f t="shared" si="28"/>
        <v>2</v>
      </c>
      <c r="AP93" s="133"/>
      <c r="AQ93" s="134"/>
      <c r="AR93" s="161"/>
      <c r="AS93" s="161"/>
      <c r="AT93" s="161"/>
      <c r="AU93" s="161"/>
      <c r="AV93" s="162"/>
      <c r="AW93" s="137">
        <f t="shared" si="26"/>
        <v>0</v>
      </c>
      <c r="AX93" s="137">
        <f t="shared" si="27"/>
        <v>0</v>
      </c>
    </row>
    <row r="94" ht="46.5" customHeight="1" spans="1:50" s="97" customFormat="1" x14ac:dyDescent="0.25">
      <c r="A94" s="100"/>
      <c r="B94" s="100"/>
      <c r="C94" s="100"/>
      <c r="D94" s="100"/>
      <c r="E94" s="100"/>
      <c r="F94" s="100"/>
      <c r="G94" s="103"/>
      <c r="H94" s="186"/>
      <c r="I94" s="195">
        <v>0.51</v>
      </c>
      <c r="J94" s="107">
        <v>0.49</v>
      </c>
      <c r="K94" s="107"/>
      <c r="L94" s="107"/>
      <c r="M94" s="187"/>
      <c r="N94" s="169">
        <f t="shared" si="14"/>
        <v>1</v>
      </c>
      <c r="O94" s="144">
        <v>1</v>
      </c>
      <c r="P94" s="145">
        <v>15</v>
      </c>
      <c r="Q94" s="113">
        <v>15</v>
      </c>
      <c r="R94" s="113"/>
      <c r="S94" s="113"/>
      <c r="T94" s="146"/>
      <c r="U94" s="148">
        <f t="shared" si="17"/>
        <v>15</v>
      </c>
      <c r="V94" s="149">
        <f t="shared" si="18"/>
        <v>15</v>
      </c>
      <c r="W94" s="189"/>
      <c r="X94" s="199"/>
      <c r="Y94" s="151"/>
      <c r="Z94" s="190"/>
      <c r="AA94" s="153"/>
      <c r="AB94" s="154">
        <f t="shared" si="19"/>
        <v>0</v>
      </c>
      <c r="AC94" s="149">
        <f t="shared" si="20"/>
        <v>0</v>
      </c>
      <c r="AD94" s="125">
        <v>2</v>
      </c>
      <c r="AE94" s="148">
        <f t="shared" si="21"/>
        <v>2</v>
      </c>
      <c r="AF94" s="156"/>
      <c r="AG94" s="156"/>
      <c r="AH94" s="113">
        <f t="shared" si="22"/>
        <v>17</v>
      </c>
      <c r="AI94" s="157">
        <v>65</v>
      </c>
      <c r="AJ94" s="113">
        <f t="shared" si="23"/>
        <v>82</v>
      </c>
      <c r="AK94" s="113">
        <f t="shared" si="24"/>
        <v>82</v>
      </c>
      <c r="AL94" s="158">
        <f t="shared" si="25"/>
        <v>1.02</v>
      </c>
      <c r="AM94" s="159"/>
      <c r="AN94" s="160">
        <f t="shared" si="28"/>
        <v>1</v>
      </c>
      <c r="AO94" s="160">
        <f t="shared" si="28"/>
        <v>2</v>
      </c>
      <c r="AP94" s="133"/>
      <c r="AQ94" s="134"/>
      <c r="AR94" s="161"/>
      <c r="AS94" s="161"/>
      <c r="AT94" s="161"/>
      <c r="AU94" s="161"/>
      <c r="AV94" s="162"/>
      <c r="AW94" s="137">
        <f t="shared" si="26"/>
        <v>0</v>
      </c>
      <c r="AX94" s="137">
        <f t="shared" si="27"/>
        <v>0</v>
      </c>
    </row>
    <row r="95" ht="46.5" customHeight="1" spans="1:50" s="97" customFormat="1" x14ac:dyDescent="0.25">
      <c r="A95" s="100"/>
      <c r="B95" s="100"/>
      <c r="C95" s="100"/>
      <c r="D95" s="100"/>
      <c r="E95" s="100"/>
      <c r="F95" s="100"/>
      <c r="G95" s="103"/>
      <c r="H95" s="186"/>
      <c r="I95" s="195">
        <v>0.51</v>
      </c>
      <c r="J95" s="107">
        <v>0.49</v>
      </c>
      <c r="K95" s="107"/>
      <c r="L95" s="107"/>
      <c r="M95" s="187"/>
      <c r="N95" s="169">
        <f t="shared" si="14"/>
        <v>1</v>
      </c>
      <c r="O95" s="144">
        <v>1</v>
      </c>
      <c r="P95" s="145">
        <v>15</v>
      </c>
      <c r="Q95" s="113">
        <v>15</v>
      </c>
      <c r="R95" s="113"/>
      <c r="S95" s="113"/>
      <c r="T95" s="146"/>
      <c r="U95" s="148">
        <f t="shared" si="17"/>
        <v>15</v>
      </c>
      <c r="V95" s="149">
        <f t="shared" si="18"/>
        <v>15</v>
      </c>
      <c r="W95" s="189"/>
      <c r="X95" s="199"/>
      <c r="Y95" s="151"/>
      <c r="Z95" s="190"/>
      <c r="AA95" s="153"/>
      <c r="AB95" s="154">
        <f t="shared" si="19"/>
        <v>0</v>
      </c>
      <c r="AC95" s="149">
        <f t="shared" si="20"/>
        <v>0</v>
      </c>
      <c r="AD95" s="125">
        <v>2</v>
      </c>
      <c r="AE95" s="148">
        <f t="shared" si="21"/>
        <v>2</v>
      </c>
      <c r="AF95" s="156"/>
      <c r="AG95" s="156"/>
      <c r="AH95" s="113">
        <f t="shared" si="22"/>
        <v>17</v>
      </c>
      <c r="AI95" s="157">
        <v>65</v>
      </c>
      <c r="AJ95" s="113">
        <f t="shared" si="23"/>
        <v>82</v>
      </c>
      <c r="AK95" s="113">
        <f t="shared" si="24"/>
        <v>82</v>
      </c>
      <c r="AL95" s="158">
        <f t="shared" si="25"/>
        <v>1.02</v>
      </c>
      <c r="AM95" s="159"/>
      <c r="AN95" s="160">
        <f t="shared" si="28"/>
        <v>1</v>
      </c>
      <c r="AO95" s="160">
        <f t="shared" si="28"/>
        <v>2</v>
      </c>
      <c r="AP95" s="133"/>
      <c r="AQ95" s="134"/>
      <c r="AR95" s="161"/>
      <c r="AS95" s="161"/>
      <c r="AT95" s="161"/>
      <c r="AU95" s="161"/>
      <c r="AV95" s="162"/>
      <c r="AW95" s="137">
        <f t="shared" si="26"/>
        <v>0</v>
      </c>
      <c r="AX95" s="137">
        <f t="shared" si="27"/>
        <v>0</v>
      </c>
    </row>
    <row r="96" ht="46.5" customHeight="1" spans="1:50" s="97" customFormat="1" x14ac:dyDescent="0.25">
      <c r="A96" s="100"/>
      <c r="B96" s="100"/>
      <c r="C96" s="100"/>
      <c r="D96" s="100"/>
      <c r="E96" s="100"/>
      <c r="F96" s="100"/>
      <c r="G96" s="103"/>
      <c r="H96" s="186"/>
      <c r="I96" s="195">
        <v>0.51</v>
      </c>
      <c r="J96" s="107">
        <v>0.49</v>
      </c>
      <c r="K96" s="107"/>
      <c r="L96" s="107"/>
      <c r="M96" s="187"/>
      <c r="N96" s="169">
        <f t="shared" si="14"/>
        <v>1</v>
      </c>
      <c r="O96" s="144">
        <v>1</v>
      </c>
      <c r="P96" s="145">
        <v>15</v>
      </c>
      <c r="Q96" s="113">
        <v>15</v>
      </c>
      <c r="R96" s="113"/>
      <c r="S96" s="113"/>
      <c r="T96" s="146"/>
      <c r="U96" s="148">
        <f t="shared" si="17"/>
        <v>15</v>
      </c>
      <c r="V96" s="149">
        <f t="shared" si="18"/>
        <v>15</v>
      </c>
      <c r="W96" s="189"/>
      <c r="X96" s="199"/>
      <c r="Y96" s="151"/>
      <c r="Z96" s="190"/>
      <c r="AA96" s="153"/>
      <c r="AB96" s="154">
        <f t="shared" si="19"/>
        <v>0</v>
      </c>
      <c r="AC96" s="149">
        <f t="shared" si="20"/>
        <v>0</v>
      </c>
      <c r="AD96" s="125">
        <v>2</v>
      </c>
      <c r="AE96" s="148">
        <f t="shared" si="21"/>
        <v>2</v>
      </c>
      <c r="AF96" s="156"/>
      <c r="AG96" s="156"/>
      <c r="AH96" s="113">
        <f t="shared" si="22"/>
        <v>17</v>
      </c>
      <c r="AI96" s="157">
        <v>65</v>
      </c>
      <c r="AJ96" s="113">
        <f t="shared" si="23"/>
        <v>82</v>
      </c>
      <c r="AK96" s="113">
        <f t="shared" si="24"/>
        <v>82</v>
      </c>
      <c r="AL96" s="158">
        <f t="shared" si="25"/>
        <v>1.02</v>
      </c>
      <c r="AM96" s="159"/>
      <c r="AN96" s="160">
        <f t="shared" si="28"/>
        <v>1</v>
      </c>
      <c r="AO96" s="160">
        <f t="shared" si="28"/>
        <v>2</v>
      </c>
      <c r="AP96" s="133"/>
      <c r="AQ96" s="134"/>
      <c r="AR96" s="161"/>
      <c r="AS96" s="161"/>
      <c r="AT96" s="161"/>
      <c r="AU96" s="161"/>
      <c r="AV96" s="162"/>
      <c r="AW96" s="137">
        <f t="shared" si="26"/>
        <v>0</v>
      </c>
      <c r="AX96" s="137">
        <f t="shared" si="27"/>
        <v>0</v>
      </c>
    </row>
    <row r="97" ht="46.5" customHeight="1" spans="1:50" s="97" customFormat="1" x14ac:dyDescent="0.25">
      <c r="A97" s="100"/>
      <c r="B97" s="100"/>
      <c r="C97" s="100"/>
      <c r="D97" s="100"/>
      <c r="E97" s="100"/>
      <c r="F97" s="100"/>
      <c r="G97" s="103"/>
      <c r="H97" s="186"/>
      <c r="I97" s="195">
        <v>0.51</v>
      </c>
      <c r="J97" s="107">
        <v>0.49</v>
      </c>
      <c r="K97" s="107"/>
      <c r="L97" s="107"/>
      <c r="M97" s="187"/>
      <c r="N97" s="169">
        <f t="shared" si="14"/>
        <v>1</v>
      </c>
      <c r="O97" s="144">
        <v>1</v>
      </c>
      <c r="P97" s="145">
        <v>15</v>
      </c>
      <c r="Q97" s="113">
        <v>15</v>
      </c>
      <c r="R97" s="113"/>
      <c r="S97" s="113"/>
      <c r="T97" s="146"/>
      <c r="U97" s="148">
        <f t="shared" si="17"/>
        <v>15</v>
      </c>
      <c r="V97" s="149">
        <f t="shared" si="18"/>
        <v>15</v>
      </c>
      <c r="W97" s="189"/>
      <c r="X97" s="199"/>
      <c r="Y97" s="151"/>
      <c r="Z97" s="190"/>
      <c r="AA97" s="153"/>
      <c r="AB97" s="154">
        <f t="shared" si="19"/>
        <v>0</v>
      </c>
      <c r="AC97" s="149">
        <f t="shared" si="20"/>
        <v>0</v>
      </c>
      <c r="AD97" s="125">
        <v>2</v>
      </c>
      <c r="AE97" s="148">
        <f t="shared" si="21"/>
        <v>2</v>
      </c>
      <c r="AF97" s="156"/>
      <c r="AG97" s="156"/>
      <c r="AH97" s="113">
        <f t="shared" si="22"/>
        <v>17</v>
      </c>
      <c r="AI97" s="157">
        <v>65</v>
      </c>
      <c r="AJ97" s="113">
        <f t="shared" si="23"/>
        <v>82</v>
      </c>
      <c r="AK97" s="113">
        <f t="shared" si="24"/>
        <v>82</v>
      </c>
      <c r="AL97" s="158">
        <f t="shared" si="25"/>
        <v>1.02</v>
      </c>
      <c r="AM97" s="159"/>
      <c r="AN97" s="160">
        <f t="shared" si="28"/>
        <v>1</v>
      </c>
      <c r="AO97" s="160">
        <f t="shared" si="28"/>
        <v>2</v>
      </c>
      <c r="AP97" s="133"/>
      <c r="AQ97" s="134"/>
      <c r="AR97" s="161"/>
      <c r="AS97" s="161"/>
      <c r="AT97" s="161"/>
      <c r="AU97" s="161"/>
      <c r="AV97" s="162"/>
      <c r="AW97" s="137">
        <f t="shared" si="26"/>
        <v>0</v>
      </c>
      <c r="AX97" s="137">
        <f t="shared" si="27"/>
        <v>0</v>
      </c>
    </row>
    <row r="98" ht="64.5" customHeight="1" spans="1:50" s="56" customFormat="1" x14ac:dyDescent="0.25">
      <c r="A98" s="100"/>
      <c r="B98" s="100"/>
      <c r="C98" s="100"/>
      <c r="D98" s="100"/>
      <c r="E98" s="100"/>
      <c r="F98" s="100"/>
      <c r="G98" s="103"/>
      <c r="H98" s="186"/>
      <c r="I98" s="195">
        <v>0.51</v>
      </c>
      <c r="J98" s="107">
        <v>0.49</v>
      </c>
      <c r="K98" s="107"/>
      <c r="L98" s="107"/>
      <c r="M98" s="187"/>
      <c r="N98" s="169">
        <f t="shared" si="14"/>
        <v>1</v>
      </c>
      <c r="O98" s="144">
        <v>1</v>
      </c>
      <c r="P98" s="145">
        <v>15</v>
      </c>
      <c r="Q98" s="113">
        <v>15</v>
      </c>
      <c r="R98" s="113"/>
      <c r="S98" s="113"/>
      <c r="T98" s="146"/>
      <c r="U98" s="148">
        <f t="shared" si="17"/>
        <v>15</v>
      </c>
      <c r="V98" s="149">
        <f t="shared" si="18"/>
        <v>15</v>
      </c>
      <c r="W98" s="189"/>
      <c r="X98" s="199"/>
      <c r="Y98" s="151"/>
      <c r="Z98" s="190"/>
      <c r="AA98" s="153"/>
      <c r="AB98" s="154">
        <f t="shared" si="19"/>
        <v>0</v>
      </c>
      <c r="AC98" s="149">
        <f t="shared" si="20"/>
        <v>0</v>
      </c>
      <c r="AD98" s="125">
        <v>2</v>
      </c>
      <c r="AE98" s="148">
        <f t="shared" si="21"/>
        <v>2</v>
      </c>
      <c r="AF98" s="156"/>
      <c r="AG98" s="156"/>
      <c r="AH98" s="113">
        <f t="shared" si="22"/>
        <v>17</v>
      </c>
      <c r="AI98" s="157">
        <v>65</v>
      </c>
      <c r="AJ98" s="113">
        <f t="shared" si="23"/>
        <v>82</v>
      </c>
      <c r="AK98" s="113">
        <f t="shared" si="24"/>
        <v>82</v>
      </c>
      <c r="AL98" s="158">
        <f t="shared" si="25"/>
        <v>1.02</v>
      </c>
      <c r="AM98" s="159"/>
      <c r="AN98" s="160">
        <f t="shared" si="28"/>
        <v>1</v>
      </c>
      <c r="AO98" s="160">
        <f t="shared" si="28"/>
        <v>2</v>
      </c>
      <c r="AP98" s="133"/>
      <c r="AQ98" s="134"/>
      <c r="AR98" s="161"/>
      <c r="AS98" s="161"/>
      <c r="AT98" s="161"/>
      <c r="AU98" s="161"/>
      <c r="AV98" s="162"/>
      <c r="AW98" s="137">
        <f t="shared" si="26"/>
        <v>0</v>
      </c>
      <c r="AX98" s="137">
        <f t="shared" si="27"/>
        <v>0</v>
      </c>
    </row>
    <row r="99" ht="46.5" customHeight="1" spans="1:50" s="97" customFormat="1" x14ac:dyDescent="0.25">
      <c r="A99" s="100"/>
      <c r="B99" s="100"/>
      <c r="C99" s="100"/>
      <c r="D99" s="100"/>
      <c r="E99" s="100"/>
      <c r="F99" s="100"/>
      <c r="G99" s="103"/>
      <c r="H99" s="186"/>
      <c r="I99" s="195">
        <v>0.51</v>
      </c>
      <c r="J99" s="107">
        <v>0.49</v>
      </c>
      <c r="K99" s="107"/>
      <c r="L99" s="107"/>
      <c r="M99" s="187"/>
      <c r="N99" s="169">
        <f t="shared" si="14"/>
        <v>1</v>
      </c>
      <c r="O99" s="144">
        <v>1</v>
      </c>
      <c r="P99" s="145">
        <v>15</v>
      </c>
      <c r="Q99" s="113">
        <v>15</v>
      </c>
      <c r="R99" s="113"/>
      <c r="S99" s="113"/>
      <c r="T99" s="146"/>
      <c r="U99" s="148">
        <f t="shared" si="17"/>
        <v>15</v>
      </c>
      <c r="V99" s="149">
        <f t="shared" si="18"/>
        <v>15</v>
      </c>
      <c r="W99" s="189"/>
      <c r="X99" s="199"/>
      <c r="Y99" s="151"/>
      <c r="Z99" s="190"/>
      <c r="AA99" s="153"/>
      <c r="AB99" s="154">
        <f t="shared" si="19"/>
        <v>0</v>
      </c>
      <c r="AC99" s="149">
        <f t="shared" si="20"/>
        <v>0</v>
      </c>
      <c r="AD99" s="125">
        <v>2</v>
      </c>
      <c r="AE99" s="148">
        <f t="shared" si="21"/>
        <v>2</v>
      </c>
      <c r="AF99" s="156"/>
      <c r="AG99" s="156"/>
      <c r="AH99" s="113">
        <f t="shared" si="22"/>
        <v>17</v>
      </c>
      <c r="AI99" s="157">
        <v>65</v>
      </c>
      <c r="AJ99" s="113">
        <f t="shared" si="23"/>
        <v>82</v>
      </c>
      <c r="AK99" s="113">
        <f t="shared" si="24"/>
        <v>82</v>
      </c>
      <c r="AL99" s="158">
        <f t="shared" si="25"/>
        <v>1.02</v>
      </c>
      <c r="AM99" s="159"/>
      <c r="AN99" s="160">
        <f t="shared" si="28"/>
        <v>1</v>
      </c>
      <c r="AO99" s="160">
        <f t="shared" si="28"/>
        <v>2</v>
      </c>
      <c r="AP99" s="133"/>
      <c r="AQ99" s="134"/>
      <c r="AR99" s="161"/>
      <c r="AS99" s="161"/>
      <c r="AT99" s="161"/>
      <c r="AU99" s="161"/>
      <c r="AV99" s="162"/>
      <c r="AW99" s="137">
        <f t="shared" si="26"/>
        <v>0</v>
      </c>
      <c r="AX99" s="137">
        <f t="shared" si="27"/>
        <v>0</v>
      </c>
    </row>
    <row r="100" ht="46.5" customHeight="1" spans="1:50" s="97" customFormat="1" x14ac:dyDescent="0.25">
      <c r="A100" s="100"/>
      <c r="B100" s="100"/>
      <c r="C100" s="100"/>
      <c r="D100" s="100"/>
      <c r="E100" s="100"/>
      <c r="F100" s="100"/>
      <c r="G100" s="103"/>
      <c r="H100" s="186"/>
      <c r="I100" s="195">
        <v>0.51</v>
      </c>
      <c r="J100" s="107">
        <v>0.49</v>
      </c>
      <c r="K100" s="107"/>
      <c r="L100" s="107"/>
      <c r="M100" s="187"/>
      <c r="N100" s="169">
        <f t="shared" si="14"/>
        <v>1</v>
      </c>
      <c r="O100" s="144">
        <v>1</v>
      </c>
      <c r="P100" s="145">
        <v>15</v>
      </c>
      <c r="Q100" s="113">
        <v>15</v>
      </c>
      <c r="R100" s="113"/>
      <c r="S100" s="113"/>
      <c r="T100" s="146"/>
      <c r="U100" s="148">
        <f t="shared" si="17"/>
        <v>15</v>
      </c>
      <c r="V100" s="149">
        <f t="shared" si="18"/>
        <v>15</v>
      </c>
      <c r="W100" s="189"/>
      <c r="X100" s="199"/>
      <c r="Y100" s="151"/>
      <c r="Z100" s="190"/>
      <c r="AA100" s="153"/>
      <c r="AB100" s="154">
        <f t="shared" si="19"/>
        <v>0</v>
      </c>
      <c r="AC100" s="149">
        <f t="shared" si="20"/>
        <v>0</v>
      </c>
      <c r="AD100" s="125">
        <v>2</v>
      </c>
      <c r="AE100" s="148">
        <f t="shared" si="21"/>
        <v>2</v>
      </c>
      <c r="AF100" s="156"/>
      <c r="AG100" s="156"/>
      <c r="AH100" s="113">
        <f t="shared" si="22"/>
        <v>17</v>
      </c>
      <c r="AI100" s="157">
        <v>65</v>
      </c>
      <c r="AJ100" s="113">
        <f t="shared" si="23"/>
        <v>82</v>
      </c>
      <c r="AK100" s="113">
        <f t="shared" si="24"/>
        <v>82</v>
      </c>
      <c r="AL100" s="158">
        <f t="shared" si="25"/>
        <v>1.02</v>
      </c>
      <c r="AM100" s="159"/>
      <c r="AN100" s="160">
        <f t="shared" si="28"/>
        <v>1</v>
      </c>
      <c r="AO100" s="160">
        <f t="shared" si="28"/>
        <v>2</v>
      </c>
      <c r="AP100" s="133"/>
      <c r="AQ100" s="134"/>
      <c r="AR100" s="161"/>
      <c r="AS100" s="161"/>
      <c r="AT100" s="161"/>
      <c r="AU100" s="161"/>
      <c r="AV100" s="162"/>
      <c r="AW100" s="137">
        <f t="shared" si="26"/>
        <v>0</v>
      </c>
      <c r="AX100" s="137">
        <f t="shared" si="27"/>
        <v>0</v>
      </c>
    </row>
    <row r="101" ht="46.5" customHeight="1" spans="1:50" s="97" customFormat="1" x14ac:dyDescent="0.25">
      <c r="A101" s="100"/>
      <c r="B101" s="100"/>
      <c r="C101" s="100"/>
      <c r="D101" s="100"/>
      <c r="E101" s="100"/>
      <c r="F101" s="100"/>
      <c r="G101" s="103"/>
      <c r="H101" s="186"/>
      <c r="I101" s="195">
        <v>0.51</v>
      </c>
      <c r="J101" s="107">
        <v>0.49</v>
      </c>
      <c r="K101" s="107"/>
      <c r="L101" s="107"/>
      <c r="M101" s="187"/>
      <c r="N101" s="169">
        <f t="shared" si="14"/>
        <v>1</v>
      </c>
      <c r="O101" s="144">
        <v>1</v>
      </c>
      <c r="P101" s="145">
        <v>15</v>
      </c>
      <c r="Q101" s="113">
        <v>15</v>
      </c>
      <c r="R101" s="113"/>
      <c r="S101" s="113"/>
      <c r="T101" s="146"/>
      <c r="U101" s="148">
        <f t="shared" si="17"/>
        <v>15</v>
      </c>
      <c r="V101" s="149">
        <f t="shared" si="18"/>
        <v>15</v>
      </c>
      <c r="W101" s="189"/>
      <c r="X101" s="199"/>
      <c r="Y101" s="151"/>
      <c r="Z101" s="190"/>
      <c r="AA101" s="153"/>
      <c r="AB101" s="154">
        <f t="shared" si="19"/>
        <v>0</v>
      </c>
      <c r="AC101" s="149">
        <f t="shared" si="20"/>
        <v>0</v>
      </c>
      <c r="AD101" s="125">
        <v>2</v>
      </c>
      <c r="AE101" s="148">
        <f t="shared" si="21"/>
        <v>2</v>
      </c>
      <c r="AF101" s="156"/>
      <c r="AG101" s="156"/>
      <c r="AH101" s="113">
        <f t="shared" si="22"/>
        <v>17</v>
      </c>
      <c r="AI101" s="157">
        <v>65</v>
      </c>
      <c r="AJ101" s="113">
        <f t="shared" si="23"/>
        <v>82</v>
      </c>
      <c r="AK101" s="113">
        <f t="shared" si="24"/>
        <v>82</v>
      </c>
      <c r="AL101" s="158">
        <f t="shared" si="25"/>
        <v>1.02</v>
      </c>
      <c r="AM101" s="159"/>
      <c r="AN101" s="160">
        <f t="shared" si="28"/>
        <v>1</v>
      </c>
      <c r="AO101" s="160">
        <f t="shared" si="28"/>
        <v>2</v>
      </c>
      <c r="AP101" s="133"/>
      <c r="AQ101" s="134"/>
      <c r="AR101" s="161"/>
      <c r="AS101" s="161"/>
      <c r="AT101" s="161"/>
      <c r="AU101" s="161"/>
      <c r="AV101" s="162"/>
      <c r="AW101" s="137">
        <f t="shared" si="26"/>
        <v>0</v>
      </c>
      <c r="AX101" s="137">
        <f t="shared" si="27"/>
        <v>0</v>
      </c>
    </row>
    <row r="102" ht="47.25" customHeight="1" spans="1:50" s="97" customFormat="1" x14ac:dyDescent="0.25">
      <c r="A102" s="100"/>
      <c r="B102" s="100"/>
      <c r="C102" s="100"/>
      <c r="D102" s="100"/>
      <c r="E102" s="100"/>
      <c r="F102" s="100"/>
      <c r="G102" s="103"/>
      <c r="H102" s="186"/>
      <c r="I102" s="195">
        <v>0.51</v>
      </c>
      <c r="J102" s="107">
        <v>0.49</v>
      </c>
      <c r="K102" s="107"/>
      <c r="L102" s="107"/>
      <c r="M102" s="187"/>
      <c r="N102" s="169">
        <f t="shared" si="14"/>
        <v>1</v>
      </c>
      <c r="O102" s="144">
        <v>1</v>
      </c>
      <c r="P102" s="145">
        <v>15</v>
      </c>
      <c r="Q102" s="113">
        <v>15</v>
      </c>
      <c r="R102" s="113"/>
      <c r="S102" s="113"/>
      <c r="T102" s="146"/>
      <c r="U102" s="148">
        <f t="shared" si="17"/>
        <v>15</v>
      </c>
      <c r="V102" s="149">
        <f t="shared" si="18"/>
        <v>15</v>
      </c>
      <c r="W102" s="189"/>
      <c r="X102" s="199"/>
      <c r="Y102" s="151"/>
      <c r="Z102" s="190"/>
      <c r="AA102" s="153"/>
      <c r="AB102" s="154">
        <f t="shared" si="19"/>
        <v>0</v>
      </c>
      <c r="AC102" s="149">
        <f t="shared" si="20"/>
        <v>0</v>
      </c>
      <c r="AD102" s="125">
        <v>2</v>
      </c>
      <c r="AE102" s="148">
        <f t="shared" si="21"/>
        <v>2</v>
      </c>
      <c r="AF102" s="156"/>
      <c r="AG102" s="156"/>
      <c r="AH102" s="113">
        <f t="shared" si="22"/>
        <v>17</v>
      </c>
      <c r="AI102" s="157">
        <v>65</v>
      </c>
      <c r="AJ102" s="113">
        <f t="shared" si="23"/>
        <v>82</v>
      </c>
      <c r="AK102" s="113">
        <f t="shared" si="24"/>
        <v>82</v>
      </c>
      <c r="AL102" s="158">
        <f t="shared" si="25"/>
        <v>1.02</v>
      </c>
      <c r="AM102" s="159"/>
      <c r="AN102" s="160">
        <f t="shared" si="28"/>
        <v>1</v>
      </c>
      <c r="AO102" s="160">
        <f t="shared" si="28"/>
        <v>2</v>
      </c>
      <c r="AP102" s="133"/>
      <c r="AQ102" s="134"/>
      <c r="AR102" s="161"/>
      <c r="AS102" s="161"/>
      <c r="AT102" s="161"/>
      <c r="AU102" s="161"/>
      <c r="AV102" s="162"/>
      <c r="AW102" s="137">
        <f t="shared" si="26"/>
        <v>0</v>
      </c>
      <c r="AX102" s="137">
        <f t="shared" si="27"/>
        <v>0</v>
      </c>
    </row>
    <row r="103" ht="46.5" customHeight="1" spans="1:50" s="97" customFormat="1" x14ac:dyDescent="0.25">
      <c r="A103" s="100"/>
      <c r="B103" s="100"/>
      <c r="C103" s="100"/>
      <c r="D103" s="100"/>
      <c r="E103" s="100"/>
      <c r="F103" s="100"/>
      <c r="G103" s="103"/>
      <c r="H103" s="186"/>
      <c r="I103" s="195">
        <v>0.51</v>
      </c>
      <c r="J103" s="107">
        <v>0.49</v>
      </c>
      <c r="K103" s="107"/>
      <c r="L103" s="107"/>
      <c r="M103" s="187"/>
      <c r="N103" s="169">
        <f t="shared" si="14"/>
        <v>1</v>
      </c>
      <c r="O103" s="144">
        <v>1</v>
      </c>
      <c r="P103" s="145">
        <v>15</v>
      </c>
      <c r="Q103" s="113">
        <v>15</v>
      </c>
      <c r="R103" s="113"/>
      <c r="S103" s="113"/>
      <c r="T103" s="146"/>
      <c r="U103" s="148">
        <f t="shared" si="17"/>
        <v>15</v>
      </c>
      <c r="V103" s="149">
        <f t="shared" si="18"/>
        <v>15</v>
      </c>
      <c r="W103" s="189"/>
      <c r="X103" s="199"/>
      <c r="Y103" s="151"/>
      <c r="Z103" s="190"/>
      <c r="AA103" s="153"/>
      <c r="AB103" s="154">
        <f t="shared" si="19"/>
        <v>0</v>
      </c>
      <c r="AC103" s="149">
        <f t="shared" si="20"/>
        <v>0</v>
      </c>
      <c r="AD103" s="125">
        <v>2</v>
      </c>
      <c r="AE103" s="148">
        <f t="shared" si="21"/>
        <v>2</v>
      </c>
      <c r="AF103" s="156"/>
      <c r="AG103" s="156"/>
      <c r="AH103" s="113">
        <f t="shared" si="22"/>
        <v>17</v>
      </c>
      <c r="AI103" s="157">
        <v>65</v>
      </c>
      <c r="AJ103" s="113">
        <f t="shared" si="23"/>
        <v>82</v>
      </c>
      <c r="AK103" s="113">
        <f t="shared" si="24"/>
        <v>82</v>
      </c>
      <c r="AL103" s="158">
        <f t="shared" si="25"/>
        <v>1.02</v>
      </c>
      <c r="AM103" s="159"/>
      <c r="AN103" s="160">
        <f t="shared" si="28"/>
        <v>1</v>
      </c>
      <c r="AO103" s="160">
        <f t="shared" si="28"/>
        <v>2</v>
      </c>
      <c r="AP103" s="133"/>
      <c r="AQ103" s="134"/>
      <c r="AR103" s="161"/>
      <c r="AS103" s="161"/>
      <c r="AT103" s="161"/>
      <c r="AU103" s="161"/>
      <c r="AV103" s="162"/>
      <c r="AW103" s="137">
        <f t="shared" si="26"/>
        <v>0</v>
      </c>
      <c r="AX103" s="137">
        <f t="shared" si="27"/>
        <v>0</v>
      </c>
    </row>
    <row r="104" ht="46.5" customHeight="1" spans="1:50" s="97" customFormat="1" x14ac:dyDescent="0.25">
      <c r="A104" s="100"/>
      <c r="B104" s="100"/>
      <c r="C104" s="100"/>
      <c r="D104" s="100"/>
      <c r="E104" s="100"/>
      <c r="F104" s="100"/>
      <c r="G104" s="103"/>
      <c r="H104" s="186"/>
      <c r="I104" s="195">
        <v>0.51</v>
      </c>
      <c r="J104" s="107">
        <v>0.49</v>
      </c>
      <c r="K104" s="107"/>
      <c r="L104" s="107"/>
      <c r="M104" s="187"/>
      <c r="N104" s="169">
        <f t="shared" si="14"/>
        <v>1</v>
      </c>
      <c r="O104" s="144">
        <v>1</v>
      </c>
      <c r="P104" s="145">
        <v>15</v>
      </c>
      <c r="Q104" s="113">
        <v>15</v>
      </c>
      <c r="R104" s="113"/>
      <c r="S104" s="113"/>
      <c r="T104" s="146"/>
      <c r="U104" s="148">
        <f t="shared" si="17"/>
        <v>15</v>
      </c>
      <c r="V104" s="149">
        <f t="shared" si="18"/>
        <v>15</v>
      </c>
      <c r="W104" s="189"/>
      <c r="X104" s="199"/>
      <c r="Y104" s="151"/>
      <c r="Z104" s="190"/>
      <c r="AA104" s="153"/>
      <c r="AB104" s="154">
        <f t="shared" si="19"/>
        <v>0</v>
      </c>
      <c r="AC104" s="149">
        <f t="shared" si="20"/>
        <v>0</v>
      </c>
      <c r="AD104" s="125">
        <v>2</v>
      </c>
      <c r="AE104" s="148">
        <f t="shared" si="21"/>
        <v>2</v>
      </c>
      <c r="AF104" s="156"/>
      <c r="AG104" s="156"/>
      <c r="AH104" s="113">
        <f t="shared" si="22"/>
        <v>17</v>
      </c>
      <c r="AI104" s="157">
        <v>65</v>
      </c>
      <c r="AJ104" s="113">
        <f t="shared" si="23"/>
        <v>82</v>
      </c>
      <c r="AK104" s="113">
        <f t="shared" si="24"/>
        <v>82</v>
      </c>
      <c r="AL104" s="158">
        <f t="shared" si="25"/>
        <v>1.02</v>
      </c>
      <c r="AM104" s="159"/>
      <c r="AN104" s="160">
        <f t="shared" si="28"/>
        <v>1</v>
      </c>
      <c r="AO104" s="160">
        <f t="shared" si="28"/>
        <v>2</v>
      </c>
      <c r="AP104" s="133"/>
      <c r="AQ104" s="134"/>
      <c r="AR104" s="161"/>
      <c r="AS104" s="161"/>
      <c r="AT104" s="161"/>
      <c r="AU104" s="161"/>
      <c r="AV104" s="162"/>
      <c r="AW104" s="137">
        <f t="shared" si="26"/>
        <v>0</v>
      </c>
      <c r="AX104" s="137">
        <f t="shared" si="27"/>
        <v>0</v>
      </c>
    </row>
    <row r="105" ht="46.5" customHeight="1" spans="1:50" s="97" customFormat="1" x14ac:dyDescent="0.25">
      <c r="A105" s="100"/>
      <c r="B105" s="100"/>
      <c r="C105" s="100"/>
      <c r="D105" s="100"/>
      <c r="E105" s="100"/>
      <c r="F105" s="100"/>
      <c r="G105" s="103"/>
      <c r="H105" s="186"/>
      <c r="I105" s="195">
        <v>0.51</v>
      </c>
      <c r="J105" s="107">
        <v>0.49</v>
      </c>
      <c r="K105" s="107"/>
      <c r="L105" s="107"/>
      <c r="M105" s="187"/>
      <c r="N105" s="169">
        <f t="shared" si="14"/>
        <v>1</v>
      </c>
      <c r="O105" s="144">
        <v>1</v>
      </c>
      <c r="P105" s="145">
        <v>15</v>
      </c>
      <c r="Q105" s="113">
        <v>15</v>
      </c>
      <c r="R105" s="113"/>
      <c r="S105" s="113"/>
      <c r="T105" s="146"/>
      <c r="U105" s="148">
        <f t="shared" si="17"/>
        <v>15</v>
      </c>
      <c r="V105" s="149">
        <f t="shared" si="18"/>
        <v>15</v>
      </c>
      <c r="W105" s="189"/>
      <c r="X105" s="199"/>
      <c r="Y105" s="151"/>
      <c r="Z105" s="190"/>
      <c r="AA105" s="153"/>
      <c r="AB105" s="154">
        <f t="shared" si="19"/>
        <v>0</v>
      </c>
      <c r="AC105" s="149">
        <f t="shared" si="20"/>
        <v>0</v>
      </c>
      <c r="AD105" s="125">
        <v>2</v>
      </c>
      <c r="AE105" s="148">
        <f t="shared" si="21"/>
        <v>2</v>
      </c>
      <c r="AF105" s="156"/>
      <c r="AG105" s="156"/>
      <c r="AH105" s="113">
        <f t="shared" si="22"/>
        <v>17</v>
      </c>
      <c r="AI105" s="157">
        <v>65</v>
      </c>
      <c r="AJ105" s="113">
        <f t="shared" si="23"/>
        <v>82</v>
      </c>
      <c r="AK105" s="113">
        <f t="shared" si="24"/>
        <v>82</v>
      </c>
      <c r="AL105" s="158">
        <f t="shared" si="25"/>
        <v>1.02</v>
      </c>
      <c r="AM105" s="159"/>
      <c r="AN105" s="160">
        <f t="shared" si="28"/>
        <v>1</v>
      </c>
      <c r="AO105" s="160">
        <f t="shared" si="28"/>
        <v>2</v>
      </c>
      <c r="AP105" s="133"/>
      <c r="AQ105" s="134"/>
      <c r="AR105" s="161"/>
      <c r="AS105" s="161"/>
      <c r="AT105" s="161"/>
      <c r="AU105" s="161"/>
      <c r="AV105" s="162"/>
      <c r="AW105" s="137">
        <f t="shared" si="26"/>
        <v>0</v>
      </c>
      <c r="AX105" s="137">
        <f t="shared" si="27"/>
        <v>0</v>
      </c>
    </row>
    <row r="106" ht="46.5" customHeight="1" spans="1:50" s="97" customFormat="1" x14ac:dyDescent="0.25">
      <c r="A106" s="100"/>
      <c r="B106" s="100"/>
      <c r="C106" s="100"/>
      <c r="D106" s="100"/>
      <c r="E106" s="100"/>
      <c r="F106" s="100"/>
      <c r="G106" s="103"/>
      <c r="H106" s="186"/>
      <c r="I106" s="195">
        <v>0.51</v>
      </c>
      <c r="J106" s="107">
        <v>0.49</v>
      </c>
      <c r="K106" s="107"/>
      <c r="L106" s="107"/>
      <c r="M106" s="187"/>
      <c r="N106" s="169">
        <f t="shared" si="14"/>
        <v>1</v>
      </c>
      <c r="O106" s="144">
        <v>1</v>
      </c>
      <c r="P106" s="145">
        <v>15</v>
      </c>
      <c r="Q106" s="113">
        <v>15</v>
      </c>
      <c r="R106" s="113"/>
      <c r="S106" s="113"/>
      <c r="T106" s="146"/>
      <c r="U106" s="148">
        <f t="shared" si="17"/>
        <v>15</v>
      </c>
      <c r="V106" s="149">
        <f t="shared" si="18"/>
        <v>15</v>
      </c>
      <c r="W106" s="189"/>
      <c r="X106" s="199"/>
      <c r="Y106" s="151"/>
      <c r="Z106" s="190"/>
      <c r="AA106" s="153"/>
      <c r="AB106" s="154">
        <f t="shared" si="19"/>
        <v>0</v>
      </c>
      <c r="AC106" s="149">
        <f t="shared" si="20"/>
        <v>0</v>
      </c>
      <c r="AD106" s="125">
        <v>2</v>
      </c>
      <c r="AE106" s="148">
        <f t="shared" si="21"/>
        <v>2</v>
      </c>
      <c r="AF106" s="156"/>
      <c r="AG106" s="156"/>
      <c r="AH106" s="113">
        <f t="shared" si="22"/>
        <v>17</v>
      </c>
      <c r="AI106" s="157">
        <v>65</v>
      </c>
      <c r="AJ106" s="113">
        <f t="shared" si="23"/>
        <v>82</v>
      </c>
      <c r="AK106" s="113">
        <f t="shared" si="24"/>
        <v>82</v>
      </c>
      <c r="AL106" s="158">
        <f t="shared" si="25"/>
        <v>1.02</v>
      </c>
      <c r="AM106" s="159"/>
      <c r="AN106" s="160">
        <f t="shared" si="28"/>
        <v>1</v>
      </c>
      <c r="AO106" s="160">
        <f t="shared" si="28"/>
        <v>2</v>
      </c>
      <c r="AP106" s="133"/>
      <c r="AQ106" s="134"/>
      <c r="AR106" s="161"/>
      <c r="AS106" s="161"/>
      <c r="AT106" s="161"/>
      <c r="AU106" s="161"/>
      <c r="AV106" s="162"/>
      <c r="AW106" s="137">
        <f t="shared" si="26"/>
        <v>0</v>
      </c>
      <c r="AX106" s="137">
        <f t="shared" si="27"/>
        <v>0</v>
      </c>
    </row>
    <row r="107" ht="47.25" customHeight="1" spans="1:50" s="56" customFormat="1" x14ac:dyDescent="0.25">
      <c r="A107" s="100"/>
      <c r="B107" s="100"/>
      <c r="C107" s="100"/>
      <c r="D107" s="100"/>
      <c r="E107" s="100"/>
      <c r="F107" s="100"/>
      <c r="G107" s="103"/>
      <c r="H107" s="186"/>
      <c r="I107" s="195">
        <v>0.51</v>
      </c>
      <c r="J107" s="107">
        <v>0.49</v>
      </c>
      <c r="K107" s="107"/>
      <c r="L107" s="107"/>
      <c r="M107" s="187"/>
      <c r="N107" s="169">
        <f t="shared" ref="N107:N136" si="29">SUM(I107:M107)</f>
        <v>1</v>
      </c>
      <c r="O107" s="144">
        <v>1</v>
      </c>
      <c r="P107" s="145">
        <v>15</v>
      </c>
      <c r="Q107" s="113">
        <v>15</v>
      </c>
      <c r="R107" s="113"/>
      <c r="S107" s="113"/>
      <c r="T107" s="146"/>
      <c r="U107" s="148">
        <f t="shared" si="17"/>
        <v>15</v>
      </c>
      <c r="V107" s="149">
        <f t="shared" si="18"/>
        <v>15</v>
      </c>
      <c r="W107" s="189"/>
      <c r="X107" s="199"/>
      <c r="Y107" s="151"/>
      <c r="Z107" s="190"/>
      <c r="AA107" s="153"/>
      <c r="AB107" s="154">
        <f t="shared" si="19"/>
        <v>0</v>
      </c>
      <c r="AC107" s="149">
        <f t="shared" si="20"/>
        <v>0</v>
      </c>
      <c r="AD107" s="125">
        <v>2</v>
      </c>
      <c r="AE107" s="148">
        <f t="shared" si="21"/>
        <v>2</v>
      </c>
      <c r="AF107" s="156"/>
      <c r="AG107" s="156"/>
      <c r="AH107" s="113">
        <f t="shared" si="22"/>
        <v>17</v>
      </c>
      <c r="AI107" s="157">
        <v>65</v>
      </c>
      <c r="AJ107" s="113">
        <f t="shared" si="23"/>
        <v>82</v>
      </c>
      <c r="AK107" s="113">
        <f t="shared" si="24"/>
        <v>82</v>
      </c>
      <c r="AL107" s="158">
        <f t="shared" si="25"/>
        <v>1.02</v>
      </c>
      <c r="AM107" s="159"/>
      <c r="AN107" s="160">
        <f t="shared" si="28"/>
        <v>1</v>
      </c>
      <c r="AO107" s="160">
        <f t="shared" si="28"/>
        <v>2</v>
      </c>
      <c r="AP107" s="133"/>
      <c r="AQ107" s="134"/>
      <c r="AR107" s="161"/>
      <c r="AS107" s="161"/>
      <c r="AT107" s="161"/>
      <c r="AU107" s="161"/>
      <c r="AV107" s="162"/>
      <c r="AW107" s="137">
        <f t="shared" si="26"/>
        <v>0</v>
      </c>
      <c r="AX107" s="137">
        <f t="shared" si="27"/>
        <v>0</v>
      </c>
    </row>
    <row r="108" ht="57" customHeight="1" spans="1:50" s="97" customFormat="1" x14ac:dyDescent="0.25">
      <c r="A108" s="100"/>
      <c r="B108" s="100"/>
      <c r="C108" s="100"/>
      <c r="D108" s="100"/>
      <c r="E108" s="100"/>
      <c r="F108" s="100"/>
      <c r="G108" s="103"/>
      <c r="H108" s="186"/>
      <c r="I108" s="195">
        <v>0.51</v>
      </c>
      <c r="J108" s="107">
        <v>0.49</v>
      </c>
      <c r="K108" s="107"/>
      <c r="L108" s="107"/>
      <c r="M108" s="187"/>
      <c r="N108" s="169">
        <f t="shared" si="29"/>
        <v>1</v>
      </c>
      <c r="O108" s="144">
        <v>1</v>
      </c>
      <c r="P108" s="145">
        <v>15</v>
      </c>
      <c r="Q108" s="113">
        <v>15</v>
      </c>
      <c r="R108" s="113"/>
      <c r="S108" s="113"/>
      <c r="T108" s="146"/>
      <c r="U108" s="148">
        <f t="shared" si="17"/>
        <v>15</v>
      </c>
      <c r="V108" s="149">
        <f t="shared" si="18"/>
        <v>15</v>
      </c>
      <c r="W108" s="189"/>
      <c r="X108" s="199"/>
      <c r="Y108" s="151"/>
      <c r="Z108" s="190"/>
      <c r="AA108" s="153"/>
      <c r="AB108" s="154">
        <f t="shared" si="19"/>
        <v>0</v>
      </c>
      <c r="AC108" s="149">
        <f t="shared" si="20"/>
        <v>0</v>
      </c>
      <c r="AD108" s="125">
        <v>2</v>
      </c>
      <c r="AE108" s="148">
        <f t="shared" si="21"/>
        <v>2</v>
      </c>
      <c r="AF108" s="156"/>
      <c r="AG108" s="156"/>
      <c r="AH108" s="113">
        <f t="shared" si="22"/>
        <v>17</v>
      </c>
      <c r="AI108" s="157">
        <v>65</v>
      </c>
      <c r="AJ108" s="113">
        <f t="shared" si="23"/>
        <v>82</v>
      </c>
      <c r="AK108" s="113">
        <f t="shared" si="24"/>
        <v>82</v>
      </c>
      <c r="AL108" s="158">
        <f t="shared" si="25"/>
        <v>1.02</v>
      </c>
      <c r="AM108" s="159"/>
      <c r="AN108" s="160">
        <f t="shared" si="28"/>
        <v>1</v>
      </c>
      <c r="AO108" s="160">
        <f t="shared" si="28"/>
        <v>2</v>
      </c>
      <c r="AP108" s="133"/>
      <c r="AQ108" s="134"/>
      <c r="AR108" s="161"/>
      <c r="AS108" s="161"/>
      <c r="AT108" s="161"/>
      <c r="AU108" s="161"/>
      <c r="AV108" s="162"/>
      <c r="AW108" s="137">
        <f t="shared" si="26"/>
        <v>0</v>
      </c>
      <c r="AX108" s="137">
        <f t="shared" si="27"/>
        <v>0</v>
      </c>
    </row>
    <row r="109" ht="46.5" customHeight="1" spans="1:50" s="97" customFormat="1" x14ac:dyDescent="0.25">
      <c r="A109" s="100"/>
      <c r="B109" s="100"/>
      <c r="C109" s="100"/>
      <c r="D109" s="100"/>
      <c r="E109" s="100"/>
      <c r="F109" s="100"/>
      <c r="G109" s="103"/>
      <c r="H109" s="186"/>
      <c r="I109" s="195">
        <v>0.51</v>
      </c>
      <c r="J109" s="107">
        <v>0.49</v>
      </c>
      <c r="K109" s="107"/>
      <c r="L109" s="107"/>
      <c r="M109" s="187"/>
      <c r="N109" s="169">
        <f t="shared" si="29"/>
        <v>1</v>
      </c>
      <c r="O109" s="144">
        <v>1</v>
      </c>
      <c r="P109" s="145">
        <v>15</v>
      </c>
      <c r="Q109" s="113">
        <v>15</v>
      </c>
      <c r="R109" s="113"/>
      <c r="S109" s="113"/>
      <c r="T109" s="146"/>
      <c r="U109" s="148">
        <f t="shared" si="17"/>
        <v>15</v>
      </c>
      <c r="V109" s="149">
        <f t="shared" si="18"/>
        <v>15</v>
      </c>
      <c r="W109" s="189"/>
      <c r="X109" s="199"/>
      <c r="Y109" s="151"/>
      <c r="Z109" s="190"/>
      <c r="AA109" s="153"/>
      <c r="AB109" s="154">
        <f t="shared" si="19"/>
        <v>0</v>
      </c>
      <c r="AC109" s="149">
        <f t="shared" si="20"/>
        <v>0</v>
      </c>
      <c r="AD109" s="125">
        <v>2</v>
      </c>
      <c r="AE109" s="148">
        <f t="shared" si="21"/>
        <v>2</v>
      </c>
      <c r="AF109" s="156"/>
      <c r="AG109" s="156"/>
      <c r="AH109" s="113">
        <f t="shared" si="22"/>
        <v>17</v>
      </c>
      <c r="AI109" s="157">
        <v>65</v>
      </c>
      <c r="AJ109" s="113">
        <f t="shared" si="23"/>
        <v>82</v>
      </c>
      <c r="AK109" s="113">
        <f t="shared" si="24"/>
        <v>82</v>
      </c>
      <c r="AL109" s="158">
        <f t="shared" si="25"/>
        <v>1.02</v>
      </c>
      <c r="AM109" s="159"/>
      <c r="AN109" s="160">
        <f t="shared" si="28"/>
        <v>1</v>
      </c>
      <c r="AO109" s="160">
        <f t="shared" si="28"/>
        <v>2</v>
      </c>
      <c r="AP109" s="133"/>
      <c r="AQ109" s="134"/>
      <c r="AR109" s="161"/>
      <c r="AS109" s="161"/>
      <c r="AT109" s="161"/>
      <c r="AU109" s="161"/>
      <c r="AV109" s="162"/>
      <c r="AW109" s="137">
        <f t="shared" si="26"/>
        <v>0</v>
      </c>
      <c r="AX109" s="137">
        <f t="shared" si="27"/>
        <v>0</v>
      </c>
    </row>
    <row r="110" ht="47.25" customHeight="1" spans="1:50" s="56" customFormat="1" x14ac:dyDescent="0.25">
      <c r="A110" s="100"/>
      <c r="B110" s="100"/>
      <c r="C110" s="100"/>
      <c r="D110" s="100"/>
      <c r="E110" s="100"/>
      <c r="F110" s="100"/>
      <c r="G110" s="103"/>
      <c r="H110" s="186"/>
      <c r="I110" s="195">
        <v>0.51</v>
      </c>
      <c r="J110" s="107">
        <v>0.49</v>
      </c>
      <c r="K110" s="107"/>
      <c r="L110" s="107"/>
      <c r="M110" s="187"/>
      <c r="N110" s="169">
        <f t="shared" si="29"/>
        <v>1</v>
      </c>
      <c r="O110" s="144">
        <v>1</v>
      </c>
      <c r="P110" s="145">
        <v>15</v>
      </c>
      <c r="Q110" s="113">
        <v>15</v>
      </c>
      <c r="R110" s="113"/>
      <c r="S110" s="113"/>
      <c r="T110" s="146"/>
      <c r="U110" s="148">
        <f t="shared" si="17"/>
        <v>15</v>
      </c>
      <c r="V110" s="149">
        <f t="shared" si="18"/>
        <v>15</v>
      </c>
      <c r="W110" s="189"/>
      <c r="X110" s="199"/>
      <c r="Y110" s="151"/>
      <c r="Z110" s="190"/>
      <c r="AA110" s="153"/>
      <c r="AB110" s="154">
        <f t="shared" si="19"/>
        <v>0</v>
      </c>
      <c r="AC110" s="149">
        <f t="shared" si="20"/>
        <v>0</v>
      </c>
      <c r="AD110" s="125">
        <v>2</v>
      </c>
      <c r="AE110" s="148">
        <f t="shared" si="21"/>
        <v>2</v>
      </c>
      <c r="AF110" s="156"/>
      <c r="AG110" s="156"/>
      <c r="AH110" s="113">
        <f t="shared" si="22"/>
        <v>17</v>
      </c>
      <c r="AI110" s="157">
        <v>65</v>
      </c>
      <c r="AJ110" s="113">
        <f t="shared" si="23"/>
        <v>82</v>
      </c>
      <c r="AK110" s="113">
        <f t="shared" si="24"/>
        <v>82</v>
      </c>
      <c r="AL110" s="158">
        <f t="shared" si="25"/>
        <v>1.02</v>
      </c>
      <c r="AM110" s="159"/>
      <c r="AN110" s="160">
        <f t="shared" si="28"/>
        <v>1</v>
      </c>
      <c r="AO110" s="160">
        <f t="shared" si="28"/>
        <v>2</v>
      </c>
      <c r="AP110" s="133"/>
      <c r="AQ110" s="134"/>
      <c r="AR110" s="161"/>
      <c r="AS110" s="161"/>
      <c r="AT110" s="161"/>
      <c r="AU110" s="161"/>
      <c r="AV110" s="162"/>
      <c r="AW110" s="137">
        <f t="shared" si="26"/>
        <v>0</v>
      </c>
      <c r="AX110" s="137">
        <f t="shared" si="27"/>
        <v>0</v>
      </c>
    </row>
    <row r="111" ht="46.5" customHeight="1" spans="1:50" s="97" customFormat="1" x14ac:dyDescent="0.25">
      <c r="A111" s="100"/>
      <c r="B111" s="100"/>
      <c r="C111" s="100"/>
      <c r="D111" s="100"/>
      <c r="E111" s="100"/>
      <c r="F111" s="100"/>
      <c r="G111" s="103"/>
      <c r="H111" s="186"/>
      <c r="I111" s="195">
        <v>0.51</v>
      </c>
      <c r="J111" s="107">
        <v>0.49</v>
      </c>
      <c r="K111" s="107"/>
      <c r="L111" s="107"/>
      <c r="M111" s="187"/>
      <c r="N111" s="169">
        <f t="shared" si="29"/>
        <v>1</v>
      </c>
      <c r="O111" s="144">
        <v>1</v>
      </c>
      <c r="P111" s="145">
        <v>15</v>
      </c>
      <c r="Q111" s="113">
        <v>15</v>
      </c>
      <c r="R111" s="113"/>
      <c r="S111" s="113"/>
      <c r="T111" s="146"/>
      <c r="U111" s="148">
        <f t="shared" si="17"/>
        <v>15</v>
      </c>
      <c r="V111" s="149">
        <f t="shared" si="18"/>
        <v>15</v>
      </c>
      <c r="W111" s="189"/>
      <c r="X111" s="199"/>
      <c r="Y111" s="151"/>
      <c r="Z111" s="190"/>
      <c r="AA111" s="153"/>
      <c r="AB111" s="154">
        <f t="shared" si="19"/>
        <v>0</v>
      </c>
      <c r="AC111" s="149">
        <f t="shared" si="20"/>
        <v>0</v>
      </c>
      <c r="AD111" s="125">
        <v>2</v>
      </c>
      <c r="AE111" s="148">
        <f t="shared" si="21"/>
        <v>2</v>
      </c>
      <c r="AF111" s="156"/>
      <c r="AG111" s="156"/>
      <c r="AH111" s="113">
        <f t="shared" si="22"/>
        <v>17</v>
      </c>
      <c r="AI111" s="157">
        <v>65</v>
      </c>
      <c r="AJ111" s="113">
        <f t="shared" si="23"/>
        <v>82</v>
      </c>
      <c r="AK111" s="113">
        <f t="shared" si="24"/>
        <v>82</v>
      </c>
      <c r="AL111" s="158">
        <f t="shared" si="25"/>
        <v>1.02</v>
      </c>
      <c r="AM111" s="159"/>
      <c r="AN111" s="160">
        <f t="shared" ref="AN111:AO130" si="30">100%+AM111</f>
        <v>1</v>
      </c>
      <c r="AO111" s="160">
        <f t="shared" si="30"/>
        <v>2</v>
      </c>
      <c r="AP111" s="133"/>
      <c r="AQ111" s="134"/>
      <c r="AR111" s="161"/>
      <c r="AS111" s="161"/>
      <c r="AT111" s="161"/>
      <c r="AU111" s="161"/>
      <c r="AV111" s="162"/>
      <c r="AW111" s="137">
        <f t="shared" si="26"/>
        <v>0</v>
      </c>
      <c r="AX111" s="137">
        <f t="shared" si="27"/>
        <v>0</v>
      </c>
    </row>
    <row r="112" ht="46.5" customHeight="1" spans="1:50" s="97" customFormat="1" x14ac:dyDescent="0.25">
      <c r="A112" s="100"/>
      <c r="B112" s="100"/>
      <c r="C112" s="100"/>
      <c r="D112" s="100"/>
      <c r="E112" s="100"/>
      <c r="F112" s="100"/>
      <c r="G112" s="103"/>
      <c r="H112" s="186"/>
      <c r="I112" s="195">
        <v>0.51</v>
      </c>
      <c r="J112" s="107">
        <v>0.49</v>
      </c>
      <c r="K112" s="107"/>
      <c r="L112" s="107"/>
      <c r="M112" s="187"/>
      <c r="N112" s="169">
        <f t="shared" si="29"/>
        <v>1</v>
      </c>
      <c r="O112" s="144">
        <v>1</v>
      </c>
      <c r="P112" s="145">
        <v>15</v>
      </c>
      <c r="Q112" s="113">
        <v>15</v>
      </c>
      <c r="R112" s="113"/>
      <c r="S112" s="113"/>
      <c r="T112" s="146"/>
      <c r="U112" s="148">
        <f t="shared" si="17"/>
        <v>15</v>
      </c>
      <c r="V112" s="149">
        <f t="shared" si="18"/>
        <v>15</v>
      </c>
      <c r="W112" s="189"/>
      <c r="X112" s="199"/>
      <c r="Y112" s="151"/>
      <c r="Z112" s="190"/>
      <c r="AA112" s="153"/>
      <c r="AB112" s="154">
        <f t="shared" si="19"/>
        <v>0</v>
      </c>
      <c r="AC112" s="149">
        <f t="shared" si="20"/>
        <v>0</v>
      </c>
      <c r="AD112" s="125">
        <v>2</v>
      </c>
      <c r="AE112" s="148">
        <f t="shared" si="21"/>
        <v>2</v>
      </c>
      <c r="AF112" s="156"/>
      <c r="AG112" s="156"/>
      <c r="AH112" s="113">
        <f t="shared" si="22"/>
        <v>17</v>
      </c>
      <c r="AI112" s="157">
        <v>65</v>
      </c>
      <c r="AJ112" s="113">
        <f t="shared" si="23"/>
        <v>82</v>
      </c>
      <c r="AK112" s="113">
        <f t="shared" si="24"/>
        <v>82</v>
      </c>
      <c r="AL112" s="158">
        <f t="shared" si="25"/>
        <v>1.02</v>
      </c>
      <c r="AM112" s="159"/>
      <c r="AN112" s="160">
        <f t="shared" si="30"/>
        <v>1</v>
      </c>
      <c r="AO112" s="160">
        <f t="shared" si="30"/>
        <v>2</v>
      </c>
      <c r="AP112" s="133"/>
      <c r="AQ112" s="134"/>
      <c r="AR112" s="161"/>
      <c r="AS112" s="161"/>
      <c r="AT112" s="161"/>
      <c r="AU112" s="161"/>
      <c r="AV112" s="162"/>
      <c r="AW112" s="137">
        <f t="shared" si="26"/>
        <v>0</v>
      </c>
      <c r="AX112" s="137">
        <f t="shared" si="27"/>
        <v>0</v>
      </c>
    </row>
    <row r="113" ht="46.5" customHeight="1" spans="1:50" s="97" customFormat="1" x14ac:dyDescent="0.25">
      <c r="A113" s="100"/>
      <c r="B113" s="100"/>
      <c r="C113" s="100"/>
      <c r="D113" s="100"/>
      <c r="E113" s="100"/>
      <c r="F113" s="100"/>
      <c r="G113" s="103"/>
      <c r="H113" s="186"/>
      <c r="I113" s="195">
        <v>0.51</v>
      </c>
      <c r="J113" s="107">
        <v>0.49</v>
      </c>
      <c r="K113" s="107"/>
      <c r="L113" s="107"/>
      <c r="M113" s="187"/>
      <c r="N113" s="169">
        <f t="shared" si="29"/>
        <v>1</v>
      </c>
      <c r="O113" s="144">
        <v>1</v>
      </c>
      <c r="P113" s="145">
        <v>15</v>
      </c>
      <c r="Q113" s="113">
        <v>15</v>
      </c>
      <c r="R113" s="113"/>
      <c r="S113" s="113"/>
      <c r="T113" s="146"/>
      <c r="U113" s="148">
        <f t="shared" si="17"/>
        <v>15</v>
      </c>
      <c r="V113" s="149">
        <f t="shared" si="18"/>
        <v>15</v>
      </c>
      <c r="W113" s="189"/>
      <c r="X113" s="199"/>
      <c r="Y113" s="151"/>
      <c r="Z113" s="190"/>
      <c r="AA113" s="153"/>
      <c r="AB113" s="154">
        <f t="shared" si="19"/>
        <v>0</v>
      </c>
      <c r="AC113" s="149">
        <f t="shared" si="20"/>
        <v>0</v>
      </c>
      <c r="AD113" s="125">
        <v>2</v>
      </c>
      <c r="AE113" s="148">
        <f t="shared" si="21"/>
        <v>2</v>
      </c>
      <c r="AF113" s="156"/>
      <c r="AG113" s="156"/>
      <c r="AH113" s="113">
        <f t="shared" si="22"/>
        <v>17</v>
      </c>
      <c r="AI113" s="157">
        <v>65</v>
      </c>
      <c r="AJ113" s="113">
        <f t="shared" si="23"/>
        <v>82</v>
      </c>
      <c r="AK113" s="113">
        <f t="shared" si="24"/>
        <v>82</v>
      </c>
      <c r="AL113" s="158">
        <f t="shared" si="25"/>
        <v>1.02</v>
      </c>
      <c r="AM113" s="159"/>
      <c r="AN113" s="160">
        <f t="shared" si="30"/>
        <v>1</v>
      </c>
      <c r="AO113" s="160">
        <f t="shared" si="30"/>
        <v>2</v>
      </c>
      <c r="AP113" s="133"/>
      <c r="AQ113" s="134"/>
      <c r="AR113" s="161"/>
      <c r="AS113" s="161"/>
      <c r="AT113" s="161"/>
      <c r="AU113" s="161"/>
      <c r="AV113" s="162"/>
      <c r="AW113" s="137">
        <f t="shared" si="26"/>
        <v>0</v>
      </c>
      <c r="AX113" s="137">
        <f t="shared" si="27"/>
        <v>0</v>
      </c>
    </row>
    <row r="114" ht="53.25" customHeight="1" spans="1:50" s="97" customFormat="1" x14ac:dyDescent="0.25">
      <c r="A114" s="100"/>
      <c r="B114" s="100"/>
      <c r="C114" s="100"/>
      <c r="D114" s="100"/>
      <c r="E114" s="100"/>
      <c r="F114" s="100"/>
      <c r="G114" s="103"/>
      <c r="H114" s="186"/>
      <c r="I114" s="195">
        <v>0.51</v>
      </c>
      <c r="J114" s="107">
        <v>0.49</v>
      </c>
      <c r="K114" s="107"/>
      <c r="L114" s="107"/>
      <c r="M114" s="187"/>
      <c r="N114" s="169">
        <f t="shared" si="29"/>
        <v>1</v>
      </c>
      <c r="O114" s="144">
        <v>1</v>
      </c>
      <c r="P114" s="145">
        <v>15</v>
      </c>
      <c r="Q114" s="113">
        <v>15</v>
      </c>
      <c r="R114" s="113"/>
      <c r="S114" s="113"/>
      <c r="T114" s="146"/>
      <c r="U114" s="148">
        <f t="shared" si="17"/>
        <v>15</v>
      </c>
      <c r="V114" s="149">
        <f t="shared" si="18"/>
        <v>15</v>
      </c>
      <c r="W114" s="189"/>
      <c r="X114" s="199"/>
      <c r="Y114" s="151"/>
      <c r="Z114" s="190"/>
      <c r="AA114" s="153"/>
      <c r="AB114" s="154">
        <f t="shared" si="19"/>
        <v>0</v>
      </c>
      <c r="AC114" s="149">
        <f t="shared" si="20"/>
        <v>0</v>
      </c>
      <c r="AD114" s="125">
        <v>2</v>
      </c>
      <c r="AE114" s="148">
        <f t="shared" si="21"/>
        <v>2</v>
      </c>
      <c r="AF114" s="156"/>
      <c r="AG114" s="156"/>
      <c r="AH114" s="113">
        <f t="shared" si="22"/>
        <v>17</v>
      </c>
      <c r="AI114" s="157">
        <v>65</v>
      </c>
      <c r="AJ114" s="113">
        <f t="shared" si="23"/>
        <v>82</v>
      </c>
      <c r="AK114" s="113">
        <f t="shared" si="24"/>
        <v>82</v>
      </c>
      <c r="AL114" s="158">
        <f t="shared" si="25"/>
        <v>1.02</v>
      </c>
      <c r="AM114" s="159"/>
      <c r="AN114" s="160">
        <f t="shared" si="30"/>
        <v>1</v>
      </c>
      <c r="AO114" s="160">
        <f t="shared" si="30"/>
        <v>2</v>
      </c>
      <c r="AP114" s="133"/>
      <c r="AQ114" s="134"/>
      <c r="AR114" s="161"/>
      <c r="AS114" s="161"/>
      <c r="AT114" s="161"/>
      <c r="AU114" s="161"/>
      <c r="AV114" s="162"/>
      <c r="AW114" s="137">
        <f t="shared" si="26"/>
        <v>0</v>
      </c>
      <c r="AX114" s="137">
        <f t="shared" si="27"/>
        <v>0</v>
      </c>
    </row>
    <row r="115" ht="46.5" customHeight="1" spans="1:50" s="97" customFormat="1" x14ac:dyDescent="0.25">
      <c r="A115" s="100"/>
      <c r="B115" s="100"/>
      <c r="C115" s="100"/>
      <c r="D115" s="100"/>
      <c r="E115" s="100"/>
      <c r="F115" s="100"/>
      <c r="G115" s="103"/>
      <c r="H115" s="186"/>
      <c r="I115" s="195">
        <v>0.51</v>
      </c>
      <c r="J115" s="107">
        <v>0.49</v>
      </c>
      <c r="K115" s="107"/>
      <c r="L115" s="107"/>
      <c r="M115" s="187"/>
      <c r="N115" s="169">
        <f t="shared" si="29"/>
        <v>1</v>
      </c>
      <c r="O115" s="144">
        <v>1</v>
      </c>
      <c r="P115" s="145">
        <v>15</v>
      </c>
      <c r="Q115" s="113">
        <v>15</v>
      </c>
      <c r="R115" s="113"/>
      <c r="S115" s="113"/>
      <c r="T115" s="146"/>
      <c r="U115" s="148">
        <f t="shared" si="17"/>
        <v>15</v>
      </c>
      <c r="V115" s="149">
        <f t="shared" si="18"/>
        <v>15</v>
      </c>
      <c r="W115" s="189"/>
      <c r="X115" s="199"/>
      <c r="Y115" s="151"/>
      <c r="Z115" s="190"/>
      <c r="AA115" s="153"/>
      <c r="AB115" s="154">
        <f t="shared" si="19"/>
        <v>0</v>
      </c>
      <c r="AC115" s="149">
        <f t="shared" si="20"/>
        <v>0</v>
      </c>
      <c r="AD115" s="125">
        <v>2</v>
      </c>
      <c r="AE115" s="148">
        <f t="shared" si="21"/>
        <v>2</v>
      </c>
      <c r="AF115" s="156"/>
      <c r="AG115" s="156"/>
      <c r="AH115" s="113">
        <f t="shared" si="22"/>
        <v>17</v>
      </c>
      <c r="AI115" s="157">
        <v>65</v>
      </c>
      <c r="AJ115" s="113">
        <f t="shared" si="23"/>
        <v>82</v>
      </c>
      <c r="AK115" s="113">
        <f t="shared" si="24"/>
        <v>82</v>
      </c>
      <c r="AL115" s="158">
        <f t="shared" si="25"/>
        <v>1.02</v>
      </c>
      <c r="AM115" s="159"/>
      <c r="AN115" s="160">
        <f t="shared" si="30"/>
        <v>1</v>
      </c>
      <c r="AO115" s="160">
        <f t="shared" si="30"/>
        <v>2</v>
      </c>
      <c r="AP115" s="133"/>
      <c r="AQ115" s="134"/>
      <c r="AR115" s="161"/>
      <c r="AS115" s="161"/>
      <c r="AT115" s="161"/>
      <c r="AU115" s="161"/>
      <c r="AV115" s="162"/>
      <c r="AW115" s="137">
        <f t="shared" si="26"/>
        <v>0</v>
      </c>
      <c r="AX115" s="137">
        <f t="shared" si="27"/>
        <v>0</v>
      </c>
    </row>
    <row r="116" ht="46.5" customHeight="1" spans="1:50" s="97" customFormat="1" x14ac:dyDescent="0.25">
      <c r="A116" s="100"/>
      <c r="B116" s="100"/>
      <c r="C116" s="100"/>
      <c r="D116" s="100"/>
      <c r="E116" s="100"/>
      <c r="F116" s="100"/>
      <c r="G116" s="103"/>
      <c r="H116" s="186"/>
      <c r="I116" s="195">
        <v>0.51</v>
      </c>
      <c r="J116" s="107">
        <v>0.49</v>
      </c>
      <c r="K116" s="107"/>
      <c r="L116" s="107"/>
      <c r="M116" s="187"/>
      <c r="N116" s="169">
        <f t="shared" si="29"/>
        <v>1</v>
      </c>
      <c r="O116" s="144">
        <v>1</v>
      </c>
      <c r="P116" s="145">
        <v>15</v>
      </c>
      <c r="Q116" s="113">
        <v>15</v>
      </c>
      <c r="R116" s="113"/>
      <c r="S116" s="113"/>
      <c r="T116" s="146"/>
      <c r="U116" s="148">
        <f t="shared" si="17"/>
        <v>15</v>
      </c>
      <c r="V116" s="149">
        <f t="shared" si="18"/>
        <v>15</v>
      </c>
      <c r="W116" s="189"/>
      <c r="X116" s="199"/>
      <c r="Y116" s="151"/>
      <c r="Z116" s="190"/>
      <c r="AA116" s="153"/>
      <c r="AB116" s="154">
        <f t="shared" si="19"/>
        <v>0</v>
      </c>
      <c r="AC116" s="149">
        <f t="shared" si="20"/>
        <v>0</v>
      </c>
      <c r="AD116" s="125">
        <v>2</v>
      </c>
      <c r="AE116" s="148">
        <f t="shared" si="21"/>
        <v>2</v>
      </c>
      <c r="AF116" s="156"/>
      <c r="AG116" s="156"/>
      <c r="AH116" s="113">
        <f t="shared" si="22"/>
        <v>17</v>
      </c>
      <c r="AI116" s="157">
        <v>65</v>
      </c>
      <c r="AJ116" s="113">
        <f t="shared" si="23"/>
        <v>82</v>
      </c>
      <c r="AK116" s="113">
        <f t="shared" si="24"/>
        <v>82</v>
      </c>
      <c r="AL116" s="158">
        <f t="shared" si="25"/>
        <v>1.02</v>
      </c>
      <c r="AM116" s="159"/>
      <c r="AN116" s="160">
        <f t="shared" si="30"/>
        <v>1</v>
      </c>
      <c r="AO116" s="160">
        <f t="shared" si="30"/>
        <v>2</v>
      </c>
      <c r="AP116" s="133"/>
      <c r="AQ116" s="134"/>
      <c r="AR116" s="161"/>
      <c r="AS116" s="161"/>
      <c r="AT116" s="161"/>
      <c r="AU116" s="161"/>
      <c r="AV116" s="162"/>
      <c r="AW116" s="137">
        <f t="shared" si="26"/>
        <v>0</v>
      </c>
      <c r="AX116" s="137">
        <f t="shared" si="27"/>
        <v>0</v>
      </c>
    </row>
    <row r="117" ht="46.5" customHeight="1" spans="1:50" s="97" customFormat="1" x14ac:dyDescent="0.25">
      <c r="A117" s="100"/>
      <c r="B117" s="100"/>
      <c r="C117" s="100"/>
      <c r="D117" s="100"/>
      <c r="E117" s="100"/>
      <c r="F117" s="100"/>
      <c r="G117" s="103"/>
      <c r="H117" s="186"/>
      <c r="I117" s="195">
        <v>0.51</v>
      </c>
      <c r="J117" s="107">
        <v>0.49</v>
      </c>
      <c r="K117" s="107"/>
      <c r="L117" s="107"/>
      <c r="M117" s="187"/>
      <c r="N117" s="169">
        <f t="shared" si="29"/>
        <v>1</v>
      </c>
      <c r="O117" s="144">
        <v>1</v>
      </c>
      <c r="P117" s="145">
        <v>15</v>
      </c>
      <c r="Q117" s="113">
        <v>15</v>
      </c>
      <c r="R117" s="113"/>
      <c r="S117" s="113"/>
      <c r="T117" s="146"/>
      <c r="U117" s="148">
        <f t="shared" si="17"/>
        <v>15</v>
      </c>
      <c r="V117" s="149">
        <f t="shared" si="18"/>
        <v>15</v>
      </c>
      <c r="W117" s="189"/>
      <c r="X117" s="199"/>
      <c r="Y117" s="151"/>
      <c r="Z117" s="190"/>
      <c r="AA117" s="153"/>
      <c r="AB117" s="154">
        <f t="shared" si="19"/>
        <v>0</v>
      </c>
      <c r="AC117" s="149">
        <f t="shared" si="20"/>
        <v>0</v>
      </c>
      <c r="AD117" s="125">
        <v>2</v>
      </c>
      <c r="AE117" s="148">
        <f t="shared" si="21"/>
        <v>2</v>
      </c>
      <c r="AF117" s="156"/>
      <c r="AG117" s="156"/>
      <c r="AH117" s="113">
        <f t="shared" si="22"/>
        <v>17</v>
      </c>
      <c r="AI117" s="157">
        <v>65</v>
      </c>
      <c r="AJ117" s="113">
        <f t="shared" si="23"/>
        <v>82</v>
      </c>
      <c r="AK117" s="113">
        <f t="shared" si="24"/>
        <v>82</v>
      </c>
      <c r="AL117" s="158">
        <f t="shared" si="25"/>
        <v>1.02</v>
      </c>
      <c r="AM117" s="159"/>
      <c r="AN117" s="160">
        <f t="shared" si="30"/>
        <v>1</v>
      </c>
      <c r="AO117" s="160">
        <f t="shared" si="30"/>
        <v>2</v>
      </c>
      <c r="AP117" s="133"/>
      <c r="AQ117" s="134"/>
      <c r="AR117" s="161"/>
      <c r="AS117" s="161"/>
      <c r="AT117" s="161"/>
      <c r="AU117" s="161"/>
      <c r="AV117" s="162"/>
      <c r="AW117" s="137">
        <f t="shared" si="26"/>
        <v>0</v>
      </c>
      <c r="AX117" s="137">
        <f t="shared" si="27"/>
        <v>0</v>
      </c>
    </row>
    <row r="118" ht="47.25" customHeight="1" spans="1:50" s="56" customFormat="1" x14ac:dyDescent="0.25">
      <c r="A118" s="100"/>
      <c r="B118" s="100"/>
      <c r="C118" s="100"/>
      <c r="D118" s="100"/>
      <c r="E118" s="100"/>
      <c r="F118" s="100"/>
      <c r="G118" s="103"/>
      <c r="H118" s="186"/>
      <c r="I118" s="195">
        <v>0.51</v>
      </c>
      <c r="J118" s="107">
        <v>0.49</v>
      </c>
      <c r="K118" s="107"/>
      <c r="L118" s="107"/>
      <c r="M118" s="187"/>
      <c r="N118" s="169">
        <f t="shared" si="29"/>
        <v>1</v>
      </c>
      <c r="O118" s="144">
        <v>1</v>
      </c>
      <c r="P118" s="145">
        <v>15</v>
      </c>
      <c r="Q118" s="113">
        <v>15</v>
      </c>
      <c r="R118" s="113"/>
      <c r="S118" s="113"/>
      <c r="T118" s="146"/>
      <c r="U118" s="148">
        <f t="shared" si="17"/>
        <v>15</v>
      </c>
      <c r="V118" s="149">
        <f t="shared" si="18"/>
        <v>15</v>
      </c>
      <c r="W118" s="189"/>
      <c r="X118" s="199"/>
      <c r="Y118" s="151"/>
      <c r="Z118" s="190"/>
      <c r="AA118" s="153"/>
      <c r="AB118" s="154">
        <f t="shared" si="19"/>
        <v>0</v>
      </c>
      <c r="AC118" s="149">
        <f t="shared" si="20"/>
        <v>0</v>
      </c>
      <c r="AD118" s="125">
        <v>2</v>
      </c>
      <c r="AE118" s="148">
        <f t="shared" si="21"/>
        <v>2</v>
      </c>
      <c r="AF118" s="156"/>
      <c r="AG118" s="156"/>
      <c r="AH118" s="113">
        <f t="shared" si="22"/>
        <v>17</v>
      </c>
      <c r="AI118" s="157">
        <v>65</v>
      </c>
      <c r="AJ118" s="113">
        <f t="shared" si="23"/>
        <v>82</v>
      </c>
      <c r="AK118" s="113">
        <f t="shared" si="24"/>
        <v>82</v>
      </c>
      <c r="AL118" s="158">
        <f t="shared" si="25"/>
        <v>1.02</v>
      </c>
      <c r="AM118" s="159"/>
      <c r="AN118" s="160">
        <f t="shared" si="30"/>
        <v>1</v>
      </c>
      <c r="AO118" s="160">
        <f t="shared" si="30"/>
        <v>2</v>
      </c>
      <c r="AP118" s="133"/>
      <c r="AQ118" s="134"/>
      <c r="AR118" s="161"/>
      <c r="AS118" s="161"/>
      <c r="AT118" s="161"/>
      <c r="AU118" s="161"/>
      <c r="AV118" s="162"/>
      <c r="AW118" s="137">
        <f t="shared" si="26"/>
        <v>0</v>
      </c>
      <c r="AX118" s="137">
        <f t="shared" si="27"/>
        <v>0</v>
      </c>
    </row>
    <row r="119" ht="47.25" customHeight="1" spans="1:50" s="56" customFormat="1" x14ac:dyDescent="0.25">
      <c r="A119" s="100"/>
      <c r="B119" s="100"/>
      <c r="C119" s="100"/>
      <c r="D119" s="100"/>
      <c r="E119" s="100"/>
      <c r="F119" s="100"/>
      <c r="G119" s="103"/>
      <c r="H119" s="186"/>
      <c r="I119" s="195">
        <v>0.51</v>
      </c>
      <c r="J119" s="107">
        <v>0.49</v>
      </c>
      <c r="K119" s="107"/>
      <c r="L119" s="107"/>
      <c r="M119" s="187"/>
      <c r="N119" s="169">
        <f t="shared" si="29"/>
        <v>1</v>
      </c>
      <c r="O119" s="144">
        <v>1</v>
      </c>
      <c r="P119" s="145">
        <v>15</v>
      </c>
      <c r="Q119" s="113">
        <v>15</v>
      </c>
      <c r="R119" s="113"/>
      <c r="S119" s="113"/>
      <c r="T119" s="146"/>
      <c r="U119" s="148">
        <f t="shared" si="17"/>
        <v>15</v>
      </c>
      <c r="V119" s="149">
        <f t="shared" si="18"/>
        <v>15</v>
      </c>
      <c r="W119" s="189"/>
      <c r="X119" s="199"/>
      <c r="Y119" s="151"/>
      <c r="Z119" s="190"/>
      <c r="AA119" s="153"/>
      <c r="AB119" s="154">
        <f t="shared" si="19"/>
        <v>0</v>
      </c>
      <c r="AC119" s="149">
        <f t="shared" si="20"/>
        <v>0</v>
      </c>
      <c r="AD119" s="125">
        <v>2</v>
      </c>
      <c r="AE119" s="148">
        <f t="shared" si="21"/>
        <v>2</v>
      </c>
      <c r="AF119" s="156"/>
      <c r="AG119" s="156"/>
      <c r="AH119" s="113">
        <f t="shared" si="22"/>
        <v>17</v>
      </c>
      <c r="AI119" s="157">
        <v>65</v>
      </c>
      <c r="AJ119" s="113">
        <f t="shared" si="23"/>
        <v>82</v>
      </c>
      <c r="AK119" s="113">
        <f t="shared" si="24"/>
        <v>82</v>
      </c>
      <c r="AL119" s="158">
        <f t="shared" si="25"/>
        <v>1.02</v>
      </c>
      <c r="AM119" s="159"/>
      <c r="AN119" s="160">
        <f t="shared" si="30"/>
        <v>1</v>
      </c>
      <c r="AO119" s="160">
        <f t="shared" si="30"/>
        <v>2</v>
      </c>
      <c r="AP119" s="133"/>
      <c r="AQ119" s="134"/>
      <c r="AR119" s="161"/>
      <c r="AS119" s="161"/>
      <c r="AT119" s="161"/>
      <c r="AU119" s="161"/>
      <c r="AV119" s="162"/>
      <c r="AW119" s="137">
        <f t="shared" si="26"/>
        <v>0</v>
      </c>
      <c r="AX119" s="137">
        <f t="shared" si="27"/>
        <v>0</v>
      </c>
    </row>
    <row r="120" ht="46.5" customHeight="1" spans="1:50" s="97" customFormat="1" x14ac:dyDescent="0.25">
      <c r="A120" s="100"/>
      <c r="B120" s="100"/>
      <c r="C120" s="100"/>
      <c r="D120" s="100"/>
      <c r="E120" s="100"/>
      <c r="F120" s="100"/>
      <c r="G120" s="103"/>
      <c r="H120" s="186"/>
      <c r="I120" s="195">
        <v>0.51</v>
      </c>
      <c r="J120" s="107">
        <v>0.49</v>
      </c>
      <c r="K120" s="107"/>
      <c r="L120" s="107"/>
      <c r="M120" s="187"/>
      <c r="N120" s="169">
        <f t="shared" si="29"/>
        <v>1</v>
      </c>
      <c r="O120" s="144">
        <v>1</v>
      </c>
      <c r="P120" s="145">
        <v>15</v>
      </c>
      <c r="Q120" s="113">
        <v>15</v>
      </c>
      <c r="R120" s="113"/>
      <c r="S120" s="113"/>
      <c r="T120" s="146"/>
      <c r="U120" s="148">
        <f t="shared" si="17"/>
        <v>15</v>
      </c>
      <c r="V120" s="149">
        <f t="shared" si="18"/>
        <v>15</v>
      </c>
      <c r="W120" s="189"/>
      <c r="X120" s="199"/>
      <c r="Y120" s="151"/>
      <c r="Z120" s="190"/>
      <c r="AA120" s="153"/>
      <c r="AB120" s="154">
        <f t="shared" si="19"/>
        <v>0</v>
      </c>
      <c r="AC120" s="149">
        <f t="shared" si="20"/>
        <v>0</v>
      </c>
      <c r="AD120" s="125">
        <v>2</v>
      </c>
      <c r="AE120" s="148">
        <f t="shared" si="21"/>
        <v>2</v>
      </c>
      <c r="AF120" s="156"/>
      <c r="AG120" s="156"/>
      <c r="AH120" s="113">
        <f t="shared" si="22"/>
        <v>17</v>
      </c>
      <c r="AI120" s="157">
        <v>65</v>
      </c>
      <c r="AJ120" s="113">
        <f t="shared" si="23"/>
        <v>82</v>
      </c>
      <c r="AK120" s="113">
        <f t="shared" si="24"/>
        <v>82</v>
      </c>
      <c r="AL120" s="158">
        <f t="shared" si="25"/>
        <v>1.02</v>
      </c>
      <c r="AM120" s="159"/>
      <c r="AN120" s="160">
        <f t="shared" si="30"/>
        <v>1</v>
      </c>
      <c r="AO120" s="160">
        <f t="shared" si="30"/>
        <v>2</v>
      </c>
      <c r="AP120" s="133"/>
      <c r="AQ120" s="134"/>
      <c r="AR120" s="161"/>
      <c r="AS120" s="161"/>
      <c r="AT120" s="161"/>
      <c r="AU120" s="161"/>
      <c r="AV120" s="162"/>
      <c r="AW120" s="137">
        <f t="shared" si="26"/>
        <v>0</v>
      </c>
      <c r="AX120" s="137">
        <f t="shared" si="27"/>
        <v>0</v>
      </c>
    </row>
    <row r="121" ht="47.25" customHeight="1" spans="1:50" s="56" customFormat="1" x14ac:dyDescent="0.25">
      <c r="A121" s="100"/>
      <c r="B121" s="100"/>
      <c r="C121" s="100"/>
      <c r="D121" s="100"/>
      <c r="E121" s="100"/>
      <c r="F121" s="100"/>
      <c r="G121" s="103"/>
      <c r="H121" s="186"/>
      <c r="I121" s="195">
        <v>0.51</v>
      </c>
      <c r="J121" s="107">
        <v>0.49</v>
      </c>
      <c r="K121" s="107"/>
      <c r="L121" s="107"/>
      <c r="M121" s="187"/>
      <c r="N121" s="169">
        <f t="shared" si="29"/>
        <v>1</v>
      </c>
      <c r="O121" s="144">
        <v>1</v>
      </c>
      <c r="P121" s="145">
        <v>15</v>
      </c>
      <c r="Q121" s="113">
        <v>15</v>
      </c>
      <c r="R121" s="113"/>
      <c r="S121" s="113"/>
      <c r="T121" s="146"/>
      <c r="U121" s="148">
        <f t="shared" si="17"/>
        <v>15</v>
      </c>
      <c r="V121" s="149">
        <f t="shared" si="18"/>
        <v>15</v>
      </c>
      <c r="W121" s="189"/>
      <c r="X121" s="199"/>
      <c r="Y121" s="151"/>
      <c r="Z121" s="190"/>
      <c r="AA121" s="153"/>
      <c r="AB121" s="154">
        <f t="shared" si="19"/>
        <v>0</v>
      </c>
      <c r="AC121" s="149">
        <f t="shared" si="20"/>
        <v>0</v>
      </c>
      <c r="AD121" s="125">
        <v>2</v>
      </c>
      <c r="AE121" s="148">
        <f t="shared" si="21"/>
        <v>2</v>
      </c>
      <c r="AF121" s="156"/>
      <c r="AG121" s="156"/>
      <c r="AH121" s="113">
        <f t="shared" si="22"/>
        <v>17</v>
      </c>
      <c r="AI121" s="157">
        <v>65</v>
      </c>
      <c r="AJ121" s="113">
        <f t="shared" si="23"/>
        <v>82</v>
      </c>
      <c r="AK121" s="113">
        <f t="shared" si="24"/>
        <v>82</v>
      </c>
      <c r="AL121" s="158">
        <f t="shared" si="25"/>
        <v>1.02</v>
      </c>
      <c r="AM121" s="159"/>
      <c r="AN121" s="160">
        <f t="shared" si="30"/>
        <v>1</v>
      </c>
      <c r="AO121" s="160">
        <f t="shared" si="30"/>
        <v>2</v>
      </c>
      <c r="AP121" s="133"/>
      <c r="AQ121" s="134"/>
      <c r="AR121" s="161"/>
      <c r="AS121" s="161"/>
      <c r="AT121" s="161"/>
      <c r="AU121" s="161"/>
      <c r="AV121" s="162"/>
      <c r="AW121" s="137">
        <f t="shared" si="26"/>
        <v>0</v>
      </c>
      <c r="AX121" s="137">
        <f t="shared" si="27"/>
        <v>0</v>
      </c>
    </row>
    <row r="122" ht="47.25" customHeight="1" spans="1:50" s="97" customFormat="1" x14ac:dyDescent="0.25">
      <c r="A122" s="100"/>
      <c r="B122" s="100"/>
      <c r="C122" s="100"/>
      <c r="D122" s="100"/>
      <c r="E122" s="100"/>
      <c r="F122" s="100"/>
      <c r="G122" s="103"/>
      <c r="H122" s="186"/>
      <c r="I122" s="195">
        <v>0.51</v>
      </c>
      <c r="J122" s="107">
        <v>0.49</v>
      </c>
      <c r="K122" s="107"/>
      <c r="L122" s="107"/>
      <c r="M122" s="187"/>
      <c r="N122" s="169">
        <f t="shared" si="29"/>
        <v>1</v>
      </c>
      <c r="O122" s="144">
        <v>1</v>
      </c>
      <c r="P122" s="145">
        <v>15</v>
      </c>
      <c r="Q122" s="113">
        <v>15</v>
      </c>
      <c r="R122" s="113"/>
      <c r="S122" s="113"/>
      <c r="T122" s="146"/>
      <c r="U122" s="148">
        <f t="shared" si="17"/>
        <v>15</v>
      </c>
      <c r="V122" s="149">
        <f t="shared" si="18"/>
        <v>15</v>
      </c>
      <c r="W122" s="189"/>
      <c r="X122" s="199"/>
      <c r="Y122" s="151"/>
      <c r="Z122" s="190"/>
      <c r="AA122" s="153"/>
      <c r="AB122" s="154">
        <f t="shared" si="19"/>
        <v>0</v>
      </c>
      <c r="AC122" s="149">
        <f t="shared" si="20"/>
        <v>0</v>
      </c>
      <c r="AD122" s="125">
        <v>2</v>
      </c>
      <c r="AE122" s="148">
        <f t="shared" si="21"/>
        <v>2</v>
      </c>
      <c r="AF122" s="156"/>
      <c r="AG122" s="156"/>
      <c r="AH122" s="113">
        <f t="shared" si="22"/>
        <v>17</v>
      </c>
      <c r="AI122" s="157">
        <v>65</v>
      </c>
      <c r="AJ122" s="113">
        <f t="shared" si="23"/>
        <v>82</v>
      </c>
      <c r="AK122" s="113">
        <f t="shared" si="24"/>
        <v>82</v>
      </c>
      <c r="AL122" s="158">
        <f t="shared" si="25"/>
        <v>1.02</v>
      </c>
      <c r="AM122" s="159"/>
      <c r="AN122" s="160">
        <f t="shared" si="30"/>
        <v>1</v>
      </c>
      <c r="AO122" s="160">
        <f t="shared" si="30"/>
        <v>2</v>
      </c>
      <c r="AP122" s="133"/>
      <c r="AQ122" s="134"/>
      <c r="AR122" s="161"/>
      <c r="AS122" s="161"/>
      <c r="AT122" s="161"/>
      <c r="AU122" s="161"/>
      <c r="AV122" s="162"/>
      <c r="AW122" s="137">
        <f t="shared" si="26"/>
        <v>0</v>
      </c>
      <c r="AX122" s="137">
        <f t="shared" si="27"/>
        <v>0</v>
      </c>
    </row>
    <row r="123" ht="47.25" customHeight="1" spans="1:50" s="97" customFormat="1" x14ac:dyDescent="0.25">
      <c r="A123" s="100"/>
      <c r="B123" s="100"/>
      <c r="C123" s="100"/>
      <c r="D123" s="100"/>
      <c r="E123" s="100"/>
      <c r="F123" s="100"/>
      <c r="G123" s="103"/>
      <c r="H123" s="186"/>
      <c r="I123" s="195">
        <v>0.51</v>
      </c>
      <c r="J123" s="107">
        <v>0.49</v>
      </c>
      <c r="K123" s="107"/>
      <c r="L123" s="107"/>
      <c r="M123" s="187"/>
      <c r="N123" s="169">
        <f t="shared" si="29"/>
        <v>1</v>
      </c>
      <c r="O123" s="144">
        <v>1</v>
      </c>
      <c r="P123" s="145">
        <v>15</v>
      </c>
      <c r="Q123" s="113">
        <v>15</v>
      </c>
      <c r="R123" s="113"/>
      <c r="S123" s="113"/>
      <c r="T123" s="146"/>
      <c r="U123" s="148">
        <f t="shared" si="17"/>
        <v>15</v>
      </c>
      <c r="V123" s="149">
        <f t="shared" si="18"/>
        <v>15</v>
      </c>
      <c r="W123" s="189"/>
      <c r="X123" s="199"/>
      <c r="Y123" s="151"/>
      <c r="Z123" s="190"/>
      <c r="AA123" s="153"/>
      <c r="AB123" s="154">
        <f t="shared" si="19"/>
        <v>0</v>
      </c>
      <c r="AC123" s="149">
        <f t="shared" si="20"/>
        <v>0</v>
      </c>
      <c r="AD123" s="125">
        <v>2</v>
      </c>
      <c r="AE123" s="148">
        <f t="shared" si="21"/>
        <v>2</v>
      </c>
      <c r="AF123" s="156"/>
      <c r="AG123" s="156"/>
      <c r="AH123" s="113">
        <f t="shared" si="22"/>
        <v>17</v>
      </c>
      <c r="AI123" s="157">
        <v>65</v>
      </c>
      <c r="AJ123" s="113">
        <f t="shared" si="23"/>
        <v>82</v>
      </c>
      <c r="AK123" s="113">
        <f t="shared" si="24"/>
        <v>82</v>
      </c>
      <c r="AL123" s="158">
        <f t="shared" si="25"/>
        <v>1.02</v>
      </c>
      <c r="AM123" s="159"/>
      <c r="AN123" s="160">
        <f t="shared" si="30"/>
        <v>1</v>
      </c>
      <c r="AO123" s="160">
        <f t="shared" si="30"/>
        <v>2</v>
      </c>
      <c r="AP123" s="133"/>
      <c r="AQ123" s="134"/>
      <c r="AR123" s="161"/>
      <c r="AS123" s="161"/>
      <c r="AT123" s="161"/>
      <c r="AU123" s="161"/>
      <c r="AV123" s="162"/>
      <c r="AW123" s="137">
        <f t="shared" si="26"/>
        <v>0</v>
      </c>
      <c r="AX123" s="137">
        <f t="shared" si="27"/>
        <v>0</v>
      </c>
    </row>
    <row r="124" ht="46.5" customHeight="1" spans="1:50" s="97" customFormat="1" x14ac:dyDescent="0.25">
      <c r="A124" s="100"/>
      <c r="B124" s="100"/>
      <c r="C124" s="100"/>
      <c r="D124" s="100"/>
      <c r="E124" s="100"/>
      <c r="F124" s="100"/>
      <c r="G124" s="103"/>
      <c r="H124" s="186"/>
      <c r="I124" s="195">
        <v>0.51</v>
      </c>
      <c r="J124" s="107">
        <v>0.49</v>
      </c>
      <c r="K124" s="107"/>
      <c r="L124" s="107"/>
      <c r="M124" s="187"/>
      <c r="N124" s="169">
        <f t="shared" si="29"/>
        <v>1</v>
      </c>
      <c r="O124" s="144">
        <v>1</v>
      </c>
      <c r="P124" s="145">
        <v>15</v>
      </c>
      <c r="Q124" s="113">
        <v>15</v>
      </c>
      <c r="R124" s="113"/>
      <c r="S124" s="113"/>
      <c r="T124" s="146"/>
      <c r="U124" s="148">
        <f t="shared" si="17"/>
        <v>15</v>
      </c>
      <c r="V124" s="149">
        <f t="shared" si="18"/>
        <v>15</v>
      </c>
      <c r="W124" s="189"/>
      <c r="X124" s="199"/>
      <c r="Y124" s="151"/>
      <c r="Z124" s="190"/>
      <c r="AA124" s="153"/>
      <c r="AB124" s="154">
        <f t="shared" si="19"/>
        <v>0</v>
      </c>
      <c r="AC124" s="149">
        <f t="shared" si="20"/>
        <v>0</v>
      </c>
      <c r="AD124" s="125">
        <v>2</v>
      </c>
      <c r="AE124" s="148">
        <f t="shared" si="21"/>
        <v>2</v>
      </c>
      <c r="AF124" s="156"/>
      <c r="AG124" s="156"/>
      <c r="AH124" s="113">
        <f t="shared" si="22"/>
        <v>17</v>
      </c>
      <c r="AI124" s="157">
        <v>65</v>
      </c>
      <c r="AJ124" s="113">
        <f t="shared" si="23"/>
        <v>82</v>
      </c>
      <c r="AK124" s="113">
        <f t="shared" si="24"/>
        <v>82</v>
      </c>
      <c r="AL124" s="158">
        <f t="shared" si="25"/>
        <v>1.02</v>
      </c>
      <c r="AM124" s="159"/>
      <c r="AN124" s="160">
        <f t="shared" si="30"/>
        <v>1</v>
      </c>
      <c r="AO124" s="160">
        <f t="shared" si="30"/>
        <v>2</v>
      </c>
      <c r="AP124" s="133"/>
      <c r="AQ124" s="134"/>
      <c r="AR124" s="161"/>
      <c r="AS124" s="161"/>
      <c r="AT124" s="161"/>
      <c r="AU124" s="161"/>
      <c r="AV124" s="162"/>
      <c r="AW124" s="137">
        <f t="shared" si="26"/>
        <v>0</v>
      </c>
      <c r="AX124" s="137">
        <f t="shared" si="27"/>
        <v>0</v>
      </c>
    </row>
    <row r="125" ht="46.5" customHeight="1" spans="1:50" s="97" customFormat="1" x14ac:dyDescent="0.25">
      <c r="A125" s="100"/>
      <c r="B125" s="100"/>
      <c r="C125" s="100"/>
      <c r="D125" s="100"/>
      <c r="E125" s="100"/>
      <c r="F125" s="100"/>
      <c r="G125" s="103"/>
      <c r="H125" s="186"/>
      <c r="I125" s="195">
        <v>0.51</v>
      </c>
      <c r="J125" s="107">
        <v>0.49</v>
      </c>
      <c r="K125" s="107"/>
      <c r="L125" s="107"/>
      <c r="M125" s="187"/>
      <c r="N125" s="169">
        <f t="shared" si="29"/>
        <v>1</v>
      </c>
      <c r="O125" s="144">
        <v>1</v>
      </c>
      <c r="P125" s="145">
        <v>15</v>
      </c>
      <c r="Q125" s="113">
        <v>15</v>
      </c>
      <c r="R125" s="113"/>
      <c r="S125" s="113"/>
      <c r="T125" s="146"/>
      <c r="U125" s="148">
        <f t="shared" si="17"/>
        <v>15</v>
      </c>
      <c r="V125" s="149">
        <f t="shared" si="18"/>
        <v>15</v>
      </c>
      <c r="W125" s="189"/>
      <c r="X125" s="199"/>
      <c r="Y125" s="151"/>
      <c r="Z125" s="190"/>
      <c r="AA125" s="153"/>
      <c r="AB125" s="154">
        <f t="shared" si="19"/>
        <v>0</v>
      </c>
      <c r="AC125" s="149">
        <f t="shared" si="20"/>
        <v>0</v>
      </c>
      <c r="AD125" s="125">
        <v>2</v>
      </c>
      <c r="AE125" s="148">
        <f t="shared" si="21"/>
        <v>2</v>
      </c>
      <c r="AF125" s="156"/>
      <c r="AG125" s="156"/>
      <c r="AH125" s="113">
        <f t="shared" si="22"/>
        <v>17</v>
      </c>
      <c r="AI125" s="157">
        <v>65</v>
      </c>
      <c r="AJ125" s="113">
        <f t="shared" si="23"/>
        <v>82</v>
      </c>
      <c r="AK125" s="113">
        <f t="shared" si="24"/>
        <v>82</v>
      </c>
      <c r="AL125" s="158">
        <f t="shared" si="25"/>
        <v>1.02</v>
      </c>
      <c r="AM125" s="159"/>
      <c r="AN125" s="160">
        <f t="shared" si="30"/>
        <v>1</v>
      </c>
      <c r="AO125" s="160">
        <f t="shared" si="30"/>
        <v>2</v>
      </c>
      <c r="AP125" s="133"/>
      <c r="AQ125" s="134"/>
      <c r="AR125" s="161"/>
      <c r="AS125" s="161"/>
      <c r="AT125" s="161"/>
      <c r="AU125" s="161"/>
      <c r="AV125" s="162"/>
      <c r="AW125" s="137">
        <f t="shared" si="26"/>
        <v>0</v>
      </c>
      <c r="AX125" s="137">
        <f t="shared" si="27"/>
        <v>0</v>
      </c>
    </row>
    <row r="126" ht="47.25" customHeight="1" spans="1:50" s="56" customFormat="1" x14ac:dyDescent="0.25">
      <c r="A126" s="100"/>
      <c r="B126" s="100"/>
      <c r="C126" s="100"/>
      <c r="D126" s="100"/>
      <c r="E126" s="100"/>
      <c r="F126" s="100"/>
      <c r="G126" s="103"/>
      <c r="H126" s="186"/>
      <c r="I126" s="195">
        <v>0.51</v>
      </c>
      <c r="J126" s="107">
        <v>0.49</v>
      </c>
      <c r="K126" s="107"/>
      <c r="L126" s="107"/>
      <c r="M126" s="187"/>
      <c r="N126" s="169">
        <f t="shared" si="29"/>
        <v>1</v>
      </c>
      <c r="O126" s="144">
        <v>1</v>
      </c>
      <c r="P126" s="145">
        <v>15</v>
      </c>
      <c r="Q126" s="113">
        <v>15</v>
      </c>
      <c r="R126" s="113"/>
      <c r="S126" s="113"/>
      <c r="T126" s="146"/>
      <c r="U126" s="148">
        <f t="shared" si="17"/>
        <v>15</v>
      </c>
      <c r="V126" s="149">
        <f t="shared" si="18"/>
        <v>15</v>
      </c>
      <c r="W126" s="189"/>
      <c r="X126" s="199"/>
      <c r="Y126" s="151"/>
      <c r="Z126" s="190"/>
      <c r="AA126" s="153"/>
      <c r="AB126" s="154">
        <f t="shared" si="19"/>
        <v>0</v>
      </c>
      <c r="AC126" s="149">
        <f t="shared" si="20"/>
        <v>0</v>
      </c>
      <c r="AD126" s="125">
        <v>2</v>
      </c>
      <c r="AE126" s="148">
        <f t="shared" si="21"/>
        <v>2</v>
      </c>
      <c r="AF126" s="156"/>
      <c r="AG126" s="156"/>
      <c r="AH126" s="113">
        <f t="shared" si="22"/>
        <v>17</v>
      </c>
      <c r="AI126" s="157">
        <v>65</v>
      </c>
      <c r="AJ126" s="113">
        <f t="shared" si="23"/>
        <v>82</v>
      </c>
      <c r="AK126" s="113">
        <f t="shared" si="24"/>
        <v>82</v>
      </c>
      <c r="AL126" s="158">
        <f t="shared" si="25"/>
        <v>1.02</v>
      </c>
      <c r="AM126" s="159"/>
      <c r="AN126" s="160">
        <f t="shared" si="30"/>
        <v>1</v>
      </c>
      <c r="AO126" s="160">
        <f t="shared" si="30"/>
        <v>2</v>
      </c>
      <c r="AP126" s="133"/>
      <c r="AQ126" s="134"/>
      <c r="AR126" s="161"/>
      <c r="AS126" s="161"/>
      <c r="AT126" s="161"/>
      <c r="AU126" s="161"/>
      <c r="AV126" s="162"/>
      <c r="AW126" s="137">
        <f t="shared" si="26"/>
        <v>0</v>
      </c>
      <c r="AX126" s="137">
        <f t="shared" si="27"/>
        <v>0</v>
      </c>
    </row>
    <row r="127" ht="46.5" customHeight="1" spans="1:50" s="97" customFormat="1" x14ac:dyDescent="0.25">
      <c r="A127" s="100"/>
      <c r="B127" s="100"/>
      <c r="C127" s="100"/>
      <c r="D127" s="100"/>
      <c r="E127" s="100"/>
      <c r="F127" s="100"/>
      <c r="G127" s="103"/>
      <c r="H127" s="186"/>
      <c r="I127" s="195">
        <v>0.51</v>
      </c>
      <c r="J127" s="107">
        <v>0.49</v>
      </c>
      <c r="K127" s="107"/>
      <c r="L127" s="107"/>
      <c r="M127" s="187"/>
      <c r="N127" s="169">
        <f t="shared" si="29"/>
        <v>1</v>
      </c>
      <c r="O127" s="144">
        <v>1</v>
      </c>
      <c r="P127" s="145">
        <v>15</v>
      </c>
      <c r="Q127" s="113">
        <v>15</v>
      </c>
      <c r="R127" s="113"/>
      <c r="S127" s="113"/>
      <c r="T127" s="146"/>
      <c r="U127" s="148">
        <f t="shared" si="17"/>
        <v>15</v>
      </c>
      <c r="V127" s="149">
        <f t="shared" si="18"/>
        <v>15</v>
      </c>
      <c r="W127" s="189"/>
      <c r="X127" s="199"/>
      <c r="Y127" s="151"/>
      <c r="Z127" s="190"/>
      <c r="AA127" s="153"/>
      <c r="AB127" s="154">
        <f t="shared" si="19"/>
        <v>0</v>
      </c>
      <c r="AC127" s="149">
        <f t="shared" si="20"/>
        <v>0</v>
      </c>
      <c r="AD127" s="125">
        <v>2</v>
      </c>
      <c r="AE127" s="148">
        <f t="shared" si="21"/>
        <v>2</v>
      </c>
      <c r="AF127" s="156"/>
      <c r="AG127" s="156"/>
      <c r="AH127" s="113">
        <f t="shared" si="22"/>
        <v>17</v>
      </c>
      <c r="AI127" s="157">
        <v>65</v>
      </c>
      <c r="AJ127" s="113">
        <f t="shared" si="23"/>
        <v>82</v>
      </c>
      <c r="AK127" s="113">
        <f t="shared" si="24"/>
        <v>82</v>
      </c>
      <c r="AL127" s="158">
        <f t="shared" si="25"/>
        <v>1.02</v>
      </c>
      <c r="AM127" s="159"/>
      <c r="AN127" s="160">
        <f t="shared" si="30"/>
        <v>1</v>
      </c>
      <c r="AO127" s="160">
        <f t="shared" si="30"/>
        <v>2</v>
      </c>
      <c r="AP127" s="133"/>
      <c r="AQ127" s="134"/>
      <c r="AR127" s="161"/>
      <c r="AS127" s="161"/>
      <c r="AT127" s="161"/>
      <c r="AU127" s="161"/>
      <c r="AV127" s="162"/>
      <c r="AW127" s="137">
        <f t="shared" si="26"/>
        <v>0</v>
      </c>
      <c r="AX127" s="137">
        <f t="shared" si="27"/>
        <v>0</v>
      </c>
    </row>
    <row r="128" ht="47.25" customHeight="1" spans="1:50" s="56" customFormat="1" x14ac:dyDescent="0.25">
      <c r="A128" s="100"/>
      <c r="B128" s="100"/>
      <c r="C128" s="100"/>
      <c r="D128" s="100"/>
      <c r="E128" s="100"/>
      <c r="F128" s="100"/>
      <c r="G128" s="103"/>
      <c r="H128" s="186"/>
      <c r="I128" s="195">
        <v>0.51</v>
      </c>
      <c r="J128" s="107">
        <v>0.49</v>
      </c>
      <c r="K128" s="107"/>
      <c r="L128" s="107"/>
      <c r="M128" s="187"/>
      <c r="N128" s="169">
        <f t="shared" si="29"/>
        <v>1</v>
      </c>
      <c r="O128" s="144">
        <v>1</v>
      </c>
      <c r="P128" s="145">
        <v>15</v>
      </c>
      <c r="Q128" s="113">
        <v>15</v>
      </c>
      <c r="R128" s="113"/>
      <c r="S128" s="113"/>
      <c r="T128" s="146"/>
      <c r="U128" s="148">
        <f t="shared" si="17"/>
        <v>15</v>
      </c>
      <c r="V128" s="149">
        <f t="shared" si="18"/>
        <v>15</v>
      </c>
      <c r="W128" s="189"/>
      <c r="X128" s="199"/>
      <c r="Y128" s="151"/>
      <c r="Z128" s="190"/>
      <c r="AA128" s="153"/>
      <c r="AB128" s="154">
        <f t="shared" si="19"/>
        <v>0</v>
      </c>
      <c r="AC128" s="149">
        <f t="shared" si="20"/>
        <v>0</v>
      </c>
      <c r="AD128" s="125">
        <v>2</v>
      </c>
      <c r="AE128" s="148">
        <f t="shared" si="21"/>
        <v>2</v>
      </c>
      <c r="AF128" s="156"/>
      <c r="AG128" s="156"/>
      <c r="AH128" s="113">
        <f t="shared" si="22"/>
        <v>17</v>
      </c>
      <c r="AI128" s="157">
        <v>65</v>
      </c>
      <c r="AJ128" s="113">
        <f t="shared" si="23"/>
        <v>82</v>
      </c>
      <c r="AK128" s="113">
        <f t="shared" si="24"/>
        <v>82</v>
      </c>
      <c r="AL128" s="158">
        <f t="shared" si="25"/>
        <v>1.02</v>
      </c>
      <c r="AM128" s="159"/>
      <c r="AN128" s="160">
        <f t="shared" si="30"/>
        <v>1</v>
      </c>
      <c r="AO128" s="160">
        <f t="shared" si="30"/>
        <v>2</v>
      </c>
      <c r="AP128" s="133"/>
      <c r="AQ128" s="134"/>
      <c r="AR128" s="161"/>
      <c r="AS128" s="161"/>
      <c r="AT128" s="161"/>
      <c r="AU128" s="161"/>
      <c r="AV128" s="162"/>
      <c r="AW128" s="137">
        <f t="shared" si="26"/>
        <v>0</v>
      </c>
      <c r="AX128" s="137">
        <f t="shared" si="27"/>
        <v>0</v>
      </c>
    </row>
    <row r="129" ht="46.5" customHeight="1" spans="1:50" s="97" customFormat="1" x14ac:dyDescent="0.25">
      <c r="A129" s="100"/>
      <c r="B129" s="100"/>
      <c r="C129" s="100"/>
      <c r="D129" s="100"/>
      <c r="E129" s="100"/>
      <c r="F129" s="100"/>
      <c r="G129" s="103"/>
      <c r="H129" s="186"/>
      <c r="I129" s="195">
        <v>0.51</v>
      </c>
      <c r="J129" s="107">
        <v>0.49</v>
      </c>
      <c r="K129" s="107"/>
      <c r="L129" s="107"/>
      <c r="M129" s="187"/>
      <c r="N129" s="169">
        <f t="shared" si="29"/>
        <v>1</v>
      </c>
      <c r="O129" s="144">
        <v>1</v>
      </c>
      <c r="P129" s="145">
        <v>15</v>
      </c>
      <c r="Q129" s="113">
        <v>15</v>
      </c>
      <c r="R129" s="113"/>
      <c r="S129" s="113"/>
      <c r="T129" s="146"/>
      <c r="U129" s="148">
        <f t="shared" si="17"/>
        <v>15</v>
      </c>
      <c r="V129" s="149">
        <f t="shared" si="18"/>
        <v>15</v>
      </c>
      <c r="W129" s="189"/>
      <c r="X129" s="199"/>
      <c r="Y129" s="151"/>
      <c r="Z129" s="190"/>
      <c r="AA129" s="153"/>
      <c r="AB129" s="154">
        <f t="shared" si="19"/>
        <v>0</v>
      </c>
      <c r="AC129" s="149">
        <f t="shared" si="20"/>
        <v>0</v>
      </c>
      <c r="AD129" s="125">
        <v>2</v>
      </c>
      <c r="AE129" s="148">
        <f t="shared" si="21"/>
        <v>2</v>
      </c>
      <c r="AF129" s="156"/>
      <c r="AG129" s="156"/>
      <c r="AH129" s="113">
        <f t="shared" si="22"/>
        <v>17</v>
      </c>
      <c r="AI129" s="157">
        <v>65</v>
      </c>
      <c r="AJ129" s="113">
        <f t="shared" si="23"/>
        <v>82</v>
      </c>
      <c r="AK129" s="113">
        <f t="shared" si="24"/>
        <v>82</v>
      </c>
      <c r="AL129" s="158">
        <f t="shared" si="25"/>
        <v>1.02</v>
      </c>
      <c r="AM129" s="159"/>
      <c r="AN129" s="160">
        <f t="shared" si="30"/>
        <v>1</v>
      </c>
      <c r="AO129" s="160">
        <f t="shared" si="30"/>
        <v>2</v>
      </c>
      <c r="AP129" s="133"/>
      <c r="AQ129" s="134"/>
      <c r="AR129" s="161"/>
      <c r="AS129" s="161"/>
      <c r="AT129" s="161"/>
      <c r="AU129" s="161"/>
      <c r="AV129" s="162"/>
      <c r="AW129" s="137">
        <f t="shared" si="26"/>
        <v>0</v>
      </c>
      <c r="AX129" s="137">
        <f t="shared" si="27"/>
        <v>0</v>
      </c>
    </row>
    <row r="130" ht="46.5" customHeight="1" spans="1:50" s="97" customFormat="1" x14ac:dyDescent="0.25">
      <c r="A130" s="100"/>
      <c r="B130" s="100"/>
      <c r="C130" s="100"/>
      <c r="D130" s="100"/>
      <c r="E130" s="100"/>
      <c r="F130" s="100"/>
      <c r="G130" s="103"/>
      <c r="H130" s="186"/>
      <c r="I130" s="195">
        <v>0.51</v>
      </c>
      <c r="J130" s="107">
        <v>0.49</v>
      </c>
      <c r="K130" s="107"/>
      <c r="L130" s="107"/>
      <c r="M130" s="187"/>
      <c r="N130" s="169">
        <f t="shared" si="29"/>
        <v>1</v>
      </c>
      <c r="O130" s="144">
        <v>1</v>
      </c>
      <c r="P130" s="145">
        <v>15</v>
      </c>
      <c r="Q130" s="113">
        <v>15</v>
      </c>
      <c r="R130" s="113"/>
      <c r="S130" s="113"/>
      <c r="T130" s="146"/>
      <c r="U130" s="148">
        <f t="shared" si="17"/>
        <v>15</v>
      </c>
      <c r="V130" s="149">
        <f t="shared" si="18"/>
        <v>15</v>
      </c>
      <c r="W130" s="189"/>
      <c r="X130" s="199"/>
      <c r="Y130" s="151"/>
      <c r="Z130" s="190"/>
      <c r="AA130" s="153"/>
      <c r="AB130" s="154">
        <f t="shared" si="19"/>
        <v>0</v>
      </c>
      <c r="AC130" s="149">
        <f t="shared" si="20"/>
        <v>0</v>
      </c>
      <c r="AD130" s="125">
        <v>2</v>
      </c>
      <c r="AE130" s="148">
        <f t="shared" si="21"/>
        <v>2</v>
      </c>
      <c r="AF130" s="156"/>
      <c r="AG130" s="156"/>
      <c r="AH130" s="113">
        <f t="shared" si="22"/>
        <v>17</v>
      </c>
      <c r="AI130" s="157">
        <v>65</v>
      </c>
      <c r="AJ130" s="113">
        <f t="shared" si="23"/>
        <v>82</v>
      </c>
      <c r="AK130" s="113">
        <f t="shared" si="24"/>
        <v>82</v>
      </c>
      <c r="AL130" s="158">
        <f t="shared" si="25"/>
        <v>1.02</v>
      </c>
      <c r="AM130" s="159"/>
      <c r="AN130" s="160">
        <f t="shared" si="30"/>
        <v>1</v>
      </c>
      <c r="AO130" s="160">
        <f t="shared" si="30"/>
        <v>2</v>
      </c>
      <c r="AP130" s="133"/>
      <c r="AQ130" s="134"/>
      <c r="AR130" s="161"/>
      <c r="AS130" s="161"/>
      <c r="AT130" s="161"/>
      <c r="AU130" s="161"/>
      <c r="AV130" s="162"/>
      <c r="AW130" s="137">
        <f t="shared" si="26"/>
        <v>0</v>
      </c>
      <c r="AX130" s="137">
        <f t="shared" si="27"/>
        <v>0</v>
      </c>
    </row>
    <row r="131" ht="47.25" customHeight="1" spans="1:50" s="97" customFormat="1" x14ac:dyDescent="0.25">
      <c r="A131" s="100"/>
      <c r="B131" s="100"/>
      <c r="C131" s="100"/>
      <c r="D131" s="100"/>
      <c r="E131" s="100"/>
      <c r="F131" s="100"/>
      <c r="G131" s="103"/>
      <c r="H131" s="186"/>
      <c r="I131" s="195">
        <v>0.51</v>
      </c>
      <c r="J131" s="107">
        <v>0.49</v>
      </c>
      <c r="K131" s="107"/>
      <c r="L131" s="107"/>
      <c r="M131" s="187"/>
      <c r="N131" s="169">
        <f t="shared" si="29"/>
        <v>1</v>
      </c>
      <c r="O131" s="144">
        <v>1</v>
      </c>
      <c r="P131" s="145">
        <v>15</v>
      </c>
      <c r="Q131" s="113">
        <v>15</v>
      </c>
      <c r="R131" s="113"/>
      <c r="S131" s="113"/>
      <c r="T131" s="146"/>
      <c r="U131" s="148">
        <f t="shared" si="17"/>
        <v>15</v>
      </c>
      <c r="V131" s="149">
        <f t="shared" si="18"/>
        <v>15</v>
      </c>
      <c r="W131" s="189"/>
      <c r="X131" s="199"/>
      <c r="Y131" s="151"/>
      <c r="Z131" s="190"/>
      <c r="AA131" s="153"/>
      <c r="AB131" s="154">
        <f t="shared" si="19"/>
        <v>0</v>
      </c>
      <c r="AC131" s="149">
        <f t="shared" si="20"/>
        <v>0</v>
      </c>
      <c r="AD131" s="125">
        <v>2</v>
      </c>
      <c r="AE131" s="148">
        <f t="shared" si="21"/>
        <v>2</v>
      </c>
      <c r="AF131" s="156"/>
      <c r="AG131" s="156"/>
      <c r="AH131" s="113">
        <f t="shared" si="22"/>
        <v>17</v>
      </c>
      <c r="AI131" s="157">
        <v>65</v>
      </c>
      <c r="AJ131" s="113">
        <f t="shared" si="23"/>
        <v>82</v>
      </c>
      <c r="AK131" s="113">
        <f t="shared" si="24"/>
        <v>82</v>
      </c>
      <c r="AL131" s="158">
        <f t="shared" si="25"/>
        <v>1.02</v>
      </c>
      <c r="AM131" s="159"/>
      <c r="AN131" s="160">
        <f t="shared" ref="AN131:AO136" si="31">100%+AM131</f>
        <v>1</v>
      </c>
      <c r="AO131" s="160">
        <f t="shared" si="31"/>
        <v>2</v>
      </c>
      <c r="AP131" s="133"/>
      <c r="AQ131" s="134"/>
      <c r="AR131" s="161"/>
      <c r="AS131" s="161"/>
      <c r="AT131" s="161"/>
      <c r="AU131" s="161"/>
      <c r="AV131" s="162"/>
      <c r="AW131" s="137">
        <f t="shared" si="26"/>
        <v>0</v>
      </c>
      <c r="AX131" s="137">
        <f t="shared" si="27"/>
        <v>0</v>
      </c>
    </row>
    <row r="132" ht="47.25" customHeight="1" spans="1:50" s="56" customFormat="1" x14ac:dyDescent="0.25">
      <c r="A132" s="100"/>
      <c r="B132" s="100"/>
      <c r="C132" s="100"/>
      <c r="D132" s="100"/>
      <c r="E132" s="100"/>
      <c r="F132" s="100"/>
      <c r="G132" s="103"/>
      <c r="H132" s="186"/>
      <c r="I132" s="195">
        <v>0.51</v>
      </c>
      <c r="J132" s="107">
        <v>0.49</v>
      </c>
      <c r="K132" s="107"/>
      <c r="L132" s="107"/>
      <c r="M132" s="187"/>
      <c r="N132" s="169">
        <f t="shared" si="29"/>
        <v>1</v>
      </c>
      <c r="O132" s="144">
        <v>1</v>
      </c>
      <c r="P132" s="145">
        <v>15</v>
      </c>
      <c r="Q132" s="113">
        <v>15</v>
      </c>
      <c r="R132" s="113"/>
      <c r="S132" s="113"/>
      <c r="T132" s="146"/>
      <c r="U132" s="148">
        <f t="shared" si="17"/>
        <v>15</v>
      </c>
      <c r="V132" s="149">
        <f t="shared" si="18"/>
        <v>15</v>
      </c>
      <c r="W132" s="189"/>
      <c r="X132" s="199"/>
      <c r="Y132" s="151"/>
      <c r="Z132" s="190"/>
      <c r="AA132" s="153"/>
      <c r="AB132" s="154">
        <f t="shared" si="19"/>
        <v>0</v>
      </c>
      <c r="AC132" s="149">
        <f t="shared" si="20"/>
        <v>0</v>
      </c>
      <c r="AD132" s="125">
        <v>2</v>
      </c>
      <c r="AE132" s="148">
        <f t="shared" si="21"/>
        <v>2</v>
      </c>
      <c r="AF132" s="156"/>
      <c r="AG132" s="156"/>
      <c r="AH132" s="113">
        <f t="shared" si="22"/>
        <v>17</v>
      </c>
      <c r="AI132" s="157">
        <v>65</v>
      </c>
      <c r="AJ132" s="113">
        <f t="shared" si="23"/>
        <v>82</v>
      </c>
      <c r="AK132" s="113">
        <f t="shared" si="24"/>
        <v>82</v>
      </c>
      <c r="AL132" s="158">
        <f t="shared" si="25"/>
        <v>1.02</v>
      </c>
      <c r="AM132" s="159"/>
      <c r="AN132" s="160">
        <f t="shared" si="31"/>
        <v>1</v>
      </c>
      <c r="AO132" s="160">
        <f t="shared" si="31"/>
        <v>2</v>
      </c>
      <c r="AP132" s="133"/>
      <c r="AQ132" s="134"/>
      <c r="AR132" s="161"/>
      <c r="AS132" s="161"/>
      <c r="AT132" s="161"/>
      <c r="AU132" s="161"/>
      <c r="AV132" s="162"/>
      <c r="AW132" s="137">
        <f t="shared" si="26"/>
        <v>0</v>
      </c>
      <c r="AX132" s="137">
        <f t="shared" si="27"/>
        <v>0</v>
      </c>
    </row>
    <row r="133" ht="46.5" customHeight="1" spans="1:50" s="97" customFormat="1" x14ac:dyDescent="0.25">
      <c r="A133" s="100"/>
      <c r="B133" s="100"/>
      <c r="C133" s="100"/>
      <c r="D133" s="100"/>
      <c r="E133" s="100"/>
      <c r="F133" s="100"/>
      <c r="G133" s="103"/>
      <c r="H133" s="186"/>
      <c r="I133" s="195">
        <v>0.51</v>
      </c>
      <c r="J133" s="107">
        <v>0.49</v>
      </c>
      <c r="K133" s="107"/>
      <c r="L133" s="107"/>
      <c r="M133" s="187"/>
      <c r="N133" s="169">
        <f t="shared" si="29"/>
        <v>1</v>
      </c>
      <c r="O133" s="144">
        <v>1</v>
      </c>
      <c r="P133" s="145">
        <v>15</v>
      </c>
      <c r="Q133" s="113">
        <v>15</v>
      </c>
      <c r="R133" s="113"/>
      <c r="S133" s="113"/>
      <c r="T133" s="146"/>
      <c r="U133" s="148">
        <f t="shared" si="17"/>
        <v>15</v>
      </c>
      <c r="V133" s="149">
        <f t="shared" si="18"/>
        <v>15</v>
      </c>
      <c r="W133" s="189"/>
      <c r="X133" s="199"/>
      <c r="Y133" s="151"/>
      <c r="Z133" s="190"/>
      <c r="AA133" s="153"/>
      <c r="AB133" s="154">
        <f t="shared" si="19"/>
        <v>0</v>
      </c>
      <c r="AC133" s="149">
        <f t="shared" si="20"/>
        <v>0</v>
      </c>
      <c r="AD133" s="125">
        <v>2</v>
      </c>
      <c r="AE133" s="148">
        <f t="shared" si="21"/>
        <v>2</v>
      </c>
      <c r="AF133" s="156"/>
      <c r="AG133" s="156"/>
      <c r="AH133" s="113">
        <f t="shared" si="22"/>
        <v>17</v>
      </c>
      <c r="AI133" s="157">
        <v>65</v>
      </c>
      <c r="AJ133" s="113">
        <f t="shared" si="23"/>
        <v>82</v>
      </c>
      <c r="AK133" s="113">
        <f t="shared" si="24"/>
        <v>82</v>
      </c>
      <c r="AL133" s="158">
        <f t="shared" si="25"/>
        <v>1.02</v>
      </c>
      <c r="AM133" s="159"/>
      <c r="AN133" s="160">
        <f t="shared" si="31"/>
        <v>1</v>
      </c>
      <c r="AO133" s="160">
        <f t="shared" si="31"/>
        <v>2</v>
      </c>
      <c r="AP133" s="133"/>
      <c r="AQ133" s="134"/>
      <c r="AR133" s="161"/>
      <c r="AS133" s="161"/>
      <c r="AT133" s="161"/>
      <c r="AU133" s="161"/>
      <c r="AV133" s="162"/>
      <c r="AW133" s="137">
        <f t="shared" si="26"/>
        <v>0</v>
      </c>
      <c r="AX133" s="137">
        <f t="shared" si="27"/>
        <v>0</v>
      </c>
    </row>
    <row r="134" ht="47.25" customHeight="1" spans="1:50" s="56" customFormat="1" x14ac:dyDescent="0.25">
      <c r="A134" s="100"/>
      <c r="B134" s="100"/>
      <c r="C134" s="100"/>
      <c r="D134" s="100"/>
      <c r="E134" s="100"/>
      <c r="F134" s="100"/>
      <c r="G134" s="103"/>
      <c r="H134" s="186"/>
      <c r="I134" s="195">
        <v>0.51</v>
      </c>
      <c r="J134" s="107">
        <v>0.49</v>
      </c>
      <c r="K134" s="107"/>
      <c r="L134" s="107"/>
      <c r="M134" s="187"/>
      <c r="N134" s="169">
        <f t="shared" si="29"/>
        <v>1</v>
      </c>
      <c r="O134" s="144">
        <v>1</v>
      </c>
      <c r="P134" s="145">
        <v>15</v>
      </c>
      <c r="Q134" s="113">
        <v>15</v>
      </c>
      <c r="R134" s="113"/>
      <c r="S134" s="113"/>
      <c r="T134" s="146"/>
      <c r="U134" s="148">
        <f t="shared" si="17"/>
        <v>15</v>
      </c>
      <c r="V134" s="149">
        <f t="shared" si="18"/>
        <v>15</v>
      </c>
      <c r="W134" s="189"/>
      <c r="X134" s="199"/>
      <c r="Y134" s="151"/>
      <c r="Z134" s="190"/>
      <c r="AA134" s="153"/>
      <c r="AB134" s="154">
        <f t="shared" si="19"/>
        <v>0</v>
      </c>
      <c r="AC134" s="149">
        <f t="shared" si="20"/>
        <v>0</v>
      </c>
      <c r="AD134" s="125">
        <v>2</v>
      </c>
      <c r="AE134" s="148">
        <f t="shared" si="21"/>
        <v>2</v>
      </c>
      <c r="AF134" s="156"/>
      <c r="AG134" s="156"/>
      <c r="AH134" s="113">
        <f t="shared" si="22"/>
        <v>17</v>
      </c>
      <c r="AI134" s="157">
        <v>65</v>
      </c>
      <c r="AJ134" s="113">
        <f t="shared" si="23"/>
        <v>82</v>
      </c>
      <c r="AK134" s="113">
        <f t="shared" si="24"/>
        <v>82</v>
      </c>
      <c r="AL134" s="158">
        <f t="shared" si="25"/>
        <v>1.02</v>
      </c>
      <c r="AM134" s="159"/>
      <c r="AN134" s="160">
        <f t="shared" si="31"/>
        <v>1</v>
      </c>
      <c r="AO134" s="160">
        <f t="shared" si="31"/>
        <v>2</v>
      </c>
      <c r="AP134" s="133"/>
      <c r="AQ134" s="134"/>
      <c r="AR134" s="161"/>
      <c r="AS134" s="161"/>
      <c r="AT134" s="161"/>
      <c r="AU134" s="161"/>
      <c r="AV134" s="162"/>
      <c r="AW134" s="137">
        <f t="shared" si="26"/>
        <v>0</v>
      </c>
      <c r="AX134" s="137">
        <f t="shared" si="27"/>
        <v>0</v>
      </c>
    </row>
    <row r="135" ht="47.25" customHeight="1" spans="1:50" s="97" customFormat="1" x14ac:dyDescent="0.25">
      <c r="A135" s="100"/>
      <c r="B135" s="100"/>
      <c r="C135" s="100"/>
      <c r="D135" s="100"/>
      <c r="E135" s="100"/>
      <c r="F135" s="100"/>
      <c r="G135" s="103"/>
      <c r="H135" s="186"/>
      <c r="I135" s="195">
        <v>0.51</v>
      </c>
      <c r="J135" s="107">
        <v>0.49</v>
      </c>
      <c r="K135" s="107"/>
      <c r="L135" s="107"/>
      <c r="M135" s="187"/>
      <c r="N135" s="169">
        <f t="shared" si="29"/>
        <v>1</v>
      </c>
      <c r="O135" s="144">
        <v>1</v>
      </c>
      <c r="P135" s="145">
        <v>15</v>
      </c>
      <c r="Q135" s="113">
        <v>15</v>
      </c>
      <c r="R135" s="113"/>
      <c r="S135" s="113"/>
      <c r="T135" s="146"/>
      <c r="U135" s="148">
        <f t="shared" si="17"/>
        <v>15</v>
      </c>
      <c r="V135" s="149">
        <f t="shared" si="18"/>
        <v>15</v>
      </c>
      <c r="W135" s="189"/>
      <c r="X135" s="199"/>
      <c r="Y135" s="151"/>
      <c r="Z135" s="190"/>
      <c r="AA135" s="153"/>
      <c r="AB135" s="154">
        <f t="shared" si="19"/>
        <v>0</v>
      </c>
      <c r="AC135" s="149">
        <f t="shared" si="20"/>
        <v>0</v>
      </c>
      <c r="AD135" s="125">
        <v>2</v>
      </c>
      <c r="AE135" s="148">
        <f t="shared" si="21"/>
        <v>2</v>
      </c>
      <c r="AF135" s="156"/>
      <c r="AG135" s="156"/>
      <c r="AH135" s="113">
        <f t="shared" si="22"/>
        <v>17</v>
      </c>
      <c r="AI135" s="157">
        <v>65</v>
      </c>
      <c r="AJ135" s="113">
        <f t="shared" si="23"/>
        <v>82</v>
      </c>
      <c r="AK135" s="113">
        <f t="shared" si="24"/>
        <v>82</v>
      </c>
      <c r="AL135" s="158">
        <f t="shared" si="25"/>
        <v>1.02</v>
      </c>
      <c r="AM135" s="159"/>
      <c r="AN135" s="160">
        <f t="shared" si="31"/>
        <v>1</v>
      </c>
      <c r="AO135" s="160">
        <f t="shared" si="31"/>
        <v>2</v>
      </c>
      <c r="AP135" s="133"/>
      <c r="AQ135" s="134"/>
      <c r="AR135" s="161"/>
      <c r="AS135" s="161"/>
      <c r="AT135" s="161"/>
      <c r="AU135" s="161"/>
      <c r="AV135" s="162"/>
      <c r="AW135" s="137">
        <f t="shared" si="26"/>
        <v>0</v>
      </c>
      <c r="AX135" s="137">
        <f t="shared" si="27"/>
        <v>0</v>
      </c>
    </row>
    <row r="136" ht="46.5" customHeight="1" spans="1:50" s="97" customFormat="1" x14ac:dyDescent="0.25">
      <c r="A136" s="100"/>
      <c r="B136" s="100"/>
      <c r="C136" s="100"/>
      <c r="D136" s="100"/>
      <c r="E136" s="100"/>
      <c r="F136" s="100"/>
      <c r="G136" s="103"/>
      <c r="H136" s="186"/>
      <c r="I136" s="195">
        <v>0.51</v>
      </c>
      <c r="J136" s="107">
        <v>0.49</v>
      </c>
      <c r="K136" s="107"/>
      <c r="L136" s="107"/>
      <c r="M136" s="187"/>
      <c r="N136" s="169">
        <f t="shared" si="29"/>
        <v>1</v>
      </c>
      <c r="O136" s="144">
        <v>1</v>
      </c>
      <c r="P136" s="145">
        <v>15</v>
      </c>
      <c r="Q136" s="113">
        <v>15</v>
      </c>
      <c r="R136" s="113"/>
      <c r="S136" s="113"/>
      <c r="T136" s="146"/>
      <c r="U136" s="148">
        <f t="shared" si="17"/>
        <v>15</v>
      </c>
      <c r="V136" s="149">
        <f t="shared" si="18"/>
        <v>15</v>
      </c>
      <c r="W136" s="189"/>
      <c r="X136" s="199"/>
      <c r="Y136" s="151"/>
      <c r="Z136" s="190"/>
      <c r="AA136" s="153"/>
      <c r="AB136" s="154">
        <f t="shared" si="19"/>
        <v>0</v>
      </c>
      <c r="AC136" s="149">
        <f t="shared" si="20"/>
        <v>0</v>
      </c>
      <c r="AD136" s="125">
        <v>2</v>
      </c>
      <c r="AE136" s="148">
        <f t="shared" si="21"/>
        <v>2</v>
      </c>
      <c r="AF136" s="156"/>
      <c r="AG136" s="156"/>
      <c r="AH136" s="113">
        <f t="shared" si="22"/>
        <v>17</v>
      </c>
      <c r="AI136" s="157">
        <v>65</v>
      </c>
      <c r="AJ136" s="113">
        <f t="shared" si="23"/>
        <v>82</v>
      </c>
      <c r="AK136" s="113">
        <f t="shared" si="24"/>
        <v>82</v>
      </c>
      <c r="AL136" s="158">
        <f t="shared" si="25"/>
        <v>1.02</v>
      </c>
      <c r="AM136" s="159"/>
      <c r="AN136" s="160">
        <f t="shared" si="31"/>
        <v>1</v>
      </c>
      <c r="AO136" s="160">
        <f t="shared" si="31"/>
        <v>2</v>
      </c>
      <c r="AP136" s="133"/>
      <c r="AQ136" s="134"/>
      <c r="AR136" s="161"/>
      <c r="AS136" s="161"/>
      <c r="AT136" s="161"/>
      <c r="AU136" s="161"/>
      <c r="AV136" s="162"/>
      <c r="AW136" s="137">
        <f t="shared" si="26"/>
        <v>0</v>
      </c>
      <c r="AX136" s="137">
        <f t="shared" si="27"/>
        <v>0</v>
      </c>
    </row>
  </sheetData>
  <mergeCells count="54">
    <mergeCell ref="D1:E1"/>
    <mergeCell ref="F1:G1"/>
    <mergeCell ref="I1:J1"/>
    <mergeCell ref="Y1:Z1"/>
    <mergeCell ref="AA1:AC1"/>
    <mergeCell ref="AD1:AE1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AS2:AT2"/>
    <mergeCell ref="C3:H3"/>
    <mergeCell ref="I3:M3"/>
    <mergeCell ref="P3:U3"/>
    <mergeCell ref="W3:AE3"/>
    <mergeCell ref="A3:A4"/>
    <mergeCell ref="B3:B4"/>
    <mergeCell ref="N3:N4"/>
    <mergeCell ref="O3:O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6:H6"/>
    <mergeCell ref="A8:H8"/>
    <mergeCell ref="A10:H10"/>
    <mergeCell ref="A12:H12"/>
    <mergeCell ref="A14:H14"/>
    <mergeCell ref="A16:H16"/>
    <mergeCell ref="A18:H18"/>
    <mergeCell ref="A20:H20"/>
    <mergeCell ref="A22:H22"/>
    <mergeCell ref="A24:H24"/>
    <mergeCell ref="A26:H26"/>
    <mergeCell ref="A28:H28"/>
    <mergeCell ref="A30:H30"/>
    <mergeCell ref="A32:H32"/>
    <mergeCell ref="A34:H34"/>
    <mergeCell ref="A36:H36"/>
  </mergeCells>
  <pageMargins left="0.7" right="0.7" top="0.75" bottom="0.75" header="0.3" footer="0.3"/>
  <pageSetup paperSize="9" orientation="portrait" horizontalDpi="4294967295" verticalDpi="4294967295" scale="40" fitToWidth="1" fitToHeight="1" firstPageNumber="1" useFirstPageNumber="1" copies="1"/>
</worksheet>
</file>

<file path=xl/worksheets/sheet8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X138"/>
  <sheetViews>
    <sheetView workbookViewId="0" zoomScale="80" zoomScaleNormal="80">
      <selection activeCell="J16" sqref="J16"/>
    </sheetView>
  </sheetViews>
  <sheetFormatPr defaultRowHeight="13.5" outlineLevelRow="0" outlineLevelCol="0" x14ac:dyDescent="0.15" defaultColWidth="8.88671875" customHeight="1"/>
  <cols>
    <col min="1" max="1" width="5.33203125" style="1" customWidth="1"/>
    <col min="2" max="2" width="5.109375" style="2" customWidth="1"/>
    <col min="3" max="3" width="8.33203125" style="3" customWidth="1"/>
    <col min="4" max="7" width="8.33203125" style="1" customWidth="1"/>
    <col min="8" max="13" width="8.109375" style="1" customWidth="1"/>
    <col min="14" max="15" width="5.88671875" style="1" customWidth="1"/>
    <col min="16" max="21" width="7.5546875" style="1" customWidth="1"/>
    <col min="22" max="22" width="7.6640625" style="4" hidden="1" customWidth="1"/>
    <col min="23" max="27" width="8.33203125" style="1" customWidth="1"/>
    <col min="28" max="28" width="7.6640625" style="1" customWidth="1"/>
    <col min="29" max="29" width="7.6640625" style="4" hidden="1" customWidth="1"/>
    <col min="30" max="31" width="7.6640625" style="4" customWidth="1"/>
    <col min="32" max="33" width="6.109375" style="1" customWidth="1"/>
    <col min="34" max="34" width="7.6640625" style="1" customWidth="1"/>
    <col min="35" max="35" width="4.6640625" style="1" customWidth="1"/>
    <col min="36" max="36" width="8.3320312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 customWidth="1"/>
    <col min="49" max="50" width="15.109375" style="1" customWidth="1"/>
    <col min="51" max="16384" width="8.88671875" style="1" customWidth="1"/>
  </cols>
  <sheetData>
    <row r="1" ht="32.25" customHeight="1" spans="3:42" x14ac:dyDescent="0.25">
      <c r="C1" s="5" t="s">
        <v>0</v>
      </c>
      <c r="D1" s="6">
        <v>4678177000</v>
      </c>
      <c r="E1" s="7"/>
      <c r="F1" s="6"/>
      <c r="G1" s="7"/>
      <c r="H1" s="8" t="s">
        <v>1</v>
      </c>
      <c r="I1" s="9">
        <v>5145064000</v>
      </c>
      <c r="J1" s="9"/>
      <c r="K1" s="220" t="s">
        <v>263</v>
      </c>
      <c r="L1" s="11"/>
      <c r="M1" s="11"/>
      <c r="N1" s="12"/>
      <c r="O1" s="12"/>
      <c r="P1" s="12"/>
      <c r="Q1" s="12"/>
      <c r="R1" s="12"/>
      <c r="S1" s="12"/>
      <c r="T1" s="12"/>
      <c r="U1" s="12"/>
      <c r="V1" s="12"/>
      <c r="W1" s="12"/>
      <c r="X1" s="13"/>
      <c r="Y1" s="14" t="s">
        <v>3</v>
      </c>
      <c r="Z1" s="14"/>
      <c r="AA1" s="15" t="s">
        <v>4</v>
      </c>
      <c r="AB1" s="16"/>
      <c r="AC1" s="17"/>
      <c r="AD1" s="18" t="s">
        <v>5</v>
      </c>
      <c r="AE1" s="19"/>
      <c r="AF1" s="20"/>
      <c r="AG1" s="21" t="s">
        <v>6</v>
      </c>
      <c r="AH1" s="22"/>
      <c r="AI1" s="23"/>
      <c r="AJ1" s="24"/>
      <c r="AK1" s="24"/>
      <c r="AL1" s="25" t="s">
        <v>7</v>
      </c>
      <c r="AM1" s="26"/>
      <c r="AN1" s="26"/>
      <c r="AO1" s="26"/>
      <c r="AP1" s="12"/>
    </row>
    <row r="2" ht="29.25" customHeight="1" spans="1:49" s="27" customFormat="1" x14ac:dyDescent="0.25">
      <c r="A2" s="20"/>
      <c r="B2" s="28"/>
      <c r="C2" s="29" t="s">
        <v>8</v>
      </c>
      <c r="D2" s="30">
        <v>4813040000</v>
      </c>
      <c r="E2" s="31"/>
      <c r="F2" s="32"/>
      <c r="G2" s="33"/>
      <c r="H2" s="5" t="s">
        <v>9</v>
      </c>
      <c r="I2" s="34">
        <f>D2*1</f>
        <v>4813040000</v>
      </c>
      <c r="J2" s="32"/>
      <c r="K2" s="35" t="s">
        <v>10</v>
      </c>
      <c r="L2" s="36" t="s">
        <v>11</v>
      </c>
      <c r="M2" s="37">
        <v>45952.42361111111</v>
      </c>
      <c r="N2" s="37"/>
      <c r="O2" s="37"/>
      <c r="P2" s="37"/>
      <c r="Q2" s="38" t="s">
        <v>264</v>
      </c>
      <c r="R2" s="38"/>
      <c r="S2" s="38"/>
      <c r="T2" s="39"/>
      <c r="U2" s="40"/>
      <c r="V2" s="40"/>
      <c r="W2" s="41"/>
      <c r="X2" s="42"/>
      <c r="Y2" s="43">
        <v>4228600000</v>
      </c>
      <c r="Z2" s="43"/>
      <c r="AA2" s="44">
        <f>I1</f>
        <v>5145064000</v>
      </c>
      <c r="AB2" s="45"/>
      <c r="AC2" s="46"/>
      <c r="AD2" s="47">
        <f>TRUNC(Y2/AA2,4)</f>
        <v>0.8218</v>
      </c>
      <c r="AE2" s="48"/>
      <c r="AF2" s="49"/>
      <c r="AG2" s="21" t="s">
        <v>13</v>
      </c>
      <c r="AH2" s="22"/>
      <c r="AI2" s="23">
        <v>4678177000</v>
      </c>
      <c r="AJ2" s="24"/>
      <c r="AK2" s="24"/>
      <c r="AL2" s="50"/>
      <c r="AM2" s="50"/>
      <c r="AN2" s="51" t="s">
        <v>14</v>
      </c>
      <c r="AP2" s="1"/>
      <c r="AQ2" s="1"/>
      <c r="AR2" s="52" t="s">
        <v>15</v>
      </c>
      <c r="AS2" s="53">
        <f>AI1</f>
        <v>0</v>
      </c>
      <c r="AT2" s="54"/>
      <c r="AW2" s="55"/>
    </row>
    <row r="3" ht="24.95" customHeight="1" spans="1:50" s="56" customFormat="1" x14ac:dyDescent="0.25">
      <c r="A3" s="57" t="s">
        <v>16</v>
      </c>
      <c r="B3" s="58" t="s">
        <v>17</v>
      </c>
      <c r="C3" s="59" t="s">
        <v>18</v>
      </c>
      <c r="D3" s="60"/>
      <c r="E3" s="60"/>
      <c r="F3" s="60"/>
      <c r="G3" s="60"/>
      <c r="H3" s="61"/>
      <c r="I3" s="59" t="s">
        <v>19</v>
      </c>
      <c r="J3" s="60"/>
      <c r="K3" s="60"/>
      <c r="L3" s="60"/>
      <c r="M3" s="61"/>
      <c r="N3" s="62" t="s">
        <v>20</v>
      </c>
      <c r="O3" s="63" t="s">
        <v>21</v>
      </c>
      <c r="P3" s="59" t="s">
        <v>22</v>
      </c>
      <c r="Q3" s="60"/>
      <c r="R3" s="64"/>
      <c r="S3" s="64"/>
      <c r="T3" s="60"/>
      <c r="U3" s="61"/>
      <c r="V3" s="65"/>
      <c r="W3" s="59" t="s">
        <v>23</v>
      </c>
      <c r="X3" s="60"/>
      <c r="Y3" s="60"/>
      <c r="Z3" s="60"/>
      <c r="AA3" s="60"/>
      <c r="AB3" s="60"/>
      <c r="AC3" s="60"/>
      <c r="AD3" s="60"/>
      <c r="AE3" s="61"/>
      <c r="AF3" s="60"/>
      <c r="AG3" s="60"/>
      <c r="AH3" s="60"/>
      <c r="AI3" s="60"/>
      <c r="AJ3" s="60"/>
      <c r="AK3" s="61"/>
      <c r="AL3" s="66" t="s">
        <v>24</v>
      </c>
      <c r="AM3" s="67" t="s">
        <v>25</v>
      </c>
      <c r="AN3" s="68" t="s">
        <v>26</v>
      </c>
      <c r="AO3" s="69" t="s">
        <v>27</v>
      </c>
      <c r="AP3" s="70" t="s">
        <v>28</v>
      </c>
      <c r="AQ3" s="65" t="s">
        <v>29</v>
      </c>
      <c r="AR3" s="67" t="s">
        <v>30</v>
      </c>
      <c r="AS3" s="65" t="s">
        <v>31</v>
      </c>
      <c r="AT3" s="65" t="s">
        <v>32</v>
      </c>
      <c r="AU3" s="65" t="s">
        <v>33</v>
      </c>
      <c r="AV3" s="71" t="s">
        <v>34</v>
      </c>
      <c r="AW3" s="65" t="s">
        <v>35</v>
      </c>
      <c r="AX3" s="65" t="s">
        <v>36</v>
      </c>
    </row>
    <row r="4" ht="39.75" customHeight="1" spans="1:50" s="56" customFormat="1" x14ac:dyDescent="0.25">
      <c r="A4" s="72"/>
      <c r="B4" s="73"/>
      <c r="C4" s="74" t="s">
        <v>37</v>
      </c>
      <c r="D4" s="75" t="s">
        <v>38</v>
      </c>
      <c r="E4" s="76" t="s">
        <v>39</v>
      </c>
      <c r="F4" s="76" t="s">
        <v>40</v>
      </c>
      <c r="G4" s="77" t="s">
        <v>41</v>
      </c>
      <c r="H4" s="65" t="s">
        <v>100</v>
      </c>
      <c r="I4" s="78" t="s">
        <v>37</v>
      </c>
      <c r="J4" s="79" t="s">
        <v>38</v>
      </c>
      <c r="K4" s="75" t="s">
        <v>39</v>
      </c>
      <c r="L4" s="75" t="s">
        <v>40</v>
      </c>
      <c r="M4" s="80" t="s">
        <v>41</v>
      </c>
      <c r="N4" s="81"/>
      <c r="O4" s="82"/>
      <c r="P4" s="78" t="s">
        <v>37</v>
      </c>
      <c r="Q4" s="79" t="s">
        <v>38</v>
      </c>
      <c r="R4" s="75" t="s">
        <v>39</v>
      </c>
      <c r="S4" s="75" t="s">
        <v>40</v>
      </c>
      <c r="T4" s="80" t="s">
        <v>41</v>
      </c>
      <c r="U4" s="83" t="s">
        <v>42</v>
      </c>
      <c r="V4" s="84" t="s">
        <v>43</v>
      </c>
      <c r="W4" s="85" t="s">
        <v>37</v>
      </c>
      <c r="X4" s="79" t="s">
        <v>38</v>
      </c>
      <c r="Y4" s="79" t="s">
        <v>39</v>
      </c>
      <c r="Z4" s="79" t="s">
        <v>40</v>
      </c>
      <c r="AA4" s="80" t="s">
        <v>41</v>
      </c>
      <c r="AB4" s="86" t="s">
        <v>44</v>
      </c>
      <c r="AC4" s="87" t="s">
        <v>45</v>
      </c>
      <c r="AD4" s="88" t="s">
        <v>46</v>
      </c>
      <c r="AE4" s="88" t="s">
        <v>47</v>
      </c>
      <c r="AF4" s="89" t="s">
        <v>48</v>
      </c>
      <c r="AG4" s="89" t="s">
        <v>49</v>
      </c>
      <c r="AH4" s="90" t="s">
        <v>50</v>
      </c>
      <c r="AI4" s="91" t="s">
        <v>51</v>
      </c>
      <c r="AJ4" s="91"/>
      <c r="AK4" s="91" t="s">
        <v>52</v>
      </c>
      <c r="AL4" s="92"/>
      <c r="AM4" s="93"/>
      <c r="AN4" s="94"/>
      <c r="AO4" s="95"/>
      <c r="AP4" s="70"/>
      <c r="AQ4" s="65"/>
      <c r="AR4" s="93"/>
      <c r="AS4" s="65"/>
      <c r="AT4" s="65"/>
      <c r="AU4" s="65"/>
      <c r="AV4" s="96"/>
      <c r="AW4" s="65"/>
      <c r="AX4" s="65"/>
    </row>
    <row r="5" ht="46.5" customHeight="1" spans="1:50" s="97" customFormat="1" x14ac:dyDescent="0.25">
      <c r="A5" s="98">
        <v>1</v>
      </c>
      <c r="B5" s="163"/>
      <c r="C5" s="102" t="s">
        <v>54</v>
      </c>
      <c r="D5" s="101" t="s">
        <v>265</v>
      </c>
      <c r="E5" s="163"/>
      <c r="F5" s="102"/>
      <c r="G5" s="103"/>
      <c r="H5" s="225" t="s">
        <v>266</v>
      </c>
      <c r="I5" s="166">
        <v>0.7</v>
      </c>
      <c r="J5" s="226">
        <v>0.1645</v>
      </c>
      <c r="K5" s="107"/>
      <c r="L5" s="108"/>
      <c r="M5" s="109"/>
      <c r="N5" s="110">
        <f>SUM(I5:M5)</f>
        <v>0.8644999999999999</v>
      </c>
      <c r="O5" s="111">
        <v>1</v>
      </c>
      <c r="P5" s="112">
        <v>15</v>
      </c>
      <c r="Q5" s="217">
        <v>15</v>
      </c>
      <c r="R5" s="112"/>
      <c r="S5" s="114"/>
      <c r="T5" s="115"/>
      <c r="U5" s="116">
        <f>ROUND(((P5*I5)+(Q5*J5)+(R5*K5)+(S5*L5)+(T5*M5))*O5,2)</f>
        <v>12.97</v>
      </c>
      <c r="V5" s="117">
        <f>IF(U5&gt;=15,15,U5)</f>
        <v>12.97</v>
      </c>
      <c r="W5" s="120">
        <v>21672377000</v>
      </c>
      <c r="X5" s="221">
        <v>990389000</v>
      </c>
      <c r="Y5" s="120"/>
      <c r="Z5" s="121"/>
      <c r="AA5" s="122"/>
      <c r="AB5" s="123">
        <f>ROUND((((W5*I5)+(X5*J5)+(Y5*K5)+(Z5*L5)+(AA5*M5))/$I$2),2)*13</f>
        <v>41.47</v>
      </c>
      <c r="AC5" s="124">
        <f>IF(AB5&gt;=13,13,AB5)</f>
        <v>13</v>
      </c>
      <c r="AD5" s="125">
        <v>0</v>
      </c>
      <c r="AE5" s="116">
        <f>IF((AC5+AD5)&gt;=15,15,(AC5+AD5))</f>
        <v>13</v>
      </c>
      <c r="AF5" s="126">
        <f>1.5*I5</f>
        <v>1.0499999999999998</v>
      </c>
      <c r="AG5" s="127">
        <v>4.76</v>
      </c>
      <c r="AH5" s="128">
        <f>IF((V5+AE5+AF5)&gt;=30,30,(V5+AE5+AF5))</f>
        <v>27.02</v>
      </c>
      <c r="AI5" s="129">
        <v>65</v>
      </c>
      <c r="AJ5" s="128">
        <f>V5+AE5+AF5+AI5+AG5</f>
        <v>96.78</v>
      </c>
      <c r="AK5" s="128">
        <f>IF(AH5+AI5+AG5&gt;=95,95,AH5+AI5+AG5)</f>
        <v>95</v>
      </c>
      <c r="AL5" s="130">
        <f>-((50-((176+(45+(50-AH5)))))/200)</f>
        <v>0.9699000000000001</v>
      </c>
      <c r="AM5" s="131"/>
      <c r="AN5" s="132">
        <f>100%+AM5</f>
        <v>1</v>
      </c>
      <c r="AO5" s="132">
        <f>100%+AN5</f>
        <v>2</v>
      </c>
      <c r="AP5" s="133"/>
      <c r="AQ5" s="134"/>
      <c r="AR5" s="135"/>
      <c r="AS5" s="135"/>
      <c r="AT5" s="135"/>
      <c r="AU5" s="135"/>
      <c r="AV5" s="136"/>
      <c r="AW5" s="137">
        <f>AR5+AS5+AT5+AU5+AV5</f>
        <v>0</v>
      </c>
      <c r="AX5" s="137">
        <f>(AR5*I5)+(AS5*J5)+(AT5*K5)+(AU5*L5)+(AV5*M5)</f>
        <v>0</v>
      </c>
    </row>
    <row r="6" ht="21.95" customHeight="1" spans="1:50" s="97" customFormat="1" x14ac:dyDescent="0.25">
      <c r="A6" s="138" t="s">
        <v>56</v>
      </c>
      <c r="B6" s="139"/>
      <c r="C6" s="139"/>
      <c r="D6" s="139"/>
      <c r="E6" s="139"/>
      <c r="F6" s="139"/>
      <c r="G6" s="139"/>
      <c r="H6" s="140"/>
      <c r="I6" s="222">
        <v>85</v>
      </c>
      <c r="J6" s="142">
        <v>85</v>
      </c>
      <c r="K6" s="142"/>
      <c r="L6" s="142"/>
      <c r="M6" s="142"/>
      <c r="N6" s="143">
        <f>I6*I5+J6*J5+K6*K5+L6*L5+M6*M5</f>
        <v>73.48249999999999</v>
      </c>
      <c r="O6" s="144"/>
      <c r="P6" s="145"/>
      <c r="Q6" s="113"/>
      <c r="R6" s="113"/>
      <c r="S6" s="146"/>
      <c r="T6" s="147"/>
      <c r="U6" s="148"/>
      <c r="V6" s="149"/>
      <c r="W6" s="150"/>
      <c r="X6" s="151"/>
      <c r="Y6" s="152"/>
      <c r="Z6" s="151"/>
      <c r="AA6" s="153"/>
      <c r="AB6" s="154"/>
      <c r="AC6" s="149"/>
      <c r="AD6" s="148"/>
      <c r="AE6" s="148"/>
      <c r="AF6" s="155"/>
      <c r="AG6" s="156"/>
      <c r="AH6" s="113"/>
      <c r="AI6" s="157"/>
      <c r="AJ6" s="113"/>
      <c r="AK6" s="113"/>
      <c r="AL6" s="158"/>
      <c r="AM6" s="159"/>
      <c r="AN6" s="160"/>
      <c r="AO6" s="160"/>
      <c r="AP6" s="133"/>
      <c r="AQ6" s="134"/>
      <c r="AR6" s="161"/>
      <c r="AS6" s="161"/>
      <c r="AT6" s="161"/>
      <c r="AU6" s="161"/>
      <c r="AV6" s="162"/>
      <c r="AW6" s="137"/>
      <c r="AX6" s="137"/>
    </row>
    <row r="7" ht="46.5" customHeight="1" spans="1:50" s="97" customFormat="1" x14ac:dyDescent="0.25">
      <c r="A7" s="98">
        <v>2</v>
      </c>
      <c r="B7" s="163"/>
      <c r="C7" s="102" t="s">
        <v>267</v>
      </c>
      <c r="D7" s="101" t="s">
        <v>268</v>
      </c>
      <c r="E7" s="102" t="s">
        <v>269</v>
      </c>
      <c r="F7" s="102"/>
      <c r="G7" s="164"/>
      <c r="H7" s="165" t="s">
        <v>270</v>
      </c>
      <c r="I7" s="166">
        <v>0.4</v>
      </c>
      <c r="J7" s="226">
        <v>0.2299</v>
      </c>
      <c r="K7" s="106">
        <v>0.3</v>
      </c>
      <c r="L7" s="167"/>
      <c r="M7" s="168"/>
      <c r="N7" s="169">
        <f>SUM(I7:M7)</f>
        <v>0.9299</v>
      </c>
      <c r="O7" s="144">
        <v>1</v>
      </c>
      <c r="P7" s="112">
        <v>15</v>
      </c>
      <c r="Q7" s="217">
        <v>15</v>
      </c>
      <c r="R7" s="112">
        <v>15</v>
      </c>
      <c r="S7" s="113"/>
      <c r="T7" s="147"/>
      <c r="U7" s="148">
        <f>ROUND(((P7*I7)+(Q7*J7)+(R7*K7)+(S7*L7)+(T7*M7))*O7,2)</f>
        <v>13.95</v>
      </c>
      <c r="V7" s="149">
        <f>IF(U7&gt;=15,15,U7)</f>
        <v>13.95</v>
      </c>
      <c r="W7" s="120">
        <v>6358933000</v>
      </c>
      <c r="X7" s="120">
        <v>555573000</v>
      </c>
      <c r="Y7" s="120">
        <v>7643696000</v>
      </c>
      <c r="Z7" s="151"/>
      <c r="AA7" s="153"/>
      <c r="AB7" s="154">
        <f>ROUND((((W7*I7)+(X7*J7)+(Y7*K7)+(Z7*L7)+(AA7*M7))/$I$2),2)*13</f>
        <v>13.39</v>
      </c>
      <c r="AC7" s="149">
        <f>IF(AB7&gt;=13,13,AB7)</f>
        <v>13</v>
      </c>
      <c r="AD7" s="125">
        <v>0</v>
      </c>
      <c r="AE7" s="148">
        <f>IF((AC7+AD7)&gt;=15,15,(AC7+AD7))</f>
        <v>13</v>
      </c>
      <c r="AF7" s="126"/>
      <c r="AG7" s="127">
        <v>4.76</v>
      </c>
      <c r="AH7" s="113">
        <f>IF((V7+AE7+AF7)&gt;=30,30,(V7+AE7+AF7))</f>
        <v>26.95</v>
      </c>
      <c r="AI7" s="157">
        <v>65</v>
      </c>
      <c r="AJ7" s="113">
        <f>V7+AE7+AF7+AI7+AG7</f>
        <v>96.71000000000001</v>
      </c>
      <c r="AK7" s="113">
        <f>IF(AH7+AI7+AG7&gt;=95,95,AH7+AI7+AG7)</f>
        <v>95</v>
      </c>
      <c r="AL7" s="158">
        <f>-((50-((176+(45+(50-AH7)))))/200)</f>
        <v>0.9702500000000001</v>
      </c>
      <c r="AM7" s="159"/>
      <c r="AN7" s="160">
        <f>100%+AM7</f>
        <v>1</v>
      </c>
      <c r="AO7" s="160">
        <f>100%+AN7</f>
        <v>2</v>
      </c>
      <c r="AP7" s="133"/>
      <c r="AQ7" s="134"/>
      <c r="AR7" s="161"/>
      <c r="AS7" s="161"/>
      <c r="AT7" s="161"/>
      <c r="AU7" s="161"/>
      <c r="AV7" s="162"/>
      <c r="AW7" s="137">
        <f>AR7+AS7+AT7+AU7+AV7</f>
        <v>0</v>
      </c>
      <c r="AX7" s="137">
        <f>(AR7*I7)+(AS7*J7)+(AT7*K7)+(AU7*L7)+(AV7*M7)</f>
        <v>0</v>
      </c>
    </row>
    <row r="8" ht="21.95" customHeight="1" spans="1:50" s="97" customFormat="1" x14ac:dyDescent="0.25">
      <c r="A8" s="138" t="s">
        <v>56</v>
      </c>
      <c r="B8" s="139"/>
      <c r="C8" s="139"/>
      <c r="D8" s="139"/>
      <c r="E8" s="139"/>
      <c r="F8" s="139"/>
      <c r="G8" s="139"/>
      <c r="H8" s="140"/>
      <c r="I8" s="222">
        <v>85</v>
      </c>
      <c r="J8" s="142">
        <v>85</v>
      </c>
      <c r="K8" s="142">
        <v>85</v>
      </c>
      <c r="L8" s="142"/>
      <c r="M8" s="142"/>
      <c r="N8" s="170">
        <f>I8*I7+J8*J7+K8*K7+L8*L7+M8*M7</f>
        <v>79.0415</v>
      </c>
      <c r="O8" s="144"/>
      <c r="P8" s="145"/>
      <c r="Q8" s="113"/>
      <c r="R8" s="113"/>
      <c r="S8" s="146"/>
      <c r="T8" s="147"/>
      <c r="U8" s="148"/>
      <c r="V8" s="149"/>
      <c r="W8" s="150"/>
      <c r="X8" s="151"/>
      <c r="Y8" s="152"/>
      <c r="Z8" s="151"/>
      <c r="AA8" s="153"/>
      <c r="AB8" s="154"/>
      <c r="AC8" s="149"/>
      <c r="AD8" s="148"/>
      <c r="AE8" s="148"/>
      <c r="AF8" s="155"/>
      <c r="AG8" s="156"/>
      <c r="AH8" s="113"/>
      <c r="AI8" s="157"/>
      <c r="AJ8" s="113"/>
      <c r="AK8" s="113"/>
      <c r="AL8" s="158"/>
      <c r="AM8" s="159"/>
      <c r="AN8" s="160"/>
      <c r="AO8" s="160"/>
      <c r="AP8" s="133"/>
      <c r="AQ8" s="134"/>
      <c r="AR8" s="161"/>
      <c r="AS8" s="161"/>
      <c r="AT8" s="161"/>
      <c r="AU8" s="161"/>
      <c r="AV8" s="162"/>
      <c r="AW8" s="137"/>
      <c r="AX8" s="137"/>
    </row>
    <row r="9" ht="46.5" customHeight="1" spans="1:50" s="97" customFormat="1" x14ac:dyDescent="0.25">
      <c r="A9" s="98">
        <v>3</v>
      </c>
      <c r="B9" s="163"/>
      <c r="C9" s="102" t="s">
        <v>63</v>
      </c>
      <c r="D9" s="101" t="s">
        <v>271</v>
      </c>
      <c r="E9" s="163"/>
      <c r="F9" s="102"/>
      <c r="G9" s="103"/>
      <c r="H9" s="171" t="s">
        <v>272</v>
      </c>
      <c r="I9" s="166">
        <v>0.7</v>
      </c>
      <c r="J9" s="226">
        <v>0.2097</v>
      </c>
      <c r="K9" s="107"/>
      <c r="L9" s="107"/>
      <c r="M9" s="168"/>
      <c r="N9" s="169">
        <f>SUM(I9:M9)</f>
        <v>0.9097</v>
      </c>
      <c r="O9" s="144">
        <v>1</v>
      </c>
      <c r="P9" s="112">
        <v>15</v>
      </c>
      <c r="Q9" s="112">
        <v>15</v>
      </c>
      <c r="R9" s="112"/>
      <c r="S9" s="146"/>
      <c r="T9" s="147"/>
      <c r="U9" s="148">
        <f>ROUND(((P9*I9)+(Q9*J9)+(R9*K9)+(S9*L9)+(T9*M9))*O9,2)</f>
        <v>13.65</v>
      </c>
      <c r="V9" s="149">
        <f>IF(U9&gt;=15,15,U9)</f>
        <v>13.65</v>
      </c>
      <c r="W9" s="120">
        <v>11716746000</v>
      </c>
      <c r="X9" s="120">
        <v>607126000</v>
      </c>
      <c r="Y9" s="120"/>
      <c r="Z9" s="120"/>
      <c r="AA9" s="153"/>
      <c r="AB9" s="154">
        <f>ROUND((((W9*I9)+(X9*J9)+(Y9*K9)+(Z9*L9)+(AA9*M9))/$I$2),2)*13</f>
        <v>22.49</v>
      </c>
      <c r="AC9" s="149">
        <f>IF(AB9&gt;=13,13,AB9)</f>
        <v>13</v>
      </c>
      <c r="AD9" s="125">
        <v>0</v>
      </c>
      <c r="AE9" s="148">
        <f>IF((AC9+AD9)&gt;=15,15,(AC9+AD9))</f>
        <v>13</v>
      </c>
      <c r="AF9" s="155"/>
      <c r="AG9" s="127">
        <v>4.76</v>
      </c>
      <c r="AH9" s="113">
        <f>IF((V9+AE9+AF9)&gt;=30,30,(V9+AE9+AF9))</f>
        <v>26.65</v>
      </c>
      <c r="AI9" s="157">
        <v>65</v>
      </c>
      <c r="AJ9" s="113">
        <f>V9+AE9+AF9+AI9+AG9</f>
        <v>96.41000000000001</v>
      </c>
      <c r="AK9" s="113">
        <f>IF(AH9+AI9+AG9&gt;=95,95,AH9+AI9+AG9)</f>
        <v>95</v>
      </c>
      <c r="AL9" s="158">
        <f>-((50-((176+(45+(50-AH9)))))/200)</f>
        <v>0.97175</v>
      </c>
      <c r="AM9" s="159"/>
      <c r="AN9" s="160">
        <f>100%+AM9</f>
        <v>1</v>
      </c>
      <c r="AO9" s="160">
        <f>100%+AN9</f>
        <v>2</v>
      </c>
      <c r="AP9" s="133"/>
      <c r="AQ9" s="134"/>
      <c r="AR9" s="161"/>
      <c r="AS9" s="161"/>
      <c r="AT9" s="161"/>
      <c r="AU9" s="161"/>
      <c r="AV9" s="162"/>
      <c r="AW9" s="172">
        <f>AR9+AS9+AT9+AU9+AV9</f>
        <v>0</v>
      </c>
      <c r="AX9" s="172">
        <f>(AR9*I9)+(AS9*J9)+(AT9*K9)+(AU9*L9)+(AV9*M9)</f>
        <v>0</v>
      </c>
    </row>
    <row r="10" ht="21.95" customHeight="1" spans="1:50" s="97" customFormat="1" x14ac:dyDescent="0.25">
      <c r="A10" s="138" t="s">
        <v>56</v>
      </c>
      <c r="B10" s="139"/>
      <c r="C10" s="139"/>
      <c r="D10" s="139"/>
      <c r="E10" s="139"/>
      <c r="F10" s="139"/>
      <c r="G10" s="139"/>
      <c r="H10" s="140"/>
      <c r="I10" s="222">
        <v>85</v>
      </c>
      <c r="J10" s="142">
        <v>85</v>
      </c>
      <c r="K10" s="142"/>
      <c r="L10" s="142"/>
      <c r="M10" s="142"/>
      <c r="N10" s="170">
        <f>I10*I9+J10*J9+K10*K9+L10*L9+M10*M9</f>
        <v>77.3245</v>
      </c>
      <c r="O10" s="144"/>
      <c r="P10" s="145"/>
      <c r="Q10" s="113"/>
      <c r="R10" s="113"/>
      <c r="S10" s="146"/>
      <c r="T10" s="147"/>
      <c r="U10" s="148"/>
      <c r="V10" s="149"/>
      <c r="W10" s="150"/>
      <c r="X10" s="151"/>
      <c r="Y10" s="152"/>
      <c r="Z10" s="151"/>
      <c r="AA10" s="153"/>
      <c r="AB10" s="154"/>
      <c r="AC10" s="149"/>
      <c r="AD10" s="148"/>
      <c r="AE10" s="148"/>
      <c r="AF10" s="155"/>
      <c r="AG10" s="156"/>
      <c r="AH10" s="113"/>
      <c r="AI10" s="157"/>
      <c r="AJ10" s="113"/>
      <c r="AK10" s="113"/>
      <c r="AL10" s="158"/>
      <c r="AM10" s="159"/>
      <c r="AN10" s="160"/>
      <c r="AO10" s="160"/>
      <c r="AP10" s="133"/>
      <c r="AQ10" s="134"/>
      <c r="AR10" s="161"/>
      <c r="AS10" s="161"/>
      <c r="AT10" s="161"/>
      <c r="AU10" s="161"/>
      <c r="AV10" s="162"/>
      <c r="AW10" s="137"/>
      <c r="AX10" s="137"/>
    </row>
    <row r="11" ht="46.5" customHeight="1" spans="1:50" s="97" customFormat="1" x14ac:dyDescent="0.25">
      <c r="A11" s="98">
        <v>4</v>
      </c>
      <c r="B11" s="196"/>
      <c r="C11" s="102" t="s">
        <v>59</v>
      </c>
      <c r="D11" s="101" t="s">
        <v>273</v>
      </c>
      <c r="E11" s="163"/>
      <c r="F11" s="102"/>
      <c r="G11" s="103"/>
      <c r="H11" s="171"/>
      <c r="I11" s="105">
        <v>0.7</v>
      </c>
      <c r="J11" s="106">
        <v>0.3</v>
      </c>
      <c r="K11" s="107"/>
      <c r="L11" s="106"/>
      <c r="M11" s="168"/>
      <c r="N11" s="169">
        <f t="shared" ref="N11:N44" si="0">SUM(I11:M11)</f>
        <v>1</v>
      </c>
      <c r="O11" s="144">
        <v>1</v>
      </c>
      <c r="P11" s="112">
        <v>15</v>
      </c>
      <c r="Q11" s="112">
        <v>15</v>
      </c>
      <c r="R11" s="156"/>
      <c r="S11" s="113"/>
      <c r="T11" s="147"/>
      <c r="U11" s="148">
        <f t="shared" ref="U11:U76" si="1">ROUND(((P11*I11)+(Q11*J11)+(R11*K11)+(S11*L11)+(T11*M11))*O11,2)</f>
        <v>15</v>
      </c>
      <c r="V11" s="149">
        <f t="shared" ref="V11:V76" si="2">IF(U11&gt;=15,15,U11)</f>
        <v>15</v>
      </c>
      <c r="W11" s="120">
        <v>7038779000</v>
      </c>
      <c r="X11" s="120">
        <v>1974999000</v>
      </c>
      <c r="Y11" s="120"/>
      <c r="Z11" s="120"/>
      <c r="AA11" s="153"/>
      <c r="AB11" s="154">
        <f t="shared" ref="AB11:AB76" si="3">ROUND((((W11*I11)+(X11*J11)+(Y11*K11)+(Z11*L11)+(AA11*M11))/$I$2),2)*13</f>
        <v>14.95</v>
      </c>
      <c r="AC11" s="149">
        <f t="shared" ref="AC11:AC76" si="4">IF(AB11&gt;=13,13,AB11)</f>
        <v>13</v>
      </c>
      <c r="AD11" s="125">
        <v>1.5</v>
      </c>
      <c r="AE11" s="148">
        <f t="shared" ref="AE11:AE76" si="5">IF((AC11+AD11)&gt;=15,15,(AC11+AD11))</f>
        <v>14.5</v>
      </c>
      <c r="AF11" s="155"/>
      <c r="AG11" s="127">
        <v>4.76</v>
      </c>
      <c r="AH11" s="113">
        <f t="shared" ref="AH11:AH76" si="6">IF((V11+AE11+AF11)&gt;=30,30,(V11+AE11+AF11))</f>
        <v>29.5</v>
      </c>
      <c r="AI11" s="157">
        <v>65</v>
      </c>
      <c r="AJ11" s="113">
        <f t="shared" ref="AJ11:AJ76" si="7">V11+AE11+AF11+AI11+AG11</f>
        <v>99.26</v>
      </c>
      <c r="AK11" s="113">
        <f t="shared" ref="AK11:AK76" si="8">IF(AH11+AI11+AG11&gt;=95,95,AH11+AI11+AG11)</f>
        <v>95</v>
      </c>
      <c r="AL11" s="158">
        <f t="shared" ref="AL11:AL76" si="9">-((50-((176+(45+(50-AH11)))))/200)</f>
        <v>0.9575</v>
      </c>
      <c r="AM11" s="159"/>
      <c r="AN11" s="160">
        <f t="shared" ref="AN11:AO32" si="10">100%+AM11</f>
        <v>1</v>
      </c>
      <c r="AO11" s="160">
        <f t="shared" si="10"/>
        <v>2</v>
      </c>
      <c r="AP11" s="133"/>
      <c r="AQ11" s="134"/>
      <c r="AR11" s="161"/>
      <c r="AS11" s="161"/>
      <c r="AT11" s="161"/>
      <c r="AU11" s="161"/>
      <c r="AV11" s="162"/>
      <c r="AW11" s="137">
        <f t="shared" ref="AW11:AW76" si="11">AR11+AS11+AT11+AU11+AV11</f>
        <v>0</v>
      </c>
      <c r="AX11" s="137">
        <f t="shared" ref="AX11:AX76" si="12">(AR11*I11)+(AS11*J11)+(AT11*K11)+(AU11*L11)+(AV11*M11)</f>
        <v>0</v>
      </c>
    </row>
    <row r="12" ht="21.95" customHeight="1" spans="1:50" s="97" customFormat="1" x14ac:dyDescent="0.25">
      <c r="A12" s="138" t="s">
        <v>56</v>
      </c>
      <c r="B12" s="139"/>
      <c r="C12" s="139"/>
      <c r="D12" s="139"/>
      <c r="E12" s="139"/>
      <c r="F12" s="139"/>
      <c r="G12" s="139"/>
      <c r="H12" s="140"/>
      <c r="I12" s="222">
        <v>85</v>
      </c>
      <c r="J12" s="142">
        <v>85</v>
      </c>
      <c r="K12" s="142"/>
      <c r="L12" s="142"/>
      <c r="M12" s="142"/>
      <c r="N12" s="170">
        <f>I12*I11+J12*J11+K12*K11+L12*L11+M12*M11</f>
        <v>85</v>
      </c>
      <c r="O12" s="144"/>
      <c r="P12" s="145"/>
      <c r="Q12" s="113"/>
      <c r="R12" s="113"/>
      <c r="S12" s="146"/>
      <c r="T12" s="147"/>
      <c r="U12" s="148"/>
      <c r="V12" s="149"/>
      <c r="W12" s="227"/>
      <c r="X12" s="151"/>
      <c r="Y12" s="152"/>
      <c r="Z12" s="151"/>
      <c r="AA12" s="153"/>
      <c r="AB12" s="154"/>
      <c r="AC12" s="149"/>
      <c r="AD12" s="148"/>
      <c r="AE12" s="148"/>
      <c r="AF12" s="155"/>
      <c r="AG12" s="156"/>
      <c r="AH12" s="113"/>
      <c r="AI12" s="157"/>
      <c r="AJ12" s="113"/>
      <c r="AK12" s="113"/>
      <c r="AL12" s="158"/>
      <c r="AM12" s="159"/>
      <c r="AN12" s="160"/>
      <c r="AO12" s="160"/>
      <c r="AP12" s="133"/>
      <c r="AQ12" s="134"/>
      <c r="AR12" s="161"/>
      <c r="AS12" s="161"/>
      <c r="AT12" s="161"/>
      <c r="AU12" s="161"/>
      <c r="AV12" s="162"/>
      <c r="AW12" s="137"/>
      <c r="AX12" s="137"/>
    </row>
    <row r="13" ht="46.5" customHeight="1" spans="1:50" s="97" customFormat="1" x14ac:dyDescent="0.25">
      <c r="A13" s="98"/>
      <c r="B13" s="99"/>
      <c r="C13" s="102"/>
      <c r="D13" s="101"/>
      <c r="E13" s="163"/>
      <c r="F13" s="163"/>
      <c r="G13" s="103"/>
      <c r="H13" s="171"/>
      <c r="I13" s="166"/>
      <c r="J13" s="106"/>
      <c r="K13" s="107"/>
      <c r="L13" s="167"/>
      <c r="M13" s="168"/>
      <c r="N13" s="169">
        <f t="shared" si="0"/>
        <v>0</v>
      </c>
      <c r="O13" s="228">
        <v>1</v>
      </c>
      <c r="P13" s="112">
        <v>15</v>
      </c>
      <c r="Q13" s="112">
        <v>15</v>
      </c>
      <c r="R13" s="112"/>
      <c r="S13" s="146"/>
      <c r="T13" s="147"/>
      <c r="U13" s="148">
        <f t="shared" si="1"/>
        <v>0</v>
      </c>
      <c r="V13" s="149">
        <f t="shared" si="2"/>
        <v>0</v>
      </c>
      <c r="W13" s="120"/>
      <c r="X13" s="120"/>
      <c r="Y13" s="183"/>
      <c r="Z13" s="151"/>
      <c r="AA13" s="153"/>
      <c r="AB13" s="154">
        <f t="shared" si="3"/>
        <v>0</v>
      </c>
      <c r="AC13" s="149">
        <f t="shared" si="4"/>
        <v>0</v>
      </c>
      <c r="AD13" s="125">
        <v>0</v>
      </c>
      <c r="AE13" s="148">
        <f t="shared" si="5"/>
        <v>0</v>
      </c>
      <c r="AF13" s="155"/>
      <c r="AG13" s="127">
        <v>4.76</v>
      </c>
      <c r="AH13" s="113">
        <f t="shared" si="6"/>
        <v>0</v>
      </c>
      <c r="AI13" s="157">
        <v>65</v>
      </c>
      <c r="AJ13" s="113">
        <f t="shared" si="7"/>
        <v>69.76</v>
      </c>
      <c r="AK13" s="113">
        <f t="shared" si="8"/>
        <v>69.76</v>
      </c>
      <c r="AL13" s="158">
        <f t="shared" si="9"/>
        <v>1.105</v>
      </c>
      <c r="AM13" s="159"/>
      <c r="AN13" s="160">
        <f t="shared" si="10"/>
        <v>1</v>
      </c>
      <c r="AO13" s="160">
        <f t="shared" si="10"/>
        <v>2</v>
      </c>
      <c r="AP13" s="133"/>
      <c r="AQ13" s="134"/>
      <c r="AR13" s="161"/>
      <c r="AS13" s="161"/>
      <c r="AT13" s="161"/>
      <c r="AU13" s="161"/>
      <c r="AV13" s="162"/>
      <c r="AW13" s="137">
        <f t="shared" si="11"/>
        <v>0</v>
      </c>
      <c r="AX13" s="137">
        <f t="shared" si="12"/>
        <v>0</v>
      </c>
    </row>
    <row r="14" ht="21.95" customHeight="1" spans="1:50" s="97" customFormat="1" x14ac:dyDescent="0.25">
      <c r="A14" s="138" t="s">
        <v>56</v>
      </c>
      <c r="B14" s="139"/>
      <c r="C14" s="139"/>
      <c r="D14" s="139"/>
      <c r="E14" s="139"/>
      <c r="F14" s="139"/>
      <c r="G14" s="139"/>
      <c r="H14" s="140"/>
      <c r="I14" s="222">
        <v>85</v>
      </c>
      <c r="J14" s="142">
        <v>85</v>
      </c>
      <c r="K14" s="142"/>
      <c r="L14" s="142"/>
      <c r="M14" s="142"/>
      <c r="N14" s="170">
        <f>I14*I13+J14*J13+K14*K13+L14*L13+M14*M13</f>
        <v>0</v>
      </c>
      <c r="O14" s="144"/>
      <c r="P14" s="145"/>
      <c r="Q14" s="113"/>
      <c r="R14" s="113"/>
      <c r="S14" s="146"/>
      <c r="T14" s="147"/>
      <c r="U14" s="148"/>
      <c r="V14" s="149"/>
      <c r="W14" s="150"/>
      <c r="X14" s="151"/>
      <c r="Y14" s="152"/>
      <c r="Z14" s="151"/>
      <c r="AA14" s="153"/>
      <c r="AB14" s="154"/>
      <c r="AC14" s="149"/>
      <c r="AD14" s="148"/>
      <c r="AE14" s="148"/>
      <c r="AF14" s="155"/>
      <c r="AG14" s="156"/>
      <c r="AH14" s="113"/>
      <c r="AI14" s="157"/>
      <c r="AJ14" s="113"/>
      <c r="AK14" s="113"/>
      <c r="AL14" s="158"/>
      <c r="AM14" s="159"/>
      <c r="AN14" s="160"/>
      <c r="AO14" s="160"/>
      <c r="AP14" s="133"/>
      <c r="AQ14" s="134"/>
      <c r="AR14" s="161"/>
      <c r="AS14" s="161"/>
      <c r="AT14" s="161"/>
      <c r="AU14" s="161"/>
      <c r="AV14" s="162"/>
      <c r="AW14" s="137"/>
      <c r="AX14" s="137"/>
    </row>
    <row r="15" ht="46.5" customHeight="1" spans="1:50" s="97" customFormat="1" x14ac:dyDescent="0.25">
      <c r="A15" s="98"/>
      <c r="B15" s="196"/>
      <c r="C15" s="102"/>
      <c r="D15" s="101"/>
      <c r="E15" s="163"/>
      <c r="F15" s="100"/>
      <c r="G15" s="103"/>
      <c r="H15" s="171"/>
      <c r="I15" s="166"/>
      <c r="J15" s="106"/>
      <c r="K15" s="107"/>
      <c r="L15" s="167"/>
      <c r="M15" s="168"/>
      <c r="N15" s="169">
        <f t="shared" si="0"/>
        <v>0</v>
      </c>
      <c r="O15" s="229">
        <v>1.1</v>
      </c>
      <c r="P15" s="112">
        <v>15</v>
      </c>
      <c r="Q15" s="177">
        <v>14.9</v>
      </c>
      <c r="R15" s="112"/>
      <c r="S15" s="146"/>
      <c r="T15" s="147"/>
      <c r="U15" s="148">
        <f t="shared" si="1"/>
        <v>0</v>
      </c>
      <c r="V15" s="149">
        <f t="shared" si="2"/>
        <v>0</v>
      </c>
      <c r="W15" s="120">
        <v>11716746000</v>
      </c>
      <c r="X15" s="120">
        <v>555573000</v>
      </c>
      <c r="Y15" s="183"/>
      <c r="Z15" s="151"/>
      <c r="AA15" s="153"/>
      <c r="AB15" s="154">
        <f t="shared" si="3"/>
        <v>0</v>
      </c>
      <c r="AC15" s="149">
        <f t="shared" si="4"/>
        <v>0</v>
      </c>
      <c r="AD15" s="125">
        <v>0</v>
      </c>
      <c r="AE15" s="148">
        <f t="shared" si="5"/>
        <v>0</v>
      </c>
      <c r="AF15" s="155"/>
      <c r="AG15" s="127">
        <v>4.76</v>
      </c>
      <c r="AH15" s="113">
        <f t="shared" si="6"/>
        <v>0</v>
      </c>
      <c r="AI15" s="157">
        <v>65</v>
      </c>
      <c r="AJ15" s="113">
        <f t="shared" si="7"/>
        <v>69.76</v>
      </c>
      <c r="AK15" s="113">
        <f t="shared" si="8"/>
        <v>69.76</v>
      </c>
      <c r="AL15" s="158">
        <f t="shared" si="9"/>
        <v>1.105</v>
      </c>
      <c r="AM15" s="159"/>
      <c r="AN15" s="160">
        <f t="shared" si="10"/>
        <v>1</v>
      </c>
      <c r="AO15" s="160">
        <f t="shared" si="10"/>
        <v>2</v>
      </c>
      <c r="AP15" s="133"/>
      <c r="AQ15" s="134"/>
      <c r="AR15" s="161"/>
      <c r="AS15" s="161"/>
      <c r="AT15" s="161"/>
      <c r="AU15" s="161"/>
      <c r="AV15" s="162"/>
      <c r="AW15" s="137">
        <f t="shared" si="11"/>
        <v>0</v>
      </c>
      <c r="AX15" s="137">
        <f t="shared" si="12"/>
        <v>0</v>
      </c>
    </row>
    <row r="16" ht="21.95" customHeight="1" spans="1:50" s="97" customFormat="1" x14ac:dyDescent="0.25">
      <c r="A16" s="138" t="s">
        <v>56</v>
      </c>
      <c r="B16" s="139"/>
      <c r="C16" s="139"/>
      <c r="D16" s="139"/>
      <c r="E16" s="139"/>
      <c r="F16" s="139"/>
      <c r="G16" s="139"/>
      <c r="H16" s="140"/>
      <c r="I16" s="222">
        <v>85</v>
      </c>
      <c r="J16" s="142">
        <v>85</v>
      </c>
      <c r="K16" s="142">
        <v>85</v>
      </c>
      <c r="L16" s="142"/>
      <c r="M16" s="142"/>
      <c r="N16" s="170">
        <f>I16*I15+J16*J15+K16*K15+L16*L15+M16*M15</f>
        <v>0</v>
      </c>
      <c r="O16" s="144"/>
      <c r="P16" s="145"/>
      <c r="Q16" s="113"/>
      <c r="R16" s="113"/>
      <c r="S16" s="146"/>
      <c r="T16" s="147"/>
      <c r="U16" s="148"/>
      <c r="V16" s="149"/>
      <c r="W16" s="150"/>
      <c r="X16" s="151"/>
      <c r="Y16" s="152"/>
      <c r="Z16" s="151"/>
      <c r="AA16" s="153"/>
      <c r="AB16" s="154"/>
      <c r="AC16" s="149"/>
      <c r="AD16" s="148"/>
      <c r="AE16" s="148"/>
      <c r="AF16" s="155"/>
      <c r="AG16" s="156"/>
      <c r="AH16" s="113"/>
      <c r="AI16" s="157"/>
      <c r="AJ16" s="113"/>
      <c r="AK16" s="113"/>
      <c r="AL16" s="158"/>
      <c r="AM16" s="159"/>
      <c r="AN16" s="160"/>
      <c r="AO16" s="160"/>
      <c r="AP16" s="133"/>
      <c r="AQ16" s="134"/>
      <c r="AR16" s="161"/>
      <c r="AS16" s="161"/>
      <c r="AT16" s="161"/>
      <c r="AU16" s="161"/>
      <c r="AV16" s="162"/>
      <c r="AW16" s="137"/>
      <c r="AX16" s="137"/>
    </row>
    <row r="17" ht="46.5" customHeight="1" spans="1:50" s="97" customFormat="1" x14ac:dyDescent="0.25">
      <c r="A17" s="98"/>
      <c r="B17" s="196"/>
      <c r="C17" s="102"/>
      <c r="D17" s="101"/>
      <c r="E17" s="224"/>
      <c r="F17" s="224"/>
      <c r="G17" s="103"/>
      <c r="H17" s="182"/>
      <c r="I17" s="166">
        <v>0.51</v>
      </c>
      <c r="J17" s="107">
        <v>0.49</v>
      </c>
      <c r="K17" s="107"/>
      <c r="L17" s="167"/>
      <c r="M17" s="168"/>
      <c r="N17" s="169">
        <f t="shared" si="0"/>
        <v>1</v>
      </c>
      <c r="O17" s="144">
        <v>1</v>
      </c>
      <c r="P17" s="112">
        <v>15</v>
      </c>
      <c r="Q17" s="112">
        <v>15</v>
      </c>
      <c r="R17" s="113"/>
      <c r="S17" s="146"/>
      <c r="T17" s="147"/>
      <c r="U17" s="148">
        <f t="shared" si="1"/>
        <v>15</v>
      </c>
      <c r="V17" s="149">
        <f t="shared" si="2"/>
        <v>15</v>
      </c>
      <c r="W17" s="120"/>
      <c r="X17" s="120"/>
      <c r="Y17" s="120"/>
      <c r="Z17" s="151"/>
      <c r="AA17" s="153"/>
      <c r="AB17" s="154">
        <f t="shared" si="3"/>
        <v>0</v>
      </c>
      <c r="AC17" s="149">
        <f t="shared" si="4"/>
        <v>0</v>
      </c>
      <c r="AD17" s="125">
        <v>2</v>
      </c>
      <c r="AE17" s="148">
        <f t="shared" si="5"/>
        <v>2</v>
      </c>
      <c r="AF17" s="156"/>
      <c r="AG17" s="127"/>
      <c r="AH17" s="113">
        <f t="shared" si="6"/>
        <v>17</v>
      </c>
      <c r="AI17" s="157">
        <v>65</v>
      </c>
      <c r="AJ17" s="113">
        <f t="shared" si="7"/>
        <v>82</v>
      </c>
      <c r="AK17" s="113">
        <f t="shared" si="8"/>
        <v>82</v>
      </c>
      <c r="AL17" s="158">
        <f t="shared" si="9"/>
        <v>1.02</v>
      </c>
      <c r="AM17" s="159"/>
      <c r="AN17" s="160">
        <f t="shared" si="10"/>
        <v>1</v>
      </c>
      <c r="AO17" s="160">
        <f t="shared" si="10"/>
        <v>2</v>
      </c>
      <c r="AP17" s="133"/>
      <c r="AQ17" s="134"/>
      <c r="AR17" s="161"/>
      <c r="AS17" s="161"/>
      <c r="AT17" s="161"/>
      <c r="AU17" s="161"/>
      <c r="AV17" s="162"/>
      <c r="AW17" s="137">
        <f t="shared" si="11"/>
        <v>0</v>
      </c>
      <c r="AX17" s="137">
        <f t="shared" si="12"/>
        <v>0</v>
      </c>
    </row>
    <row r="18" ht="46.5" customHeight="1" spans="1:50" s="97" customFormat="1" x14ac:dyDescent="0.25">
      <c r="A18" s="98"/>
      <c r="B18" s="99"/>
      <c r="C18" s="102" t="s">
        <v>63</v>
      </c>
      <c r="D18" s="102"/>
      <c r="E18" s="224"/>
      <c r="F18" s="100"/>
      <c r="G18" s="103"/>
      <c r="H18" s="186"/>
      <c r="I18" s="166">
        <v>0.51</v>
      </c>
      <c r="J18" s="107">
        <v>0.49</v>
      </c>
      <c r="K18" s="107"/>
      <c r="L18" s="167"/>
      <c r="M18" s="168"/>
      <c r="N18" s="169">
        <f t="shared" si="0"/>
        <v>1</v>
      </c>
      <c r="O18" s="144">
        <v>1</v>
      </c>
      <c r="P18" s="112">
        <v>15</v>
      </c>
      <c r="Q18" s="112">
        <v>15</v>
      </c>
      <c r="R18" s="113"/>
      <c r="S18" s="146"/>
      <c r="T18" s="147"/>
      <c r="U18" s="148">
        <f t="shared" si="1"/>
        <v>15</v>
      </c>
      <c r="V18" s="149">
        <f t="shared" si="2"/>
        <v>15</v>
      </c>
      <c r="W18" s="183"/>
      <c r="X18" s="183"/>
      <c r="Y18" s="183"/>
      <c r="Z18" s="151"/>
      <c r="AA18" s="153"/>
      <c r="AB18" s="154">
        <f t="shared" si="3"/>
        <v>0</v>
      </c>
      <c r="AC18" s="149">
        <f t="shared" si="4"/>
        <v>0</v>
      </c>
      <c r="AD18" s="125">
        <v>2</v>
      </c>
      <c r="AE18" s="148">
        <f t="shared" si="5"/>
        <v>2</v>
      </c>
      <c r="AF18" s="156"/>
      <c r="AG18" s="127"/>
      <c r="AH18" s="113">
        <f t="shared" si="6"/>
        <v>17</v>
      </c>
      <c r="AI18" s="157">
        <v>65</v>
      </c>
      <c r="AJ18" s="113">
        <f t="shared" si="7"/>
        <v>82</v>
      </c>
      <c r="AK18" s="113">
        <f t="shared" si="8"/>
        <v>82</v>
      </c>
      <c r="AL18" s="158">
        <f t="shared" si="9"/>
        <v>1.02</v>
      </c>
      <c r="AM18" s="159"/>
      <c r="AN18" s="160">
        <f t="shared" si="10"/>
        <v>1</v>
      </c>
      <c r="AO18" s="160">
        <f t="shared" si="10"/>
        <v>2</v>
      </c>
      <c r="AP18" s="133"/>
      <c r="AQ18" s="134"/>
      <c r="AR18" s="161"/>
      <c r="AS18" s="161"/>
      <c r="AT18" s="161"/>
      <c r="AU18" s="161"/>
      <c r="AV18" s="162"/>
      <c r="AW18" s="137">
        <f t="shared" si="11"/>
        <v>0</v>
      </c>
      <c r="AX18" s="137">
        <f t="shared" si="12"/>
        <v>0</v>
      </c>
    </row>
    <row r="19" ht="46.5" customHeight="1" spans="1:50" s="97" customFormat="1" x14ac:dyDescent="0.25">
      <c r="A19" s="98"/>
      <c r="B19" s="99"/>
      <c r="C19" s="102" t="s">
        <v>274</v>
      </c>
      <c r="D19" s="101" t="s">
        <v>275</v>
      </c>
      <c r="E19" s="224"/>
      <c r="F19" s="224"/>
      <c r="G19" s="103"/>
      <c r="H19" s="186"/>
      <c r="I19" s="166">
        <v>0.51</v>
      </c>
      <c r="J19" s="107">
        <v>0.49</v>
      </c>
      <c r="K19" s="107"/>
      <c r="L19" s="107"/>
      <c r="M19" s="187"/>
      <c r="N19" s="169">
        <f t="shared" si="0"/>
        <v>1</v>
      </c>
      <c r="O19" s="144">
        <v>1</v>
      </c>
      <c r="P19" s="112">
        <v>15</v>
      </c>
      <c r="Q19" s="112">
        <v>15</v>
      </c>
      <c r="R19" s="113"/>
      <c r="S19" s="113"/>
      <c r="T19" s="146"/>
      <c r="U19" s="148">
        <f t="shared" si="1"/>
        <v>15</v>
      </c>
      <c r="V19" s="149">
        <f t="shared" si="2"/>
        <v>15</v>
      </c>
      <c r="W19" s="188"/>
      <c r="X19" s="161"/>
      <c r="Y19" s="189"/>
      <c r="Z19" s="190"/>
      <c r="AA19" s="153"/>
      <c r="AB19" s="154">
        <f t="shared" si="3"/>
        <v>0</v>
      </c>
      <c r="AC19" s="149">
        <f t="shared" si="4"/>
        <v>0</v>
      </c>
      <c r="AD19" s="125">
        <v>2</v>
      </c>
      <c r="AE19" s="148">
        <f t="shared" si="5"/>
        <v>2</v>
      </c>
      <c r="AF19" s="156"/>
      <c r="AG19" s="156"/>
      <c r="AH19" s="113">
        <f t="shared" si="6"/>
        <v>17</v>
      </c>
      <c r="AI19" s="157">
        <v>65</v>
      </c>
      <c r="AJ19" s="113">
        <f t="shared" si="7"/>
        <v>82</v>
      </c>
      <c r="AK19" s="113">
        <f t="shared" si="8"/>
        <v>82</v>
      </c>
      <c r="AL19" s="158">
        <f t="shared" si="9"/>
        <v>1.02</v>
      </c>
      <c r="AM19" s="159"/>
      <c r="AN19" s="160">
        <f t="shared" si="10"/>
        <v>1</v>
      </c>
      <c r="AO19" s="160">
        <f t="shared" si="10"/>
        <v>2</v>
      </c>
      <c r="AP19" s="133"/>
      <c r="AQ19" s="134"/>
      <c r="AR19" s="161"/>
      <c r="AS19" s="161"/>
      <c r="AT19" s="161"/>
      <c r="AU19" s="161"/>
      <c r="AV19" s="162"/>
      <c r="AW19" s="137">
        <f t="shared" si="11"/>
        <v>0</v>
      </c>
      <c r="AX19" s="137">
        <f t="shared" si="12"/>
        <v>0</v>
      </c>
    </row>
    <row r="20" ht="46.5" customHeight="1" spans="1:50" s="97" customFormat="1" x14ac:dyDescent="0.25">
      <c r="A20" s="98"/>
      <c r="B20" s="102"/>
      <c r="C20" s="101" t="s">
        <v>276</v>
      </c>
      <c r="D20" s="100"/>
      <c r="E20" s="100"/>
      <c r="F20" s="224"/>
      <c r="G20" s="103"/>
      <c r="H20" s="186"/>
      <c r="I20" s="166">
        <v>0.51</v>
      </c>
      <c r="J20" s="107">
        <v>0.49</v>
      </c>
      <c r="K20" s="191"/>
      <c r="L20" s="107"/>
      <c r="M20" s="187"/>
      <c r="N20" s="169">
        <f t="shared" si="0"/>
        <v>1</v>
      </c>
      <c r="O20" s="144">
        <v>1</v>
      </c>
      <c r="P20" s="112">
        <v>15</v>
      </c>
      <c r="Q20" s="112">
        <v>15</v>
      </c>
      <c r="R20" s="113"/>
      <c r="S20" s="113"/>
      <c r="T20" s="146"/>
      <c r="U20" s="148">
        <f t="shared" si="1"/>
        <v>15</v>
      </c>
      <c r="V20" s="149">
        <f t="shared" si="2"/>
        <v>15</v>
      </c>
      <c r="W20" s="192"/>
      <c r="X20" s="120"/>
      <c r="Y20" s="120"/>
      <c r="Z20" s="190"/>
      <c r="AA20" s="153"/>
      <c r="AB20" s="154">
        <f t="shared" si="3"/>
        <v>0</v>
      </c>
      <c r="AC20" s="149">
        <f t="shared" si="4"/>
        <v>0</v>
      </c>
      <c r="AD20" s="125">
        <v>2</v>
      </c>
      <c r="AE20" s="148">
        <f t="shared" si="5"/>
        <v>2</v>
      </c>
      <c r="AF20" s="156"/>
      <c r="AG20" s="156"/>
      <c r="AH20" s="113">
        <f t="shared" si="6"/>
        <v>17</v>
      </c>
      <c r="AI20" s="157">
        <v>65</v>
      </c>
      <c r="AJ20" s="113">
        <f t="shared" si="7"/>
        <v>82</v>
      </c>
      <c r="AK20" s="113">
        <f t="shared" si="8"/>
        <v>82</v>
      </c>
      <c r="AL20" s="158">
        <f t="shared" si="9"/>
        <v>1.02</v>
      </c>
      <c r="AM20" s="159"/>
      <c r="AN20" s="160">
        <f t="shared" si="10"/>
        <v>1</v>
      </c>
      <c r="AO20" s="160">
        <f t="shared" si="10"/>
        <v>2</v>
      </c>
      <c r="AP20" s="133"/>
      <c r="AQ20" s="134"/>
      <c r="AR20" s="161"/>
      <c r="AS20" s="161"/>
      <c r="AT20" s="161"/>
      <c r="AU20" s="161"/>
      <c r="AV20" s="162"/>
      <c r="AW20" s="137">
        <f t="shared" si="11"/>
        <v>0</v>
      </c>
      <c r="AX20" s="137">
        <f t="shared" si="12"/>
        <v>0</v>
      </c>
    </row>
    <row r="21" ht="46.5" customHeight="1" spans="1:50" s="97" customFormat="1" x14ac:dyDescent="0.25">
      <c r="A21" s="98"/>
      <c r="B21" s="102"/>
      <c r="C21" s="102"/>
      <c r="D21" s="102"/>
      <c r="E21" s="100"/>
      <c r="F21" s="100"/>
      <c r="G21" s="103"/>
      <c r="H21" s="186"/>
      <c r="I21" s="166">
        <v>0.51</v>
      </c>
      <c r="J21" s="107">
        <v>0.49</v>
      </c>
      <c r="K21" s="107"/>
      <c r="L21" s="107"/>
      <c r="M21" s="187"/>
      <c r="N21" s="169">
        <f t="shared" si="0"/>
        <v>1</v>
      </c>
      <c r="O21" s="144">
        <v>1</v>
      </c>
      <c r="P21" s="145">
        <v>15</v>
      </c>
      <c r="Q21" s="113">
        <v>15</v>
      </c>
      <c r="R21" s="113"/>
      <c r="S21" s="113"/>
      <c r="T21" s="146"/>
      <c r="U21" s="148">
        <f t="shared" si="1"/>
        <v>15</v>
      </c>
      <c r="V21" s="149">
        <f t="shared" si="2"/>
        <v>15</v>
      </c>
      <c r="W21" s="192"/>
      <c r="X21" s="183"/>
      <c r="Y21" s="120"/>
      <c r="Z21" s="190"/>
      <c r="AA21" s="153"/>
      <c r="AB21" s="154">
        <f t="shared" si="3"/>
        <v>0</v>
      </c>
      <c r="AC21" s="149">
        <f t="shared" si="4"/>
        <v>0</v>
      </c>
      <c r="AD21" s="125">
        <v>2</v>
      </c>
      <c r="AE21" s="148">
        <f t="shared" si="5"/>
        <v>2</v>
      </c>
      <c r="AF21" s="156"/>
      <c r="AG21" s="156"/>
      <c r="AH21" s="113">
        <f t="shared" si="6"/>
        <v>17</v>
      </c>
      <c r="AI21" s="157">
        <v>65</v>
      </c>
      <c r="AJ21" s="113">
        <f t="shared" si="7"/>
        <v>82</v>
      </c>
      <c r="AK21" s="113">
        <f t="shared" si="8"/>
        <v>82</v>
      </c>
      <c r="AL21" s="158">
        <f t="shared" si="9"/>
        <v>1.02</v>
      </c>
      <c r="AM21" s="159"/>
      <c r="AN21" s="160">
        <f t="shared" si="10"/>
        <v>1</v>
      </c>
      <c r="AO21" s="160">
        <f t="shared" si="10"/>
        <v>2</v>
      </c>
      <c r="AP21" s="133"/>
      <c r="AQ21" s="134"/>
      <c r="AR21" s="161"/>
      <c r="AS21" s="161"/>
      <c r="AT21" s="161"/>
      <c r="AU21" s="161"/>
      <c r="AV21" s="162"/>
      <c r="AW21" s="137">
        <f t="shared" si="11"/>
        <v>0</v>
      </c>
      <c r="AX21" s="137">
        <f t="shared" si="12"/>
        <v>0</v>
      </c>
    </row>
    <row r="22" ht="46.5" customHeight="1" spans="1:50" s="97" customFormat="1" x14ac:dyDescent="0.25">
      <c r="A22" s="98"/>
      <c r="B22" s="102"/>
      <c r="C22" s="102"/>
      <c r="D22" s="102"/>
      <c r="E22" s="102"/>
      <c r="F22" s="100"/>
      <c r="G22" s="103"/>
      <c r="H22" s="186"/>
      <c r="I22" s="195">
        <v>0.51</v>
      </c>
      <c r="J22" s="107">
        <v>0.49</v>
      </c>
      <c r="K22" s="107"/>
      <c r="L22" s="107"/>
      <c r="M22" s="187"/>
      <c r="N22" s="169">
        <f t="shared" si="0"/>
        <v>1</v>
      </c>
      <c r="O22" s="144">
        <v>1</v>
      </c>
      <c r="P22" s="145">
        <v>15</v>
      </c>
      <c r="Q22" s="113">
        <v>15</v>
      </c>
      <c r="R22" s="113"/>
      <c r="S22" s="113"/>
      <c r="T22" s="146"/>
      <c r="U22" s="148">
        <f t="shared" si="1"/>
        <v>15</v>
      </c>
      <c r="V22" s="149">
        <f t="shared" si="2"/>
        <v>15</v>
      </c>
      <c r="W22" s="192"/>
      <c r="X22" s="183"/>
      <c r="Y22" s="183"/>
      <c r="Z22" s="190"/>
      <c r="AA22" s="153"/>
      <c r="AB22" s="154">
        <f t="shared" si="3"/>
        <v>0</v>
      </c>
      <c r="AC22" s="149">
        <f t="shared" si="4"/>
        <v>0</v>
      </c>
      <c r="AD22" s="125">
        <v>2</v>
      </c>
      <c r="AE22" s="148">
        <f t="shared" si="5"/>
        <v>2</v>
      </c>
      <c r="AF22" s="156"/>
      <c r="AG22" s="156"/>
      <c r="AH22" s="113">
        <f t="shared" si="6"/>
        <v>17</v>
      </c>
      <c r="AI22" s="157">
        <v>65</v>
      </c>
      <c r="AJ22" s="113">
        <f t="shared" si="7"/>
        <v>82</v>
      </c>
      <c r="AK22" s="113">
        <f t="shared" si="8"/>
        <v>82</v>
      </c>
      <c r="AL22" s="158">
        <f t="shared" si="9"/>
        <v>1.02</v>
      </c>
      <c r="AM22" s="159"/>
      <c r="AN22" s="160">
        <f t="shared" si="10"/>
        <v>1</v>
      </c>
      <c r="AO22" s="160">
        <f t="shared" si="10"/>
        <v>2</v>
      </c>
      <c r="AP22" s="133"/>
      <c r="AQ22" s="134"/>
      <c r="AR22" s="161"/>
      <c r="AS22" s="161"/>
      <c r="AT22" s="161"/>
      <c r="AU22" s="161"/>
      <c r="AV22" s="162"/>
      <c r="AW22" s="137">
        <f t="shared" si="11"/>
        <v>0</v>
      </c>
      <c r="AX22" s="137">
        <f t="shared" si="12"/>
        <v>0</v>
      </c>
    </row>
    <row r="23" ht="46.5" customHeight="1" spans="1:50" s="97" customFormat="1" x14ac:dyDescent="0.25">
      <c r="A23" s="98"/>
      <c r="B23" s="196"/>
      <c r="C23" s="100"/>
      <c r="D23" s="102"/>
      <c r="E23" s="100"/>
      <c r="F23" s="100"/>
      <c r="G23" s="103"/>
      <c r="H23" s="186"/>
      <c r="I23" s="195">
        <v>0.51</v>
      </c>
      <c r="J23" s="107">
        <v>0.49</v>
      </c>
      <c r="K23" s="107"/>
      <c r="L23" s="107"/>
      <c r="M23" s="187"/>
      <c r="N23" s="169">
        <f t="shared" si="0"/>
        <v>1</v>
      </c>
      <c r="O23" s="144">
        <v>1</v>
      </c>
      <c r="P23" s="145">
        <v>15</v>
      </c>
      <c r="Q23" s="113">
        <v>15</v>
      </c>
      <c r="R23" s="156"/>
      <c r="S23" s="113"/>
      <c r="T23" s="146"/>
      <c r="U23" s="148">
        <f t="shared" si="1"/>
        <v>15</v>
      </c>
      <c r="V23" s="149">
        <f t="shared" si="2"/>
        <v>15</v>
      </c>
      <c r="W23" s="197"/>
      <c r="X23" s="120"/>
      <c r="Y23" s="183"/>
      <c r="Z23" s="190"/>
      <c r="AA23" s="153"/>
      <c r="AB23" s="154">
        <f t="shared" si="3"/>
        <v>0</v>
      </c>
      <c r="AC23" s="149">
        <f t="shared" si="4"/>
        <v>0</v>
      </c>
      <c r="AD23" s="125">
        <v>2</v>
      </c>
      <c r="AE23" s="148">
        <f t="shared" si="5"/>
        <v>2</v>
      </c>
      <c r="AF23" s="156"/>
      <c r="AG23" s="156"/>
      <c r="AH23" s="113">
        <f t="shared" si="6"/>
        <v>17</v>
      </c>
      <c r="AI23" s="157">
        <v>65</v>
      </c>
      <c r="AJ23" s="113">
        <f t="shared" si="7"/>
        <v>82</v>
      </c>
      <c r="AK23" s="113">
        <f t="shared" si="8"/>
        <v>82</v>
      </c>
      <c r="AL23" s="158">
        <f t="shared" si="9"/>
        <v>1.02</v>
      </c>
      <c r="AM23" s="159"/>
      <c r="AN23" s="160">
        <f t="shared" si="10"/>
        <v>1</v>
      </c>
      <c r="AO23" s="160">
        <f t="shared" si="10"/>
        <v>2</v>
      </c>
      <c r="AP23" s="133"/>
      <c r="AQ23" s="134"/>
      <c r="AR23" s="161"/>
      <c r="AS23" s="161"/>
      <c r="AT23" s="161"/>
      <c r="AU23" s="161"/>
      <c r="AV23" s="162"/>
      <c r="AW23" s="137">
        <f t="shared" si="11"/>
        <v>0</v>
      </c>
      <c r="AX23" s="137">
        <f t="shared" si="12"/>
        <v>0</v>
      </c>
    </row>
    <row r="24" ht="46.5" customHeight="1" spans="1:50" s="97" customFormat="1" x14ac:dyDescent="0.25">
      <c r="A24" s="100"/>
      <c r="B24" s="100"/>
      <c r="C24" s="100"/>
      <c r="D24" s="100"/>
      <c r="E24" s="100"/>
      <c r="F24" s="100"/>
      <c r="G24" s="103"/>
      <c r="H24" s="186"/>
      <c r="I24" s="195">
        <v>0.51</v>
      </c>
      <c r="J24" s="107">
        <v>0.49</v>
      </c>
      <c r="K24" s="107"/>
      <c r="L24" s="107"/>
      <c r="M24" s="187"/>
      <c r="N24" s="169">
        <f t="shared" si="0"/>
        <v>1</v>
      </c>
      <c r="O24" s="144">
        <v>1</v>
      </c>
      <c r="P24" s="145">
        <v>15</v>
      </c>
      <c r="Q24" s="113">
        <v>15</v>
      </c>
      <c r="R24" s="113"/>
      <c r="S24" s="113"/>
      <c r="T24" s="146"/>
      <c r="U24" s="148">
        <f t="shared" si="1"/>
        <v>15</v>
      </c>
      <c r="V24" s="149">
        <f t="shared" si="2"/>
        <v>15</v>
      </c>
      <c r="W24" s="189"/>
      <c r="X24" s="199"/>
      <c r="Y24" s="151"/>
      <c r="Z24" s="190"/>
      <c r="AA24" s="153"/>
      <c r="AB24" s="154">
        <f t="shared" si="3"/>
        <v>0</v>
      </c>
      <c r="AC24" s="149">
        <f t="shared" si="4"/>
        <v>0</v>
      </c>
      <c r="AD24" s="125">
        <v>2</v>
      </c>
      <c r="AE24" s="148">
        <f t="shared" si="5"/>
        <v>2</v>
      </c>
      <c r="AF24" s="156"/>
      <c r="AG24" s="156"/>
      <c r="AH24" s="113">
        <f t="shared" si="6"/>
        <v>17</v>
      </c>
      <c r="AI24" s="157">
        <v>65</v>
      </c>
      <c r="AJ24" s="113">
        <f t="shared" si="7"/>
        <v>82</v>
      </c>
      <c r="AK24" s="113">
        <f t="shared" si="8"/>
        <v>82</v>
      </c>
      <c r="AL24" s="158">
        <f t="shared" si="9"/>
        <v>1.02</v>
      </c>
      <c r="AM24" s="159"/>
      <c r="AN24" s="160">
        <f t="shared" si="10"/>
        <v>1</v>
      </c>
      <c r="AO24" s="160">
        <f t="shared" si="10"/>
        <v>2</v>
      </c>
      <c r="AP24" s="133"/>
      <c r="AQ24" s="134"/>
      <c r="AR24" s="161"/>
      <c r="AS24" s="161"/>
      <c r="AT24" s="161"/>
      <c r="AU24" s="161"/>
      <c r="AV24" s="162"/>
      <c r="AW24" s="137">
        <f t="shared" si="11"/>
        <v>0</v>
      </c>
      <c r="AX24" s="137">
        <f t="shared" si="12"/>
        <v>0</v>
      </c>
    </row>
    <row r="25" ht="46.5" customHeight="1" spans="1:50" s="97" customFormat="1" x14ac:dyDescent="0.25">
      <c r="A25" s="100"/>
      <c r="B25" s="100"/>
      <c r="C25" s="100"/>
      <c r="D25" s="100"/>
      <c r="E25" s="100"/>
      <c r="F25" s="100"/>
      <c r="G25" s="103"/>
      <c r="H25" s="186"/>
      <c r="I25" s="195">
        <v>0.51</v>
      </c>
      <c r="J25" s="107">
        <v>0.49</v>
      </c>
      <c r="K25" s="107"/>
      <c r="L25" s="107"/>
      <c r="M25" s="187"/>
      <c r="N25" s="169">
        <f t="shared" si="0"/>
        <v>1</v>
      </c>
      <c r="O25" s="144">
        <v>1</v>
      </c>
      <c r="P25" s="145">
        <v>15</v>
      </c>
      <c r="Q25" s="113">
        <v>15</v>
      </c>
      <c r="R25" s="113"/>
      <c r="S25" s="113"/>
      <c r="T25" s="146"/>
      <c r="U25" s="148">
        <f t="shared" si="1"/>
        <v>15</v>
      </c>
      <c r="V25" s="149">
        <f t="shared" si="2"/>
        <v>15</v>
      </c>
      <c r="W25" s="189"/>
      <c r="X25" s="199"/>
      <c r="Y25" s="151"/>
      <c r="Z25" s="190"/>
      <c r="AA25" s="153"/>
      <c r="AB25" s="154">
        <f t="shared" si="3"/>
        <v>0</v>
      </c>
      <c r="AC25" s="149">
        <f t="shared" si="4"/>
        <v>0</v>
      </c>
      <c r="AD25" s="125">
        <v>2</v>
      </c>
      <c r="AE25" s="148">
        <f t="shared" si="5"/>
        <v>2</v>
      </c>
      <c r="AF25" s="156"/>
      <c r="AG25" s="156"/>
      <c r="AH25" s="113">
        <f t="shared" si="6"/>
        <v>17</v>
      </c>
      <c r="AI25" s="157">
        <v>65</v>
      </c>
      <c r="AJ25" s="113">
        <f t="shared" si="7"/>
        <v>82</v>
      </c>
      <c r="AK25" s="113">
        <f t="shared" si="8"/>
        <v>82</v>
      </c>
      <c r="AL25" s="158">
        <f t="shared" si="9"/>
        <v>1.02</v>
      </c>
      <c r="AM25" s="159"/>
      <c r="AN25" s="160">
        <f t="shared" si="10"/>
        <v>1</v>
      </c>
      <c r="AO25" s="160">
        <f t="shared" si="10"/>
        <v>2</v>
      </c>
      <c r="AP25" s="133"/>
      <c r="AQ25" s="134"/>
      <c r="AR25" s="161"/>
      <c r="AS25" s="161"/>
      <c r="AT25" s="161"/>
      <c r="AU25" s="161"/>
      <c r="AV25" s="162"/>
      <c r="AW25" s="137">
        <f t="shared" si="11"/>
        <v>0</v>
      </c>
      <c r="AX25" s="137">
        <f t="shared" si="12"/>
        <v>0</v>
      </c>
    </row>
    <row r="26" ht="46.5" customHeight="1" spans="1:50" s="97" customFormat="1" x14ac:dyDescent="0.25">
      <c r="A26" s="100"/>
      <c r="B26" s="100"/>
      <c r="C26" s="100"/>
      <c r="D26" s="100"/>
      <c r="E26" s="100"/>
      <c r="F26" s="100"/>
      <c r="G26" s="103"/>
      <c r="H26" s="186"/>
      <c r="I26" s="195">
        <v>0.51</v>
      </c>
      <c r="J26" s="107">
        <v>0.49</v>
      </c>
      <c r="K26" s="107"/>
      <c r="L26" s="107"/>
      <c r="M26" s="187"/>
      <c r="N26" s="169">
        <f t="shared" si="0"/>
        <v>1</v>
      </c>
      <c r="O26" s="144">
        <v>1</v>
      </c>
      <c r="P26" s="145">
        <v>15</v>
      </c>
      <c r="Q26" s="113">
        <v>15</v>
      </c>
      <c r="R26" s="113"/>
      <c r="S26" s="113"/>
      <c r="T26" s="146"/>
      <c r="U26" s="148">
        <f t="shared" si="1"/>
        <v>15</v>
      </c>
      <c r="V26" s="149">
        <f t="shared" si="2"/>
        <v>15</v>
      </c>
      <c r="W26" s="189"/>
      <c r="X26" s="199"/>
      <c r="Y26" s="151"/>
      <c r="Z26" s="190"/>
      <c r="AA26" s="153"/>
      <c r="AB26" s="154">
        <f t="shared" si="3"/>
        <v>0</v>
      </c>
      <c r="AC26" s="149">
        <f t="shared" si="4"/>
        <v>0</v>
      </c>
      <c r="AD26" s="125">
        <v>2</v>
      </c>
      <c r="AE26" s="148">
        <f t="shared" si="5"/>
        <v>2</v>
      </c>
      <c r="AF26" s="156"/>
      <c r="AG26" s="156"/>
      <c r="AH26" s="113">
        <f t="shared" si="6"/>
        <v>17</v>
      </c>
      <c r="AI26" s="157">
        <v>65</v>
      </c>
      <c r="AJ26" s="113">
        <f t="shared" si="7"/>
        <v>82</v>
      </c>
      <c r="AK26" s="113">
        <f t="shared" si="8"/>
        <v>82</v>
      </c>
      <c r="AL26" s="158">
        <f t="shared" si="9"/>
        <v>1.02</v>
      </c>
      <c r="AM26" s="159"/>
      <c r="AN26" s="160">
        <f t="shared" si="10"/>
        <v>1</v>
      </c>
      <c r="AO26" s="160">
        <f t="shared" si="10"/>
        <v>2</v>
      </c>
      <c r="AP26" s="133"/>
      <c r="AQ26" s="134"/>
      <c r="AR26" s="161"/>
      <c r="AS26" s="161"/>
      <c r="AT26" s="161"/>
      <c r="AU26" s="161"/>
      <c r="AV26" s="162"/>
      <c r="AW26" s="137">
        <f t="shared" si="11"/>
        <v>0</v>
      </c>
      <c r="AX26" s="137">
        <f t="shared" si="12"/>
        <v>0</v>
      </c>
    </row>
    <row r="27" ht="46.5" customHeight="1" spans="1:50" s="97" customFormat="1" x14ac:dyDescent="0.25">
      <c r="A27" s="100"/>
      <c r="B27" s="100"/>
      <c r="C27" s="100"/>
      <c r="D27" s="100"/>
      <c r="E27" s="100"/>
      <c r="F27" s="100"/>
      <c r="G27" s="103"/>
      <c r="H27" s="186"/>
      <c r="I27" s="195">
        <v>0.51</v>
      </c>
      <c r="J27" s="107">
        <v>0.49</v>
      </c>
      <c r="K27" s="107"/>
      <c r="L27" s="107"/>
      <c r="M27" s="187"/>
      <c r="N27" s="169">
        <f t="shared" si="0"/>
        <v>1</v>
      </c>
      <c r="O27" s="144">
        <v>1</v>
      </c>
      <c r="P27" s="145">
        <v>15</v>
      </c>
      <c r="Q27" s="113">
        <v>15</v>
      </c>
      <c r="R27" s="113"/>
      <c r="S27" s="113"/>
      <c r="T27" s="146"/>
      <c r="U27" s="148">
        <f t="shared" si="1"/>
        <v>15</v>
      </c>
      <c r="V27" s="149">
        <f t="shared" si="2"/>
        <v>15</v>
      </c>
      <c r="W27" s="189"/>
      <c r="X27" s="199"/>
      <c r="Y27" s="151"/>
      <c r="Z27" s="190"/>
      <c r="AA27" s="153"/>
      <c r="AB27" s="154">
        <f t="shared" si="3"/>
        <v>0</v>
      </c>
      <c r="AC27" s="149">
        <f t="shared" si="4"/>
        <v>0</v>
      </c>
      <c r="AD27" s="125">
        <v>2</v>
      </c>
      <c r="AE27" s="148">
        <f t="shared" si="5"/>
        <v>2</v>
      </c>
      <c r="AF27" s="156"/>
      <c r="AG27" s="156"/>
      <c r="AH27" s="113">
        <f t="shared" si="6"/>
        <v>17</v>
      </c>
      <c r="AI27" s="157">
        <v>65</v>
      </c>
      <c r="AJ27" s="113">
        <f t="shared" si="7"/>
        <v>82</v>
      </c>
      <c r="AK27" s="113">
        <f t="shared" si="8"/>
        <v>82</v>
      </c>
      <c r="AL27" s="158">
        <f t="shared" si="9"/>
        <v>1.02</v>
      </c>
      <c r="AM27" s="159"/>
      <c r="AN27" s="160">
        <f t="shared" si="10"/>
        <v>1</v>
      </c>
      <c r="AO27" s="160">
        <f t="shared" si="10"/>
        <v>2</v>
      </c>
      <c r="AP27" s="133"/>
      <c r="AQ27" s="134"/>
      <c r="AR27" s="161"/>
      <c r="AS27" s="161"/>
      <c r="AT27" s="161"/>
      <c r="AU27" s="161"/>
      <c r="AV27" s="162"/>
      <c r="AW27" s="137">
        <f t="shared" si="11"/>
        <v>0</v>
      </c>
      <c r="AX27" s="137">
        <f t="shared" si="12"/>
        <v>0</v>
      </c>
    </row>
    <row r="28" ht="46.5" customHeight="1" spans="1:50" s="97" customFormat="1" x14ac:dyDescent="0.25">
      <c r="A28" s="100"/>
      <c r="B28" s="100"/>
      <c r="C28" s="100"/>
      <c r="D28" s="100"/>
      <c r="E28" s="100"/>
      <c r="F28" s="100"/>
      <c r="G28" s="103"/>
      <c r="H28" s="186"/>
      <c r="I28" s="195">
        <v>0.51</v>
      </c>
      <c r="J28" s="107">
        <v>0.49</v>
      </c>
      <c r="K28" s="107"/>
      <c r="L28" s="107"/>
      <c r="M28" s="187"/>
      <c r="N28" s="169">
        <f t="shared" si="0"/>
        <v>1</v>
      </c>
      <c r="O28" s="144">
        <v>1</v>
      </c>
      <c r="P28" s="145">
        <v>15</v>
      </c>
      <c r="Q28" s="113">
        <v>15</v>
      </c>
      <c r="R28" s="113"/>
      <c r="S28" s="113"/>
      <c r="T28" s="146"/>
      <c r="U28" s="148">
        <f t="shared" si="1"/>
        <v>15</v>
      </c>
      <c r="V28" s="149">
        <f t="shared" si="2"/>
        <v>15</v>
      </c>
      <c r="W28" s="189"/>
      <c r="X28" s="199"/>
      <c r="Y28" s="151"/>
      <c r="Z28" s="190"/>
      <c r="AA28" s="153"/>
      <c r="AB28" s="154">
        <f t="shared" si="3"/>
        <v>0</v>
      </c>
      <c r="AC28" s="149">
        <f t="shared" si="4"/>
        <v>0</v>
      </c>
      <c r="AD28" s="125">
        <v>2</v>
      </c>
      <c r="AE28" s="148">
        <f t="shared" si="5"/>
        <v>2</v>
      </c>
      <c r="AF28" s="156"/>
      <c r="AG28" s="156"/>
      <c r="AH28" s="113">
        <f t="shared" si="6"/>
        <v>17</v>
      </c>
      <c r="AI28" s="157">
        <v>65</v>
      </c>
      <c r="AJ28" s="113">
        <f t="shared" si="7"/>
        <v>82</v>
      </c>
      <c r="AK28" s="113">
        <f t="shared" si="8"/>
        <v>82</v>
      </c>
      <c r="AL28" s="158">
        <f t="shared" si="9"/>
        <v>1.02</v>
      </c>
      <c r="AM28" s="159"/>
      <c r="AN28" s="160">
        <f t="shared" si="10"/>
        <v>1</v>
      </c>
      <c r="AO28" s="160">
        <f t="shared" si="10"/>
        <v>2</v>
      </c>
      <c r="AP28" s="133"/>
      <c r="AQ28" s="134"/>
      <c r="AR28" s="161"/>
      <c r="AS28" s="161"/>
      <c r="AT28" s="161"/>
      <c r="AU28" s="161"/>
      <c r="AV28" s="162"/>
      <c r="AW28" s="137">
        <f t="shared" si="11"/>
        <v>0</v>
      </c>
      <c r="AX28" s="137">
        <f t="shared" si="12"/>
        <v>0</v>
      </c>
    </row>
    <row r="29" ht="46.5" customHeight="1" spans="1:50" s="97" customFormat="1" x14ac:dyDescent="0.25">
      <c r="A29" s="100"/>
      <c r="B29" s="100"/>
      <c r="C29" s="100"/>
      <c r="D29" s="100"/>
      <c r="E29" s="100"/>
      <c r="F29" s="100"/>
      <c r="G29" s="103"/>
      <c r="H29" s="186"/>
      <c r="I29" s="195">
        <v>0.51</v>
      </c>
      <c r="J29" s="107">
        <v>0.49</v>
      </c>
      <c r="K29" s="107"/>
      <c r="L29" s="107"/>
      <c r="M29" s="187"/>
      <c r="N29" s="169">
        <f t="shared" si="0"/>
        <v>1</v>
      </c>
      <c r="O29" s="144">
        <v>1</v>
      </c>
      <c r="P29" s="145">
        <v>15</v>
      </c>
      <c r="Q29" s="113">
        <v>15</v>
      </c>
      <c r="R29" s="113"/>
      <c r="S29" s="113"/>
      <c r="T29" s="146"/>
      <c r="U29" s="148">
        <f t="shared" si="1"/>
        <v>15</v>
      </c>
      <c r="V29" s="149">
        <f t="shared" si="2"/>
        <v>15</v>
      </c>
      <c r="W29" s="189"/>
      <c r="X29" s="199"/>
      <c r="Y29" s="151"/>
      <c r="Z29" s="190"/>
      <c r="AA29" s="153"/>
      <c r="AB29" s="154">
        <f t="shared" si="3"/>
        <v>0</v>
      </c>
      <c r="AC29" s="149">
        <f t="shared" si="4"/>
        <v>0</v>
      </c>
      <c r="AD29" s="125">
        <v>2</v>
      </c>
      <c r="AE29" s="148">
        <f t="shared" si="5"/>
        <v>2</v>
      </c>
      <c r="AF29" s="156"/>
      <c r="AG29" s="156"/>
      <c r="AH29" s="113">
        <f t="shared" si="6"/>
        <v>17</v>
      </c>
      <c r="AI29" s="157">
        <v>65</v>
      </c>
      <c r="AJ29" s="113">
        <f t="shared" si="7"/>
        <v>82</v>
      </c>
      <c r="AK29" s="113">
        <f t="shared" si="8"/>
        <v>82</v>
      </c>
      <c r="AL29" s="158">
        <f t="shared" si="9"/>
        <v>1.02</v>
      </c>
      <c r="AM29" s="159"/>
      <c r="AN29" s="160">
        <f t="shared" si="10"/>
        <v>1</v>
      </c>
      <c r="AO29" s="160">
        <f t="shared" si="10"/>
        <v>2</v>
      </c>
      <c r="AP29" s="133"/>
      <c r="AQ29" s="134"/>
      <c r="AR29" s="161"/>
      <c r="AS29" s="161"/>
      <c r="AT29" s="161"/>
      <c r="AU29" s="161"/>
      <c r="AV29" s="162"/>
      <c r="AW29" s="137">
        <f t="shared" si="11"/>
        <v>0</v>
      </c>
      <c r="AX29" s="137">
        <f t="shared" si="12"/>
        <v>0</v>
      </c>
    </row>
    <row r="30" ht="46.5" customHeight="1" spans="1:50" s="97" customFormat="1" x14ac:dyDescent="0.25">
      <c r="A30" s="100"/>
      <c r="B30" s="100"/>
      <c r="C30" s="100"/>
      <c r="D30" s="100"/>
      <c r="E30" s="100"/>
      <c r="F30" s="100"/>
      <c r="G30" s="103"/>
      <c r="H30" s="186"/>
      <c r="I30" s="195">
        <v>0.51</v>
      </c>
      <c r="J30" s="107">
        <v>0.49</v>
      </c>
      <c r="K30" s="107"/>
      <c r="L30" s="107"/>
      <c r="M30" s="187"/>
      <c r="N30" s="169">
        <f t="shared" si="0"/>
        <v>1</v>
      </c>
      <c r="O30" s="144">
        <v>1</v>
      </c>
      <c r="P30" s="145">
        <v>15</v>
      </c>
      <c r="Q30" s="113">
        <v>15</v>
      </c>
      <c r="R30" s="113"/>
      <c r="S30" s="113"/>
      <c r="T30" s="146"/>
      <c r="U30" s="148">
        <f t="shared" si="1"/>
        <v>15</v>
      </c>
      <c r="V30" s="149">
        <f t="shared" si="2"/>
        <v>15</v>
      </c>
      <c r="W30" s="189"/>
      <c r="X30" s="199"/>
      <c r="Y30" s="151"/>
      <c r="Z30" s="190"/>
      <c r="AA30" s="153"/>
      <c r="AB30" s="154">
        <f t="shared" si="3"/>
        <v>0</v>
      </c>
      <c r="AC30" s="149">
        <f t="shared" si="4"/>
        <v>0</v>
      </c>
      <c r="AD30" s="125">
        <v>2</v>
      </c>
      <c r="AE30" s="148">
        <f t="shared" si="5"/>
        <v>2</v>
      </c>
      <c r="AF30" s="156"/>
      <c r="AG30" s="156"/>
      <c r="AH30" s="113">
        <f t="shared" si="6"/>
        <v>17</v>
      </c>
      <c r="AI30" s="157">
        <v>65</v>
      </c>
      <c r="AJ30" s="113">
        <f t="shared" si="7"/>
        <v>82</v>
      </c>
      <c r="AK30" s="113">
        <f t="shared" si="8"/>
        <v>82</v>
      </c>
      <c r="AL30" s="158">
        <f t="shared" si="9"/>
        <v>1.02</v>
      </c>
      <c r="AM30" s="159"/>
      <c r="AN30" s="160">
        <f t="shared" si="10"/>
        <v>1</v>
      </c>
      <c r="AO30" s="160">
        <f t="shared" si="10"/>
        <v>2</v>
      </c>
      <c r="AP30" s="133"/>
      <c r="AQ30" s="134"/>
      <c r="AR30" s="161"/>
      <c r="AS30" s="161"/>
      <c r="AT30" s="161"/>
      <c r="AU30" s="161"/>
      <c r="AV30" s="162"/>
      <c r="AW30" s="137">
        <f t="shared" si="11"/>
        <v>0</v>
      </c>
      <c r="AX30" s="137">
        <f t="shared" si="12"/>
        <v>0</v>
      </c>
    </row>
    <row r="31" ht="46.5" customHeight="1" spans="1:50" s="97" customFormat="1" x14ac:dyDescent="0.25">
      <c r="A31" s="100"/>
      <c r="B31" s="100"/>
      <c r="C31" s="100"/>
      <c r="D31" s="100"/>
      <c r="E31" s="100"/>
      <c r="F31" s="100"/>
      <c r="G31" s="103"/>
      <c r="H31" s="186"/>
      <c r="I31" s="195">
        <v>0.51</v>
      </c>
      <c r="J31" s="107">
        <v>0.49</v>
      </c>
      <c r="K31" s="107"/>
      <c r="L31" s="107"/>
      <c r="M31" s="187"/>
      <c r="N31" s="169">
        <f t="shared" si="0"/>
        <v>1</v>
      </c>
      <c r="O31" s="144">
        <v>1</v>
      </c>
      <c r="P31" s="145">
        <v>15</v>
      </c>
      <c r="Q31" s="113">
        <v>15</v>
      </c>
      <c r="R31" s="113"/>
      <c r="S31" s="113"/>
      <c r="T31" s="146"/>
      <c r="U31" s="148">
        <f t="shared" si="1"/>
        <v>15</v>
      </c>
      <c r="V31" s="149">
        <f t="shared" si="2"/>
        <v>15</v>
      </c>
      <c r="W31" s="189"/>
      <c r="X31" s="199"/>
      <c r="Y31" s="151"/>
      <c r="Z31" s="190"/>
      <c r="AA31" s="153"/>
      <c r="AB31" s="154">
        <f t="shared" si="3"/>
        <v>0</v>
      </c>
      <c r="AC31" s="149">
        <f t="shared" si="4"/>
        <v>0</v>
      </c>
      <c r="AD31" s="125">
        <v>2</v>
      </c>
      <c r="AE31" s="148">
        <f t="shared" si="5"/>
        <v>2</v>
      </c>
      <c r="AF31" s="156"/>
      <c r="AG31" s="156"/>
      <c r="AH31" s="113">
        <f t="shared" si="6"/>
        <v>17</v>
      </c>
      <c r="AI31" s="157">
        <v>65</v>
      </c>
      <c r="AJ31" s="113">
        <f t="shared" si="7"/>
        <v>82</v>
      </c>
      <c r="AK31" s="113">
        <f t="shared" si="8"/>
        <v>82</v>
      </c>
      <c r="AL31" s="158">
        <f t="shared" si="9"/>
        <v>1.02</v>
      </c>
      <c r="AM31" s="159"/>
      <c r="AN31" s="160">
        <f t="shared" si="10"/>
        <v>1</v>
      </c>
      <c r="AO31" s="160">
        <f t="shared" si="10"/>
        <v>2</v>
      </c>
      <c r="AP31" s="133"/>
      <c r="AQ31" s="134"/>
      <c r="AR31" s="161"/>
      <c r="AS31" s="161"/>
      <c r="AT31" s="161"/>
      <c r="AU31" s="161"/>
      <c r="AV31" s="162"/>
      <c r="AW31" s="137">
        <f t="shared" si="11"/>
        <v>0</v>
      </c>
      <c r="AX31" s="137">
        <f t="shared" si="12"/>
        <v>0</v>
      </c>
    </row>
    <row r="32" ht="46.5" customHeight="1" spans="1:50" s="97" customFormat="1" x14ac:dyDescent="0.25">
      <c r="A32" s="100"/>
      <c r="B32" s="100"/>
      <c r="C32" s="100"/>
      <c r="D32" s="100"/>
      <c r="E32" s="100"/>
      <c r="F32" s="100"/>
      <c r="G32" s="103"/>
      <c r="H32" s="186"/>
      <c r="I32" s="195">
        <v>0.51</v>
      </c>
      <c r="J32" s="107">
        <v>0.49</v>
      </c>
      <c r="K32" s="107"/>
      <c r="L32" s="107"/>
      <c r="M32" s="187"/>
      <c r="N32" s="169">
        <f t="shared" si="0"/>
        <v>1</v>
      </c>
      <c r="O32" s="144">
        <v>1</v>
      </c>
      <c r="P32" s="145">
        <v>15</v>
      </c>
      <c r="Q32" s="113">
        <v>15</v>
      </c>
      <c r="R32" s="113"/>
      <c r="S32" s="113"/>
      <c r="T32" s="146"/>
      <c r="U32" s="148">
        <f t="shared" si="1"/>
        <v>15</v>
      </c>
      <c r="V32" s="149">
        <f t="shared" si="2"/>
        <v>15</v>
      </c>
      <c r="W32" s="189"/>
      <c r="X32" s="199"/>
      <c r="Y32" s="151"/>
      <c r="Z32" s="190"/>
      <c r="AA32" s="153"/>
      <c r="AB32" s="154">
        <f t="shared" si="3"/>
        <v>0</v>
      </c>
      <c r="AC32" s="149">
        <f t="shared" si="4"/>
        <v>0</v>
      </c>
      <c r="AD32" s="125">
        <v>2</v>
      </c>
      <c r="AE32" s="148">
        <f t="shared" si="5"/>
        <v>2</v>
      </c>
      <c r="AF32" s="156"/>
      <c r="AG32" s="156"/>
      <c r="AH32" s="113">
        <f t="shared" si="6"/>
        <v>17</v>
      </c>
      <c r="AI32" s="157">
        <v>65</v>
      </c>
      <c r="AJ32" s="113">
        <f t="shared" si="7"/>
        <v>82</v>
      </c>
      <c r="AK32" s="113">
        <f t="shared" si="8"/>
        <v>82</v>
      </c>
      <c r="AL32" s="158">
        <f t="shared" si="9"/>
        <v>1.02</v>
      </c>
      <c r="AM32" s="159"/>
      <c r="AN32" s="160">
        <f t="shared" si="10"/>
        <v>1</v>
      </c>
      <c r="AO32" s="160">
        <f t="shared" si="10"/>
        <v>2</v>
      </c>
      <c r="AP32" s="133"/>
      <c r="AQ32" s="134"/>
      <c r="AR32" s="161"/>
      <c r="AS32" s="161"/>
      <c r="AT32" s="161"/>
      <c r="AU32" s="161"/>
      <c r="AV32" s="162"/>
      <c r="AW32" s="137">
        <f t="shared" si="11"/>
        <v>0</v>
      </c>
      <c r="AX32" s="137">
        <f t="shared" si="12"/>
        <v>0</v>
      </c>
    </row>
    <row r="33" ht="46.5" customHeight="1" spans="1:50" s="97" customFormat="1" x14ac:dyDescent="0.25">
      <c r="A33" s="100"/>
      <c r="B33" s="100"/>
      <c r="C33" s="100"/>
      <c r="D33" s="100"/>
      <c r="E33" s="100"/>
      <c r="F33" s="100"/>
      <c r="G33" s="103"/>
      <c r="H33" s="186"/>
      <c r="I33" s="195">
        <v>0.51</v>
      </c>
      <c r="J33" s="107">
        <v>0.49</v>
      </c>
      <c r="K33" s="107"/>
      <c r="L33" s="107"/>
      <c r="M33" s="187"/>
      <c r="N33" s="169">
        <f t="shared" si="0"/>
        <v>1</v>
      </c>
      <c r="O33" s="144">
        <v>1</v>
      </c>
      <c r="P33" s="145">
        <v>15</v>
      </c>
      <c r="Q33" s="113">
        <v>15</v>
      </c>
      <c r="R33" s="113"/>
      <c r="S33" s="113"/>
      <c r="T33" s="146"/>
      <c r="U33" s="148">
        <f t="shared" si="1"/>
        <v>15</v>
      </c>
      <c r="V33" s="149">
        <f t="shared" si="2"/>
        <v>15</v>
      </c>
      <c r="W33" s="189"/>
      <c r="X33" s="199"/>
      <c r="Y33" s="151"/>
      <c r="Z33" s="190"/>
      <c r="AA33" s="153"/>
      <c r="AB33" s="154">
        <f t="shared" si="3"/>
        <v>0</v>
      </c>
      <c r="AC33" s="149">
        <f t="shared" si="4"/>
        <v>0</v>
      </c>
      <c r="AD33" s="125">
        <v>2</v>
      </c>
      <c r="AE33" s="148">
        <f t="shared" si="5"/>
        <v>2</v>
      </c>
      <c r="AF33" s="156"/>
      <c r="AG33" s="156"/>
      <c r="AH33" s="113">
        <f t="shared" si="6"/>
        <v>17</v>
      </c>
      <c r="AI33" s="157">
        <v>65</v>
      </c>
      <c r="AJ33" s="113">
        <f t="shared" si="7"/>
        <v>82</v>
      </c>
      <c r="AK33" s="113">
        <f t="shared" si="8"/>
        <v>82</v>
      </c>
      <c r="AL33" s="158">
        <f t="shared" si="9"/>
        <v>1.02</v>
      </c>
      <c r="AM33" s="159"/>
      <c r="AN33" s="160">
        <f t="shared" ref="AN33:AO52" si="13">100%+AM33</f>
        <v>1</v>
      </c>
      <c r="AO33" s="160">
        <f t="shared" si="13"/>
        <v>2</v>
      </c>
      <c r="AP33" s="133"/>
      <c r="AQ33" s="134"/>
      <c r="AR33" s="161"/>
      <c r="AS33" s="161"/>
      <c r="AT33" s="161"/>
      <c r="AU33" s="161"/>
      <c r="AV33" s="162"/>
      <c r="AW33" s="137">
        <f t="shared" si="11"/>
        <v>0</v>
      </c>
      <c r="AX33" s="137">
        <f t="shared" si="12"/>
        <v>0</v>
      </c>
    </row>
    <row r="34" ht="46.5" customHeight="1" spans="1:50" s="97" customFormat="1" x14ac:dyDescent="0.25">
      <c r="A34" s="100"/>
      <c r="B34" s="100"/>
      <c r="C34" s="100"/>
      <c r="D34" s="100"/>
      <c r="E34" s="100"/>
      <c r="F34" s="100"/>
      <c r="G34" s="103"/>
      <c r="H34" s="186"/>
      <c r="I34" s="195">
        <v>0.51</v>
      </c>
      <c r="J34" s="107">
        <v>0.49</v>
      </c>
      <c r="K34" s="107"/>
      <c r="L34" s="107"/>
      <c r="M34" s="187"/>
      <c r="N34" s="169">
        <f t="shared" si="0"/>
        <v>1</v>
      </c>
      <c r="O34" s="144">
        <v>1</v>
      </c>
      <c r="P34" s="145">
        <v>15</v>
      </c>
      <c r="Q34" s="113">
        <v>15</v>
      </c>
      <c r="R34" s="113"/>
      <c r="S34" s="113"/>
      <c r="T34" s="146"/>
      <c r="U34" s="148">
        <f t="shared" si="1"/>
        <v>15</v>
      </c>
      <c r="V34" s="149">
        <f t="shared" si="2"/>
        <v>15</v>
      </c>
      <c r="W34" s="189"/>
      <c r="X34" s="199"/>
      <c r="Y34" s="151"/>
      <c r="Z34" s="190"/>
      <c r="AA34" s="153"/>
      <c r="AB34" s="154">
        <f t="shared" si="3"/>
        <v>0</v>
      </c>
      <c r="AC34" s="149">
        <f t="shared" si="4"/>
        <v>0</v>
      </c>
      <c r="AD34" s="125">
        <v>2</v>
      </c>
      <c r="AE34" s="148">
        <f t="shared" si="5"/>
        <v>2</v>
      </c>
      <c r="AF34" s="156"/>
      <c r="AG34" s="156"/>
      <c r="AH34" s="113">
        <f t="shared" si="6"/>
        <v>17</v>
      </c>
      <c r="AI34" s="157">
        <v>65</v>
      </c>
      <c r="AJ34" s="113">
        <f t="shared" si="7"/>
        <v>82</v>
      </c>
      <c r="AK34" s="113">
        <f t="shared" si="8"/>
        <v>82</v>
      </c>
      <c r="AL34" s="158">
        <f t="shared" si="9"/>
        <v>1.02</v>
      </c>
      <c r="AM34" s="159"/>
      <c r="AN34" s="160">
        <f t="shared" si="13"/>
        <v>1</v>
      </c>
      <c r="AO34" s="160">
        <f t="shared" si="13"/>
        <v>2</v>
      </c>
      <c r="AP34" s="133"/>
      <c r="AQ34" s="134"/>
      <c r="AR34" s="161"/>
      <c r="AS34" s="161"/>
      <c r="AT34" s="161"/>
      <c r="AU34" s="161"/>
      <c r="AV34" s="162"/>
      <c r="AW34" s="137">
        <f t="shared" si="11"/>
        <v>0</v>
      </c>
      <c r="AX34" s="137">
        <f t="shared" si="12"/>
        <v>0</v>
      </c>
    </row>
    <row r="35" ht="46.5" customHeight="1" spans="1:50" s="97" customFormat="1" x14ac:dyDescent="0.25">
      <c r="A35" s="100"/>
      <c r="B35" s="100"/>
      <c r="C35" s="100"/>
      <c r="D35" s="100"/>
      <c r="E35" s="100"/>
      <c r="F35" s="100"/>
      <c r="G35" s="103"/>
      <c r="H35" s="186"/>
      <c r="I35" s="195">
        <v>0.51</v>
      </c>
      <c r="J35" s="107">
        <v>0.49</v>
      </c>
      <c r="K35" s="107"/>
      <c r="L35" s="107"/>
      <c r="M35" s="187"/>
      <c r="N35" s="169">
        <f t="shared" si="0"/>
        <v>1</v>
      </c>
      <c r="O35" s="144">
        <v>1</v>
      </c>
      <c r="P35" s="145">
        <v>15</v>
      </c>
      <c r="Q35" s="113">
        <v>15</v>
      </c>
      <c r="R35" s="113"/>
      <c r="S35" s="113"/>
      <c r="T35" s="146"/>
      <c r="U35" s="148">
        <f t="shared" si="1"/>
        <v>15</v>
      </c>
      <c r="V35" s="149">
        <f t="shared" si="2"/>
        <v>15</v>
      </c>
      <c r="W35" s="189"/>
      <c r="X35" s="199"/>
      <c r="Y35" s="151"/>
      <c r="Z35" s="190"/>
      <c r="AA35" s="153"/>
      <c r="AB35" s="154">
        <f t="shared" si="3"/>
        <v>0</v>
      </c>
      <c r="AC35" s="149">
        <f t="shared" si="4"/>
        <v>0</v>
      </c>
      <c r="AD35" s="125">
        <v>2</v>
      </c>
      <c r="AE35" s="148">
        <f t="shared" si="5"/>
        <v>2</v>
      </c>
      <c r="AF35" s="156"/>
      <c r="AG35" s="156"/>
      <c r="AH35" s="113">
        <f t="shared" si="6"/>
        <v>17</v>
      </c>
      <c r="AI35" s="157">
        <v>65</v>
      </c>
      <c r="AJ35" s="113">
        <f t="shared" si="7"/>
        <v>82</v>
      </c>
      <c r="AK35" s="113">
        <f t="shared" si="8"/>
        <v>82</v>
      </c>
      <c r="AL35" s="158">
        <f t="shared" si="9"/>
        <v>1.02</v>
      </c>
      <c r="AM35" s="159"/>
      <c r="AN35" s="160">
        <f t="shared" si="13"/>
        <v>1</v>
      </c>
      <c r="AO35" s="160">
        <f t="shared" si="13"/>
        <v>2</v>
      </c>
      <c r="AP35" s="133"/>
      <c r="AQ35" s="134"/>
      <c r="AR35" s="161"/>
      <c r="AS35" s="161"/>
      <c r="AT35" s="161"/>
      <c r="AU35" s="161"/>
      <c r="AV35" s="162"/>
      <c r="AW35" s="137">
        <f t="shared" si="11"/>
        <v>0</v>
      </c>
      <c r="AX35" s="137">
        <f t="shared" si="12"/>
        <v>0</v>
      </c>
    </row>
    <row r="36" ht="46.5" customHeight="1" spans="1:50" s="97" customFormat="1" x14ac:dyDescent="0.25">
      <c r="A36" s="100"/>
      <c r="B36" s="100"/>
      <c r="C36" s="100"/>
      <c r="D36" s="100"/>
      <c r="E36" s="100"/>
      <c r="F36" s="100"/>
      <c r="G36" s="103"/>
      <c r="H36" s="186"/>
      <c r="I36" s="195">
        <v>0.51</v>
      </c>
      <c r="J36" s="107">
        <v>0.49</v>
      </c>
      <c r="K36" s="107"/>
      <c r="L36" s="107"/>
      <c r="M36" s="187"/>
      <c r="N36" s="169">
        <f t="shared" si="0"/>
        <v>1</v>
      </c>
      <c r="O36" s="144">
        <v>1</v>
      </c>
      <c r="P36" s="145">
        <v>15</v>
      </c>
      <c r="Q36" s="113">
        <v>15</v>
      </c>
      <c r="R36" s="113"/>
      <c r="S36" s="113"/>
      <c r="T36" s="146"/>
      <c r="U36" s="148">
        <f t="shared" si="1"/>
        <v>15</v>
      </c>
      <c r="V36" s="149">
        <f t="shared" si="2"/>
        <v>15</v>
      </c>
      <c r="W36" s="189"/>
      <c r="X36" s="199"/>
      <c r="Y36" s="151"/>
      <c r="Z36" s="190"/>
      <c r="AA36" s="153"/>
      <c r="AB36" s="154">
        <f t="shared" si="3"/>
        <v>0</v>
      </c>
      <c r="AC36" s="149">
        <f t="shared" si="4"/>
        <v>0</v>
      </c>
      <c r="AD36" s="125">
        <v>2</v>
      </c>
      <c r="AE36" s="148">
        <f t="shared" si="5"/>
        <v>2</v>
      </c>
      <c r="AF36" s="156"/>
      <c r="AG36" s="156"/>
      <c r="AH36" s="113">
        <f t="shared" si="6"/>
        <v>17</v>
      </c>
      <c r="AI36" s="157">
        <v>65</v>
      </c>
      <c r="AJ36" s="113">
        <f t="shared" si="7"/>
        <v>82</v>
      </c>
      <c r="AK36" s="113">
        <f t="shared" si="8"/>
        <v>82</v>
      </c>
      <c r="AL36" s="158">
        <f t="shared" si="9"/>
        <v>1.02</v>
      </c>
      <c r="AM36" s="159"/>
      <c r="AN36" s="160">
        <f t="shared" si="13"/>
        <v>1</v>
      </c>
      <c r="AO36" s="160">
        <f t="shared" si="13"/>
        <v>2</v>
      </c>
      <c r="AP36" s="133"/>
      <c r="AQ36" s="134"/>
      <c r="AR36" s="161"/>
      <c r="AS36" s="161"/>
      <c r="AT36" s="161"/>
      <c r="AU36" s="161"/>
      <c r="AV36" s="162"/>
      <c r="AW36" s="137">
        <f t="shared" si="11"/>
        <v>0</v>
      </c>
      <c r="AX36" s="137">
        <f t="shared" si="12"/>
        <v>0</v>
      </c>
    </row>
    <row r="37" ht="46.5" customHeight="1" spans="1:50" s="97" customFormat="1" x14ac:dyDescent="0.25">
      <c r="A37" s="100"/>
      <c r="B37" s="100"/>
      <c r="C37" s="100"/>
      <c r="D37" s="100"/>
      <c r="E37" s="100"/>
      <c r="F37" s="100"/>
      <c r="G37" s="103"/>
      <c r="H37" s="186"/>
      <c r="I37" s="195">
        <v>0.51</v>
      </c>
      <c r="J37" s="107">
        <v>0.49</v>
      </c>
      <c r="K37" s="107"/>
      <c r="L37" s="107"/>
      <c r="M37" s="187"/>
      <c r="N37" s="169">
        <f t="shared" si="0"/>
        <v>1</v>
      </c>
      <c r="O37" s="144">
        <v>1</v>
      </c>
      <c r="P37" s="145">
        <v>15</v>
      </c>
      <c r="Q37" s="113">
        <v>15</v>
      </c>
      <c r="R37" s="113"/>
      <c r="S37" s="113"/>
      <c r="T37" s="146"/>
      <c r="U37" s="148">
        <f t="shared" si="1"/>
        <v>15</v>
      </c>
      <c r="V37" s="149">
        <f t="shared" si="2"/>
        <v>15</v>
      </c>
      <c r="W37" s="189"/>
      <c r="X37" s="199"/>
      <c r="Y37" s="151"/>
      <c r="Z37" s="190"/>
      <c r="AA37" s="153"/>
      <c r="AB37" s="154">
        <f t="shared" si="3"/>
        <v>0</v>
      </c>
      <c r="AC37" s="149">
        <f t="shared" si="4"/>
        <v>0</v>
      </c>
      <c r="AD37" s="125">
        <v>2</v>
      </c>
      <c r="AE37" s="148">
        <f t="shared" si="5"/>
        <v>2</v>
      </c>
      <c r="AF37" s="156"/>
      <c r="AG37" s="156"/>
      <c r="AH37" s="113">
        <f t="shared" si="6"/>
        <v>17</v>
      </c>
      <c r="AI37" s="157">
        <v>65</v>
      </c>
      <c r="AJ37" s="113">
        <f t="shared" si="7"/>
        <v>82</v>
      </c>
      <c r="AK37" s="113">
        <f t="shared" si="8"/>
        <v>82</v>
      </c>
      <c r="AL37" s="158">
        <f t="shared" si="9"/>
        <v>1.02</v>
      </c>
      <c r="AM37" s="159"/>
      <c r="AN37" s="160">
        <f t="shared" si="13"/>
        <v>1</v>
      </c>
      <c r="AO37" s="160">
        <f t="shared" si="13"/>
        <v>2</v>
      </c>
      <c r="AP37" s="133"/>
      <c r="AQ37" s="134"/>
      <c r="AR37" s="161"/>
      <c r="AS37" s="161"/>
      <c r="AT37" s="161"/>
      <c r="AU37" s="161"/>
      <c r="AV37" s="162"/>
      <c r="AW37" s="137">
        <f t="shared" si="11"/>
        <v>0</v>
      </c>
      <c r="AX37" s="137">
        <f t="shared" si="12"/>
        <v>0</v>
      </c>
    </row>
    <row r="38" ht="46.5" customHeight="1" spans="1:50" s="97" customFormat="1" x14ac:dyDescent="0.25">
      <c r="A38" s="100"/>
      <c r="B38" s="100"/>
      <c r="C38" s="100"/>
      <c r="D38" s="100"/>
      <c r="E38" s="100"/>
      <c r="F38" s="100"/>
      <c r="G38" s="103"/>
      <c r="H38" s="186"/>
      <c r="I38" s="195">
        <v>0.51</v>
      </c>
      <c r="J38" s="107">
        <v>0.49</v>
      </c>
      <c r="K38" s="107"/>
      <c r="L38" s="107"/>
      <c r="M38" s="187"/>
      <c r="N38" s="169">
        <f t="shared" si="0"/>
        <v>1</v>
      </c>
      <c r="O38" s="144">
        <v>1</v>
      </c>
      <c r="P38" s="145">
        <v>15</v>
      </c>
      <c r="Q38" s="113">
        <v>15</v>
      </c>
      <c r="R38" s="113"/>
      <c r="S38" s="113"/>
      <c r="T38" s="146"/>
      <c r="U38" s="148">
        <f t="shared" si="1"/>
        <v>15</v>
      </c>
      <c r="V38" s="149">
        <f t="shared" si="2"/>
        <v>15</v>
      </c>
      <c r="W38" s="189"/>
      <c r="X38" s="199"/>
      <c r="Y38" s="151"/>
      <c r="Z38" s="190"/>
      <c r="AA38" s="153"/>
      <c r="AB38" s="154">
        <f t="shared" si="3"/>
        <v>0</v>
      </c>
      <c r="AC38" s="149">
        <f t="shared" si="4"/>
        <v>0</v>
      </c>
      <c r="AD38" s="125">
        <v>2</v>
      </c>
      <c r="AE38" s="148">
        <f t="shared" si="5"/>
        <v>2</v>
      </c>
      <c r="AF38" s="156"/>
      <c r="AG38" s="156"/>
      <c r="AH38" s="113">
        <f t="shared" si="6"/>
        <v>17</v>
      </c>
      <c r="AI38" s="157">
        <v>65</v>
      </c>
      <c r="AJ38" s="113">
        <f t="shared" si="7"/>
        <v>82</v>
      </c>
      <c r="AK38" s="113">
        <f t="shared" si="8"/>
        <v>82</v>
      </c>
      <c r="AL38" s="158">
        <f t="shared" si="9"/>
        <v>1.02</v>
      </c>
      <c r="AM38" s="159"/>
      <c r="AN38" s="160">
        <f t="shared" si="13"/>
        <v>1</v>
      </c>
      <c r="AO38" s="160">
        <f t="shared" si="13"/>
        <v>2</v>
      </c>
      <c r="AP38" s="133"/>
      <c r="AQ38" s="134"/>
      <c r="AR38" s="161"/>
      <c r="AS38" s="161"/>
      <c r="AT38" s="161"/>
      <c r="AU38" s="161"/>
      <c r="AV38" s="162"/>
      <c r="AW38" s="137">
        <f t="shared" si="11"/>
        <v>0</v>
      </c>
      <c r="AX38" s="137">
        <f t="shared" si="12"/>
        <v>0</v>
      </c>
    </row>
    <row r="39" ht="46.5" customHeight="1" spans="1:50" s="97" customFormat="1" x14ac:dyDescent="0.25">
      <c r="A39" s="100"/>
      <c r="B39" s="100"/>
      <c r="C39" s="100"/>
      <c r="D39" s="100"/>
      <c r="E39" s="100"/>
      <c r="F39" s="100"/>
      <c r="G39" s="103"/>
      <c r="H39" s="186"/>
      <c r="I39" s="195">
        <v>0.51</v>
      </c>
      <c r="J39" s="107">
        <v>0.49</v>
      </c>
      <c r="K39" s="107"/>
      <c r="L39" s="107"/>
      <c r="M39" s="187"/>
      <c r="N39" s="169">
        <f t="shared" si="0"/>
        <v>1</v>
      </c>
      <c r="O39" s="144">
        <v>1</v>
      </c>
      <c r="P39" s="145">
        <v>15</v>
      </c>
      <c r="Q39" s="113">
        <v>15</v>
      </c>
      <c r="R39" s="113"/>
      <c r="S39" s="113"/>
      <c r="T39" s="146"/>
      <c r="U39" s="148">
        <f t="shared" si="1"/>
        <v>15</v>
      </c>
      <c r="V39" s="149">
        <f t="shared" si="2"/>
        <v>15</v>
      </c>
      <c r="W39" s="189"/>
      <c r="X39" s="199"/>
      <c r="Y39" s="151"/>
      <c r="Z39" s="190"/>
      <c r="AA39" s="153"/>
      <c r="AB39" s="154">
        <f t="shared" si="3"/>
        <v>0</v>
      </c>
      <c r="AC39" s="149">
        <f t="shared" si="4"/>
        <v>0</v>
      </c>
      <c r="AD39" s="125">
        <v>2</v>
      </c>
      <c r="AE39" s="148">
        <f t="shared" si="5"/>
        <v>2</v>
      </c>
      <c r="AF39" s="156"/>
      <c r="AG39" s="156"/>
      <c r="AH39" s="113">
        <f t="shared" si="6"/>
        <v>17</v>
      </c>
      <c r="AI39" s="157">
        <v>65</v>
      </c>
      <c r="AJ39" s="113">
        <f t="shared" si="7"/>
        <v>82</v>
      </c>
      <c r="AK39" s="113">
        <f t="shared" si="8"/>
        <v>82</v>
      </c>
      <c r="AL39" s="158">
        <f t="shared" si="9"/>
        <v>1.02</v>
      </c>
      <c r="AM39" s="159"/>
      <c r="AN39" s="160">
        <f t="shared" si="13"/>
        <v>1</v>
      </c>
      <c r="AO39" s="160">
        <f t="shared" si="13"/>
        <v>2</v>
      </c>
      <c r="AP39" s="133"/>
      <c r="AQ39" s="134"/>
      <c r="AR39" s="161"/>
      <c r="AS39" s="161"/>
      <c r="AT39" s="161"/>
      <c r="AU39" s="161"/>
      <c r="AV39" s="162"/>
      <c r="AW39" s="137">
        <f t="shared" si="11"/>
        <v>0</v>
      </c>
      <c r="AX39" s="137">
        <f t="shared" si="12"/>
        <v>0</v>
      </c>
    </row>
    <row r="40" ht="46.5" customHeight="1" spans="1:50" s="97" customFormat="1" x14ac:dyDescent="0.25">
      <c r="A40" s="100"/>
      <c r="B40" s="100"/>
      <c r="C40" s="100"/>
      <c r="D40" s="100"/>
      <c r="E40" s="100"/>
      <c r="F40" s="100"/>
      <c r="G40" s="103"/>
      <c r="H40" s="186"/>
      <c r="I40" s="195">
        <v>0.51</v>
      </c>
      <c r="J40" s="107">
        <v>0.49</v>
      </c>
      <c r="K40" s="107"/>
      <c r="L40" s="107"/>
      <c r="M40" s="187"/>
      <c r="N40" s="169">
        <f t="shared" si="0"/>
        <v>1</v>
      </c>
      <c r="O40" s="144">
        <v>1</v>
      </c>
      <c r="P40" s="145">
        <v>15</v>
      </c>
      <c r="Q40" s="113">
        <v>15</v>
      </c>
      <c r="R40" s="113"/>
      <c r="S40" s="113"/>
      <c r="T40" s="146"/>
      <c r="U40" s="148">
        <f t="shared" si="1"/>
        <v>15</v>
      </c>
      <c r="V40" s="149">
        <f t="shared" si="2"/>
        <v>15</v>
      </c>
      <c r="W40" s="189"/>
      <c r="X40" s="199"/>
      <c r="Y40" s="151"/>
      <c r="Z40" s="190"/>
      <c r="AA40" s="153"/>
      <c r="AB40" s="154">
        <f t="shared" si="3"/>
        <v>0</v>
      </c>
      <c r="AC40" s="149">
        <f t="shared" si="4"/>
        <v>0</v>
      </c>
      <c r="AD40" s="125">
        <v>2</v>
      </c>
      <c r="AE40" s="148">
        <f t="shared" si="5"/>
        <v>2</v>
      </c>
      <c r="AF40" s="156"/>
      <c r="AG40" s="156"/>
      <c r="AH40" s="113">
        <f t="shared" si="6"/>
        <v>17</v>
      </c>
      <c r="AI40" s="157">
        <v>65</v>
      </c>
      <c r="AJ40" s="113">
        <f t="shared" si="7"/>
        <v>82</v>
      </c>
      <c r="AK40" s="113">
        <f t="shared" si="8"/>
        <v>82</v>
      </c>
      <c r="AL40" s="158">
        <f t="shared" si="9"/>
        <v>1.02</v>
      </c>
      <c r="AM40" s="159"/>
      <c r="AN40" s="160">
        <f t="shared" si="13"/>
        <v>1</v>
      </c>
      <c r="AO40" s="160">
        <f t="shared" si="13"/>
        <v>2</v>
      </c>
      <c r="AP40" s="133"/>
      <c r="AQ40" s="134"/>
      <c r="AR40" s="161"/>
      <c r="AS40" s="161"/>
      <c r="AT40" s="161"/>
      <c r="AU40" s="161"/>
      <c r="AV40" s="162"/>
      <c r="AW40" s="137">
        <f t="shared" si="11"/>
        <v>0</v>
      </c>
      <c r="AX40" s="137">
        <f t="shared" si="12"/>
        <v>0</v>
      </c>
    </row>
    <row r="41" ht="46.5" customHeight="1" spans="1:50" s="97" customFormat="1" x14ac:dyDescent="0.25">
      <c r="A41" s="100"/>
      <c r="B41" s="100"/>
      <c r="C41" s="100"/>
      <c r="D41" s="100"/>
      <c r="E41" s="100"/>
      <c r="F41" s="100"/>
      <c r="G41" s="103"/>
      <c r="H41" s="186"/>
      <c r="I41" s="195">
        <v>0.51</v>
      </c>
      <c r="J41" s="107">
        <v>0.49</v>
      </c>
      <c r="K41" s="107"/>
      <c r="L41" s="107"/>
      <c r="M41" s="187"/>
      <c r="N41" s="169">
        <f t="shared" si="0"/>
        <v>1</v>
      </c>
      <c r="O41" s="144">
        <v>1</v>
      </c>
      <c r="P41" s="145">
        <v>15</v>
      </c>
      <c r="Q41" s="113">
        <v>15</v>
      </c>
      <c r="R41" s="113"/>
      <c r="S41" s="113"/>
      <c r="T41" s="146"/>
      <c r="U41" s="148">
        <f t="shared" si="1"/>
        <v>15</v>
      </c>
      <c r="V41" s="149">
        <f t="shared" si="2"/>
        <v>15</v>
      </c>
      <c r="W41" s="189"/>
      <c r="X41" s="199"/>
      <c r="Y41" s="151"/>
      <c r="Z41" s="190"/>
      <c r="AA41" s="153"/>
      <c r="AB41" s="154">
        <f t="shared" si="3"/>
        <v>0</v>
      </c>
      <c r="AC41" s="149">
        <f t="shared" si="4"/>
        <v>0</v>
      </c>
      <c r="AD41" s="125">
        <v>2</v>
      </c>
      <c r="AE41" s="148">
        <f t="shared" si="5"/>
        <v>2</v>
      </c>
      <c r="AF41" s="156"/>
      <c r="AG41" s="156"/>
      <c r="AH41" s="113">
        <f t="shared" si="6"/>
        <v>17</v>
      </c>
      <c r="AI41" s="157">
        <v>65</v>
      </c>
      <c r="AJ41" s="113">
        <f t="shared" si="7"/>
        <v>82</v>
      </c>
      <c r="AK41" s="113">
        <f t="shared" si="8"/>
        <v>82</v>
      </c>
      <c r="AL41" s="158">
        <f t="shared" si="9"/>
        <v>1.02</v>
      </c>
      <c r="AM41" s="159"/>
      <c r="AN41" s="160">
        <f t="shared" si="13"/>
        <v>1</v>
      </c>
      <c r="AO41" s="160">
        <f t="shared" si="13"/>
        <v>2</v>
      </c>
      <c r="AP41" s="133"/>
      <c r="AQ41" s="134"/>
      <c r="AR41" s="161"/>
      <c r="AS41" s="161"/>
      <c r="AT41" s="161"/>
      <c r="AU41" s="161"/>
      <c r="AV41" s="162"/>
      <c r="AW41" s="137">
        <f t="shared" si="11"/>
        <v>0</v>
      </c>
      <c r="AX41" s="137">
        <f t="shared" si="12"/>
        <v>0</v>
      </c>
    </row>
    <row r="42" ht="46.5" customHeight="1" spans="1:50" s="97" customFormat="1" x14ac:dyDescent="0.25">
      <c r="A42" s="100"/>
      <c r="B42" s="100"/>
      <c r="C42" s="100"/>
      <c r="D42" s="100"/>
      <c r="E42" s="100"/>
      <c r="F42" s="100"/>
      <c r="G42" s="103"/>
      <c r="H42" s="186"/>
      <c r="I42" s="195">
        <v>0.51</v>
      </c>
      <c r="J42" s="107">
        <v>0.49</v>
      </c>
      <c r="K42" s="107"/>
      <c r="L42" s="107"/>
      <c r="M42" s="187"/>
      <c r="N42" s="169">
        <f t="shared" si="0"/>
        <v>1</v>
      </c>
      <c r="O42" s="144">
        <v>1</v>
      </c>
      <c r="P42" s="145">
        <v>15</v>
      </c>
      <c r="Q42" s="113">
        <v>15</v>
      </c>
      <c r="R42" s="113"/>
      <c r="S42" s="113"/>
      <c r="T42" s="146"/>
      <c r="U42" s="148">
        <f t="shared" si="1"/>
        <v>15</v>
      </c>
      <c r="V42" s="149">
        <f t="shared" si="2"/>
        <v>15</v>
      </c>
      <c r="W42" s="189"/>
      <c r="X42" s="199"/>
      <c r="Y42" s="151"/>
      <c r="Z42" s="190"/>
      <c r="AA42" s="153"/>
      <c r="AB42" s="154">
        <f t="shared" si="3"/>
        <v>0</v>
      </c>
      <c r="AC42" s="149">
        <f t="shared" si="4"/>
        <v>0</v>
      </c>
      <c r="AD42" s="125">
        <v>2</v>
      </c>
      <c r="AE42" s="148">
        <f t="shared" si="5"/>
        <v>2</v>
      </c>
      <c r="AF42" s="156"/>
      <c r="AG42" s="156"/>
      <c r="AH42" s="113">
        <f t="shared" si="6"/>
        <v>17</v>
      </c>
      <c r="AI42" s="157">
        <v>65</v>
      </c>
      <c r="AJ42" s="113">
        <f t="shared" si="7"/>
        <v>82</v>
      </c>
      <c r="AK42" s="113">
        <f t="shared" si="8"/>
        <v>82</v>
      </c>
      <c r="AL42" s="158">
        <f t="shared" si="9"/>
        <v>1.02</v>
      </c>
      <c r="AM42" s="159"/>
      <c r="AN42" s="160">
        <f t="shared" si="13"/>
        <v>1</v>
      </c>
      <c r="AO42" s="160">
        <f t="shared" si="13"/>
        <v>2</v>
      </c>
      <c r="AP42" s="133"/>
      <c r="AQ42" s="134"/>
      <c r="AR42" s="161"/>
      <c r="AS42" s="161"/>
      <c r="AT42" s="161"/>
      <c r="AU42" s="161"/>
      <c r="AV42" s="162"/>
      <c r="AW42" s="137">
        <f t="shared" si="11"/>
        <v>0</v>
      </c>
      <c r="AX42" s="137">
        <f t="shared" si="12"/>
        <v>0</v>
      </c>
    </row>
    <row r="43" ht="46.5" customHeight="1" spans="1:50" s="97" customFormat="1" x14ac:dyDescent="0.25">
      <c r="A43" s="100"/>
      <c r="B43" s="100"/>
      <c r="C43" s="100"/>
      <c r="D43" s="100"/>
      <c r="E43" s="100"/>
      <c r="F43" s="100"/>
      <c r="G43" s="103"/>
      <c r="H43" s="186"/>
      <c r="I43" s="195">
        <v>0.51</v>
      </c>
      <c r="J43" s="107">
        <v>0.49</v>
      </c>
      <c r="K43" s="107"/>
      <c r="L43" s="107"/>
      <c r="M43" s="187"/>
      <c r="N43" s="169">
        <f t="shared" si="0"/>
        <v>1</v>
      </c>
      <c r="O43" s="144">
        <v>1</v>
      </c>
      <c r="P43" s="145">
        <v>15</v>
      </c>
      <c r="Q43" s="113">
        <v>15</v>
      </c>
      <c r="R43" s="113"/>
      <c r="S43" s="113"/>
      <c r="T43" s="146"/>
      <c r="U43" s="148">
        <f t="shared" si="1"/>
        <v>15</v>
      </c>
      <c r="V43" s="149">
        <f t="shared" si="2"/>
        <v>15</v>
      </c>
      <c r="W43" s="189"/>
      <c r="X43" s="199"/>
      <c r="Y43" s="151"/>
      <c r="Z43" s="190"/>
      <c r="AA43" s="153"/>
      <c r="AB43" s="154">
        <f t="shared" si="3"/>
        <v>0</v>
      </c>
      <c r="AC43" s="149">
        <f t="shared" si="4"/>
        <v>0</v>
      </c>
      <c r="AD43" s="125">
        <v>2</v>
      </c>
      <c r="AE43" s="148">
        <f t="shared" si="5"/>
        <v>2</v>
      </c>
      <c r="AF43" s="156"/>
      <c r="AG43" s="156"/>
      <c r="AH43" s="113">
        <f t="shared" si="6"/>
        <v>17</v>
      </c>
      <c r="AI43" s="157">
        <v>65</v>
      </c>
      <c r="AJ43" s="113">
        <f t="shared" si="7"/>
        <v>82</v>
      </c>
      <c r="AK43" s="113">
        <f t="shared" si="8"/>
        <v>82</v>
      </c>
      <c r="AL43" s="158">
        <f t="shared" si="9"/>
        <v>1.02</v>
      </c>
      <c r="AM43" s="159"/>
      <c r="AN43" s="160">
        <f t="shared" si="13"/>
        <v>1</v>
      </c>
      <c r="AO43" s="160">
        <f t="shared" si="13"/>
        <v>2</v>
      </c>
      <c r="AP43" s="133"/>
      <c r="AQ43" s="134"/>
      <c r="AR43" s="161"/>
      <c r="AS43" s="161"/>
      <c r="AT43" s="161"/>
      <c r="AU43" s="161"/>
      <c r="AV43" s="162"/>
      <c r="AW43" s="137">
        <f t="shared" si="11"/>
        <v>0</v>
      </c>
      <c r="AX43" s="137">
        <f t="shared" si="12"/>
        <v>0</v>
      </c>
    </row>
    <row r="44" ht="46.5" customHeight="1" spans="1:50" s="97" customFormat="1" x14ac:dyDescent="0.25">
      <c r="A44" s="100"/>
      <c r="B44" s="100"/>
      <c r="C44" s="100"/>
      <c r="D44" s="100"/>
      <c r="E44" s="100"/>
      <c r="F44" s="100"/>
      <c r="G44" s="103"/>
      <c r="H44" s="186"/>
      <c r="I44" s="195">
        <v>0.51</v>
      </c>
      <c r="J44" s="107">
        <v>0.49</v>
      </c>
      <c r="K44" s="107"/>
      <c r="L44" s="107"/>
      <c r="M44" s="187"/>
      <c r="N44" s="169">
        <f t="shared" si="0"/>
        <v>1</v>
      </c>
      <c r="O44" s="144">
        <v>1</v>
      </c>
      <c r="P44" s="145">
        <v>15</v>
      </c>
      <c r="Q44" s="113">
        <v>15</v>
      </c>
      <c r="R44" s="113"/>
      <c r="S44" s="113"/>
      <c r="T44" s="146"/>
      <c r="U44" s="148">
        <f t="shared" si="1"/>
        <v>15</v>
      </c>
      <c r="V44" s="149">
        <f t="shared" si="2"/>
        <v>15</v>
      </c>
      <c r="W44" s="189"/>
      <c r="X44" s="199"/>
      <c r="Y44" s="151"/>
      <c r="Z44" s="190"/>
      <c r="AA44" s="153"/>
      <c r="AB44" s="154">
        <f t="shared" si="3"/>
        <v>0</v>
      </c>
      <c r="AC44" s="149">
        <f t="shared" si="4"/>
        <v>0</v>
      </c>
      <c r="AD44" s="125">
        <v>2</v>
      </c>
      <c r="AE44" s="148">
        <f t="shared" si="5"/>
        <v>2</v>
      </c>
      <c r="AF44" s="156"/>
      <c r="AG44" s="156"/>
      <c r="AH44" s="113">
        <f t="shared" si="6"/>
        <v>17</v>
      </c>
      <c r="AI44" s="157">
        <v>65</v>
      </c>
      <c r="AJ44" s="113">
        <f t="shared" si="7"/>
        <v>82</v>
      </c>
      <c r="AK44" s="113">
        <f t="shared" si="8"/>
        <v>82</v>
      </c>
      <c r="AL44" s="158">
        <f t="shared" si="9"/>
        <v>1.02</v>
      </c>
      <c r="AM44" s="159"/>
      <c r="AN44" s="160">
        <f t="shared" si="13"/>
        <v>1</v>
      </c>
      <c r="AO44" s="160">
        <f t="shared" si="13"/>
        <v>2</v>
      </c>
      <c r="AP44" s="133"/>
      <c r="AQ44" s="134"/>
      <c r="AR44" s="161"/>
      <c r="AS44" s="161"/>
      <c r="AT44" s="161"/>
      <c r="AU44" s="161"/>
      <c r="AV44" s="162"/>
      <c r="AW44" s="137">
        <f t="shared" si="11"/>
        <v>0</v>
      </c>
      <c r="AX44" s="137">
        <f t="shared" si="12"/>
        <v>0</v>
      </c>
    </row>
    <row r="45" ht="46.5" customHeight="1" spans="1:50" s="97" customFormat="1" x14ac:dyDescent="0.25">
      <c r="A45" s="100"/>
      <c r="B45" s="100"/>
      <c r="C45" s="100"/>
      <c r="D45" s="100"/>
      <c r="E45" s="100"/>
      <c r="F45" s="100"/>
      <c r="G45" s="103"/>
      <c r="H45" s="186"/>
      <c r="I45" s="195">
        <v>0.51</v>
      </c>
      <c r="J45" s="107">
        <v>0.49</v>
      </c>
      <c r="K45" s="107"/>
      <c r="L45" s="107"/>
      <c r="M45" s="187"/>
      <c r="N45" s="169">
        <f t="shared" ref="N45:N108" si="14">SUM(I45:M45)</f>
        <v>1</v>
      </c>
      <c r="O45" s="144">
        <v>1</v>
      </c>
      <c r="P45" s="145">
        <v>15</v>
      </c>
      <c r="Q45" s="113">
        <v>15</v>
      </c>
      <c r="R45" s="113"/>
      <c r="S45" s="113"/>
      <c r="T45" s="146"/>
      <c r="U45" s="148">
        <f t="shared" si="1"/>
        <v>15</v>
      </c>
      <c r="V45" s="149">
        <f t="shared" si="2"/>
        <v>15</v>
      </c>
      <c r="W45" s="189"/>
      <c r="X45" s="199"/>
      <c r="Y45" s="151"/>
      <c r="Z45" s="190"/>
      <c r="AA45" s="153"/>
      <c r="AB45" s="154">
        <f t="shared" si="3"/>
        <v>0</v>
      </c>
      <c r="AC45" s="149">
        <f t="shared" si="4"/>
        <v>0</v>
      </c>
      <c r="AD45" s="125">
        <v>2</v>
      </c>
      <c r="AE45" s="148">
        <f t="shared" si="5"/>
        <v>2</v>
      </c>
      <c r="AF45" s="156"/>
      <c r="AG45" s="156"/>
      <c r="AH45" s="113">
        <f t="shared" si="6"/>
        <v>17</v>
      </c>
      <c r="AI45" s="157">
        <v>65</v>
      </c>
      <c r="AJ45" s="113">
        <f t="shared" si="7"/>
        <v>82</v>
      </c>
      <c r="AK45" s="113">
        <f t="shared" si="8"/>
        <v>82</v>
      </c>
      <c r="AL45" s="158">
        <f t="shared" si="9"/>
        <v>1.02</v>
      </c>
      <c r="AM45" s="159"/>
      <c r="AN45" s="160">
        <f t="shared" si="13"/>
        <v>1</v>
      </c>
      <c r="AO45" s="160">
        <f t="shared" si="13"/>
        <v>2</v>
      </c>
      <c r="AP45" s="133"/>
      <c r="AQ45" s="134"/>
      <c r="AR45" s="161"/>
      <c r="AS45" s="161"/>
      <c r="AT45" s="161"/>
      <c r="AU45" s="161"/>
      <c r="AV45" s="162"/>
      <c r="AW45" s="137">
        <f t="shared" si="11"/>
        <v>0</v>
      </c>
      <c r="AX45" s="137">
        <f t="shared" si="12"/>
        <v>0</v>
      </c>
    </row>
    <row r="46" ht="46.5" customHeight="1" spans="1:50" s="97" customFormat="1" x14ac:dyDescent="0.25">
      <c r="A46" s="100"/>
      <c r="B46" s="100"/>
      <c r="C46" s="100"/>
      <c r="D46" s="100"/>
      <c r="E46" s="100"/>
      <c r="F46" s="100"/>
      <c r="G46" s="103"/>
      <c r="H46" s="186"/>
      <c r="I46" s="195">
        <v>0.51</v>
      </c>
      <c r="J46" s="107">
        <v>0.49</v>
      </c>
      <c r="K46" s="107"/>
      <c r="L46" s="107"/>
      <c r="M46" s="187"/>
      <c r="N46" s="169">
        <f t="shared" si="14"/>
        <v>1</v>
      </c>
      <c r="O46" s="144">
        <v>1</v>
      </c>
      <c r="P46" s="145">
        <v>15</v>
      </c>
      <c r="Q46" s="113">
        <v>15</v>
      </c>
      <c r="R46" s="113"/>
      <c r="S46" s="113"/>
      <c r="T46" s="146"/>
      <c r="U46" s="148">
        <f t="shared" si="1"/>
        <v>15</v>
      </c>
      <c r="V46" s="149">
        <f t="shared" si="2"/>
        <v>15</v>
      </c>
      <c r="W46" s="189"/>
      <c r="X46" s="199"/>
      <c r="Y46" s="151"/>
      <c r="Z46" s="190"/>
      <c r="AA46" s="153"/>
      <c r="AB46" s="154">
        <f t="shared" si="3"/>
        <v>0</v>
      </c>
      <c r="AC46" s="149">
        <f t="shared" si="4"/>
        <v>0</v>
      </c>
      <c r="AD46" s="125">
        <v>2</v>
      </c>
      <c r="AE46" s="148">
        <f t="shared" si="5"/>
        <v>2</v>
      </c>
      <c r="AF46" s="156"/>
      <c r="AG46" s="156"/>
      <c r="AH46" s="113">
        <f t="shared" si="6"/>
        <v>17</v>
      </c>
      <c r="AI46" s="157">
        <v>65</v>
      </c>
      <c r="AJ46" s="113">
        <f t="shared" si="7"/>
        <v>82</v>
      </c>
      <c r="AK46" s="113">
        <f t="shared" si="8"/>
        <v>82</v>
      </c>
      <c r="AL46" s="158">
        <f t="shared" si="9"/>
        <v>1.02</v>
      </c>
      <c r="AM46" s="159"/>
      <c r="AN46" s="160">
        <f t="shared" si="13"/>
        <v>1</v>
      </c>
      <c r="AO46" s="160">
        <f t="shared" si="13"/>
        <v>2</v>
      </c>
      <c r="AP46" s="133"/>
      <c r="AQ46" s="134"/>
      <c r="AR46" s="161"/>
      <c r="AS46" s="161"/>
      <c r="AT46" s="161"/>
      <c r="AU46" s="161"/>
      <c r="AV46" s="162"/>
      <c r="AW46" s="137">
        <f t="shared" si="11"/>
        <v>0</v>
      </c>
      <c r="AX46" s="137">
        <f t="shared" si="12"/>
        <v>0</v>
      </c>
    </row>
    <row r="47" ht="46.5" customHeight="1" spans="1:50" s="97" customFormat="1" x14ac:dyDescent="0.25">
      <c r="A47" s="100"/>
      <c r="B47" s="100"/>
      <c r="C47" s="100"/>
      <c r="D47" s="100"/>
      <c r="E47" s="100"/>
      <c r="F47" s="100"/>
      <c r="G47" s="103"/>
      <c r="H47" s="186"/>
      <c r="I47" s="195">
        <v>0.51</v>
      </c>
      <c r="J47" s="107">
        <v>0.49</v>
      </c>
      <c r="K47" s="107"/>
      <c r="L47" s="107"/>
      <c r="M47" s="187"/>
      <c r="N47" s="169">
        <f t="shared" si="14"/>
        <v>1</v>
      </c>
      <c r="O47" s="144">
        <v>1</v>
      </c>
      <c r="P47" s="145">
        <v>15</v>
      </c>
      <c r="Q47" s="113">
        <v>15</v>
      </c>
      <c r="R47" s="113"/>
      <c r="S47" s="113"/>
      <c r="T47" s="146"/>
      <c r="U47" s="148">
        <f t="shared" si="1"/>
        <v>15</v>
      </c>
      <c r="V47" s="149">
        <f t="shared" si="2"/>
        <v>15</v>
      </c>
      <c r="W47" s="189"/>
      <c r="X47" s="199"/>
      <c r="Y47" s="151"/>
      <c r="Z47" s="190"/>
      <c r="AA47" s="153"/>
      <c r="AB47" s="154">
        <f t="shared" si="3"/>
        <v>0</v>
      </c>
      <c r="AC47" s="149">
        <f t="shared" si="4"/>
        <v>0</v>
      </c>
      <c r="AD47" s="125">
        <v>2</v>
      </c>
      <c r="AE47" s="148">
        <f t="shared" si="5"/>
        <v>2</v>
      </c>
      <c r="AF47" s="156"/>
      <c r="AG47" s="156"/>
      <c r="AH47" s="113">
        <f t="shared" si="6"/>
        <v>17</v>
      </c>
      <c r="AI47" s="157">
        <v>65</v>
      </c>
      <c r="AJ47" s="113">
        <f t="shared" si="7"/>
        <v>82</v>
      </c>
      <c r="AK47" s="113">
        <f t="shared" si="8"/>
        <v>82</v>
      </c>
      <c r="AL47" s="158">
        <f t="shared" si="9"/>
        <v>1.02</v>
      </c>
      <c r="AM47" s="159"/>
      <c r="AN47" s="160">
        <f t="shared" si="13"/>
        <v>1</v>
      </c>
      <c r="AO47" s="160">
        <f t="shared" si="13"/>
        <v>2</v>
      </c>
      <c r="AP47" s="133"/>
      <c r="AQ47" s="134"/>
      <c r="AR47" s="161"/>
      <c r="AS47" s="161"/>
      <c r="AT47" s="161"/>
      <c r="AU47" s="161"/>
      <c r="AV47" s="162"/>
      <c r="AW47" s="137">
        <f t="shared" si="11"/>
        <v>0</v>
      </c>
      <c r="AX47" s="137">
        <f t="shared" si="12"/>
        <v>0</v>
      </c>
    </row>
    <row r="48" ht="46.5" customHeight="1" spans="1:50" s="97" customFormat="1" x14ac:dyDescent="0.25">
      <c r="A48" s="100"/>
      <c r="B48" s="100"/>
      <c r="C48" s="100"/>
      <c r="D48" s="100"/>
      <c r="E48" s="100"/>
      <c r="F48" s="100"/>
      <c r="G48" s="103"/>
      <c r="H48" s="186"/>
      <c r="I48" s="195">
        <v>0.51</v>
      </c>
      <c r="J48" s="107">
        <v>0.49</v>
      </c>
      <c r="K48" s="107"/>
      <c r="L48" s="107"/>
      <c r="M48" s="187"/>
      <c r="N48" s="169">
        <f t="shared" si="14"/>
        <v>1</v>
      </c>
      <c r="O48" s="144">
        <v>1</v>
      </c>
      <c r="P48" s="145">
        <v>15</v>
      </c>
      <c r="Q48" s="113">
        <v>15</v>
      </c>
      <c r="R48" s="113"/>
      <c r="S48" s="113"/>
      <c r="T48" s="146"/>
      <c r="U48" s="148">
        <f t="shared" si="1"/>
        <v>15</v>
      </c>
      <c r="V48" s="149">
        <f t="shared" si="2"/>
        <v>15</v>
      </c>
      <c r="W48" s="189"/>
      <c r="X48" s="199"/>
      <c r="Y48" s="151"/>
      <c r="Z48" s="190"/>
      <c r="AA48" s="153"/>
      <c r="AB48" s="154">
        <f t="shared" si="3"/>
        <v>0</v>
      </c>
      <c r="AC48" s="149">
        <f t="shared" si="4"/>
        <v>0</v>
      </c>
      <c r="AD48" s="125">
        <v>2</v>
      </c>
      <c r="AE48" s="148">
        <f t="shared" si="5"/>
        <v>2</v>
      </c>
      <c r="AF48" s="156"/>
      <c r="AG48" s="156"/>
      <c r="AH48" s="113">
        <f t="shared" si="6"/>
        <v>17</v>
      </c>
      <c r="AI48" s="157">
        <v>65</v>
      </c>
      <c r="AJ48" s="113">
        <f t="shared" si="7"/>
        <v>82</v>
      </c>
      <c r="AK48" s="113">
        <f t="shared" si="8"/>
        <v>82</v>
      </c>
      <c r="AL48" s="158">
        <f t="shared" si="9"/>
        <v>1.02</v>
      </c>
      <c r="AM48" s="159"/>
      <c r="AN48" s="160">
        <f t="shared" si="13"/>
        <v>1</v>
      </c>
      <c r="AO48" s="160">
        <f t="shared" si="13"/>
        <v>2</v>
      </c>
      <c r="AP48" s="133"/>
      <c r="AQ48" s="134"/>
      <c r="AR48" s="161"/>
      <c r="AS48" s="161"/>
      <c r="AT48" s="161"/>
      <c r="AU48" s="161"/>
      <c r="AV48" s="162"/>
      <c r="AW48" s="137">
        <f t="shared" si="11"/>
        <v>0</v>
      </c>
      <c r="AX48" s="137">
        <f t="shared" si="12"/>
        <v>0</v>
      </c>
    </row>
    <row r="49" ht="46.5" customHeight="1" spans="1:50" s="97" customFormat="1" x14ac:dyDescent="0.25">
      <c r="A49" s="100"/>
      <c r="B49" s="100"/>
      <c r="C49" s="100"/>
      <c r="D49" s="100"/>
      <c r="E49" s="100"/>
      <c r="F49" s="100"/>
      <c r="G49" s="103"/>
      <c r="H49" s="186"/>
      <c r="I49" s="195">
        <v>0.51</v>
      </c>
      <c r="J49" s="107">
        <v>0.49</v>
      </c>
      <c r="K49" s="107"/>
      <c r="L49" s="107"/>
      <c r="M49" s="187"/>
      <c r="N49" s="169">
        <f t="shared" si="14"/>
        <v>1</v>
      </c>
      <c r="O49" s="144">
        <v>1</v>
      </c>
      <c r="P49" s="145">
        <v>15</v>
      </c>
      <c r="Q49" s="113">
        <v>15</v>
      </c>
      <c r="R49" s="113"/>
      <c r="S49" s="113"/>
      <c r="T49" s="146"/>
      <c r="U49" s="148">
        <f t="shared" si="1"/>
        <v>15</v>
      </c>
      <c r="V49" s="149">
        <f t="shared" si="2"/>
        <v>15</v>
      </c>
      <c r="W49" s="189"/>
      <c r="X49" s="199"/>
      <c r="Y49" s="151"/>
      <c r="Z49" s="190"/>
      <c r="AA49" s="153"/>
      <c r="AB49" s="154">
        <f t="shared" si="3"/>
        <v>0</v>
      </c>
      <c r="AC49" s="149">
        <f t="shared" si="4"/>
        <v>0</v>
      </c>
      <c r="AD49" s="125">
        <v>2</v>
      </c>
      <c r="AE49" s="148">
        <f t="shared" si="5"/>
        <v>2</v>
      </c>
      <c r="AF49" s="156"/>
      <c r="AG49" s="156"/>
      <c r="AH49" s="113">
        <f t="shared" si="6"/>
        <v>17</v>
      </c>
      <c r="AI49" s="157">
        <v>65</v>
      </c>
      <c r="AJ49" s="113">
        <f t="shared" si="7"/>
        <v>82</v>
      </c>
      <c r="AK49" s="113">
        <f t="shared" si="8"/>
        <v>82</v>
      </c>
      <c r="AL49" s="158">
        <f t="shared" si="9"/>
        <v>1.02</v>
      </c>
      <c r="AM49" s="159"/>
      <c r="AN49" s="160">
        <f t="shared" si="13"/>
        <v>1</v>
      </c>
      <c r="AO49" s="160">
        <f t="shared" si="13"/>
        <v>2</v>
      </c>
      <c r="AP49" s="133"/>
      <c r="AQ49" s="134"/>
      <c r="AR49" s="161"/>
      <c r="AS49" s="161"/>
      <c r="AT49" s="161"/>
      <c r="AU49" s="161"/>
      <c r="AV49" s="162"/>
      <c r="AW49" s="137">
        <f t="shared" si="11"/>
        <v>0</v>
      </c>
      <c r="AX49" s="137">
        <f t="shared" si="12"/>
        <v>0</v>
      </c>
    </row>
    <row r="50" ht="46.5" customHeight="1" spans="1:50" s="97" customFormat="1" x14ac:dyDescent="0.25">
      <c r="A50" s="100"/>
      <c r="B50" s="100"/>
      <c r="C50" s="100"/>
      <c r="D50" s="100"/>
      <c r="E50" s="100"/>
      <c r="F50" s="100"/>
      <c r="G50" s="103"/>
      <c r="H50" s="186"/>
      <c r="I50" s="195">
        <v>0.51</v>
      </c>
      <c r="J50" s="107">
        <v>0.49</v>
      </c>
      <c r="K50" s="107"/>
      <c r="L50" s="107"/>
      <c r="M50" s="187"/>
      <c r="N50" s="169">
        <f t="shared" si="14"/>
        <v>1</v>
      </c>
      <c r="O50" s="144">
        <v>1</v>
      </c>
      <c r="P50" s="145">
        <v>15</v>
      </c>
      <c r="Q50" s="113">
        <v>15</v>
      </c>
      <c r="R50" s="113"/>
      <c r="S50" s="113"/>
      <c r="T50" s="146"/>
      <c r="U50" s="148">
        <f t="shared" si="1"/>
        <v>15</v>
      </c>
      <c r="V50" s="149">
        <f t="shared" si="2"/>
        <v>15</v>
      </c>
      <c r="W50" s="189"/>
      <c r="X50" s="199"/>
      <c r="Y50" s="151"/>
      <c r="Z50" s="190"/>
      <c r="AA50" s="153"/>
      <c r="AB50" s="154">
        <f t="shared" si="3"/>
        <v>0</v>
      </c>
      <c r="AC50" s="149">
        <f t="shared" si="4"/>
        <v>0</v>
      </c>
      <c r="AD50" s="125">
        <v>2</v>
      </c>
      <c r="AE50" s="148">
        <f t="shared" si="5"/>
        <v>2</v>
      </c>
      <c r="AF50" s="156"/>
      <c r="AG50" s="156"/>
      <c r="AH50" s="113">
        <f t="shared" si="6"/>
        <v>17</v>
      </c>
      <c r="AI50" s="157">
        <v>65</v>
      </c>
      <c r="AJ50" s="113">
        <f t="shared" si="7"/>
        <v>82</v>
      </c>
      <c r="AK50" s="113">
        <f t="shared" si="8"/>
        <v>82</v>
      </c>
      <c r="AL50" s="158">
        <f t="shared" si="9"/>
        <v>1.02</v>
      </c>
      <c r="AM50" s="159"/>
      <c r="AN50" s="160">
        <f t="shared" si="13"/>
        <v>1</v>
      </c>
      <c r="AO50" s="160">
        <f t="shared" si="13"/>
        <v>2</v>
      </c>
      <c r="AP50" s="133"/>
      <c r="AQ50" s="134"/>
      <c r="AR50" s="161"/>
      <c r="AS50" s="161"/>
      <c r="AT50" s="161"/>
      <c r="AU50" s="161"/>
      <c r="AV50" s="162"/>
      <c r="AW50" s="137">
        <f t="shared" si="11"/>
        <v>0</v>
      </c>
      <c r="AX50" s="137">
        <f t="shared" si="12"/>
        <v>0</v>
      </c>
    </row>
    <row r="51" ht="46.5" customHeight="1" spans="1:50" s="97" customFormat="1" x14ac:dyDescent="0.25">
      <c r="A51" s="100"/>
      <c r="B51" s="100"/>
      <c r="C51" s="100"/>
      <c r="D51" s="100"/>
      <c r="E51" s="100"/>
      <c r="F51" s="100"/>
      <c r="G51" s="103"/>
      <c r="H51" s="186"/>
      <c r="I51" s="195">
        <v>0.51</v>
      </c>
      <c r="J51" s="107">
        <v>0.49</v>
      </c>
      <c r="K51" s="107"/>
      <c r="L51" s="107"/>
      <c r="M51" s="187"/>
      <c r="N51" s="169">
        <f t="shared" si="14"/>
        <v>1</v>
      </c>
      <c r="O51" s="144">
        <v>1</v>
      </c>
      <c r="P51" s="145">
        <v>15</v>
      </c>
      <c r="Q51" s="113">
        <v>15</v>
      </c>
      <c r="R51" s="113"/>
      <c r="S51" s="113"/>
      <c r="T51" s="146"/>
      <c r="U51" s="148">
        <f t="shared" si="1"/>
        <v>15</v>
      </c>
      <c r="V51" s="149">
        <f t="shared" si="2"/>
        <v>15</v>
      </c>
      <c r="W51" s="189"/>
      <c r="X51" s="199"/>
      <c r="Y51" s="151"/>
      <c r="Z51" s="190"/>
      <c r="AA51" s="153"/>
      <c r="AB51" s="154">
        <f t="shared" si="3"/>
        <v>0</v>
      </c>
      <c r="AC51" s="149">
        <f t="shared" si="4"/>
        <v>0</v>
      </c>
      <c r="AD51" s="125">
        <v>2</v>
      </c>
      <c r="AE51" s="148">
        <f t="shared" si="5"/>
        <v>2</v>
      </c>
      <c r="AF51" s="156"/>
      <c r="AG51" s="156"/>
      <c r="AH51" s="113">
        <f t="shared" si="6"/>
        <v>17</v>
      </c>
      <c r="AI51" s="157">
        <v>65</v>
      </c>
      <c r="AJ51" s="113">
        <f t="shared" si="7"/>
        <v>82</v>
      </c>
      <c r="AK51" s="113">
        <f t="shared" si="8"/>
        <v>82</v>
      </c>
      <c r="AL51" s="158">
        <f t="shared" si="9"/>
        <v>1.02</v>
      </c>
      <c r="AM51" s="159"/>
      <c r="AN51" s="160">
        <f t="shared" si="13"/>
        <v>1</v>
      </c>
      <c r="AO51" s="160">
        <f t="shared" si="13"/>
        <v>2</v>
      </c>
      <c r="AP51" s="133"/>
      <c r="AQ51" s="134"/>
      <c r="AR51" s="161"/>
      <c r="AS51" s="161"/>
      <c r="AT51" s="161"/>
      <c r="AU51" s="161"/>
      <c r="AV51" s="162"/>
      <c r="AW51" s="137">
        <f t="shared" si="11"/>
        <v>0</v>
      </c>
      <c r="AX51" s="137">
        <f t="shared" si="12"/>
        <v>0</v>
      </c>
    </row>
    <row r="52" ht="46.5" customHeight="1" spans="1:50" s="97" customFormat="1" x14ac:dyDescent="0.25">
      <c r="A52" s="100"/>
      <c r="B52" s="100"/>
      <c r="C52" s="100"/>
      <c r="D52" s="100"/>
      <c r="E52" s="100"/>
      <c r="F52" s="100"/>
      <c r="G52" s="103"/>
      <c r="H52" s="186"/>
      <c r="I52" s="195">
        <v>0.51</v>
      </c>
      <c r="J52" s="107">
        <v>0.49</v>
      </c>
      <c r="K52" s="107"/>
      <c r="L52" s="107"/>
      <c r="M52" s="187"/>
      <c r="N52" s="169">
        <f t="shared" si="14"/>
        <v>1</v>
      </c>
      <c r="O52" s="144">
        <v>1</v>
      </c>
      <c r="P52" s="145">
        <v>15</v>
      </c>
      <c r="Q52" s="113">
        <v>15</v>
      </c>
      <c r="R52" s="113"/>
      <c r="S52" s="113"/>
      <c r="T52" s="146"/>
      <c r="U52" s="148">
        <f t="shared" si="1"/>
        <v>15</v>
      </c>
      <c r="V52" s="149">
        <f t="shared" si="2"/>
        <v>15</v>
      </c>
      <c r="W52" s="189"/>
      <c r="X52" s="199"/>
      <c r="Y52" s="151"/>
      <c r="Z52" s="190"/>
      <c r="AA52" s="153"/>
      <c r="AB52" s="154">
        <f t="shared" si="3"/>
        <v>0</v>
      </c>
      <c r="AC52" s="149">
        <f t="shared" si="4"/>
        <v>0</v>
      </c>
      <c r="AD52" s="125">
        <v>2</v>
      </c>
      <c r="AE52" s="148">
        <f t="shared" si="5"/>
        <v>2</v>
      </c>
      <c r="AF52" s="156"/>
      <c r="AG52" s="156"/>
      <c r="AH52" s="113">
        <f t="shared" si="6"/>
        <v>17</v>
      </c>
      <c r="AI52" s="157">
        <v>65</v>
      </c>
      <c r="AJ52" s="113">
        <f t="shared" si="7"/>
        <v>82</v>
      </c>
      <c r="AK52" s="113">
        <f t="shared" si="8"/>
        <v>82</v>
      </c>
      <c r="AL52" s="158">
        <f t="shared" si="9"/>
        <v>1.02</v>
      </c>
      <c r="AM52" s="159"/>
      <c r="AN52" s="160">
        <f t="shared" si="13"/>
        <v>1</v>
      </c>
      <c r="AO52" s="160">
        <f t="shared" si="13"/>
        <v>2</v>
      </c>
      <c r="AP52" s="133"/>
      <c r="AQ52" s="134"/>
      <c r="AR52" s="161"/>
      <c r="AS52" s="161"/>
      <c r="AT52" s="161"/>
      <c r="AU52" s="161"/>
      <c r="AV52" s="162"/>
      <c r="AW52" s="137">
        <f t="shared" si="11"/>
        <v>0</v>
      </c>
      <c r="AX52" s="137">
        <f t="shared" si="12"/>
        <v>0</v>
      </c>
    </row>
    <row r="53" ht="46.5" customHeight="1" spans="1:50" s="97" customFormat="1" x14ac:dyDescent="0.25">
      <c r="A53" s="100"/>
      <c r="B53" s="100"/>
      <c r="C53" s="100"/>
      <c r="D53" s="100"/>
      <c r="E53" s="100"/>
      <c r="F53" s="100"/>
      <c r="G53" s="103"/>
      <c r="H53" s="186"/>
      <c r="I53" s="195">
        <v>0.51</v>
      </c>
      <c r="J53" s="107">
        <v>0.49</v>
      </c>
      <c r="K53" s="107"/>
      <c r="L53" s="107"/>
      <c r="M53" s="187"/>
      <c r="N53" s="169">
        <f t="shared" si="14"/>
        <v>1</v>
      </c>
      <c r="O53" s="144">
        <v>1</v>
      </c>
      <c r="P53" s="145">
        <v>15</v>
      </c>
      <c r="Q53" s="113">
        <v>15</v>
      </c>
      <c r="R53" s="113"/>
      <c r="S53" s="113"/>
      <c r="T53" s="146"/>
      <c r="U53" s="148">
        <f t="shared" si="1"/>
        <v>15</v>
      </c>
      <c r="V53" s="149">
        <f t="shared" si="2"/>
        <v>15</v>
      </c>
      <c r="W53" s="189"/>
      <c r="X53" s="199"/>
      <c r="Y53" s="151"/>
      <c r="Z53" s="190"/>
      <c r="AA53" s="153"/>
      <c r="AB53" s="154">
        <f t="shared" si="3"/>
        <v>0</v>
      </c>
      <c r="AC53" s="149">
        <f t="shared" si="4"/>
        <v>0</v>
      </c>
      <c r="AD53" s="125">
        <v>2</v>
      </c>
      <c r="AE53" s="148">
        <f t="shared" si="5"/>
        <v>2</v>
      </c>
      <c r="AF53" s="156"/>
      <c r="AG53" s="156"/>
      <c r="AH53" s="113">
        <f t="shared" si="6"/>
        <v>17</v>
      </c>
      <c r="AI53" s="157">
        <v>65</v>
      </c>
      <c r="AJ53" s="113">
        <f t="shared" si="7"/>
        <v>82</v>
      </c>
      <c r="AK53" s="113">
        <f t="shared" si="8"/>
        <v>82</v>
      </c>
      <c r="AL53" s="158">
        <f t="shared" si="9"/>
        <v>1.02</v>
      </c>
      <c r="AM53" s="159"/>
      <c r="AN53" s="160">
        <f t="shared" ref="AN53:AO72" si="15">100%+AM53</f>
        <v>1</v>
      </c>
      <c r="AO53" s="160">
        <f t="shared" si="15"/>
        <v>2</v>
      </c>
      <c r="AP53" s="133"/>
      <c r="AQ53" s="134"/>
      <c r="AR53" s="161"/>
      <c r="AS53" s="161"/>
      <c r="AT53" s="161"/>
      <c r="AU53" s="161"/>
      <c r="AV53" s="162"/>
      <c r="AW53" s="137">
        <f t="shared" si="11"/>
        <v>0</v>
      </c>
      <c r="AX53" s="137">
        <f t="shared" si="12"/>
        <v>0</v>
      </c>
    </row>
    <row r="54" ht="46.5" customHeight="1" spans="1:50" s="97" customFormat="1" x14ac:dyDescent="0.25">
      <c r="A54" s="100"/>
      <c r="B54" s="100"/>
      <c r="C54" s="100"/>
      <c r="D54" s="100"/>
      <c r="E54" s="100"/>
      <c r="F54" s="100"/>
      <c r="G54" s="103"/>
      <c r="H54" s="186"/>
      <c r="I54" s="195">
        <v>0.51</v>
      </c>
      <c r="J54" s="107">
        <v>0.49</v>
      </c>
      <c r="K54" s="107"/>
      <c r="L54" s="107"/>
      <c r="M54" s="187"/>
      <c r="N54" s="169">
        <f t="shared" si="14"/>
        <v>1</v>
      </c>
      <c r="O54" s="144">
        <v>1</v>
      </c>
      <c r="P54" s="145">
        <v>15</v>
      </c>
      <c r="Q54" s="113">
        <v>15</v>
      </c>
      <c r="R54" s="113"/>
      <c r="S54" s="113"/>
      <c r="T54" s="146"/>
      <c r="U54" s="148">
        <f t="shared" si="1"/>
        <v>15</v>
      </c>
      <c r="V54" s="149">
        <f t="shared" si="2"/>
        <v>15</v>
      </c>
      <c r="W54" s="189"/>
      <c r="X54" s="199"/>
      <c r="Y54" s="151"/>
      <c r="Z54" s="190"/>
      <c r="AA54" s="153"/>
      <c r="AB54" s="154">
        <f t="shared" si="3"/>
        <v>0</v>
      </c>
      <c r="AC54" s="149">
        <f t="shared" si="4"/>
        <v>0</v>
      </c>
      <c r="AD54" s="125">
        <v>2</v>
      </c>
      <c r="AE54" s="148">
        <f t="shared" si="5"/>
        <v>2</v>
      </c>
      <c r="AF54" s="156"/>
      <c r="AG54" s="156"/>
      <c r="AH54" s="113">
        <f t="shared" si="6"/>
        <v>17</v>
      </c>
      <c r="AI54" s="157">
        <v>65</v>
      </c>
      <c r="AJ54" s="113">
        <f t="shared" si="7"/>
        <v>82</v>
      </c>
      <c r="AK54" s="113">
        <f t="shared" si="8"/>
        <v>82</v>
      </c>
      <c r="AL54" s="158">
        <f t="shared" si="9"/>
        <v>1.02</v>
      </c>
      <c r="AM54" s="159"/>
      <c r="AN54" s="160">
        <f t="shared" si="15"/>
        <v>1</v>
      </c>
      <c r="AO54" s="160">
        <f t="shared" si="15"/>
        <v>2</v>
      </c>
      <c r="AP54" s="133"/>
      <c r="AQ54" s="134"/>
      <c r="AR54" s="161"/>
      <c r="AS54" s="161"/>
      <c r="AT54" s="161"/>
      <c r="AU54" s="161"/>
      <c r="AV54" s="162"/>
      <c r="AW54" s="137">
        <f t="shared" si="11"/>
        <v>0</v>
      </c>
      <c r="AX54" s="137">
        <f t="shared" si="12"/>
        <v>0</v>
      </c>
    </row>
    <row r="55" ht="46.5" customHeight="1" spans="1:50" s="97" customFormat="1" x14ac:dyDescent="0.25">
      <c r="A55" s="100"/>
      <c r="B55" s="100"/>
      <c r="C55" s="100"/>
      <c r="D55" s="100"/>
      <c r="E55" s="100"/>
      <c r="F55" s="100"/>
      <c r="G55" s="103"/>
      <c r="H55" s="186"/>
      <c r="I55" s="195">
        <v>0.51</v>
      </c>
      <c r="J55" s="107">
        <v>0.49</v>
      </c>
      <c r="K55" s="107"/>
      <c r="L55" s="107"/>
      <c r="M55" s="187"/>
      <c r="N55" s="169">
        <f t="shared" si="14"/>
        <v>1</v>
      </c>
      <c r="O55" s="144">
        <v>1</v>
      </c>
      <c r="P55" s="145">
        <v>15</v>
      </c>
      <c r="Q55" s="113">
        <v>15</v>
      </c>
      <c r="R55" s="113"/>
      <c r="S55" s="113"/>
      <c r="T55" s="146"/>
      <c r="U55" s="148">
        <f t="shared" si="1"/>
        <v>15</v>
      </c>
      <c r="V55" s="149">
        <f t="shared" si="2"/>
        <v>15</v>
      </c>
      <c r="W55" s="189"/>
      <c r="X55" s="199"/>
      <c r="Y55" s="151"/>
      <c r="Z55" s="190"/>
      <c r="AA55" s="153"/>
      <c r="AB55" s="154">
        <f t="shared" si="3"/>
        <v>0</v>
      </c>
      <c r="AC55" s="149">
        <f t="shared" si="4"/>
        <v>0</v>
      </c>
      <c r="AD55" s="125">
        <v>2</v>
      </c>
      <c r="AE55" s="148">
        <f t="shared" si="5"/>
        <v>2</v>
      </c>
      <c r="AF55" s="156"/>
      <c r="AG55" s="156"/>
      <c r="AH55" s="113">
        <f t="shared" si="6"/>
        <v>17</v>
      </c>
      <c r="AI55" s="157">
        <v>65</v>
      </c>
      <c r="AJ55" s="113">
        <f t="shared" si="7"/>
        <v>82</v>
      </c>
      <c r="AK55" s="113">
        <f t="shared" si="8"/>
        <v>82</v>
      </c>
      <c r="AL55" s="158">
        <f t="shared" si="9"/>
        <v>1.02</v>
      </c>
      <c r="AM55" s="159"/>
      <c r="AN55" s="160">
        <f t="shared" si="15"/>
        <v>1</v>
      </c>
      <c r="AO55" s="160">
        <f t="shared" si="15"/>
        <v>2</v>
      </c>
      <c r="AP55" s="133"/>
      <c r="AQ55" s="134"/>
      <c r="AR55" s="161"/>
      <c r="AS55" s="161"/>
      <c r="AT55" s="161"/>
      <c r="AU55" s="161"/>
      <c r="AV55" s="162"/>
      <c r="AW55" s="137">
        <f t="shared" si="11"/>
        <v>0</v>
      </c>
      <c r="AX55" s="137">
        <f t="shared" si="12"/>
        <v>0</v>
      </c>
    </row>
    <row r="56" ht="46.5" customHeight="1" spans="1:50" s="97" customFormat="1" x14ac:dyDescent="0.25">
      <c r="A56" s="100"/>
      <c r="B56" s="100"/>
      <c r="C56" s="100"/>
      <c r="D56" s="100"/>
      <c r="E56" s="100"/>
      <c r="F56" s="100"/>
      <c r="G56" s="103"/>
      <c r="H56" s="186"/>
      <c r="I56" s="195">
        <v>0.51</v>
      </c>
      <c r="J56" s="107">
        <v>0.49</v>
      </c>
      <c r="K56" s="107"/>
      <c r="L56" s="107"/>
      <c r="M56" s="187"/>
      <c r="N56" s="169">
        <f t="shared" si="14"/>
        <v>1</v>
      </c>
      <c r="O56" s="144">
        <v>1</v>
      </c>
      <c r="P56" s="145">
        <v>15</v>
      </c>
      <c r="Q56" s="113">
        <v>15</v>
      </c>
      <c r="R56" s="113"/>
      <c r="S56" s="113"/>
      <c r="T56" s="146"/>
      <c r="U56" s="148">
        <f t="shared" si="1"/>
        <v>15</v>
      </c>
      <c r="V56" s="149">
        <f t="shared" si="2"/>
        <v>15</v>
      </c>
      <c r="W56" s="189"/>
      <c r="X56" s="199"/>
      <c r="Y56" s="151"/>
      <c r="Z56" s="190"/>
      <c r="AA56" s="153"/>
      <c r="AB56" s="154">
        <f t="shared" si="3"/>
        <v>0</v>
      </c>
      <c r="AC56" s="149">
        <f t="shared" si="4"/>
        <v>0</v>
      </c>
      <c r="AD56" s="125">
        <v>2</v>
      </c>
      <c r="AE56" s="148">
        <f t="shared" si="5"/>
        <v>2</v>
      </c>
      <c r="AF56" s="156"/>
      <c r="AG56" s="156"/>
      <c r="AH56" s="113">
        <f t="shared" si="6"/>
        <v>17</v>
      </c>
      <c r="AI56" s="157">
        <v>65</v>
      </c>
      <c r="AJ56" s="113">
        <f t="shared" si="7"/>
        <v>82</v>
      </c>
      <c r="AK56" s="113">
        <f t="shared" si="8"/>
        <v>82</v>
      </c>
      <c r="AL56" s="158">
        <f t="shared" si="9"/>
        <v>1.02</v>
      </c>
      <c r="AM56" s="159"/>
      <c r="AN56" s="160">
        <f t="shared" si="15"/>
        <v>1</v>
      </c>
      <c r="AO56" s="160">
        <f t="shared" si="15"/>
        <v>2</v>
      </c>
      <c r="AP56" s="133"/>
      <c r="AQ56" s="134"/>
      <c r="AR56" s="161"/>
      <c r="AS56" s="161"/>
      <c r="AT56" s="161"/>
      <c r="AU56" s="161"/>
      <c r="AV56" s="162"/>
      <c r="AW56" s="137">
        <f t="shared" si="11"/>
        <v>0</v>
      </c>
      <c r="AX56" s="137">
        <f t="shared" si="12"/>
        <v>0</v>
      </c>
    </row>
    <row r="57" ht="46.5" customHeight="1" spans="1:50" s="97" customFormat="1" x14ac:dyDescent="0.25">
      <c r="A57" s="100"/>
      <c r="B57" s="100"/>
      <c r="C57" s="100"/>
      <c r="D57" s="100"/>
      <c r="E57" s="100"/>
      <c r="F57" s="100"/>
      <c r="G57" s="103"/>
      <c r="H57" s="186"/>
      <c r="I57" s="195">
        <v>0.51</v>
      </c>
      <c r="J57" s="107">
        <v>0.49</v>
      </c>
      <c r="K57" s="107"/>
      <c r="L57" s="107"/>
      <c r="M57" s="187"/>
      <c r="N57" s="169">
        <f t="shared" si="14"/>
        <v>1</v>
      </c>
      <c r="O57" s="144">
        <v>1</v>
      </c>
      <c r="P57" s="145">
        <v>15</v>
      </c>
      <c r="Q57" s="113">
        <v>15</v>
      </c>
      <c r="R57" s="113"/>
      <c r="S57" s="113"/>
      <c r="T57" s="146"/>
      <c r="U57" s="148">
        <f t="shared" si="1"/>
        <v>15</v>
      </c>
      <c r="V57" s="149">
        <f t="shared" si="2"/>
        <v>15</v>
      </c>
      <c r="W57" s="189"/>
      <c r="X57" s="199"/>
      <c r="Y57" s="151"/>
      <c r="Z57" s="190"/>
      <c r="AA57" s="153"/>
      <c r="AB57" s="154">
        <f t="shared" si="3"/>
        <v>0</v>
      </c>
      <c r="AC57" s="149">
        <f t="shared" si="4"/>
        <v>0</v>
      </c>
      <c r="AD57" s="125">
        <v>2</v>
      </c>
      <c r="AE57" s="148">
        <f t="shared" si="5"/>
        <v>2</v>
      </c>
      <c r="AF57" s="156"/>
      <c r="AG57" s="156"/>
      <c r="AH57" s="113">
        <f t="shared" si="6"/>
        <v>17</v>
      </c>
      <c r="AI57" s="157">
        <v>65</v>
      </c>
      <c r="AJ57" s="113">
        <f t="shared" si="7"/>
        <v>82</v>
      </c>
      <c r="AK57" s="113">
        <f t="shared" si="8"/>
        <v>82</v>
      </c>
      <c r="AL57" s="158">
        <f t="shared" si="9"/>
        <v>1.02</v>
      </c>
      <c r="AM57" s="159"/>
      <c r="AN57" s="160">
        <f t="shared" si="15"/>
        <v>1</v>
      </c>
      <c r="AO57" s="160">
        <f t="shared" si="15"/>
        <v>2</v>
      </c>
      <c r="AP57" s="133"/>
      <c r="AQ57" s="134"/>
      <c r="AR57" s="161"/>
      <c r="AS57" s="161"/>
      <c r="AT57" s="161"/>
      <c r="AU57" s="161"/>
      <c r="AV57" s="162"/>
      <c r="AW57" s="137">
        <f t="shared" si="11"/>
        <v>0</v>
      </c>
      <c r="AX57" s="137">
        <f t="shared" si="12"/>
        <v>0</v>
      </c>
    </row>
    <row r="58" ht="46.5" customHeight="1" spans="1:50" s="97" customFormat="1" x14ac:dyDescent="0.25">
      <c r="A58" s="100"/>
      <c r="B58" s="100"/>
      <c r="C58" s="100"/>
      <c r="D58" s="100"/>
      <c r="E58" s="100"/>
      <c r="F58" s="100"/>
      <c r="G58" s="103"/>
      <c r="H58" s="186"/>
      <c r="I58" s="195">
        <v>0.51</v>
      </c>
      <c r="J58" s="107">
        <v>0.49</v>
      </c>
      <c r="K58" s="107"/>
      <c r="L58" s="107"/>
      <c r="M58" s="187"/>
      <c r="N58" s="169">
        <f t="shared" si="14"/>
        <v>1</v>
      </c>
      <c r="O58" s="144">
        <v>1</v>
      </c>
      <c r="P58" s="145">
        <v>15</v>
      </c>
      <c r="Q58" s="113">
        <v>15</v>
      </c>
      <c r="R58" s="113"/>
      <c r="S58" s="113"/>
      <c r="T58" s="146"/>
      <c r="U58" s="148">
        <f t="shared" si="1"/>
        <v>15</v>
      </c>
      <c r="V58" s="149">
        <f t="shared" si="2"/>
        <v>15</v>
      </c>
      <c r="W58" s="189"/>
      <c r="X58" s="199"/>
      <c r="Y58" s="151"/>
      <c r="Z58" s="190"/>
      <c r="AA58" s="153"/>
      <c r="AB58" s="154">
        <f t="shared" si="3"/>
        <v>0</v>
      </c>
      <c r="AC58" s="149">
        <f t="shared" si="4"/>
        <v>0</v>
      </c>
      <c r="AD58" s="125">
        <v>2</v>
      </c>
      <c r="AE58" s="148">
        <f t="shared" si="5"/>
        <v>2</v>
      </c>
      <c r="AF58" s="156"/>
      <c r="AG58" s="156"/>
      <c r="AH58" s="113">
        <f t="shared" si="6"/>
        <v>17</v>
      </c>
      <c r="AI58" s="157">
        <v>65</v>
      </c>
      <c r="AJ58" s="113">
        <f t="shared" si="7"/>
        <v>82</v>
      </c>
      <c r="AK58" s="113">
        <f t="shared" si="8"/>
        <v>82</v>
      </c>
      <c r="AL58" s="158">
        <f t="shared" si="9"/>
        <v>1.02</v>
      </c>
      <c r="AM58" s="159"/>
      <c r="AN58" s="160">
        <f t="shared" si="15"/>
        <v>1</v>
      </c>
      <c r="AO58" s="160">
        <f t="shared" si="15"/>
        <v>2</v>
      </c>
      <c r="AP58" s="133"/>
      <c r="AQ58" s="134"/>
      <c r="AR58" s="161"/>
      <c r="AS58" s="161"/>
      <c r="AT58" s="161"/>
      <c r="AU58" s="161"/>
      <c r="AV58" s="162"/>
      <c r="AW58" s="137">
        <f t="shared" si="11"/>
        <v>0</v>
      </c>
      <c r="AX58" s="137">
        <f t="shared" si="12"/>
        <v>0</v>
      </c>
    </row>
    <row r="59" ht="46.5" customHeight="1" spans="1:50" s="97" customFormat="1" x14ac:dyDescent="0.25">
      <c r="A59" s="100"/>
      <c r="B59" s="100"/>
      <c r="C59" s="100"/>
      <c r="D59" s="100"/>
      <c r="E59" s="100"/>
      <c r="F59" s="100"/>
      <c r="G59" s="103"/>
      <c r="H59" s="186"/>
      <c r="I59" s="195">
        <v>0.51</v>
      </c>
      <c r="J59" s="107">
        <v>0.49</v>
      </c>
      <c r="K59" s="107"/>
      <c r="L59" s="107"/>
      <c r="M59" s="187"/>
      <c r="N59" s="169">
        <f t="shared" si="14"/>
        <v>1</v>
      </c>
      <c r="O59" s="144">
        <v>1</v>
      </c>
      <c r="P59" s="145">
        <v>15</v>
      </c>
      <c r="Q59" s="113">
        <v>15</v>
      </c>
      <c r="R59" s="113"/>
      <c r="S59" s="113"/>
      <c r="T59" s="146"/>
      <c r="U59" s="148">
        <f t="shared" si="1"/>
        <v>15</v>
      </c>
      <c r="V59" s="149">
        <f t="shared" si="2"/>
        <v>15</v>
      </c>
      <c r="W59" s="189"/>
      <c r="X59" s="199"/>
      <c r="Y59" s="151"/>
      <c r="Z59" s="190"/>
      <c r="AA59" s="153"/>
      <c r="AB59" s="154">
        <f t="shared" si="3"/>
        <v>0</v>
      </c>
      <c r="AC59" s="149">
        <f t="shared" si="4"/>
        <v>0</v>
      </c>
      <c r="AD59" s="125">
        <v>2</v>
      </c>
      <c r="AE59" s="148">
        <f t="shared" si="5"/>
        <v>2</v>
      </c>
      <c r="AF59" s="156"/>
      <c r="AG59" s="156"/>
      <c r="AH59" s="113">
        <f t="shared" si="6"/>
        <v>17</v>
      </c>
      <c r="AI59" s="157">
        <v>65</v>
      </c>
      <c r="AJ59" s="113">
        <f t="shared" si="7"/>
        <v>82</v>
      </c>
      <c r="AK59" s="113">
        <f t="shared" si="8"/>
        <v>82</v>
      </c>
      <c r="AL59" s="158">
        <f t="shared" si="9"/>
        <v>1.02</v>
      </c>
      <c r="AM59" s="159"/>
      <c r="AN59" s="160">
        <f t="shared" si="15"/>
        <v>1</v>
      </c>
      <c r="AO59" s="160">
        <f t="shared" si="15"/>
        <v>2</v>
      </c>
      <c r="AP59" s="133"/>
      <c r="AQ59" s="134"/>
      <c r="AR59" s="161"/>
      <c r="AS59" s="161"/>
      <c r="AT59" s="161"/>
      <c r="AU59" s="161"/>
      <c r="AV59" s="162"/>
      <c r="AW59" s="137">
        <f t="shared" si="11"/>
        <v>0</v>
      </c>
      <c r="AX59" s="137">
        <f t="shared" si="12"/>
        <v>0</v>
      </c>
    </row>
    <row r="60" ht="46.5" customHeight="1" spans="1:50" s="97" customFormat="1" x14ac:dyDescent="0.25">
      <c r="A60" s="100"/>
      <c r="B60" s="100"/>
      <c r="C60" s="100"/>
      <c r="D60" s="100"/>
      <c r="E60" s="100"/>
      <c r="F60" s="100"/>
      <c r="G60" s="103"/>
      <c r="H60" s="186"/>
      <c r="I60" s="195">
        <v>0.51</v>
      </c>
      <c r="J60" s="107">
        <v>0.49</v>
      </c>
      <c r="K60" s="107"/>
      <c r="L60" s="107"/>
      <c r="M60" s="187"/>
      <c r="N60" s="169">
        <f t="shared" si="14"/>
        <v>1</v>
      </c>
      <c r="O60" s="144">
        <v>1</v>
      </c>
      <c r="P60" s="145">
        <v>15</v>
      </c>
      <c r="Q60" s="113">
        <v>15</v>
      </c>
      <c r="R60" s="113"/>
      <c r="S60" s="113"/>
      <c r="T60" s="146"/>
      <c r="U60" s="148">
        <f t="shared" si="1"/>
        <v>15</v>
      </c>
      <c r="V60" s="149">
        <f t="shared" si="2"/>
        <v>15</v>
      </c>
      <c r="W60" s="189"/>
      <c r="X60" s="199"/>
      <c r="Y60" s="151"/>
      <c r="Z60" s="190"/>
      <c r="AA60" s="153"/>
      <c r="AB60" s="154">
        <f t="shared" si="3"/>
        <v>0</v>
      </c>
      <c r="AC60" s="149">
        <f t="shared" si="4"/>
        <v>0</v>
      </c>
      <c r="AD60" s="125">
        <v>2</v>
      </c>
      <c r="AE60" s="148">
        <f t="shared" si="5"/>
        <v>2</v>
      </c>
      <c r="AF60" s="156"/>
      <c r="AG60" s="156"/>
      <c r="AH60" s="113">
        <f t="shared" si="6"/>
        <v>17</v>
      </c>
      <c r="AI60" s="157">
        <v>65</v>
      </c>
      <c r="AJ60" s="113">
        <f t="shared" si="7"/>
        <v>82</v>
      </c>
      <c r="AK60" s="113">
        <f t="shared" si="8"/>
        <v>82</v>
      </c>
      <c r="AL60" s="158">
        <f t="shared" si="9"/>
        <v>1.02</v>
      </c>
      <c r="AM60" s="159"/>
      <c r="AN60" s="160">
        <f t="shared" si="15"/>
        <v>1</v>
      </c>
      <c r="AO60" s="160">
        <f t="shared" si="15"/>
        <v>2</v>
      </c>
      <c r="AP60" s="133"/>
      <c r="AQ60" s="134"/>
      <c r="AR60" s="161"/>
      <c r="AS60" s="161"/>
      <c r="AT60" s="161"/>
      <c r="AU60" s="161"/>
      <c r="AV60" s="162"/>
      <c r="AW60" s="137">
        <f t="shared" si="11"/>
        <v>0</v>
      </c>
      <c r="AX60" s="137">
        <f t="shared" si="12"/>
        <v>0</v>
      </c>
    </row>
    <row r="61" ht="46.5" customHeight="1" spans="1:50" s="97" customFormat="1" x14ac:dyDescent="0.25">
      <c r="A61" s="100"/>
      <c r="B61" s="100"/>
      <c r="C61" s="100"/>
      <c r="D61" s="100"/>
      <c r="E61" s="100"/>
      <c r="F61" s="100"/>
      <c r="G61" s="103"/>
      <c r="H61" s="186"/>
      <c r="I61" s="195">
        <v>0.51</v>
      </c>
      <c r="J61" s="107">
        <v>0.49</v>
      </c>
      <c r="K61" s="107"/>
      <c r="L61" s="107"/>
      <c r="M61" s="187"/>
      <c r="N61" s="169">
        <f t="shared" si="14"/>
        <v>1</v>
      </c>
      <c r="O61" s="144">
        <v>1</v>
      </c>
      <c r="P61" s="145">
        <v>15</v>
      </c>
      <c r="Q61" s="113">
        <v>15</v>
      </c>
      <c r="R61" s="113"/>
      <c r="S61" s="113"/>
      <c r="T61" s="146"/>
      <c r="U61" s="148">
        <f t="shared" si="1"/>
        <v>15</v>
      </c>
      <c r="V61" s="149">
        <f t="shared" si="2"/>
        <v>15</v>
      </c>
      <c r="W61" s="189"/>
      <c r="X61" s="199"/>
      <c r="Y61" s="151"/>
      <c r="Z61" s="190"/>
      <c r="AA61" s="153"/>
      <c r="AB61" s="154">
        <f t="shared" si="3"/>
        <v>0</v>
      </c>
      <c r="AC61" s="149">
        <f t="shared" si="4"/>
        <v>0</v>
      </c>
      <c r="AD61" s="125">
        <v>2</v>
      </c>
      <c r="AE61" s="148">
        <f t="shared" si="5"/>
        <v>2</v>
      </c>
      <c r="AF61" s="156"/>
      <c r="AG61" s="156"/>
      <c r="AH61" s="113">
        <f t="shared" si="6"/>
        <v>17</v>
      </c>
      <c r="AI61" s="157">
        <v>65</v>
      </c>
      <c r="AJ61" s="113">
        <f t="shared" si="7"/>
        <v>82</v>
      </c>
      <c r="AK61" s="113">
        <f t="shared" si="8"/>
        <v>82</v>
      </c>
      <c r="AL61" s="158">
        <f t="shared" si="9"/>
        <v>1.02</v>
      </c>
      <c r="AM61" s="159"/>
      <c r="AN61" s="160">
        <f t="shared" si="15"/>
        <v>1</v>
      </c>
      <c r="AO61" s="160">
        <f t="shared" si="15"/>
        <v>2</v>
      </c>
      <c r="AP61" s="133"/>
      <c r="AQ61" s="134"/>
      <c r="AR61" s="161"/>
      <c r="AS61" s="161"/>
      <c r="AT61" s="161"/>
      <c r="AU61" s="161"/>
      <c r="AV61" s="162"/>
      <c r="AW61" s="137">
        <f t="shared" si="11"/>
        <v>0</v>
      </c>
      <c r="AX61" s="137">
        <f t="shared" si="12"/>
        <v>0</v>
      </c>
    </row>
    <row r="62" ht="46.5" customHeight="1" spans="1:50" s="97" customFormat="1" x14ac:dyDescent="0.25">
      <c r="A62" s="100"/>
      <c r="B62" s="100"/>
      <c r="C62" s="100"/>
      <c r="D62" s="100"/>
      <c r="E62" s="100"/>
      <c r="F62" s="100"/>
      <c r="G62" s="103"/>
      <c r="H62" s="186"/>
      <c r="I62" s="195">
        <v>0.51</v>
      </c>
      <c r="J62" s="107">
        <v>0.49</v>
      </c>
      <c r="K62" s="107"/>
      <c r="L62" s="107"/>
      <c r="M62" s="187"/>
      <c r="N62" s="169">
        <f t="shared" si="14"/>
        <v>1</v>
      </c>
      <c r="O62" s="144">
        <v>1</v>
      </c>
      <c r="P62" s="145">
        <v>15</v>
      </c>
      <c r="Q62" s="113">
        <v>15</v>
      </c>
      <c r="R62" s="113"/>
      <c r="S62" s="113"/>
      <c r="T62" s="146"/>
      <c r="U62" s="148">
        <f t="shared" si="1"/>
        <v>15</v>
      </c>
      <c r="V62" s="149">
        <f t="shared" si="2"/>
        <v>15</v>
      </c>
      <c r="W62" s="189"/>
      <c r="X62" s="199"/>
      <c r="Y62" s="151"/>
      <c r="Z62" s="190"/>
      <c r="AA62" s="153"/>
      <c r="AB62" s="154">
        <f t="shared" si="3"/>
        <v>0</v>
      </c>
      <c r="AC62" s="149">
        <f t="shared" si="4"/>
        <v>0</v>
      </c>
      <c r="AD62" s="125">
        <v>2</v>
      </c>
      <c r="AE62" s="148">
        <f t="shared" si="5"/>
        <v>2</v>
      </c>
      <c r="AF62" s="156"/>
      <c r="AG62" s="156"/>
      <c r="AH62" s="113">
        <f t="shared" si="6"/>
        <v>17</v>
      </c>
      <c r="AI62" s="157">
        <v>65</v>
      </c>
      <c r="AJ62" s="113">
        <f t="shared" si="7"/>
        <v>82</v>
      </c>
      <c r="AK62" s="113">
        <f t="shared" si="8"/>
        <v>82</v>
      </c>
      <c r="AL62" s="158">
        <f t="shared" si="9"/>
        <v>1.02</v>
      </c>
      <c r="AM62" s="159"/>
      <c r="AN62" s="160">
        <f t="shared" si="15"/>
        <v>1</v>
      </c>
      <c r="AO62" s="160">
        <f t="shared" si="15"/>
        <v>2</v>
      </c>
      <c r="AP62" s="133"/>
      <c r="AQ62" s="134"/>
      <c r="AR62" s="161"/>
      <c r="AS62" s="161"/>
      <c r="AT62" s="161"/>
      <c r="AU62" s="161"/>
      <c r="AV62" s="162"/>
      <c r="AW62" s="137">
        <f t="shared" si="11"/>
        <v>0</v>
      </c>
      <c r="AX62" s="137">
        <f t="shared" si="12"/>
        <v>0</v>
      </c>
    </row>
    <row r="63" ht="46.5" customHeight="1" spans="1:50" s="97" customFormat="1" x14ac:dyDescent="0.25">
      <c r="A63" s="100"/>
      <c r="B63" s="100"/>
      <c r="C63" s="100"/>
      <c r="D63" s="100"/>
      <c r="E63" s="100"/>
      <c r="F63" s="100"/>
      <c r="G63" s="103"/>
      <c r="H63" s="186"/>
      <c r="I63" s="195">
        <v>0.51</v>
      </c>
      <c r="J63" s="107">
        <v>0.49</v>
      </c>
      <c r="K63" s="107"/>
      <c r="L63" s="107"/>
      <c r="M63" s="187"/>
      <c r="N63" s="169">
        <f t="shared" si="14"/>
        <v>1</v>
      </c>
      <c r="O63" s="144">
        <v>1</v>
      </c>
      <c r="P63" s="145">
        <v>15</v>
      </c>
      <c r="Q63" s="113">
        <v>15</v>
      </c>
      <c r="R63" s="113"/>
      <c r="S63" s="113"/>
      <c r="T63" s="146"/>
      <c r="U63" s="148">
        <f t="shared" si="1"/>
        <v>15</v>
      </c>
      <c r="V63" s="149">
        <f t="shared" si="2"/>
        <v>15</v>
      </c>
      <c r="W63" s="189"/>
      <c r="X63" s="199"/>
      <c r="Y63" s="151"/>
      <c r="Z63" s="190"/>
      <c r="AA63" s="153"/>
      <c r="AB63" s="154">
        <f t="shared" si="3"/>
        <v>0</v>
      </c>
      <c r="AC63" s="149">
        <f t="shared" si="4"/>
        <v>0</v>
      </c>
      <c r="AD63" s="125">
        <v>2</v>
      </c>
      <c r="AE63" s="148">
        <f t="shared" si="5"/>
        <v>2</v>
      </c>
      <c r="AF63" s="156"/>
      <c r="AG63" s="156"/>
      <c r="AH63" s="113">
        <f t="shared" si="6"/>
        <v>17</v>
      </c>
      <c r="AI63" s="157">
        <v>65</v>
      </c>
      <c r="AJ63" s="113">
        <f t="shared" si="7"/>
        <v>82</v>
      </c>
      <c r="AK63" s="113">
        <f t="shared" si="8"/>
        <v>82</v>
      </c>
      <c r="AL63" s="158">
        <f t="shared" si="9"/>
        <v>1.02</v>
      </c>
      <c r="AM63" s="159"/>
      <c r="AN63" s="160">
        <f t="shared" si="15"/>
        <v>1</v>
      </c>
      <c r="AO63" s="160">
        <f t="shared" si="15"/>
        <v>2</v>
      </c>
      <c r="AP63" s="133"/>
      <c r="AQ63" s="134"/>
      <c r="AR63" s="161"/>
      <c r="AS63" s="161"/>
      <c r="AT63" s="161"/>
      <c r="AU63" s="161"/>
      <c r="AV63" s="162"/>
      <c r="AW63" s="137">
        <f t="shared" si="11"/>
        <v>0</v>
      </c>
      <c r="AX63" s="137">
        <f t="shared" si="12"/>
        <v>0</v>
      </c>
    </row>
    <row r="64" ht="46.5" customHeight="1" spans="1:50" s="97" customFormat="1" x14ac:dyDescent="0.25">
      <c r="A64" s="100"/>
      <c r="B64" s="100"/>
      <c r="C64" s="100"/>
      <c r="D64" s="100"/>
      <c r="E64" s="100"/>
      <c r="F64" s="100"/>
      <c r="G64" s="103"/>
      <c r="H64" s="186"/>
      <c r="I64" s="195">
        <v>0.51</v>
      </c>
      <c r="J64" s="107">
        <v>0.49</v>
      </c>
      <c r="K64" s="107"/>
      <c r="L64" s="107"/>
      <c r="M64" s="187"/>
      <c r="N64" s="169">
        <f t="shared" si="14"/>
        <v>1</v>
      </c>
      <c r="O64" s="144">
        <v>1</v>
      </c>
      <c r="P64" s="145">
        <v>15</v>
      </c>
      <c r="Q64" s="113">
        <v>15</v>
      </c>
      <c r="R64" s="113"/>
      <c r="S64" s="113"/>
      <c r="T64" s="146"/>
      <c r="U64" s="148">
        <f t="shared" si="1"/>
        <v>15</v>
      </c>
      <c r="V64" s="149">
        <f t="shared" si="2"/>
        <v>15</v>
      </c>
      <c r="W64" s="189"/>
      <c r="X64" s="199"/>
      <c r="Y64" s="151"/>
      <c r="Z64" s="190"/>
      <c r="AA64" s="153"/>
      <c r="AB64" s="154">
        <f t="shared" si="3"/>
        <v>0</v>
      </c>
      <c r="AC64" s="149">
        <f t="shared" si="4"/>
        <v>0</v>
      </c>
      <c r="AD64" s="125">
        <v>2</v>
      </c>
      <c r="AE64" s="148">
        <f t="shared" si="5"/>
        <v>2</v>
      </c>
      <c r="AF64" s="156"/>
      <c r="AG64" s="156"/>
      <c r="AH64" s="113">
        <f t="shared" si="6"/>
        <v>17</v>
      </c>
      <c r="AI64" s="157">
        <v>65</v>
      </c>
      <c r="AJ64" s="113">
        <f t="shared" si="7"/>
        <v>82</v>
      </c>
      <c r="AK64" s="113">
        <f t="shared" si="8"/>
        <v>82</v>
      </c>
      <c r="AL64" s="158">
        <f t="shared" si="9"/>
        <v>1.02</v>
      </c>
      <c r="AM64" s="159"/>
      <c r="AN64" s="160">
        <f t="shared" si="15"/>
        <v>1</v>
      </c>
      <c r="AO64" s="160">
        <f t="shared" si="15"/>
        <v>2</v>
      </c>
      <c r="AP64" s="133"/>
      <c r="AQ64" s="134"/>
      <c r="AR64" s="161"/>
      <c r="AS64" s="161"/>
      <c r="AT64" s="161"/>
      <c r="AU64" s="161"/>
      <c r="AV64" s="162"/>
      <c r="AW64" s="137">
        <f t="shared" si="11"/>
        <v>0</v>
      </c>
      <c r="AX64" s="137">
        <f t="shared" si="12"/>
        <v>0</v>
      </c>
    </row>
    <row r="65" ht="46.5" customHeight="1" spans="1:50" s="97" customFormat="1" x14ac:dyDescent="0.25">
      <c r="A65" s="100"/>
      <c r="B65" s="100"/>
      <c r="C65" s="100"/>
      <c r="D65" s="100"/>
      <c r="E65" s="100"/>
      <c r="F65" s="100"/>
      <c r="G65" s="103"/>
      <c r="H65" s="186"/>
      <c r="I65" s="195">
        <v>0.51</v>
      </c>
      <c r="J65" s="107">
        <v>0.49</v>
      </c>
      <c r="K65" s="107"/>
      <c r="L65" s="107"/>
      <c r="M65" s="187"/>
      <c r="N65" s="169">
        <f t="shared" si="14"/>
        <v>1</v>
      </c>
      <c r="O65" s="144">
        <v>1</v>
      </c>
      <c r="P65" s="145">
        <v>15</v>
      </c>
      <c r="Q65" s="113">
        <v>15</v>
      </c>
      <c r="R65" s="113"/>
      <c r="S65" s="113"/>
      <c r="T65" s="146"/>
      <c r="U65" s="148">
        <f t="shared" si="1"/>
        <v>15</v>
      </c>
      <c r="V65" s="149">
        <f t="shared" si="2"/>
        <v>15</v>
      </c>
      <c r="W65" s="189"/>
      <c r="X65" s="199"/>
      <c r="Y65" s="151"/>
      <c r="Z65" s="190"/>
      <c r="AA65" s="153"/>
      <c r="AB65" s="154">
        <f t="shared" si="3"/>
        <v>0</v>
      </c>
      <c r="AC65" s="149">
        <f t="shared" si="4"/>
        <v>0</v>
      </c>
      <c r="AD65" s="125">
        <v>2</v>
      </c>
      <c r="AE65" s="148">
        <f t="shared" si="5"/>
        <v>2</v>
      </c>
      <c r="AF65" s="156"/>
      <c r="AG65" s="156"/>
      <c r="AH65" s="113">
        <f t="shared" si="6"/>
        <v>17</v>
      </c>
      <c r="AI65" s="157">
        <v>65</v>
      </c>
      <c r="AJ65" s="113">
        <f t="shared" si="7"/>
        <v>82</v>
      </c>
      <c r="AK65" s="113">
        <f t="shared" si="8"/>
        <v>82</v>
      </c>
      <c r="AL65" s="158">
        <f t="shared" si="9"/>
        <v>1.02</v>
      </c>
      <c r="AM65" s="159"/>
      <c r="AN65" s="160">
        <f t="shared" si="15"/>
        <v>1</v>
      </c>
      <c r="AO65" s="160">
        <f t="shared" si="15"/>
        <v>2</v>
      </c>
      <c r="AP65" s="133"/>
      <c r="AQ65" s="134"/>
      <c r="AR65" s="161"/>
      <c r="AS65" s="161"/>
      <c r="AT65" s="161"/>
      <c r="AU65" s="161"/>
      <c r="AV65" s="162"/>
      <c r="AW65" s="137">
        <f t="shared" si="11"/>
        <v>0</v>
      </c>
      <c r="AX65" s="137">
        <f t="shared" si="12"/>
        <v>0</v>
      </c>
    </row>
    <row r="66" ht="46.5" customHeight="1" spans="1:50" s="97" customFormat="1" x14ac:dyDescent="0.25">
      <c r="A66" s="100"/>
      <c r="B66" s="100"/>
      <c r="C66" s="100"/>
      <c r="D66" s="100"/>
      <c r="E66" s="100"/>
      <c r="F66" s="100"/>
      <c r="G66" s="103"/>
      <c r="H66" s="186"/>
      <c r="I66" s="195">
        <v>0.51</v>
      </c>
      <c r="J66" s="107">
        <v>0.49</v>
      </c>
      <c r="K66" s="107"/>
      <c r="L66" s="107"/>
      <c r="M66" s="187"/>
      <c r="N66" s="169">
        <f t="shared" si="14"/>
        <v>1</v>
      </c>
      <c r="O66" s="144">
        <v>1</v>
      </c>
      <c r="P66" s="145">
        <v>15</v>
      </c>
      <c r="Q66" s="113">
        <v>15</v>
      </c>
      <c r="R66" s="113"/>
      <c r="S66" s="113"/>
      <c r="T66" s="146"/>
      <c r="U66" s="148">
        <f t="shared" si="1"/>
        <v>15</v>
      </c>
      <c r="V66" s="149">
        <f t="shared" si="2"/>
        <v>15</v>
      </c>
      <c r="W66" s="189"/>
      <c r="X66" s="199"/>
      <c r="Y66" s="151"/>
      <c r="Z66" s="190"/>
      <c r="AA66" s="153"/>
      <c r="AB66" s="154">
        <f t="shared" si="3"/>
        <v>0</v>
      </c>
      <c r="AC66" s="149">
        <f t="shared" si="4"/>
        <v>0</v>
      </c>
      <c r="AD66" s="125">
        <v>2</v>
      </c>
      <c r="AE66" s="148">
        <f t="shared" si="5"/>
        <v>2</v>
      </c>
      <c r="AF66" s="156"/>
      <c r="AG66" s="156"/>
      <c r="AH66" s="113">
        <f t="shared" si="6"/>
        <v>17</v>
      </c>
      <c r="AI66" s="157">
        <v>65</v>
      </c>
      <c r="AJ66" s="113">
        <f t="shared" si="7"/>
        <v>82</v>
      </c>
      <c r="AK66" s="113">
        <f t="shared" si="8"/>
        <v>82</v>
      </c>
      <c r="AL66" s="158">
        <f t="shared" si="9"/>
        <v>1.02</v>
      </c>
      <c r="AM66" s="159"/>
      <c r="AN66" s="160">
        <f t="shared" si="15"/>
        <v>1</v>
      </c>
      <c r="AO66" s="160">
        <f t="shared" si="15"/>
        <v>2</v>
      </c>
      <c r="AP66" s="133"/>
      <c r="AQ66" s="134"/>
      <c r="AR66" s="161"/>
      <c r="AS66" s="161"/>
      <c r="AT66" s="161"/>
      <c r="AU66" s="161"/>
      <c r="AV66" s="162"/>
      <c r="AW66" s="137">
        <f t="shared" si="11"/>
        <v>0</v>
      </c>
      <c r="AX66" s="137">
        <f t="shared" si="12"/>
        <v>0</v>
      </c>
    </row>
    <row r="67" ht="46.5" customHeight="1" spans="1:50" s="97" customFormat="1" x14ac:dyDescent="0.25">
      <c r="A67" s="100"/>
      <c r="B67" s="100"/>
      <c r="C67" s="100"/>
      <c r="D67" s="100"/>
      <c r="E67" s="100"/>
      <c r="F67" s="100"/>
      <c r="G67" s="103"/>
      <c r="H67" s="186"/>
      <c r="I67" s="195">
        <v>0.51</v>
      </c>
      <c r="J67" s="107">
        <v>0.49</v>
      </c>
      <c r="K67" s="107"/>
      <c r="L67" s="107"/>
      <c r="M67" s="187"/>
      <c r="N67" s="169">
        <f t="shared" si="14"/>
        <v>1</v>
      </c>
      <c r="O67" s="144">
        <v>1</v>
      </c>
      <c r="P67" s="145">
        <v>15</v>
      </c>
      <c r="Q67" s="113">
        <v>15</v>
      </c>
      <c r="R67" s="113"/>
      <c r="S67" s="113"/>
      <c r="T67" s="146"/>
      <c r="U67" s="148">
        <f t="shared" si="1"/>
        <v>15</v>
      </c>
      <c r="V67" s="149">
        <f t="shared" si="2"/>
        <v>15</v>
      </c>
      <c r="W67" s="189"/>
      <c r="X67" s="199"/>
      <c r="Y67" s="151"/>
      <c r="Z67" s="190"/>
      <c r="AA67" s="153"/>
      <c r="AB67" s="154">
        <f t="shared" si="3"/>
        <v>0</v>
      </c>
      <c r="AC67" s="149">
        <f t="shared" si="4"/>
        <v>0</v>
      </c>
      <c r="AD67" s="125">
        <v>2</v>
      </c>
      <c r="AE67" s="148">
        <f t="shared" si="5"/>
        <v>2</v>
      </c>
      <c r="AF67" s="156"/>
      <c r="AG67" s="156"/>
      <c r="AH67" s="113">
        <f t="shared" si="6"/>
        <v>17</v>
      </c>
      <c r="AI67" s="157">
        <v>65</v>
      </c>
      <c r="AJ67" s="113">
        <f t="shared" si="7"/>
        <v>82</v>
      </c>
      <c r="AK67" s="113">
        <f t="shared" si="8"/>
        <v>82</v>
      </c>
      <c r="AL67" s="158">
        <f t="shared" si="9"/>
        <v>1.02</v>
      </c>
      <c r="AM67" s="159"/>
      <c r="AN67" s="160">
        <f t="shared" si="15"/>
        <v>1</v>
      </c>
      <c r="AO67" s="160">
        <f t="shared" si="15"/>
        <v>2</v>
      </c>
      <c r="AP67" s="133"/>
      <c r="AQ67" s="134"/>
      <c r="AR67" s="161"/>
      <c r="AS67" s="161"/>
      <c r="AT67" s="161"/>
      <c r="AU67" s="161"/>
      <c r="AV67" s="162"/>
      <c r="AW67" s="137">
        <f t="shared" si="11"/>
        <v>0</v>
      </c>
      <c r="AX67" s="137">
        <f t="shared" si="12"/>
        <v>0</v>
      </c>
    </row>
    <row r="68" ht="46.5" customHeight="1" spans="1:50" s="97" customFormat="1" x14ac:dyDescent="0.25">
      <c r="A68" s="100"/>
      <c r="B68" s="100"/>
      <c r="C68" s="100"/>
      <c r="D68" s="100"/>
      <c r="E68" s="100"/>
      <c r="F68" s="100"/>
      <c r="G68" s="103"/>
      <c r="H68" s="186"/>
      <c r="I68" s="195">
        <v>0.51</v>
      </c>
      <c r="J68" s="107">
        <v>0.49</v>
      </c>
      <c r="K68" s="107"/>
      <c r="L68" s="107"/>
      <c r="M68" s="187"/>
      <c r="N68" s="169">
        <f t="shared" si="14"/>
        <v>1</v>
      </c>
      <c r="O68" s="144">
        <v>1</v>
      </c>
      <c r="P68" s="145">
        <v>15</v>
      </c>
      <c r="Q68" s="113">
        <v>15</v>
      </c>
      <c r="R68" s="113"/>
      <c r="S68" s="113"/>
      <c r="T68" s="146"/>
      <c r="U68" s="148">
        <f t="shared" si="1"/>
        <v>15</v>
      </c>
      <c r="V68" s="149">
        <f t="shared" si="2"/>
        <v>15</v>
      </c>
      <c r="W68" s="189"/>
      <c r="X68" s="199"/>
      <c r="Y68" s="151"/>
      <c r="Z68" s="190"/>
      <c r="AA68" s="153"/>
      <c r="AB68" s="154">
        <f t="shared" si="3"/>
        <v>0</v>
      </c>
      <c r="AC68" s="149">
        <f t="shared" si="4"/>
        <v>0</v>
      </c>
      <c r="AD68" s="125">
        <v>2</v>
      </c>
      <c r="AE68" s="148">
        <f t="shared" si="5"/>
        <v>2</v>
      </c>
      <c r="AF68" s="156"/>
      <c r="AG68" s="156"/>
      <c r="AH68" s="113">
        <f t="shared" si="6"/>
        <v>17</v>
      </c>
      <c r="AI68" s="157">
        <v>65</v>
      </c>
      <c r="AJ68" s="113">
        <f t="shared" si="7"/>
        <v>82</v>
      </c>
      <c r="AK68" s="113">
        <f t="shared" si="8"/>
        <v>82</v>
      </c>
      <c r="AL68" s="158">
        <f t="shared" si="9"/>
        <v>1.02</v>
      </c>
      <c r="AM68" s="159"/>
      <c r="AN68" s="160">
        <f t="shared" si="15"/>
        <v>1</v>
      </c>
      <c r="AO68" s="160">
        <f t="shared" si="15"/>
        <v>2</v>
      </c>
      <c r="AP68" s="133"/>
      <c r="AQ68" s="134"/>
      <c r="AR68" s="161"/>
      <c r="AS68" s="161"/>
      <c r="AT68" s="161"/>
      <c r="AU68" s="161"/>
      <c r="AV68" s="162"/>
      <c r="AW68" s="137">
        <f t="shared" si="11"/>
        <v>0</v>
      </c>
      <c r="AX68" s="137">
        <f t="shared" si="12"/>
        <v>0</v>
      </c>
    </row>
    <row r="69" ht="46.5" customHeight="1" spans="1:50" s="97" customFormat="1" x14ac:dyDescent="0.25">
      <c r="A69" s="100"/>
      <c r="B69" s="100"/>
      <c r="C69" s="100"/>
      <c r="D69" s="100"/>
      <c r="E69" s="100"/>
      <c r="F69" s="100"/>
      <c r="G69" s="103"/>
      <c r="H69" s="186"/>
      <c r="I69" s="195">
        <v>0.51</v>
      </c>
      <c r="J69" s="107">
        <v>0.49</v>
      </c>
      <c r="K69" s="107"/>
      <c r="L69" s="107"/>
      <c r="M69" s="187"/>
      <c r="N69" s="169">
        <f t="shared" si="14"/>
        <v>1</v>
      </c>
      <c r="O69" s="144">
        <v>1</v>
      </c>
      <c r="P69" s="145">
        <v>15</v>
      </c>
      <c r="Q69" s="113">
        <v>15</v>
      </c>
      <c r="R69" s="113"/>
      <c r="S69" s="113"/>
      <c r="T69" s="146"/>
      <c r="U69" s="148">
        <f t="shared" si="1"/>
        <v>15</v>
      </c>
      <c r="V69" s="149">
        <f t="shared" si="2"/>
        <v>15</v>
      </c>
      <c r="W69" s="189"/>
      <c r="X69" s="199"/>
      <c r="Y69" s="151"/>
      <c r="Z69" s="190"/>
      <c r="AA69" s="153"/>
      <c r="AB69" s="154">
        <f t="shared" si="3"/>
        <v>0</v>
      </c>
      <c r="AC69" s="149">
        <f t="shared" si="4"/>
        <v>0</v>
      </c>
      <c r="AD69" s="125">
        <v>2</v>
      </c>
      <c r="AE69" s="148">
        <f t="shared" si="5"/>
        <v>2</v>
      </c>
      <c r="AF69" s="156"/>
      <c r="AG69" s="156"/>
      <c r="AH69" s="113">
        <f t="shared" si="6"/>
        <v>17</v>
      </c>
      <c r="AI69" s="157">
        <v>65</v>
      </c>
      <c r="AJ69" s="113">
        <f t="shared" si="7"/>
        <v>82</v>
      </c>
      <c r="AK69" s="113">
        <f t="shared" si="8"/>
        <v>82</v>
      </c>
      <c r="AL69" s="158">
        <f t="shared" si="9"/>
        <v>1.02</v>
      </c>
      <c r="AM69" s="159"/>
      <c r="AN69" s="160">
        <f t="shared" si="15"/>
        <v>1</v>
      </c>
      <c r="AO69" s="160">
        <f t="shared" si="15"/>
        <v>2</v>
      </c>
      <c r="AP69" s="133"/>
      <c r="AQ69" s="134"/>
      <c r="AR69" s="161"/>
      <c r="AS69" s="161"/>
      <c r="AT69" s="161"/>
      <c r="AU69" s="161"/>
      <c r="AV69" s="162"/>
      <c r="AW69" s="137">
        <f t="shared" si="11"/>
        <v>0</v>
      </c>
      <c r="AX69" s="137">
        <f t="shared" si="12"/>
        <v>0</v>
      </c>
    </row>
    <row r="70" ht="46.5" customHeight="1" spans="1:50" s="97" customFormat="1" x14ac:dyDescent="0.25">
      <c r="A70" s="100"/>
      <c r="B70" s="100"/>
      <c r="C70" s="100"/>
      <c r="D70" s="100"/>
      <c r="E70" s="100"/>
      <c r="F70" s="100"/>
      <c r="G70" s="103"/>
      <c r="H70" s="186"/>
      <c r="I70" s="195">
        <v>0.51</v>
      </c>
      <c r="J70" s="107">
        <v>0.49</v>
      </c>
      <c r="K70" s="107"/>
      <c r="L70" s="107"/>
      <c r="M70" s="187"/>
      <c r="N70" s="169">
        <f t="shared" si="14"/>
        <v>1</v>
      </c>
      <c r="O70" s="144">
        <v>1</v>
      </c>
      <c r="P70" s="145">
        <v>15</v>
      </c>
      <c r="Q70" s="113">
        <v>15</v>
      </c>
      <c r="R70" s="113"/>
      <c r="S70" s="113"/>
      <c r="T70" s="146"/>
      <c r="U70" s="148">
        <f t="shared" si="1"/>
        <v>15</v>
      </c>
      <c r="V70" s="149">
        <f t="shared" si="2"/>
        <v>15</v>
      </c>
      <c r="W70" s="189"/>
      <c r="X70" s="199"/>
      <c r="Y70" s="151"/>
      <c r="Z70" s="190"/>
      <c r="AA70" s="153"/>
      <c r="AB70" s="154">
        <f t="shared" si="3"/>
        <v>0</v>
      </c>
      <c r="AC70" s="149">
        <f t="shared" si="4"/>
        <v>0</v>
      </c>
      <c r="AD70" s="125">
        <v>2</v>
      </c>
      <c r="AE70" s="148">
        <f t="shared" si="5"/>
        <v>2</v>
      </c>
      <c r="AF70" s="156"/>
      <c r="AG70" s="156"/>
      <c r="AH70" s="113">
        <f t="shared" si="6"/>
        <v>17</v>
      </c>
      <c r="AI70" s="157">
        <v>65</v>
      </c>
      <c r="AJ70" s="113">
        <f t="shared" si="7"/>
        <v>82</v>
      </c>
      <c r="AK70" s="113">
        <f t="shared" si="8"/>
        <v>82</v>
      </c>
      <c r="AL70" s="158">
        <f t="shared" si="9"/>
        <v>1.02</v>
      </c>
      <c r="AM70" s="159"/>
      <c r="AN70" s="160">
        <f t="shared" si="15"/>
        <v>1</v>
      </c>
      <c r="AO70" s="160">
        <f t="shared" si="15"/>
        <v>2</v>
      </c>
      <c r="AP70" s="133"/>
      <c r="AQ70" s="134"/>
      <c r="AR70" s="161"/>
      <c r="AS70" s="161"/>
      <c r="AT70" s="161"/>
      <c r="AU70" s="161"/>
      <c r="AV70" s="162"/>
      <c r="AW70" s="137">
        <f t="shared" si="11"/>
        <v>0</v>
      </c>
      <c r="AX70" s="137">
        <f t="shared" si="12"/>
        <v>0</v>
      </c>
    </row>
    <row r="71" ht="46.5" customHeight="1" spans="1:50" s="97" customFormat="1" x14ac:dyDescent="0.25">
      <c r="A71" s="100"/>
      <c r="B71" s="100"/>
      <c r="C71" s="100"/>
      <c r="D71" s="100"/>
      <c r="E71" s="100"/>
      <c r="F71" s="100"/>
      <c r="G71" s="103"/>
      <c r="H71" s="186"/>
      <c r="I71" s="195">
        <v>0.51</v>
      </c>
      <c r="J71" s="107">
        <v>0.49</v>
      </c>
      <c r="K71" s="107"/>
      <c r="L71" s="107"/>
      <c r="M71" s="187"/>
      <c r="N71" s="169">
        <f t="shared" si="14"/>
        <v>1</v>
      </c>
      <c r="O71" s="144">
        <v>1</v>
      </c>
      <c r="P71" s="145">
        <v>15</v>
      </c>
      <c r="Q71" s="113">
        <v>15</v>
      </c>
      <c r="R71" s="113"/>
      <c r="S71" s="113"/>
      <c r="T71" s="146"/>
      <c r="U71" s="148">
        <f t="shared" si="1"/>
        <v>15</v>
      </c>
      <c r="V71" s="149">
        <f t="shared" si="2"/>
        <v>15</v>
      </c>
      <c r="W71" s="189"/>
      <c r="X71" s="199"/>
      <c r="Y71" s="151"/>
      <c r="Z71" s="190"/>
      <c r="AA71" s="153"/>
      <c r="AB71" s="154">
        <f t="shared" si="3"/>
        <v>0</v>
      </c>
      <c r="AC71" s="149">
        <f t="shared" si="4"/>
        <v>0</v>
      </c>
      <c r="AD71" s="125">
        <v>2</v>
      </c>
      <c r="AE71" s="148">
        <f t="shared" si="5"/>
        <v>2</v>
      </c>
      <c r="AF71" s="156"/>
      <c r="AG71" s="156"/>
      <c r="AH71" s="113">
        <f t="shared" si="6"/>
        <v>17</v>
      </c>
      <c r="AI71" s="157">
        <v>65</v>
      </c>
      <c r="AJ71" s="113">
        <f t="shared" si="7"/>
        <v>82</v>
      </c>
      <c r="AK71" s="113">
        <f t="shared" si="8"/>
        <v>82</v>
      </c>
      <c r="AL71" s="158">
        <f t="shared" si="9"/>
        <v>1.02</v>
      </c>
      <c r="AM71" s="159"/>
      <c r="AN71" s="160">
        <f t="shared" si="15"/>
        <v>1</v>
      </c>
      <c r="AO71" s="160">
        <f t="shared" si="15"/>
        <v>2</v>
      </c>
      <c r="AP71" s="133"/>
      <c r="AQ71" s="134"/>
      <c r="AR71" s="161"/>
      <c r="AS71" s="161"/>
      <c r="AT71" s="161"/>
      <c r="AU71" s="161"/>
      <c r="AV71" s="162"/>
      <c r="AW71" s="137">
        <f t="shared" si="11"/>
        <v>0</v>
      </c>
      <c r="AX71" s="137">
        <f t="shared" si="12"/>
        <v>0</v>
      </c>
    </row>
    <row r="72" ht="46.5" customHeight="1" spans="1:50" s="97" customFormat="1" x14ac:dyDescent="0.25">
      <c r="A72" s="100"/>
      <c r="B72" s="100"/>
      <c r="C72" s="100"/>
      <c r="D72" s="100"/>
      <c r="E72" s="100"/>
      <c r="F72" s="100"/>
      <c r="G72" s="103"/>
      <c r="H72" s="186"/>
      <c r="I72" s="195">
        <v>0.51</v>
      </c>
      <c r="J72" s="107">
        <v>0.49</v>
      </c>
      <c r="K72" s="107"/>
      <c r="L72" s="107"/>
      <c r="M72" s="187"/>
      <c r="N72" s="169">
        <f t="shared" si="14"/>
        <v>1</v>
      </c>
      <c r="O72" s="144">
        <v>1</v>
      </c>
      <c r="P72" s="145">
        <v>15</v>
      </c>
      <c r="Q72" s="113">
        <v>15</v>
      </c>
      <c r="R72" s="113"/>
      <c r="S72" s="113"/>
      <c r="T72" s="146"/>
      <c r="U72" s="148">
        <f t="shared" si="1"/>
        <v>15</v>
      </c>
      <c r="V72" s="149">
        <f t="shared" si="2"/>
        <v>15</v>
      </c>
      <c r="W72" s="189"/>
      <c r="X72" s="199"/>
      <c r="Y72" s="151"/>
      <c r="Z72" s="190"/>
      <c r="AA72" s="153"/>
      <c r="AB72" s="154">
        <f t="shared" si="3"/>
        <v>0</v>
      </c>
      <c r="AC72" s="149">
        <f t="shared" si="4"/>
        <v>0</v>
      </c>
      <c r="AD72" s="125">
        <v>2</v>
      </c>
      <c r="AE72" s="148">
        <f t="shared" si="5"/>
        <v>2</v>
      </c>
      <c r="AF72" s="156"/>
      <c r="AG72" s="156"/>
      <c r="AH72" s="113">
        <f t="shared" si="6"/>
        <v>17</v>
      </c>
      <c r="AI72" s="157">
        <v>65</v>
      </c>
      <c r="AJ72" s="113">
        <f t="shared" si="7"/>
        <v>82</v>
      </c>
      <c r="AK72" s="113">
        <f t="shared" si="8"/>
        <v>82</v>
      </c>
      <c r="AL72" s="158">
        <f t="shared" si="9"/>
        <v>1.02</v>
      </c>
      <c r="AM72" s="159"/>
      <c r="AN72" s="160">
        <f t="shared" si="15"/>
        <v>1</v>
      </c>
      <c r="AO72" s="160">
        <f t="shared" si="15"/>
        <v>2</v>
      </c>
      <c r="AP72" s="133"/>
      <c r="AQ72" s="134"/>
      <c r="AR72" s="161"/>
      <c r="AS72" s="161"/>
      <c r="AT72" s="161"/>
      <c r="AU72" s="161"/>
      <c r="AV72" s="162"/>
      <c r="AW72" s="137">
        <f t="shared" si="11"/>
        <v>0</v>
      </c>
      <c r="AX72" s="137">
        <f t="shared" si="12"/>
        <v>0</v>
      </c>
    </row>
    <row r="73" ht="46.5" customHeight="1" spans="1:50" s="97" customFormat="1" x14ac:dyDescent="0.25">
      <c r="A73" s="100"/>
      <c r="B73" s="100"/>
      <c r="C73" s="100"/>
      <c r="D73" s="100"/>
      <c r="E73" s="100"/>
      <c r="F73" s="100"/>
      <c r="G73" s="103"/>
      <c r="H73" s="186"/>
      <c r="I73" s="195">
        <v>0.51</v>
      </c>
      <c r="J73" s="107">
        <v>0.49</v>
      </c>
      <c r="K73" s="107"/>
      <c r="L73" s="107"/>
      <c r="M73" s="187"/>
      <c r="N73" s="169">
        <f t="shared" si="14"/>
        <v>1</v>
      </c>
      <c r="O73" s="144">
        <v>1</v>
      </c>
      <c r="P73" s="145">
        <v>15</v>
      </c>
      <c r="Q73" s="113">
        <v>15</v>
      </c>
      <c r="R73" s="113"/>
      <c r="S73" s="113"/>
      <c r="T73" s="146"/>
      <c r="U73" s="148">
        <f t="shared" si="1"/>
        <v>15</v>
      </c>
      <c r="V73" s="149">
        <f t="shared" si="2"/>
        <v>15</v>
      </c>
      <c r="W73" s="189"/>
      <c r="X73" s="199"/>
      <c r="Y73" s="151"/>
      <c r="Z73" s="190"/>
      <c r="AA73" s="153"/>
      <c r="AB73" s="154">
        <f t="shared" si="3"/>
        <v>0</v>
      </c>
      <c r="AC73" s="149">
        <f t="shared" si="4"/>
        <v>0</v>
      </c>
      <c r="AD73" s="125">
        <v>2</v>
      </c>
      <c r="AE73" s="148">
        <f t="shared" si="5"/>
        <v>2</v>
      </c>
      <c r="AF73" s="156"/>
      <c r="AG73" s="156"/>
      <c r="AH73" s="113">
        <f t="shared" si="6"/>
        <v>17</v>
      </c>
      <c r="AI73" s="157">
        <v>65</v>
      </c>
      <c r="AJ73" s="113">
        <f t="shared" si="7"/>
        <v>82</v>
      </c>
      <c r="AK73" s="113">
        <f t="shared" si="8"/>
        <v>82</v>
      </c>
      <c r="AL73" s="158">
        <f t="shared" si="9"/>
        <v>1.02</v>
      </c>
      <c r="AM73" s="159"/>
      <c r="AN73" s="160">
        <f t="shared" ref="AN73:AO92" si="16">100%+AM73</f>
        <v>1</v>
      </c>
      <c r="AO73" s="160">
        <f t="shared" si="16"/>
        <v>2</v>
      </c>
      <c r="AP73" s="133"/>
      <c r="AQ73" s="134"/>
      <c r="AR73" s="161"/>
      <c r="AS73" s="161"/>
      <c r="AT73" s="161"/>
      <c r="AU73" s="161"/>
      <c r="AV73" s="162"/>
      <c r="AW73" s="137">
        <f t="shared" si="11"/>
        <v>0</v>
      </c>
      <c r="AX73" s="137">
        <f t="shared" si="12"/>
        <v>0</v>
      </c>
    </row>
    <row r="74" ht="46.5" customHeight="1" spans="1:50" s="97" customFormat="1" x14ac:dyDescent="0.25">
      <c r="A74" s="100"/>
      <c r="B74" s="100"/>
      <c r="C74" s="100"/>
      <c r="D74" s="100"/>
      <c r="E74" s="100"/>
      <c r="F74" s="100"/>
      <c r="G74" s="103"/>
      <c r="H74" s="186"/>
      <c r="I74" s="195">
        <v>0.51</v>
      </c>
      <c r="J74" s="107">
        <v>0.49</v>
      </c>
      <c r="K74" s="107"/>
      <c r="L74" s="107"/>
      <c r="M74" s="187"/>
      <c r="N74" s="169">
        <f t="shared" si="14"/>
        <v>1</v>
      </c>
      <c r="O74" s="144">
        <v>1</v>
      </c>
      <c r="P74" s="145">
        <v>15</v>
      </c>
      <c r="Q74" s="113">
        <v>15</v>
      </c>
      <c r="R74" s="113"/>
      <c r="S74" s="113"/>
      <c r="T74" s="146"/>
      <c r="U74" s="148">
        <f t="shared" si="1"/>
        <v>15</v>
      </c>
      <c r="V74" s="149">
        <f t="shared" si="2"/>
        <v>15</v>
      </c>
      <c r="W74" s="189"/>
      <c r="X74" s="199"/>
      <c r="Y74" s="151"/>
      <c r="Z74" s="190"/>
      <c r="AA74" s="153"/>
      <c r="AB74" s="154">
        <f t="shared" si="3"/>
        <v>0</v>
      </c>
      <c r="AC74" s="149">
        <f t="shared" si="4"/>
        <v>0</v>
      </c>
      <c r="AD74" s="125">
        <v>2</v>
      </c>
      <c r="AE74" s="148">
        <f t="shared" si="5"/>
        <v>2</v>
      </c>
      <c r="AF74" s="156"/>
      <c r="AG74" s="156"/>
      <c r="AH74" s="113">
        <f t="shared" si="6"/>
        <v>17</v>
      </c>
      <c r="AI74" s="157">
        <v>65</v>
      </c>
      <c r="AJ74" s="113">
        <f t="shared" si="7"/>
        <v>82</v>
      </c>
      <c r="AK74" s="113">
        <f t="shared" si="8"/>
        <v>82</v>
      </c>
      <c r="AL74" s="158">
        <f t="shared" si="9"/>
        <v>1.02</v>
      </c>
      <c r="AM74" s="159"/>
      <c r="AN74" s="160">
        <f t="shared" si="16"/>
        <v>1</v>
      </c>
      <c r="AO74" s="160">
        <f t="shared" si="16"/>
        <v>2</v>
      </c>
      <c r="AP74" s="133"/>
      <c r="AQ74" s="134"/>
      <c r="AR74" s="161"/>
      <c r="AS74" s="161"/>
      <c r="AT74" s="161"/>
      <c r="AU74" s="161"/>
      <c r="AV74" s="162"/>
      <c r="AW74" s="137">
        <f t="shared" si="11"/>
        <v>0</v>
      </c>
      <c r="AX74" s="137">
        <f t="shared" si="12"/>
        <v>0</v>
      </c>
    </row>
    <row r="75" ht="46.5" customHeight="1" spans="1:50" s="97" customFormat="1" x14ac:dyDescent="0.25">
      <c r="A75" s="100"/>
      <c r="B75" s="100"/>
      <c r="C75" s="100"/>
      <c r="D75" s="100"/>
      <c r="E75" s="100"/>
      <c r="F75" s="100"/>
      <c r="G75" s="103"/>
      <c r="H75" s="186"/>
      <c r="I75" s="195">
        <v>0.51</v>
      </c>
      <c r="J75" s="107">
        <v>0.49</v>
      </c>
      <c r="K75" s="107"/>
      <c r="L75" s="107"/>
      <c r="M75" s="187"/>
      <c r="N75" s="169">
        <f t="shared" si="14"/>
        <v>1</v>
      </c>
      <c r="O75" s="144">
        <v>1</v>
      </c>
      <c r="P75" s="145">
        <v>15</v>
      </c>
      <c r="Q75" s="113">
        <v>15</v>
      </c>
      <c r="R75" s="113"/>
      <c r="S75" s="113"/>
      <c r="T75" s="146"/>
      <c r="U75" s="148">
        <f t="shared" si="1"/>
        <v>15</v>
      </c>
      <c r="V75" s="149">
        <f t="shared" si="2"/>
        <v>15</v>
      </c>
      <c r="W75" s="189"/>
      <c r="X75" s="199"/>
      <c r="Y75" s="151"/>
      <c r="Z75" s="190"/>
      <c r="AA75" s="153"/>
      <c r="AB75" s="154">
        <f t="shared" si="3"/>
        <v>0</v>
      </c>
      <c r="AC75" s="149">
        <f t="shared" si="4"/>
        <v>0</v>
      </c>
      <c r="AD75" s="125">
        <v>2</v>
      </c>
      <c r="AE75" s="148">
        <f t="shared" si="5"/>
        <v>2</v>
      </c>
      <c r="AF75" s="156"/>
      <c r="AG75" s="156"/>
      <c r="AH75" s="113">
        <f t="shared" si="6"/>
        <v>17</v>
      </c>
      <c r="AI75" s="157">
        <v>65</v>
      </c>
      <c r="AJ75" s="113">
        <f t="shared" si="7"/>
        <v>82</v>
      </c>
      <c r="AK75" s="113">
        <f t="shared" si="8"/>
        <v>82</v>
      </c>
      <c r="AL75" s="158">
        <f t="shared" si="9"/>
        <v>1.02</v>
      </c>
      <c r="AM75" s="159"/>
      <c r="AN75" s="160">
        <f t="shared" si="16"/>
        <v>1</v>
      </c>
      <c r="AO75" s="160">
        <f t="shared" si="16"/>
        <v>2</v>
      </c>
      <c r="AP75" s="133"/>
      <c r="AQ75" s="134"/>
      <c r="AR75" s="161"/>
      <c r="AS75" s="161"/>
      <c r="AT75" s="161"/>
      <c r="AU75" s="161"/>
      <c r="AV75" s="162"/>
      <c r="AW75" s="137">
        <f t="shared" si="11"/>
        <v>0</v>
      </c>
      <c r="AX75" s="137">
        <f t="shared" si="12"/>
        <v>0</v>
      </c>
    </row>
    <row r="76" ht="46.5" customHeight="1" spans="1:50" s="97" customFormat="1" x14ac:dyDescent="0.25">
      <c r="A76" s="100"/>
      <c r="B76" s="100"/>
      <c r="C76" s="100"/>
      <c r="D76" s="100"/>
      <c r="E76" s="100"/>
      <c r="F76" s="100"/>
      <c r="G76" s="103"/>
      <c r="H76" s="186"/>
      <c r="I76" s="195">
        <v>0.51</v>
      </c>
      <c r="J76" s="107">
        <v>0.49</v>
      </c>
      <c r="K76" s="107"/>
      <c r="L76" s="107"/>
      <c r="M76" s="187"/>
      <c r="N76" s="169">
        <f t="shared" si="14"/>
        <v>1</v>
      </c>
      <c r="O76" s="144">
        <v>1</v>
      </c>
      <c r="P76" s="145">
        <v>15</v>
      </c>
      <c r="Q76" s="113">
        <v>15</v>
      </c>
      <c r="R76" s="113"/>
      <c r="S76" s="113"/>
      <c r="T76" s="146"/>
      <c r="U76" s="148">
        <f t="shared" si="1"/>
        <v>15</v>
      </c>
      <c r="V76" s="149">
        <f t="shared" si="2"/>
        <v>15</v>
      </c>
      <c r="W76" s="189"/>
      <c r="X76" s="199"/>
      <c r="Y76" s="151"/>
      <c r="Z76" s="190"/>
      <c r="AA76" s="153"/>
      <c r="AB76" s="154">
        <f t="shared" si="3"/>
        <v>0</v>
      </c>
      <c r="AC76" s="149">
        <f t="shared" si="4"/>
        <v>0</v>
      </c>
      <c r="AD76" s="125">
        <v>2</v>
      </c>
      <c r="AE76" s="148">
        <f t="shared" si="5"/>
        <v>2</v>
      </c>
      <c r="AF76" s="156"/>
      <c r="AG76" s="156"/>
      <c r="AH76" s="113">
        <f t="shared" si="6"/>
        <v>17</v>
      </c>
      <c r="AI76" s="157">
        <v>65</v>
      </c>
      <c r="AJ76" s="113">
        <f t="shared" si="7"/>
        <v>82</v>
      </c>
      <c r="AK76" s="113">
        <f t="shared" si="8"/>
        <v>82</v>
      </c>
      <c r="AL76" s="158">
        <f t="shared" si="9"/>
        <v>1.02</v>
      </c>
      <c r="AM76" s="159"/>
      <c r="AN76" s="160">
        <f t="shared" si="16"/>
        <v>1</v>
      </c>
      <c r="AO76" s="160">
        <f t="shared" si="16"/>
        <v>2</v>
      </c>
      <c r="AP76" s="133"/>
      <c r="AQ76" s="134"/>
      <c r="AR76" s="161"/>
      <c r="AS76" s="161"/>
      <c r="AT76" s="161"/>
      <c r="AU76" s="161"/>
      <c r="AV76" s="162"/>
      <c r="AW76" s="137">
        <f t="shared" si="11"/>
        <v>0</v>
      </c>
      <c r="AX76" s="137">
        <f t="shared" si="12"/>
        <v>0</v>
      </c>
    </row>
    <row r="77" ht="46.5" customHeight="1" spans="1:50" s="97" customFormat="1" x14ac:dyDescent="0.25">
      <c r="A77" s="100"/>
      <c r="B77" s="100"/>
      <c r="C77" s="100"/>
      <c r="D77" s="100"/>
      <c r="E77" s="100"/>
      <c r="F77" s="100"/>
      <c r="G77" s="103"/>
      <c r="H77" s="186"/>
      <c r="I77" s="195">
        <v>0.51</v>
      </c>
      <c r="J77" s="107">
        <v>0.49</v>
      </c>
      <c r="K77" s="107"/>
      <c r="L77" s="107"/>
      <c r="M77" s="187"/>
      <c r="N77" s="169">
        <f t="shared" si="14"/>
        <v>1</v>
      </c>
      <c r="O77" s="144">
        <v>1</v>
      </c>
      <c r="P77" s="145">
        <v>15</v>
      </c>
      <c r="Q77" s="113">
        <v>15</v>
      </c>
      <c r="R77" s="113"/>
      <c r="S77" s="113"/>
      <c r="T77" s="146"/>
      <c r="U77" s="148">
        <f t="shared" ref="U77:U138" si="17">ROUND(((P77*I77)+(Q77*J77)+(R77*K77)+(S77*L77)+(T77*M77))*O77,2)</f>
        <v>15</v>
      </c>
      <c r="V77" s="149">
        <f t="shared" ref="V77:V138" si="18">IF(U77&gt;=15,15,U77)</f>
        <v>15</v>
      </c>
      <c r="W77" s="189"/>
      <c r="X77" s="199"/>
      <c r="Y77" s="151"/>
      <c r="Z77" s="190"/>
      <c r="AA77" s="153"/>
      <c r="AB77" s="154">
        <f t="shared" ref="AB77:AB138" si="19">ROUND((((W77*I77)+(X77*J77)+(Y77*K77)+(Z77*L77)+(AA77*M77))/$I$2),2)*13</f>
        <v>0</v>
      </c>
      <c r="AC77" s="149">
        <f t="shared" ref="AC77:AC138" si="20">IF(AB77&gt;=13,13,AB77)</f>
        <v>0</v>
      </c>
      <c r="AD77" s="125">
        <v>2</v>
      </c>
      <c r="AE77" s="148">
        <f t="shared" ref="AE77:AE138" si="21">IF((AC77+AD77)&gt;=15,15,(AC77+AD77))</f>
        <v>2</v>
      </c>
      <c r="AF77" s="156"/>
      <c r="AG77" s="156"/>
      <c r="AH77" s="113">
        <f t="shared" ref="AH77:AH138" si="22">IF((V77+AE77+AF77)&gt;=30,30,(V77+AE77+AF77))</f>
        <v>17</v>
      </c>
      <c r="AI77" s="157">
        <v>65</v>
      </c>
      <c r="AJ77" s="113">
        <f t="shared" ref="AJ77:AJ138" si="23">V77+AE77+AF77+AI77+AG77</f>
        <v>82</v>
      </c>
      <c r="AK77" s="113">
        <f t="shared" ref="AK77:AK138" si="24">IF(AH77+AI77+AG77&gt;=95,95,AH77+AI77+AG77)</f>
        <v>82</v>
      </c>
      <c r="AL77" s="158">
        <f t="shared" ref="AL77:AL138" si="25">-((50-((176+(45+(50-AH77)))))/200)</f>
        <v>1.02</v>
      </c>
      <c r="AM77" s="159"/>
      <c r="AN77" s="160">
        <f t="shared" si="16"/>
        <v>1</v>
      </c>
      <c r="AO77" s="160">
        <f t="shared" si="16"/>
        <v>2</v>
      </c>
      <c r="AP77" s="133"/>
      <c r="AQ77" s="134"/>
      <c r="AR77" s="161"/>
      <c r="AS77" s="161"/>
      <c r="AT77" s="161"/>
      <c r="AU77" s="161"/>
      <c r="AV77" s="162"/>
      <c r="AW77" s="137">
        <f t="shared" ref="AW77:AW138" si="26">AR77+AS77+AT77+AU77+AV77</f>
        <v>0</v>
      </c>
      <c r="AX77" s="137">
        <f t="shared" ref="AX77:AX138" si="27">(AR77*I77)+(AS77*J77)+(AT77*K77)+(AU77*L77)+(AV77*M77)</f>
        <v>0</v>
      </c>
    </row>
    <row r="78" ht="46.5" customHeight="1" spans="1:50" s="97" customFormat="1" x14ac:dyDescent="0.25">
      <c r="A78" s="100"/>
      <c r="B78" s="100"/>
      <c r="C78" s="100"/>
      <c r="D78" s="100"/>
      <c r="E78" s="100"/>
      <c r="F78" s="100"/>
      <c r="G78" s="103"/>
      <c r="H78" s="186"/>
      <c r="I78" s="195">
        <v>0.51</v>
      </c>
      <c r="J78" s="107">
        <v>0.49</v>
      </c>
      <c r="K78" s="107"/>
      <c r="L78" s="107"/>
      <c r="M78" s="187"/>
      <c r="N78" s="169">
        <f t="shared" si="14"/>
        <v>1</v>
      </c>
      <c r="O78" s="144">
        <v>1</v>
      </c>
      <c r="P78" s="145">
        <v>15</v>
      </c>
      <c r="Q78" s="113">
        <v>15</v>
      </c>
      <c r="R78" s="113"/>
      <c r="S78" s="113"/>
      <c r="T78" s="146"/>
      <c r="U78" s="148">
        <f t="shared" si="17"/>
        <v>15</v>
      </c>
      <c r="V78" s="149">
        <f t="shared" si="18"/>
        <v>15</v>
      </c>
      <c r="W78" s="189"/>
      <c r="X78" s="199"/>
      <c r="Y78" s="151"/>
      <c r="Z78" s="190"/>
      <c r="AA78" s="153"/>
      <c r="AB78" s="154">
        <f t="shared" si="19"/>
        <v>0</v>
      </c>
      <c r="AC78" s="149">
        <f t="shared" si="20"/>
        <v>0</v>
      </c>
      <c r="AD78" s="125">
        <v>2</v>
      </c>
      <c r="AE78" s="148">
        <f t="shared" si="21"/>
        <v>2</v>
      </c>
      <c r="AF78" s="156"/>
      <c r="AG78" s="156"/>
      <c r="AH78" s="113">
        <f t="shared" si="22"/>
        <v>17</v>
      </c>
      <c r="AI78" s="157">
        <v>65</v>
      </c>
      <c r="AJ78" s="113">
        <f t="shared" si="23"/>
        <v>82</v>
      </c>
      <c r="AK78" s="113">
        <f t="shared" si="24"/>
        <v>82</v>
      </c>
      <c r="AL78" s="158">
        <f t="shared" si="25"/>
        <v>1.02</v>
      </c>
      <c r="AM78" s="159"/>
      <c r="AN78" s="160">
        <f t="shared" si="16"/>
        <v>1</v>
      </c>
      <c r="AO78" s="160">
        <f t="shared" si="16"/>
        <v>2</v>
      </c>
      <c r="AP78" s="133"/>
      <c r="AQ78" s="134"/>
      <c r="AR78" s="161"/>
      <c r="AS78" s="161"/>
      <c r="AT78" s="161"/>
      <c r="AU78" s="161"/>
      <c r="AV78" s="162"/>
      <c r="AW78" s="137">
        <f t="shared" si="26"/>
        <v>0</v>
      </c>
      <c r="AX78" s="137">
        <f t="shared" si="27"/>
        <v>0</v>
      </c>
    </row>
    <row r="79" ht="46.5" customHeight="1" spans="1:50" s="97" customFormat="1" x14ac:dyDescent="0.25">
      <c r="A79" s="100"/>
      <c r="B79" s="100"/>
      <c r="C79" s="100"/>
      <c r="D79" s="100"/>
      <c r="E79" s="100"/>
      <c r="F79" s="100"/>
      <c r="G79" s="103"/>
      <c r="H79" s="186"/>
      <c r="I79" s="195">
        <v>0.51</v>
      </c>
      <c r="J79" s="107">
        <v>0.49</v>
      </c>
      <c r="K79" s="107"/>
      <c r="L79" s="107"/>
      <c r="M79" s="187"/>
      <c r="N79" s="169">
        <f t="shared" si="14"/>
        <v>1</v>
      </c>
      <c r="O79" s="144">
        <v>1</v>
      </c>
      <c r="P79" s="145">
        <v>15</v>
      </c>
      <c r="Q79" s="113">
        <v>15</v>
      </c>
      <c r="R79" s="113"/>
      <c r="S79" s="113"/>
      <c r="T79" s="146"/>
      <c r="U79" s="148">
        <f t="shared" si="17"/>
        <v>15</v>
      </c>
      <c r="V79" s="149">
        <f t="shared" si="18"/>
        <v>15</v>
      </c>
      <c r="W79" s="189"/>
      <c r="X79" s="199"/>
      <c r="Y79" s="151"/>
      <c r="Z79" s="190"/>
      <c r="AA79" s="153"/>
      <c r="AB79" s="154">
        <f t="shared" si="19"/>
        <v>0</v>
      </c>
      <c r="AC79" s="149">
        <f t="shared" si="20"/>
        <v>0</v>
      </c>
      <c r="AD79" s="125">
        <v>2</v>
      </c>
      <c r="AE79" s="148">
        <f t="shared" si="21"/>
        <v>2</v>
      </c>
      <c r="AF79" s="156"/>
      <c r="AG79" s="156"/>
      <c r="AH79" s="113">
        <f t="shared" si="22"/>
        <v>17</v>
      </c>
      <c r="AI79" s="157">
        <v>65</v>
      </c>
      <c r="AJ79" s="113">
        <f t="shared" si="23"/>
        <v>82</v>
      </c>
      <c r="AK79" s="113">
        <f t="shared" si="24"/>
        <v>82</v>
      </c>
      <c r="AL79" s="158">
        <f t="shared" si="25"/>
        <v>1.02</v>
      </c>
      <c r="AM79" s="159"/>
      <c r="AN79" s="160">
        <f t="shared" si="16"/>
        <v>1</v>
      </c>
      <c r="AO79" s="160">
        <f t="shared" si="16"/>
        <v>2</v>
      </c>
      <c r="AP79" s="133"/>
      <c r="AQ79" s="134"/>
      <c r="AR79" s="161"/>
      <c r="AS79" s="161"/>
      <c r="AT79" s="161"/>
      <c r="AU79" s="161"/>
      <c r="AV79" s="162"/>
      <c r="AW79" s="137">
        <f t="shared" si="26"/>
        <v>0</v>
      </c>
      <c r="AX79" s="137">
        <f t="shared" si="27"/>
        <v>0</v>
      </c>
    </row>
    <row r="80" ht="46.5" customHeight="1" spans="1:50" s="97" customFormat="1" x14ac:dyDescent="0.25">
      <c r="A80" s="100"/>
      <c r="B80" s="100"/>
      <c r="C80" s="100"/>
      <c r="D80" s="100"/>
      <c r="E80" s="100"/>
      <c r="F80" s="100"/>
      <c r="G80" s="103"/>
      <c r="H80" s="186"/>
      <c r="I80" s="195">
        <v>0.51</v>
      </c>
      <c r="J80" s="107">
        <v>0.49</v>
      </c>
      <c r="K80" s="107"/>
      <c r="L80" s="107"/>
      <c r="M80" s="187"/>
      <c r="N80" s="169">
        <f t="shared" si="14"/>
        <v>1</v>
      </c>
      <c r="O80" s="144">
        <v>1</v>
      </c>
      <c r="P80" s="145">
        <v>15</v>
      </c>
      <c r="Q80" s="113">
        <v>15</v>
      </c>
      <c r="R80" s="113"/>
      <c r="S80" s="113"/>
      <c r="T80" s="146"/>
      <c r="U80" s="148">
        <f t="shared" si="17"/>
        <v>15</v>
      </c>
      <c r="V80" s="149">
        <f t="shared" si="18"/>
        <v>15</v>
      </c>
      <c r="W80" s="189"/>
      <c r="X80" s="199"/>
      <c r="Y80" s="151"/>
      <c r="Z80" s="190"/>
      <c r="AA80" s="153"/>
      <c r="AB80" s="154">
        <f t="shared" si="19"/>
        <v>0</v>
      </c>
      <c r="AC80" s="149">
        <f t="shared" si="20"/>
        <v>0</v>
      </c>
      <c r="AD80" s="125">
        <v>2</v>
      </c>
      <c r="AE80" s="148">
        <f t="shared" si="21"/>
        <v>2</v>
      </c>
      <c r="AF80" s="156"/>
      <c r="AG80" s="156"/>
      <c r="AH80" s="113">
        <f t="shared" si="22"/>
        <v>17</v>
      </c>
      <c r="AI80" s="157">
        <v>65</v>
      </c>
      <c r="AJ80" s="113">
        <f t="shared" si="23"/>
        <v>82</v>
      </c>
      <c r="AK80" s="113">
        <f t="shared" si="24"/>
        <v>82</v>
      </c>
      <c r="AL80" s="158">
        <f t="shared" si="25"/>
        <v>1.02</v>
      </c>
      <c r="AM80" s="159"/>
      <c r="AN80" s="160">
        <f t="shared" si="16"/>
        <v>1</v>
      </c>
      <c r="AO80" s="160">
        <f t="shared" si="16"/>
        <v>2</v>
      </c>
      <c r="AP80" s="133"/>
      <c r="AQ80" s="134"/>
      <c r="AR80" s="161"/>
      <c r="AS80" s="161"/>
      <c r="AT80" s="161"/>
      <c r="AU80" s="161"/>
      <c r="AV80" s="162"/>
      <c r="AW80" s="137">
        <f t="shared" si="26"/>
        <v>0</v>
      </c>
      <c r="AX80" s="137">
        <f t="shared" si="27"/>
        <v>0</v>
      </c>
    </row>
    <row r="81" ht="46.5" customHeight="1" spans="1:50" s="97" customFormat="1" x14ac:dyDescent="0.25">
      <c r="A81" s="100"/>
      <c r="B81" s="100"/>
      <c r="C81" s="100"/>
      <c r="D81" s="100"/>
      <c r="E81" s="100"/>
      <c r="F81" s="100"/>
      <c r="G81" s="103"/>
      <c r="H81" s="186"/>
      <c r="I81" s="195">
        <v>0.51</v>
      </c>
      <c r="J81" s="107">
        <v>0.49</v>
      </c>
      <c r="K81" s="107"/>
      <c r="L81" s="107"/>
      <c r="M81" s="187"/>
      <c r="N81" s="169">
        <f t="shared" si="14"/>
        <v>1</v>
      </c>
      <c r="O81" s="144">
        <v>1</v>
      </c>
      <c r="P81" s="145">
        <v>15</v>
      </c>
      <c r="Q81" s="113">
        <v>15</v>
      </c>
      <c r="R81" s="113"/>
      <c r="S81" s="113"/>
      <c r="T81" s="146"/>
      <c r="U81" s="148">
        <f t="shared" si="17"/>
        <v>15</v>
      </c>
      <c r="V81" s="149">
        <f t="shared" si="18"/>
        <v>15</v>
      </c>
      <c r="W81" s="189"/>
      <c r="X81" s="199"/>
      <c r="Y81" s="151"/>
      <c r="Z81" s="190"/>
      <c r="AA81" s="153"/>
      <c r="AB81" s="154">
        <f t="shared" si="19"/>
        <v>0</v>
      </c>
      <c r="AC81" s="149">
        <f t="shared" si="20"/>
        <v>0</v>
      </c>
      <c r="AD81" s="125">
        <v>2</v>
      </c>
      <c r="AE81" s="148">
        <f t="shared" si="21"/>
        <v>2</v>
      </c>
      <c r="AF81" s="156"/>
      <c r="AG81" s="156"/>
      <c r="AH81" s="113">
        <f t="shared" si="22"/>
        <v>17</v>
      </c>
      <c r="AI81" s="157">
        <v>65</v>
      </c>
      <c r="AJ81" s="113">
        <f t="shared" si="23"/>
        <v>82</v>
      </c>
      <c r="AK81" s="113">
        <f t="shared" si="24"/>
        <v>82</v>
      </c>
      <c r="AL81" s="158">
        <f t="shared" si="25"/>
        <v>1.02</v>
      </c>
      <c r="AM81" s="159"/>
      <c r="AN81" s="160">
        <f t="shared" si="16"/>
        <v>1</v>
      </c>
      <c r="AO81" s="160">
        <f t="shared" si="16"/>
        <v>2</v>
      </c>
      <c r="AP81" s="133"/>
      <c r="AQ81" s="134"/>
      <c r="AR81" s="161"/>
      <c r="AS81" s="161"/>
      <c r="AT81" s="161"/>
      <c r="AU81" s="161"/>
      <c r="AV81" s="162"/>
      <c r="AW81" s="137">
        <f t="shared" si="26"/>
        <v>0</v>
      </c>
      <c r="AX81" s="137">
        <f t="shared" si="27"/>
        <v>0</v>
      </c>
    </row>
    <row r="82" ht="46.5" customHeight="1" spans="1:50" s="97" customFormat="1" x14ac:dyDescent="0.25">
      <c r="A82" s="100"/>
      <c r="B82" s="100"/>
      <c r="C82" s="100"/>
      <c r="D82" s="100"/>
      <c r="E82" s="100"/>
      <c r="F82" s="100"/>
      <c r="G82" s="103"/>
      <c r="H82" s="186"/>
      <c r="I82" s="195">
        <v>0.51</v>
      </c>
      <c r="J82" s="107">
        <v>0.49</v>
      </c>
      <c r="K82" s="107"/>
      <c r="L82" s="107"/>
      <c r="M82" s="187"/>
      <c r="N82" s="169">
        <f t="shared" si="14"/>
        <v>1</v>
      </c>
      <c r="O82" s="144">
        <v>1</v>
      </c>
      <c r="P82" s="145">
        <v>15</v>
      </c>
      <c r="Q82" s="113">
        <v>15</v>
      </c>
      <c r="R82" s="113"/>
      <c r="S82" s="113"/>
      <c r="T82" s="146"/>
      <c r="U82" s="148">
        <f t="shared" si="17"/>
        <v>15</v>
      </c>
      <c r="V82" s="149">
        <f t="shared" si="18"/>
        <v>15</v>
      </c>
      <c r="W82" s="189"/>
      <c r="X82" s="199"/>
      <c r="Y82" s="151"/>
      <c r="Z82" s="190"/>
      <c r="AA82" s="153"/>
      <c r="AB82" s="154">
        <f t="shared" si="19"/>
        <v>0</v>
      </c>
      <c r="AC82" s="149">
        <f t="shared" si="20"/>
        <v>0</v>
      </c>
      <c r="AD82" s="125">
        <v>2</v>
      </c>
      <c r="AE82" s="148">
        <f t="shared" si="21"/>
        <v>2</v>
      </c>
      <c r="AF82" s="156"/>
      <c r="AG82" s="156"/>
      <c r="AH82" s="113">
        <f t="shared" si="22"/>
        <v>17</v>
      </c>
      <c r="AI82" s="157">
        <v>65</v>
      </c>
      <c r="AJ82" s="113">
        <f t="shared" si="23"/>
        <v>82</v>
      </c>
      <c r="AK82" s="113">
        <f t="shared" si="24"/>
        <v>82</v>
      </c>
      <c r="AL82" s="158">
        <f t="shared" si="25"/>
        <v>1.02</v>
      </c>
      <c r="AM82" s="159"/>
      <c r="AN82" s="160">
        <f t="shared" si="16"/>
        <v>1</v>
      </c>
      <c r="AO82" s="160">
        <f t="shared" si="16"/>
        <v>2</v>
      </c>
      <c r="AP82" s="133"/>
      <c r="AQ82" s="134"/>
      <c r="AR82" s="161"/>
      <c r="AS82" s="161"/>
      <c r="AT82" s="161"/>
      <c r="AU82" s="161"/>
      <c r="AV82" s="162"/>
      <c r="AW82" s="137">
        <f t="shared" si="26"/>
        <v>0</v>
      </c>
      <c r="AX82" s="137">
        <f t="shared" si="27"/>
        <v>0</v>
      </c>
    </row>
    <row r="83" ht="46.5" customHeight="1" spans="1:50" s="97" customFormat="1" x14ac:dyDescent="0.25">
      <c r="A83" s="100"/>
      <c r="B83" s="100"/>
      <c r="C83" s="100"/>
      <c r="D83" s="100"/>
      <c r="E83" s="100"/>
      <c r="F83" s="100"/>
      <c r="G83" s="103"/>
      <c r="H83" s="186"/>
      <c r="I83" s="195">
        <v>0.51</v>
      </c>
      <c r="J83" s="107">
        <v>0.49</v>
      </c>
      <c r="K83" s="107"/>
      <c r="L83" s="107"/>
      <c r="M83" s="187"/>
      <c r="N83" s="169">
        <f t="shared" si="14"/>
        <v>1</v>
      </c>
      <c r="O83" s="144">
        <v>1</v>
      </c>
      <c r="P83" s="145">
        <v>15</v>
      </c>
      <c r="Q83" s="113">
        <v>15</v>
      </c>
      <c r="R83" s="113"/>
      <c r="S83" s="113"/>
      <c r="T83" s="146"/>
      <c r="U83" s="148">
        <f t="shared" si="17"/>
        <v>15</v>
      </c>
      <c r="V83" s="149">
        <f t="shared" si="18"/>
        <v>15</v>
      </c>
      <c r="W83" s="189"/>
      <c r="X83" s="199"/>
      <c r="Y83" s="151"/>
      <c r="Z83" s="190"/>
      <c r="AA83" s="153"/>
      <c r="AB83" s="154">
        <f t="shared" si="19"/>
        <v>0</v>
      </c>
      <c r="AC83" s="149">
        <f t="shared" si="20"/>
        <v>0</v>
      </c>
      <c r="AD83" s="125">
        <v>2</v>
      </c>
      <c r="AE83" s="148">
        <f t="shared" si="21"/>
        <v>2</v>
      </c>
      <c r="AF83" s="156"/>
      <c r="AG83" s="156"/>
      <c r="AH83" s="113">
        <f t="shared" si="22"/>
        <v>17</v>
      </c>
      <c r="AI83" s="157">
        <v>65</v>
      </c>
      <c r="AJ83" s="113">
        <f t="shared" si="23"/>
        <v>82</v>
      </c>
      <c r="AK83" s="113">
        <f t="shared" si="24"/>
        <v>82</v>
      </c>
      <c r="AL83" s="158">
        <f t="shared" si="25"/>
        <v>1.02</v>
      </c>
      <c r="AM83" s="159"/>
      <c r="AN83" s="160">
        <f t="shared" si="16"/>
        <v>1</v>
      </c>
      <c r="AO83" s="160">
        <f t="shared" si="16"/>
        <v>2</v>
      </c>
      <c r="AP83" s="133"/>
      <c r="AQ83" s="134"/>
      <c r="AR83" s="161"/>
      <c r="AS83" s="161"/>
      <c r="AT83" s="161"/>
      <c r="AU83" s="161"/>
      <c r="AV83" s="162"/>
      <c r="AW83" s="137">
        <f t="shared" si="26"/>
        <v>0</v>
      </c>
      <c r="AX83" s="137">
        <f t="shared" si="27"/>
        <v>0</v>
      </c>
    </row>
    <row r="84" ht="46.5" customHeight="1" spans="1:50" s="97" customFormat="1" x14ac:dyDescent="0.25">
      <c r="A84" s="100"/>
      <c r="B84" s="100"/>
      <c r="C84" s="100"/>
      <c r="D84" s="100"/>
      <c r="E84" s="100"/>
      <c r="F84" s="100"/>
      <c r="G84" s="103"/>
      <c r="H84" s="186"/>
      <c r="I84" s="195">
        <v>0.51</v>
      </c>
      <c r="J84" s="107">
        <v>0.49</v>
      </c>
      <c r="K84" s="107"/>
      <c r="L84" s="107"/>
      <c r="M84" s="187"/>
      <c r="N84" s="169">
        <f t="shared" si="14"/>
        <v>1</v>
      </c>
      <c r="O84" s="144">
        <v>1</v>
      </c>
      <c r="P84" s="145">
        <v>15</v>
      </c>
      <c r="Q84" s="113">
        <v>15</v>
      </c>
      <c r="R84" s="113"/>
      <c r="S84" s="113"/>
      <c r="T84" s="146"/>
      <c r="U84" s="148">
        <f t="shared" si="17"/>
        <v>15</v>
      </c>
      <c r="V84" s="149">
        <f t="shared" si="18"/>
        <v>15</v>
      </c>
      <c r="W84" s="189"/>
      <c r="X84" s="199"/>
      <c r="Y84" s="151"/>
      <c r="Z84" s="190"/>
      <c r="AA84" s="153"/>
      <c r="AB84" s="154">
        <f t="shared" si="19"/>
        <v>0</v>
      </c>
      <c r="AC84" s="149">
        <f t="shared" si="20"/>
        <v>0</v>
      </c>
      <c r="AD84" s="125">
        <v>2</v>
      </c>
      <c r="AE84" s="148">
        <f t="shared" si="21"/>
        <v>2</v>
      </c>
      <c r="AF84" s="156"/>
      <c r="AG84" s="156"/>
      <c r="AH84" s="113">
        <f t="shared" si="22"/>
        <v>17</v>
      </c>
      <c r="AI84" s="157">
        <v>65</v>
      </c>
      <c r="AJ84" s="113">
        <f t="shared" si="23"/>
        <v>82</v>
      </c>
      <c r="AK84" s="113">
        <f t="shared" si="24"/>
        <v>82</v>
      </c>
      <c r="AL84" s="158">
        <f t="shared" si="25"/>
        <v>1.02</v>
      </c>
      <c r="AM84" s="159"/>
      <c r="AN84" s="160">
        <f t="shared" si="16"/>
        <v>1</v>
      </c>
      <c r="AO84" s="160">
        <f t="shared" si="16"/>
        <v>2</v>
      </c>
      <c r="AP84" s="133"/>
      <c r="AQ84" s="134"/>
      <c r="AR84" s="161"/>
      <c r="AS84" s="161"/>
      <c r="AT84" s="161"/>
      <c r="AU84" s="161"/>
      <c r="AV84" s="162"/>
      <c r="AW84" s="137">
        <f t="shared" si="26"/>
        <v>0</v>
      </c>
      <c r="AX84" s="137">
        <f t="shared" si="27"/>
        <v>0</v>
      </c>
    </row>
    <row r="85" ht="46.5" customHeight="1" spans="1:50" s="97" customFormat="1" x14ac:dyDescent="0.25">
      <c r="A85" s="100"/>
      <c r="B85" s="100"/>
      <c r="C85" s="100"/>
      <c r="D85" s="100"/>
      <c r="E85" s="100"/>
      <c r="F85" s="100"/>
      <c r="G85" s="103"/>
      <c r="H85" s="186"/>
      <c r="I85" s="195">
        <v>0.51</v>
      </c>
      <c r="J85" s="107">
        <v>0.49</v>
      </c>
      <c r="K85" s="107"/>
      <c r="L85" s="107"/>
      <c r="M85" s="187"/>
      <c r="N85" s="169">
        <f t="shared" si="14"/>
        <v>1</v>
      </c>
      <c r="O85" s="144">
        <v>1</v>
      </c>
      <c r="P85" s="145">
        <v>15</v>
      </c>
      <c r="Q85" s="113">
        <v>15</v>
      </c>
      <c r="R85" s="113"/>
      <c r="S85" s="113"/>
      <c r="T85" s="146"/>
      <c r="U85" s="148">
        <f t="shared" si="17"/>
        <v>15</v>
      </c>
      <c r="V85" s="149">
        <f t="shared" si="18"/>
        <v>15</v>
      </c>
      <c r="W85" s="189"/>
      <c r="X85" s="199"/>
      <c r="Y85" s="151"/>
      <c r="Z85" s="190"/>
      <c r="AA85" s="153"/>
      <c r="AB85" s="154">
        <f t="shared" si="19"/>
        <v>0</v>
      </c>
      <c r="AC85" s="149">
        <f t="shared" si="20"/>
        <v>0</v>
      </c>
      <c r="AD85" s="125">
        <v>2</v>
      </c>
      <c r="AE85" s="148">
        <f t="shared" si="21"/>
        <v>2</v>
      </c>
      <c r="AF85" s="156"/>
      <c r="AG85" s="156"/>
      <c r="AH85" s="113">
        <f t="shared" si="22"/>
        <v>17</v>
      </c>
      <c r="AI85" s="157">
        <v>65</v>
      </c>
      <c r="AJ85" s="113">
        <f t="shared" si="23"/>
        <v>82</v>
      </c>
      <c r="AK85" s="113">
        <f t="shared" si="24"/>
        <v>82</v>
      </c>
      <c r="AL85" s="158">
        <f t="shared" si="25"/>
        <v>1.02</v>
      </c>
      <c r="AM85" s="159"/>
      <c r="AN85" s="160">
        <f t="shared" si="16"/>
        <v>1</v>
      </c>
      <c r="AO85" s="160">
        <f t="shared" si="16"/>
        <v>2</v>
      </c>
      <c r="AP85" s="133"/>
      <c r="AQ85" s="134"/>
      <c r="AR85" s="161"/>
      <c r="AS85" s="161"/>
      <c r="AT85" s="161"/>
      <c r="AU85" s="161"/>
      <c r="AV85" s="162"/>
      <c r="AW85" s="137">
        <f t="shared" si="26"/>
        <v>0</v>
      </c>
      <c r="AX85" s="137">
        <f t="shared" si="27"/>
        <v>0</v>
      </c>
    </row>
    <row r="86" ht="46.5" customHeight="1" spans="1:50" s="97" customFormat="1" x14ac:dyDescent="0.25">
      <c r="A86" s="100"/>
      <c r="B86" s="100"/>
      <c r="C86" s="100"/>
      <c r="D86" s="100"/>
      <c r="E86" s="100"/>
      <c r="F86" s="100"/>
      <c r="G86" s="103"/>
      <c r="H86" s="186"/>
      <c r="I86" s="195">
        <v>0.51</v>
      </c>
      <c r="J86" s="107">
        <v>0.49</v>
      </c>
      <c r="K86" s="107"/>
      <c r="L86" s="107"/>
      <c r="M86" s="187"/>
      <c r="N86" s="169">
        <f t="shared" si="14"/>
        <v>1</v>
      </c>
      <c r="O86" s="144">
        <v>1</v>
      </c>
      <c r="P86" s="145">
        <v>15</v>
      </c>
      <c r="Q86" s="113">
        <v>15</v>
      </c>
      <c r="R86" s="113"/>
      <c r="S86" s="113"/>
      <c r="T86" s="146"/>
      <c r="U86" s="148">
        <f t="shared" si="17"/>
        <v>15</v>
      </c>
      <c r="V86" s="149">
        <f t="shared" si="18"/>
        <v>15</v>
      </c>
      <c r="W86" s="189"/>
      <c r="X86" s="199"/>
      <c r="Y86" s="151"/>
      <c r="Z86" s="190"/>
      <c r="AA86" s="153"/>
      <c r="AB86" s="154">
        <f t="shared" si="19"/>
        <v>0</v>
      </c>
      <c r="AC86" s="149">
        <f t="shared" si="20"/>
        <v>0</v>
      </c>
      <c r="AD86" s="125">
        <v>2</v>
      </c>
      <c r="AE86" s="148">
        <f t="shared" si="21"/>
        <v>2</v>
      </c>
      <c r="AF86" s="156"/>
      <c r="AG86" s="156"/>
      <c r="AH86" s="113">
        <f t="shared" si="22"/>
        <v>17</v>
      </c>
      <c r="AI86" s="157">
        <v>65</v>
      </c>
      <c r="AJ86" s="113">
        <f t="shared" si="23"/>
        <v>82</v>
      </c>
      <c r="AK86" s="113">
        <f t="shared" si="24"/>
        <v>82</v>
      </c>
      <c r="AL86" s="158">
        <f t="shared" si="25"/>
        <v>1.02</v>
      </c>
      <c r="AM86" s="159"/>
      <c r="AN86" s="160">
        <f t="shared" si="16"/>
        <v>1</v>
      </c>
      <c r="AO86" s="160">
        <f t="shared" si="16"/>
        <v>2</v>
      </c>
      <c r="AP86" s="133"/>
      <c r="AQ86" s="134"/>
      <c r="AR86" s="161"/>
      <c r="AS86" s="161"/>
      <c r="AT86" s="161"/>
      <c r="AU86" s="161"/>
      <c r="AV86" s="162"/>
      <c r="AW86" s="137">
        <f t="shared" si="26"/>
        <v>0</v>
      </c>
      <c r="AX86" s="137">
        <f t="shared" si="27"/>
        <v>0</v>
      </c>
    </row>
    <row r="87" ht="46.5" customHeight="1" spans="1:50" s="97" customFormat="1" x14ac:dyDescent="0.25">
      <c r="A87" s="100"/>
      <c r="B87" s="100"/>
      <c r="C87" s="100"/>
      <c r="D87" s="100"/>
      <c r="E87" s="100"/>
      <c r="F87" s="100"/>
      <c r="G87" s="103"/>
      <c r="H87" s="186"/>
      <c r="I87" s="195">
        <v>0.51</v>
      </c>
      <c r="J87" s="107">
        <v>0.49</v>
      </c>
      <c r="K87" s="107"/>
      <c r="L87" s="107"/>
      <c r="M87" s="187"/>
      <c r="N87" s="169">
        <f t="shared" si="14"/>
        <v>1</v>
      </c>
      <c r="O87" s="144">
        <v>1</v>
      </c>
      <c r="P87" s="145">
        <v>15</v>
      </c>
      <c r="Q87" s="113">
        <v>15</v>
      </c>
      <c r="R87" s="113"/>
      <c r="S87" s="113"/>
      <c r="T87" s="146"/>
      <c r="U87" s="148">
        <f t="shared" si="17"/>
        <v>15</v>
      </c>
      <c r="V87" s="149">
        <f t="shared" si="18"/>
        <v>15</v>
      </c>
      <c r="W87" s="189"/>
      <c r="X87" s="199"/>
      <c r="Y87" s="151"/>
      <c r="Z87" s="190"/>
      <c r="AA87" s="153"/>
      <c r="AB87" s="154">
        <f t="shared" si="19"/>
        <v>0</v>
      </c>
      <c r="AC87" s="149">
        <f t="shared" si="20"/>
        <v>0</v>
      </c>
      <c r="AD87" s="125">
        <v>2</v>
      </c>
      <c r="AE87" s="148">
        <f t="shared" si="21"/>
        <v>2</v>
      </c>
      <c r="AF87" s="156"/>
      <c r="AG87" s="156"/>
      <c r="AH87" s="113">
        <f t="shared" si="22"/>
        <v>17</v>
      </c>
      <c r="AI87" s="157">
        <v>65</v>
      </c>
      <c r="AJ87" s="113">
        <f t="shared" si="23"/>
        <v>82</v>
      </c>
      <c r="AK87" s="113">
        <f t="shared" si="24"/>
        <v>82</v>
      </c>
      <c r="AL87" s="158">
        <f t="shared" si="25"/>
        <v>1.02</v>
      </c>
      <c r="AM87" s="159"/>
      <c r="AN87" s="160">
        <f t="shared" si="16"/>
        <v>1</v>
      </c>
      <c r="AO87" s="160">
        <f t="shared" si="16"/>
        <v>2</v>
      </c>
      <c r="AP87" s="133"/>
      <c r="AQ87" s="134"/>
      <c r="AR87" s="161"/>
      <c r="AS87" s="161"/>
      <c r="AT87" s="161"/>
      <c r="AU87" s="161"/>
      <c r="AV87" s="162"/>
      <c r="AW87" s="137">
        <f t="shared" si="26"/>
        <v>0</v>
      </c>
      <c r="AX87" s="137">
        <f t="shared" si="27"/>
        <v>0</v>
      </c>
    </row>
    <row r="88" ht="46.5" customHeight="1" spans="1:50" s="97" customFormat="1" x14ac:dyDescent="0.25">
      <c r="A88" s="100"/>
      <c r="B88" s="100"/>
      <c r="C88" s="100"/>
      <c r="D88" s="100"/>
      <c r="E88" s="100"/>
      <c r="F88" s="100"/>
      <c r="G88" s="103"/>
      <c r="H88" s="186"/>
      <c r="I88" s="195">
        <v>0.51</v>
      </c>
      <c r="J88" s="107">
        <v>0.49</v>
      </c>
      <c r="K88" s="107"/>
      <c r="L88" s="107"/>
      <c r="M88" s="187"/>
      <c r="N88" s="169">
        <f t="shared" si="14"/>
        <v>1</v>
      </c>
      <c r="O88" s="144">
        <v>1</v>
      </c>
      <c r="P88" s="145">
        <v>15</v>
      </c>
      <c r="Q88" s="113">
        <v>15</v>
      </c>
      <c r="R88" s="113"/>
      <c r="S88" s="113"/>
      <c r="T88" s="146"/>
      <c r="U88" s="148">
        <f t="shared" si="17"/>
        <v>15</v>
      </c>
      <c r="V88" s="149">
        <f t="shared" si="18"/>
        <v>15</v>
      </c>
      <c r="W88" s="189"/>
      <c r="X88" s="199"/>
      <c r="Y88" s="151"/>
      <c r="Z88" s="190"/>
      <c r="AA88" s="153"/>
      <c r="AB88" s="154">
        <f t="shared" si="19"/>
        <v>0</v>
      </c>
      <c r="AC88" s="149">
        <f t="shared" si="20"/>
        <v>0</v>
      </c>
      <c r="AD88" s="125">
        <v>2</v>
      </c>
      <c r="AE88" s="148">
        <f t="shared" si="21"/>
        <v>2</v>
      </c>
      <c r="AF88" s="156"/>
      <c r="AG88" s="156"/>
      <c r="AH88" s="113">
        <f t="shared" si="22"/>
        <v>17</v>
      </c>
      <c r="AI88" s="157">
        <v>65</v>
      </c>
      <c r="AJ88" s="113">
        <f t="shared" si="23"/>
        <v>82</v>
      </c>
      <c r="AK88" s="113">
        <f t="shared" si="24"/>
        <v>82</v>
      </c>
      <c r="AL88" s="158">
        <f t="shared" si="25"/>
        <v>1.02</v>
      </c>
      <c r="AM88" s="159"/>
      <c r="AN88" s="160">
        <f t="shared" si="16"/>
        <v>1</v>
      </c>
      <c r="AO88" s="160">
        <f t="shared" si="16"/>
        <v>2</v>
      </c>
      <c r="AP88" s="133"/>
      <c r="AQ88" s="134"/>
      <c r="AR88" s="161"/>
      <c r="AS88" s="161"/>
      <c r="AT88" s="161"/>
      <c r="AU88" s="161"/>
      <c r="AV88" s="162"/>
      <c r="AW88" s="137">
        <f t="shared" si="26"/>
        <v>0</v>
      </c>
      <c r="AX88" s="137">
        <f t="shared" si="27"/>
        <v>0</v>
      </c>
    </row>
    <row r="89" ht="46.5" customHeight="1" spans="1:50" s="97" customFormat="1" x14ac:dyDescent="0.25">
      <c r="A89" s="100"/>
      <c r="B89" s="100"/>
      <c r="C89" s="100"/>
      <c r="D89" s="100"/>
      <c r="E89" s="100"/>
      <c r="F89" s="100"/>
      <c r="G89" s="103"/>
      <c r="H89" s="186"/>
      <c r="I89" s="195">
        <v>0.51</v>
      </c>
      <c r="J89" s="107">
        <v>0.49</v>
      </c>
      <c r="K89" s="107"/>
      <c r="L89" s="107"/>
      <c r="M89" s="187"/>
      <c r="N89" s="169">
        <f t="shared" si="14"/>
        <v>1</v>
      </c>
      <c r="O89" s="144">
        <v>1</v>
      </c>
      <c r="P89" s="145">
        <v>15</v>
      </c>
      <c r="Q89" s="113">
        <v>15</v>
      </c>
      <c r="R89" s="113"/>
      <c r="S89" s="113"/>
      <c r="T89" s="146"/>
      <c r="U89" s="148">
        <f t="shared" si="17"/>
        <v>15</v>
      </c>
      <c r="V89" s="149">
        <f t="shared" si="18"/>
        <v>15</v>
      </c>
      <c r="W89" s="189"/>
      <c r="X89" s="199"/>
      <c r="Y89" s="151"/>
      <c r="Z89" s="190"/>
      <c r="AA89" s="153"/>
      <c r="AB89" s="154">
        <f t="shared" si="19"/>
        <v>0</v>
      </c>
      <c r="AC89" s="149">
        <f t="shared" si="20"/>
        <v>0</v>
      </c>
      <c r="AD89" s="125">
        <v>2</v>
      </c>
      <c r="AE89" s="148">
        <f t="shared" si="21"/>
        <v>2</v>
      </c>
      <c r="AF89" s="156"/>
      <c r="AG89" s="156"/>
      <c r="AH89" s="113">
        <f t="shared" si="22"/>
        <v>17</v>
      </c>
      <c r="AI89" s="157">
        <v>65</v>
      </c>
      <c r="AJ89" s="113">
        <f t="shared" si="23"/>
        <v>82</v>
      </c>
      <c r="AK89" s="113">
        <f t="shared" si="24"/>
        <v>82</v>
      </c>
      <c r="AL89" s="158">
        <f t="shared" si="25"/>
        <v>1.02</v>
      </c>
      <c r="AM89" s="159"/>
      <c r="AN89" s="160">
        <f t="shared" si="16"/>
        <v>1</v>
      </c>
      <c r="AO89" s="160">
        <f t="shared" si="16"/>
        <v>2</v>
      </c>
      <c r="AP89" s="133"/>
      <c r="AQ89" s="134"/>
      <c r="AR89" s="161"/>
      <c r="AS89" s="161"/>
      <c r="AT89" s="161"/>
      <c r="AU89" s="161"/>
      <c r="AV89" s="162"/>
      <c r="AW89" s="137">
        <f t="shared" si="26"/>
        <v>0</v>
      </c>
      <c r="AX89" s="137">
        <f t="shared" si="27"/>
        <v>0</v>
      </c>
    </row>
    <row r="90" ht="46.5" customHeight="1" spans="1:50" s="97" customFormat="1" x14ac:dyDescent="0.25">
      <c r="A90" s="100"/>
      <c r="B90" s="100"/>
      <c r="C90" s="100"/>
      <c r="D90" s="100"/>
      <c r="E90" s="100"/>
      <c r="F90" s="100"/>
      <c r="G90" s="103"/>
      <c r="H90" s="186"/>
      <c r="I90" s="195">
        <v>0.51</v>
      </c>
      <c r="J90" s="107">
        <v>0.49</v>
      </c>
      <c r="K90" s="107"/>
      <c r="L90" s="107"/>
      <c r="M90" s="187"/>
      <c r="N90" s="169">
        <f t="shared" si="14"/>
        <v>1</v>
      </c>
      <c r="O90" s="144">
        <v>1</v>
      </c>
      <c r="P90" s="145">
        <v>15</v>
      </c>
      <c r="Q90" s="113">
        <v>15</v>
      </c>
      <c r="R90" s="113"/>
      <c r="S90" s="113"/>
      <c r="T90" s="146"/>
      <c r="U90" s="148">
        <f t="shared" si="17"/>
        <v>15</v>
      </c>
      <c r="V90" s="149">
        <f t="shared" si="18"/>
        <v>15</v>
      </c>
      <c r="W90" s="189"/>
      <c r="X90" s="199"/>
      <c r="Y90" s="151"/>
      <c r="Z90" s="190"/>
      <c r="AA90" s="153"/>
      <c r="AB90" s="154">
        <f t="shared" si="19"/>
        <v>0</v>
      </c>
      <c r="AC90" s="149">
        <f t="shared" si="20"/>
        <v>0</v>
      </c>
      <c r="AD90" s="125">
        <v>2</v>
      </c>
      <c r="AE90" s="148">
        <f t="shared" si="21"/>
        <v>2</v>
      </c>
      <c r="AF90" s="156"/>
      <c r="AG90" s="156"/>
      <c r="AH90" s="113">
        <f t="shared" si="22"/>
        <v>17</v>
      </c>
      <c r="AI90" s="157">
        <v>65</v>
      </c>
      <c r="AJ90" s="113">
        <f t="shared" si="23"/>
        <v>82</v>
      </c>
      <c r="AK90" s="113">
        <f t="shared" si="24"/>
        <v>82</v>
      </c>
      <c r="AL90" s="158">
        <f t="shared" si="25"/>
        <v>1.02</v>
      </c>
      <c r="AM90" s="159"/>
      <c r="AN90" s="160">
        <f t="shared" si="16"/>
        <v>1</v>
      </c>
      <c r="AO90" s="160">
        <f t="shared" si="16"/>
        <v>2</v>
      </c>
      <c r="AP90" s="133"/>
      <c r="AQ90" s="134"/>
      <c r="AR90" s="161"/>
      <c r="AS90" s="161"/>
      <c r="AT90" s="161"/>
      <c r="AU90" s="161"/>
      <c r="AV90" s="162"/>
      <c r="AW90" s="137">
        <f t="shared" si="26"/>
        <v>0</v>
      </c>
      <c r="AX90" s="137">
        <f t="shared" si="27"/>
        <v>0</v>
      </c>
    </row>
    <row r="91" ht="46.5" customHeight="1" spans="1:50" s="97" customFormat="1" x14ac:dyDescent="0.25">
      <c r="A91" s="100"/>
      <c r="B91" s="100"/>
      <c r="C91" s="100"/>
      <c r="D91" s="100"/>
      <c r="E91" s="100"/>
      <c r="F91" s="100"/>
      <c r="G91" s="103"/>
      <c r="H91" s="186"/>
      <c r="I91" s="195">
        <v>0.51</v>
      </c>
      <c r="J91" s="107">
        <v>0.49</v>
      </c>
      <c r="K91" s="107"/>
      <c r="L91" s="107"/>
      <c r="M91" s="187"/>
      <c r="N91" s="169">
        <f t="shared" si="14"/>
        <v>1</v>
      </c>
      <c r="O91" s="144">
        <v>1</v>
      </c>
      <c r="P91" s="145">
        <v>15</v>
      </c>
      <c r="Q91" s="113">
        <v>15</v>
      </c>
      <c r="R91" s="113"/>
      <c r="S91" s="113"/>
      <c r="T91" s="146"/>
      <c r="U91" s="148">
        <f t="shared" si="17"/>
        <v>15</v>
      </c>
      <c r="V91" s="149">
        <f t="shared" si="18"/>
        <v>15</v>
      </c>
      <c r="W91" s="189"/>
      <c r="X91" s="199"/>
      <c r="Y91" s="151"/>
      <c r="Z91" s="190"/>
      <c r="AA91" s="153"/>
      <c r="AB91" s="154">
        <f t="shared" si="19"/>
        <v>0</v>
      </c>
      <c r="AC91" s="149">
        <f t="shared" si="20"/>
        <v>0</v>
      </c>
      <c r="AD91" s="125">
        <v>2</v>
      </c>
      <c r="AE91" s="148">
        <f t="shared" si="21"/>
        <v>2</v>
      </c>
      <c r="AF91" s="156"/>
      <c r="AG91" s="156"/>
      <c r="AH91" s="113">
        <f t="shared" si="22"/>
        <v>17</v>
      </c>
      <c r="AI91" s="157">
        <v>65</v>
      </c>
      <c r="AJ91" s="113">
        <f t="shared" si="23"/>
        <v>82</v>
      </c>
      <c r="AK91" s="113">
        <f t="shared" si="24"/>
        <v>82</v>
      </c>
      <c r="AL91" s="158">
        <f t="shared" si="25"/>
        <v>1.02</v>
      </c>
      <c r="AM91" s="159"/>
      <c r="AN91" s="160">
        <f t="shared" si="16"/>
        <v>1</v>
      </c>
      <c r="AO91" s="160">
        <f t="shared" si="16"/>
        <v>2</v>
      </c>
      <c r="AP91" s="133"/>
      <c r="AQ91" s="134"/>
      <c r="AR91" s="161"/>
      <c r="AS91" s="161"/>
      <c r="AT91" s="161"/>
      <c r="AU91" s="161"/>
      <c r="AV91" s="162"/>
      <c r="AW91" s="137">
        <f t="shared" si="26"/>
        <v>0</v>
      </c>
      <c r="AX91" s="137">
        <f t="shared" si="27"/>
        <v>0</v>
      </c>
    </row>
    <row r="92" ht="46.5" customHeight="1" spans="1:50" s="97" customFormat="1" x14ac:dyDescent="0.25">
      <c r="A92" s="100"/>
      <c r="B92" s="100"/>
      <c r="C92" s="100"/>
      <c r="D92" s="100"/>
      <c r="E92" s="100"/>
      <c r="F92" s="100"/>
      <c r="G92" s="103"/>
      <c r="H92" s="186"/>
      <c r="I92" s="195">
        <v>0.51</v>
      </c>
      <c r="J92" s="107">
        <v>0.49</v>
      </c>
      <c r="K92" s="107"/>
      <c r="L92" s="107"/>
      <c r="M92" s="187"/>
      <c r="N92" s="169">
        <f t="shared" si="14"/>
        <v>1</v>
      </c>
      <c r="O92" s="144">
        <v>1</v>
      </c>
      <c r="P92" s="145">
        <v>15</v>
      </c>
      <c r="Q92" s="113">
        <v>15</v>
      </c>
      <c r="R92" s="113"/>
      <c r="S92" s="113"/>
      <c r="T92" s="146"/>
      <c r="U92" s="148">
        <f t="shared" si="17"/>
        <v>15</v>
      </c>
      <c r="V92" s="149">
        <f t="shared" si="18"/>
        <v>15</v>
      </c>
      <c r="W92" s="189"/>
      <c r="X92" s="199"/>
      <c r="Y92" s="151"/>
      <c r="Z92" s="190"/>
      <c r="AA92" s="153"/>
      <c r="AB92" s="154">
        <f t="shared" si="19"/>
        <v>0</v>
      </c>
      <c r="AC92" s="149">
        <f t="shared" si="20"/>
        <v>0</v>
      </c>
      <c r="AD92" s="125">
        <v>2</v>
      </c>
      <c r="AE92" s="148">
        <f t="shared" si="21"/>
        <v>2</v>
      </c>
      <c r="AF92" s="156"/>
      <c r="AG92" s="156"/>
      <c r="AH92" s="113">
        <f t="shared" si="22"/>
        <v>17</v>
      </c>
      <c r="AI92" s="157">
        <v>65</v>
      </c>
      <c r="AJ92" s="113">
        <f t="shared" si="23"/>
        <v>82</v>
      </c>
      <c r="AK92" s="113">
        <f t="shared" si="24"/>
        <v>82</v>
      </c>
      <c r="AL92" s="158">
        <f t="shared" si="25"/>
        <v>1.02</v>
      </c>
      <c r="AM92" s="159"/>
      <c r="AN92" s="160">
        <f t="shared" si="16"/>
        <v>1</v>
      </c>
      <c r="AO92" s="160">
        <f t="shared" si="16"/>
        <v>2</v>
      </c>
      <c r="AP92" s="133"/>
      <c r="AQ92" s="134"/>
      <c r="AR92" s="161"/>
      <c r="AS92" s="161"/>
      <c r="AT92" s="161"/>
      <c r="AU92" s="161"/>
      <c r="AV92" s="162"/>
      <c r="AW92" s="137">
        <f t="shared" si="26"/>
        <v>0</v>
      </c>
      <c r="AX92" s="137">
        <f t="shared" si="27"/>
        <v>0</v>
      </c>
    </row>
    <row r="93" ht="46.5" customHeight="1" spans="1:50" s="97" customFormat="1" x14ac:dyDescent="0.25">
      <c r="A93" s="100"/>
      <c r="B93" s="100"/>
      <c r="C93" s="100"/>
      <c r="D93" s="100"/>
      <c r="E93" s="100"/>
      <c r="F93" s="100"/>
      <c r="G93" s="103"/>
      <c r="H93" s="186"/>
      <c r="I93" s="195">
        <v>0.51</v>
      </c>
      <c r="J93" s="107">
        <v>0.49</v>
      </c>
      <c r="K93" s="107"/>
      <c r="L93" s="107"/>
      <c r="M93" s="187"/>
      <c r="N93" s="169">
        <f t="shared" si="14"/>
        <v>1</v>
      </c>
      <c r="O93" s="144">
        <v>1</v>
      </c>
      <c r="P93" s="145">
        <v>15</v>
      </c>
      <c r="Q93" s="113">
        <v>15</v>
      </c>
      <c r="R93" s="113"/>
      <c r="S93" s="113"/>
      <c r="T93" s="146"/>
      <c r="U93" s="148">
        <f t="shared" si="17"/>
        <v>15</v>
      </c>
      <c r="V93" s="149">
        <f t="shared" si="18"/>
        <v>15</v>
      </c>
      <c r="W93" s="189"/>
      <c r="X93" s="199"/>
      <c r="Y93" s="151"/>
      <c r="Z93" s="190"/>
      <c r="AA93" s="153"/>
      <c r="AB93" s="154">
        <f t="shared" si="19"/>
        <v>0</v>
      </c>
      <c r="AC93" s="149">
        <f t="shared" si="20"/>
        <v>0</v>
      </c>
      <c r="AD93" s="125">
        <v>2</v>
      </c>
      <c r="AE93" s="148">
        <f t="shared" si="21"/>
        <v>2</v>
      </c>
      <c r="AF93" s="156"/>
      <c r="AG93" s="156"/>
      <c r="AH93" s="113">
        <f t="shared" si="22"/>
        <v>17</v>
      </c>
      <c r="AI93" s="157">
        <v>65</v>
      </c>
      <c r="AJ93" s="113">
        <f t="shared" si="23"/>
        <v>82</v>
      </c>
      <c r="AK93" s="113">
        <f t="shared" si="24"/>
        <v>82</v>
      </c>
      <c r="AL93" s="158">
        <f t="shared" si="25"/>
        <v>1.02</v>
      </c>
      <c r="AM93" s="159"/>
      <c r="AN93" s="160">
        <f t="shared" ref="AN93:AO112" si="28">100%+AM93</f>
        <v>1</v>
      </c>
      <c r="AO93" s="160">
        <f t="shared" si="28"/>
        <v>2</v>
      </c>
      <c r="AP93" s="133"/>
      <c r="AQ93" s="134"/>
      <c r="AR93" s="161"/>
      <c r="AS93" s="161"/>
      <c r="AT93" s="161"/>
      <c r="AU93" s="161"/>
      <c r="AV93" s="162"/>
      <c r="AW93" s="137">
        <f t="shared" si="26"/>
        <v>0</v>
      </c>
      <c r="AX93" s="137">
        <f t="shared" si="27"/>
        <v>0</v>
      </c>
    </row>
    <row r="94" ht="46.5" customHeight="1" spans="1:50" s="97" customFormat="1" x14ac:dyDescent="0.25">
      <c r="A94" s="100"/>
      <c r="B94" s="100"/>
      <c r="C94" s="100"/>
      <c r="D94" s="100"/>
      <c r="E94" s="100"/>
      <c r="F94" s="100"/>
      <c r="G94" s="103"/>
      <c r="H94" s="186"/>
      <c r="I94" s="195">
        <v>0.51</v>
      </c>
      <c r="J94" s="107">
        <v>0.49</v>
      </c>
      <c r="K94" s="107"/>
      <c r="L94" s="107"/>
      <c r="M94" s="187"/>
      <c r="N94" s="169">
        <f t="shared" si="14"/>
        <v>1</v>
      </c>
      <c r="O94" s="144">
        <v>1</v>
      </c>
      <c r="P94" s="145">
        <v>15</v>
      </c>
      <c r="Q94" s="113">
        <v>15</v>
      </c>
      <c r="R94" s="113"/>
      <c r="S94" s="113"/>
      <c r="T94" s="146"/>
      <c r="U94" s="148">
        <f t="shared" si="17"/>
        <v>15</v>
      </c>
      <c r="V94" s="149">
        <f t="shared" si="18"/>
        <v>15</v>
      </c>
      <c r="W94" s="189"/>
      <c r="X94" s="199"/>
      <c r="Y94" s="151"/>
      <c r="Z94" s="190"/>
      <c r="AA94" s="153"/>
      <c r="AB94" s="154">
        <f t="shared" si="19"/>
        <v>0</v>
      </c>
      <c r="AC94" s="149">
        <f t="shared" si="20"/>
        <v>0</v>
      </c>
      <c r="AD94" s="125">
        <v>2</v>
      </c>
      <c r="AE94" s="148">
        <f t="shared" si="21"/>
        <v>2</v>
      </c>
      <c r="AF94" s="156"/>
      <c r="AG94" s="156"/>
      <c r="AH94" s="113">
        <f t="shared" si="22"/>
        <v>17</v>
      </c>
      <c r="AI94" s="157">
        <v>65</v>
      </c>
      <c r="AJ94" s="113">
        <f t="shared" si="23"/>
        <v>82</v>
      </c>
      <c r="AK94" s="113">
        <f t="shared" si="24"/>
        <v>82</v>
      </c>
      <c r="AL94" s="158">
        <f t="shared" si="25"/>
        <v>1.02</v>
      </c>
      <c r="AM94" s="159"/>
      <c r="AN94" s="160">
        <f t="shared" si="28"/>
        <v>1</v>
      </c>
      <c r="AO94" s="160">
        <f t="shared" si="28"/>
        <v>2</v>
      </c>
      <c r="AP94" s="133"/>
      <c r="AQ94" s="134"/>
      <c r="AR94" s="161"/>
      <c r="AS94" s="161"/>
      <c r="AT94" s="161"/>
      <c r="AU94" s="161"/>
      <c r="AV94" s="162"/>
      <c r="AW94" s="137">
        <f t="shared" si="26"/>
        <v>0</v>
      </c>
      <c r="AX94" s="137">
        <f t="shared" si="27"/>
        <v>0</v>
      </c>
    </row>
    <row r="95" ht="46.5" customHeight="1" spans="1:50" s="97" customFormat="1" x14ac:dyDescent="0.25">
      <c r="A95" s="100"/>
      <c r="B95" s="100"/>
      <c r="C95" s="100"/>
      <c r="D95" s="100"/>
      <c r="E95" s="100"/>
      <c r="F95" s="100"/>
      <c r="G95" s="103"/>
      <c r="H95" s="186"/>
      <c r="I95" s="195">
        <v>0.51</v>
      </c>
      <c r="J95" s="107">
        <v>0.49</v>
      </c>
      <c r="K95" s="107"/>
      <c r="L95" s="107"/>
      <c r="M95" s="187"/>
      <c r="N95" s="169">
        <f t="shared" si="14"/>
        <v>1</v>
      </c>
      <c r="O95" s="144">
        <v>1</v>
      </c>
      <c r="P95" s="145">
        <v>15</v>
      </c>
      <c r="Q95" s="113">
        <v>15</v>
      </c>
      <c r="R95" s="113"/>
      <c r="S95" s="113"/>
      <c r="T95" s="146"/>
      <c r="U95" s="148">
        <f t="shared" si="17"/>
        <v>15</v>
      </c>
      <c r="V95" s="149">
        <f t="shared" si="18"/>
        <v>15</v>
      </c>
      <c r="W95" s="189"/>
      <c r="X95" s="199"/>
      <c r="Y95" s="151"/>
      <c r="Z95" s="190"/>
      <c r="AA95" s="153"/>
      <c r="AB95" s="154">
        <f t="shared" si="19"/>
        <v>0</v>
      </c>
      <c r="AC95" s="149">
        <f t="shared" si="20"/>
        <v>0</v>
      </c>
      <c r="AD95" s="125">
        <v>2</v>
      </c>
      <c r="AE95" s="148">
        <f t="shared" si="21"/>
        <v>2</v>
      </c>
      <c r="AF95" s="156"/>
      <c r="AG95" s="156"/>
      <c r="AH95" s="113">
        <f t="shared" si="22"/>
        <v>17</v>
      </c>
      <c r="AI95" s="157">
        <v>65</v>
      </c>
      <c r="AJ95" s="113">
        <f t="shared" si="23"/>
        <v>82</v>
      </c>
      <c r="AK95" s="113">
        <f t="shared" si="24"/>
        <v>82</v>
      </c>
      <c r="AL95" s="158">
        <f t="shared" si="25"/>
        <v>1.02</v>
      </c>
      <c r="AM95" s="159"/>
      <c r="AN95" s="160">
        <f t="shared" si="28"/>
        <v>1</v>
      </c>
      <c r="AO95" s="160">
        <f t="shared" si="28"/>
        <v>2</v>
      </c>
      <c r="AP95" s="133"/>
      <c r="AQ95" s="134"/>
      <c r="AR95" s="161"/>
      <c r="AS95" s="161"/>
      <c r="AT95" s="161"/>
      <c r="AU95" s="161"/>
      <c r="AV95" s="162"/>
      <c r="AW95" s="137">
        <f t="shared" si="26"/>
        <v>0</v>
      </c>
      <c r="AX95" s="137">
        <f t="shared" si="27"/>
        <v>0</v>
      </c>
    </row>
    <row r="96" ht="46.5" customHeight="1" spans="1:50" s="97" customFormat="1" x14ac:dyDescent="0.25">
      <c r="A96" s="100"/>
      <c r="B96" s="100"/>
      <c r="C96" s="100"/>
      <c r="D96" s="100"/>
      <c r="E96" s="100"/>
      <c r="F96" s="100"/>
      <c r="G96" s="103"/>
      <c r="H96" s="186"/>
      <c r="I96" s="195">
        <v>0.51</v>
      </c>
      <c r="J96" s="107">
        <v>0.49</v>
      </c>
      <c r="K96" s="107"/>
      <c r="L96" s="107"/>
      <c r="M96" s="187"/>
      <c r="N96" s="169">
        <f t="shared" si="14"/>
        <v>1</v>
      </c>
      <c r="O96" s="144">
        <v>1</v>
      </c>
      <c r="P96" s="145">
        <v>15</v>
      </c>
      <c r="Q96" s="113">
        <v>15</v>
      </c>
      <c r="R96" s="113"/>
      <c r="S96" s="113"/>
      <c r="T96" s="146"/>
      <c r="U96" s="148">
        <f t="shared" si="17"/>
        <v>15</v>
      </c>
      <c r="V96" s="149">
        <f t="shared" si="18"/>
        <v>15</v>
      </c>
      <c r="W96" s="189"/>
      <c r="X96" s="199"/>
      <c r="Y96" s="151"/>
      <c r="Z96" s="190"/>
      <c r="AA96" s="153"/>
      <c r="AB96" s="154">
        <f t="shared" si="19"/>
        <v>0</v>
      </c>
      <c r="AC96" s="149">
        <f t="shared" si="20"/>
        <v>0</v>
      </c>
      <c r="AD96" s="125">
        <v>2</v>
      </c>
      <c r="AE96" s="148">
        <f t="shared" si="21"/>
        <v>2</v>
      </c>
      <c r="AF96" s="156"/>
      <c r="AG96" s="156"/>
      <c r="AH96" s="113">
        <f t="shared" si="22"/>
        <v>17</v>
      </c>
      <c r="AI96" s="157">
        <v>65</v>
      </c>
      <c r="AJ96" s="113">
        <f t="shared" si="23"/>
        <v>82</v>
      </c>
      <c r="AK96" s="113">
        <f t="shared" si="24"/>
        <v>82</v>
      </c>
      <c r="AL96" s="158">
        <f t="shared" si="25"/>
        <v>1.02</v>
      </c>
      <c r="AM96" s="159"/>
      <c r="AN96" s="160">
        <f t="shared" si="28"/>
        <v>1</v>
      </c>
      <c r="AO96" s="160">
        <f t="shared" si="28"/>
        <v>2</v>
      </c>
      <c r="AP96" s="133"/>
      <c r="AQ96" s="134"/>
      <c r="AR96" s="161"/>
      <c r="AS96" s="161"/>
      <c r="AT96" s="161"/>
      <c r="AU96" s="161"/>
      <c r="AV96" s="162"/>
      <c r="AW96" s="137">
        <f t="shared" si="26"/>
        <v>0</v>
      </c>
      <c r="AX96" s="137">
        <f t="shared" si="27"/>
        <v>0</v>
      </c>
    </row>
    <row r="97" ht="46.5" customHeight="1" spans="1:50" s="97" customFormat="1" x14ac:dyDescent="0.25">
      <c r="A97" s="100"/>
      <c r="B97" s="100"/>
      <c r="C97" s="100"/>
      <c r="D97" s="100"/>
      <c r="E97" s="100"/>
      <c r="F97" s="100"/>
      <c r="G97" s="103"/>
      <c r="H97" s="186"/>
      <c r="I97" s="195">
        <v>0.51</v>
      </c>
      <c r="J97" s="107">
        <v>0.49</v>
      </c>
      <c r="K97" s="107"/>
      <c r="L97" s="107"/>
      <c r="M97" s="187"/>
      <c r="N97" s="169">
        <f t="shared" si="14"/>
        <v>1</v>
      </c>
      <c r="O97" s="144">
        <v>1</v>
      </c>
      <c r="P97" s="145">
        <v>15</v>
      </c>
      <c r="Q97" s="113">
        <v>15</v>
      </c>
      <c r="R97" s="113"/>
      <c r="S97" s="113"/>
      <c r="T97" s="146"/>
      <c r="U97" s="148">
        <f t="shared" si="17"/>
        <v>15</v>
      </c>
      <c r="V97" s="149">
        <f t="shared" si="18"/>
        <v>15</v>
      </c>
      <c r="W97" s="189"/>
      <c r="X97" s="199"/>
      <c r="Y97" s="151"/>
      <c r="Z97" s="190"/>
      <c r="AA97" s="153"/>
      <c r="AB97" s="154">
        <f t="shared" si="19"/>
        <v>0</v>
      </c>
      <c r="AC97" s="149">
        <f t="shared" si="20"/>
        <v>0</v>
      </c>
      <c r="AD97" s="125">
        <v>2</v>
      </c>
      <c r="AE97" s="148">
        <f t="shared" si="21"/>
        <v>2</v>
      </c>
      <c r="AF97" s="156"/>
      <c r="AG97" s="156"/>
      <c r="AH97" s="113">
        <f t="shared" si="22"/>
        <v>17</v>
      </c>
      <c r="AI97" s="157">
        <v>65</v>
      </c>
      <c r="AJ97" s="113">
        <f t="shared" si="23"/>
        <v>82</v>
      </c>
      <c r="AK97" s="113">
        <f t="shared" si="24"/>
        <v>82</v>
      </c>
      <c r="AL97" s="158">
        <f t="shared" si="25"/>
        <v>1.02</v>
      </c>
      <c r="AM97" s="159"/>
      <c r="AN97" s="160">
        <f t="shared" si="28"/>
        <v>1</v>
      </c>
      <c r="AO97" s="160">
        <f t="shared" si="28"/>
        <v>2</v>
      </c>
      <c r="AP97" s="133"/>
      <c r="AQ97" s="134"/>
      <c r="AR97" s="161"/>
      <c r="AS97" s="161"/>
      <c r="AT97" s="161"/>
      <c r="AU97" s="161"/>
      <c r="AV97" s="162"/>
      <c r="AW97" s="137">
        <f t="shared" si="26"/>
        <v>0</v>
      </c>
      <c r="AX97" s="137">
        <f t="shared" si="27"/>
        <v>0</v>
      </c>
    </row>
    <row r="98" ht="46.5" customHeight="1" spans="1:50" s="97" customFormat="1" x14ac:dyDescent="0.25">
      <c r="A98" s="100"/>
      <c r="B98" s="100"/>
      <c r="C98" s="100"/>
      <c r="D98" s="100"/>
      <c r="E98" s="100"/>
      <c r="F98" s="100"/>
      <c r="G98" s="103"/>
      <c r="H98" s="186"/>
      <c r="I98" s="195">
        <v>0.51</v>
      </c>
      <c r="J98" s="107">
        <v>0.49</v>
      </c>
      <c r="K98" s="107"/>
      <c r="L98" s="107"/>
      <c r="M98" s="187"/>
      <c r="N98" s="169">
        <f t="shared" si="14"/>
        <v>1</v>
      </c>
      <c r="O98" s="144">
        <v>1</v>
      </c>
      <c r="P98" s="145">
        <v>15</v>
      </c>
      <c r="Q98" s="113">
        <v>15</v>
      </c>
      <c r="R98" s="113"/>
      <c r="S98" s="113"/>
      <c r="T98" s="146"/>
      <c r="U98" s="148">
        <f t="shared" si="17"/>
        <v>15</v>
      </c>
      <c r="V98" s="149">
        <f t="shared" si="18"/>
        <v>15</v>
      </c>
      <c r="W98" s="189"/>
      <c r="X98" s="199"/>
      <c r="Y98" s="151"/>
      <c r="Z98" s="190"/>
      <c r="AA98" s="153"/>
      <c r="AB98" s="154">
        <f t="shared" si="19"/>
        <v>0</v>
      </c>
      <c r="AC98" s="149">
        <f t="shared" si="20"/>
        <v>0</v>
      </c>
      <c r="AD98" s="125">
        <v>2</v>
      </c>
      <c r="AE98" s="148">
        <f t="shared" si="21"/>
        <v>2</v>
      </c>
      <c r="AF98" s="156"/>
      <c r="AG98" s="156"/>
      <c r="AH98" s="113">
        <f t="shared" si="22"/>
        <v>17</v>
      </c>
      <c r="AI98" s="157">
        <v>65</v>
      </c>
      <c r="AJ98" s="113">
        <f t="shared" si="23"/>
        <v>82</v>
      </c>
      <c r="AK98" s="113">
        <f t="shared" si="24"/>
        <v>82</v>
      </c>
      <c r="AL98" s="158">
        <f t="shared" si="25"/>
        <v>1.02</v>
      </c>
      <c r="AM98" s="159"/>
      <c r="AN98" s="160">
        <f t="shared" si="28"/>
        <v>1</v>
      </c>
      <c r="AO98" s="160">
        <f t="shared" si="28"/>
        <v>2</v>
      </c>
      <c r="AP98" s="133"/>
      <c r="AQ98" s="134"/>
      <c r="AR98" s="161"/>
      <c r="AS98" s="161"/>
      <c r="AT98" s="161"/>
      <c r="AU98" s="161"/>
      <c r="AV98" s="162"/>
      <c r="AW98" s="137">
        <f t="shared" si="26"/>
        <v>0</v>
      </c>
      <c r="AX98" s="137">
        <f t="shared" si="27"/>
        <v>0</v>
      </c>
    </row>
    <row r="99" ht="46.5" customHeight="1" spans="1:50" s="97" customFormat="1" x14ac:dyDescent="0.25">
      <c r="A99" s="100"/>
      <c r="B99" s="100"/>
      <c r="C99" s="100"/>
      <c r="D99" s="100"/>
      <c r="E99" s="100"/>
      <c r="F99" s="100"/>
      <c r="G99" s="103"/>
      <c r="H99" s="186"/>
      <c r="I99" s="195">
        <v>0.51</v>
      </c>
      <c r="J99" s="107">
        <v>0.49</v>
      </c>
      <c r="K99" s="107"/>
      <c r="L99" s="107"/>
      <c r="M99" s="187"/>
      <c r="N99" s="169">
        <f t="shared" si="14"/>
        <v>1</v>
      </c>
      <c r="O99" s="144">
        <v>1</v>
      </c>
      <c r="P99" s="145">
        <v>15</v>
      </c>
      <c r="Q99" s="113">
        <v>15</v>
      </c>
      <c r="R99" s="113"/>
      <c r="S99" s="113"/>
      <c r="T99" s="146"/>
      <c r="U99" s="148">
        <f t="shared" si="17"/>
        <v>15</v>
      </c>
      <c r="V99" s="149">
        <f t="shared" si="18"/>
        <v>15</v>
      </c>
      <c r="W99" s="189"/>
      <c r="X99" s="199"/>
      <c r="Y99" s="151"/>
      <c r="Z99" s="190"/>
      <c r="AA99" s="153"/>
      <c r="AB99" s="154">
        <f t="shared" si="19"/>
        <v>0</v>
      </c>
      <c r="AC99" s="149">
        <f t="shared" si="20"/>
        <v>0</v>
      </c>
      <c r="AD99" s="125">
        <v>2</v>
      </c>
      <c r="AE99" s="148">
        <f t="shared" si="21"/>
        <v>2</v>
      </c>
      <c r="AF99" s="156"/>
      <c r="AG99" s="156"/>
      <c r="AH99" s="113">
        <f t="shared" si="22"/>
        <v>17</v>
      </c>
      <c r="AI99" s="157">
        <v>65</v>
      </c>
      <c r="AJ99" s="113">
        <f t="shared" si="23"/>
        <v>82</v>
      </c>
      <c r="AK99" s="113">
        <f t="shared" si="24"/>
        <v>82</v>
      </c>
      <c r="AL99" s="158">
        <f t="shared" si="25"/>
        <v>1.02</v>
      </c>
      <c r="AM99" s="159"/>
      <c r="AN99" s="160">
        <f t="shared" si="28"/>
        <v>1</v>
      </c>
      <c r="AO99" s="160">
        <f t="shared" si="28"/>
        <v>2</v>
      </c>
      <c r="AP99" s="133"/>
      <c r="AQ99" s="134"/>
      <c r="AR99" s="161"/>
      <c r="AS99" s="161"/>
      <c r="AT99" s="161"/>
      <c r="AU99" s="161"/>
      <c r="AV99" s="162"/>
      <c r="AW99" s="137">
        <f t="shared" si="26"/>
        <v>0</v>
      </c>
      <c r="AX99" s="137">
        <f t="shared" si="27"/>
        <v>0</v>
      </c>
    </row>
    <row r="100" ht="64.5" customHeight="1" spans="1:50" s="56" customFormat="1" x14ac:dyDescent="0.25">
      <c r="A100" s="100"/>
      <c r="B100" s="100"/>
      <c r="C100" s="100"/>
      <c r="D100" s="100"/>
      <c r="E100" s="100"/>
      <c r="F100" s="100"/>
      <c r="G100" s="103"/>
      <c r="H100" s="186"/>
      <c r="I100" s="195">
        <v>0.51</v>
      </c>
      <c r="J100" s="107">
        <v>0.49</v>
      </c>
      <c r="K100" s="107"/>
      <c r="L100" s="107"/>
      <c r="M100" s="187"/>
      <c r="N100" s="169">
        <f t="shared" si="14"/>
        <v>1</v>
      </c>
      <c r="O100" s="144">
        <v>1</v>
      </c>
      <c r="P100" s="145">
        <v>15</v>
      </c>
      <c r="Q100" s="113">
        <v>15</v>
      </c>
      <c r="R100" s="113"/>
      <c r="S100" s="113"/>
      <c r="T100" s="146"/>
      <c r="U100" s="148">
        <f t="shared" si="17"/>
        <v>15</v>
      </c>
      <c r="V100" s="149">
        <f t="shared" si="18"/>
        <v>15</v>
      </c>
      <c r="W100" s="189"/>
      <c r="X100" s="199"/>
      <c r="Y100" s="151"/>
      <c r="Z100" s="190"/>
      <c r="AA100" s="153"/>
      <c r="AB100" s="154">
        <f t="shared" si="19"/>
        <v>0</v>
      </c>
      <c r="AC100" s="149">
        <f t="shared" si="20"/>
        <v>0</v>
      </c>
      <c r="AD100" s="125">
        <v>2</v>
      </c>
      <c r="AE100" s="148">
        <f t="shared" si="21"/>
        <v>2</v>
      </c>
      <c r="AF100" s="156"/>
      <c r="AG100" s="156"/>
      <c r="AH100" s="113">
        <f t="shared" si="22"/>
        <v>17</v>
      </c>
      <c r="AI100" s="157">
        <v>65</v>
      </c>
      <c r="AJ100" s="113">
        <f t="shared" si="23"/>
        <v>82</v>
      </c>
      <c r="AK100" s="113">
        <f t="shared" si="24"/>
        <v>82</v>
      </c>
      <c r="AL100" s="158">
        <f t="shared" si="25"/>
        <v>1.02</v>
      </c>
      <c r="AM100" s="159"/>
      <c r="AN100" s="160">
        <f t="shared" si="28"/>
        <v>1</v>
      </c>
      <c r="AO100" s="160">
        <f t="shared" si="28"/>
        <v>2</v>
      </c>
      <c r="AP100" s="133"/>
      <c r="AQ100" s="134"/>
      <c r="AR100" s="161"/>
      <c r="AS100" s="161"/>
      <c r="AT100" s="161"/>
      <c r="AU100" s="161"/>
      <c r="AV100" s="162"/>
      <c r="AW100" s="137">
        <f t="shared" si="26"/>
        <v>0</v>
      </c>
      <c r="AX100" s="137">
        <f t="shared" si="27"/>
        <v>0</v>
      </c>
    </row>
    <row r="101" ht="46.5" customHeight="1" spans="1:50" s="97" customFormat="1" x14ac:dyDescent="0.25">
      <c r="A101" s="100"/>
      <c r="B101" s="100"/>
      <c r="C101" s="100"/>
      <c r="D101" s="100"/>
      <c r="E101" s="100"/>
      <c r="F101" s="100"/>
      <c r="G101" s="103"/>
      <c r="H101" s="186"/>
      <c r="I101" s="195">
        <v>0.51</v>
      </c>
      <c r="J101" s="107">
        <v>0.49</v>
      </c>
      <c r="K101" s="107"/>
      <c r="L101" s="107"/>
      <c r="M101" s="187"/>
      <c r="N101" s="169">
        <f t="shared" si="14"/>
        <v>1</v>
      </c>
      <c r="O101" s="144">
        <v>1</v>
      </c>
      <c r="P101" s="145">
        <v>15</v>
      </c>
      <c r="Q101" s="113">
        <v>15</v>
      </c>
      <c r="R101" s="113"/>
      <c r="S101" s="113"/>
      <c r="T101" s="146"/>
      <c r="U101" s="148">
        <f t="shared" si="17"/>
        <v>15</v>
      </c>
      <c r="V101" s="149">
        <f t="shared" si="18"/>
        <v>15</v>
      </c>
      <c r="W101" s="189"/>
      <c r="X101" s="199"/>
      <c r="Y101" s="151"/>
      <c r="Z101" s="190"/>
      <c r="AA101" s="153"/>
      <c r="AB101" s="154">
        <f t="shared" si="19"/>
        <v>0</v>
      </c>
      <c r="AC101" s="149">
        <f t="shared" si="20"/>
        <v>0</v>
      </c>
      <c r="AD101" s="125">
        <v>2</v>
      </c>
      <c r="AE101" s="148">
        <f t="shared" si="21"/>
        <v>2</v>
      </c>
      <c r="AF101" s="156"/>
      <c r="AG101" s="156"/>
      <c r="AH101" s="113">
        <f t="shared" si="22"/>
        <v>17</v>
      </c>
      <c r="AI101" s="157">
        <v>65</v>
      </c>
      <c r="AJ101" s="113">
        <f t="shared" si="23"/>
        <v>82</v>
      </c>
      <c r="AK101" s="113">
        <f t="shared" si="24"/>
        <v>82</v>
      </c>
      <c r="AL101" s="158">
        <f t="shared" si="25"/>
        <v>1.02</v>
      </c>
      <c r="AM101" s="159"/>
      <c r="AN101" s="160">
        <f t="shared" si="28"/>
        <v>1</v>
      </c>
      <c r="AO101" s="160">
        <f t="shared" si="28"/>
        <v>2</v>
      </c>
      <c r="AP101" s="133"/>
      <c r="AQ101" s="134"/>
      <c r="AR101" s="161"/>
      <c r="AS101" s="161"/>
      <c r="AT101" s="161"/>
      <c r="AU101" s="161"/>
      <c r="AV101" s="162"/>
      <c r="AW101" s="137">
        <f t="shared" si="26"/>
        <v>0</v>
      </c>
      <c r="AX101" s="137">
        <f t="shared" si="27"/>
        <v>0</v>
      </c>
    </row>
    <row r="102" ht="46.5" customHeight="1" spans="1:50" s="97" customFormat="1" x14ac:dyDescent="0.25">
      <c r="A102" s="100"/>
      <c r="B102" s="100"/>
      <c r="C102" s="100"/>
      <c r="D102" s="100"/>
      <c r="E102" s="100"/>
      <c r="F102" s="100"/>
      <c r="G102" s="103"/>
      <c r="H102" s="186"/>
      <c r="I102" s="195">
        <v>0.51</v>
      </c>
      <c r="J102" s="107">
        <v>0.49</v>
      </c>
      <c r="K102" s="107"/>
      <c r="L102" s="107"/>
      <c r="M102" s="187"/>
      <c r="N102" s="169">
        <f t="shared" si="14"/>
        <v>1</v>
      </c>
      <c r="O102" s="144">
        <v>1</v>
      </c>
      <c r="P102" s="145">
        <v>15</v>
      </c>
      <c r="Q102" s="113">
        <v>15</v>
      </c>
      <c r="R102" s="113"/>
      <c r="S102" s="113"/>
      <c r="T102" s="146"/>
      <c r="U102" s="148">
        <f t="shared" si="17"/>
        <v>15</v>
      </c>
      <c r="V102" s="149">
        <f t="shared" si="18"/>
        <v>15</v>
      </c>
      <c r="W102" s="189"/>
      <c r="X102" s="199"/>
      <c r="Y102" s="151"/>
      <c r="Z102" s="190"/>
      <c r="AA102" s="153"/>
      <c r="AB102" s="154">
        <f t="shared" si="19"/>
        <v>0</v>
      </c>
      <c r="AC102" s="149">
        <f t="shared" si="20"/>
        <v>0</v>
      </c>
      <c r="AD102" s="125">
        <v>2</v>
      </c>
      <c r="AE102" s="148">
        <f t="shared" si="21"/>
        <v>2</v>
      </c>
      <c r="AF102" s="156"/>
      <c r="AG102" s="156"/>
      <c r="AH102" s="113">
        <f t="shared" si="22"/>
        <v>17</v>
      </c>
      <c r="AI102" s="157">
        <v>65</v>
      </c>
      <c r="AJ102" s="113">
        <f t="shared" si="23"/>
        <v>82</v>
      </c>
      <c r="AK102" s="113">
        <f t="shared" si="24"/>
        <v>82</v>
      </c>
      <c r="AL102" s="158">
        <f t="shared" si="25"/>
        <v>1.02</v>
      </c>
      <c r="AM102" s="159"/>
      <c r="AN102" s="160">
        <f t="shared" si="28"/>
        <v>1</v>
      </c>
      <c r="AO102" s="160">
        <f t="shared" si="28"/>
        <v>2</v>
      </c>
      <c r="AP102" s="133"/>
      <c r="AQ102" s="134"/>
      <c r="AR102" s="161"/>
      <c r="AS102" s="161"/>
      <c r="AT102" s="161"/>
      <c r="AU102" s="161"/>
      <c r="AV102" s="162"/>
      <c r="AW102" s="137">
        <f t="shared" si="26"/>
        <v>0</v>
      </c>
      <c r="AX102" s="137">
        <f t="shared" si="27"/>
        <v>0</v>
      </c>
    </row>
    <row r="103" ht="46.5" customHeight="1" spans="1:50" s="97" customFormat="1" x14ac:dyDescent="0.25">
      <c r="A103" s="100"/>
      <c r="B103" s="100"/>
      <c r="C103" s="100"/>
      <c r="D103" s="100"/>
      <c r="E103" s="100"/>
      <c r="F103" s="100"/>
      <c r="G103" s="103"/>
      <c r="H103" s="186"/>
      <c r="I103" s="195">
        <v>0.51</v>
      </c>
      <c r="J103" s="107">
        <v>0.49</v>
      </c>
      <c r="K103" s="107"/>
      <c r="L103" s="107"/>
      <c r="M103" s="187"/>
      <c r="N103" s="169">
        <f t="shared" si="14"/>
        <v>1</v>
      </c>
      <c r="O103" s="144">
        <v>1</v>
      </c>
      <c r="P103" s="145">
        <v>15</v>
      </c>
      <c r="Q103" s="113">
        <v>15</v>
      </c>
      <c r="R103" s="113"/>
      <c r="S103" s="113"/>
      <c r="T103" s="146"/>
      <c r="U103" s="148">
        <f t="shared" si="17"/>
        <v>15</v>
      </c>
      <c r="V103" s="149">
        <f t="shared" si="18"/>
        <v>15</v>
      </c>
      <c r="W103" s="189"/>
      <c r="X103" s="199"/>
      <c r="Y103" s="151"/>
      <c r="Z103" s="190"/>
      <c r="AA103" s="153"/>
      <c r="AB103" s="154">
        <f t="shared" si="19"/>
        <v>0</v>
      </c>
      <c r="AC103" s="149">
        <f t="shared" si="20"/>
        <v>0</v>
      </c>
      <c r="AD103" s="125">
        <v>2</v>
      </c>
      <c r="AE103" s="148">
        <f t="shared" si="21"/>
        <v>2</v>
      </c>
      <c r="AF103" s="156"/>
      <c r="AG103" s="156"/>
      <c r="AH103" s="113">
        <f t="shared" si="22"/>
        <v>17</v>
      </c>
      <c r="AI103" s="157">
        <v>65</v>
      </c>
      <c r="AJ103" s="113">
        <f t="shared" si="23"/>
        <v>82</v>
      </c>
      <c r="AK103" s="113">
        <f t="shared" si="24"/>
        <v>82</v>
      </c>
      <c r="AL103" s="158">
        <f t="shared" si="25"/>
        <v>1.02</v>
      </c>
      <c r="AM103" s="159"/>
      <c r="AN103" s="160">
        <f t="shared" si="28"/>
        <v>1</v>
      </c>
      <c r="AO103" s="160">
        <f t="shared" si="28"/>
        <v>2</v>
      </c>
      <c r="AP103" s="133"/>
      <c r="AQ103" s="134"/>
      <c r="AR103" s="161"/>
      <c r="AS103" s="161"/>
      <c r="AT103" s="161"/>
      <c r="AU103" s="161"/>
      <c r="AV103" s="162"/>
      <c r="AW103" s="137">
        <f t="shared" si="26"/>
        <v>0</v>
      </c>
      <c r="AX103" s="137">
        <f t="shared" si="27"/>
        <v>0</v>
      </c>
    </row>
    <row r="104" ht="47.25" customHeight="1" spans="1:50" s="97" customFormat="1" x14ac:dyDescent="0.25">
      <c r="A104" s="100"/>
      <c r="B104" s="100"/>
      <c r="C104" s="100"/>
      <c r="D104" s="100"/>
      <c r="E104" s="100"/>
      <c r="F104" s="100"/>
      <c r="G104" s="103"/>
      <c r="H104" s="186"/>
      <c r="I104" s="195">
        <v>0.51</v>
      </c>
      <c r="J104" s="107">
        <v>0.49</v>
      </c>
      <c r="K104" s="107"/>
      <c r="L104" s="107"/>
      <c r="M104" s="187"/>
      <c r="N104" s="169">
        <f t="shared" si="14"/>
        <v>1</v>
      </c>
      <c r="O104" s="144">
        <v>1</v>
      </c>
      <c r="P104" s="145">
        <v>15</v>
      </c>
      <c r="Q104" s="113">
        <v>15</v>
      </c>
      <c r="R104" s="113"/>
      <c r="S104" s="113"/>
      <c r="T104" s="146"/>
      <c r="U104" s="148">
        <f t="shared" si="17"/>
        <v>15</v>
      </c>
      <c r="V104" s="149">
        <f t="shared" si="18"/>
        <v>15</v>
      </c>
      <c r="W104" s="189"/>
      <c r="X104" s="199"/>
      <c r="Y104" s="151"/>
      <c r="Z104" s="190"/>
      <c r="AA104" s="153"/>
      <c r="AB104" s="154">
        <f t="shared" si="19"/>
        <v>0</v>
      </c>
      <c r="AC104" s="149">
        <f t="shared" si="20"/>
        <v>0</v>
      </c>
      <c r="AD104" s="125">
        <v>2</v>
      </c>
      <c r="AE104" s="148">
        <f t="shared" si="21"/>
        <v>2</v>
      </c>
      <c r="AF104" s="156"/>
      <c r="AG104" s="156"/>
      <c r="AH104" s="113">
        <f t="shared" si="22"/>
        <v>17</v>
      </c>
      <c r="AI104" s="157">
        <v>65</v>
      </c>
      <c r="AJ104" s="113">
        <f t="shared" si="23"/>
        <v>82</v>
      </c>
      <c r="AK104" s="113">
        <f t="shared" si="24"/>
        <v>82</v>
      </c>
      <c r="AL104" s="158">
        <f t="shared" si="25"/>
        <v>1.02</v>
      </c>
      <c r="AM104" s="159"/>
      <c r="AN104" s="160">
        <f t="shared" si="28"/>
        <v>1</v>
      </c>
      <c r="AO104" s="160">
        <f t="shared" si="28"/>
        <v>2</v>
      </c>
      <c r="AP104" s="133"/>
      <c r="AQ104" s="134"/>
      <c r="AR104" s="161"/>
      <c r="AS104" s="161"/>
      <c r="AT104" s="161"/>
      <c r="AU104" s="161"/>
      <c r="AV104" s="162"/>
      <c r="AW104" s="137">
        <f t="shared" si="26"/>
        <v>0</v>
      </c>
      <c r="AX104" s="137">
        <f t="shared" si="27"/>
        <v>0</v>
      </c>
    </row>
    <row r="105" ht="46.5" customHeight="1" spans="1:50" s="97" customFormat="1" x14ac:dyDescent="0.25">
      <c r="A105" s="100"/>
      <c r="B105" s="100"/>
      <c r="C105" s="100"/>
      <c r="D105" s="100"/>
      <c r="E105" s="100"/>
      <c r="F105" s="100"/>
      <c r="G105" s="103"/>
      <c r="H105" s="186"/>
      <c r="I105" s="195">
        <v>0.51</v>
      </c>
      <c r="J105" s="107">
        <v>0.49</v>
      </c>
      <c r="K105" s="107"/>
      <c r="L105" s="107"/>
      <c r="M105" s="187"/>
      <c r="N105" s="169">
        <f t="shared" si="14"/>
        <v>1</v>
      </c>
      <c r="O105" s="144">
        <v>1</v>
      </c>
      <c r="P105" s="145">
        <v>15</v>
      </c>
      <c r="Q105" s="113">
        <v>15</v>
      </c>
      <c r="R105" s="113"/>
      <c r="S105" s="113"/>
      <c r="T105" s="146"/>
      <c r="U105" s="148">
        <f t="shared" si="17"/>
        <v>15</v>
      </c>
      <c r="V105" s="149">
        <f t="shared" si="18"/>
        <v>15</v>
      </c>
      <c r="W105" s="189"/>
      <c r="X105" s="199"/>
      <c r="Y105" s="151"/>
      <c r="Z105" s="190"/>
      <c r="AA105" s="153"/>
      <c r="AB105" s="154">
        <f t="shared" si="19"/>
        <v>0</v>
      </c>
      <c r="AC105" s="149">
        <f t="shared" si="20"/>
        <v>0</v>
      </c>
      <c r="AD105" s="125">
        <v>2</v>
      </c>
      <c r="AE105" s="148">
        <f t="shared" si="21"/>
        <v>2</v>
      </c>
      <c r="AF105" s="156"/>
      <c r="AG105" s="156"/>
      <c r="AH105" s="113">
        <f t="shared" si="22"/>
        <v>17</v>
      </c>
      <c r="AI105" s="157">
        <v>65</v>
      </c>
      <c r="AJ105" s="113">
        <f t="shared" si="23"/>
        <v>82</v>
      </c>
      <c r="AK105" s="113">
        <f t="shared" si="24"/>
        <v>82</v>
      </c>
      <c r="AL105" s="158">
        <f t="shared" si="25"/>
        <v>1.02</v>
      </c>
      <c r="AM105" s="159"/>
      <c r="AN105" s="160">
        <f t="shared" si="28"/>
        <v>1</v>
      </c>
      <c r="AO105" s="160">
        <f t="shared" si="28"/>
        <v>2</v>
      </c>
      <c r="AP105" s="133"/>
      <c r="AQ105" s="134"/>
      <c r="AR105" s="161"/>
      <c r="AS105" s="161"/>
      <c r="AT105" s="161"/>
      <c r="AU105" s="161"/>
      <c r="AV105" s="162"/>
      <c r="AW105" s="137">
        <f t="shared" si="26"/>
        <v>0</v>
      </c>
      <c r="AX105" s="137">
        <f t="shared" si="27"/>
        <v>0</v>
      </c>
    </row>
    <row r="106" ht="46.5" customHeight="1" spans="1:50" s="97" customFormat="1" x14ac:dyDescent="0.25">
      <c r="A106" s="100"/>
      <c r="B106" s="100"/>
      <c r="C106" s="100"/>
      <c r="D106" s="100"/>
      <c r="E106" s="100"/>
      <c r="F106" s="100"/>
      <c r="G106" s="103"/>
      <c r="H106" s="186"/>
      <c r="I106" s="195">
        <v>0.51</v>
      </c>
      <c r="J106" s="107">
        <v>0.49</v>
      </c>
      <c r="K106" s="107"/>
      <c r="L106" s="107"/>
      <c r="M106" s="187"/>
      <c r="N106" s="169">
        <f t="shared" si="14"/>
        <v>1</v>
      </c>
      <c r="O106" s="144">
        <v>1</v>
      </c>
      <c r="P106" s="145">
        <v>15</v>
      </c>
      <c r="Q106" s="113">
        <v>15</v>
      </c>
      <c r="R106" s="113"/>
      <c r="S106" s="113"/>
      <c r="T106" s="146"/>
      <c r="U106" s="148">
        <f t="shared" si="17"/>
        <v>15</v>
      </c>
      <c r="V106" s="149">
        <f t="shared" si="18"/>
        <v>15</v>
      </c>
      <c r="W106" s="189"/>
      <c r="X106" s="199"/>
      <c r="Y106" s="151"/>
      <c r="Z106" s="190"/>
      <c r="AA106" s="153"/>
      <c r="AB106" s="154">
        <f t="shared" si="19"/>
        <v>0</v>
      </c>
      <c r="AC106" s="149">
        <f t="shared" si="20"/>
        <v>0</v>
      </c>
      <c r="AD106" s="125">
        <v>2</v>
      </c>
      <c r="AE106" s="148">
        <f t="shared" si="21"/>
        <v>2</v>
      </c>
      <c r="AF106" s="156"/>
      <c r="AG106" s="156"/>
      <c r="AH106" s="113">
        <f t="shared" si="22"/>
        <v>17</v>
      </c>
      <c r="AI106" s="157">
        <v>65</v>
      </c>
      <c r="AJ106" s="113">
        <f t="shared" si="23"/>
        <v>82</v>
      </c>
      <c r="AK106" s="113">
        <f t="shared" si="24"/>
        <v>82</v>
      </c>
      <c r="AL106" s="158">
        <f t="shared" si="25"/>
        <v>1.02</v>
      </c>
      <c r="AM106" s="159"/>
      <c r="AN106" s="160">
        <f t="shared" si="28"/>
        <v>1</v>
      </c>
      <c r="AO106" s="160">
        <f t="shared" si="28"/>
        <v>2</v>
      </c>
      <c r="AP106" s="133"/>
      <c r="AQ106" s="134"/>
      <c r="AR106" s="161"/>
      <c r="AS106" s="161"/>
      <c r="AT106" s="161"/>
      <c r="AU106" s="161"/>
      <c r="AV106" s="162"/>
      <c r="AW106" s="137">
        <f t="shared" si="26"/>
        <v>0</v>
      </c>
      <c r="AX106" s="137">
        <f t="shared" si="27"/>
        <v>0</v>
      </c>
    </row>
    <row r="107" ht="46.5" customHeight="1" spans="1:50" s="97" customFormat="1" x14ac:dyDescent="0.25">
      <c r="A107" s="100"/>
      <c r="B107" s="100"/>
      <c r="C107" s="100"/>
      <c r="D107" s="100"/>
      <c r="E107" s="100"/>
      <c r="F107" s="100"/>
      <c r="G107" s="103"/>
      <c r="H107" s="186"/>
      <c r="I107" s="195">
        <v>0.51</v>
      </c>
      <c r="J107" s="107">
        <v>0.49</v>
      </c>
      <c r="K107" s="107"/>
      <c r="L107" s="107"/>
      <c r="M107" s="187"/>
      <c r="N107" s="169">
        <f t="shared" si="14"/>
        <v>1</v>
      </c>
      <c r="O107" s="144">
        <v>1</v>
      </c>
      <c r="P107" s="145">
        <v>15</v>
      </c>
      <c r="Q107" s="113">
        <v>15</v>
      </c>
      <c r="R107" s="113"/>
      <c r="S107" s="113"/>
      <c r="T107" s="146"/>
      <c r="U107" s="148">
        <f t="shared" si="17"/>
        <v>15</v>
      </c>
      <c r="V107" s="149">
        <f t="shared" si="18"/>
        <v>15</v>
      </c>
      <c r="W107" s="189"/>
      <c r="X107" s="199"/>
      <c r="Y107" s="151"/>
      <c r="Z107" s="190"/>
      <c r="AA107" s="153"/>
      <c r="AB107" s="154">
        <f t="shared" si="19"/>
        <v>0</v>
      </c>
      <c r="AC107" s="149">
        <f t="shared" si="20"/>
        <v>0</v>
      </c>
      <c r="AD107" s="125">
        <v>2</v>
      </c>
      <c r="AE107" s="148">
        <f t="shared" si="21"/>
        <v>2</v>
      </c>
      <c r="AF107" s="156"/>
      <c r="AG107" s="156"/>
      <c r="AH107" s="113">
        <f t="shared" si="22"/>
        <v>17</v>
      </c>
      <c r="AI107" s="157">
        <v>65</v>
      </c>
      <c r="AJ107" s="113">
        <f t="shared" si="23"/>
        <v>82</v>
      </c>
      <c r="AK107" s="113">
        <f t="shared" si="24"/>
        <v>82</v>
      </c>
      <c r="AL107" s="158">
        <f t="shared" si="25"/>
        <v>1.02</v>
      </c>
      <c r="AM107" s="159"/>
      <c r="AN107" s="160">
        <f t="shared" si="28"/>
        <v>1</v>
      </c>
      <c r="AO107" s="160">
        <f t="shared" si="28"/>
        <v>2</v>
      </c>
      <c r="AP107" s="133"/>
      <c r="AQ107" s="134"/>
      <c r="AR107" s="161"/>
      <c r="AS107" s="161"/>
      <c r="AT107" s="161"/>
      <c r="AU107" s="161"/>
      <c r="AV107" s="162"/>
      <c r="AW107" s="137">
        <f t="shared" si="26"/>
        <v>0</v>
      </c>
      <c r="AX107" s="137">
        <f t="shared" si="27"/>
        <v>0</v>
      </c>
    </row>
    <row r="108" ht="46.5" customHeight="1" spans="1:50" s="97" customFormat="1" x14ac:dyDescent="0.25">
      <c r="A108" s="100"/>
      <c r="B108" s="100"/>
      <c r="C108" s="100"/>
      <c r="D108" s="100"/>
      <c r="E108" s="100"/>
      <c r="F108" s="100"/>
      <c r="G108" s="103"/>
      <c r="H108" s="186"/>
      <c r="I108" s="195">
        <v>0.51</v>
      </c>
      <c r="J108" s="107">
        <v>0.49</v>
      </c>
      <c r="K108" s="107"/>
      <c r="L108" s="107"/>
      <c r="M108" s="187"/>
      <c r="N108" s="169">
        <f t="shared" si="14"/>
        <v>1</v>
      </c>
      <c r="O108" s="144">
        <v>1</v>
      </c>
      <c r="P108" s="145">
        <v>15</v>
      </c>
      <c r="Q108" s="113">
        <v>15</v>
      </c>
      <c r="R108" s="113"/>
      <c r="S108" s="113"/>
      <c r="T108" s="146"/>
      <c r="U108" s="148">
        <f t="shared" si="17"/>
        <v>15</v>
      </c>
      <c r="V108" s="149">
        <f t="shared" si="18"/>
        <v>15</v>
      </c>
      <c r="W108" s="189"/>
      <c r="X108" s="199"/>
      <c r="Y108" s="151"/>
      <c r="Z108" s="190"/>
      <c r="AA108" s="153"/>
      <c r="AB108" s="154">
        <f t="shared" si="19"/>
        <v>0</v>
      </c>
      <c r="AC108" s="149">
        <f t="shared" si="20"/>
        <v>0</v>
      </c>
      <c r="AD108" s="125">
        <v>2</v>
      </c>
      <c r="AE108" s="148">
        <f t="shared" si="21"/>
        <v>2</v>
      </c>
      <c r="AF108" s="156"/>
      <c r="AG108" s="156"/>
      <c r="AH108" s="113">
        <f t="shared" si="22"/>
        <v>17</v>
      </c>
      <c r="AI108" s="157">
        <v>65</v>
      </c>
      <c r="AJ108" s="113">
        <f t="shared" si="23"/>
        <v>82</v>
      </c>
      <c r="AK108" s="113">
        <f t="shared" si="24"/>
        <v>82</v>
      </c>
      <c r="AL108" s="158">
        <f t="shared" si="25"/>
        <v>1.02</v>
      </c>
      <c r="AM108" s="159"/>
      <c r="AN108" s="160">
        <f t="shared" si="28"/>
        <v>1</v>
      </c>
      <c r="AO108" s="160">
        <f t="shared" si="28"/>
        <v>2</v>
      </c>
      <c r="AP108" s="133"/>
      <c r="AQ108" s="134"/>
      <c r="AR108" s="161"/>
      <c r="AS108" s="161"/>
      <c r="AT108" s="161"/>
      <c r="AU108" s="161"/>
      <c r="AV108" s="162"/>
      <c r="AW108" s="137">
        <f t="shared" si="26"/>
        <v>0</v>
      </c>
      <c r="AX108" s="137">
        <f t="shared" si="27"/>
        <v>0</v>
      </c>
    </row>
    <row r="109" ht="47.25" customHeight="1" spans="1:50" s="56" customFormat="1" x14ac:dyDescent="0.25">
      <c r="A109" s="100"/>
      <c r="B109" s="100"/>
      <c r="C109" s="100"/>
      <c r="D109" s="100"/>
      <c r="E109" s="100"/>
      <c r="F109" s="100"/>
      <c r="G109" s="103"/>
      <c r="H109" s="186"/>
      <c r="I109" s="195">
        <v>0.51</v>
      </c>
      <c r="J109" s="107">
        <v>0.49</v>
      </c>
      <c r="K109" s="107"/>
      <c r="L109" s="107"/>
      <c r="M109" s="187"/>
      <c r="N109" s="169">
        <f t="shared" ref="N109:N138" si="29">SUM(I109:M109)</f>
        <v>1</v>
      </c>
      <c r="O109" s="144">
        <v>1</v>
      </c>
      <c r="P109" s="145">
        <v>15</v>
      </c>
      <c r="Q109" s="113">
        <v>15</v>
      </c>
      <c r="R109" s="113"/>
      <c r="S109" s="113"/>
      <c r="T109" s="146"/>
      <c r="U109" s="148">
        <f t="shared" si="17"/>
        <v>15</v>
      </c>
      <c r="V109" s="149">
        <f t="shared" si="18"/>
        <v>15</v>
      </c>
      <c r="W109" s="189"/>
      <c r="X109" s="199"/>
      <c r="Y109" s="151"/>
      <c r="Z109" s="190"/>
      <c r="AA109" s="153"/>
      <c r="AB109" s="154">
        <f t="shared" si="19"/>
        <v>0</v>
      </c>
      <c r="AC109" s="149">
        <f t="shared" si="20"/>
        <v>0</v>
      </c>
      <c r="AD109" s="125">
        <v>2</v>
      </c>
      <c r="AE109" s="148">
        <f t="shared" si="21"/>
        <v>2</v>
      </c>
      <c r="AF109" s="156"/>
      <c r="AG109" s="156"/>
      <c r="AH109" s="113">
        <f t="shared" si="22"/>
        <v>17</v>
      </c>
      <c r="AI109" s="157">
        <v>65</v>
      </c>
      <c r="AJ109" s="113">
        <f t="shared" si="23"/>
        <v>82</v>
      </c>
      <c r="AK109" s="113">
        <f t="shared" si="24"/>
        <v>82</v>
      </c>
      <c r="AL109" s="158">
        <f t="shared" si="25"/>
        <v>1.02</v>
      </c>
      <c r="AM109" s="159"/>
      <c r="AN109" s="160">
        <f t="shared" si="28"/>
        <v>1</v>
      </c>
      <c r="AO109" s="160">
        <f t="shared" si="28"/>
        <v>2</v>
      </c>
      <c r="AP109" s="133"/>
      <c r="AQ109" s="134"/>
      <c r="AR109" s="161"/>
      <c r="AS109" s="161"/>
      <c r="AT109" s="161"/>
      <c r="AU109" s="161"/>
      <c r="AV109" s="162"/>
      <c r="AW109" s="137">
        <f t="shared" si="26"/>
        <v>0</v>
      </c>
      <c r="AX109" s="137">
        <f t="shared" si="27"/>
        <v>0</v>
      </c>
    </row>
    <row r="110" ht="57" customHeight="1" spans="1:50" s="97" customFormat="1" x14ac:dyDescent="0.25">
      <c r="A110" s="100"/>
      <c r="B110" s="100"/>
      <c r="C110" s="100"/>
      <c r="D110" s="100"/>
      <c r="E110" s="100"/>
      <c r="F110" s="100"/>
      <c r="G110" s="103"/>
      <c r="H110" s="186"/>
      <c r="I110" s="195">
        <v>0.51</v>
      </c>
      <c r="J110" s="107">
        <v>0.49</v>
      </c>
      <c r="K110" s="107"/>
      <c r="L110" s="107"/>
      <c r="M110" s="187"/>
      <c r="N110" s="169">
        <f t="shared" si="29"/>
        <v>1</v>
      </c>
      <c r="O110" s="144">
        <v>1</v>
      </c>
      <c r="P110" s="145">
        <v>15</v>
      </c>
      <c r="Q110" s="113">
        <v>15</v>
      </c>
      <c r="R110" s="113"/>
      <c r="S110" s="113"/>
      <c r="T110" s="146"/>
      <c r="U110" s="148">
        <f t="shared" si="17"/>
        <v>15</v>
      </c>
      <c r="V110" s="149">
        <f t="shared" si="18"/>
        <v>15</v>
      </c>
      <c r="W110" s="189"/>
      <c r="X110" s="199"/>
      <c r="Y110" s="151"/>
      <c r="Z110" s="190"/>
      <c r="AA110" s="153"/>
      <c r="AB110" s="154">
        <f t="shared" si="19"/>
        <v>0</v>
      </c>
      <c r="AC110" s="149">
        <f t="shared" si="20"/>
        <v>0</v>
      </c>
      <c r="AD110" s="125">
        <v>2</v>
      </c>
      <c r="AE110" s="148">
        <f t="shared" si="21"/>
        <v>2</v>
      </c>
      <c r="AF110" s="156"/>
      <c r="AG110" s="156"/>
      <c r="AH110" s="113">
        <f t="shared" si="22"/>
        <v>17</v>
      </c>
      <c r="AI110" s="157">
        <v>65</v>
      </c>
      <c r="AJ110" s="113">
        <f t="shared" si="23"/>
        <v>82</v>
      </c>
      <c r="AK110" s="113">
        <f t="shared" si="24"/>
        <v>82</v>
      </c>
      <c r="AL110" s="158">
        <f t="shared" si="25"/>
        <v>1.02</v>
      </c>
      <c r="AM110" s="159"/>
      <c r="AN110" s="160">
        <f t="shared" si="28"/>
        <v>1</v>
      </c>
      <c r="AO110" s="160">
        <f t="shared" si="28"/>
        <v>2</v>
      </c>
      <c r="AP110" s="133"/>
      <c r="AQ110" s="134"/>
      <c r="AR110" s="161"/>
      <c r="AS110" s="161"/>
      <c r="AT110" s="161"/>
      <c r="AU110" s="161"/>
      <c r="AV110" s="162"/>
      <c r="AW110" s="137">
        <f t="shared" si="26"/>
        <v>0</v>
      </c>
      <c r="AX110" s="137">
        <f t="shared" si="27"/>
        <v>0</v>
      </c>
    </row>
    <row r="111" ht="46.5" customHeight="1" spans="1:50" s="97" customFormat="1" x14ac:dyDescent="0.25">
      <c r="A111" s="100"/>
      <c r="B111" s="100"/>
      <c r="C111" s="100"/>
      <c r="D111" s="100"/>
      <c r="E111" s="100"/>
      <c r="F111" s="100"/>
      <c r="G111" s="103"/>
      <c r="H111" s="186"/>
      <c r="I111" s="195">
        <v>0.51</v>
      </c>
      <c r="J111" s="107">
        <v>0.49</v>
      </c>
      <c r="K111" s="107"/>
      <c r="L111" s="107"/>
      <c r="M111" s="187"/>
      <c r="N111" s="169">
        <f t="shared" si="29"/>
        <v>1</v>
      </c>
      <c r="O111" s="144">
        <v>1</v>
      </c>
      <c r="P111" s="145">
        <v>15</v>
      </c>
      <c r="Q111" s="113">
        <v>15</v>
      </c>
      <c r="R111" s="113"/>
      <c r="S111" s="113"/>
      <c r="T111" s="146"/>
      <c r="U111" s="148">
        <f t="shared" si="17"/>
        <v>15</v>
      </c>
      <c r="V111" s="149">
        <f t="shared" si="18"/>
        <v>15</v>
      </c>
      <c r="W111" s="189"/>
      <c r="X111" s="199"/>
      <c r="Y111" s="151"/>
      <c r="Z111" s="190"/>
      <c r="AA111" s="153"/>
      <c r="AB111" s="154">
        <f t="shared" si="19"/>
        <v>0</v>
      </c>
      <c r="AC111" s="149">
        <f t="shared" si="20"/>
        <v>0</v>
      </c>
      <c r="AD111" s="125">
        <v>2</v>
      </c>
      <c r="AE111" s="148">
        <f t="shared" si="21"/>
        <v>2</v>
      </c>
      <c r="AF111" s="156"/>
      <c r="AG111" s="156"/>
      <c r="AH111" s="113">
        <f t="shared" si="22"/>
        <v>17</v>
      </c>
      <c r="AI111" s="157">
        <v>65</v>
      </c>
      <c r="AJ111" s="113">
        <f t="shared" si="23"/>
        <v>82</v>
      </c>
      <c r="AK111" s="113">
        <f t="shared" si="24"/>
        <v>82</v>
      </c>
      <c r="AL111" s="158">
        <f t="shared" si="25"/>
        <v>1.02</v>
      </c>
      <c r="AM111" s="159"/>
      <c r="AN111" s="160">
        <f t="shared" si="28"/>
        <v>1</v>
      </c>
      <c r="AO111" s="160">
        <f t="shared" si="28"/>
        <v>2</v>
      </c>
      <c r="AP111" s="133"/>
      <c r="AQ111" s="134"/>
      <c r="AR111" s="161"/>
      <c r="AS111" s="161"/>
      <c r="AT111" s="161"/>
      <c r="AU111" s="161"/>
      <c r="AV111" s="162"/>
      <c r="AW111" s="137">
        <f t="shared" si="26"/>
        <v>0</v>
      </c>
      <c r="AX111" s="137">
        <f t="shared" si="27"/>
        <v>0</v>
      </c>
    </row>
    <row r="112" ht="47.25" customHeight="1" spans="1:50" s="56" customFormat="1" x14ac:dyDescent="0.25">
      <c r="A112" s="100"/>
      <c r="B112" s="100"/>
      <c r="C112" s="100"/>
      <c r="D112" s="100"/>
      <c r="E112" s="100"/>
      <c r="F112" s="100"/>
      <c r="G112" s="103"/>
      <c r="H112" s="186"/>
      <c r="I112" s="195">
        <v>0.51</v>
      </c>
      <c r="J112" s="107">
        <v>0.49</v>
      </c>
      <c r="K112" s="107"/>
      <c r="L112" s="107"/>
      <c r="M112" s="187"/>
      <c r="N112" s="169">
        <f t="shared" si="29"/>
        <v>1</v>
      </c>
      <c r="O112" s="144">
        <v>1</v>
      </c>
      <c r="P112" s="145">
        <v>15</v>
      </c>
      <c r="Q112" s="113">
        <v>15</v>
      </c>
      <c r="R112" s="113"/>
      <c r="S112" s="113"/>
      <c r="T112" s="146"/>
      <c r="U112" s="148">
        <f t="shared" si="17"/>
        <v>15</v>
      </c>
      <c r="V112" s="149">
        <f t="shared" si="18"/>
        <v>15</v>
      </c>
      <c r="W112" s="189"/>
      <c r="X112" s="199"/>
      <c r="Y112" s="151"/>
      <c r="Z112" s="190"/>
      <c r="AA112" s="153"/>
      <c r="AB112" s="154">
        <f t="shared" si="19"/>
        <v>0</v>
      </c>
      <c r="AC112" s="149">
        <f t="shared" si="20"/>
        <v>0</v>
      </c>
      <c r="AD112" s="125">
        <v>2</v>
      </c>
      <c r="AE112" s="148">
        <f t="shared" si="21"/>
        <v>2</v>
      </c>
      <c r="AF112" s="156"/>
      <c r="AG112" s="156"/>
      <c r="AH112" s="113">
        <f t="shared" si="22"/>
        <v>17</v>
      </c>
      <c r="AI112" s="157">
        <v>65</v>
      </c>
      <c r="AJ112" s="113">
        <f t="shared" si="23"/>
        <v>82</v>
      </c>
      <c r="AK112" s="113">
        <f t="shared" si="24"/>
        <v>82</v>
      </c>
      <c r="AL112" s="158">
        <f t="shared" si="25"/>
        <v>1.02</v>
      </c>
      <c r="AM112" s="159"/>
      <c r="AN112" s="160">
        <f t="shared" si="28"/>
        <v>1</v>
      </c>
      <c r="AO112" s="160">
        <f t="shared" si="28"/>
        <v>2</v>
      </c>
      <c r="AP112" s="133"/>
      <c r="AQ112" s="134"/>
      <c r="AR112" s="161"/>
      <c r="AS112" s="161"/>
      <c r="AT112" s="161"/>
      <c r="AU112" s="161"/>
      <c r="AV112" s="162"/>
      <c r="AW112" s="137">
        <f t="shared" si="26"/>
        <v>0</v>
      </c>
      <c r="AX112" s="137">
        <f t="shared" si="27"/>
        <v>0</v>
      </c>
    </row>
    <row r="113" ht="46.5" customHeight="1" spans="1:50" s="97" customFormat="1" x14ac:dyDescent="0.25">
      <c r="A113" s="100"/>
      <c r="B113" s="100"/>
      <c r="C113" s="100"/>
      <c r="D113" s="100"/>
      <c r="E113" s="100"/>
      <c r="F113" s="100"/>
      <c r="G113" s="103"/>
      <c r="H113" s="186"/>
      <c r="I113" s="195">
        <v>0.51</v>
      </c>
      <c r="J113" s="107">
        <v>0.49</v>
      </c>
      <c r="K113" s="107"/>
      <c r="L113" s="107"/>
      <c r="M113" s="187"/>
      <c r="N113" s="169">
        <f t="shared" si="29"/>
        <v>1</v>
      </c>
      <c r="O113" s="144">
        <v>1</v>
      </c>
      <c r="P113" s="145">
        <v>15</v>
      </c>
      <c r="Q113" s="113">
        <v>15</v>
      </c>
      <c r="R113" s="113"/>
      <c r="S113" s="113"/>
      <c r="T113" s="146"/>
      <c r="U113" s="148">
        <f t="shared" si="17"/>
        <v>15</v>
      </c>
      <c r="V113" s="149">
        <f t="shared" si="18"/>
        <v>15</v>
      </c>
      <c r="W113" s="189"/>
      <c r="X113" s="199"/>
      <c r="Y113" s="151"/>
      <c r="Z113" s="190"/>
      <c r="AA113" s="153"/>
      <c r="AB113" s="154">
        <f t="shared" si="19"/>
        <v>0</v>
      </c>
      <c r="AC113" s="149">
        <f t="shared" si="20"/>
        <v>0</v>
      </c>
      <c r="AD113" s="125">
        <v>2</v>
      </c>
      <c r="AE113" s="148">
        <f t="shared" si="21"/>
        <v>2</v>
      </c>
      <c r="AF113" s="156"/>
      <c r="AG113" s="156"/>
      <c r="AH113" s="113">
        <f t="shared" si="22"/>
        <v>17</v>
      </c>
      <c r="AI113" s="157">
        <v>65</v>
      </c>
      <c r="AJ113" s="113">
        <f t="shared" si="23"/>
        <v>82</v>
      </c>
      <c r="AK113" s="113">
        <f t="shared" si="24"/>
        <v>82</v>
      </c>
      <c r="AL113" s="158">
        <f t="shared" si="25"/>
        <v>1.02</v>
      </c>
      <c r="AM113" s="159"/>
      <c r="AN113" s="160">
        <f t="shared" ref="AN113:AO132" si="30">100%+AM113</f>
        <v>1</v>
      </c>
      <c r="AO113" s="160">
        <f t="shared" si="30"/>
        <v>2</v>
      </c>
      <c r="AP113" s="133"/>
      <c r="AQ113" s="134"/>
      <c r="AR113" s="161"/>
      <c r="AS113" s="161"/>
      <c r="AT113" s="161"/>
      <c r="AU113" s="161"/>
      <c r="AV113" s="162"/>
      <c r="AW113" s="137">
        <f t="shared" si="26"/>
        <v>0</v>
      </c>
      <c r="AX113" s="137">
        <f t="shared" si="27"/>
        <v>0</v>
      </c>
    </row>
    <row r="114" ht="46.5" customHeight="1" spans="1:50" s="97" customFormat="1" x14ac:dyDescent="0.25">
      <c r="A114" s="100"/>
      <c r="B114" s="100"/>
      <c r="C114" s="100"/>
      <c r="D114" s="100"/>
      <c r="E114" s="100"/>
      <c r="F114" s="100"/>
      <c r="G114" s="103"/>
      <c r="H114" s="186"/>
      <c r="I114" s="195">
        <v>0.51</v>
      </c>
      <c r="J114" s="107">
        <v>0.49</v>
      </c>
      <c r="K114" s="107"/>
      <c r="L114" s="107"/>
      <c r="M114" s="187"/>
      <c r="N114" s="169">
        <f t="shared" si="29"/>
        <v>1</v>
      </c>
      <c r="O114" s="144">
        <v>1</v>
      </c>
      <c r="P114" s="145">
        <v>15</v>
      </c>
      <c r="Q114" s="113">
        <v>15</v>
      </c>
      <c r="R114" s="113"/>
      <c r="S114" s="113"/>
      <c r="T114" s="146"/>
      <c r="U114" s="148">
        <f t="shared" si="17"/>
        <v>15</v>
      </c>
      <c r="V114" s="149">
        <f t="shared" si="18"/>
        <v>15</v>
      </c>
      <c r="W114" s="189"/>
      <c r="X114" s="199"/>
      <c r="Y114" s="151"/>
      <c r="Z114" s="190"/>
      <c r="AA114" s="153"/>
      <c r="AB114" s="154">
        <f t="shared" si="19"/>
        <v>0</v>
      </c>
      <c r="AC114" s="149">
        <f t="shared" si="20"/>
        <v>0</v>
      </c>
      <c r="AD114" s="125">
        <v>2</v>
      </c>
      <c r="AE114" s="148">
        <f t="shared" si="21"/>
        <v>2</v>
      </c>
      <c r="AF114" s="156"/>
      <c r="AG114" s="156"/>
      <c r="AH114" s="113">
        <f t="shared" si="22"/>
        <v>17</v>
      </c>
      <c r="AI114" s="157">
        <v>65</v>
      </c>
      <c r="AJ114" s="113">
        <f t="shared" si="23"/>
        <v>82</v>
      </c>
      <c r="AK114" s="113">
        <f t="shared" si="24"/>
        <v>82</v>
      </c>
      <c r="AL114" s="158">
        <f t="shared" si="25"/>
        <v>1.02</v>
      </c>
      <c r="AM114" s="159"/>
      <c r="AN114" s="160">
        <f t="shared" si="30"/>
        <v>1</v>
      </c>
      <c r="AO114" s="160">
        <f t="shared" si="30"/>
        <v>2</v>
      </c>
      <c r="AP114" s="133"/>
      <c r="AQ114" s="134"/>
      <c r="AR114" s="161"/>
      <c r="AS114" s="161"/>
      <c r="AT114" s="161"/>
      <c r="AU114" s="161"/>
      <c r="AV114" s="162"/>
      <c r="AW114" s="137">
        <f t="shared" si="26"/>
        <v>0</v>
      </c>
      <c r="AX114" s="137">
        <f t="shared" si="27"/>
        <v>0</v>
      </c>
    </row>
    <row r="115" ht="46.5" customHeight="1" spans="1:50" s="97" customFormat="1" x14ac:dyDescent="0.25">
      <c r="A115" s="100"/>
      <c r="B115" s="100"/>
      <c r="C115" s="100"/>
      <c r="D115" s="100"/>
      <c r="E115" s="100"/>
      <c r="F115" s="100"/>
      <c r="G115" s="103"/>
      <c r="H115" s="186"/>
      <c r="I115" s="195">
        <v>0.51</v>
      </c>
      <c r="J115" s="107">
        <v>0.49</v>
      </c>
      <c r="K115" s="107"/>
      <c r="L115" s="107"/>
      <c r="M115" s="187"/>
      <c r="N115" s="169">
        <f t="shared" si="29"/>
        <v>1</v>
      </c>
      <c r="O115" s="144">
        <v>1</v>
      </c>
      <c r="P115" s="145">
        <v>15</v>
      </c>
      <c r="Q115" s="113">
        <v>15</v>
      </c>
      <c r="R115" s="113"/>
      <c r="S115" s="113"/>
      <c r="T115" s="146"/>
      <c r="U115" s="148">
        <f t="shared" si="17"/>
        <v>15</v>
      </c>
      <c r="V115" s="149">
        <f t="shared" si="18"/>
        <v>15</v>
      </c>
      <c r="W115" s="189"/>
      <c r="X115" s="199"/>
      <c r="Y115" s="151"/>
      <c r="Z115" s="190"/>
      <c r="AA115" s="153"/>
      <c r="AB115" s="154">
        <f t="shared" si="19"/>
        <v>0</v>
      </c>
      <c r="AC115" s="149">
        <f t="shared" si="20"/>
        <v>0</v>
      </c>
      <c r="AD115" s="125">
        <v>2</v>
      </c>
      <c r="AE115" s="148">
        <f t="shared" si="21"/>
        <v>2</v>
      </c>
      <c r="AF115" s="156"/>
      <c r="AG115" s="156"/>
      <c r="AH115" s="113">
        <f t="shared" si="22"/>
        <v>17</v>
      </c>
      <c r="AI115" s="157">
        <v>65</v>
      </c>
      <c r="AJ115" s="113">
        <f t="shared" si="23"/>
        <v>82</v>
      </c>
      <c r="AK115" s="113">
        <f t="shared" si="24"/>
        <v>82</v>
      </c>
      <c r="AL115" s="158">
        <f t="shared" si="25"/>
        <v>1.02</v>
      </c>
      <c r="AM115" s="159"/>
      <c r="AN115" s="160">
        <f t="shared" si="30"/>
        <v>1</v>
      </c>
      <c r="AO115" s="160">
        <f t="shared" si="30"/>
        <v>2</v>
      </c>
      <c r="AP115" s="133"/>
      <c r="AQ115" s="134"/>
      <c r="AR115" s="161"/>
      <c r="AS115" s="161"/>
      <c r="AT115" s="161"/>
      <c r="AU115" s="161"/>
      <c r="AV115" s="162"/>
      <c r="AW115" s="137">
        <f t="shared" si="26"/>
        <v>0</v>
      </c>
      <c r="AX115" s="137">
        <f t="shared" si="27"/>
        <v>0</v>
      </c>
    </row>
    <row r="116" ht="53.25" customHeight="1" spans="1:50" s="97" customFormat="1" x14ac:dyDescent="0.25">
      <c r="A116" s="100"/>
      <c r="B116" s="100"/>
      <c r="C116" s="100"/>
      <c r="D116" s="100"/>
      <c r="E116" s="100"/>
      <c r="F116" s="100"/>
      <c r="G116" s="103"/>
      <c r="H116" s="186"/>
      <c r="I116" s="195">
        <v>0.51</v>
      </c>
      <c r="J116" s="107">
        <v>0.49</v>
      </c>
      <c r="K116" s="107"/>
      <c r="L116" s="107"/>
      <c r="M116" s="187"/>
      <c r="N116" s="169">
        <f t="shared" si="29"/>
        <v>1</v>
      </c>
      <c r="O116" s="144">
        <v>1</v>
      </c>
      <c r="P116" s="145">
        <v>15</v>
      </c>
      <c r="Q116" s="113">
        <v>15</v>
      </c>
      <c r="R116" s="113"/>
      <c r="S116" s="113"/>
      <c r="T116" s="146"/>
      <c r="U116" s="148">
        <f t="shared" si="17"/>
        <v>15</v>
      </c>
      <c r="V116" s="149">
        <f t="shared" si="18"/>
        <v>15</v>
      </c>
      <c r="W116" s="189"/>
      <c r="X116" s="199"/>
      <c r="Y116" s="151"/>
      <c r="Z116" s="190"/>
      <c r="AA116" s="153"/>
      <c r="AB116" s="154">
        <f t="shared" si="19"/>
        <v>0</v>
      </c>
      <c r="AC116" s="149">
        <f t="shared" si="20"/>
        <v>0</v>
      </c>
      <c r="AD116" s="125">
        <v>2</v>
      </c>
      <c r="AE116" s="148">
        <f t="shared" si="21"/>
        <v>2</v>
      </c>
      <c r="AF116" s="156"/>
      <c r="AG116" s="156"/>
      <c r="AH116" s="113">
        <f t="shared" si="22"/>
        <v>17</v>
      </c>
      <c r="AI116" s="157">
        <v>65</v>
      </c>
      <c r="AJ116" s="113">
        <f t="shared" si="23"/>
        <v>82</v>
      </c>
      <c r="AK116" s="113">
        <f t="shared" si="24"/>
        <v>82</v>
      </c>
      <c r="AL116" s="158">
        <f t="shared" si="25"/>
        <v>1.02</v>
      </c>
      <c r="AM116" s="159"/>
      <c r="AN116" s="160">
        <f t="shared" si="30"/>
        <v>1</v>
      </c>
      <c r="AO116" s="160">
        <f t="shared" si="30"/>
        <v>2</v>
      </c>
      <c r="AP116" s="133"/>
      <c r="AQ116" s="134"/>
      <c r="AR116" s="161"/>
      <c r="AS116" s="161"/>
      <c r="AT116" s="161"/>
      <c r="AU116" s="161"/>
      <c r="AV116" s="162"/>
      <c r="AW116" s="137">
        <f t="shared" si="26"/>
        <v>0</v>
      </c>
      <c r="AX116" s="137">
        <f t="shared" si="27"/>
        <v>0</v>
      </c>
    </row>
    <row r="117" ht="46.5" customHeight="1" spans="1:50" s="97" customFormat="1" x14ac:dyDescent="0.25">
      <c r="A117" s="100"/>
      <c r="B117" s="100"/>
      <c r="C117" s="100"/>
      <c r="D117" s="100"/>
      <c r="E117" s="100"/>
      <c r="F117" s="100"/>
      <c r="G117" s="103"/>
      <c r="H117" s="186"/>
      <c r="I117" s="195">
        <v>0.51</v>
      </c>
      <c r="J117" s="107">
        <v>0.49</v>
      </c>
      <c r="K117" s="107"/>
      <c r="L117" s="107"/>
      <c r="M117" s="187"/>
      <c r="N117" s="169">
        <f t="shared" si="29"/>
        <v>1</v>
      </c>
      <c r="O117" s="144">
        <v>1</v>
      </c>
      <c r="P117" s="145">
        <v>15</v>
      </c>
      <c r="Q117" s="113">
        <v>15</v>
      </c>
      <c r="R117" s="113"/>
      <c r="S117" s="113"/>
      <c r="T117" s="146"/>
      <c r="U117" s="148">
        <f t="shared" si="17"/>
        <v>15</v>
      </c>
      <c r="V117" s="149">
        <f t="shared" si="18"/>
        <v>15</v>
      </c>
      <c r="W117" s="189"/>
      <c r="X117" s="199"/>
      <c r="Y117" s="151"/>
      <c r="Z117" s="190"/>
      <c r="AA117" s="153"/>
      <c r="AB117" s="154">
        <f t="shared" si="19"/>
        <v>0</v>
      </c>
      <c r="AC117" s="149">
        <f t="shared" si="20"/>
        <v>0</v>
      </c>
      <c r="AD117" s="125">
        <v>2</v>
      </c>
      <c r="AE117" s="148">
        <f t="shared" si="21"/>
        <v>2</v>
      </c>
      <c r="AF117" s="156"/>
      <c r="AG117" s="156"/>
      <c r="AH117" s="113">
        <f t="shared" si="22"/>
        <v>17</v>
      </c>
      <c r="AI117" s="157">
        <v>65</v>
      </c>
      <c r="AJ117" s="113">
        <f t="shared" si="23"/>
        <v>82</v>
      </c>
      <c r="AK117" s="113">
        <f t="shared" si="24"/>
        <v>82</v>
      </c>
      <c r="AL117" s="158">
        <f t="shared" si="25"/>
        <v>1.02</v>
      </c>
      <c r="AM117" s="159"/>
      <c r="AN117" s="160">
        <f t="shared" si="30"/>
        <v>1</v>
      </c>
      <c r="AO117" s="160">
        <f t="shared" si="30"/>
        <v>2</v>
      </c>
      <c r="AP117" s="133"/>
      <c r="AQ117" s="134"/>
      <c r="AR117" s="161"/>
      <c r="AS117" s="161"/>
      <c r="AT117" s="161"/>
      <c r="AU117" s="161"/>
      <c r="AV117" s="162"/>
      <c r="AW117" s="137">
        <f t="shared" si="26"/>
        <v>0</v>
      </c>
      <c r="AX117" s="137">
        <f t="shared" si="27"/>
        <v>0</v>
      </c>
    </row>
    <row r="118" ht="46.5" customHeight="1" spans="1:50" s="97" customFormat="1" x14ac:dyDescent="0.25">
      <c r="A118" s="100"/>
      <c r="B118" s="100"/>
      <c r="C118" s="100"/>
      <c r="D118" s="100"/>
      <c r="E118" s="100"/>
      <c r="F118" s="100"/>
      <c r="G118" s="103"/>
      <c r="H118" s="186"/>
      <c r="I118" s="195">
        <v>0.51</v>
      </c>
      <c r="J118" s="107">
        <v>0.49</v>
      </c>
      <c r="K118" s="107"/>
      <c r="L118" s="107"/>
      <c r="M118" s="187"/>
      <c r="N118" s="169">
        <f t="shared" si="29"/>
        <v>1</v>
      </c>
      <c r="O118" s="144">
        <v>1</v>
      </c>
      <c r="P118" s="145">
        <v>15</v>
      </c>
      <c r="Q118" s="113">
        <v>15</v>
      </c>
      <c r="R118" s="113"/>
      <c r="S118" s="113"/>
      <c r="T118" s="146"/>
      <c r="U118" s="148">
        <f t="shared" si="17"/>
        <v>15</v>
      </c>
      <c r="V118" s="149">
        <f t="shared" si="18"/>
        <v>15</v>
      </c>
      <c r="W118" s="189"/>
      <c r="X118" s="199"/>
      <c r="Y118" s="151"/>
      <c r="Z118" s="190"/>
      <c r="AA118" s="153"/>
      <c r="AB118" s="154">
        <f t="shared" si="19"/>
        <v>0</v>
      </c>
      <c r="AC118" s="149">
        <f t="shared" si="20"/>
        <v>0</v>
      </c>
      <c r="AD118" s="125">
        <v>2</v>
      </c>
      <c r="AE118" s="148">
        <f t="shared" si="21"/>
        <v>2</v>
      </c>
      <c r="AF118" s="156"/>
      <c r="AG118" s="156"/>
      <c r="AH118" s="113">
        <f t="shared" si="22"/>
        <v>17</v>
      </c>
      <c r="AI118" s="157">
        <v>65</v>
      </c>
      <c r="AJ118" s="113">
        <f t="shared" si="23"/>
        <v>82</v>
      </c>
      <c r="AK118" s="113">
        <f t="shared" si="24"/>
        <v>82</v>
      </c>
      <c r="AL118" s="158">
        <f t="shared" si="25"/>
        <v>1.02</v>
      </c>
      <c r="AM118" s="159"/>
      <c r="AN118" s="160">
        <f t="shared" si="30"/>
        <v>1</v>
      </c>
      <c r="AO118" s="160">
        <f t="shared" si="30"/>
        <v>2</v>
      </c>
      <c r="AP118" s="133"/>
      <c r="AQ118" s="134"/>
      <c r="AR118" s="161"/>
      <c r="AS118" s="161"/>
      <c r="AT118" s="161"/>
      <c r="AU118" s="161"/>
      <c r="AV118" s="162"/>
      <c r="AW118" s="137">
        <f t="shared" si="26"/>
        <v>0</v>
      </c>
      <c r="AX118" s="137">
        <f t="shared" si="27"/>
        <v>0</v>
      </c>
    </row>
    <row r="119" ht="46.5" customHeight="1" spans="1:50" s="97" customFormat="1" x14ac:dyDescent="0.25">
      <c r="A119" s="100"/>
      <c r="B119" s="100"/>
      <c r="C119" s="100"/>
      <c r="D119" s="100"/>
      <c r="E119" s="100"/>
      <c r="F119" s="100"/>
      <c r="G119" s="103"/>
      <c r="H119" s="186"/>
      <c r="I119" s="195">
        <v>0.51</v>
      </c>
      <c r="J119" s="107">
        <v>0.49</v>
      </c>
      <c r="K119" s="107"/>
      <c r="L119" s="107"/>
      <c r="M119" s="187"/>
      <c r="N119" s="169">
        <f t="shared" si="29"/>
        <v>1</v>
      </c>
      <c r="O119" s="144">
        <v>1</v>
      </c>
      <c r="P119" s="145">
        <v>15</v>
      </c>
      <c r="Q119" s="113">
        <v>15</v>
      </c>
      <c r="R119" s="113"/>
      <c r="S119" s="113"/>
      <c r="T119" s="146"/>
      <c r="U119" s="148">
        <f t="shared" si="17"/>
        <v>15</v>
      </c>
      <c r="V119" s="149">
        <f t="shared" si="18"/>
        <v>15</v>
      </c>
      <c r="W119" s="189"/>
      <c r="X119" s="199"/>
      <c r="Y119" s="151"/>
      <c r="Z119" s="190"/>
      <c r="AA119" s="153"/>
      <c r="AB119" s="154">
        <f t="shared" si="19"/>
        <v>0</v>
      </c>
      <c r="AC119" s="149">
        <f t="shared" si="20"/>
        <v>0</v>
      </c>
      <c r="AD119" s="125">
        <v>2</v>
      </c>
      <c r="AE119" s="148">
        <f t="shared" si="21"/>
        <v>2</v>
      </c>
      <c r="AF119" s="156"/>
      <c r="AG119" s="156"/>
      <c r="AH119" s="113">
        <f t="shared" si="22"/>
        <v>17</v>
      </c>
      <c r="AI119" s="157">
        <v>65</v>
      </c>
      <c r="AJ119" s="113">
        <f t="shared" si="23"/>
        <v>82</v>
      </c>
      <c r="AK119" s="113">
        <f t="shared" si="24"/>
        <v>82</v>
      </c>
      <c r="AL119" s="158">
        <f t="shared" si="25"/>
        <v>1.02</v>
      </c>
      <c r="AM119" s="159"/>
      <c r="AN119" s="160">
        <f t="shared" si="30"/>
        <v>1</v>
      </c>
      <c r="AO119" s="160">
        <f t="shared" si="30"/>
        <v>2</v>
      </c>
      <c r="AP119" s="133"/>
      <c r="AQ119" s="134"/>
      <c r="AR119" s="161"/>
      <c r="AS119" s="161"/>
      <c r="AT119" s="161"/>
      <c r="AU119" s="161"/>
      <c r="AV119" s="162"/>
      <c r="AW119" s="137">
        <f t="shared" si="26"/>
        <v>0</v>
      </c>
      <c r="AX119" s="137">
        <f t="shared" si="27"/>
        <v>0</v>
      </c>
    </row>
    <row r="120" ht="47.25" customHeight="1" spans="1:50" s="56" customFormat="1" x14ac:dyDescent="0.25">
      <c r="A120" s="100"/>
      <c r="B120" s="100"/>
      <c r="C120" s="100"/>
      <c r="D120" s="100"/>
      <c r="E120" s="100"/>
      <c r="F120" s="100"/>
      <c r="G120" s="103"/>
      <c r="H120" s="186"/>
      <c r="I120" s="195">
        <v>0.51</v>
      </c>
      <c r="J120" s="107">
        <v>0.49</v>
      </c>
      <c r="K120" s="107"/>
      <c r="L120" s="107"/>
      <c r="M120" s="187"/>
      <c r="N120" s="169">
        <f t="shared" si="29"/>
        <v>1</v>
      </c>
      <c r="O120" s="144">
        <v>1</v>
      </c>
      <c r="P120" s="145">
        <v>15</v>
      </c>
      <c r="Q120" s="113">
        <v>15</v>
      </c>
      <c r="R120" s="113"/>
      <c r="S120" s="113"/>
      <c r="T120" s="146"/>
      <c r="U120" s="148">
        <f t="shared" si="17"/>
        <v>15</v>
      </c>
      <c r="V120" s="149">
        <f t="shared" si="18"/>
        <v>15</v>
      </c>
      <c r="W120" s="189"/>
      <c r="X120" s="199"/>
      <c r="Y120" s="151"/>
      <c r="Z120" s="190"/>
      <c r="AA120" s="153"/>
      <c r="AB120" s="154">
        <f t="shared" si="19"/>
        <v>0</v>
      </c>
      <c r="AC120" s="149">
        <f t="shared" si="20"/>
        <v>0</v>
      </c>
      <c r="AD120" s="125">
        <v>2</v>
      </c>
      <c r="AE120" s="148">
        <f t="shared" si="21"/>
        <v>2</v>
      </c>
      <c r="AF120" s="156"/>
      <c r="AG120" s="156"/>
      <c r="AH120" s="113">
        <f t="shared" si="22"/>
        <v>17</v>
      </c>
      <c r="AI120" s="157">
        <v>65</v>
      </c>
      <c r="AJ120" s="113">
        <f t="shared" si="23"/>
        <v>82</v>
      </c>
      <c r="AK120" s="113">
        <f t="shared" si="24"/>
        <v>82</v>
      </c>
      <c r="AL120" s="158">
        <f t="shared" si="25"/>
        <v>1.02</v>
      </c>
      <c r="AM120" s="159"/>
      <c r="AN120" s="160">
        <f t="shared" si="30"/>
        <v>1</v>
      </c>
      <c r="AO120" s="160">
        <f t="shared" si="30"/>
        <v>2</v>
      </c>
      <c r="AP120" s="133"/>
      <c r="AQ120" s="134"/>
      <c r="AR120" s="161"/>
      <c r="AS120" s="161"/>
      <c r="AT120" s="161"/>
      <c r="AU120" s="161"/>
      <c r="AV120" s="162"/>
      <c r="AW120" s="137">
        <f t="shared" si="26"/>
        <v>0</v>
      </c>
      <c r="AX120" s="137">
        <f t="shared" si="27"/>
        <v>0</v>
      </c>
    </row>
    <row r="121" ht="47.25" customHeight="1" spans="1:50" s="56" customFormat="1" x14ac:dyDescent="0.25">
      <c r="A121" s="100"/>
      <c r="B121" s="100"/>
      <c r="C121" s="100"/>
      <c r="D121" s="100"/>
      <c r="E121" s="100"/>
      <c r="F121" s="100"/>
      <c r="G121" s="103"/>
      <c r="H121" s="186"/>
      <c r="I121" s="195">
        <v>0.51</v>
      </c>
      <c r="J121" s="107">
        <v>0.49</v>
      </c>
      <c r="K121" s="107"/>
      <c r="L121" s="107"/>
      <c r="M121" s="187"/>
      <c r="N121" s="169">
        <f t="shared" si="29"/>
        <v>1</v>
      </c>
      <c r="O121" s="144">
        <v>1</v>
      </c>
      <c r="P121" s="145">
        <v>15</v>
      </c>
      <c r="Q121" s="113">
        <v>15</v>
      </c>
      <c r="R121" s="113"/>
      <c r="S121" s="113"/>
      <c r="T121" s="146"/>
      <c r="U121" s="148">
        <f t="shared" si="17"/>
        <v>15</v>
      </c>
      <c r="V121" s="149">
        <f t="shared" si="18"/>
        <v>15</v>
      </c>
      <c r="W121" s="189"/>
      <c r="X121" s="199"/>
      <c r="Y121" s="151"/>
      <c r="Z121" s="190"/>
      <c r="AA121" s="153"/>
      <c r="AB121" s="154">
        <f t="shared" si="19"/>
        <v>0</v>
      </c>
      <c r="AC121" s="149">
        <f t="shared" si="20"/>
        <v>0</v>
      </c>
      <c r="AD121" s="125">
        <v>2</v>
      </c>
      <c r="AE121" s="148">
        <f t="shared" si="21"/>
        <v>2</v>
      </c>
      <c r="AF121" s="156"/>
      <c r="AG121" s="156"/>
      <c r="AH121" s="113">
        <f t="shared" si="22"/>
        <v>17</v>
      </c>
      <c r="AI121" s="157">
        <v>65</v>
      </c>
      <c r="AJ121" s="113">
        <f t="shared" si="23"/>
        <v>82</v>
      </c>
      <c r="AK121" s="113">
        <f t="shared" si="24"/>
        <v>82</v>
      </c>
      <c r="AL121" s="158">
        <f t="shared" si="25"/>
        <v>1.02</v>
      </c>
      <c r="AM121" s="159"/>
      <c r="AN121" s="160">
        <f t="shared" si="30"/>
        <v>1</v>
      </c>
      <c r="AO121" s="160">
        <f t="shared" si="30"/>
        <v>2</v>
      </c>
      <c r="AP121" s="133"/>
      <c r="AQ121" s="134"/>
      <c r="AR121" s="161"/>
      <c r="AS121" s="161"/>
      <c r="AT121" s="161"/>
      <c r="AU121" s="161"/>
      <c r="AV121" s="162"/>
      <c r="AW121" s="137">
        <f t="shared" si="26"/>
        <v>0</v>
      </c>
      <c r="AX121" s="137">
        <f t="shared" si="27"/>
        <v>0</v>
      </c>
    </row>
    <row r="122" ht="46.5" customHeight="1" spans="1:50" s="97" customFormat="1" x14ac:dyDescent="0.25">
      <c r="A122" s="100"/>
      <c r="B122" s="100"/>
      <c r="C122" s="100"/>
      <c r="D122" s="100"/>
      <c r="E122" s="100"/>
      <c r="F122" s="100"/>
      <c r="G122" s="103"/>
      <c r="H122" s="186"/>
      <c r="I122" s="195">
        <v>0.51</v>
      </c>
      <c r="J122" s="107">
        <v>0.49</v>
      </c>
      <c r="K122" s="107"/>
      <c r="L122" s="107"/>
      <c r="M122" s="187"/>
      <c r="N122" s="169">
        <f t="shared" si="29"/>
        <v>1</v>
      </c>
      <c r="O122" s="144">
        <v>1</v>
      </c>
      <c r="P122" s="145">
        <v>15</v>
      </c>
      <c r="Q122" s="113">
        <v>15</v>
      </c>
      <c r="R122" s="113"/>
      <c r="S122" s="113"/>
      <c r="T122" s="146"/>
      <c r="U122" s="148">
        <f t="shared" si="17"/>
        <v>15</v>
      </c>
      <c r="V122" s="149">
        <f t="shared" si="18"/>
        <v>15</v>
      </c>
      <c r="W122" s="189"/>
      <c r="X122" s="199"/>
      <c r="Y122" s="151"/>
      <c r="Z122" s="190"/>
      <c r="AA122" s="153"/>
      <c r="AB122" s="154">
        <f t="shared" si="19"/>
        <v>0</v>
      </c>
      <c r="AC122" s="149">
        <f t="shared" si="20"/>
        <v>0</v>
      </c>
      <c r="AD122" s="125">
        <v>2</v>
      </c>
      <c r="AE122" s="148">
        <f t="shared" si="21"/>
        <v>2</v>
      </c>
      <c r="AF122" s="156"/>
      <c r="AG122" s="156"/>
      <c r="AH122" s="113">
        <f t="shared" si="22"/>
        <v>17</v>
      </c>
      <c r="AI122" s="157">
        <v>65</v>
      </c>
      <c r="AJ122" s="113">
        <f t="shared" si="23"/>
        <v>82</v>
      </c>
      <c r="AK122" s="113">
        <f t="shared" si="24"/>
        <v>82</v>
      </c>
      <c r="AL122" s="158">
        <f t="shared" si="25"/>
        <v>1.02</v>
      </c>
      <c r="AM122" s="159"/>
      <c r="AN122" s="160">
        <f t="shared" si="30"/>
        <v>1</v>
      </c>
      <c r="AO122" s="160">
        <f t="shared" si="30"/>
        <v>2</v>
      </c>
      <c r="AP122" s="133"/>
      <c r="AQ122" s="134"/>
      <c r="AR122" s="161"/>
      <c r="AS122" s="161"/>
      <c r="AT122" s="161"/>
      <c r="AU122" s="161"/>
      <c r="AV122" s="162"/>
      <c r="AW122" s="137">
        <f t="shared" si="26"/>
        <v>0</v>
      </c>
      <c r="AX122" s="137">
        <f t="shared" si="27"/>
        <v>0</v>
      </c>
    </row>
    <row r="123" ht="47.25" customHeight="1" spans="1:50" s="56" customFormat="1" x14ac:dyDescent="0.25">
      <c r="A123" s="100"/>
      <c r="B123" s="100"/>
      <c r="C123" s="100"/>
      <c r="D123" s="100"/>
      <c r="E123" s="100"/>
      <c r="F123" s="100"/>
      <c r="G123" s="103"/>
      <c r="H123" s="186"/>
      <c r="I123" s="195">
        <v>0.51</v>
      </c>
      <c r="J123" s="107">
        <v>0.49</v>
      </c>
      <c r="K123" s="107"/>
      <c r="L123" s="107"/>
      <c r="M123" s="187"/>
      <c r="N123" s="169">
        <f t="shared" si="29"/>
        <v>1</v>
      </c>
      <c r="O123" s="144">
        <v>1</v>
      </c>
      <c r="P123" s="145">
        <v>15</v>
      </c>
      <c r="Q123" s="113">
        <v>15</v>
      </c>
      <c r="R123" s="113"/>
      <c r="S123" s="113"/>
      <c r="T123" s="146"/>
      <c r="U123" s="148">
        <f t="shared" si="17"/>
        <v>15</v>
      </c>
      <c r="V123" s="149">
        <f t="shared" si="18"/>
        <v>15</v>
      </c>
      <c r="W123" s="189"/>
      <c r="X123" s="199"/>
      <c r="Y123" s="151"/>
      <c r="Z123" s="190"/>
      <c r="AA123" s="153"/>
      <c r="AB123" s="154">
        <f t="shared" si="19"/>
        <v>0</v>
      </c>
      <c r="AC123" s="149">
        <f t="shared" si="20"/>
        <v>0</v>
      </c>
      <c r="AD123" s="125">
        <v>2</v>
      </c>
      <c r="AE123" s="148">
        <f t="shared" si="21"/>
        <v>2</v>
      </c>
      <c r="AF123" s="156"/>
      <c r="AG123" s="156"/>
      <c r="AH123" s="113">
        <f t="shared" si="22"/>
        <v>17</v>
      </c>
      <c r="AI123" s="157">
        <v>65</v>
      </c>
      <c r="AJ123" s="113">
        <f t="shared" si="23"/>
        <v>82</v>
      </c>
      <c r="AK123" s="113">
        <f t="shared" si="24"/>
        <v>82</v>
      </c>
      <c r="AL123" s="158">
        <f t="shared" si="25"/>
        <v>1.02</v>
      </c>
      <c r="AM123" s="159"/>
      <c r="AN123" s="160">
        <f t="shared" si="30"/>
        <v>1</v>
      </c>
      <c r="AO123" s="160">
        <f t="shared" si="30"/>
        <v>2</v>
      </c>
      <c r="AP123" s="133"/>
      <c r="AQ123" s="134"/>
      <c r="AR123" s="161"/>
      <c r="AS123" s="161"/>
      <c r="AT123" s="161"/>
      <c r="AU123" s="161"/>
      <c r="AV123" s="162"/>
      <c r="AW123" s="137">
        <f t="shared" si="26"/>
        <v>0</v>
      </c>
      <c r="AX123" s="137">
        <f t="shared" si="27"/>
        <v>0</v>
      </c>
    </row>
    <row r="124" ht="47.25" customHeight="1" spans="1:50" s="97" customFormat="1" x14ac:dyDescent="0.25">
      <c r="A124" s="100"/>
      <c r="B124" s="100"/>
      <c r="C124" s="100"/>
      <c r="D124" s="100"/>
      <c r="E124" s="100"/>
      <c r="F124" s="100"/>
      <c r="G124" s="103"/>
      <c r="H124" s="186"/>
      <c r="I124" s="195">
        <v>0.51</v>
      </c>
      <c r="J124" s="107">
        <v>0.49</v>
      </c>
      <c r="K124" s="107"/>
      <c r="L124" s="107"/>
      <c r="M124" s="187"/>
      <c r="N124" s="169">
        <f t="shared" si="29"/>
        <v>1</v>
      </c>
      <c r="O124" s="144">
        <v>1</v>
      </c>
      <c r="P124" s="145">
        <v>15</v>
      </c>
      <c r="Q124" s="113">
        <v>15</v>
      </c>
      <c r="R124" s="113"/>
      <c r="S124" s="113"/>
      <c r="T124" s="146"/>
      <c r="U124" s="148">
        <f t="shared" si="17"/>
        <v>15</v>
      </c>
      <c r="V124" s="149">
        <f t="shared" si="18"/>
        <v>15</v>
      </c>
      <c r="W124" s="189"/>
      <c r="X124" s="199"/>
      <c r="Y124" s="151"/>
      <c r="Z124" s="190"/>
      <c r="AA124" s="153"/>
      <c r="AB124" s="154">
        <f t="shared" si="19"/>
        <v>0</v>
      </c>
      <c r="AC124" s="149">
        <f t="shared" si="20"/>
        <v>0</v>
      </c>
      <c r="AD124" s="125">
        <v>2</v>
      </c>
      <c r="AE124" s="148">
        <f t="shared" si="21"/>
        <v>2</v>
      </c>
      <c r="AF124" s="156"/>
      <c r="AG124" s="156"/>
      <c r="AH124" s="113">
        <f t="shared" si="22"/>
        <v>17</v>
      </c>
      <c r="AI124" s="157">
        <v>65</v>
      </c>
      <c r="AJ124" s="113">
        <f t="shared" si="23"/>
        <v>82</v>
      </c>
      <c r="AK124" s="113">
        <f t="shared" si="24"/>
        <v>82</v>
      </c>
      <c r="AL124" s="158">
        <f t="shared" si="25"/>
        <v>1.02</v>
      </c>
      <c r="AM124" s="159"/>
      <c r="AN124" s="160">
        <f t="shared" si="30"/>
        <v>1</v>
      </c>
      <c r="AO124" s="160">
        <f t="shared" si="30"/>
        <v>2</v>
      </c>
      <c r="AP124" s="133"/>
      <c r="AQ124" s="134"/>
      <c r="AR124" s="161"/>
      <c r="AS124" s="161"/>
      <c r="AT124" s="161"/>
      <c r="AU124" s="161"/>
      <c r="AV124" s="162"/>
      <c r="AW124" s="137">
        <f t="shared" si="26"/>
        <v>0</v>
      </c>
      <c r="AX124" s="137">
        <f t="shared" si="27"/>
        <v>0</v>
      </c>
    </row>
    <row r="125" ht="47.25" customHeight="1" spans="1:50" s="97" customFormat="1" x14ac:dyDescent="0.25">
      <c r="A125" s="100"/>
      <c r="B125" s="100"/>
      <c r="C125" s="100"/>
      <c r="D125" s="100"/>
      <c r="E125" s="100"/>
      <c r="F125" s="100"/>
      <c r="G125" s="103"/>
      <c r="H125" s="186"/>
      <c r="I125" s="195">
        <v>0.51</v>
      </c>
      <c r="J125" s="107">
        <v>0.49</v>
      </c>
      <c r="K125" s="107"/>
      <c r="L125" s="107"/>
      <c r="M125" s="187"/>
      <c r="N125" s="169">
        <f t="shared" si="29"/>
        <v>1</v>
      </c>
      <c r="O125" s="144">
        <v>1</v>
      </c>
      <c r="P125" s="145">
        <v>15</v>
      </c>
      <c r="Q125" s="113">
        <v>15</v>
      </c>
      <c r="R125" s="113"/>
      <c r="S125" s="113"/>
      <c r="T125" s="146"/>
      <c r="U125" s="148">
        <f t="shared" si="17"/>
        <v>15</v>
      </c>
      <c r="V125" s="149">
        <f t="shared" si="18"/>
        <v>15</v>
      </c>
      <c r="W125" s="189"/>
      <c r="X125" s="199"/>
      <c r="Y125" s="151"/>
      <c r="Z125" s="190"/>
      <c r="AA125" s="153"/>
      <c r="AB125" s="154">
        <f t="shared" si="19"/>
        <v>0</v>
      </c>
      <c r="AC125" s="149">
        <f t="shared" si="20"/>
        <v>0</v>
      </c>
      <c r="AD125" s="125">
        <v>2</v>
      </c>
      <c r="AE125" s="148">
        <f t="shared" si="21"/>
        <v>2</v>
      </c>
      <c r="AF125" s="156"/>
      <c r="AG125" s="156"/>
      <c r="AH125" s="113">
        <f t="shared" si="22"/>
        <v>17</v>
      </c>
      <c r="AI125" s="157">
        <v>65</v>
      </c>
      <c r="AJ125" s="113">
        <f t="shared" si="23"/>
        <v>82</v>
      </c>
      <c r="AK125" s="113">
        <f t="shared" si="24"/>
        <v>82</v>
      </c>
      <c r="AL125" s="158">
        <f t="shared" si="25"/>
        <v>1.02</v>
      </c>
      <c r="AM125" s="159"/>
      <c r="AN125" s="160">
        <f t="shared" si="30"/>
        <v>1</v>
      </c>
      <c r="AO125" s="160">
        <f t="shared" si="30"/>
        <v>2</v>
      </c>
      <c r="AP125" s="133"/>
      <c r="AQ125" s="134"/>
      <c r="AR125" s="161"/>
      <c r="AS125" s="161"/>
      <c r="AT125" s="161"/>
      <c r="AU125" s="161"/>
      <c r="AV125" s="162"/>
      <c r="AW125" s="137">
        <f t="shared" si="26"/>
        <v>0</v>
      </c>
      <c r="AX125" s="137">
        <f t="shared" si="27"/>
        <v>0</v>
      </c>
    </row>
    <row r="126" ht="46.5" customHeight="1" spans="1:50" s="97" customFormat="1" x14ac:dyDescent="0.25">
      <c r="A126" s="100"/>
      <c r="B126" s="100"/>
      <c r="C126" s="100"/>
      <c r="D126" s="100"/>
      <c r="E126" s="100"/>
      <c r="F126" s="100"/>
      <c r="G126" s="103"/>
      <c r="H126" s="186"/>
      <c r="I126" s="195">
        <v>0.51</v>
      </c>
      <c r="J126" s="107">
        <v>0.49</v>
      </c>
      <c r="K126" s="107"/>
      <c r="L126" s="107"/>
      <c r="M126" s="187"/>
      <c r="N126" s="169">
        <f t="shared" si="29"/>
        <v>1</v>
      </c>
      <c r="O126" s="144">
        <v>1</v>
      </c>
      <c r="P126" s="145">
        <v>15</v>
      </c>
      <c r="Q126" s="113">
        <v>15</v>
      </c>
      <c r="R126" s="113"/>
      <c r="S126" s="113"/>
      <c r="T126" s="146"/>
      <c r="U126" s="148">
        <f t="shared" si="17"/>
        <v>15</v>
      </c>
      <c r="V126" s="149">
        <f t="shared" si="18"/>
        <v>15</v>
      </c>
      <c r="W126" s="189"/>
      <c r="X126" s="199"/>
      <c r="Y126" s="151"/>
      <c r="Z126" s="190"/>
      <c r="AA126" s="153"/>
      <c r="AB126" s="154">
        <f t="shared" si="19"/>
        <v>0</v>
      </c>
      <c r="AC126" s="149">
        <f t="shared" si="20"/>
        <v>0</v>
      </c>
      <c r="AD126" s="125">
        <v>2</v>
      </c>
      <c r="AE126" s="148">
        <f t="shared" si="21"/>
        <v>2</v>
      </c>
      <c r="AF126" s="156"/>
      <c r="AG126" s="156"/>
      <c r="AH126" s="113">
        <f t="shared" si="22"/>
        <v>17</v>
      </c>
      <c r="AI126" s="157">
        <v>65</v>
      </c>
      <c r="AJ126" s="113">
        <f t="shared" si="23"/>
        <v>82</v>
      </c>
      <c r="AK126" s="113">
        <f t="shared" si="24"/>
        <v>82</v>
      </c>
      <c r="AL126" s="158">
        <f t="shared" si="25"/>
        <v>1.02</v>
      </c>
      <c r="AM126" s="159"/>
      <c r="AN126" s="160">
        <f t="shared" si="30"/>
        <v>1</v>
      </c>
      <c r="AO126" s="160">
        <f t="shared" si="30"/>
        <v>2</v>
      </c>
      <c r="AP126" s="133"/>
      <c r="AQ126" s="134"/>
      <c r="AR126" s="161"/>
      <c r="AS126" s="161"/>
      <c r="AT126" s="161"/>
      <c r="AU126" s="161"/>
      <c r="AV126" s="162"/>
      <c r="AW126" s="137">
        <f t="shared" si="26"/>
        <v>0</v>
      </c>
      <c r="AX126" s="137">
        <f t="shared" si="27"/>
        <v>0</v>
      </c>
    </row>
    <row r="127" ht="46.5" customHeight="1" spans="1:50" s="97" customFormat="1" x14ac:dyDescent="0.25">
      <c r="A127" s="100"/>
      <c r="B127" s="100"/>
      <c r="C127" s="100"/>
      <c r="D127" s="100"/>
      <c r="E127" s="100"/>
      <c r="F127" s="100"/>
      <c r="G127" s="103"/>
      <c r="H127" s="186"/>
      <c r="I127" s="195">
        <v>0.51</v>
      </c>
      <c r="J127" s="107">
        <v>0.49</v>
      </c>
      <c r="K127" s="107"/>
      <c r="L127" s="107"/>
      <c r="M127" s="187"/>
      <c r="N127" s="169">
        <f t="shared" si="29"/>
        <v>1</v>
      </c>
      <c r="O127" s="144">
        <v>1</v>
      </c>
      <c r="P127" s="145">
        <v>15</v>
      </c>
      <c r="Q127" s="113">
        <v>15</v>
      </c>
      <c r="R127" s="113"/>
      <c r="S127" s="113"/>
      <c r="T127" s="146"/>
      <c r="U127" s="148">
        <f t="shared" si="17"/>
        <v>15</v>
      </c>
      <c r="V127" s="149">
        <f t="shared" si="18"/>
        <v>15</v>
      </c>
      <c r="W127" s="189"/>
      <c r="X127" s="199"/>
      <c r="Y127" s="151"/>
      <c r="Z127" s="190"/>
      <c r="AA127" s="153"/>
      <c r="AB127" s="154">
        <f t="shared" si="19"/>
        <v>0</v>
      </c>
      <c r="AC127" s="149">
        <f t="shared" si="20"/>
        <v>0</v>
      </c>
      <c r="AD127" s="125">
        <v>2</v>
      </c>
      <c r="AE127" s="148">
        <f t="shared" si="21"/>
        <v>2</v>
      </c>
      <c r="AF127" s="156"/>
      <c r="AG127" s="156"/>
      <c r="AH127" s="113">
        <f t="shared" si="22"/>
        <v>17</v>
      </c>
      <c r="AI127" s="157">
        <v>65</v>
      </c>
      <c r="AJ127" s="113">
        <f t="shared" si="23"/>
        <v>82</v>
      </c>
      <c r="AK127" s="113">
        <f t="shared" si="24"/>
        <v>82</v>
      </c>
      <c r="AL127" s="158">
        <f t="shared" si="25"/>
        <v>1.02</v>
      </c>
      <c r="AM127" s="159"/>
      <c r="AN127" s="160">
        <f t="shared" si="30"/>
        <v>1</v>
      </c>
      <c r="AO127" s="160">
        <f t="shared" si="30"/>
        <v>2</v>
      </c>
      <c r="AP127" s="133"/>
      <c r="AQ127" s="134"/>
      <c r="AR127" s="161"/>
      <c r="AS127" s="161"/>
      <c r="AT127" s="161"/>
      <c r="AU127" s="161"/>
      <c r="AV127" s="162"/>
      <c r="AW127" s="137">
        <f t="shared" si="26"/>
        <v>0</v>
      </c>
      <c r="AX127" s="137">
        <f t="shared" si="27"/>
        <v>0</v>
      </c>
    </row>
    <row r="128" ht="47.25" customHeight="1" spans="1:50" s="56" customFormat="1" x14ac:dyDescent="0.25">
      <c r="A128" s="100"/>
      <c r="B128" s="100"/>
      <c r="C128" s="100"/>
      <c r="D128" s="100"/>
      <c r="E128" s="100"/>
      <c r="F128" s="100"/>
      <c r="G128" s="103"/>
      <c r="H128" s="186"/>
      <c r="I128" s="195">
        <v>0.51</v>
      </c>
      <c r="J128" s="107">
        <v>0.49</v>
      </c>
      <c r="K128" s="107"/>
      <c r="L128" s="107"/>
      <c r="M128" s="187"/>
      <c r="N128" s="169">
        <f t="shared" si="29"/>
        <v>1</v>
      </c>
      <c r="O128" s="144">
        <v>1</v>
      </c>
      <c r="P128" s="145">
        <v>15</v>
      </c>
      <c r="Q128" s="113">
        <v>15</v>
      </c>
      <c r="R128" s="113"/>
      <c r="S128" s="113"/>
      <c r="T128" s="146"/>
      <c r="U128" s="148">
        <f t="shared" si="17"/>
        <v>15</v>
      </c>
      <c r="V128" s="149">
        <f t="shared" si="18"/>
        <v>15</v>
      </c>
      <c r="W128" s="189"/>
      <c r="X128" s="199"/>
      <c r="Y128" s="151"/>
      <c r="Z128" s="190"/>
      <c r="AA128" s="153"/>
      <c r="AB128" s="154">
        <f t="shared" si="19"/>
        <v>0</v>
      </c>
      <c r="AC128" s="149">
        <f t="shared" si="20"/>
        <v>0</v>
      </c>
      <c r="AD128" s="125">
        <v>2</v>
      </c>
      <c r="AE128" s="148">
        <f t="shared" si="21"/>
        <v>2</v>
      </c>
      <c r="AF128" s="156"/>
      <c r="AG128" s="156"/>
      <c r="AH128" s="113">
        <f t="shared" si="22"/>
        <v>17</v>
      </c>
      <c r="AI128" s="157">
        <v>65</v>
      </c>
      <c r="AJ128" s="113">
        <f t="shared" si="23"/>
        <v>82</v>
      </c>
      <c r="AK128" s="113">
        <f t="shared" si="24"/>
        <v>82</v>
      </c>
      <c r="AL128" s="158">
        <f t="shared" si="25"/>
        <v>1.02</v>
      </c>
      <c r="AM128" s="159"/>
      <c r="AN128" s="160">
        <f t="shared" si="30"/>
        <v>1</v>
      </c>
      <c r="AO128" s="160">
        <f t="shared" si="30"/>
        <v>2</v>
      </c>
      <c r="AP128" s="133"/>
      <c r="AQ128" s="134"/>
      <c r="AR128" s="161"/>
      <c r="AS128" s="161"/>
      <c r="AT128" s="161"/>
      <c r="AU128" s="161"/>
      <c r="AV128" s="162"/>
      <c r="AW128" s="137">
        <f t="shared" si="26"/>
        <v>0</v>
      </c>
      <c r="AX128" s="137">
        <f t="shared" si="27"/>
        <v>0</v>
      </c>
    </row>
    <row r="129" ht="46.5" customHeight="1" spans="1:50" s="97" customFormat="1" x14ac:dyDescent="0.25">
      <c r="A129" s="100"/>
      <c r="B129" s="100"/>
      <c r="C129" s="100"/>
      <c r="D129" s="100"/>
      <c r="E129" s="100"/>
      <c r="F129" s="100"/>
      <c r="G129" s="103"/>
      <c r="H129" s="186"/>
      <c r="I129" s="195">
        <v>0.51</v>
      </c>
      <c r="J129" s="107">
        <v>0.49</v>
      </c>
      <c r="K129" s="107"/>
      <c r="L129" s="107"/>
      <c r="M129" s="187"/>
      <c r="N129" s="169">
        <f t="shared" si="29"/>
        <v>1</v>
      </c>
      <c r="O129" s="144">
        <v>1</v>
      </c>
      <c r="P129" s="145">
        <v>15</v>
      </c>
      <c r="Q129" s="113">
        <v>15</v>
      </c>
      <c r="R129" s="113"/>
      <c r="S129" s="113"/>
      <c r="T129" s="146"/>
      <c r="U129" s="148">
        <f t="shared" si="17"/>
        <v>15</v>
      </c>
      <c r="V129" s="149">
        <f t="shared" si="18"/>
        <v>15</v>
      </c>
      <c r="W129" s="189"/>
      <c r="X129" s="199"/>
      <c r="Y129" s="151"/>
      <c r="Z129" s="190"/>
      <c r="AA129" s="153"/>
      <c r="AB129" s="154">
        <f t="shared" si="19"/>
        <v>0</v>
      </c>
      <c r="AC129" s="149">
        <f t="shared" si="20"/>
        <v>0</v>
      </c>
      <c r="AD129" s="125">
        <v>2</v>
      </c>
      <c r="AE129" s="148">
        <f t="shared" si="21"/>
        <v>2</v>
      </c>
      <c r="AF129" s="156"/>
      <c r="AG129" s="156"/>
      <c r="AH129" s="113">
        <f t="shared" si="22"/>
        <v>17</v>
      </c>
      <c r="AI129" s="157">
        <v>65</v>
      </c>
      <c r="AJ129" s="113">
        <f t="shared" si="23"/>
        <v>82</v>
      </c>
      <c r="AK129" s="113">
        <f t="shared" si="24"/>
        <v>82</v>
      </c>
      <c r="AL129" s="158">
        <f t="shared" si="25"/>
        <v>1.02</v>
      </c>
      <c r="AM129" s="159"/>
      <c r="AN129" s="160">
        <f t="shared" si="30"/>
        <v>1</v>
      </c>
      <c r="AO129" s="160">
        <f t="shared" si="30"/>
        <v>2</v>
      </c>
      <c r="AP129" s="133"/>
      <c r="AQ129" s="134"/>
      <c r="AR129" s="161"/>
      <c r="AS129" s="161"/>
      <c r="AT129" s="161"/>
      <c r="AU129" s="161"/>
      <c r="AV129" s="162"/>
      <c r="AW129" s="137">
        <f t="shared" si="26"/>
        <v>0</v>
      </c>
      <c r="AX129" s="137">
        <f t="shared" si="27"/>
        <v>0</v>
      </c>
    </row>
    <row r="130" ht="47.25" customHeight="1" spans="1:50" s="56" customFormat="1" x14ac:dyDescent="0.25">
      <c r="A130" s="100"/>
      <c r="B130" s="100"/>
      <c r="C130" s="100"/>
      <c r="D130" s="100"/>
      <c r="E130" s="100"/>
      <c r="F130" s="100"/>
      <c r="G130" s="103"/>
      <c r="H130" s="186"/>
      <c r="I130" s="195">
        <v>0.51</v>
      </c>
      <c r="J130" s="107">
        <v>0.49</v>
      </c>
      <c r="K130" s="107"/>
      <c r="L130" s="107"/>
      <c r="M130" s="187"/>
      <c r="N130" s="169">
        <f t="shared" si="29"/>
        <v>1</v>
      </c>
      <c r="O130" s="144">
        <v>1</v>
      </c>
      <c r="P130" s="145">
        <v>15</v>
      </c>
      <c r="Q130" s="113">
        <v>15</v>
      </c>
      <c r="R130" s="113"/>
      <c r="S130" s="113"/>
      <c r="T130" s="146"/>
      <c r="U130" s="148">
        <f t="shared" si="17"/>
        <v>15</v>
      </c>
      <c r="V130" s="149">
        <f t="shared" si="18"/>
        <v>15</v>
      </c>
      <c r="W130" s="189"/>
      <c r="X130" s="199"/>
      <c r="Y130" s="151"/>
      <c r="Z130" s="190"/>
      <c r="AA130" s="153"/>
      <c r="AB130" s="154">
        <f t="shared" si="19"/>
        <v>0</v>
      </c>
      <c r="AC130" s="149">
        <f t="shared" si="20"/>
        <v>0</v>
      </c>
      <c r="AD130" s="125">
        <v>2</v>
      </c>
      <c r="AE130" s="148">
        <f t="shared" si="21"/>
        <v>2</v>
      </c>
      <c r="AF130" s="156"/>
      <c r="AG130" s="156"/>
      <c r="AH130" s="113">
        <f t="shared" si="22"/>
        <v>17</v>
      </c>
      <c r="AI130" s="157">
        <v>65</v>
      </c>
      <c r="AJ130" s="113">
        <f t="shared" si="23"/>
        <v>82</v>
      </c>
      <c r="AK130" s="113">
        <f t="shared" si="24"/>
        <v>82</v>
      </c>
      <c r="AL130" s="158">
        <f t="shared" si="25"/>
        <v>1.02</v>
      </c>
      <c r="AM130" s="159"/>
      <c r="AN130" s="160">
        <f t="shared" si="30"/>
        <v>1</v>
      </c>
      <c r="AO130" s="160">
        <f t="shared" si="30"/>
        <v>2</v>
      </c>
      <c r="AP130" s="133"/>
      <c r="AQ130" s="134"/>
      <c r="AR130" s="161"/>
      <c r="AS130" s="161"/>
      <c r="AT130" s="161"/>
      <c r="AU130" s="161"/>
      <c r="AV130" s="162"/>
      <c r="AW130" s="137">
        <f t="shared" si="26"/>
        <v>0</v>
      </c>
      <c r="AX130" s="137">
        <f t="shared" si="27"/>
        <v>0</v>
      </c>
    </row>
    <row r="131" ht="46.5" customHeight="1" spans="1:50" s="97" customFormat="1" x14ac:dyDescent="0.25">
      <c r="A131" s="100"/>
      <c r="B131" s="100"/>
      <c r="C131" s="100"/>
      <c r="D131" s="100"/>
      <c r="E131" s="100"/>
      <c r="F131" s="100"/>
      <c r="G131" s="103"/>
      <c r="H131" s="186"/>
      <c r="I131" s="195">
        <v>0.51</v>
      </c>
      <c r="J131" s="107">
        <v>0.49</v>
      </c>
      <c r="K131" s="107"/>
      <c r="L131" s="107"/>
      <c r="M131" s="187"/>
      <c r="N131" s="169">
        <f t="shared" si="29"/>
        <v>1</v>
      </c>
      <c r="O131" s="144">
        <v>1</v>
      </c>
      <c r="P131" s="145">
        <v>15</v>
      </c>
      <c r="Q131" s="113">
        <v>15</v>
      </c>
      <c r="R131" s="113"/>
      <c r="S131" s="113"/>
      <c r="T131" s="146"/>
      <c r="U131" s="148">
        <f t="shared" si="17"/>
        <v>15</v>
      </c>
      <c r="V131" s="149">
        <f t="shared" si="18"/>
        <v>15</v>
      </c>
      <c r="W131" s="189"/>
      <c r="X131" s="199"/>
      <c r="Y131" s="151"/>
      <c r="Z131" s="190"/>
      <c r="AA131" s="153"/>
      <c r="AB131" s="154">
        <f t="shared" si="19"/>
        <v>0</v>
      </c>
      <c r="AC131" s="149">
        <f t="shared" si="20"/>
        <v>0</v>
      </c>
      <c r="AD131" s="125">
        <v>2</v>
      </c>
      <c r="AE131" s="148">
        <f t="shared" si="21"/>
        <v>2</v>
      </c>
      <c r="AF131" s="156"/>
      <c r="AG131" s="156"/>
      <c r="AH131" s="113">
        <f t="shared" si="22"/>
        <v>17</v>
      </c>
      <c r="AI131" s="157">
        <v>65</v>
      </c>
      <c r="AJ131" s="113">
        <f t="shared" si="23"/>
        <v>82</v>
      </c>
      <c r="AK131" s="113">
        <f t="shared" si="24"/>
        <v>82</v>
      </c>
      <c r="AL131" s="158">
        <f t="shared" si="25"/>
        <v>1.02</v>
      </c>
      <c r="AM131" s="159"/>
      <c r="AN131" s="160">
        <f t="shared" si="30"/>
        <v>1</v>
      </c>
      <c r="AO131" s="160">
        <f t="shared" si="30"/>
        <v>2</v>
      </c>
      <c r="AP131" s="133"/>
      <c r="AQ131" s="134"/>
      <c r="AR131" s="161"/>
      <c r="AS131" s="161"/>
      <c r="AT131" s="161"/>
      <c r="AU131" s="161"/>
      <c r="AV131" s="162"/>
      <c r="AW131" s="137">
        <f t="shared" si="26"/>
        <v>0</v>
      </c>
      <c r="AX131" s="137">
        <f t="shared" si="27"/>
        <v>0</v>
      </c>
    </row>
    <row r="132" ht="46.5" customHeight="1" spans="1:50" s="97" customFormat="1" x14ac:dyDescent="0.25">
      <c r="A132" s="100"/>
      <c r="B132" s="100"/>
      <c r="C132" s="100"/>
      <c r="D132" s="100"/>
      <c r="E132" s="100"/>
      <c r="F132" s="100"/>
      <c r="G132" s="103"/>
      <c r="H132" s="186"/>
      <c r="I132" s="195">
        <v>0.51</v>
      </c>
      <c r="J132" s="107">
        <v>0.49</v>
      </c>
      <c r="K132" s="107"/>
      <c r="L132" s="107"/>
      <c r="M132" s="187"/>
      <c r="N132" s="169">
        <f t="shared" si="29"/>
        <v>1</v>
      </c>
      <c r="O132" s="144">
        <v>1</v>
      </c>
      <c r="P132" s="145">
        <v>15</v>
      </c>
      <c r="Q132" s="113">
        <v>15</v>
      </c>
      <c r="R132" s="113"/>
      <c r="S132" s="113"/>
      <c r="T132" s="146"/>
      <c r="U132" s="148">
        <f t="shared" si="17"/>
        <v>15</v>
      </c>
      <c r="V132" s="149">
        <f t="shared" si="18"/>
        <v>15</v>
      </c>
      <c r="W132" s="189"/>
      <c r="X132" s="199"/>
      <c r="Y132" s="151"/>
      <c r="Z132" s="190"/>
      <c r="AA132" s="153"/>
      <c r="AB132" s="154">
        <f t="shared" si="19"/>
        <v>0</v>
      </c>
      <c r="AC132" s="149">
        <f t="shared" si="20"/>
        <v>0</v>
      </c>
      <c r="AD132" s="125">
        <v>2</v>
      </c>
      <c r="AE132" s="148">
        <f t="shared" si="21"/>
        <v>2</v>
      </c>
      <c r="AF132" s="156"/>
      <c r="AG132" s="156"/>
      <c r="AH132" s="113">
        <f t="shared" si="22"/>
        <v>17</v>
      </c>
      <c r="AI132" s="157">
        <v>65</v>
      </c>
      <c r="AJ132" s="113">
        <f t="shared" si="23"/>
        <v>82</v>
      </c>
      <c r="AK132" s="113">
        <f t="shared" si="24"/>
        <v>82</v>
      </c>
      <c r="AL132" s="158">
        <f t="shared" si="25"/>
        <v>1.02</v>
      </c>
      <c r="AM132" s="159"/>
      <c r="AN132" s="160">
        <f t="shared" si="30"/>
        <v>1</v>
      </c>
      <c r="AO132" s="160">
        <f t="shared" si="30"/>
        <v>2</v>
      </c>
      <c r="AP132" s="133"/>
      <c r="AQ132" s="134"/>
      <c r="AR132" s="161"/>
      <c r="AS132" s="161"/>
      <c r="AT132" s="161"/>
      <c r="AU132" s="161"/>
      <c r="AV132" s="162"/>
      <c r="AW132" s="137">
        <f t="shared" si="26"/>
        <v>0</v>
      </c>
      <c r="AX132" s="137">
        <f t="shared" si="27"/>
        <v>0</v>
      </c>
    </row>
    <row r="133" ht="47.25" customHeight="1" spans="1:50" s="97" customFormat="1" x14ac:dyDescent="0.25">
      <c r="A133" s="100"/>
      <c r="B133" s="100"/>
      <c r="C133" s="100"/>
      <c r="D133" s="100"/>
      <c r="E133" s="100"/>
      <c r="F133" s="100"/>
      <c r="G133" s="103"/>
      <c r="H133" s="186"/>
      <c r="I133" s="195">
        <v>0.51</v>
      </c>
      <c r="J133" s="107">
        <v>0.49</v>
      </c>
      <c r="K133" s="107"/>
      <c r="L133" s="107"/>
      <c r="M133" s="187"/>
      <c r="N133" s="169">
        <f t="shared" si="29"/>
        <v>1</v>
      </c>
      <c r="O133" s="144">
        <v>1</v>
      </c>
      <c r="P133" s="145">
        <v>15</v>
      </c>
      <c r="Q133" s="113">
        <v>15</v>
      </c>
      <c r="R133" s="113"/>
      <c r="S133" s="113"/>
      <c r="T133" s="146"/>
      <c r="U133" s="148">
        <f t="shared" si="17"/>
        <v>15</v>
      </c>
      <c r="V133" s="149">
        <f t="shared" si="18"/>
        <v>15</v>
      </c>
      <c r="W133" s="189"/>
      <c r="X133" s="199"/>
      <c r="Y133" s="151"/>
      <c r="Z133" s="190"/>
      <c r="AA133" s="153"/>
      <c r="AB133" s="154">
        <f t="shared" si="19"/>
        <v>0</v>
      </c>
      <c r="AC133" s="149">
        <f t="shared" si="20"/>
        <v>0</v>
      </c>
      <c r="AD133" s="125">
        <v>2</v>
      </c>
      <c r="AE133" s="148">
        <f t="shared" si="21"/>
        <v>2</v>
      </c>
      <c r="AF133" s="156"/>
      <c r="AG133" s="156"/>
      <c r="AH133" s="113">
        <f t="shared" si="22"/>
        <v>17</v>
      </c>
      <c r="AI133" s="157">
        <v>65</v>
      </c>
      <c r="AJ133" s="113">
        <f t="shared" si="23"/>
        <v>82</v>
      </c>
      <c r="AK133" s="113">
        <f t="shared" si="24"/>
        <v>82</v>
      </c>
      <c r="AL133" s="158">
        <f t="shared" si="25"/>
        <v>1.02</v>
      </c>
      <c r="AM133" s="159"/>
      <c r="AN133" s="160">
        <f t="shared" ref="AN133:AO138" si="31">100%+AM133</f>
        <v>1</v>
      </c>
      <c r="AO133" s="160">
        <f t="shared" si="31"/>
        <v>2</v>
      </c>
      <c r="AP133" s="133"/>
      <c r="AQ133" s="134"/>
      <c r="AR133" s="161"/>
      <c r="AS133" s="161"/>
      <c r="AT133" s="161"/>
      <c r="AU133" s="161"/>
      <c r="AV133" s="162"/>
      <c r="AW133" s="137">
        <f t="shared" si="26"/>
        <v>0</v>
      </c>
      <c r="AX133" s="137">
        <f t="shared" si="27"/>
        <v>0</v>
      </c>
    </row>
    <row r="134" ht="47.25" customHeight="1" spans="1:50" s="56" customFormat="1" x14ac:dyDescent="0.25">
      <c r="A134" s="100"/>
      <c r="B134" s="100"/>
      <c r="C134" s="100"/>
      <c r="D134" s="100"/>
      <c r="E134" s="100"/>
      <c r="F134" s="100"/>
      <c r="G134" s="103"/>
      <c r="H134" s="186"/>
      <c r="I134" s="195">
        <v>0.51</v>
      </c>
      <c r="J134" s="107">
        <v>0.49</v>
      </c>
      <c r="K134" s="107"/>
      <c r="L134" s="107"/>
      <c r="M134" s="187"/>
      <c r="N134" s="169">
        <f t="shared" si="29"/>
        <v>1</v>
      </c>
      <c r="O134" s="144">
        <v>1</v>
      </c>
      <c r="P134" s="145">
        <v>15</v>
      </c>
      <c r="Q134" s="113">
        <v>15</v>
      </c>
      <c r="R134" s="113"/>
      <c r="S134" s="113"/>
      <c r="T134" s="146"/>
      <c r="U134" s="148">
        <f t="shared" si="17"/>
        <v>15</v>
      </c>
      <c r="V134" s="149">
        <f t="shared" si="18"/>
        <v>15</v>
      </c>
      <c r="W134" s="189"/>
      <c r="X134" s="199"/>
      <c r="Y134" s="151"/>
      <c r="Z134" s="190"/>
      <c r="AA134" s="153"/>
      <c r="AB134" s="154">
        <f t="shared" si="19"/>
        <v>0</v>
      </c>
      <c r="AC134" s="149">
        <f t="shared" si="20"/>
        <v>0</v>
      </c>
      <c r="AD134" s="125">
        <v>2</v>
      </c>
      <c r="AE134" s="148">
        <f t="shared" si="21"/>
        <v>2</v>
      </c>
      <c r="AF134" s="156"/>
      <c r="AG134" s="156"/>
      <c r="AH134" s="113">
        <f t="shared" si="22"/>
        <v>17</v>
      </c>
      <c r="AI134" s="157">
        <v>65</v>
      </c>
      <c r="AJ134" s="113">
        <f t="shared" si="23"/>
        <v>82</v>
      </c>
      <c r="AK134" s="113">
        <f t="shared" si="24"/>
        <v>82</v>
      </c>
      <c r="AL134" s="158">
        <f t="shared" si="25"/>
        <v>1.02</v>
      </c>
      <c r="AM134" s="159"/>
      <c r="AN134" s="160">
        <f t="shared" si="31"/>
        <v>1</v>
      </c>
      <c r="AO134" s="160">
        <f t="shared" si="31"/>
        <v>2</v>
      </c>
      <c r="AP134" s="133"/>
      <c r="AQ134" s="134"/>
      <c r="AR134" s="161"/>
      <c r="AS134" s="161"/>
      <c r="AT134" s="161"/>
      <c r="AU134" s="161"/>
      <c r="AV134" s="162"/>
      <c r="AW134" s="137">
        <f t="shared" si="26"/>
        <v>0</v>
      </c>
      <c r="AX134" s="137">
        <f t="shared" si="27"/>
        <v>0</v>
      </c>
    </row>
    <row r="135" ht="46.5" customHeight="1" spans="1:50" s="97" customFormat="1" x14ac:dyDescent="0.25">
      <c r="A135" s="100"/>
      <c r="B135" s="100"/>
      <c r="C135" s="100"/>
      <c r="D135" s="100"/>
      <c r="E135" s="100"/>
      <c r="F135" s="100"/>
      <c r="G135" s="103"/>
      <c r="H135" s="186"/>
      <c r="I135" s="195">
        <v>0.51</v>
      </c>
      <c r="J135" s="107">
        <v>0.49</v>
      </c>
      <c r="K135" s="107"/>
      <c r="L135" s="107"/>
      <c r="M135" s="187"/>
      <c r="N135" s="169">
        <f t="shared" si="29"/>
        <v>1</v>
      </c>
      <c r="O135" s="144">
        <v>1</v>
      </c>
      <c r="P135" s="145">
        <v>15</v>
      </c>
      <c r="Q135" s="113">
        <v>15</v>
      </c>
      <c r="R135" s="113"/>
      <c r="S135" s="113"/>
      <c r="T135" s="146"/>
      <c r="U135" s="148">
        <f t="shared" si="17"/>
        <v>15</v>
      </c>
      <c r="V135" s="149">
        <f t="shared" si="18"/>
        <v>15</v>
      </c>
      <c r="W135" s="189"/>
      <c r="X135" s="199"/>
      <c r="Y135" s="151"/>
      <c r="Z135" s="190"/>
      <c r="AA135" s="153"/>
      <c r="AB135" s="154">
        <f t="shared" si="19"/>
        <v>0</v>
      </c>
      <c r="AC135" s="149">
        <f t="shared" si="20"/>
        <v>0</v>
      </c>
      <c r="AD135" s="125">
        <v>2</v>
      </c>
      <c r="AE135" s="148">
        <f t="shared" si="21"/>
        <v>2</v>
      </c>
      <c r="AF135" s="156"/>
      <c r="AG135" s="156"/>
      <c r="AH135" s="113">
        <f t="shared" si="22"/>
        <v>17</v>
      </c>
      <c r="AI135" s="157">
        <v>65</v>
      </c>
      <c r="AJ135" s="113">
        <f t="shared" si="23"/>
        <v>82</v>
      </c>
      <c r="AK135" s="113">
        <f t="shared" si="24"/>
        <v>82</v>
      </c>
      <c r="AL135" s="158">
        <f t="shared" si="25"/>
        <v>1.02</v>
      </c>
      <c r="AM135" s="159"/>
      <c r="AN135" s="160">
        <f t="shared" si="31"/>
        <v>1</v>
      </c>
      <c r="AO135" s="160">
        <f t="shared" si="31"/>
        <v>2</v>
      </c>
      <c r="AP135" s="133"/>
      <c r="AQ135" s="134"/>
      <c r="AR135" s="161"/>
      <c r="AS135" s="161"/>
      <c r="AT135" s="161"/>
      <c r="AU135" s="161"/>
      <c r="AV135" s="162"/>
      <c r="AW135" s="137">
        <f t="shared" si="26"/>
        <v>0</v>
      </c>
      <c r="AX135" s="137">
        <f t="shared" si="27"/>
        <v>0</v>
      </c>
    </row>
    <row r="136" ht="47.25" customHeight="1" spans="1:50" s="56" customFormat="1" x14ac:dyDescent="0.25">
      <c r="A136" s="100"/>
      <c r="B136" s="100"/>
      <c r="C136" s="100"/>
      <c r="D136" s="100"/>
      <c r="E136" s="100"/>
      <c r="F136" s="100"/>
      <c r="G136" s="103"/>
      <c r="H136" s="186"/>
      <c r="I136" s="195">
        <v>0.51</v>
      </c>
      <c r="J136" s="107">
        <v>0.49</v>
      </c>
      <c r="K136" s="107"/>
      <c r="L136" s="107"/>
      <c r="M136" s="187"/>
      <c r="N136" s="169">
        <f t="shared" si="29"/>
        <v>1</v>
      </c>
      <c r="O136" s="144">
        <v>1</v>
      </c>
      <c r="P136" s="145">
        <v>15</v>
      </c>
      <c r="Q136" s="113">
        <v>15</v>
      </c>
      <c r="R136" s="113"/>
      <c r="S136" s="113"/>
      <c r="T136" s="146"/>
      <c r="U136" s="148">
        <f t="shared" si="17"/>
        <v>15</v>
      </c>
      <c r="V136" s="149">
        <f t="shared" si="18"/>
        <v>15</v>
      </c>
      <c r="W136" s="189"/>
      <c r="X136" s="199"/>
      <c r="Y136" s="151"/>
      <c r="Z136" s="190"/>
      <c r="AA136" s="153"/>
      <c r="AB136" s="154">
        <f t="shared" si="19"/>
        <v>0</v>
      </c>
      <c r="AC136" s="149">
        <f t="shared" si="20"/>
        <v>0</v>
      </c>
      <c r="AD136" s="125">
        <v>2</v>
      </c>
      <c r="AE136" s="148">
        <f t="shared" si="21"/>
        <v>2</v>
      </c>
      <c r="AF136" s="156"/>
      <c r="AG136" s="156"/>
      <c r="AH136" s="113">
        <f t="shared" si="22"/>
        <v>17</v>
      </c>
      <c r="AI136" s="157">
        <v>65</v>
      </c>
      <c r="AJ136" s="113">
        <f t="shared" si="23"/>
        <v>82</v>
      </c>
      <c r="AK136" s="113">
        <f t="shared" si="24"/>
        <v>82</v>
      </c>
      <c r="AL136" s="158">
        <f t="shared" si="25"/>
        <v>1.02</v>
      </c>
      <c r="AM136" s="159"/>
      <c r="AN136" s="160">
        <f t="shared" si="31"/>
        <v>1</v>
      </c>
      <c r="AO136" s="160">
        <f t="shared" si="31"/>
        <v>2</v>
      </c>
      <c r="AP136" s="133"/>
      <c r="AQ136" s="134"/>
      <c r="AR136" s="161"/>
      <c r="AS136" s="161"/>
      <c r="AT136" s="161"/>
      <c r="AU136" s="161"/>
      <c r="AV136" s="162"/>
      <c r="AW136" s="137">
        <f t="shared" si="26"/>
        <v>0</v>
      </c>
      <c r="AX136" s="137">
        <f t="shared" si="27"/>
        <v>0</v>
      </c>
    </row>
    <row r="137" ht="47.25" customHeight="1" spans="1:50" s="97" customFormat="1" x14ac:dyDescent="0.25">
      <c r="A137" s="100"/>
      <c r="B137" s="100"/>
      <c r="C137" s="100"/>
      <c r="D137" s="100"/>
      <c r="E137" s="100"/>
      <c r="F137" s="100"/>
      <c r="G137" s="103"/>
      <c r="H137" s="186"/>
      <c r="I137" s="195">
        <v>0.51</v>
      </c>
      <c r="J137" s="107">
        <v>0.49</v>
      </c>
      <c r="K137" s="107"/>
      <c r="L137" s="107"/>
      <c r="M137" s="187"/>
      <c r="N137" s="169">
        <f t="shared" si="29"/>
        <v>1</v>
      </c>
      <c r="O137" s="144">
        <v>1</v>
      </c>
      <c r="P137" s="145">
        <v>15</v>
      </c>
      <c r="Q137" s="113">
        <v>15</v>
      </c>
      <c r="R137" s="113"/>
      <c r="S137" s="113"/>
      <c r="T137" s="146"/>
      <c r="U137" s="148">
        <f t="shared" si="17"/>
        <v>15</v>
      </c>
      <c r="V137" s="149">
        <f t="shared" si="18"/>
        <v>15</v>
      </c>
      <c r="W137" s="189"/>
      <c r="X137" s="199"/>
      <c r="Y137" s="151"/>
      <c r="Z137" s="190"/>
      <c r="AA137" s="153"/>
      <c r="AB137" s="154">
        <f t="shared" si="19"/>
        <v>0</v>
      </c>
      <c r="AC137" s="149">
        <f t="shared" si="20"/>
        <v>0</v>
      </c>
      <c r="AD137" s="125">
        <v>2</v>
      </c>
      <c r="AE137" s="148">
        <f t="shared" si="21"/>
        <v>2</v>
      </c>
      <c r="AF137" s="156"/>
      <c r="AG137" s="156"/>
      <c r="AH137" s="113">
        <f t="shared" si="22"/>
        <v>17</v>
      </c>
      <c r="AI137" s="157">
        <v>65</v>
      </c>
      <c r="AJ137" s="113">
        <f t="shared" si="23"/>
        <v>82</v>
      </c>
      <c r="AK137" s="113">
        <f t="shared" si="24"/>
        <v>82</v>
      </c>
      <c r="AL137" s="158">
        <f t="shared" si="25"/>
        <v>1.02</v>
      </c>
      <c r="AM137" s="159"/>
      <c r="AN137" s="160">
        <f t="shared" si="31"/>
        <v>1</v>
      </c>
      <c r="AO137" s="160">
        <f t="shared" si="31"/>
        <v>2</v>
      </c>
      <c r="AP137" s="133"/>
      <c r="AQ137" s="134"/>
      <c r="AR137" s="161"/>
      <c r="AS137" s="161"/>
      <c r="AT137" s="161"/>
      <c r="AU137" s="161"/>
      <c r="AV137" s="162"/>
      <c r="AW137" s="137">
        <f t="shared" si="26"/>
        <v>0</v>
      </c>
      <c r="AX137" s="137">
        <f t="shared" si="27"/>
        <v>0</v>
      </c>
    </row>
    <row r="138" ht="46.5" customHeight="1" spans="1:50" s="97" customFormat="1" x14ac:dyDescent="0.25">
      <c r="A138" s="100"/>
      <c r="B138" s="100"/>
      <c r="C138" s="100"/>
      <c r="D138" s="100"/>
      <c r="E138" s="100"/>
      <c r="F138" s="100"/>
      <c r="G138" s="103"/>
      <c r="H138" s="186"/>
      <c r="I138" s="195">
        <v>0.51</v>
      </c>
      <c r="J138" s="107">
        <v>0.49</v>
      </c>
      <c r="K138" s="107"/>
      <c r="L138" s="107"/>
      <c r="M138" s="187"/>
      <c r="N138" s="169">
        <f t="shared" si="29"/>
        <v>1</v>
      </c>
      <c r="O138" s="144">
        <v>1</v>
      </c>
      <c r="P138" s="145">
        <v>15</v>
      </c>
      <c r="Q138" s="113">
        <v>15</v>
      </c>
      <c r="R138" s="113"/>
      <c r="S138" s="113"/>
      <c r="T138" s="146"/>
      <c r="U138" s="148">
        <f t="shared" si="17"/>
        <v>15</v>
      </c>
      <c r="V138" s="149">
        <f t="shared" si="18"/>
        <v>15</v>
      </c>
      <c r="W138" s="189"/>
      <c r="X138" s="199"/>
      <c r="Y138" s="151"/>
      <c r="Z138" s="190"/>
      <c r="AA138" s="153"/>
      <c r="AB138" s="154">
        <f t="shared" si="19"/>
        <v>0</v>
      </c>
      <c r="AC138" s="149">
        <f t="shared" si="20"/>
        <v>0</v>
      </c>
      <c r="AD138" s="125">
        <v>2</v>
      </c>
      <c r="AE138" s="148">
        <f t="shared" si="21"/>
        <v>2</v>
      </c>
      <c r="AF138" s="156"/>
      <c r="AG138" s="156"/>
      <c r="AH138" s="113">
        <f t="shared" si="22"/>
        <v>17</v>
      </c>
      <c r="AI138" s="157">
        <v>65</v>
      </c>
      <c r="AJ138" s="113">
        <f t="shared" si="23"/>
        <v>82</v>
      </c>
      <c r="AK138" s="113">
        <f t="shared" si="24"/>
        <v>82</v>
      </c>
      <c r="AL138" s="158">
        <f t="shared" si="25"/>
        <v>1.02</v>
      </c>
      <c r="AM138" s="159"/>
      <c r="AN138" s="160">
        <f t="shared" si="31"/>
        <v>1</v>
      </c>
      <c r="AO138" s="160">
        <f t="shared" si="31"/>
        <v>2</v>
      </c>
      <c r="AP138" s="133"/>
      <c r="AQ138" s="134"/>
      <c r="AR138" s="161"/>
      <c r="AS138" s="161"/>
      <c r="AT138" s="161"/>
      <c r="AU138" s="161"/>
      <c r="AV138" s="162"/>
      <c r="AW138" s="137">
        <f t="shared" si="26"/>
        <v>0</v>
      </c>
      <c r="AX138" s="137">
        <f t="shared" si="27"/>
        <v>0</v>
      </c>
    </row>
  </sheetData>
  <mergeCells count="46">
    <mergeCell ref="D1:E1"/>
    <mergeCell ref="F1:G1"/>
    <mergeCell ref="I1:J1"/>
    <mergeCell ref="Y1:Z1"/>
    <mergeCell ref="AA1:AC1"/>
    <mergeCell ref="AD1:AE1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AG2:AH2"/>
    <mergeCell ref="AI2:AK2"/>
    <mergeCell ref="AS2:AT2"/>
    <mergeCell ref="C3:H3"/>
    <mergeCell ref="I3:M3"/>
    <mergeCell ref="P3:U3"/>
    <mergeCell ref="W3:AE3"/>
    <mergeCell ref="A3:A4"/>
    <mergeCell ref="B3:B4"/>
    <mergeCell ref="N3:N4"/>
    <mergeCell ref="O3:O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6:H6"/>
    <mergeCell ref="A8:H8"/>
    <mergeCell ref="A10:H10"/>
    <mergeCell ref="A12:H12"/>
    <mergeCell ref="A14:H14"/>
    <mergeCell ref="A16:H16"/>
  </mergeCells>
  <pageMargins left="0.7" right="0.7" top="0.75" bottom="0.75" header="0.3" footer="0.3"/>
  <pageSetup paperSize="9" orientation="portrait" horizontalDpi="4294967295" verticalDpi="4294967295" scale="40" fitToWidth="1" fitToHeight="1" firstPageNumber="1" useFirstPageNumber="1" copies="1"/>
</worksheet>
</file>

<file path=xl/worksheets/sheet8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47"/>
  <sheetViews>
    <sheetView workbookViewId="0" zoomScale="80" zoomScaleNormal="80">
      <selection activeCell="J16" sqref="J16"/>
    </sheetView>
  </sheetViews>
  <sheetFormatPr defaultRowHeight="13.5" outlineLevelRow="0" outlineLevelCol="0" x14ac:dyDescent="0.15" defaultColWidth="8.88671875" customHeight="1"/>
  <cols>
    <col min="1" max="1" width="5.33203125" style="1" customWidth="1"/>
    <col min="2" max="2" width="5.109375" style="2" customWidth="1"/>
    <col min="3" max="3" width="8.33203125" style="3" customWidth="1"/>
    <col min="4" max="7" width="8.33203125" style="1" customWidth="1"/>
    <col min="8" max="13" width="8.109375" style="1" customWidth="1"/>
    <col min="14" max="14" width="8.33203125" style="1" customWidth="1"/>
    <col min="15" max="15" width="5.88671875" style="1" customWidth="1"/>
    <col min="16" max="21" width="7.5546875" style="1" customWidth="1"/>
    <col min="22" max="22" width="7.6640625" style="4" hidden="1" customWidth="1"/>
    <col min="23" max="27" width="8.33203125" style="1" customWidth="1"/>
    <col min="28" max="28" width="10.109375" style="1" customWidth="1"/>
    <col min="29" max="29" width="7.6640625" style="4" hidden="1" customWidth="1"/>
    <col min="30" max="31" width="7.6640625" style="4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 customWidth="1"/>
    <col min="49" max="50" width="15.109375" style="1" customWidth="1"/>
    <col min="51" max="16384" width="8.88671875" style="1" customWidth="1"/>
  </cols>
  <sheetData>
    <row r="1" ht="32.25" customHeight="1" spans="3:42" x14ac:dyDescent="0.25">
      <c r="C1" s="5" t="s">
        <v>0</v>
      </c>
      <c r="D1" s="6">
        <v>3241780000</v>
      </c>
      <c r="E1" s="7"/>
      <c r="F1" s="6"/>
      <c r="G1" s="7"/>
      <c r="H1" s="8" t="s">
        <v>1</v>
      </c>
      <c r="I1" s="9">
        <v>5499824000</v>
      </c>
      <c r="J1" s="9"/>
      <c r="K1" s="10" t="s">
        <v>277</v>
      </c>
      <c r="L1" s="11"/>
      <c r="M1" s="11"/>
      <c r="N1" s="12"/>
      <c r="O1" s="12"/>
      <c r="P1" s="12"/>
      <c r="Q1" s="12"/>
      <c r="R1" s="12"/>
      <c r="S1" s="12"/>
      <c r="T1" s="12"/>
      <c r="U1" s="12"/>
      <c r="V1" s="12"/>
      <c r="W1" s="12"/>
      <c r="X1" s="13"/>
      <c r="Y1" s="14" t="s">
        <v>3</v>
      </c>
      <c r="Z1" s="14"/>
      <c r="AA1" s="15" t="s">
        <v>4</v>
      </c>
      <c r="AB1" s="16"/>
      <c r="AC1" s="17"/>
      <c r="AD1" s="18" t="s">
        <v>5</v>
      </c>
      <c r="AE1" s="19"/>
      <c r="AF1" s="20"/>
      <c r="AG1" s="21" t="s">
        <v>6</v>
      </c>
      <c r="AH1" s="22"/>
      <c r="AI1" s="23">
        <v>3241780000</v>
      </c>
      <c r="AJ1" s="24"/>
      <c r="AK1" s="24"/>
      <c r="AL1" s="25" t="s">
        <v>7</v>
      </c>
      <c r="AM1" s="26"/>
      <c r="AN1" s="26"/>
      <c r="AO1" s="26"/>
      <c r="AP1" s="12"/>
    </row>
    <row r="2" ht="29.25" customHeight="1" spans="1:49" s="27" customFormat="1" x14ac:dyDescent="0.25">
      <c r="A2" s="20"/>
      <c r="B2" s="28"/>
      <c r="C2" s="29" t="s">
        <v>8</v>
      </c>
      <c r="D2" s="30">
        <v>3565958000</v>
      </c>
      <c r="E2" s="31"/>
      <c r="F2" s="32"/>
      <c r="G2" s="33"/>
      <c r="H2" s="5" t="s">
        <v>9</v>
      </c>
      <c r="I2" s="34">
        <f>D2*1</f>
        <v>3565958000</v>
      </c>
      <c r="J2" s="32"/>
      <c r="K2" s="35" t="s">
        <v>10</v>
      </c>
      <c r="L2" s="36" t="s">
        <v>11</v>
      </c>
      <c r="M2" s="37">
        <v>45964.70833333333</v>
      </c>
      <c r="N2" s="37"/>
      <c r="O2" s="37"/>
      <c r="P2" s="37"/>
      <c r="Q2" s="38" t="s">
        <v>84</v>
      </c>
      <c r="R2" s="38"/>
      <c r="S2" s="38"/>
      <c r="T2" s="39"/>
      <c r="U2" s="40"/>
      <c r="V2" s="40"/>
      <c r="W2" s="41"/>
      <c r="X2" s="42"/>
      <c r="Y2" s="202">
        <v>1988526000</v>
      </c>
      <c r="Z2" s="202"/>
      <c r="AA2" s="44">
        <f>I1</f>
        <v>5499824000</v>
      </c>
      <c r="AB2" s="45"/>
      <c r="AC2" s="46"/>
      <c r="AD2" s="47">
        <f>TRUNC(Y2/AA2,4)</f>
        <v>0.3615</v>
      </c>
      <c r="AE2" s="48"/>
      <c r="AF2" s="49"/>
      <c r="AG2" s="21" t="s">
        <v>13</v>
      </c>
      <c r="AH2" s="22"/>
      <c r="AI2" s="23"/>
      <c r="AJ2" s="24"/>
      <c r="AK2" s="24"/>
      <c r="AL2" s="50"/>
      <c r="AM2" s="50"/>
      <c r="AN2" s="51" t="s">
        <v>14</v>
      </c>
      <c r="AP2" s="1"/>
      <c r="AQ2" s="1"/>
      <c r="AR2" s="52" t="s">
        <v>15</v>
      </c>
      <c r="AS2" s="53">
        <f>AI1</f>
        <v>3241780000</v>
      </c>
      <c r="AT2" s="54"/>
      <c r="AW2" s="55"/>
    </row>
    <row r="3" ht="24.95" customHeight="1" spans="1:50" s="56" customFormat="1" x14ac:dyDescent="0.25">
      <c r="A3" s="57" t="s">
        <v>16</v>
      </c>
      <c r="B3" s="58" t="s">
        <v>17</v>
      </c>
      <c r="C3" s="59" t="s">
        <v>18</v>
      </c>
      <c r="D3" s="60"/>
      <c r="E3" s="60"/>
      <c r="F3" s="60"/>
      <c r="G3" s="60"/>
      <c r="H3" s="61"/>
      <c r="I3" s="59" t="s">
        <v>19</v>
      </c>
      <c r="J3" s="60"/>
      <c r="K3" s="60"/>
      <c r="L3" s="60"/>
      <c r="M3" s="61"/>
      <c r="N3" s="62" t="s">
        <v>20</v>
      </c>
      <c r="O3" s="63" t="s">
        <v>21</v>
      </c>
      <c r="P3" s="59" t="s">
        <v>22</v>
      </c>
      <c r="Q3" s="60"/>
      <c r="R3" s="64"/>
      <c r="S3" s="64"/>
      <c r="T3" s="60"/>
      <c r="U3" s="61"/>
      <c r="V3" s="65"/>
      <c r="W3" s="59" t="s">
        <v>181</v>
      </c>
      <c r="X3" s="60"/>
      <c r="Y3" s="60"/>
      <c r="Z3" s="60"/>
      <c r="AA3" s="60"/>
      <c r="AB3" s="60"/>
      <c r="AC3" s="60"/>
      <c r="AD3" s="60"/>
      <c r="AE3" s="61"/>
      <c r="AF3" s="60"/>
      <c r="AG3" s="60"/>
      <c r="AH3" s="60"/>
      <c r="AI3" s="60"/>
      <c r="AJ3" s="60"/>
      <c r="AK3" s="61"/>
      <c r="AL3" s="66" t="s">
        <v>24</v>
      </c>
      <c r="AM3" s="67" t="s">
        <v>25</v>
      </c>
      <c r="AN3" s="68" t="s">
        <v>26</v>
      </c>
      <c r="AO3" s="69" t="s">
        <v>27</v>
      </c>
      <c r="AP3" s="70" t="s">
        <v>28</v>
      </c>
      <c r="AQ3" s="65" t="s">
        <v>29</v>
      </c>
      <c r="AR3" s="67" t="s">
        <v>30</v>
      </c>
      <c r="AS3" s="65" t="s">
        <v>31</v>
      </c>
      <c r="AT3" s="65" t="s">
        <v>32</v>
      </c>
      <c r="AU3" s="65" t="s">
        <v>33</v>
      </c>
      <c r="AV3" s="71" t="s">
        <v>34</v>
      </c>
      <c r="AW3" s="65" t="s">
        <v>35</v>
      </c>
      <c r="AX3" s="65" t="s">
        <v>36</v>
      </c>
    </row>
    <row r="4" ht="39.75" customHeight="1" spans="1:50" s="56" customFormat="1" x14ac:dyDescent="0.25">
      <c r="A4" s="72"/>
      <c r="B4" s="73"/>
      <c r="C4" s="74" t="s">
        <v>37</v>
      </c>
      <c r="D4" s="75" t="s">
        <v>38</v>
      </c>
      <c r="E4" s="76" t="s">
        <v>39</v>
      </c>
      <c r="F4" s="76" t="s">
        <v>40</v>
      </c>
      <c r="G4" s="77" t="s">
        <v>41</v>
      </c>
      <c r="H4" s="65"/>
      <c r="I4" s="78" t="s">
        <v>37</v>
      </c>
      <c r="J4" s="79" t="s">
        <v>38</v>
      </c>
      <c r="K4" s="75" t="s">
        <v>39</v>
      </c>
      <c r="L4" s="75" t="s">
        <v>40</v>
      </c>
      <c r="M4" s="80" t="s">
        <v>41</v>
      </c>
      <c r="N4" s="81"/>
      <c r="O4" s="82"/>
      <c r="P4" s="78" t="s">
        <v>37</v>
      </c>
      <c r="Q4" s="79" t="s">
        <v>38</v>
      </c>
      <c r="R4" s="75" t="s">
        <v>39</v>
      </c>
      <c r="S4" s="75" t="s">
        <v>40</v>
      </c>
      <c r="T4" s="80" t="s">
        <v>41</v>
      </c>
      <c r="U4" s="83" t="s">
        <v>42</v>
      </c>
      <c r="V4" s="84" t="s">
        <v>43</v>
      </c>
      <c r="W4" s="85" t="s">
        <v>37</v>
      </c>
      <c r="X4" s="79" t="s">
        <v>38</v>
      </c>
      <c r="Y4" s="79" t="s">
        <v>39</v>
      </c>
      <c r="Z4" s="79" t="s">
        <v>40</v>
      </c>
      <c r="AA4" s="80" t="s">
        <v>41</v>
      </c>
      <c r="AB4" s="86" t="s">
        <v>44</v>
      </c>
      <c r="AC4" s="87" t="s">
        <v>45</v>
      </c>
      <c r="AD4" s="88" t="s">
        <v>46</v>
      </c>
      <c r="AE4" s="88" t="s">
        <v>47</v>
      </c>
      <c r="AF4" s="89" t="s">
        <v>48</v>
      </c>
      <c r="AG4" s="89" t="s">
        <v>49</v>
      </c>
      <c r="AH4" s="90" t="s">
        <v>50</v>
      </c>
      <c r="AI4" s="91" t="s">
        <v>51</v>
      </c>
      <c r="AJ4" s="91"/>
      <c r="AK4" s="91" t="s">
        <v>52</v>
      </c>
      <c r="AL4" s="92"/>
      <c r="AM4" s="93"/>
      <c r="AN4" s="94"/>
      <c r="AO4" s="95"/>
      <c r="AP4" s="70"/>
      <c r="AQ4" s="65"/>
      <c r="AR4" s="93"/>
      <c r="AS4" s="65"/>
      <c r="AT4" s="65"/>
      <c r="AU4" s="65"/>
      <c r="AV4" s="96"/>
      <c r="AW4" s="65"/>
      <c r="AX4" s="65"/>
    </row>
    <row r="5" ht="46.5" customHeight="1" spans="1:50" s="97" customFormat="1" x14ac:dyDescent="0.25">
      <c r="A5" s="98">
        <v>1</v>
      </c>
      <c r="B5" s="99"/>
      <c r="C5" s="203" t="s">
        <v>54</v>
      </c>
      <c r="D5" s="102"/>
      <c r="E5" s="102"/>
      <c r="F5" s="102"/>
      <c r="G5" s="103"/>
      <c r="H5" s="104"/>
      <c r="I5" s="105">
        <v>1</v>
      </c>
      <c r="J5" s="106"/>
      <c r="K5" s="107"/>
      <c r="L5" s="108"/>
      <c r="M5" s="109"/>
      <c r="N5" s="110">
        <f>SUM(I5:M5)</f>
        <v>1</v>
      </c>
      <c r="O5" s="111">
        <v>1</v>
      </c>
      <c r="P5" s="112">
        <v>15</v>
      </c>
      <c r="Q5" s="113"/>
      <c r="R5" s="112"/>
      <c r="S5" s="114"/>
      <c r="T5" s="115"/>
      <c r="U5" s="116">
        <f>ROUND(((P5*I5)+(Q5*J5)+(R5*K5)+(S5*L5)+(T5*M5))*O5,2)</f>
        <v>15</v>
      </c>
      <c r="V5" s="117">
        <f>IF(U5&gt;=15,15,U5)</f>
        <v>15</v>
      </c>
      <c r="W5" s="204">
        <v>59183685000</v>
      </c>
      <c r="X5" s="119"/>
      <c r="Y5" s="120"/>
      <c r="Z5" s="121"/>
      <c r="AA5" s="122"/>
      <c r="AB5" s="123">
        <f>ROUND((((W5*I5)+(X5*J5)+(Y5*K5)+(Z5*L5)+(AA5*M5))/$I$2),2)*13</f>
        <v>215.8</v>
      </c>
      <c r="AC5" s="124">
        <f>IF(AB5&gt;=13,13,AB5)</f>
        <v>13</v>
      </c>
      <c r="AD5" s="125">
        <v>5</v>
      </c>
      <c r="AE5" s="116">
        <f>IF((AC5+AD5)&gt;=15,15,(AC5+AD5))</f>
        <v>15</v>
      </c>
      <c r="AF5" s="126"/>
      <c r="AG5" s="127">
        <v>4.48</v>
      </c>
      <c r="AH5" s="128">
        <f>IF((V5+AE5+AF5)&gt;=30,30,(V5+AE5+AF5))</f>
        <v>30</v>
      </c>
      <c r="AI5" s="129">
        <v>65</v>
      </c>
      <c r="AJ5" s="128">
        <f>V5+AE5+AF5+AI5+AG5</f>
        <v>99.48</v>
      </c>
      <c r="AK5" s="128">
        <f>IF(AH5+AI5+AG5&gt;=95,95,AH5+AI5+AG5)</f>
        <v>95</v>
      </c>
      <c r="AL5" s="130">
        <f>-((50-((176+(45+(50-AH5)))))/200)</f>
        <v>0.955</v>
      </c>
      <c r="AM5" s="131"/>
      <c r="AN5" s="132">
        <f>100%+AM5</f>
        <v>1</v>
      </c>
      <c r="AO5" s="132">
        <f>100%+AN5</f>
        <v>2</v>
      </c>
      <c r="AP5" s="133"/>
      <c r="AQ5" s="134"/>
      <c r="AR5" s="135"/>
      <c r="AS5" s="135"/>
      <c r="AT5" s="135"/>
      <c r="AU5" s="135"/>
      <c r="AV5" s="136"/>
      <c r="AW5" s="137">
        <f>AR5+AS5+AT5+AU5+AV5</f>
        <v>0</v>
      </c>
      <c r="AX5" s="137">
        <f>(AR5*I5)+(AS5*J5)+(AT5*K5)+(AU5*L5)+(AV5*M5)</f>
        <v>0</v>
      </c>
    </row>
    <row r="6" ht="21.95" customHeight="1" spans="1:50" s="97" customFormat="1" x14ac:dyDescent="0.25">
      <c r="A6" s="138" t="s">
        <v>56</v>
      </c>
      <c r="B6" s="139"/>
      <c r="C6" s="139"/>
      <c r="D6" s="139"/>
      <c r="E6" s="139"/>
      <c r="F6" s="139"/>
      <c r="G6" s="139"/>
      <c r="H6" s="140"/>
      <c r="I6" s="141">
        <v>93.38</v>
      </c>
      <c r="J6" s="142"/>
      <c r="K6" s="142"/>
      <c r="L6" s="142"/>
      <c r="M6" s="142"/>
      <c r="N6" s="143">
        <f>I6*I5+J6*J5+K6*K5+L6*L5+M6*M5</f>
        <v>93.38</v>
      </c>
      <c r="O6" s="144"/>
      <c r="P6" s="145"/>
      <c r="Q6" s="113"/>
      <c r="R6" s="113"/>
      <c r="S6" s="146"/>
      <c r="T6" s="147"/>
      <c r="U6" s="148"/>
      <c r="V6" s="149"/>
      <c r="W6" s="150"/>
      <c r="X6" s="151"/>
      <c r="Y6" s="152"/>
      <c r="Z6" s="151"/>
      <c r="AA6" s="153"/>
      <c r="AB6" s="154"/>
      <c r="AC6" s="149"/>
      <c r="AD6" s="148"/>
      <c r="AE6" s="148"/>
      <c r="AF6" s="155"/>
      <c r="AG6" s="156"/>
      <c r="AH6" s="113"/>
      <c r="AI6" s="157"/>
      <c r="AJ6" s="113"/>
      <c r="AK6" s="113"/>
      <c r="AL6" s="158"/>
      <c r="AM6" s="159"/>
      <c r="AN6" s="160"/>
      <c r="AO6" s="160"/>
      <c r="AP6" s="133"/>
      <c r="AQ6" s="134"/>
      <c r="AR6" s="161"/>
      <c r="AS6" s="161"/>
      <c r="AT6" s="161"/>
      <c r="AU6" s="161"/>
      <c r="AV6" s="162"/>
      <c r="AW6" s="137"/>
      <c r="AX6" s="137"/>
    </row>
    <row r="7" ht="46.5" customHeight="1" spans="1:50" s="97" customFormat="1" x14ac:dyDescent="0.25">
      <c r="A7" s="98">
        <v>2</v>
      </c>
      <c r="B7" s="99"/>
      <c r="C7" s="205" t="s">
        <v>66</v>
      </c>
      <c r="D7" s="102"/>
      <c r="E7" s="102"/>
      <c r="F7" s="163"/>
      <c r="G7" s="164"/>
      <c r="H7" s="165"/>
      <c r="I7" s="166">
        <v>1</v>
      </c>
      <c r="J7" s="107"/>
      <c r="K7" s="107"/>
      <c r="L7" s="167"/>
      <c r="M7" s="168"/>
      <c r="N7" s="169">
        <f>SUM(I7:M7)</f>
        <v>1</v>
      </c>
      <c r="O7" s="144">
        <v>1</v>
      </c>
      <c r="P7" s="112">
        <v>15</v>
      </c>
      <c r="Q7" s="113"/>
      <c r="R7" s="112"/>
      <c r="S7" s="113"/>
      <c r="T7" s="147"/>
      <c r="U7" s="148">
        <f>ROUND(((P7*I7)+(Q7*J7)+(R7*K7)+(S7*L7)+(T7*M7))*O7,2)</f>
        <v>15</v>
      </c>
      <c r="V7" s="149">
        <f>IF(U7&gt;=15,15,U7)</f>
        <v>15</v>
      </c>
      <c r="W7" s="120">
        <v>14977246000</v>
      </c>
      <c r="X7" s="120"/>
      <c r="Y7" s="120"/>
      <c r="Z7" s="151"/>
      <c r="AA7" s="153"/>
      <c r="AB7" s="154">
        <f>ROUND((((W7*I7)+(X7*J7)+(Y7*K7)+(Z7*L7)+(AA7*M7))/$I$2),2)*13</f>
        <v>54.6</v>
      </c>
      <c r="AC7" s="149">
        <f>IF(AB7&gt;=13,13,AB7)</f>
        <v>13</v>
      </c>
      <c r="AD7" s="125">
        <v>2</v>
      </c>
      <c r="AE7" s="148">
        <f>IF((AC7+AD7)&gt;=15,15,(AC7+AD7))</f>
        <v>15</v>
      </c>
      <c r="AF7" s="155"/>
      <c r="AG7" s="127">
        <v>4.48</v>
      </c>
      <c r="AH7" s="113">
        <f>IF((V7+AE7+AF7)&gt;=30,30,(V7+AE7+AF7))</f>
        <v>30</v>
      </c>
      <c r="AI7" s="157">
        <v>65</v>
      </c>
      <c r="AJ7" s="113">
        <f>V7+AE7+AF7+AI7+AG7</f>
        <v>99.48</v>
      </c>
      <c r="AK7" s="113">
        <f>IF(AH7+AI7+AG7&gt;=95,95,AH7+AI7+AG7)</f>
        <v>95</v>
      </c>
      <c r="AL7" s="158">
        <f>-((50-((176+(45+(50-AH7)))))/200)</f>
        <v>0.955</v>
      </c>
      <c r="AM7" s="159"/>
      <c r="AN7" s="160">
        <f>100%+AM7</f>
        <v>1</v>
      </c>
      <c r="AO7" s="160">
        <f>100%+AN7</f>
        <v>2</v>
      </c>
      <c r="AP7" s="133"/>
      <c r="AQ7" s="134"/>
      <c r="AR7" s="161"/>
      <c r="AS7" s="161"/>
      <c r="AT7" s="161"/>
      <c r="AU7" s="161"/>
      <c r="AV7" s="162"/>
      <c r="AW7" s="137">
        <f>AR7+AS7+AT7+AU7+AV7</f>
        <v>0</v>
      </c>
      <c r="AX7" s="137">
        <f>(AR7*I7)+(AS7*J7)+(AT7*K7)+(AU7*L7)+(AV7*M7)</f>
        <v>0</v>
      </c>
    </row>
    <row r="8" ht="21.95" customHeight="1" spans="1:50" s="97" customFormat="1" x14ac:dyDescent="0.25">
      <c r="A8" s="138" t="s">
        <v>56</v>
      </c>
      <c r="B8" s="139"/>
      <c r="C8" s="139"/>
      <c r="D8" s="139"/>
      <c r="E8" s="139"/>
      <c r="F8" s="139"/>
      <c r="G8" s="139"/>
      <c r="H8" s="140"/>
      <c r="I8" s="142">
        <v>85</v>
      </c>
      <c r="J8" s="181"/>
      <c r="K8" s="142"/>
      <c r="L8" s="142"/>
      <c r="M8" s="142"/>
      <c r="N8" s="170">
        <f>I8*I7+J8*J7+K8*K7+L8*L7+M8*M7</f>
        <v>85</v>
      </c>
      <c r="O8" s="144"/>
      <c r="P8" s="145"/>
      <c r="Q8" s="113"/>
      <c r="R8" s="113"/>
      <c r="S8" s="146"/>
      <c r="T8" s="147"/>
      <c r="U8" s="148"/>
      <c r="V8" s="149"/>
      <c r="W8" s="150"/>
      <c r="X8" s="151"/>
      <c r="Y8" s="152"/>
      <c r="Z8" s="151"/>
      <c r="AA8" s="153"/>
      <c r="AB8" s="154"/>
      <c r="AC8" s="149"/>
      <c r="AD8" s="148"/>
      <c r="AE8" s="148"/>
      <c r="AF8" s="155"/>
      <c r="AG8" s="156"/>
      <c r="AH8" s="113"/>
      <c r="AI8" s="157"/>
      <c r="AJ8" s="113"/>
      <c r="AK8" s="113"/>
      <c r="AL8" s="158"/>
      <c r="AM8" s="159"/>
      <c r="AN8" s="160"/>
      <c r="AO8" s="160"/>
      <c r="AP8" s="133"/>
      <c r="AQ8" s="134"/>
      <c r="AR8" s="161"/>
      <c r="AS8" s="161"/>
      <c r="AT8" s="161"/>
      <c r="AU8" s="161"/>
      <c r="AV8" s="162"/>
      <c r="AW8" s="137"/>
      <c r="AX8" s="137"/>
    </row>
    <row r="9" ht="46.5" customHeight="1" spans="1:50" s="97" customFormat="1" x14ac:dyDescent="0.25">
      <c r="A9" s="98">
        <v>3</v>
      </c>
      <c r="B9" s="99"/>
      <c r="C9" s="205" t="s">
        <v>59</v>
      </c>
      <c r="D9" s="102"/>
      <c r="E9" s="102"/>
      <c r="F9" s="163"/>
      <c r="G9" s="103"/>
      <c r="H9" s="171"/>
      <c r="I9" s="166">
        <v>1</v>
      </c>
      <c r="J9" s="107"/>
      <c r="K9" s="107"/>
      <c r="L9" s="167"/>
      <c r="M9" s="168"/>
      <c r="N9" s="169">
        <f>SUM(I9:M9)</f>
        <v>1</v>
      </c>
      <c r="O9" s="144">
        <v>1</v>
      </c>
      <c r="P9" s="112">
        <v>15</v>
      </c>
      <c r="Q9" s="112"/>
      <c r="R9" s="112"/>
      <c r="S9" s="146"/>
      <c r="T9" s="147"/>
      <c r="U9" s="148">
        <f>ROUND(((P9*I9)+(Q9*J9)+(R9*K9)+(S9*L9)+(T9*M9))*O9,2)</f>
        <v>15</v>
      </c>
      <c r="V9" s="149">
        <f>IF(U9&gt;=15,15,U9)</f>
        <v>15</v>
      </c>
      <c r="W9" s="206">
        <v>39361754000</v>
      </c>
      <c r="X9" s="120"/>
      <c r="Y9" s="120"/>
      <c r="Z9" s="151"/>
      <c r="AA9" s="153"/>
      <c r="AB9" s="154">
        <f>ROUND((((W9*I9)+(X9*J9)+(Y9*K9)+(Z9*L9)+(AA9*M9))/$I$2),2)*13</f>
        <v>143.51999999999998</v>
      </c>
      <c r="AC9" s="149">
        <f>IF(AB9&gt;=13,13,AB9)</f>
        <v>13</v>
      </c>
      <c r="AD9" s="125">
        <v>5</v>
      </c>
      <c r="AE9" s="148">
        <f>IF((AC9+AD9)&gt;=15,15,(AC9+AD9))</f>
        <v>15</v>
      </c>
      <c r="AF9" s="155"/>
      <c r="AG9" s="127">
        <v>4.48</v>
      </c>
      <c r="AH9" s="113">
        <f>IF((V9+AE9+AF9)&gt;=30,30,(V9+AE9+AF9))</f>
        <v>30</v>
      </c>
      <c r="AI9" s="157">
        <v>65</v>
      </c>
      <c r="AJ9" s="113">
        <f>V9+AE9+AF9+AI9+AG9</f>
        <v>99.48</v>
      </c>
      <c r="AK9" s="113">
        <f>IF(AH9+AI9+AG9&gt;=95,95,AH9+AI9+AG9)</f>
        <v>95</v>
      </c>
      <c r="AL9" s="158">
        <f>-((50-((176+(45+(50-AH9)))))/200)</f>
        <v>0.955</v>
      </c>
      <c r="AM9" s="159"/>
      <c r="AN9" s="160">
        <f>100%+AM9</f>
        <v>1</v>
      </c>
      <c r="AO9" s="160">
        <f>100%+AN9</f>
        <v>2</v>
      </c>
      <c r="AP9" s="133"/>
      <c r="AQ9" s="134"/>
      <c r="AR9" s="161"/>
      <c r="AS9" s="161"/>
      <c r="AT9" s="161"/>
      <c r="AU9" s="161"/>
      <c r="AV9" s="162"/>
      <c r="AW9" s="172">
        <f>AR9+AS9+AT9+AU9+AV9</f>
        <v>0</v>
      </c>
      <c r="AX9" s="172">
        <f>(AR9*I9)+(AS9*J9)+(AT9*K9)+(AU9*L9)+(AV9*M9)</f>
        <v>0</v>
      </c>
    </row>
    <row r="10" ht="21.95" customHeight="1" spans="1:50" s="97" customFormat="1" x14ac:dyDescent="0.25">
      <c r="A10" s="138" t="s">
        <v>56</v>
      </c>
      <c r="B10" s="139"/>
      <c r="C10" s="139"/>
      <c r="D10" s="139"/>
      <c r="E10" s="139"/>
      <c r="F10" s="139"/>
      <c r="G10" s="139"/>
      <c r="H10" s="140"/>
      <c r="I10" s="141">
        <v>90.73</v>
      </c>
      <c r="J10" s="142"/>
      <c r="K10" s="142"/>
      <c r="L10" s="142"/>
      <c r="M10" s="142"/>
      <c r="N10" s="170">
        <f>I10*I9+J10*J9+K10*K9+L10*L9+M10*M9</f>
        <v>90.73</v>
      </c>
      <c r="O10" s="144"/>
      <c r="P10" s="145"/>
      <c r="Q10" s="113"/>
      <c r="R10" s="113"/>
      <c r="S10" s="146"/>
      <c r="T10" s="147"/>
      <c r="U10" s="148"/>
      <c r="V10" s="149"/>
      <c r="W10" s="150"/>
      <c r="X10" s="151"/>
      <c r="Y10" s="152"/>
      <c r="Z10" s="151"/>
      <c r="AA10" s="153"/>
      <c r="AB10" s="154"/>
      <c r="AC10" s="149"/>
      <c r="AD10" s="148"/>
      <c r="AE10" s="148"/>
      <c r="AF10" s="155"/>
      <c r="AG10" s="156"/>
      <c r="AH10" s="113"/>
      <c r="AI10" s="157"/>
      <c r="AJ10" s="113"/>
      <c r="AK10" s="113"/>
      <c r="AL10" s="158"/>
      <c r="AM10" s="159"/>
      <c r="AN10" s="160"/>
      <c r="AO10" s="160"/>
      <c r="AP10" s="133"/>
      <c r="AQ10" s="134"/>
      <c r="AR10" s="161"/>
      <c r="AS10" s="161"/>
      <c r="AT10" s="161"/>
      <c r="AU10" s="161"/>
      <c r="AV10" s="162"/>
      <c r="AW10" s="137"/>
      <c r="AX10" s="137"/>
    </row>
    <row r="11" ht="46.5" customHeight="1" spans="1:50" s="97" customFormat="1" x14ac:dyDescent="0.25">
      <c r="A11" s="98">
        <v>4</v>
      </c>
      <c r="B11" s="99"/>
      <c r="C11" s="205" t="s">
        <v>57</v>
      </c>
      <c r="D11" s="102"/>
      <c r="E11" s="100"/>
      <c r="F11" s="163"/>
      <c r="G11" s="103"/>
      <c r="H11" s="171"/>
      <c r="I11" s="166">
        <v>1</v>
      </c>
      <c r="J11" s="175"/>
      <c r="K11" s="107"/>
      <c r="L11" s="176"/>
      <c r="M11" s="168"/>
      <c r="N11" s="169">
        <f t="shared" ref="N11:N53" si="0">SUM(I11:M11)</f>
        <v>1</v>
      </c>
      <c r="O11" s="144">
        <v>1</v>
      </c>
      <c r="P11" s="112">
        <v>15</v>
      </c>
      <c r="Q11" s="178"/>
      <c r="R11" s="178"/>
      <c r="S11" s="113"/>
      <c r="T11" s="147"/>
      <c r="U11" s="148">
        <f t="shared" ref="U11:U85" si="1">ROUND(((P11*I11)+(Q11*J11)+(R11*K11)+(S11*L11)+(T11*M11))*O11,2)</f>
        <v>15</v>
      </c>
      <c r="V11" s="149">
        <f t="shared" ref="V11:V85" si="2">IF(U11&gt;=15,15,U11)</f>
        <v>15</v>
      </c>
      <c r="W11" s="206">
        <v>34748832000</v>
      </c>
      <c r="X11" s="120"/>
      <c r="Y11" s="120"/>
      <c r="Z11" s="151"/>
      <c r="AA11" s="153"/>
      <c r="AB11" s="154">
        <f t="shared" ref="AB11:AB85" si="3">ROUND((((W11*I11)+(X11*J11)+(Y11*K11)+(Z11*L11)+(AA11*M11))/$I$2),2)*13</f>
        <v>126.62</v>
      </c>
      <c r="AC11" s="149">
        <f t="shared" ref="AC11:AC85" si="4">IF(AB11&gt;=13,13,AB11)</f>
        <v>13</v>
      </c>
      <c r="AD11" s="125">
        <v>2</v>
      </c>
      <c r="AE11" s="148">
        <f t="shared" ref="AE11:AE85" si="5">IF((AC11+AD11)&gt;=15,15,(AC11+AD11))</f>
        <v>15</v>
      </c>
      <c r="AF11" s="207"/>
      <c r="AG11" s="127">
        <v>4.48</v>
      </c>
      <c r="AH11" s="113">
        <f t="shared" ref="AH11:AH85" si="6">IF((V11+AE11+AF11)&gt;=30,30,(V11+AE11+AF11))</f>
        <v>30</v>
      </c>
      <c r="AI11" s="157">
        <v>65</v>
      </c>
      <c r="AJ11" s="113">
        <f t="shared" ref="AJ11:AJ85" si="7">V11+AE11+AF11+AI11+AG11</f>
        <v>99.48</v>
      </c>
      <c r="AK11" s="113">
        <f t="shared" ref="AK11:AK85" si="8">IF(AH11+AI11+AG11&gt;=95,95,AH11+AI11+AG11)</f>
        <v>95</v>
      </c>
      <c r="AL11" s="158">
        <f t="shared" ref="AL11:AL85" si="9">-((50-((176+(45+(50-AH11)))))/200)</f>
        <v>0.955</v>
      </c>
      <c r="AM11" s="159"/>
      <c r="AN11" s="160">
        <f t="shared" ref="AN11:AO39" si="10">100%+AM11</f>
        <v>1</v>
      </c>
      <c r="AO11" s="160">
        <f t="shared" si="10"/>
        <v>2</v>
      </c>
      <c r="AP11" s="133"/>
      <c r="AQ11" s="134"/>
      <c r="AR11" s="161"/>
      <c r="AS11" s="161"/>
      <c r="AT11" s="161"/>
      <c r="AU11" s="161"/>
      <c r="AV11" s="162"/>
      <c r="AW11" s="137">
        <f t="shared" ref="AW11:AW85" si="11">AR11+AS11+AT11+AU11+AV11</f>
        <v>0</v>
      </c>
      <c r="AX11" s="137">
        <f t="shared" ref="AX11:AX85" si="12">(AR11*I11)+(AS11*J11)+(AT11*K11)+(AU11*L11)+(AV11*M11)</f>
        <v>0</v>
      </c>
    </row>
    <row r="12" ht="21.95" customHeight="1" spans="1:50" s="97" customFormat="1" x14ac:dyDescent="0.25">
      <c r="A12" s="138" t="s">
        <v>56</v>
      </c>
      <c r="B12" s="139"/>
      <c r="C12" s="139"/>
      <c r="D12" s="139"/>
      <c r="E12" s="139"/>
      <c r="F12" s="139"/>
      <c r="G12" s="139"/>
      <c r="H12" s="140"/>
      <c r="I12" s="181">
        <v>85</v>
      </c>
      <c r="J12" s="142"/>
      <c r="K12" s="142"/>
      <c r="L12" s="142"/>
      <c r="M12" s="142"/>
      <c r="N12" s="170">
        <f>I12*I11+J12*J11+K12*K11+L12*L11+M12*M11</f>
        <v>85</v>
      </c>
      <c r="O12" s="144"/>
      <c r="P12" s="145"/>
      <c r="Q12" s="113"/>
      <c r="R12" s="113"/>
      <c r="S12" s="146"/>
      <c r="T12" s="147"/>
      <c r="U12" s="148"/>
      <c r="V12" s="149"/>
      <c r="W12" s="150"/>
      <c r="X12" s="151"/>
      <c r="Y12" s="152"/>
      <c r="Z12" s="151"/>
      <c r="AA12" s="153"/>
      <c r="AB12" s="154"/>
      <c r="AC12" s="149"/>
      <c r="AD12" s="148"/>
      <c r="AE12" s="148"/>
      <c r="AF12" s="155"/>
      <c r="AG12" s="156"/>
      <c r="AH12" s="113"/>
      <c r="AI12" s="157"/>
      <c r="AJ12" s="113"/>
      <c r="AK12" s="113"/>
      <c r="AL12" s="158"/>
      <c r="AM12" s="159"/>
      <c r="AN12" s="160"/>
      <c r="AO12" s="160"/>
      <c r="AP12" s="133"/>
      <c r="AQ12" s="134"/>
      <c r="AR12" s="161"/>
      <c r="AS12" s="161"/>
      <c r="AT12" s="161"/>
      <c r="AU12" s="161"/>
      <c r="AV12" s="162"/>
      <c r="AW12" s="137"/>
      <c r="AX12" s="137"/>
    </row>
    <row r="13" ht="46.5" customHeight="1" spans="1:50" s="97" customFormat="1" x14ac:dyDescent="0.25">
      <c r="A13" s="98">
        <v>5</v>
      </c>
      <c r="B13" s="99"/>
      <c r="C13" s="205" t="s">
        <v>63</v>
      </c>
      <c r="D13" s="100"/>
      <c r="E13" s="100"/>
      <c r="F13" s="163"/>
      <c r="G13" s="103"/>
      <c r="H13" s="182"/>
      <c r="I13" s="166">
        <v>1</v>
      </c>
      <c r="J13" s="107"/>
      <c r="K13" s="107"/>
      <c r="L13" s="167"/>
      <c r="M13" s="168"/>
      <c r="N13" s="169">
        <f t="shared" si="0"/>
        <v>1</v>
      </c>
      <c r="O13" s="144">
        <v>1</v>
      </c>
      <c r="P13" s="112">
        <v>15</v>
      </c>
      <c r="Q13" s="178"/>
      <c r="R13" s="112"/>
      <c r="S13" s="146"/>
      <c r="T13" s="120"/>
      <c r="U13" s="148">
        <f t="shared" si="1"/>
        <v>15</v>
      </c>
      <c r="V13" s="149">
        <f t="shared" si="2"/>
        <v>15</v>
      </c>
      <c r="W13" s="206">
        <v>57539030000</v>
      </c>
      <c r="X13" s="120"/>
      <c r="Y13" s="183"/>
      <c r="Z13" s="151"/>
      <c r="AA13" s="153"/>
      <c r="AB13" s="154">
        <f t="shared" si="3"/>
        <v>209.82</v>
      </c>
      <c r="AC13" s="149">
        <f t="shared" si="4"/>
        <v>13</v>
      </c>
      <c r="AD13" s="125">
        <v>2</v>
      </c>
      <c r="AE13" s="148">
        <f t="shared" si="5"/>
        <v>15</v>
      </c>
      <c r="AF13" s="207"/>
      <c r="AG13" s="127">
        <v>4.48</v>
      </c>
      <c r="AH13" s="113">
        <f t="shared" si="6"/>
        <v>30</v>
      </c>
      <c r="AI13" s="157">
        <v>65</v>
      </c>
      <c r="AJ13" s="113">
        <f t="shared" si="7"/>
        <v>99.48</v>
      </c>
      <c r="AK13" s="113">
        <f t="shared" si="8"/>
        <v>95</v>
      </c>
      <c r="AL13" s="158">
        <f t="shared" si="9"/>
        <v>0.955</v>
      </c>
      <c r="AM13" s="159"/>
      <c r="AN13" s="160">
        <f t="shared" si="10"/>
        <v>1</v>
      </c>
      <c r="AO13" s="160">
        <f t="shared" si="10"/>
        <v>2</v>
      </c>
      <c r="AP13" s="133"/>
      <c r="AQ13" s="134"/>
      <c r="AR13" s="161"/>
      <c r="AS13" s="161"/>
      <c r="AT13" s="161"/>
      <c r="AU13" s="161"/>
      <c r="AV13" s="162"/>
      <c r="AW13" s="137">
        <f t="shared" si="11"/>
        <v>0</v>
      </c>
      <c r="AX13" s="137">
        <f t="shared" si="12"/>
        <v>0</v>
      </c>
    </row>
    <row r="14" ht="21.95" customHeight="1" spans="1:50" s="97" customFormat="1" x14ac:dyDescent="0.25">
      <c r="A14" s="138" t="s">
        <v>56</v>
      </c>
      <c r="B14" s="139"/>
      <c r="C14" s="139"/>
      <c r="D14" s="139"/>
      <c r="E14" s="139"/>
      <c r="F14" s="139"/>
      <c r="G14" s="139"/>
      <c r="H14" s="140"/>
      <c r="I14" s="142">
        <v>85</v>
      </c>
      <c r="J14" s="142"/>
      <c r="K14" s="142"/>
      <c r="L14" s="142"/>
      <c r="M14" s="142"/>
      <c r="N14" s="170">
        <f>I14*I13+J14*J13+K14*K13+L14*L13+M14*M13</f>
        <v>85</v>
      </c>
      <c r="O14" s="144"/>
      <c r="P14" s="145"/>
      <c r="Q14" s="113"/>
      <c r="R14" s="113"/>
      <c r="S14" s="146"/>
      <c r="T14" s="147"/>
      <c r="U14" s="148"/>
      <c r="V14" s="149"/>
      <c r="W14" s="150"/>
      <c r="X14" s="151"/>
      <c r="Y14" s="152"/>
      <c r="Z14" s="151"/>
      <c r="AA14" s="153"/>
      <c r="AB14" s="154"/>
      <c r="AC14" s="149"/>
      <c r="AD14" s="148"/>
      <c r="AE14" s="148"/>
      <c r="AF14" s="155"/>
      <c r="AG14" s="156"/>
      <c r="AH14" s="113"/>
      <c r="AI14" s="157"/>
      <c r="AJ14" s="113"/>
      <c r="AK14" s="113"/>
      <c r="AL14" s="158"/>
      <c r="AM14" s="159"/>
      <c r="AN14" s="160"/>
      <c r="AO14" s="160"/>
      <c r="AP14" s="133"/>
      <c r="AQ14" s="134"/>
      <c r="AR14" s="161"/>
      <c r="AS14" s="161"/>
      <c r="AT14" s="161"/>
      <c r="AU14" s="161"/>
      <c r="AV14" s="162"/>
      <c r="AW14" s="137"/>
      <c r="AX14" s="137"/>
    </row>
    <row r="15" ht="46.5" customHeight="1" spans="1:50" s="97" customFormat="1" x14ac:dyDescent="0.25">
      <c r="A15" s="98">
        <v>6</v>
      </c>
      <c r="B15" s="99"/>
      <c r="C15" s="212" t="s">
        <v>87</v>
      </c>
      <c r="D15" s="101" t="s">
        <v>212</v>
      </c>
      <c r="E15" s="100"/>
      <c r="F15" s="100"/>
      <c r="G15" s="103"/>
      <c r="H15" s="171"/>
      <c r="I15" s="166">
        <v>0.51</v>
      </c>
      <c r="J15" s="106">
        <v>0.49</v>
      </c>
      <c r="K15" s="107"/>
      <c r="L15" s="167"/>
      <c r="M15" s="168"/>
      <c r="N15" s="169">
        <f t="shared" si="0"/>
        <v>1</v>
      </c>
      <c r="O15" s="144">
        <v>1</v>
      </c>
      <c r="P15" s="112">
        <v>15</v>
      </c>
      <c r="Q15" s="112">
        <v>15</v>
      </c>
      <c r="R15" s="112"/>
      <c r="S15" s="146"/>
      <c r="T15" s="147"/>
      <c r="U15" s="148">
        <f t="shared" si="1"/>
        <v>15</v>
      </c>
      <c r="V15" s="149">
        <f t="shared" si="2"/>
        <v>15</v>
      </c>
      <c r="W15" s="211">
        <v>32826052000</v>
      </c>
      <c r="X15" s="120">
        <v>17523143000</v>
      </c>
      <c r="Y15" s="120"/>
      <c r="Z15" s="151"/>
      <c r="AA15" s="153"/>
      <c r="AB15" s="154">
        <f t="shared" si="3"/>
        <v>92.3</v>
      </c>
      <c r="AC15" s="149">
        <f t="shared" si="4"/>
        <v>13</v>
      </c>
      <c r="AD15" s="125">
        <v>2</v>
      </c>
      <c r="AE15" s="148">
        <f t="shared" si="5"/>
        <v>15</v>
      </c>
      <c r="AF15" s="155"/>
      <c r="AG15" s="127">
        <v>4.48</v>
      </c>
      <c r="AH15" s="113">
        <f t="shared" si="6"/>
        <v>30</v>
      </c>
      <c r="AI15" s="157">
        <v>65</v>
      </c>
      <c r="AJ15" s="113">
        <f t="shared" si="7"/>
        <v>99.48</v>
      </c>
      <c r="AK15" s="113">
        <f t="shared" si="8"/>
        <v>95</v>
      </c>
      <c r="AL15" s="158">
        <f t="shared" si="9"/>
        <v>0.955</v>
      </c>
      <c r="AM15" s="159"/>
      <c r="AN15" s="160">
        <f t="shared" si="10"/>
        <v>1</v>
      </c>
      <c r="AO15" s="160">
        <f t="shared" si="10"/>
        <v>2</v>
      </c>
      <c r="AP15" s="133"/>
      <c r="AQ15" s="134"/>
      <c r="AR15" s="161"/>
      <c r="AS15" s="161"/>
      <c r="AT15" s="161"/>
      <c r="AU15" s="161"/>
      <c r="AV15" s="162"/>
      <c r="AW15" s="137">
        <f t="shared" si="11"/>
        <v>0</v>
      </c>
      <c r="AX15" s="137">
        <f t="shared" si="12"/>
        <v>0</v>
      </c>
    </row>
    <row r="16" ht="21.95" customHeight="1" spans="1:50" s="97" customFormat="1" x14ac:dyDescent="0.25">
      <c r="A16" s="138" t="s">
        <v>56</v>
      </c>
      <c r="B16" s="139"/>
      <c r="C16" s="139"/>
      <c r="D16" s="139"/>
      <c r="E16" s="139"/>
      <c r="F16" s="139"/>
      <c r="G16" s="139"/>
      <c r="H16" s="140"/>
      <c r="I16" s="181">
        <v>85</v>
      </c>
      <c r="J16" s="142">
        <v>85</v>
      </c>
      <c r="K16" s="142"/>
      <c r="L16" s="142"/>
      <c r="M16" s="142"/>
      <c r="N16" s="170">
        <f>I16*I15+J16*J15+K16*K15+L16*L15+M16*M15</f>
        <v>85</v>
      </c>
      <c r="O16" s="144"/>
      <c r="P16" s="145"/>
      <c r="Q16" s="113"/>
      <c r="R16" s="113"/>
      <c r="S16" s="146"/>
      <c r="T16" s="147"/>
      <c r="U16" s="148"/>
      <c r="V16" s="149"/>
      <c r="W16" s="150"/>
      <c r="X16" s="151"/>
      <c r="Y16" s="152"/>
      <c r="Z16" s="151"/>
      <c r="AA16" s="153"/>
      <c r="AB16" s="154"/>
      <c r="AC16" s="149"/>
      <c r="AD16" s="148"/>
      <c r="AE16" s="148"/>
      <c r="AF16" s="155"/>
      <c r="AG16" s="156"/>
      <c r="AH16" s="113"/>
      <c r="AI16" s="157"/>
      <c r="AJ16" s="113"/>
      <c r="AK16" s="113"/>
      <c r="AL16" s="158"/>
      <c r="AM16" s="159"/>
      <c r="AN16" s="160"/>
      <c r="AO16" s="160"/>
      <c r="AP16" s="133"/>
      <c r="AQ16" s="134"/>
      <c r="AR16" s="161"/>
      <c r="AS16" s="161"/>
      <c r="AT16" s="161"/>
      <c r="AU16" s="161"/>
      <c r="AV16" s="162"/>
      <c r="AW16" s="137"/>
      <c r="AX16" s="137"/>
    </row>
    <row r="17" ht="46.5" customHeight="1" spans="1:50" s="97" customFormat="1" x14ac:dyDescent="0.25">
      <c r="A17" s="98">
        <v>7</v>
      </c>
      <c r="B17" s="99"/>
      <c r="C17" s="212" t="s">
        <v>68</v>
      </c>
      <c r="D17" s="205" t="s">
        <v>278</v>
      </c>
      <c r="E17" s="100"/>
      <c r="F17" s="100"/>
      <c r="G17" s="103"/>
      <c r="H17" s="182"/>
      <c r="I17" s="166">
        <v>0.65</v>
      </c>
      <c r="J17" s="107">
        <v>0.35</v>
      </c>
      <c r="K17" s="107"/>
      <c r="L17" s="167"/>
      <c r="M17" s="168"/>
      <c r="N17" s="169">
        <f t="shared" si="0"/>
        <v>1</v>
      </c>
      <c r="O17" s="144">
        <v>1</v>
      </c>
      <c r="P17" s="112">
        <v>15</v>
      </c>
      <c r="Q17" s="112">
        <v>15</v>
      </c>
      <c r="R17" s="113"/>
      <c r="S17" s="146"/>
      <c r="T17" s="147"/>
      <c r="U17" s="148">
        <f t="shared" si="1"/>
        <v>15</v>
      </c>
      <c r="V17" s="149">
        <f t="shared" si="2"/>
        <v>15</v>
      </c>
      <c r="W17" s="211">
        <v>39588420000</v>
      </c>
      <c r="X17" s="213">
        <v>4102925000</v>
      </c>
      <c r="Y17" s="120"/>
      <c r="Z17" s="151"/>
      <c r="AA17" s="153"/>
      <c r="AB17" s="154">
        <f t="shared" si="3"/>
        <v>99.06</v>
      </c>
      <c r="AC17" s="149">
        <f t="shared" si="4"/>
        <v>13</v>
      </c>
      <c r="AD17" s="125">
        <v>2</v>
      </c>
      <c r="AE17" s="148">
        <f t="shared" si="5"/>
        <v>15</v>
      </c>
      <c r="AF17" s="156"/>
      <c r="AG17" s="127">
        <v>4.48</v>
      </c>
      <c r="AH17" s="113">
        <f t="shared" si="6"/>
        <v>30</v>
      </c>
      <c r="AI17" s="157">
        <v>65</v>
      </c>
      <c r="AJ17" s="113">
        <f t="shared" si="7"/>
        <v>99.48</v>
      </c>
      <c r="AK17" s="113">
        <f t="shared" si="8"/>
        <v>95</v>
      </c>
      <c r="AL17" s="158">
        <f t="shared" si="9"/>
        <v>0.955</v>
      </c>
      <c r="AM17" s="159"/>
      <c r="AN17" s="160">
        <f t="shared" si="10"/>
        <v>1</v>
      </c>
      <c r="AO17" s="160">
        <f t="shared" si="10"/>
        <v>2</v>
      </c>
      <c r="AP17" s="133"/>
      <c r="AQ17" s="134"/>
      <c r="AR17" s="161"/>
      <c r="AS17" s="161"/>
      <c r="AT17" s="161"/>
      <c r="AU17" s="161"/>
      <c r="AV17" s="162"/>
      <c r="AW17" s="137">
        <f t="shared" si="11"/>
        <v>0</v>
      </c>
      <c r="AX17" s="137">
        <f t="shared" si="12"/>
        <v>0</v>
      </c>
    </row>
    <row r="18" ht="21.95" customHeight="1" spans="1:50" s="97" customFormat="1" x14ac:dyDescent="0.25">
      <c r="A18" s="138" t="s">
        <v>56</v>
      </c>
      <c r="B18" s="139"/>
      <c r="C18" s="139"/>
      <c r="D18" s="139"/>
      <c r="E18" s="139"/>
      <c r="F18" s="139"/>
      <c r="G18" s="139"/>
      <c r="H18" s="140"/>
      <c r="I18" s="181">
        <v>85</v>
      </c>
      <c r="J18" s="142">
        <v>85</v>
      </c>
      <c r="K18" s="142"/>
      <c r="L18" s="142"/>
      <c r="M18" s="142"/>
      <c r="N18" s="170">
        <f>I18*I17+J18*J17+K18*K17+L18*L17+M18*M17</f>
        <v>85</v>
      </c>
      <c r="O18" s="144"/>
      <c r="P18" s="145"/>
      <c r="Q18" s="113"/>
      <c r="R18" s="113"/>
      <c r="S18" s="146"/>
      <c r="T18" s="147"/>
      <c r="U18" s="148"/>
      <c r="V18" s="149"/>
      <c r="W18" s="150"/>
      <c r="X18" s="151"/>
      <c r="Y18" s="152"/>
      <c r="Z18" s="151"/>
      <c r="AA18" s="153"/>
      <c r="AB18" s="154"/>
      <c r="AC18" s="149"/>
      <c r="AD18" s="148"/>
      <c r="AE18" s="148"/>
      <c r="AF18" s="155"/>
      <c r="AG18" s="156"/>
      <c r="AH18" s="113"/>
      <c r="AI18" s="157"/>
      <c r="AJ18" s="113"/>
      <c r="AK18" s="113"/>
      <c r="AL18" s="158"/>
      <c r="AM18" s="159"/>
      <c r="AN18" s="160"/>
      <c r="AO18" s="160"/>
      <c r="AP18" s="133"/>
      <c r="AQ18" s="134"/>
      <c r="AR18" s="161"/>
      <c r="AS18" s="161"/>
      <c r="AT18" s="161"/>
      <c r="AU18" s="161"/>
      <c r="AV18" s="162"/>
      <c r="AW18" s="137"/>
      <c r="AX18" s="137"/>
    </row>
    <row r="19" ht="46.5" customHeight="1" spans="1:50" s="97" customFormat="1" x14ac:dyDescent="0.25">
      <c r="A19" s="98">
        <v>8</v>
      </c>
      <c r="B19" s="208" t="s">
        <v>62</v>
      </c>
      <c r="C19" s="209" t="s">
        <v>58</v>
      </c>
      <c r="D19" s="210" t="s">
        <v>279</v>
      </c>
      <c r="E19" s="174"/>
      <c r="F19" s="100"/>
      <c r="G19" s="103"/>
      <c r="H19" s="233" t="s">
        <v>280</v>
      </c>
      <c r="I19" s="166">
        <v>0.7</v>
      </c>
      <c r="J19" s="226">
        <v>0.2572</v>
      </c>
      <c r="K19" s="106"/>
      <c r="L19" s="107"/>
      <c r="M19" s="187"/>
      <c r="N19" s="169">
        <f t="shared" si="0"/>
        <v>0.9571999999999999</v>
      </c>
      <c r="O19" s="144">
        <v>1</v>
      </c>
      <c r="P19" s="112">
        <v>15</v>
      </c>
      <c r="Q19" s="112">
        <v>15</v>
      </c>
      <c r="R19" s="178"/>
      <c r="S19" s="113"/>
      <c r="T19" s="146"/>
      <c r="U19" s="148">
        <f t="shared" si="1"/>
        <v>14.36</v>
      </c>
      <c r="V19" s="149">
        <f t="shared" si="2"/>
        <v>14.36</v>
      </c>
      <c r="W19" s="189">
        <v>328448752000</v>
      </c>
      <c r="X19" s="211">
        <v>708518000</v>
      </c>
      <c r="Y19" s="189"/>
      <c r="Z19" s="190"/>
      <c r="AA19" s="153"/>
      <c r="AB19" s="154">
        <f t="shared" si="3"/>
        <v>838.89</v>
      </c>
      <c r="AC19" s="149">
        <f t="shared" si="4"/>
        <v>13</v>
      </c>
      <c r="AD19" s="125">
        <v>2</v>
      </c>
      <c r="AE19" s="148">
        <f t="shared" si="5"/>
        <v>15</v>
      </c>
      <c r="AF19" s="156"/>
      <c r="AG19" s="127">
        <v>4.48</v>
      </c>
      <c r="AH19" s="113">
        <f t="shared" si="6"/>
        <v>29.36</v>
      </c>
      <c r="AI19" s="157">
        <v>65</v>
      </c>
      <c r="AJ19" s="113">
        <f t="shared" si="7"/>
        <v>98.84</v>
      </c>
      <c r="AK19" s="113">
        <f t="shared" si="8"/>
        <v>95</v>
      </c>
      <c r="AL19" s="158">
        <f t="shared" si="9"/>
        <v>0.9581999999999999</v>
      </c>
      <c r="AM19" s="159"/>
      <c r="AN19" s="160">
        <f t="shared" si="10"/>
        <v>1</v>
      </c>
      <c r="AO19" s="160">
        <f t="shared" si="10"/>
        <v>2</v>
      </c>
      <c r="AP19" s="133"/>
      <c r="AQ19" s="134"/>
      <c r="AR19" s="161"/>
      <c r="AS19" s="161"/>
      <c r="AT19" s="161"/>
      <c r="AU19" s="161"/>
      <c r="AV19" s="162"/>
      <c r="AW19" s="137">
        <f t="shared" si="11"/>
        <v>0</v>
      </c>
      <c r="AX19" s="137">
        <f t="shared" si="12"/>
        <v>0</v>
      </c>
    </row>
    <row r="20" ht="21.95" customHeight="1" spans="1:50" s="97" customFormat="1" x14ac:dyDescent="0.25">
      <c r="A20" s="138" t="s">
        <v>56</v>
      </c>
      <c r="B20" s="139"/>
      <c r="C20" s="139"/>
      <c r="D20" s="139"/>
      <c r="E20" s="139"/>
      <c r="F20" s="139"/>
      <c r="G20" s="139"/>
      <c r="H20" s="140"/>
      <c r="I20" s="141">
        <v>93.38</v>
      </c>
      <c r="J20" s="142">
        <v>85</v>
      </c>
      <c r="K20" s="142"/>
      <c r="L20" s="142"/>
      <c r="M20" s="142"/>
      <c r="N20" s="170">
        <f>I20*I19+J20*J19+K20*K19+L20*L19+M20*M19</f>
        <v>87.228</v>
      </c>
      <c r="O20" s="144"/>
      <c r="P20" s="145"/>
      <c r="Q20" s="113"/>
      <c r="R20" s="113"/>
      <c r="S20" s="146"/>
      <c r="T20" s="147"/>
      <c r="U20" s="148"/>
      <c r="V20" s="149"/>
      <c r="W20" s="150"/>
      <c r="X20" s="151"/>
      <c r="Y20" s="152"/>
      <c r="Z20" s="151"/>
      <c r="AA20" s="153"/>
      <c r="AB20" s="154"/>
      <c r="AC20" s="149"/>
      <c r="AD20" s="148"/>
      <c r="AE20" s="148"/>
      <c r="AF20" s="155"/>
      <c r="AG20" s="156"/>
      <c r="AH20" s="113"/>
      <c r="AI20" s="157"/>
      <c r="AJ20" s="113"/>
      <c r="AK20" s="113"/>
      <c r="AL20" s="158"/>
      <c r="AM20" s="159"/>
      <c r="AN20" s="160"/>
      <c r="AO20" s="160"/>
      <c r="AP20" s="133"/>
      <c r="AQ20" s="134"/>
      <c r="AR20" s="161"/>
      <c r="AS20" s="161"/>
      <c r="AT20" s="161"/>
      <c r="AU20" s="161"/>
      <c r="AV20" s="162"/>
      <c r="AW20" s="137"/>
      <c r="AX20" s="137"/>
    </row>
    <row r="21" ht="46.5" customHeight="1" spans="1:50" s="97" customFormat="1" x14ac:dyDescent="0.25">
      <c r="A21" s="98">
        <v>9</v>
      </c>
      <c r="B21" s="99"/>
      <c r="C21" s="209" t="s">
        <v>281</v>
      </c>
      <c r="D21" s="203" t="s">
        <v>282</v>
      </c>
      <c r="E21" s="100"/>
      <c r="F21" s="209"/>
      <c r="G21" s="103"/>
      <c r="H21" s="171" t="s">
        <v>283</v>
      </c>
      <c r="I21" s="232">
        <v>0.5377</v>
      </c>
      <c r="J21" s="107">
        <v>0.45</v>
      </c>
      <c r="K21" s="191"/>
      <c r="L21" s="107"/>
      <c r="M21" s="187"/>
      <c r="N21" s="169">
        <f t="shared" si="0"/>
        <v>0.9877</v>
      </c>
      <c r="O21" s="144">
        <v>1</v>
      </c>
      <c r="P21" s="112">
        <v>15</v>
      </c>
      <c r="Q21" s="112">
        <v>15</v>
      </c>
      <c r="R21" s="113"/>
      <c r="S21" s="113"/>
      <c r="T21" s="146"/>
      <c r="U21" s="148">
        <f t="shared" si="1"/>
        <v>14.82</v>
      </c>
      <c r="V21" s="149">
        <f t="shared" si="2"/>
        <v>14.82</v>
      </c>
      <c r="W21" s="211">
        <v>3664456000</v>
      </c>
      <c r="X21" s="211">
        <v>4319931000</v>
      </c>
      <c r="Y21" s="211"/>
      <c r="Z21" s="211"/>
      <c r="AA21" s="153"/>
      <c r="AB21" s="154">
        <f t="shared" si="3"/>
        <v>14.3</v>
      </c>
      <c r="AC21" s="149">
        <f t="shared" si="4"/>
        <v>13</v>
      </c>
      <c r="AD21" s="125">
        <v>1.5</v>
      </c>
      <c r="AE21" s="148">
        <f t="shared" si="5"/>
        <v>14.5</v>
      </c>
      <c r="AF21" s="156"/>
      <c r="AG21" s="127">
        <v>4.48</v>
      </c>
      <c r="AH21" s="113">
        <f t="shared" si="6"/>
        <v>29.32</v>
      </c>
      <c r="AI21" s="157">
        <v>65</v>
      </c>
      <c r="AJ21" s="113">
        <f t="shared" si="7"/>
        <v>98.8</v>
      </c>
      <c r="AK21" s="113">
        <f t="shared" si="8"/>
        <v>95</v>
      </c>
      <c r="AL21" s="158">
        <f t="shared" si="9"/>
        <v>0.9584</v>
      </c>
      <c r="AM21" s="159"/>
      <c r="AN21" s="160">
        <f t="shared" si="10"/>
        <v>1</v>
      </c>
      <c r="AO21" s="160">
        <f t="shared" si="10"/>
        <v>2</v>
      </c>
      <c r="AP21" s="133"/>
      <c r="AQ21" s="134"/>
      <c r="AR21" s="161"/>
      <c r="AS21" s="161"/>
      <c r="AT21" s="161"/>
      <c r="AU21" s="161"/>
      <c r="AV21" s="162"/>
      <c r="AW21" s="137">
        <f t="shared" si="11"/>
        <v>0</v>
      </c>
      <c r="AX21" s="137">
        <f t="shared" si="12"/>
        <v>0</v>
      </c>
    </row>
    <row r="22" ht="21.95" customHeight="1" spans="1:50" s="97" customFormat="1" x14ac:dyDescent="0.25">
      <c r="A22" s="138" t="s">
        <v>56</v>
      </c>
      <c r="B22" s="139"/>
      <c r="C22" s="139"/>
      <c r="D22" s="139"/>
      <c r="E22" s="139"/>
      <c r="F22" s="139"/>
      <c r="G22" s="139"/>
      <c r="H22" s="140"/>
      <c r="I22" s="142">
        <v>85</v>
      </c>
      <c r="J22" s="142">
        <v>85</v>
      </c>
      <c r="K22" s="142"/>
      <c r="L22" s="142"/>
      <c r="M22" s="142"/>
      <c r="N22" s="170">
        <f>I22*I21+J22*J21+K22*K21+L22*L21+M22*M21</f>
        <v>83.9545</v>
      </c>
      <c r="O22" s="144"/>
      <c r="P22" s="145"/>
      <c r="Q22" s="113"/>
      <c r="R22" s="113"/>
      <c r="S22" s="146"/>
      <c r="T22" s="147"/>
      <c r="U22" s="148"/>
      <c r="V22" s="149"/>
      <c r="W22" s="150"/>
      <c r="X22" s="151"/>
      <c r="Y22" s="152"/>
      <c r="Z22" s="151"/>
      <c r="AA22" s="153"/>
      <c r="AB22" s="154"/>
      <c r="AC22" s="149"/>
      <c r="AD22" s="148"/>
      <c r="AE22" s="148"/>
      <c r="AF22" s="155"/>
      <c r="AG22" s="156"/>
      <c r="AH22" s="113"/>
      <c r="AI22" s="157"/>
      <c r="AJ22" s="113"/>
      <c r="AK22" s="113"/>
      <c r="AL22" s="158"/>
      <c r="AM22" s="159"/>
      <c r="AN22" s="160"/>
      <c r="AO22" s="160"/>
      <c r="AP22" s="133"/>
      <c r="AQ22" s="134"/>
      <c r="AR22" s="161"/>
      <c r="AS22" s="161"/>
      <c r="AT22" s="161"/>
      <c r="AU22" s="161"/>
      <c r="AV22" s="162"/>
      <c r="AW22" s="137"/>
      <c r="AX22" s="137"/>
    </row>
    <row r="23" ht="46.5" customHeight="1" spans="1:50" s="97" customFormat="1" x14ac:dyDescent="0.25">
      <c r="A23" s="98">
        <v>10</v>
      </c>
      <c r="B23" s="99"/>
      <c r="C23" s="209" t="s">
        <v>199</v>
      </c>
      <c r="D23" s="203" t="s">
        <v>284</v>
      </c>
      <c r="E23" s="193"/>
      <c r="F23" s="100"/>
      <c r="G23" s="103"/>
      <c r="H23" s="171" t="s">
        <v>285</v>
      </c>
      <c r="I23" s="105">
        <v>0.7</v>
      </c>
      <c r="J23" s="226">
        <v>0.2935</v>
      </c>
      <c r="K23" s="107"/>
      <c r="L23" s="107"/>
      <c r="M23" s="187"/>
      <c r="N23" s="169">
        <f t="shared" si="0"/>
        <v>0.9934999999999999</v>
      </c>
      <c r="O23" s="144">
        <v>1</v>
      </c>
      <c r="P23" s="145">
        <v>15</v>
      </c>
      <c r="Q23" s="217">
        <v>15</v>
      </c>
      <c r="R23" s="217"/>
      <c r="S23" s="113"/>
      <c r="T23" s="146"/>
      <c r="U23" s="148">
        <f t="shared" si="1"/>
        <v>14.9</v>
      </c>
      <c r="V23" s="149">
        <f t="shared" si="2"/>
        <v>14.9</v>
      </c>
      <c r="W23" s="192">
        <v>10737437000</v>
      </c>
      <c r="X23" s="211">
        <v>1281708000</v>
      </c>
      <c r="Y23" s="120"/>
      <c r="Z23" s="190"/>
      <c r="AA23" s="153"/>
      <c r="AB23" s="154">
        <f t="shared" si="3"/>
        <v>28.73</v>
      </c>
      <c r="AC23" s="149">
        <f t="shared" si="4"/>
        <v>13</v>
      </c>
      <c r="AD23" s="125">
        <v>1.5</v>
      </c>
      <c r="AE23" s="148">
        <f t="shared" si="5"/>
        <v>14.5</v>
      </c>
      <c r="AF23" s="156"/>
      <c r="AG23" s="127">
        <v>4.48</v>
      </c>
      <c r="AH23" s="113">
        <f t="shared" si="6"/>
        <v>29.4</v>
      </c>
      <c r="AI23" s="157">
        <v>65</v>
      </c>
      <c r="AJ23" s="113">
        <f t="shared" si="7"/>
        <v>98.88000000000001</v>
      </c>
      <c r="AK23" s="113">
        <f t="shared" si="8"/>
        <v>95</v>
      </c>
      <c r="AL23" s="158">
        <f t="shared" si="9"/>
        <v>0.958</v>
      </c>
      <c r="AM23" s="159"/>
      <c r="AN23" s="160">
        <f t="shared" si="10"/>
        <v>1</v>
      </c>
      <c r="AO23" s="160">
        <f t="shared" si="10"/>
        <v>2</v>
      </c>
      <c r="AP23" s="133"/>
      <c r="AQ23" s="134"/>
      <c r="AR23" s="161"/>
      <c r="AS23" s="161"/>
      <c r="AT23" s="161"/>
      <c r="AU23" s="161"/>
      <c r="AV23" s="162"/>
      <c r="AW23" s="137">
        <f t="shared" si="11"/>
        <v>0</v>
      </c>
      <c r="AX23" s="137">
        <f t="shared" si="12"/>
        <v>0</v>
      </c>
    </row>
    <row r="24" ht="21.95" customHeight="1" spans="1:50" s="97" customFormat="1" x14ac:dyDescent="0.25">
      <c r="A24" s="138" t="s">
        <v>56</v>
      </c>
      <c r="B24" s="139"/>
      <c r="C24" s="139"/>
      <c r="D24" s="139"/>
      <c r="E24" s="139"/>
      <c r="F24" s="139"/>
      <c r="G24" s="139"/>
      <c r="H24" s="140"/>
      <c r="I24" s="142">
        <v>85</v>
      </c>
      <c r="J24" s="181">
        <v>85</v>
      </c>
      <c r="K24" s="142"/>
      <c r="L24" s="142"/>
      <c r="M24" s="142"/>
      <c r="N24" s="170">
        <f>I24*I23+J24*J23+K24*K23+L24*L23+M24*M23</f>
        <v>84.44749999999999</v>
      </c>
      <c r="O24" s="144"/>
      <c r="P24" s="145"/>
      <c r="Q24" s="113"/>
      <c r="R24" s="113"/>
      <c r="S24" s="146"/>
      <c r="T24" s="147"/>
      <c r="U24" s="148"/>
      <c r="V24" s="149"/>
      <c r="W24" s="150"/>
      <c r="X24" s="151"/>
      <c r="Y24" s="152"/>
      <c r="Z24" s="151"/>
      <c r="AA24" s="153"/>
      <c r="AB24" s="154"/>
      <c r="AC24" s="149"/>
      <c r="AD24" s="148"/>
      <c r="AE24" s="148"/>
      <c r="AF24" s="155"/>
      <c r="AG24" s="156"/>
      <c r="AH24" s="113"/>
      <c r="AI24" s="157"/>
      <c r="AJ24" s="113"/>
      <c r="AK24" s="113"/>
      <c r="AL24" s="158"/>
      <c r="AM24" s="159"/>
      <c r="AN24" s="160"/>
      <c r="AO24" s="160"/>
      <c r="AP24" s="133"/>
      <c r="AQ24" s="134"/>
      <c r="AR24" s="161"/>
      <c r="AS24" s="161"/>
      <c r="AT24" s="161"/>
      <c r="AU24" s="161"/>
      <c r="AV24" s="162"/>
      <c r="AW24" s="137"/>
      <c r="AX24" s="137"/>
    </row>
    <row r="25" ht="46.5" customHeight="1" spans="1:50" s="97" customFormat="1" x14ac:dyDescent="0.25">
      <c r="A25" s="98">
        <v>11</v>
      </c>
      <c r="B25" s="99"/>
      <c r="C25" s="212" t="s">
        <v>286</v>
      </c>
      <c r="D25" s="174" t="s">
        <v>287</v>
      </c>
      <c r="E25" s="102"/>
      <c r="F25" s="100"/>
      <c r="G25" s="103"/>
      <c r="H25" s="171"/>
      <c r="I25" s="258">
        <v>0.7</v>
      </c>
      <c r="J25" s="106">
        <v>0.3</v>
      </c>
      <c r="K25" s="107"/>
      <c r="L25" s="107"/>
      <c r="M25" s="187"/>
      <c r="N25" s="169">
        <f t="shared" si="0"/>
        <v>1</v>
      </c>
      <c r="O25" s="144">
        <v>1</v>
      </c>
      <c r="P25" s="145">
        <v>15</v>
      </c>
      <c r="Q25" s="113">
        <v>15</v>
      </c>
      <c r="R25" s="156"/>
      <c r="S25" s="113"/>
      <c r="T25" s="146"/>
      <c r="U25" s="148">
        <f t="shared" si="1"/>
        <v>15</v>
      </c>
      <c r="V25" s="149">
        <f t="shared" si="2"/>
        <v>15</v>
      </c>
      <c r="W25" s="192">
        <v>11882803000</v>
      </c>
      <c r="X25" s="120">
        <v>6971585000</v>
      </c>
      <c r="Y25" s="211"/>
      <c r="Z25" s="190"/>
      <c r="AA25" s="153"/>
      <c r="AB25" s="154">
        <f t="shared" si="3"/>
        <v>37.96</v>
      </c>
      <c r="AC25" s="149">
        <f t="shared" si="4"/>
        <v>13</v>
      </c>
      <c r="AD25" s="125">
        <v>2</v>
      </c>
      <c r="AE25" s="148">
        <f t="shared" si="5"/>
        <v>15</v>
      </c>
      <c r="AF25" s="156"/>
      <c r="AG25" s="127">
        <v>4.48</v>
      </c>
      <c r="AH25" s="113">
        <f t="shared" si="6"/>
        <v>30</v>
      </c>
      <c r="AI25" s="157">
        <v>65</v>
      </c>
      <c r="AJ25" s="113">
        <f t="shared" si="7"/>
        <v>99.48</v>
      </c>
      <c r="AK25" s="113">
        <f t="shared" si="8"/>
        <v>95</v>
      </c>
      <c r="AL25" s="158">
        <f t="shared" si="9"/>
        <v>0.955</v>
      </c>
      <c r="AM25" s="159"/>
      <c r="AN25" s="160">
        <f t="shared" si="10"/>
        <v>1</v>
      </c>
      <c r="AO25" s="160">
        <f t="shared" si="10"/>
        <v>2</v>
      </c>
      <c r="AP25" s="133"/>
      <c r="AQ25" s="134"/>
      <c r="AR25" s="161"/>
      <c r="AS25" s="161"/>
      <c r="AT25" s="161"/>
      <c r="AU25" s="161"/>
      <c r="AV25" s="162"/>
      <c r="AW25" s="137">
        <f t="shared" si="11"/>
        <v>0</v>
      </c>
      <c r="AX25" s="137">
        <f t="shared" si="12"/>
        <v>0</v>
      </c>
    </row>
    <row r="26" ht="21.95" customHeight="1" spans="1:50" s="97" customFormat="1" x14ac:dyDescent="0.25">
      <c r="A26" s="138" t="s">
        <v>56</v>
      </c>
      <c r="B26" s="139"/>
      <c r="C26" s="139"/>
      <c r="D26" s="139"/>
      <c r="E26" s="139"/>
      <c r="F26" s="139"/>
      <c r="G26" s="139"/>
      <c r="H26" s="140"/>
      <c r="I26" s="181">
        <v>85</v>
      </c>
      <c r="J26" s="142">
        <v>85</v>
      </c>
      <c r="K26" s="142"/>
      <c r="L26" s="142"/>
      <c r="M26" s="142"/>
      <c r="N26" s="170">
        <f>I26*I25+J26*J25+K26*K25+L26*L25+M26*M25</f>
        <v>85</v>
      </c>
      <c r="O26" s="144"/>
      <c r="P26" s="145"/>
      <c r="Q26" s="113"/>
      <c r="R26" s="113"/>
      <c r="S26" s="146"/>
      <c r="T26" s="147"/>
      <c r="U26" s="148"/>
      <c r="V26" s="149"/>
      <c r="W26" s="150"/>
      <c r="X26" s="151"/>
      <c r="Y26" s="152"/>
      <c r="Z26" s="151"/>
      <c r="AA26" s="153"/>
      <c r="AB26" s="154"/>
      <c r="AC26" s="149"/>
      <c r="AD26" s="148"/>
      <c r="AE26" s="148"/>
      <c r="AF26" s="155"/>
      <c r="AG26" s="156"/>
      <c r="AH26" s="113"/>
      <c r="AI26" s="157"/>
      <c r="AJ26" s="113"/>
      <c r="AK26" s="113"/>
      <c r="AL26" s="158"/>
      <c r="AM26" s="159"/>
      <c r="AN26" s="160"/>
      <c r="AO26" s="160"/>
      <c r="AP26" s="133"/>
      <c r="AQ26" s="134"/>
      <c r="AR26" s="161"/>
      <c r="AS26" s="161"/>
      <c r="AT26" s="161"/>
      <c r="AU26" s="161"/>
      <c r="AV26" s="162"/>
      <c r="AW26" s="137"/>
      <c r="AX26" s="137"/>
    </row>
    <row r="27" ht="46.5" customHeight="1" spans="1:50" s="97" customFormat="1" x14ac:dyDescent="0.25">
      <c r="A27" s="239">
        <v>12</v>
      </c>
      <c r="B27" s="99"/>
      <c r="C27" s="102" t="s">
        <v>288</v>
      </c>
      <c r="D27" s="203" t="s">
        <v>289</v>
      </c>
      <c r="E27" s="212"/>
      <c r="F27" s="100"/>
      <c r="G27" s="103"/>
      <c r="H27" s="171" t="s">
        <v>290</v>
      </c>
      <c r="I27" s="245">
        <v>0.4381</v>
      </c>
      <c r="J27" s="107">
        <v>0.49</v>
      </c>
      <c r="K27" s="106"/>
      <c r="L27" s="107"/>
      <c r="M27" s="187"/>
      <c r="N27" s="169">
        <f t="shared" si="0"/>
        <v>0.9280999999999999</v>
      </c>
      <c r="O27" s="144">
        <v>1</v>
      </c>
      <c r="P27" s="145">
        <v>15</v>
      </c>
      <c r="Q27" s="113">
        <v>15</v>
      </c>
      <c r="R27" s="113"/>
      <c r="S27" s="113"/>
      <c r="T27" s="146"/>
      <c r="U27" s="148">
        <f t="shared" si="1"/>
        <v>13.92</v>
      </c>
      <c r="V27" s="149">
        <f t="shared" si="2"/>
        <v>13.92</v>
      </c>
      <c r="W27" s="189">
        <v>7486618000</v>
      </c>
      <c r="X27" s="199">
        <v>1956642000</v>
      </c>
      <c r="Y27" s="151"/>
      <c r="Z27" s="190"/>
      <c r="AA27" s="153"/>
      <c r="AB27" s="154">
        <f t="shared" si="3"/>
        <v>15.469999999999999</v>
      </c>
      <c r="AC27" s="149">
        <f t="shared" si="4"/>
        <v>13</v>
      </c>
      <c r="AD27" s="125">
        <v>0</v>
      </c>
      <c r="AE27" s="148">
        <f t="shared" si="5"/>
        <v>13</v>
      </c>
      <c r="AF27" s="156"/>
      <c r="AG27" s="127">
        <v>4.48</v>
      </c>
      <c r="AH27" s="113">
        <f t="shared" si="6"/>
        <v>26.92</v>
      </c>
      <c r="AI27" s="157">
        <v>65</v>
      </c>
      <c r="AJ27" s="113">
        <f t="shared" si="7"/>
        <v>96.4</v>
      </c>
      <c r="AK27" s="113">
        <f t="shared" si="8"/>
        <v>95</v>
      </c>
      <c r="AL27" s="158">
        <f t="shared" si="9"/>
        <v>0.9703999999999999</v>
      </c>
      <c r="AM27" s="159"/>
      <c r="AN27" s="160">
        <f t="shared" si="10"/>
        <v>1</v>
      </c>
      <c r="AO27" s="160">
        <f t="shared" si="10"/>
        <v>2</v>
      </c>
      <c r="AP27" s="133"/>
      <c r="AQ27" s="134"/>
      <c r="AR27" s="161"/>
      <c r="AS27" s="161"/>
      <c r="AT27" s="161"/>
      <c r="AU27" s="161"/>
      <c r="AV27" s="162"/>
      <c r="AW27" s="137">
        <f t="shared" si="11"/>
        <v>0</v>
      </c>
      <c r="AX27" s="137">
        <f t="shared" si="12"/>
        <v>0</v>
      </c>
    </row>
    <row r="28" ht="21.95" customHeight="1" spans="1:50" s="97" customFormat="1" x14ac:dyDescent="0.25">
      <c r="A28" s="138" t="s">
        <v>56</v>
      </c>
      <c r="B28" s="139"/>
      <c r="C28" s="139"/>
      <c r="D28" s="139"/>
      <c r="E28" s="139"/>
      <c r="F28" s="139"/>
      <c r="G28" s="139"/>
      <c r="H28" s="140"/>
      <c r="I28" s="142">
        <v>85</v>
      </c>
      <c r="J28" s="142">
        <v>85</v>
      </c>
      <c r="K28" s="142"/>
      <c r="L28" s="142"/>
      <c r="M28" s="142"/>
      <c r="N28" s="170">
        <f>I28*I27+J28*J27+K28*K27+L28*L27+M28*M27</f>
        <v>78.8885</v>
      </c>
      <c r="O28" s="144"/>
      <c r="P28" s="145"/>
      <c r="Q28" s="113"/>
      <c r="R28" s="113"/>
      <c r="S28" s="146"/>
      <c r="T28" s="147"/>
      <c r="U28" s="148"/>
      <c r="V28" s="149"/>
      <c r="W28" s="150"/>
      <c r="X28" s="151"/>
      <c r="Y28" s="152"/>
      <c r="Z28" s="151"/>
      <c r="AA28" s="153"/>
      <c r="AB28" s="154"/>
      <c r="AC28" s="149"/>
      <c r="AD28" s="148"/>
      <c r="AE28" s="148"/>
      <c r="AF28" s="155"/>
      <c r="AG28" s="156"/>
      <c r="AH28" s="113"/>
      <c r="AI28" s="157"/>
      <c r="AJ28" s="113"/>
      <c r="AK28" s="113"/>
      <c r="AL28" s="158"/>
      <c r="AM28" s="159"/>
      <c r="AN28" s="160"/>
      <c r="AO28" s="160"/>
      <c r="AP28" s="133"/>
      <c r="AQ28" s="134"/>
      <c r="AR28" s="161"/>
      <c r="AS28" s="161"/>
      <c r="AT28" s="161"/>
      <c r="AU28" s="161"/>
      <c r="AV28" s="162"/>
      <c r="AW28" s="137"/>
      <c r="AX28" s="137"/>
    </row>
    <row r="29" ht="46.5" customHeight="1" spans="1:50" s="97" customFormat="1" x14ac:dyDescent="0.25">
      <c r="A29" s="239">
        <v>13</v>
      </c>
      <c r="B29" s="99"/>
      <c r="C29" s="209" t="s">
        <v>248</v>
      </c>
      <c r="D29" s="246" t="s">
        <v>291</v>
      </c>
      <c r="E29" s="209"/>
      <c r="F29" s="100"/>
      <c r="G29" s="103"/>
      <c r="H29" s="171"/>
      <c r="I29" s="195">
        <v>0.6</v>
      </c>
      <c r="J29" s="106">
        <v>0.4</v>
      </c>
      <c r="K29" s="107"/>
      <c r="L29" s="107"/>
      <c r="M29" s="187"/>
      <c r="N29" s="169">
        <f t="shared" si="0"/>
        <v>1</v>
      </c>
      <c r="O29" s="144">
        <v>1</v>
      </c>
      <c r="P29" s="145">
        <v>15</v>
      </c>
      <c r="Q29" s="217">
        <v>15</v>
      </c>
      <c r="R29" s="113"/>
      <c r="S29" s="113"/>
      <c r="T29" s="146"/>
      <c r="U29" s="148">
        <f t="shared" si="1"/>
        <v>15</v>
      </c>
      <c r="V29" s="149">
        <f t="shared" si="2"/>
        <v>15</v>
      </c>
      <c r="W29" s="189">
        <v>21781049000</v>
      </c>
      <c r="X29" s="199">
        <v>3231169000</v>
      </c>
      <c r="Y29" s="151"/>
      <c r="Z29" s="190"/>
      <c r="AA29" s="153"/>
      <c r="AB29" s="154">
        <f t="shared" si="3"/>
        <v>52.39</v>
      </c>
      <c r="AC29" s="149">
        <f t="shared" si="4"/>
        <v>13</v>
      </c>
      <c r="AD29" s="125">
        <v>2</v>
      </c>
      <c r="AE29" s="148">
        <f t="shared" si="5"/>
        <v>15</v>
      </c>
      <c r="AF29" s="156"/>
      <c r="AG29" s="127"/>
      <c r="AH29" s="113">
        <f t="shared" si="6"/>
        <v>30</v>
      </c>
      <c r="AI29" s="157">
        <v>65</v>
      </c>
      <c r="AJ29" s="113">
        <f t="shared" si="7"/>
        <v>95</v>
      </c>
      <c r="AK29" s="113">
        <f t="shared" si="8"/>
        <v>95</v>
      </c>
      <c r="AL29" s="158">
        <f t="shared" si="9"/>
        <v>0.955</v>
      </c>
      <c r="AM29" s="159"/>
      <c r="AN29" s="160">
        <f t="shared" si="10"/>
        <v>1</v>
      </c>
      <c r="AO29" s="160">
        <f t="shared" si="10"/>
        <v>2</v>
      </c>
      <c r="AP29" s="133"/>
      <c r="AQ29" s="134"/>
      <c r="AR29" s="161"/>
      <c r="AS29" s="161"/>
      <c r="AT29" s="161"/>
      <c r="AU29" s="161"/>
      <c r="AV29" s="162"/>
      <c r="AW29" s="137">
        <f t="shared" si="11"/>
        <v>0</v>
      </c>
      <c r="AX29" s="137">
        <f t="shared" si="12"/>
        <v>0</v>
      </c>
    </row>
    <row r="30" ht="21.95" customHeight="1" spans="1:50" s="97" customFormat="1" x14ac:dyDescent="0.25">
      <c r="A30" s="138" t="s">
        <v>56</v>
      </c>
      <c r="B30" s="139"/>
      <c r="C30" s="139"/>
      <c r="D30" s="139"/>
      <c r="E30" s="139"/>
      <c r="F30" s="139"/>
      <c r="G30" s="139"/>
      <c r="H30" s="140"/>
      <c r="I30" s="142">
        <v>85</v>
      </c>
      <c r="J30" s="142">
        <v>85</v>
      </c>
      <c r="K30" s="142"/>
      <c r="L30" s="142"/>
      <c r="M30" s="142"/>
      <c r="N30" s="170">
        <f>I30*I29+J30*J29+K30*K29+L30*L29+M30*M29</f>
        <v>85</v>
      </c>
      <c r="O30" s="144"/>
      <c r="P30" s="145"/>
      <c r="Q30" s="113"/>
      <c r="R30" s="113"/>
      <c r="S30" s="146"/>
      <c r="T30" s="147"/>
      <c r="U30" s="148"/>
      <c r="V30" s="149"/>
      <c r="W30" s="150"/>
      <c r="X30" s="151"/>
      <c r="Y30" s="152"/>
      <c r="Z30" s="151"/>
      <c r="AA30" s="153"/>
      <c r="AB30" s="154"/>
      <c r="AC30" s="149"/>
      <c r="AD30" s="148"/>
      <c r="AE30" s="148"/>
      <c r="AF30" s="155"/>
      <c r="AG30" s="156"/>
      <c r="AH30" s="113"/>
      <c r="AI30" s="157"/>
      <c r="AJ30" s="113"/>
      <c r="AK30" s="113"/>
      <c r="AL30" s="158"/>
      <c r="AM30" s="159"/>
      <c r="AN30" s="160"/>
      <c r="AO30" s="160"/>
      <c r="AP30" s="133"/>
      <c r="AQ30" s="134"/>
      <c r="AR30" s="161"/>
      <c r="AS30" s="161"/>
      <c r="AT30" s="161"/>
      <c r="AU30" s="161"/>
      <c r="AV30" s="162"/>
      <c r="AW30" s="137"/>
      <c r="AX30" s="137"/>
    </row>
    <row r="31" ht="46.5" customHeight="1" spans="1:50" s="97" customFormat="1" x14ac:dyDescent="0.25">
      <c r="A31" s="239">
        <v>14</v>
      </c>
      <c r="B31" s="99"/>
      <c r="C31" s="209" t="s">
        <v>146</v>
      </c>
      <c r="D31" s="101" t="s">
        <v>292</v>
      </c>
      <c r="E31" s="198"/>
      <c r="F31" s="100"/>
      <c r="G31" s="103"/>
      <c r="H31" s="186"/>
      <c r="I31" s="195">
        <v>0.7</v>
      </c>
      <c r="J31" s="107">
        <v>0.3</v>
      </c>
      <c r="K31" s="107"/>
      <c r="L31" s="107"/>
      <c r="M31" s="187"/>
      <c r="N31" s="169">
        <f t="shared" si="0"/>
        <v>1</v>
      </c>
      <c r="O31" s="144">
        <v>1</v>
      </c>
      <c r="P31" s="145">
        <v>15</v>
      </c>
      <c r="Q31" s="113">
        <v>15</v>
      </c>
      <c r="R31" s="113"/>
      <c r="S31" s="113"/>
      <c r="T31" s="146"/>
      <c r="U31" s="148">
        <f t="shared" si="1"/>
        <v>15</v>
      </c>
      <c r="V31" s="149">
        <f t="shared" si="2"/>
        <v>15</v>
      </c>
      <c r="W31" s="189">
        <v>618668065000</v>
      </c>
      <c r="X31" s="199">
        <v>1810832000</v>
      </c>
      <c r="Y31" s="151"/>
      <c r="Z31" s="190"/>
      <c r="AA31" s="153"/>
      <c r="AB31" s="154">
        <f t="shared" si="3"/>
        <v>1580.8</v>
      </c>
      <c r="AC31" s="149">
        <f t="shared" si="4"/>
        <v>13</v>
      </c>
      <c r="AD31" s="125">
        <v>2</v>
      </c>
      <c r="AE31" s="148">
        <f t="shared" si="5"/>
        <v>15</v>
      </c>
      <c r="AF31" s="156"/>
      <c r="AG31" s="127"/>
      <c r="AH31" s="113">
        <f t="shared" si="6"/>
        <v>30</v>
      </c>
      <c r="AI31" s="157">
        <v>65</v>
      </c>
      <c r="AJ31" s="113">
        <f t="shared" si="7"/>
        <v>95</v>
      </c>
      <c r="AK31" s="113">
        <f t="shared" si="8"/>
        <v>95</v>
      </c>
      <c r="AL31" s="158">
        <f t="shared" si="9"/>
        <v>0.955</v>
      </c>
      <c r="AM31" s="159"/>
      <c r="AN31" s="160">
        <f t="shared" si="10"/>
        <v>1</v>
      </c>
      <c r="AO31" s="160">
        <f t="shared" si="10"/>
        <v>2</v>
      </c>
      <c r="AP31" s="133"/>
      <c r="AQ31" s="134"/>
      <c r="AR31" s="161"/>
      <c r="AS31" s="161"/>
      <c r="AT31" s="161"/>
      <c r="AU31" s="161"/>
      <c r="AV31" s="162"/>
      <c r="AW31" s="137">
        <f t="shared" si="11"/>
        <v>0</v>
      </c>
      <c r="AX31" s="137">
        <f t="shared" si="12"/>
        <v>0</v>
      </c>
    </row>
    <row r="32" ht="46.5" customHeight="1" spans="1:50" s="97" customFormat="1" x14ac:dyDescent="0.25">
      <c r="A32" s="239">
        <v>15</v>
      </c>
      <c r="B32" s="208" t="s">
        <v>62</v>
      </c>
      <c r="C32" s="100" t="s">
        <v>136</v>
      </c>
      <c r="D32" s="174" t="s">
        <v>293</v>
      </c>
      <c r="E32" s="102"/>
      <c r="F32" s="100"/>
      <c r="G32" s="103"/>
      <c r="H32" s="171" t="s">
        <v>294</v>
      </c>
      <c r="I32" s="195">
        <v>0.7</v>
      </c>
      <c r="J32" s="226">
        <v>0.2652</v>
      </c>
      <c r="K32" s="107"/>
      <c r="L32" s="107"/>
      <c r="M32" s="187"/>
      <c r="N32" s="169">
        <f t="shared" si="0"/>
        <v>0.9652</v>
      </c>
      <c r="O32" s="144">
        <v>1</v>
      </c>
      <c r="P32" s="145">
        <v>15</v>
      </c>
      <c r="Q32" s="113">
        <v>15</v>
      </c>
      <c r="R32" s="113"/>
      <c r="S32" s="113"/>
      <c r="T32" s="146"/>
      <c r="U32" s="148">
        <f t="shared" si="1"/>
        <v>14.48</v>
      </c>
      <c r="V32" s="149">
        <f t="shared" si="2"/>
        <v>14.48</v>
      </c>
      <c r="W32" s="189">
        <v>227887155000</v>
      </c>
      <c r="X32" s="199">
        <v>3358650000</v>
      </c>
      <c r="Y32" s="151"/>
      <c r="Z32" s="190"/>
      <c r="AA32" s="153"/>
      <c r="AB32" s="154">
        <f t="shared" si="3"/>
        <v>584.74</v>
      </c>
      <c r="AC32" s="149">
        <f t="shared" si="4"/>
        <v>13</v>
      </c>
      <c r="AD32" s="125">
        <v>2</v>
      </c>
      <c r="AE32" s="148">
        <f t="shared" si="5"/>
        <v>15</v>
      </c>
      <c r="AF32" s="156"/>
      <c r="AG32" s="127"/>
      <c r="AH32" s="113">
        <f t="shared" si="6"/>
        <v>29.48</v>
      </c>
      <c r="AI32" s="157">
        <v>65</v>
      </c>
      <c r="AJ32" s="113">
        <f t="shared" si="7"/>
        <v>94.48</v>
      </c>
      <c r="AK32" s="113">
        <f t="shared" si="8"/>
        <v>94.48</v>
      </c>
      <c r="AL32" s="158">
        <f t="shared" si="9"/>
        <v>0.9575999999999999</v>
      </c>
      <c r="AM32" s="159"/>
      <c r="AN32" s="160">
        <f t="shared" si="10"/>
        <v>1</v>
      </c>
      <c r="AO32" s="160">
        <f t="shared" si="10"/>
        <v>2</v>
      </c>
      <c r="AP32" s="133"/>
      <c r="AQ32" s="134"/>
      <c r="AR32" s="161"/>
      <c r="AS32" s="161"/>
      <c r="AT32" s="161"/>
      <c r="AU32" s="161"/>
      <c r="AV32" s="162"/>
      <c r="AW32" s="137">
        <f t="shared" si="11"/>
        <v>0</v>
      </c>
      <c r="AX32" s="137">
        <f t="shared" si="12"/>
        <v>0</v>
      </c>
    </row>
    <row r="33" ht="21.95" customHeight="1" spans="1:50" s="97" customFormat="1" x14ac:dyDescent="0.25">
      <c r="A33" s="138" t="s">
        <v>56</v>
      </c>
      <c r="B33" s="139"/>
      <c r="C33" s="139"/>
      <c r="D33" s="139"/>
      <c r="E33" s="139"/>
      <c r="F33" s="139"/>
      <c r="G33" s="139"/>
      <c r="H33" s="140"/>
      <c r="I33" s="142">
        <v>85</v>
      </c>
      <c r="J33" s="142">
        <v>85</v>
      </c>
      <c r="K33" s="142"/>
      <c r="L33" s="142"/>
      <c r="M33" s="142"/>
      <c r="N33" s="170">
        <f>I33*I32+J33*J32+K33*K32+L33*L32+M33*M32</f>
        <v>82.04199999999999</v>
      </c>
      <c r="O33" s="144"/>
      <c r="P33" s="145"/>
      <c r="Q33" s="113"/>
      <c r="R33" s="113"/>
      <c r="S33" s="146"/>
      <c r="T33" s="147"/>
      <c r="U33" s="148"/>
      <c r="V33" s="149"/>
      <c r="W33" s="150"/>
      <c r="X33" s="151"/>
      <c r="Y33" s="152"/>
      <c r="Z33" s="151"/>
      <c r="AA33" s="153"/>
      <c r="AB33" s="154"/>
      <c r="AC33" s="149"/>
      <c r="AD33" s="148"/>
      <c r="AE33" s="148"/>
      <c r="AF33" s="155"/>
      <c r="AG33" s="156"/>
      <c r="AH33" s="113"/>
      <c r="AI33" s="157"/>
      <c r="AJ33" s="113"/>
      <c r="AK33" s="113"/>
      <c r="AL33" s="158"/>
      <c r="AM33" s="159"/>
      <c r="AN33" s="160"/>
      <c r="AO33" s="160"/>
      <c r="AP33" s="133"/>
      <c r="AQ33" s="134"/>
      <c r="AR33" s="161"/>
      <c r="AS33" s="161"/>
      <c r="AT33" s="161"/>
      <c r="AU33" s="161"/>
      <c r="AV33" s="162"/>
      <c r="AW33" s="137"/>
      <c r="AX33" s="137"/>
    </row>
    <row r="34" ht="46.5" customHeight="1" spans="1:50" s="97" customFormat="1" x14ac:dyDescent="0.25">
      <c r="A34" s="239">
        <v>16</v>
      </c>
      <c r="B34" s="99"/>
      <c r="C34" s="212" t="s">
        <v>295</v>
      </c>
      <c r="D34" s="174" t="s">
        <v>296</v>
      </c>
      <c r="E34" s="100"/>
      <c r="F34" s="100"/>
      <c r="G34" s="103"/>
      <c r="H34" s="233"/>
      <c r="I34" s="195">
        <v>0.6</v>
      </c>
      <c r="J34" s="107">
        <v>0.4</v>
      </c>
      <c r="K34" s="107"/>
      <c r="L34" s="107"/>
      <c r="M34" s="187"/>
      <c r="N34" s="169">
        <f t="shared" si="0"/>
        <v>1</v>
      </c>
      <c r="O34" s="144">
        <v>1</v>
      </c>
      <c r="P34" s="145">
        <v>15</v>
      </c>
      <c r="Q34" s="113">
        <v>15</v>
      </c>
      <c r="R34" s="113"/>
      <c r="S34" s="113"/>
      <c r="T34" s="146"/>
      <c r="U34" s="148">
        <f t="shared" si="1"/>
        <v>15</v>
      </c>
      <c r="V34" s="149">
        <f t="shared" si="2"/>
        <v>15</v>
      </c>
      <c r="W34" s="189">
        <v>12436699000</v>
      </c>
      <c r="X34" s="199">
        <v>3388596000</v>
      </c>
      <c r="Y34" s="151"/>
      <c r="Z34" s="190"/>
      <c r="AA34" s="153"/>
      <c r="AB34" s="154">
        <f t="shared" si="3"/>
        <v>32.11</v>
      </c>
      <c r="AC34" s="149">
        <f t="shared" si="4"/>
        <v>13</v>
      </c>
      <c r="AD34" s="125">
        <v>2</v>
      </c>
      <c r="AE34" s="148">
        <f t="shared" si="5"/>
        <v>15</v>
      </c>
      <c r="AF34" s="156"/>
      <c r="AG34" s="127">
        <v>4.48</v>
      </c>
      <c r="AH34" s="113">
        <f t="shared" si="6"/>
        <v>30</v>
      </c>
      <c r="AI34" s="157">
        <v>65</v>
      </c>
      <c r="AJ34" s="113">
        <f t="shared" si="7"/>
        <v>99.48</v>
      </c>
      <c r="AK34" s="113">
        <f t="shared" si="8"/>
        <v>95</v>
      </c>
      <c r="AL34" s="158">
        <f t="shared" si="9"/>
        <v>0.955</v>
      </c>
      <c r="AM34" s="159"/>
      <c r="AN34" s="160">
        <f t="shared" si="10"/>
        <v>1</v>
      </c>
      <c r="AO34" s="160">
        <f t="shared" si="10"/>
        <v>2</v>
      </c>
      <c r="AP34" s="133"/>
      <c r="AQ34" s="134"/>
      <c r="AR34" s="161"/>
      <c r="AS34" s="161"/>
      <c r="AT34" s="161"/>
      <c r="AU34" s="161"/>
      <c r="AV34" s="162"/>
      <c r="AW34" s="137">
        <f t="shared" si="11"/>
        <v>0</v>
      </c>
      <c r="AX34" s="137">
        <f t="shared" si="12"/>
        <v>0</v>
      </c>
    </row>
    <row r="35" ht="21.95" customHeight="1" spans="1:50" s="97" customFormat="1" x14ac:dyDescent="0.25">
      <c r="A35" s="138" t="s">
        <v>56</v>
      </c>
      <c r="B35" s="139"/>
      <c r="C35" s="139"/>
      <c r="D35" s="139"/>
      <c r="E35" s="139"/>
      <c r="F35" s="139"/>
      <c r="G35" s="139"/>
      <c r="H35" s="140"/>
      <c r="I35" s="142">
        <v>85</v>
      </c>
      <c r="J35" s="142">
        <v>85</v>
      </c>
      <c r="K35" s="142"/>
      <c r="L35" s="142"/>
      <c r="M35" s="142"/>
      <c r="N35" s="170">
        <f>I35*I34+J35*J34+K35*K34+L35*L34+M35*M34</f>
        <v>85</v>
      </c>
      <c r="O35" s="144"/>
      <c r="P35" s="145"/>
      <c r="Q35" s="113"/>
      <c r="R35" s="113"/>
      <c r="S35" s="146"/>
      <c r="T35" s="147"/>
      <c r="U35" s="148"/>
      <c r="V35" s="149"/>
      <c r="W35" s="150"/>
      <c r="X35" s="151"/>
      <c r="Y35" s="152"/>
      <c r="Z35" s="151"/>
      <c r="AA35" s="153"/>
      <c r="AB35" s="154"/>
      <c r="AC35" s="149"/>
      <c r="AD35" s="148"/>
      <c r="AE35" s="148"/>
      <c r="AF35" s="155"/>
      <c r="AG35" s="156"/>
      <c r="AH35" s="113"/>
      <c r="AI35" s="157"/>
      <c r="AJ35" s="113"/>
      <c r="AK35" s="113"/>
      <c r="AL35" s="158"/>
      <c r="AM35" s="159"/>
      <c r="AN35" s="160"/>
      <c r="AO35" s="160"/>
      <c r="AP35" s="133"/>
      <c r="AQ35" s="134"/>
      <c r="AR35" s="161"/>
      <c r="AS35" s="161"/>
      <c r="AT35" s="161"/>
      <c r="AU35" s="161"/>
      <c r="AV35" s="162"/>
      <c r="AW35" s="137"/>
      <c r="AX35" s="137"/>
    </row>
    <row r="36" ht="46.5" customHeight="1" spans="1:50" s="97" customFormat="1" x14ac:dyDescent="0.25">
      <c r="A36" s="239">
        <v>17</v>
      </c>
      <c r="B36" s="99"/>
      <c r="C36" s="101" t="s">
        <v>297</v>
      </c>
      <c r="D36" s="102" t="s">
        <v>206</v>
      </c>
      <c r="E36" s="100"/>
      <c r="F36" s="100"/>
      <c r="G36" s="103"/>
      <c r="H36" s="186"/>
      <c r="I36" s="195">
        <v>0.51</v>
      </c>
      <c r="J36" s="107">
        <v>0.49</v>
      </c>
      <c r="K36" s="107"/>
      <c r="L36" s="107"/>
      <c r="M36" s="187"/>
      <c r="N36" s="169">
        <f t="shared" si="0"/>
        <v>1</v>
      </c>
      <c r="O36" s="144">
        <v>1</v>
      </c>
      <c r="P36" s="145">
        <v>15</v>
      </c>
      <c r="Q36" s="113">
        <v>15</v>
      </c>
      <c r="R36" s="113"/>
      <c r="S36" s="113"/>
      <c r="T36" s="146"/>
      <c r="U36" s="148">
        <f t="shared" si="1"/>
        <v>15</v>
      </c>
      <c r="V36" s="149">
        <f t="shared" si="2"/>
        <v>15</v>
      </c>
      <c r="W36" s="189">
        <v>3425675000</v>
      </c>
      <c r="X36" s="199">
        <v>80267427000</v>
      </c>
      <c r="Y36" s="151"/>
      <c r="Z36" s="190"/>
      <c r="AA36" s="153"/>
      <c r="AB36" s="154">
        <f t="shared" si="3"/>
        <v>149.76</v>
      </c>
      <c r="AC36" s="149">
        <f t="shared" si="4"/>
        <v>13</v>
      </c>
      <c r="AD36" s="125">
        <v>2</v>
      </c>
      <c r="AE36" s="148">
        <f t="shared" si="5"/>
        <v>15</v>
      </c>
      <c r="AF36" s="156"/>
      <c r="AG36" s="127"/>
      <c r="AH36" s="113">
        <f t="shared" si="6"/>
        <v>30</v>
      </c>
      <c r="AI36" s="157">
        <v>65</v>
      </c>
      <c r="AJ36" s="113">
        <f t="shared" si="7"/>
        <v>95</v>
      </c>
      <c r="AK36" s="113">
        <f t="shared" si="8"/>
        <v>95</v>
      </c>
      <c r="AL36" s="158">
        <f t="shared" si="9"/>
        <v>0.955</v>
      </c>
      <c r="AM36" s="159"/>
      <c r="AN36" s="160">
        <f t="shared" si="10"/>
        <v>1</v>
      </c>
      <c r="AO36" s="160">
        <f t="shared" si="10"/>
        <v>2</v>
      </c>
      <c r="AP36" s="133"/>
      <c r="AQ36" s="134"/>
      <c r="AR36" s="161"/>
      <c r="AS36" s="161"/>
      <c r="AT36" s="161"/>
      <c r="AU36" s="161"/>
      <c r="AV36" s="162"/>
      <c r="AW36" s="137">
        <f t="shared" si="11"/>
        <v>0</v>
      </c>
      <c r="AX36" s="137">
        <f t="shared" si="12"/>
        <v>0</v>
      </c>
    </row>
    <row r="37" ht="46.5" customHeight="1" spans="1:50" s="97" customFormat="1" x14ac:dyDescent="0.25">
      <c r="A37" s="239">
        <v>18</v>
      </c>
      <c r="B37" s="99"/>
      <c r="C37" s="100" t="s">
        <v>298</v>
      </c>
      <c r="D37" s="203" t="s">
        <v>299</v>
      </c>
      <c r="E37" s="100"/>
      <c r="F37" s="100"/>
      <c r="G37" s="103"/>
      <c r="H37" s="171"/>
      <c r="I37" s="195">
        <v>0.51</v>
      </c>
      <c r="J37" s="106">
        <v>0.49</v>
      </c>
      <c r="K37" s="107"/>
      <c r="L37" s="107"/>
      <c r="M37" s="187"/>
      <c r="N37" s="169">
        <f t="shared" si="0"/>
        <v>1</v>
      </c>
      <c r="O37" s="144">
        <v>1</v>
      </c>
      <c r="P37" s="145">
        <v>15</v>
      </c>
      <c r="Q37" s="113">
        <v>15</v>
      </c>
      <c r="R37" s="113"/>
      <c r="S37" s="113"/>
      <c r="T37" s="146"/>
      <c r="U37" s="148">
        <f t="shared" si="1"/>
        <v>15</v>
      </c>
      <c r="V37" s="149">
        <f t="shared" si="2"/>
        <v>15</v>
      </c>
      <c r="W37" s="189">
        <v>23278347000</v>
      </c>
      <c r="X37" s="213">
        <v>14643377000</v>
      </c>
      <c r="Y37" s="213"/>
      <c r="Z37" s="190"/>
      <c r="AA37" s="153"/>
      <c r="AB37" s="154">
        <f t="shared" si="3"/>
        <v>69.42</v>
      </c>
      <c r="AC37" s="149">
        <f t="shared" si="4"/>
        <v>13</v>
      </c>
      <c r="AD37" s="125">
        <v>2</v>
      </c>
      <c r="AE37" s="148">
        <f t="shared" si="5"/>
        <v>15</v>
      </c>
      <c r="AF37" s="156"/>
      <c r="AG37" s="127">
        <v>4.48</v>
      </c>
      <c r="AH37" s="113">
        <f t="shared" si="6"/>
        <v>30</v>
      </c>
      <c r="AI37" s="157">
        <v>65</v>
      </c>
      <c r="AJ37" s="113">
        <f t="shared" si="7"/>
        <v>99.48</v>
      </c>
      <c r="AK37" s="113">
        <f t="shared" si="8"/>
        <v>95</v>
      </c>
      <c r="AL37" s="158">
        <f t="shared" si="9"/>
        <v>0.955</v>
      </c>
      <c r="AM37" s="159"/>
      <c r="AN37" s="160">
        <f t="shared" si="10"/>
        <v>1</v>
      </c>
      <c r="AO37" s="160">
        <f t="shared" si="10"/>
        <v>2</v>
      </c>
      <c r="AP37" s="133"/>
      <c r="AQ37" s="134"/>
      <c r="AR37" s="161"/>
      <c r="AS37" s="161"/>
      <c r="AT37" s="161"/>
      <c r="AU37" s="161"/>
      <c r="AV37" s="162"/>
      <c r="AW37" s="137">
        <f t="shared" si="11"/>
        <v>0</v>
      </c>
      <c r="AX37" s="137">
        <f t="shared" si="12"/>
        <v>0</v>
      </c>
    </row>
    <row r="38" ht="21.95" customHeight="1" spans="1:50" s="97" customFormat="1" x14ac:dyDescent="0.25">
      <c r="A38" s="259" t="s">
        <v>56</v>
      </c>
      <c r="B38" s="260"/>
      <c r="C38" s="260"/>
      <c r="D38" s="260"/>
      <c r="E38" s="260"/>
      <c r="F38" s="260"/>
      <c r="G38" s="260"/>
      <c r="H38" s="140"/>
      <c r="I38" s="142">
        <v>85</v>
      </c>
      <c r="J38" s="142">
        <v>85</v>
      </c>
      <c r="K38" s="142"/>
      <c r="L38" s="142"/>
      <c r="M38" s="142"/>
      <c r="N38" s="170">
        <f>I38*I37+J38*J37+K38*K37+L38*L37+M38*M37</f>
        <v>85</v>
      </c>
      <c r="O38" s="144"/>
      <c r="P38" s="145"/>
      <c r="Q38" s="113"/>
      <c r="R38" s="113"/>
      <c r="S38" s="146"/>
      <c r="T38" s="147"/>
      <c r="U38" s="148"/>
      <c r="V38" s="149"/>
      <c r="W38" s="150"/>
      <c r="X38" s="151"/>
      <c r="Y38" s="152"/>
      <c r="Z38" s="151"/>
      <c r="AA38" s="153"/>
      <c r="AB38" s="154"/>
      <c r="AC38" s="149"/>
      <c r="AD38" s="148"/>
      <c r="AE38" s="148"/>
      <c r="AF38" s="155"/>
      <c r="AG38" s="156"/>
      <c r="AH38" s="113"/>
      <c r="AI38" s="157"/>
      <c r="AJ38" s="113"/>
      <c r="AK38" s="113"/>
      <c r="AL38" s="158"/>
      <c r="AM38" s="159"/>
      <c r="AN38" s="160"/>
      <c r="AO38" s="160"/>
      <c r="AP38" s="133"/>
      <c r="AQ38" s="134"/>
      <c r="AR38" s="161"/>
      <c r="AS38" s="161"/>
      <c r="AT38" s="161"/>
      <c r="AU38" s="161"/>
      <c r="AV38" s="162"/>
      <c r="AW38" s="137"/>
      <c r="AX38" s="137"/>
    </row>
    <row r="39" ht="46.5" customHeight="1" spans="1:50" s="97" customFormat="1" x14ac:dyDescent="0.25">
      <c r="A39" s="239">
        <v>19</v>
      </c>
      <c r="B39" s="99"/>
      <c r="C39" s="209" t="s">
        <v>93</v>
      </c>
      <c r="D39" s="174" t="s">
        <v>300</v>
      </c>
      <c r="E39" s="209"/>
      <c r="F39" s="100"/>
      <c r="G39" s="103"/>
      <c r="H39" s="171"/>
      <c r="I39" s="195">
        <v>0.6</v>
      </c>
      <c r="J39" s="106">
        <v>0.4</v>
      </c>
      <c r="K39" s="107"/>
      <c r="L39" s="107"/>
      <c r="M39" s="187"/>
      <c r="N39" s="169">
        <f t="shared" si="0"/>
        <v>1</v>
      </c>
      <c r="O39" s="144">
        <v>1</v>
      </c>
      <c r="P39" s="145">
        <v>15</v>
      </c>
      <c r="Q39" s="113">
        <v>15</v>
      </c>
      <c r="R39" s="113"/>
      <c r="S39" s="113"/>
      <c r="T39" s="146"/>
      <c r="U39" s="148">
        <f t="shared" si="1"/>
        <v>15</v>
      </c>
      <c r="V39" s="149">
        <f t="shared" si="2"/>
        <v>15</v>
      </c>
      <c r="W39" s="213">
        <v>229675529000</v>
      </c>
      <c r="X39" s="199">
        <v>13574466000</v>
      </c>
      <c r="Y39" s="151"/>
      <c r="Z39" s="190"/>
      <c r="AA39" s="153"/>
      <c r="AB39" s="154">
        <f t="shared" si="3"/>
        <v>522.21</v>
      </c>
      <c r="AC39" s="149">
        <f t="shared" si="4"/>
        <v>13</v>
      </c>
      <c r="AD39" s="125">
        <v>2</v>
      </c>
      <c r="AE39" s="148">
        <f t="shared" si="5"/>
        <v>15</v>
      </c>
      <c r="AF39" s="156"/>
      <c r="AG39" s="127">
        <v>4.48</v>
      </c>
      <c r="AH39" s="113">
        <f t="shared" si="6"/>
        <v>30</v>
      </c>
      <c r="AI39" s="157">
        <v>65</v>
      </c>
      <c r="AJ39" s="113">
        <f t="shared" si="7"/>
        <v>99.48</v>
      </c>
      <c r="AK39" s="113">
        <f t="shared" si="8"/>
        <v>95</v>
      </c>
      <c r="AL39" s="158">
        <f t="shared" si="9"/>
        <v>0.955</v>
      </c>
      <c r="AM39" s="159"/>
      <c r="AN39" s="160">
        <f t="shared" si="10"/>
        <v>1</v>
      </c>
      <c r="AO39" s="160">
        <f t="shared" si="10"/>
        <v>2</v>
      </c>
      <c r="AP39" s="133"/>
      <c r="AQ39" s="134"/>
      <c r="AR39" s="161"/>
      <c r="AS39" s="161"/>
      <c r="AT39" s="161"/>
      <c r="AU39" s="161"/>
      <c r="AV39" s="162"/>
      <c r="AW39" s="137">
        <f t="shared" si="11"/>
        <v>0</v>
      </c>
      <c r="AX39" s="137">
        <f t="shared" si="12"/>
        <v>0</v>
      </c>
    </row>
    <row r="40" ht="21.95" customHeight="1" spans="1:50" s="97" customFormat="1" x14ac:dyDescent="0.25">
      <c r="A40" s="138" t="s">
        <v>56</v>
      </c>
      <c r="B40" s="139"/>
      <c r="C40" s="139"/>
      <c r="D40" s="139"/>
      <c r="E40" s="139"/>
      <c r="F40" s="139"/>
      <c r="G40" s="139"/>
      <c r="H40" s="140"/>
      <c r="I40" s="142">
        <v>85</v>
      </c>
      <c r="J40" s="142">
        <v>85</v>
      </c>
      <c r="K40" s="142"/>
      <c r="L40" s="142"/>
      <c r="M40" s="142"/>
      <c r="N40" s="170">
        <f>I40*I39+J40*J39+K40*K39+L40*L39+M40*M39</f>
        <v>85</v>
      </c>
      <c r="O40" s="144"/>
      <c r="P40" s="145"/>
      <c r="Q40" s="113"/>
      <c r="R40" s="113"/>
      <c r="S40" s="146"/>
      <c r="T40" s="147"/>
      <c r="U40" s="148"/>
      <c r="V40" s="149"/>
      <c r="W40" s="150"/>
      <c r="X40" s="151"/>
      <c r="Y40" s="152"/>
      <c r="Z40" s="151"/>
      <c r="AA40" s="153"/>
      <c r="AB40" s="154"/>
      <c r="AC40" s="149"/>
      <c r="AD40" s="148"/>
      <c r="AE40" s="148"/>
      <c r="AF40" s="155"/>
      <c r="AG40" s="156"/>
      <c r="AH40" s="113"/>
      <c r="AI40" s="157"/>
      <c r="AJ40" s="113"/>
      <c r="AK40" s="113"/>
      <c r="AL40" s="158"/>
      <c r="AM40" s="159"/>
      <c r="AN40" s="160"/>
      <c r="AO40" s="160"/>
      <c r="AP40" s="133"/>
      <c r="AQ40" s="134"/>
      <c r="AR40" s="161"/>
      <c r="AS40" s="161"/>
      <c r="AT40" s="161"/>
      <c r="AU40" s="161"/>
      <c r="AV40" s="162"/>
      <c r="AW40" s="137"/>
      <c r="AX40" s="137"/>
    </row>
    <row r="41" ht="46.5" customHeight="1" spans="1:50" s="97" customFormat="1" x14ac:dyDescent="0.25">
      <c r="A41" s="239"/>
      <c r="B41" s="99"/>
      <c r="C41" s="102"/>
      <c r="D41" s="100"/>
      <c r="E41" s="100"/>
      <c r="F41" s="100"/>
      <c r="G41" s="103"/>
      <c r="H41" s="171"/>
      <c r="I41" s="195"/>
      <c r="J41" s="106"/>
      <c r="K41" s="107"/>
      <c r="L41" s="107"/>
      <c r="M41" s="187"/>
      <c r="N41" s="169">
        <f t="shared" si="0"/>
        <v>0</v>
      </c>
      <c r="O41" s="144">
        <v>1</v>
      </c>
      <c r="P41" s="145">
        <v>15</v>
      </c>
      <c r="Q41" s="113">
        <v>15</v>
      </c>
      <c r="R41" s="113"/>
      <c r="S41" s="113"/>
      <c r="T41" s="146"/>
      <c r="U41" s="148">
        <f t="shared" si="1"/>
        <v>0</v>
      </c>
      <c r="V41" s="149">
        <f t="shared" si="2"/>
        <v>0</v>
      </c>
      <c r="W41" s="211"/>
      <c r="X41" s="151"/>
      <c r="Y41" s="151"/>
      <c r="Z41" s="190"/>
      <c r="AA41" s="153"/>
      <c r="AB41" s="154">
        <f t="shared" si="3"/>
        <v>0</v>
      </c>
      <c r="AC41" s="149">
        <f t="shared" si="4"/>
        <v>0</v>
      </c>
      <c r="AD41" s="125"/>
      <c r="AE41" s="148">
        <f t="shared" si="5"/>
        <v>0</v>
      </c>
      <c r="AF41" s="156"/>
      <c r="AG41" s="127"/>
      <c r="AH41" s="113">
        <f t="shared" si="6"/>
        <v>0</v>
      </c>
      <c r="AI41" s="157">
        <v>65</v>
      </c>
      <c r="AJ41" s="113">
        <f t="shared" si="7"/>
        <v>65</v>
      </c>
      <c r="AK41" s="113">
        <f t="shared" si="8"/>
        <v>65</v>
      </c>
      <c r="AL41" s="158">
        <f t="shared" si="9"/>
        <v>1.105</v>
      </c>
      <c r="AM41" s="159"/>
      <c r="AN41" s="160">
        <f t="shared" ref="AN41:AO61" si="13">100%+AM41</f>
        <v>1</v>
      </c>
      <c r="AO41" s="160">
        <f t="shared" si="13"/>
        <v>2</v>
      </c>
      <c r="AP41" s="133"/>
      <c r="AQ41" s="134"/>
      <c r="AR41" s="161"/>
      <c r="AS41" s="161"/>
      <c r="AT41" s="161"/>
      <c r="AU41" s="161"/>
      <c r="AV41" s="162"/>
      <c r="AW41" s="137">
        <f t="shared" si="11"/>
        <v>0</v>
      </c>
      <c r="AX41" s="137">
        <f t="shared" si="12"/>
        <v>0</v>
      </c>
    </row>
    <row r="42" ht="21.95" customHeight="1" spans="1:50" s="97" customFormat="1" x14ac:dyDescent="0.25">
      <c r="A42" s="138" t="s">
        <v>56</v>
      </c>
      <c r="B42" s="139"/>
      <c r="C42" s="139"/>
      <c r="D42" s="139"/>
      <c r="E42" s="139"/>
      <c r="F42" s="139"/>
      <c r="G42" s="139"/>
      <c r="H42" s="140"/>
      <c r="I42" s="142">
        <v>85</v>
      </c>
      <c r="J42" s="142">
        <v>85</v>
      </c>
      <c r="K42" s="142">
        <v>85</v>
      </c>
      <c r="L42" s="142"/>
      <c r="M42" s="142"/>
      <c r="N42" s="170">
        <f>I42*I41+J42*J41+K42*K41+L42*L41+M42*M41</f>
        <v>0</v>
      </c>
      <c r="O42" s="144"/>
      <c r="P42" s="145"/>
      <c r="Q42" s="113"/>
      <c r="R42" s="113"/>
      <c r="S42" s="146"/>
      <c r="T42" s="147"/>
      <c r="U42" s="148"/>
      <c r="V42" s="149"/>
      <c r="W42" s="150"/>
      <c r="X42" s="151"/>
      <c r="Y42" s="152"/>
      <c r="Z42" s="151"/>
      <c r="AA42" s="153"/>
      <c r="AB42" s="154"/>
      <c r="AC42" s="149"/>
      <c r="AD42" s="148"/>
      <c r="AE42" s="148"/>
      <c r="AF42" s="155"/>
      <c r="AG42" s="156"/>
      <c r="AH42" s="113"/>
      <c r="AI42" s="157"/>
      <c r="AJ42" s="113"/>
      <c r="AK42" s="113"/>
      <c r="AL42" s="158"/>
      <c r="AM42" s="159"/>
      <c r="AN42" s="160"/>
      <c r="AO42" s="160"/>
      <c r="AP42" s="133"/>
      <c r="AQ42" s="134"/>
      <c r="AR42" s="161"/>
      <c r="AS42" s="161"/>
      <c r="AT42" s="161"/>
      <c r="AU42" s="161"/>
      <c r="AV42" s="162"/>
      <c r="AW42" s="137"/>
      <c r="AX42" s="137"/>
    </row>
    <row r="43" ht="46.5" customHeight="1" spans="1:50" s="97" customFormat="1" x14ac:dyDescent="0.25">
      <c r="A43" s="100"/>
      <c r="B43" s="100"/>
      <c r="C43" s="100"/>
      <c r="D43" s="212" t="s">
        <v>235</v>
      </c>
      <c r="E43" s="209" t="s">
        <v>157</v>
      </c>
      <c r="F43" s="100"/>
      <c r="G43" s="103"/>
      <c r="H43" s="186"/>
      <c r="I43" s="195"/>
      <c r="J43" s="107"/>
      <c r="K43" s="107"/>
      <c r="L43" s="107"/>
      <c r="M43" s="187"/>
      <c r="N43" s="169">
        <f t="shared" si="0"/>
        <v>0</v>
      </c>
      <c r="O43" s="144">
        <v>1</v>
      </c>
      <c r="P43" s="145">
        <v>15</v>
      </c>
      <c r="Q43" s="113">
        <v>15</v>
      </c>
      <c r="R43" s="113"/>
      <c r="S43" s="113"/>
      <c r="T43" s="146"/>
      <c r="U43" s="148">
        <f t="shared" si="1"/>
        <v>0</v>
      </c>
      <c r="V43" s="149">
        <f t="shared" si="2"/>
        <v>0</v>
      </c>
      <c r="W43" s="189"/>
      <c r="X43" s="199"/>
      <c r="Y43" s="151"/>
      <c r="Z43" s="190"/>
      <c r="AA43" s="153"/>
      <c r="AB43" s="154">
        <f t="shared" si="3"/>
        <v>0</v>
      </c>
      <c r="AC43" s="149">
        <f t="shared" si="4"/>
        <v>0</v>
      </c>
      <c r="AD43" s="125">
        <v>2</v>
      </c>
      <c r="AE43" s="148">
        <f t="shared" si="5"/>
        <v>2</v>
      </c>
      <c r="AF43" s="156"/>
      <c r="AG43" s="156"/>
      <c r="AH43" s="113">
        <f t="shared" si="6"/>
        <v>2</v>
      </c>
      <c r="AI43" s="157">
        <v>65</v>
      </c>
      <c r="AJ43" s="113">
        <f t="shared" si="7"/>
        <v>67</v>
      </c>
      <c r="AK43" s="113">
        <f t="shared" si="8"/>
        <v>67</v>
      </c>
      <c r="AL43" s="158">
        <f t="shared" si="9"/>
        <v>1.095</v>
      </c>
      <c r="AM43" s="159"/>
      <c r="AN43" s="160">
        <f t="shared" si="13"/>
        <v>1</v>
      </c>
      <c r="AO43" s="160">
        <f t="shared" si="13"/>
        <v>2</v>
      </c>
      <c r="AP43" s="133"/>
      <c r="AQ43" s="134"/>
      <c r="AR43" s="161"/>
      <c r="AS43" s="161"/>
      <c r="AT43" s="161"/>
      <c r="AU43" s="161"/>
      <c r="AV43" s="162"/>
      <c r="AW43" s="137">
        <f t="shared" si="11"/>
        <v>0</v>
      </c>
      <c r="AX43" s="137">
        <f t="shared" si="12"/>
        <v>0</v>
      </c>
    </row>
    <row r="44" ht="46.5" customHeight="1" spans="1:50" s="97" customFormat="1" x14ac:dyDescent="0.25">
      <c r="A44" s="100"/>
      <c r="B44" s="100"/>
      <c r="C44" s="100"/>
      <c r="D44" s="100" t="s">
        <v>301</v>
      </c>
      <c r="E44" s="100"/>
      <c r="F44" s="100"/>
      <c r="G44" s="103"/>
      <c r="H44" s="186"/>
      <c r="I44" s="195"/>
      <c r="J44" s="107"/>
      <c r="K44" s="107"/>
      <c r="L44" s="107"/>
      <c r="M44" s="187"/>
      <c r="N44" s="169">
        <f t="shared" si="0"/>
        <v>0</v>
      </c>
      <c r="O44" s="144">
        <v>1</v>
      </c>
      <c r="P44" s="145">
        <v>15</v>
      </c>
      <c r="Q44" s="113">
        <v>15</v>
      </c>
      <c r="R44" s="113"/>
      <c r="S44" s="113"/>
      <c r="T44" s="146"/>
      <c r="U44" s="148">
        <f t="shared" si="1"/>
        <v>0</v>
      </c>
      <c r="V44" s="149">
        <f t="shared" si="2"/>
        <v>0</v>
      </c>
      <c r="W44" s="189"/>
      <c r="X44" s="199"/>
      <c r="Y44" s="151"/>
      <c r="Z44" s="190"/>
      <c r="AA44" s="153"/>
      <c r="AB44" s="154">
        <f t="shared" si="3"/>
        <v>0</v>
      </c>
      <c r="AC44" s="149">
        <f t="shared" si="4"/>
        <v>0</v>
      </c>
      <c r="AD44" s="125">
        <v>2</v>
      </c>
      <c r="AE44" s="148">
        <f t="shared" si="5"/>
        <v>2</v>
      </c>
      <c r="AF44" s="156"/>
      <c r="AG44" s="156"/>
      <c r="AH44" s="113">
        <f t="shared" si="6"/>
        <v>2</v>
      </c>
      <c r="AI44" s="157">
        <v>65</v>
      </c>
      <c r="AJ44" s="113">
        <f t="shared" si="7"/>
        <v>67</v>
      </c>
      <c r="AK44" s="113">
        <f t="shared" si="8"/>
        <v>67</v>
      </c>
      <c r="AL44" s="158">
        <f t="shared" si="9"/>
        <v>1.095</v>
      </c>
      <c r="AM44" s="159"/>
      <c r="AN44" s="160">
        <f t="shared" si="13"/>
        <v>1</v>
      </c>
      <c r="AO44" s="160">
        <f t="shared" si="13"/>
        <v>2</v>
      </c>
      <c r="AP44" s="133"/>
      <c r="AQ44" s="134"/>
      <c r="AR44" s="161"/>
      <c r="AS44" s="161"/>
      <c r="AT44" s="161"/>
      <c r="AU44" s="161"/>
      <c r="AV44" s="162"/>
      <c r="AW44" s="137">
        <f t="shared" si="11"/>
        <v>0</v>
      </c>
      <c r="AX44" s="137">
        <f t="shared" si="12"/>
        <v>0</v>
      </c>
    </row>
    <row r="45" ht="46.5" customHeight="1" spans="1:50" s="97" customFormat="1" x14ac:dyDescent="0.25">
      <c r="A45" s="100"/>
      <c r="B45" s="100"/>
      <c r="C45" s="100"/>
      <c r="D45" s="100"/>
      <c r="E45" s="100"/>
      <c r="F45" s="100"/>
      <c r="G45" s="103"/>
      <c r="H45" s="171"/>
      <c r="I45" s="195"/>
      <c r="J45" s="107"/>
      <c r="K45" s="107"/>
      <c r="L45" s="107"/>
      <c r="M45" s="187"/>
      <c r="N45" s="169">
        <f t="shared" si="0"/>
        <v>0</v>
      </c>
      <c r="O45" s="229">
        <v>1.1</v>
      </c>
      <c r="P45" s="145">
        <v>15</v>
      </c>
      <c r="Q45" s="113">
        <v>15</v>
      </c>
      <c r="R45" s="113"/>
      <c r="S45" s="113"/>
      <c r="T45" s="146"/>
      <c r="U45" s="148">
        <f t="shared" si="1"/>
        <v>0</v>
      </c>
      <c r="V45" s="149">
        <f t="shared" si="2"/>
        <v>0</v>
      </c>
      <c r="W45" s="189">
        <v>1945512000</v>
      </c>
      <c r="X45" s="199"/>
      <c r="Y45" s="151"/>
      <c r="Z45" s="190"/>
      <c r="AA45" s="153"/>
      <c r="AB45" s="154">
        <f t="shared" si="3"/>
        <v>0</v>
      </c>
      <c r="AC45" s="149">
        <f t="shared" si="4"/>
        <v>0</v>
      </c>
      <c r="AD45" s="125">
        <v>2</v>
      </c>
      <c r="AE45" s="148">
        <f t="shared" si="5"/>
        <v>2</v>
      </c>
      <c r="AF45" s="156"/>
      <c r="AG45" s="156"/>
      <c r="AH45" s="113">
        <f t="shared" si="6"/>
        <v>2</v>
      </c>
      <c r="AI45" s="157">
        <v>65</v>
      </c>
      <c r="AJ45" s="113">
        <f t="shared" si="7"/>
        <v>67</v>
      </c>
      <c r="AK45" s="113">
        <f t="shared" si="8"/>
        <v>67</v>
      </c>
      <c r="AL45" s="158">
        <f t="shared" si="9"/>
        <v>1.095</v>
      </c>
      <c r="AM45" s="159"/>
      <c r="AN45" s="160">
        <f t="shared" si="13"/>
        <v>1</v>
      </c>
      <c r="AO45" s="160">
        <f t="shared" si="13"/>
        <v>2</v>
      </c>
      <c r="AP45" s="133"/>
      <c r="AQ45" s="134"/>
      <c r="AR45" s="161"/>
      <c r="AS45" s="161"/>
      <c r="AT45" s="161"/>
      <c r="AU45" s="161"/>
      <c r="AV45" s="162"/>
      <c r="AW45" s="137">
        <f t="shared" si="11"/>
        <v>0</v>
      </c>
      <c r="AX45" s="137">
        <f t="shared" si="12"/>
        <v>0</v>
      </c>
    </row>
    <row r="46" ht="46.5" customHeight="1" spans="1:50" s="97" customFormat="1" x14ac:dyDescent="0.25">
      <c r="A46" s="100"/>
      <c r="B46" s="100"/>
      <c r="C46" s="100" t="s">
        <v>213</v>
      </c>
      <c r="D46" s="101" t="s">
        <v>302</v>
      </c>
      <c r="E46" s="174" t="s">
        <v>303</v>
      </c>
      <c r="F46" s="100"/>
      <c r="G46" s="103"/>
      <c r="H46" s="186"/>
      <c r="I46" s="195">
        <v>0.51</v>
      </c>
      <c r="J46" s="107">
        <v>0.49</v>
      </c>
      <c r="K46" s="107"/>
      <c r="L46" s="107"/>
      <c r="M46" s="187"/>
      <c r="N46" s="169">
        <f t="shared" si="0"/>
        <v>1</v>
      </c>
      <c r="O46" s="144">
        <v>1</v>
      </c>
      <c r="P46" s="145">
        <v>15</v>
      </c>
      <c r="Q46" s="113">
        <v>15</v>
      </c>
      <c r="R46" s="113"/>
      <c r="S46" s="113"/>
      <c r="T46" s="146"/>
      <c r="U46" s="148">
        <f t="shared" si="1"/>
        <v>15</v>
      </c>
      <c r="V46" s="149">
        <f t="shared" si="2"/>
        <v>15</v>
      </c>
      <c r="W46" s="189"/>
      <c r="X46" s="199"/>
      <c r="Y46" s="151"/>
      <c r="Z46" s="190"/>
      <c r="AA46" s="153"/>
      <c r="AB46" s="154">
        <f t="shared" si="3"/>
        <v>0</v>
      </c>
      <c r="AC46" s="149">
        <f t="shared" si="4"/>
        <v>0</v>
      </c>
      <c r="AD46" s="125">
        <v>2</v>
      </c>
      <c r="AE46" s="148">
        <f t="shared" si="5"/>
        <v>2</v>
      </c>
      <c r="AF46" s="156"/>
      <c r="AG46" s="156"/>
      <c r="AH46" s="113">
        <f t="shared" si="6"/>
        <v>17</v>
      </c>
      <c r="AI46" s="157">
        <v>65</v>
      </c>
      <c r="AJ46" s="113">
        <f t="shared" si="7"/>
        <v>82</v>
      </c>
      <c r="AK46" s="113">
        <f t="shared" si="8"/>
        <v>82</v>
      </c>
      <c r="AL46" s="158">
        <f t="shared" si="9"/>
        <v>1.02</v>
      </c>
      <c r="AM46" s="159"/>
      <c r="AN46" s="160">
        <f t="shared" si="13"/>
        <v>1</v>
      </c>
      <c r="AO46" s="160">
        <f t="shared" si="13"/>
        <v>2</v>
      </c>
      <c r="AP46" s="133"/>
      <c r="AQ46" s="134"/>
      <c r="AR46" s="161"/>
      <c r="AS46" s="161"/>
      <c r="AT46" s="161"/>
      <c r="AU46" s="161"/>
      <c r="AV46" s="162"/>
      <c r="AW46" s="137">
        <f t="shared" si="11"/>
        <v>0</v>
      </c>
      <c r="AX46" s="137">
        <f t="shared" si="12"/>
        <v>0</v>
      </c>
    </row>
    <row r="47" ht="46.5" customHeight="1" spans="1:50" s="97" customFormat="1" x14ac:dyDescent="0.25">
      <c r="A47" s="100"/>
      <c r="B47" s="100"/>
      <c r="C47" s="100"/>
      <c r="D47" s="100" t="s">
        <v>304</v>
      </c>
      <c r="E47" s="100"/>
      <c r="F47" s="100"/>
      <c r="G47" s="103"/>
      <c r="H47" s="186"/>
      <c r="I47" s="195">
        <v>0.51</v>
      </c>
      <c r="J47" s="107">
        <v>0.49</v>
      </c>
      <c r="K47" s="107"/>
      <c r="L47" s="107"/>
      <c r="M47" s="187"/>
      <c r="N47" s="169">
        <f t="shared" si="0"/>
        <v>1</v>
      </c>
      <c r="O47" s="144">
        <v>1</v>
      </c>
      <c r="P47" s="145">
        <v>15</v>
      </c>
      <c r="Q47" s="113">
        <v>15</v>
      </c>
      <c r="R47" s="113"/>
      <c r="S47" s="113"/>
      <c r="T47" s="146"/>
      <c r="U47" s="148">
        <f t="shared" si="1"/>
        <v>15</v>
      </c>
      <c r="V47" s="149">
        <f t="shared" si="2"/>
        <v>15</v>
      </c>
      <c r="W47" s="189"/>
      <c r="X47" s="199"/>
      <c r="Y47" s="151"/>
      <c r="Z47" s="190"/>
      <c r="AA47" s="153"/>
      <c r="AB47" s="154">
        <f t="shared" si="3"/>
        <v>0</v>
      </c>
      <c r="AC47" s="149">
        <f t="shared" si="4"/>
        <v>0</v>
      </c>
      <c r="AD47" s="125">
        <v>2</v>
      </c>
      <c r="AE47" s="148">
        <f t="shared" si="5"/>
        <v>2</v>
      </c>
      <c r="AF47" s="156"/>
      <c r="AG47" s="156"/>
      <c r="AH47" s="113">
        <f t="shared" si="6"/>
        <v>17</v>
      </c>
      <c r="AI47" s="157">
        <v>65</v>
      </c>
      <c r="AJ47" s="113">
        <f t="shared" si="7"/>
        <v>82</v>
      </c>
      <c r="AK47" s="113">
        <f t="shared" si="8"/>
        <v>82</v>
      </c>
      <c r="AL47" s="158">
        <f t="shared" si="9"/>
        <v>1.02</v>
      </c>
      <c r="AM47" s="159"/>
      <c r="AN47" s="160">
        <f t="shared" si="13"/>
        <v>1</v>
      </c>
      <c r="AO47" s="160">
        <f t="shared" si="13"/>
        <v>2</v>
      </c>
      <c r="AP47" s="133"/>
      <c r="AQ47" s="134"/>
      <c r="AR47" s="161"/>
      <c r="AS47" s="161"/>
      <c r="AT47" s="161"/>
      <c r="AU47" s="161"/>
      <c r="AV47" s="162"/>
      <c r="AW47" s="137">
        <f t="shared" si="11"/>
        <v>0</v>
      </c>
      <c r="AX47" s="137">
        <f t="shared" si="12"/>
        <v>0</v>
      </c>
    </row>
    <row r="48" ht="46.5" customHeight="1" spans="1:50" s="97" customFormat="1" x14ac:dyDescent="0.25">
      <c r="A48" s="100"/>
      <c r="B48" s="100"/>
      <c r="C48" s="100"/>
      <c r="D48" s="100" t="s">
        <v>305</v>
      </c>
      <c r="E48" s="100"/>
      <c r="F48" s="100"/>
      <c r="G48" s="103"/>
      <c r="H48" s="186"/>
      <c r="I48" s="195">
        <v>0.51</v>
      </c>
      <c r="J48" s="107">
        <v>0.49</v>
      </c>
      <c r="K48" s="107"/>
      <c r="L48" s="107"/>
      <c r="M48" s="187"/>
      <c r="N48" s="169">
        <f t="shared" si="0"/>
        <v>1</v>
      </c>
      <c r="O48" s="144">
        <v>1</v>
      </c>
      <c r="P48" s="145">
        <v>15</v>
      </c>
      <c r="Q48" s="113">
        <v>15</v>
      </c>
      <c r="R48" s="113"/>
      <c r="S48" s="113"/>
      <c r="T48" s="146"/>
      <c r="U48" s="148">
        <f t="shared" si="1"/>
        <v>15</v>
      </c>
      <c r="V48" s="149">
        <f t="shared" si="2"/>
        <v>15</v>
      </c>
      <c r="W48" s="189"/>
      <c r="X48" s="199"/>
      <c r="Y48" s="151"/>
      <c r="Z48" s="190"/>
      <c r="AA48" s="153"/>
      <c r="AB48" s="154">
        <f t="shared" si="3"/>
        <v>0</v>
      </c>
      <c r="AC48" s="149">
        <f t="shared" si="4"/>
        <v>0</v>
      </c>
      <c r="AD48" s="125">
        <v>2</v>
      </c>
      <c r="AE48" s="148">
        <f t="shared" si="5"/>
        <v>2</v>
      </c>
      <c r="AF48" s="156"/>
      <c r="AG48" s="156"/>
      <c r="AH48" s="113">
        <f t="shared" si="6"/>
        <v>17</v>
      </c>
      <c r="AI48" s="157">
        <v>65</v>
      </c>
      <c r="AJ48" s="113">
        <f t="shared" si="7"/>
        <v>82</v>
      </c>
      <c r="AK48" s="113">
        <f t="shared" si="8"/>
        <v>82</v>
      </c>
      <c r="AL48" s="158">
        <f t="shared" si="9"/>
        <v>1.02</v>
      </c>
      <c r="AM48" s="159"/>
      <c r="AN48" s="160">
        <f t="shared" si="13"/>
        <v>1</v>
      </c>
      <c r="AO48" s="160">
        <f t="shared" si="13"/>
        <v>2</v>
      </c>
      <c r="AP48" s="133"/>
      <c r="AQ48" s="134"/>
      <c r="AR48" s="161"/>
      <c r="AS48" s="161"/>
      <c r="AT48" s="161"/>
      <c r="AU48" s="161"/>
      <c r="AV48" s="162"/>
      <c r="AW48" s="137">
        <f t="shared" si="11"/>
        <v>0</v>
      </c>
      <c r="AX48" s="137">
        <f t="shared" si="12"/>
        <v>0</v>
      </c>
    </row>
    <row r="49" ht="46.5" customHeight="1" spans="1:50" s="97" customFormat="1" x14ac:dyDescent="0.25">
      <c r="A49" s="100"/>
      <c r="B49" s="100"/>
      <c r="C49" s="100"/>
      <c r="D49" s="100"/>
      <c r="E49" s="100"/>
      <c r="F49" s="100"/>
      <c r="G49" s="103"/>
      <c r="H49" s="186"/>
      <c r="I49" s="195">
        <v>0.51</v>
      </c>
      <c r="J49" s="107">
        <v>0.49</v>
      </c>
      <c r="K49" s="107"/>
      <c r="L49" s="107"/>
      <c r="M49" s="187"/>
      <c r="N49" s="169">
        <f t="shared" si="0"/>
        <v>1</v>
      </c>
      <c r="O49" s="144">
        <v>1</v>
      </c>
      <c r="P49" s="145">
        <v>15</v>
      </c>
      <c r="Q49" s="113">
        <v>15</v>
      </c>
      <c r="R49" s="113"/>
      <c r="S49" s="113"/>
      <c r="T49" s="146"/>
      <c r="U49" s="148">
        <f t="shared" si="1"/>
        <v>15</v>
      </c>
      <c r="V49" s="149">
        <f t="shared" si="2"/>
        <v>15</v>
      </c>
      <c r="W49" s="189"/>
      <c r="X49" s="199"/>
      <c r="Y49" s="151"/>
      <c r="Z49" s="190"/>
      <c r="AA49" s="153"/>
      <c r="AB49" s="154">
        <f t="shared" si="3"/>
        <v>0</v>
      </c>
      <c r="AC49" s="149">
        <f t="shared" si="4"/>
        <v>0</v>
      </c>
      <c r="AD49" s="125">
        <v>2</v>
      </c>
      <c r="AE49" s="148">
        <f t="shared" si="5"/>
        <v>2</v>
      </c>
      <c r="AF49" s="156"/>
      <c r="AG49" s="156"/>
      <c r="AH49" s="113">
        <f t="shared" si="6"/>
        <v>17</v>
      </c>
      <c r="AI49" s="157">
        <v>65</v>
      </c>
      <c r="AJ49" s="113">
        <f t="shared" si="7"/>
        <v>82</v>
      </c>
      <c r="AK49" s="113">
        <f t="shared" si="8"/>
        <v>82</v>
      </c>
      <c r="AL49" s="158">
        <f t="shared" si="9"/>
        <v>1.02</v>
      </c>
      <c r="AM49" s="159"/>
      <c r="AN49" s="160">
        <f t="shared" si="13"/>
        <v>1</v>
      </c>
      <c r="AO49" s="160">
        <f t="shared" si="13"/>
        <v>2</v>
      </c>
      <c r="AP49" s="133"/>
      <c r="AQ49" s="134"/>
      <c r="AR49" s="161"/>
      <c r="AS49" s="161"/>
      <c r="AT49" s="161"/>
      <c r="AU49" s="161"/>
      <c r="AV49" s="162"/>
      <c r="AW49" s="137">
        <f t="shared" si="11"/>
        <v>0</v>
      </c>
      <c r="AX49" s="137">
        <f t="shared" si="12"/>
        <v>0</v>
      </c>
    </row>
    <row r="50" ht="46.5" customHeight="1" spans="1:50" s="97" customFormat="1" x14ac:dyDescent="0.25">
      <c r="A50" s="100"/>
      <c r="B50" s="100"/>
      <c r="C50" s="100"/>
      <c r="D50" s="100"/>
      <c r="E50" s="100"/>
      <c r="F50" s="100"/>
      <c r="G50" s="103"/>
      <c r="H50" s="186"/>
      <c r="I50" s="195">
        <v>0.51</v>
      </c>
      <c r="J50" s="107">
        <v>0.49</v>
      </c>
      <c r="K50" s="107"/>
      <c r="L50" s="107"/>
      <c r="M50" s="187"/>
      <c r="N50" s="169">
        <f t="shared" si="0"/>
        <v>1</v>
      </c>
      <c r="O50" s="144">
        <v>1</v>
      </c>
      <c r="P50" s="145">
        <v>15</v>
      </c>
      <c r="Q50" s="113">
        <v>15</v>
      </c>
      <c r="R50" s="113"/>
      <c r="S50" s="113"/>
      <c r="T50" s="146"/>
      <c r="U50" s="148">
        <f t="shared" si="1"/>
        <v>15</v>
      </c>
      <c r="V50" s="149">
        <f t="shared" si="2"/>
        <v>15</v>
      </c>
      <c r="W50" s="189"/>
      <c r="X50" s="199"/>
      <c r="Y50" s="151"/>
      <c r="Z50" s="190"/>
      <c r="AA50" s="153"/>
      <c r="AB50" s="154">
        <f t="shared" si="3"/>
        <v>0</v>
      </c>
      <c r="AC50" s="149">
        <f t="shared" si="4"/>
        <v>0</v>
      </c>
      <c r="AD50" s="125">
        <v>2</v>
      </c>
      <c r="AE50" s="148">
        <f t="shared" si="5"/>
        <v>2</v>
      </c>
      <c r="AF50" s="156"/>
      <c r="AG50" s="156"/>
      <c r="AH50" s="113">
        <f t="shared" si="6"/>
        <v>17</v>
      </c>
      <c r="AI50" s="157">
        <v>65</v>
      </c>
      <c r="AJ50" s="113">
        <f t="shared" si="7"/>
        <v>82</v>
      </c>
      <c r="AK50" s="113">
        <f t="shared" si="8"/>
        <v>82</v>
      </c>
      <c r="AL50" s="158">
        <f t="shared" si="9"/>
        <v>1.02</v>
      </c>
      <c r="AM50" s="159"/>
      <c r="AN50" s="160">
        <f t="shared" si="13"/>
        <v>1</v>
      </c>
      <c r="AO50" s="160">
        <f t="shared" si="13"/>
        <v>2</v>
      </c>
      <c r="AP50" s="133"/>
      <c r="AQ50" s="134"/>
      <c r="AR50" s="161"/>
      <c r="AS50" s="161"/>
      <c r="AT50" s="161"/>
      <c r="AU50" s="161"/>
      <c r="AV50" s="162"/>
      <c r="AW50" s="137">
        <f t="shared" si="11"/>
        <v>0</v>
      </c>
      <c r="AX50" s="137">
        <f t="shared" si="12"/>
        <v>0</v>
      </c>
    </row>
    <row r="51" ht="46.5" customHeight="1" spans="1:50" s="97" customFormat="1" x14ac:dyDescent="0.25">
      <c r="A51" s="100"/>
      <c r="B51" s="100"/>
      <c r="C51" s="100"/>
      <c r="D51" s="100"/>
      <c r="E51" s="100"/>
      <c r="F51" s="100"/>
      <c r="G51" s="103"/>
      <c r="H51" s="186"/>
      <c r="I51" s="195">
        <v>0.51</v>
      </c>
      <c r="J51" s="107">
        <v>0.49</v>
      </c>
      <c r="K51" s="107"/>
      <c r="L51" s="107"/>
      <c r="M51" s="187"/>
      <c r="N51" s="169">
        <f t="shared" si="0"/>
        <v>1</v>
      </c>
      <c r="O51" s="144">
        <v>1</v>
      </c>
      <c r="P51" s="145">
        <v>15</v>
      </c>
      <c r="Q51" s="113">
        <v>15</v>
      </c>
      <c r="R51" s="113"/>
      <c r="S51" s="113"/>
      <c r="T51" s="146"/>
      <c r="U51" s="148">
        <f t="shared" si="1"/>
        <v>15</v>
      </c>
      <c r="V51" s="149">
        <f t="shared" si="2"/>
        <v>15</v>
      </c>
      <c r="W51" s="189"/>
      <c r="X51" s="199"/>
      <c r="Y51" s="151"/>
      <c r="Z51" s="190"/>
      <c r="AA51" s="153"/>
      <c r="AB51" s="154">
        <f t="shared" si="3"/>
        <v>0</v>
      </c>
      <c r="AC51" s="149">
        <f t="shared" si="4"/>
        <v>0</v>
      </c>
      <c r="AD51" s="125">
        <v>2</v>
      </c>
      <c r="AE51" s="148">
        <f t="shared" si="5"/>
        <v>2</v>
      </c>
      <c r="AF51" s="156"/>
      <c r="AG51" s="156"/>
      <c r="AH51" s="113">
        <f t="shared" si="6"/>
        <v>17</v>
      </c>
      <c r="AI51" s="157">
        <v>65</v>
      </c>
      <c r="AJ51" s="113">
        <f t="shared" si="7"/>
        <v>82</v>
      </c>
      <c r="AK51" s="113">
        <f t="shared" si="8"/>
        <v>82</v>
      </c>
      <c r="AL51" s="158">
        <f t="shared" si="9"/>
        <v>1.02</v>
      </c>
      <c r="AM51" s="159"/>
      <c r="AN51" s="160">
        <f t="shared" si="13"/>
        <v>1</v>
      </c>
      <c r="AO51" s="160">
        <f t="shared" si="13"/>
        <v>2</v>
      </c>
      <c r="AP51" s="133"/>
      <c r="AQ51" s="134"/>
      <c r="AR51" s="161"/>
      <c r="AS51" s="161"/>
      <c r="AT51" s="161"/>
      <c r="AU51" s="161"/>
      <c r="AV51" s="162"/>
      <c r="AW51" s="137">
        <f t="shared" si="11"/>
        <v>0</v>
      </c>
      <c r="AX51" s="137">
        <f t="shared" si="12"/>
        <v>0</v>
      </c>
    </row>
    <row r="52" ht="46.5" customHeight="1" spans="1:50" s="97" customFormat="1" x14ac:dyDescent="0.25">
      <c r="A52" s="100"/>
      <c r="B52" s="100"/>
      <c r="C52" s="100"/>
      <c r="D52" s="100"/>
      <c r="E52" s="100"/>
      <c r="F52" s="100"/>
      <c r="G52" s="103"/>
      <c r="H52" s="186"/>
      <c r="I52" s="195">
        <v>0.51</v>
      </c>
      <c r="J52" s="107">
        <v>0.49</v>
      </c>
      <c r="K52" s="107"/>
      <c r="L52" s="107"/>
      <c r="M52" s="187"/>
      <c r="N52" s="169">
        <f t="shared" si="0"/>
        <v>1</v>
      </c>
      <c r="O52" s="144">
        <v>1</v>
      </c>
      <c r="P52" s="145">
        <v>15</v>
      </c>
      <c r="Q52" s="113">
        <v>15</v>
      </c>
      <c r="R52" s="113"/>
      <c r="S52" s="113"/>
      <c r="T52" s="146"/>
      <c r="U52" s="148">
        <f t="shared" si="1"/>
        <v>15</v>
      </c>
      <c r="V52" s="149">
        <f t="shared" si="2"/>
        <v>15</v>
      </c>
      <c r="W52" s="189"/>
      <c r="X52" s="199"/>
      <c r="Y52" s="151"/>
      <c r="Z52" s="190"/>
      <c r="AA52" s="153"/>
      <c r="AB52" s="154">
        <f t="shared" si="3"/>
        <v>0</v>
      </c>
      <c r="AC52" s="149">
        <f t="shared" si="4"/>
        <v>0</v>
      </c>
      <c r="AD52" s="125">
        <v>2</v>
      </c>
      <c r="AE52" s="148">
        <f t="shared" si="5"/>
        <v>2</v>
      </c>
      <c r="AF52" s="156"/>
      <c r="AG52" s="156"/>
      <c r="AH52" s="113">
        <f t="shared" si="6"/>
        <v>17</v>
      </c>
      <c r="AI52" s="157">
        <v>65</v>
      </c>
      <c r="AJ52" s="113">
        <f t="shared" si="7"/>
        <v>82</v>
      </c>
      <c r="AK52" s="113">
        <f t="shared" si="8"/>
        <v>82</v>
      </c>
      <c r="AL52" s="158">
        <f t="shared" si="9"/>
        <v>1.02</v>
      </c>
      <c r="AM52" s="159"/>
      <c r="AN52" s="160">
        <f t="shared" si="13"/>
        <v>1</v>
      </c>
      <c r="AO52" s="160">
        <f t="shared" si="13"/>
        <v>2</v>
      </c>
      <c r="AP52" s="133"/>
      <c r="AQ52" s="134"/>
      <c r="AR52" s="161"/>
      <c r="AS52" s="161"/>
      <c r="AT52" s="161"/>
      <c r="AU52" s="161"/>
      <c r="AV52" s="162"/>
      <c r="AW52" s="137">
        <f t="shared" si="11"/>
        <v>0</v>
      </c>
      <c r="AX52" s="137">
        <f t="shared" si="12"/>
        <v>0</v>
      </c>
    </row>
    <row r="53" ht="46.5" customHeight="1" spans="1:50" s="97" customFormat="1" x14ac:dyDescent="0.25">
      <c r="A53" s="100"/>
      <c r="B53" s="100"/>
      <c r="C53" s="100"/>
      <c r="D53" s="100"/>
      <c r="E53" s="100"/>
      <c r="F53" s="100"/>
      <c r="G53" s="103"/>
      <c r="H53" s="186"/>
      <c r="I53" s="195">
        <v>0.51</v>
      </c>
      <c r="J53" s="107">
        <v>0.49</v>
      </c>
      <c r="K53" s="107"/>
      <c r="L53" s="107"/>
      <c r="M53" s="187"/>
      <c r="N53" s="169">
        <f t="shared" si="0"/>
        <v>1</v>
      </c>
      <c r="O53" s="144">
        <v>1</v>
      </c>
      <c r="P53" s="145">
        <v>15</v>
      </c>
      <c r="Q53" s="113">
        <v>15</v>
      </c>
      <c r="R53" s="113"/>
      <c r="S53" s="113"/>
      <c r="T53" s="146"/>
      <c r="U53" s="148">
        <f t="shared" si="1"/>
        <v>15</v>
      </c>
      <c r="V53" s="149">
        <f t="shared" si="2"/>
        <v>15</v>
      </c>
      <c r="W53" s="189"/>
      <c r="X53" s="199"/>
      <c r="Y53" s="151"/>
      <c r="Z53" s="190"/>
      <c r="AA53" s="153"/>
      <c r="AB53" s="154">
        <f t="shared" si="3"/>
        <v>0</v>
      </c>
      <c r="AC53" s="149">
        <f t="shared" si="4"/>
        <v>0</v>
      </c>
      <c r="AD53" s="125">
        <v>2</v>
      </c>
      <c r="AE53" s="148">
        <f t="shared" si="5"/>
        <v>2</v>
      </c>
      <c r="AF53" s="156"/>
      <c r="AG53" s="156"/>
      <c r="AH53" s="113">
        <f t="shared" si="6"/>
        <v>17</v>
      </c>
      <c r="AI53" s="157">
        <v>65</v>
      </c>
      <c r="AJ53" s="113">
        <f t="shared" si="7"/>
        <v>82</v>
      </c>
      <c r="AK53" s="113">
        <f t="shared" si="8"/>
        <v>82</v>
      </c>
      <c r="AL53" s="158">
        <f t="shared" si="9"/>
        <v>1.02</v>
      </c>
      <c r="AM53" s="159"/>
      <c r="AN53" s="160">
        <f t="shared" si="13"/>
        <v>1</v>
      </c>
      <c r="AO53" s="160">
        <f t="shared" si="13"/>
        <v>2</v>
      </c>
      <c r="AP53" s="133"/>
      <c r="AQ53" s="134"/>
      <c r="AR53" s="161"/>
      <c r="AS53" s="161"/>
      <c r="AT53" s="161"/>
      <c r="AU53" s="161"/>
      <c r="AV53" s="162"/>
      <c r="AW53" s="137">
        <f t="shared" si="11"/>
        <v>0</v>
      </c>
      <c r="AX53" s="137">
        <f t="shared" si="12"/>
        <v>0</v>
      </c>
    </row>
    <row r="54" ht="46.5" customHeight="1" spans="1:50" s="97" customFormat="1" x14ac:dyDescent="0.25">
      <c r="A54" s="100"/>
      <c r="B54" s="100"/>
      <c r="C54" s="100"/>
      <c r="D54" s="100"/>
      <c r="E54" s="100"/>
      <c r="F54" s="100"/>
      <c r="G54" s="103"/>
      <c r="H54" s="186"/>
      <c r="I54" s="195">
        <v>0.51</v>
      </c>
      <c r="J54" s="107">
        <v>0.49</v>
      </c>
      <c r="K54" s="107"/>
      <c r="L54" s="107"/>
      <c r="M54" s="187"/>
      <c r="N54" s="169">
        <f t="shared" ref="N54:N117" si="14">SUM(I54:M54)</f>
        <v>1</v>
      </c>
      <c r="O54" s="144">
        <v>1</v>
      </c>
      <c r="P54" s="145">
        <v>15</v>
      </c>
      <c r="Q54" s="113">
        <v>15</v>
      </c>
      <c r="R54" s="113"/>
      <c r="S54" s="113"/>
      <c r="T54" s="146"/>
      <c r="U54" s="148">
        <f t="shared" si="1"/>
        <v>15</v>
      </c>
      <c r="V54" s="149">
        <f t="shared" si="2"/>
        <v>15</v>
      </c>
      <c r="W54" s="189"/>
      <c r="X54" s="199"/>
      <c r="Y54" s="151"/>
      <c r="Z54" s="190"/>
      <c r="AA54" s="153"/>
      <c r="AB54" s="154">
        <f t="shared" si="3"/>
        <v>0</v>
      </c>
      <c r="AC54" s="149">
        <f t="shared" si="4"/>
        <v>0</v>
      </c>
      <c r="AD54" s="125">
        <v>2</v>
      </c>
      <c r="AE54" s="148">
        <f t="shared" si="5"/>
        <v>2</v>
      </c>
      <c r="AF54" s="156"/>
      <c r="AG54" s="156"/>
      <c r="AH54" s="113">
        <f t="shared" si="6"/>
        <v>17</v>
      </c>
      <c r="AI54" s="157">
        <v>65</v>
      </c>
      <c r="AJ54" s="113">
        <f t="shared" si="7"/>
        <v>82</v>
      </c>
      <c r="AK54" s="113">
        <f t="shared" si="8"/>
        <v>82</v>
      </c>
      <c r="AL54" s="158">
        <f t="shared" si="9"/>
        <v>1.02</v>
      </c>
      <c r="AM54" s="159"/>
      <c r="AN54" s="160">
        <f t="shared" si="13"/>
        <v>1</v>
      </c>
      <c r="AO54" s="160">
        <f t="shared" si="13"/>
        <v>2</v>
      </c>
      <c r="AP54" s="133"/>
      <c r="AQ54" s="134"/>
      <c r="AR54" s="161"/>
      <c r="AS54" s="161"/>
      <c r="AT54" s="161"/>
      <c r="AU54" s="161"/>
      <c r="AV54" s="162"/>
      <c r="AW54" s="137">
        <f t="shared" si="11"/>
        <v>0</v>
      </c>
      <c r="AX54" s="137">
        <f t="shared" si="12"/>
        <v>0</v>
      </c>
    </row>
    <row r="55" ht="46.5" customHeight="1" spans="1:50" s="97" customFormat="1" x14ac:dyDescent="0.25">
      <c r="A55" s="100"/>
      <c r="B55" s="100"/>
      <c r="C55" s="100"/>
      <c r="D55" s="100"/>
      <c r="E55" s="100"/>
      <c r="F55" s="100"/>
      <c r="G55" s="103"/>
      <c r="H55" s="186"/>
      <c r="I55" s="195">
        <v>0.51</v>
      </c>
      <c r="J55" s="107">
        <v>0.49</v>
      </c>
      <c r="K55" s="107"/>
      <c r="L55" s="107"/>
      <c r="M55" s="187"/>
      <c r="N55" s="169">
        <f t="shared" si="14"/>
        <v>1</v>
      </c>
      <c r="O55" s="144">
        <v>1</v>
      </c>
      <c r="P55" s="145">
        <v>15</v>
      </c>
      <c r="Q55" s="113">
        <v>15</v>
      </c>
      <c r="R55" s="113"/>
      <c r="S55" s="113"/>
      <c r="T55" s="146"/>
      <c r="U55" s="148">
        <f t="shared" si="1"/>
        <v>15</v>
      </c>
      <c r="V55" s="149">
        <f t="shared" si="2"/>
        <v>15</v>
      </c>
      <c r="W55" s="189"/>
      <c r="X55" s="199"/>
      <c r="Y55" s="151"/>
      <c r="Z55" s="190"/>
      <c r="AA55" s="153"/>
      <c r="AB55" s="154">
        <f t="shared" si="3"/>
        <v>0</v>
      </c>
      <c r="AC55" s="149">
        <f t="shared" si="4"/>
        <v>0</v>
      </c>
      <c r="AD55" s="125">
        <v>2</v>
      </c>
      <c r="AE55" s="148">
        <f t="shared" si="5"/>
        <v>2</v>
      </c>
      <c r="AF55" s="156"/>
      <c r="AG55" s="156"/>
      <c r="AH55" s="113">
        <f t="shared" si="6"/>
        <v>17</v>
      </c>
      <c r="AI55" s="157">
        <v>65</v>
      </c>
      <c r="AJ55" s="113">
        <f t="shared" si="7"/>
        <v>82</v>
      </c>
      <c r="AK55" s="113">
        <f t="shared" si="8"/>
        <v>82</v>
      </c>
      <c r="AL55" s="158">
        <f t="shared" si="9"/>
        <v>1.02</v>
      </c>
      <c r="AM55" s="159"/>
      <c r="AN55" s="160">
        <f t="shared" si="13"/>
        <v>1</v>
      </c>
      <c r="AO55" s="160">
        <f t="shared" si="13"/>
        <v>2</v>
      </c>
      <c r="AP55" s="133"/>
      <c r="AQ55" s="134"/>
      <c r="AR55" s="161"/>
      <c r="AS55" s="161"/>
      <c r="AT55" s="161"/>
      <c r="AU55" s="161"/>
      <c r="AV55" s="162"/>
      <c r="AW55" s="137">
        <f t="shared" si="11"/>
        <v>0</v>
      </c>
      <c r="AX55" s="137">
        <f t="shared" si="12"/>
        <v>0</v>
      </c>
    </row>
    <row r="56" ht="46.5" customHeight="1" spans="1:50" s="97" customFormat="1" x14ac:dyDescent="0.25">
      <c r="A56" s="100"/>
      <c r="B56" s="100"/>
      <c r="C56" s="100"/>
      <c r="D56" s="100"/>
      <c r="E56" s="100"/>
      <c r="F56" s="100"/>
      <c r="G56" s="103"/>
      <c r="H56" s="186"/>
      <c r="I56" s="195">
        <v>0.51</v>
      </c>
      <c r="J56" s="107">
        <v>0.49</v>
      </c>
      <c r="K56" s="107"/>
      <c r="L56" s="107"/>
      <c r="M56" s="187"/>
      <c r="N56" s="169">
        <f t="shared" si="14"/>
        <v>1</v>
      </c>
      <c r="O56" s="144">
        <v>1</v>
      </c>
      <c r="P56" s="145">
        <v>15</v>
      </c>
      <c r="Q56" s="113">
        <v>15</v>
      </c>
      <c r="R56" s="113"/>
      <c r="S56" s="113"/>
      <c r="T56" s="146"/>
      <c r="U56" s="148">
        <f t="shared" si="1"/>
        <v>15</v>
      </c>
      <c r="V56" s="149">
        <f t="shared" si="2"/>
        <v>15</v>
      </c>
      <c r="W56" s="189"/>
      <c r="X56" s="199"/>
      <c r="Y56" s="151"/>
      <c r="Z56" s="190"/>
      <c r="AA56" s="153"/>
      <c r="AB56" s="154">
        <f t="shared" si="3"/>
        <v>0</v>
      </c>
      <c r="AC56" s="149">
        <f t="shared" si="4"/>
        <v>0</v>
      </c>
      <c r="AD56" s="125">
        <v>2</v>
      </c>
      <c r="AE56" s="148">
        <f t="shared" si="5"/>
        <v>2</v>
      </c>
      <c r="AF56" s="156"/>
      <c r="AG56" s="156"/>
      <c r="AH56" s="113">
        <f t="shared" si="6"/>
        <v>17</v>
      </c>
      <c r="AI56" s="157">
        <v>65</v>
      </c>
      <c r="AJ56" s="113">
        <f t="shared" si="7"/>
        <v>82</v>
      </c>
      <c r="AK56" s="113">
        <f t="shared" si="8"/>
        <v>82</v>
      </c>
      <c r="AL56" s="158">
        <f t="shared" si="9"/>
        <v>1.02</v>
      </c>
      <c r="AM56" s="159"/>
      <c r="AN56" s="160">
        <f t="shared" si="13"/>
        <v>1</v>
      </c>
      <c r="AO56" s="160">
        <f t="shared" si="13"/>
        <v>2</v>
      </c>
      <c r="AP56" s="133"/>
      <c r="AQ56" s="134"/>
      <c r="AR56" s="161"/>
      <c r="AS56" s="161"/>
      <c r="AT56" s="161"/>
      <c r="AU56" s="161"/>
      <c r="AV56" s="162"/>
      <c r="AW56" s="137">
        <f t="shared" si="11"/>
        <v>0</v>
      </c>
      <c r="AX56" s="137">
        <f t="shared" si="12"/>
        <v>0</v>
      </c>
    </row>
    <row r="57" ht="46.5" customHeight="1" spans="1:50" s="97" customFormat="1" x14ac:dyDescent="0.25">
      <c r="A57" s="100"/>
      <c r="B57" s="100"/>
      <c r="C57" s="100"/>
      <c r="D57" s="100"/>
      <c r="E57" s="100"/>
      <c r="F57" s="100"/>
      <c r="G57" s="103"/>
      <c r="H57" s="186"/>
      <c r="I57" s="195">
        <v>0.51</v>
      </c>
      <c r="J57" s="107">
        <v>0.49</v>
      </c>
      <c r="K57" s="107"/>
      <c r="L57" s="107"/>
      <c r="M57" s="187"/>
      <c r="N57" s="169">
        <f t="shared" si="14"/>
        <v>1</v>
      </c>
      <c r="O57" s="144">
        <v>1</v>
      </c>
      <c r="P57" s="145">
        <v>15</v>
      </c>
      <c r="Q57" s="113">
        <v>15</v>
      </c>
      <c r="R57" s="113"/>
      <c r="S57" s="113"/>
      <c r="T57" s="146"/>
      <c r="U57" s="148">
        <f t="shared" si="1"/>
        <v>15</v>
      </c>
      <c r="V57" s="149">
        <f t="shared" si="2"/>
        <v>15</v>
      </c>
      <c r="W57" s="189"/>
      <c r="X57" s="199"/>
      <c r="Y57" s="151"/>
      <c r="Z57" s="190"/>
      <c r="AA57" s="153"/>
      <c r="AB57" s="154">
        <f t="shared" si="3"/>
        <v>0</v>
      </c>
      <c r="AC57" s="149">
        <f t="shared" si="4"/>
        <v>0</v>
      </c>
      <c r="AD57" s="125">
        <v>2</v>
      </c>
      <c r="AE57" s="148">
        <f t="shared" si="5"/>
        <v>2</v>
      </c>
      <c r="AF57" s="156"/>
      <c r="AG57" s="156"/>
      <c r="AH57" s="113">
        <f t="shared" si="6"/>
        <v>17</v>
      </c>
      <c r="AI57" s="157">
        <v>65</v>
      </c>
      <c r="AJ57" s="113">
        <f t="shared" si="7"/>
        <v>82</v>
      </c>
      <c r="AK57" s="113">
        <f t="shared" si="8"/>
        <v>82</v>
      </c>
      <c r="AL57" s="158">
        <f t="shared" si="9"/>
        <v>1.02</v>
      </c>
      <c r="AM57" s="159"/>
      <c r="AN57" s="160">
        <f t="shared" si="13"/>
        <v>1</v>
      </c>
      <c r="AO57" s="160">
        <f t="shared" si="13"/>
        <v>2</v>
      </c>
      <c r="AP57" s="133"/>
      <c r="AQ57" s="134"/>
      <c r="AR57" s="161"/>
      <c r="AS57" s="161"/>
      <c r="AT57" s="161"/>
      <c r="AU57" s="161"/>
      <c r="AV57" s="162"/>
      <c r="AW57" s="137">
        <f t="shared" si="11"/>
        <v>0</v>
      </c>
      <c r="AX57" s="137">
        <f t="shared" si="12"/>
        <v>0</v>
      </c>
    </row>
    <row r="58" ht="46.5" customHeight="1" spans="1:50" s="97" customFormat="1" x14ac:dyDescent="0.25">
      <c r="A58" s="100"/>
      <c r="B58" s="100"/>
      <c r="C58" s="100"/>
      <c r="D58" s="100"/>
      <c r="E58" s="100"/>
      <c r="F58" s="100"/>
      <c r="G58" s="103"/>
      <c r="H58" s="186"/>
      <c r="I58" s="195">
        <v>0.51</v>
      </c>
      <c r="J58" s="107">
        <v>0.49</v>
      </c>
      <c r="K58" s="107"/>
      <c r="L58" s="107"/>
      <c r="M58" s="187"/>
      <c r="N58" s="169">
        <f t="shared" si="14"/>
        <v>1</v>
      </c>
      <c r="O58" s="144">
        <v>1</v>
      </c>
      <c r="P58" s="145">
        <v>15</v>
      </c>
      <c r="Q58" s="113">
        <v>15</v>
      </c>
      <c r="R58" s="113"/>
      <c r="S58" s="113"/>
      <c r="T58" s="146"/>
      <c r="U58" s="148">
        <f t="shared" si="1"/>
        <v>15</v>
      </c>
      <c r="V58" s="149">
        <f t="shared" si="2"/>
        <v>15</v>
      </c>
      <c r="W58" s="189"/>
      <c r="X58" s="199"/>
      <c r="Y58" s="151"/>
      <c r="Z58" s="190"/>
      <c r="AA58" s="153"/>
      <c r="AB58" s="154">
        <f t="shared" si="3"/>
        <v>0</v>
      </c>
      <c r="AC58" s="149">
        <f t="shared" si="4"/>
        <v>0</v>
      </c>
      <c r="AD58" s="125">
        <v>2</v>
      </c>
      <c r="AE58" s="148">
        <f t="shared" si="5"/>
        <v>2</v>
      </c>
      <c r="AF58" s="156"/>
      <c r="AG58" s="156"/>
      <c r="AH58" s="113">
        <f t="shared" si="6"/>
        <v>17</v>
      </c>
      <c r="AI58" s="157">
        <v>65</v>
      </c>
      <c r="AJ58" s="113">
        <f t="shared" si="7"/>
        <v>82</v>
      </c>
      <c r="AK58" s="113">
        <f t="shared" si="8"/>
        <v>82</v>
      </c>
      <c r="AL58" s="158">
        <f t="shared" si="9"/>
        <v>1.02</v>
      </c>
      <c r="AM58" s="159"/>
      <c r="AN58" s="160">
        <f t="shared" si="13"/>
        <v>1</v>
      </c>
      <c r="AO58" s="160">
        <f t="shared" si="13"/>
        <v>2</v>
      </c>
      <c r="AP58" s="133"/>
      <c r="AQ58" s="134"/>
      <c r="AR58" s="161"/>
      <c r="AS58" s="161"/>
      <c r="AT58" s="161"/>
      <c r="AU58" s="161"/>
      <c r="AV58" s="162"/>
      <c r="AW58" s="137">
        <f t="shared" si="11"/>
        <v>0</v>
      </c>
      <c r="AX58" s="137">
        <f t="shared" si="12"/>
        <v>0</v>
      </c>
    </row>
    <row r="59" ht="46.5" customHeight="1" spans="1:50" s="97" customFormat="1" x14ac:dyDescent="0.25">
      <c r="A59" s="100"/>
      <c r="B59" s="100"/>
      <c r="C59" s="100"/>
      <c r="D59" s="100"/>
      <c r="E59" s="100"/>
      <c r="F59" s="100"/>
      <c r="G59" s="103"/>
      <c r="H59" s="186"/>
      <c r="I59" s="195">
        <v>0.51</v>
      </c>
      <c r="J59" s="107">
        <v>0.49</v>
      </c>
      <c r="K59" s="107"/>
      <c r="L59" s="107"/>
      <c r="M59" s="187"/>
      <c r="N59" s="169">
        <f t="shared" si="14"/>
        <v>1</v>
      </c>
      <c r="O59" s="144">
        <v>1</v>
      </c>
      <c r="P59" s="145">
        <v>15</v>
      </c>
      <c r="Q59" s="113">
        <v>15</v>
      </c>
      <c r="R59" s="113"/>
      <c r="S59" s="113"/>
      <c r="T59" s="146"/>
      <c r="U59" s="148">
        <f t="shared" si="1"/>
        <v>15</v>
      </c>
      <c r="V59" s="149">
        <f t="shared" si="2"/>
        <v>15</v>
      </c>
      <c r="W59" s="189"/>
      <c r="X59" s="199"/>
      <c r="Y59" s="151"/>
      <c r="Z59" s="190"/>
      <c r="AA59" s="153"/>
      <c r="AB59" s="154">
        <f t="shared" si="3"/>
        <v>0</v>
      </c>
      <c r="AC59" s="149">
        <f t="shared" si="4"/>
        <v>0</v>
      </c>
      <c r="AD59" s="125">
        <v>2</v>
      </c>
      <c r="AE59" s="148">
        <f t="shared" si="5"/>
        <v>2</v>
      </c>
      <c r="AF59" s="156"/>
      <c r="AG59" s="156"/>
      <c r="AH59" s="113">
        <f t="shared" si="6"/>
        <v>17</v>
      </c>
      <c r="AI59" s="157">
        <v>65</v>
      </c>
      <c r="AJ59" s="113">
        <f t="shared" si="7"/>
        <v>82</v>
      </c>
      <c r="AK59" s="113">
        <f t="shared" si="8"/>
        <v>82</v>
      </c>
      <c r="AL59" s="158">
        <f t="shared" si="9"/>
        <v>1.02</v>
      </c>
      <c r="AM59" s="159"/>
      <c r="AN59" s="160">
        <f t="shared" si="13"/>
        <v>1</v>
      </c>
      <c r="AO59" s="160">
        <f t="shared" si="13"/>
        <v>2</v>
      </c>
      <c r="AP59" s="133"/>
      <c r="AQ59" s="134"/>
      <c r="AR59" s="161"/>
      <c r="AS59" s="161"/>
      <c r="AT59" s="161"/>
      <c r="AU59" s="161"/>
      <c r="AV59" s="162"/>
      <c r="AW59" s="137">
        <f t="shared" si="11"/>
        <v>0</v>
      </c>
      <c r="AX59" s="137">
        <f t="shared" si="12"/>
        <v>0</v>
      </c>
    </row>
    <row r="60" ht="46.5" customHeight="1" spans="1:50" s="97" customFormat="1" x14ac:dyDescent="0.25">
      <c r="A60" s="100"/>
      <c r="B60" s="100"/>
      <c r="C60" s="100"/>
      <c r="D60" s="100"/>
      <c r="E60" s="100"/>
      <c r="F60" s="100"/>
      <c r="G60" s="103"/>
      <c r="H60" s="186"/>
      <c r="I60" s="195">
        <v>0.51</v>
      </c>
      <c r="J60" s="107">
        <v>0.49</v>
      </c>
      <c r="K60" s="107"/>
      <c r="L60" s="107"/>
      <c r="M60" s="187"/>
      <c r="N60" s="169">
        <f t="shared" si="14"/>
        <v>1</v>
      </c>
      <c r="O60" s="144">
        <v>1</v>
      </c>
      <c r="P60" s="145">
        <v>15</v>
      </c>
      <c r="Q60" s="113">
        <v>15</v>
      </c>
      <c r="R60" s="113"/>
      <c r="S60" s="113"/>
      <c r="T60" s="146"/>
      <c r="U60" s="148">
        <f t="shared" si="1"/>
        <v>15</v>
      </c>
      <c r="V60" s="149">
        <f t="shared" si="2"/>
        <v>15</v>
      </c>
      <c r="W60" s="189"/>
      <c r="X60" s="199"/>
      <c r="Y60" s="151"/>
      <c r="Z60" s="190"/>
      <c r="AA60" s="153"/>
      <c r="AB60" s="154">
        <f t="shared" si="3"/>
        <v>0</v>
      </c>
      <c r="AC60" s="149">
        <f t="shared" si="4"/>
        <v>0</v>
      </c>
      <c r="AD60" s="125">
        <v>2</v>
      </c>
      <c r="AE60" s="148">
        <f t="shared" si="5"/>
        <v>2</v>
      </c>
      <c r="AF60" s="156"/>
      <c r="AG60" s="156"/>
      <c r="AH60" s="113">
        <f t="shared" si="6"/>
        <v>17</v>
      </c>
      <c r="AI60" s="157">
        <v>65</v>
      </c>
      <c r="AJ60" s="113">
        <f t="shared" si="7"/>
        <v>82</v>
      </c>
      <c r="AK60" s="113">
        <f t="shared" si="8"/>
        <v>82</v>
      </c>
      <c r="AL60" s="158">
        <f t="shared" si="9"/>
        <v>1.02</v>
      </c>
      <c r="AM60" s="159"/>
      <c r="AN60" s="160">
        <f t="shared" si="13"/>
        <v>1</v>
      </c>
      <c r="AO60" s="160">
        <f t="shared" si="13"/>
        <v>2</v>
      </c>
      <c r="AP60" s="133"/>
      <c r="AQ60" s="134"/>
      <c r="AR60" s="161"/>
      <c r="AS60" s="161"/>
      <c r="AT60" s="161"/>
      <c r="AU60" s="161"/>
      <c r="AV60" s="162"/>
      <c r="AW60" s="137">
        <f t="shared" si="11"/>
        <v>0</v>
      </c>
      <c r="AX60" s="137">
        <f t="shared" si="12"/>
        <v>0</v>
      </c>
    </row>
    <row r="61" ht="46.5" customHeight="1" spans="1:50" s="97" customFormat="1" x14ac:dyDescent="0.25">
      <c r="A61" s="100"/>
      <c r="B61" s="100"/>
      <c r="C61" s="100"/>
      <c r="D61" s="100"/>
      <c r="E61" s="100"/>
      <c r="F61" s="100"/>
      <c r="G61" s="103"/>
      <c r="H61" s="186"/>
      <c r="I61" s="195">
        <v>0.51</v>
      </c>
      <c r="J61" s="107">
        <v>0.49</v>
      </c>
      <c r="K61" s="107"/>
      <c r="L61" s="107"/>
      <c r="M61" s="187"/>
      <c r="N61" s="169">
        <f t="shared" si="14"/>
        <v>1</v>
      </c>
      <c r="O61" s="144">
        <v>1</v>
      </c>
      <c r="P61" s="145">
        <v>15</v>
      </c>
      <c r="Q61" s="113">
        <v>15</v>
      </c>
      <c r="R61" s="113"/>
      <c r="S61" s="113"/>
      <c r="T61" s="146"/>
      <c r="U61" s="148">
        <f t="shared" si="1"/>
        <v>15</v>
      </c>
      <c r="V61" s="149">
        <f t="shared" si="2"/>
        <v>15</v>
      </c>
      <c r="W61" s="189"/>
      <c r="X61" s="199"/>
      <c r="Y61" s="151"/>
      <c r="Z61" s="190"/>
      <c r="AA61" s="153"/>
      <c r="AB61" s="154">
        <f t="shared" si="3"/>
        <v>0</v>
      </c>
      <c r="AC61" s="149">
        <f t="shared" si="4"/>
        <v>0</v>
      </c>
      <c r="AD61" s="125">
        <v>2</v>
      </c>
      <c r="AE61" s="148">
        <f t="shared" si="5"/>
        <v>2</v>
      </c>
      <c r="AF61" s="156"/>
      <c r="AG61" s="156"/>
      <c r="AH61" s="113">
        <f t="shared" si="6"/>
        <v>17</v>
      </c>
      <c r="AI61" s="157">
        <v>65</v>
      </c>
      <c r="AJ61" s="113">
        <f t="shared" si="7"/>
        <v>82</v>
      </c>
      <c r="AK61" s="113">
        <f t="shared" si="8"/>
        <v>82</v>
      </c>
      <c r="AL61" s="158">
        <f t="shared" si="9"/>
        <v>1.02</v>
      </c>
      <c r="AM61" s="159"/>
      <c r="AN61" s="160">
        <f t="shared" si="13"/>
        <v>1</v>
      </c>
      <c r="AO61" s="160">
        <f t="shared" si="13"/>
        <v>2</v>
      </c>
      <c r="AP61" s="133"/>
      <c r="AQ61" s="134"/>
      <c r="AR61" s="161"/>
      <c r="AS61" s="161"/>
      <c r="AT61" s="161"/>
      <c r="AU61" s="161"/>
      <c r="AV61" s="162"/>
      <c r="AW61" s="137">
        <f t="shared" si="11"/>
        <v>0</v>
      </c>
      <c r="AX61" s="137">
        <f t="shared" si="12"/>
        <v>0</v>
      </c>
    </row>
    <row r="62" ht="46.5" customHeight="1" spans="1:50" s="97" customFormat="1" x14ac:dyDescent="0.25">
      <c r="A62" s="100"/>
      <c r="B62" s="100"/>
      <c r="C62" s="100"/>
      <c r="D62" s="100"/>
      <c r="E62" s="100"/>
      <c r="F62" s="100"/>
      <c r="G62" s="103"/>
      <c r="H62" s="186"/>
      <c r="I62" s="195">
        <v>0.51</v>
      </c>
      <c r="J62" s="107">
        <v>0.49</v>
      </c>
      <c r="K62" s="107"/>
      <c r="L62" s="107"/>
      <c r="M62" s="187"/>
      <c r="N62" s="169">
        <f t="shared" si="14"/>
        <v>1</v>
      </c>
      <c r="O62" s="144">
        <v>1</v>
      </c>
      <c r="P62" s="145">
        <v>15</v>
      </c>
      <c r="Q62" s="113">
        <v>15</v>
      </c>
      <c r="R62" s="113"/>
      <c r="S62" s="113"/>
      <c r="T62" s="146"/>
      <c r="U62" s="148">
        <f t="shared" si="1"/>
        <v>15</v>
      </c>
      <c r="V62" s="149">
        <f t="shared" si="2"/>
        <v>15</v>
      </c>
      <c r="W62" s="189"/>
      <c r="X62" s="199"/>
      <c r="Y62" s="151"/>
      <c r="Z62" s="190"/>
      <c r="AA62" s="153"/>
      <c r="AB62" s="154">
        <f t="shared" si="3"/>
        <v>0</v>
      </c>
      <c r="AC62" s="149">
        <f t="shared" si="4"/>
        <v>0</v>
      </c>
      <c r="AD62" s="125">
        <v>2</v>
      </c>
      <c r="AE62" s="148">
        <f t="shared" si="5"/>
        <v>2</v>
      </c>
      <c r="AF62" s="156"/>
      <c r="AG62" s="156"/>
      <c r="AH62" s="113">
        <f t="shared" si="6"/>
        <v>17</v>
      </c>
      <c r="AI62" s="157">
        <v>65</v>
      </c>
      <c r="AJ62" s="113">
        <f t="shared" si="7"/>
        <v>82</v>
      </c>
      <c r="AK62" s="113">
        <f t="shared" si="8"/>
        <v>82</v>
      </c>
      <c r="AL62" s="158">
        <f t="shared" si="9"/>
        <v>1.02</v>
      </c>
      <c r="AM62" s="159"/>
      <c r="AN62" s="160">
        <f t="shared" ref="AN62:AO81" si="15">100%+AM62</f>
        <v>1</v>
      </c>
      <c r="AO62" s="160">
        <f t="shared" si="15"/>
        <v>2</v>
      </c>
      <c r="AP62" s="133"/>
      <c r="AQ62" s="134"/>
      <c r="AR62" s="161"/>
      <c r="AS62" s="161"/>
      <c r="AT62" s="161"/>
      <c r="AU62" s="161"/>
      <c r="AV62" s="162"/>
      <c r="AW62" s="137">
        <f t="shared" si="11"/>
        <v>0</v>
      </c>
      <c r="AX62" s="137">
        <f t="shared" si="12"/>
        <v>0</v>
      </c>
    </row>
    <row r="63" ht="46.5" customHeight="1" spans="1:50" s="97" customFormat="1" x14ac:dyDescent="0.25">
      <c r="A63" s="100"/>
      <c r="B63" s="100"/>
      <c r="C63" s="100"/>
      <c r="D63" s="100"/>
      <c r="E63" s="100"/>
      <c r="F63" s="100"/>
      <c r="G63" s="103"/>
      <c r="H63" s="186"/>
      <c r="I63" s="195">
        <v>0.51</v>
      </c>
      <c r="J63" s="107">
        <v>0.49</v>
      </c>
      <c r="K63" s="107"/>
      <c r="L63" s="107"/>
      <c r="M63" s="187"/>
      <c r="N63" s="169">
        <f t="shared" si="14"/>
        <v>1</v>
      </c>
      <c r="O63" s="144">
        <v>1</v>
      </c>
      <c r="P63" s="145">
        <v>15</v>
      </c>
      <c r="Q63" s="113">
        <v>15</v>
      </c>
      <c r="R63" s="113"/>
      <c r="S63" s="113"/>
      <c r="T63" s="146"/>
      <c r="U63" s="148">
        <f t="shared" si="1"/>
        <v>15</v>
      </c>
      <c r="V63" s="149">
        <f t="shared" si="2"/>
        <v>15</v>
      </c>
      <c r="W63" s="189"/>
      <c r="X63" s="199"/>
      <c r="Y63" s="151"/>
      <c r="Z63" s="190"/>
      <c r="AA63" s="153"/>
      <c r="AB63" s="154">
        <f t="shared" si="3"/>
        <v>0</v>
      </c>
      <c r="AC63" s="149">
        <f t="shared" si="4"/>
        <v>0</v>
      </c>
      <c r="AD63" s="125">
        <v>2</v>
      </c>
      <c r="AE63" s="148">
        <f t="shared" si="5"/>
        <v>2</v>
      </c>
      <c r="AF63" s="156"/>
      <c r="AG63" s="156"/>
      <c r="AH63" s="113">
        <f t="shared" si="6"/>
        <v>17</v>
      </c>
      <c r="AI63" s="157">
        <v>65</v>
      </c>
      <c r="AJ63" s="113">
        <f t="shared" si="7"/>
        <v>82</v>
      </c>
      <c r="AK63" s="113">
        <f t="shared" si="8"/>
        <v>82</v>
      </c>
      <c r="AL63" s="158">
        <f t="shared" si="9"/>
        <v>1.02</v>
      </c>
      <c r="AM63" s="159"/>
      <c r="AN63" s="160">
        <f t="shared" si="15"/>
        <v>1</v>
      </c>
      <c r="AO63" s="160">
        <f t="shared" si="15"/>
        <v>2</v>
      </c>
      <c r="AP63" s="133"/>
      <c r="AQ63" s="134"/>
      <c r="AR63" s="161"/>
      <c r="AS63" s="161"/>
      <c r="AT63" s="161"/>
      <c r="AU63" s="161"/>
      <c r="AV63" s="162"/>
      <c r="AW63" s="137">
        <f t="shared" si="11"/>
        <v>0</v>
      </c>
      <c r="AX63" s="137">
        <f t="shared" si="12"/>
        <v>0</v>
      </c>
    </row>
    <row r="64" ht="46.5" customHeight="1" spans="1:50" s="97" customFormat="1" x14ac:dyDescent="0.25">
      <c r="A64" s="100"/>
      <c r="B64" s="100"/>
      <c r="C64" s="100"/>
      <c r="D64" s="100"/>
      <c r="E64" s="100"/>
      <c r="F64" s="100"/>
      <c r="G64" s="103"/>
      <c r="H64" s="186"/>
      <c r="I64" s="195">
        <v>0.51</v>
      </c>
      <c r="J64" s="107">
        <v>0.49</v>
      </c>
      <c r="K64" s="107"/>
      <c r="L64" s="107"/>
      <c r="M64" s="187"/>
      <c r="N64" s="169">
        <f t="shared" si="14"/>
        <v>1</v>
      </c>
      <c r="O64" s="144">
        <v>1</v>
      </c>
      <c r="P64" s="145">
        <v>15</v>
      </c>
      <c r="Q64" s="113">
        <v>15</v>
      </c>
      <c r="R64" s="113"/>
      <c r="S64" s="113"/>
      <c r="T64" s="146"/>
      <c r="U64" s="148">
        <f t="shared" si="1"/>
        <v>15</v>
      </c>
      <c r="V64" s="149">
        <f t="shared" si="2"/>
        <v>15</v>
      </c>
      <c r="W64" s="189"/>
      <c r="X64" s="199"/>
      <c r="Y64" s="151"/>
      <c r="Z64" s="190"/>
      <c r="AA64" s="153"/>
      <c r="AB64" s="154">
        <f t="shared" si="3"/>
        <v>0</v>
      </c>
      <c r="AC64" s="149">
        <f t="shared" si="4"/>
        <v>0</v>
      </c>
      <c r="AD64" s="125">
        <v>2</v>
      </c>
      <c r="AE64" s="148">
        <f t="shared" si="5"/>
        <v>2</v>
      </c>
      <c r="AF64" s="156"/>
      <c r="AG64" s="156"/>
      <c r="AH64" s="113">
        <f t="shared" si="6"/>
        <v>17</v>
      </c>
      <c r="AI64" s="157">
        <v>65</v>
      </c>
      <c r="AJ64" s="113">
        <f t="shared" si="7"/>
        <v>82</v>
      </c>
      <c r="AK64" s="113">
        <f t="shared" si="8"/>
        <v>82</v>
      </c>
      <c r="AL64" s="158">
        <f t="shared" si="9"/>
        <v>1.02</v>
      </c>
      <c r="AM64" s="159"/>
      <c r="AN64" s="160">
        <f t="shared" si="15"/>
        <v>1</v>
      </c>
      <c r="AO64" s="160">
        <f t="shared" si="15"/>
        <v>2</v>
      </c>
      <c r="AP64" s="133"/>
      <c r="AQ64" s="134"/>
      <c r="AR64" s="161"/>
      <c r="AS64" s="161"/>
      <c r="AT64" s="161"/>
      <c r="AU64" s="161"/>
      <c r="AV64" s="162"/>
      <c r="AW64" s="137">
        <f t="shared" si="11"/>
        <v>0</v>
      </c>
      <c r="AX64" s="137">
        <f t="shared" si="12"/>
        <v>0</v>
      </c>
    </row>
    <row r="65" ht="46.5" customHeight="1" spans="1:50" s="97" customFormat="1" x14ac:dyDescent="0.25">
      <c r="A65" s="100"/>
      <c r="B65" s="100"/>
      <c r="C65" s="100"/>
      <c r="D65" s="100"/>
      <c r="E65" s="100"/>
      <c r="F65" s="100"/>
      <c r="G65" s="103"/>
      <c r="H65" s="186"/>
      <c r="I65" s="195">
        <v>0.51</v>
      </c>
      <c r="J65" s="107">
        <v>0.49</v>
      </c>
      <c r="K65" s="107"/>
      <c r="L65" s="107"/>
      <c r="M65" s="187"/>
      <c r="N65" s="169">
        <f t="shared" si="14"/>
        <v>1</v>
      </c>
      <c r="O65" s="144">
        <v>1</v>
      </c>
      <c r="P65" s="145">
        <v>15</v>
      </c>
      <c r="Q65" s="113">
        <v>15</v>
      </c>
      <c r="R65" s="113"/>
      <c r="S65" s="113"/>
      <c r="T65" s="146"/>
      <c r="U65" s="148">
        <f t="shared" si="1"/>
        <v>15</v>
      </c>
      <c r="V65" s="149">
        <f t="shared" si="2"/>
        <v>15</v>
      </c>
      <c r="W65" s="189"/>
      <c r="X65" s="199"/>
      <c r="Y65" s="151"/>
      <c r="Z65" s="190"/>
      <c r="AA65" s="153"/>
      <c r="AB65" s="154">
        <f t="shared" si="3"/>
        <v>0</v>
      </c>
      <c r="AC65" s="149">
        <f t="shared" si="4"/>
        <v>0</v>
      </c>
      <c r="AD65" s="125">
        <v>2</v>
      </c>
      <c r="AE65" s="148">
        <f t="shared" si="5"/>
        <v>2</v>
      </c>
      <c r="AF65" s="156"/>
      <c r="AG65" s="156"/>
      <c r="AH65" s="113">
        <f t="shared" si="6"/>
        <v>17</v>
      </c>
      <c r="AI65" s="157">
        <v>65</v>
      </c>
      <c r="AJ65" s="113">
        <f t="shared" si="7"/>
        <v>82</v>
      </c>
      <c r="AK65" s="113">
        <f t="shared" si="8"/>
        <v>82</v>
      </c>
      <c r="AL65" s="158">
        <f t="shared" si="9"/>
        <v>1.02</v>
      </c>
      <c r="AM65" s="159"/>
      <c r="AN65" s="160">
        <f t="shared" si="15"/>
        <v>1</v>
      </c>
      <c r="AO65" s="160">
        <f t="shared" si="15"/>
        <v>2</v>
      </c>
      <c r="AP65" s="133"/>
      <c r="AQ65" s="134"/>
      <c r="AR65" s="161"/>
      <c r="AS65" s="161"/>
      <c r="AT65" s="161"/>
      <c r="AU65" s="161"/>
      <c r="AV65" s="162"/>
      <c r="AW65" s="137">
        <f t="shared" si="11"/>
        <v>0</v>
      </c>
      <c r="AX65" s="137">
        <f t="shared" si="12"/>
        <v>0</v>
      </c>
    </row>
    <row r="66" ht="46.5" customHeight="1" spans="1:50" s="97" customFormat="1" x14ac:dyDescent="0.25">
      <c r="A66" s="100"/>
      <c r="B66" s="100"/>
      <c r="C66" s="100"/>
      <c r="D66" s="100"/>
      <c r="E66" s="100"/>
      <c r="F66" s="100"/>
      <c r="G66" s="103"/>
      <c r="H66" s="186"/>
      <c r="I66" s="195">
        <v>0.51</v>
      </c>
      <c r="J66" s="107">
        <v>0.49</v>
      </c>
      <c r="K66" s="107"/>
      <c r="L66" s="107"/>
      <c r="M66" s="187"/>
      <c r="N66" s="169">
        <f t="shared" si="14"/>
        <v>1</v>
      </c>
      <c r="O66" s="144">
        <v>1</v>
      </c>
      <c r="P66" s="145">
        <v>15</v>
      </c>
      <c r="Q66" s="113">
        <v>15</v>
      </c>
      <c r="R66" s="113"/>
      <c r="S66" s="113"/>
      <c r="T66" s="146"/>
      <c r="U66" s="148">
        <f t="shared" si="1"/>
        <v>15</v>
      </c>
      <c r="V66" s="149">
        <f t="shared" si="2"/>
        <v>15</v>
      </c>
      <c r="W66" s="189"/>
      <c r="X66" s="199"/>
      <c r="Y66" s="151"/>
      <c r="Z66" s="190"/>
      <c r="AA66" s="153"/>
      <c r="AB66" s="154">
        <f t="shared" si="3"/>
        <v>0</v>
      </c>
      <c r="AC66" s="149">
        <f t="shared" si="4"/>
        <v>0</v>
      </c>
      <c r="AD66" s="125">
        <v>2</v>
      </c>
      <c r="AE66" s="148">
        <f t="shared" si="5"/>
        <v>2</v>
      </c>
      <c r="AF66" s="156"/>
      <c r="AG66" s="156"/>
      <c r="AH66" s="113">
        <f t="shared" si="6"/>
        <v>17</v>
      </c>
      <c r="AI66" s="157">
        <v>65</v>
      </c>
      <c r="AJ66" s="113">
        <f t="shared" si="7"/>
        <v>82</v>
      </c>
      <c r="AK66" s="113">
        <f t="shared" si="8"/>
        <v>82</v>
      </c>
      <c r="AL66" s="158">
        <f t="shared" si="9"/>
        <v>1.02</v>
      </c>
      <c r="AM66" s="159"/>
      <c r="AN66" s="160">
        <f t="shared" si="15"/>
        <v>1</v>
      </c>
      <c r="AO66" s="160">
        <f t="shared" si="15"/>
        <v>2</v>
      </c>
      <c r="AP66" s="133"/>
      <c r="AQ66" s="134"/>
      <c r="AR66" s="161"/>
      <c r="AS66" s="161"/>
      <c r="AT66" s="161"/>
      <c r="AU66" s="161"/>
      <c r="AV66" s="162"/>
      <c r="AW66" s="137">
        <f t="shared" si="11"/>
        <v>0</v>
      </c>
      <c r="AX66" s="137">
        <f t="shared" si="12"/>
        <v>0</v>
      </c>
    </row>
    <row r="67" ht="46.5" customHeight="1" spans="1:50" s="97" customFormat="1" x14ac:dyDescent="0.25">
      <c r="A67" s="100"/>
      <c r="B67" s="100"/>
      <c r="C67" s="100"/>
      <c r="D67" s="100"/>
      <c r="E67" s="100"/>
      <c r="F67" s="100"/>
      <c r="G67" s="103"/>
      <c r="H67" s="186"/>
      <c r="I67" s="195">
        <v>0.51</v>
      </c>
      <c r="J67" s="107">
        <v>0.49</v>
      </c>
      <c r="K67" s="107"/>
      <c r="L67" s="107"/>
      <c r="M67" s="187"/>
      <c r="N67" s="169">
        <f t="shared" si="14"/>
        <v>1</v>
      </c>
      <c r="O67" s="144">
        <v>1</v>
      </c>
      <c r="P67" s="145">
        <v>15</v>
      </c>
      <c r="Q67" s="113">
        <v>15</v>
      </c>
      <c r="R67" s="113"/>
      <c r="S67" s="113"/>
      <c r="T67" s="146"/>
      <c r="U67" s="148">
        <f t="shared" si="1"/>
        <v>15</v>
      </c>
      <c r="V67" s="149">
        <f t="shared" si="2"/>
        <v>15</v>
      </c>
      <c r="W67" s="189"/>
      <c r="X67" s="199"/>
      <c r="Y67" s="151"/>
      <c r="Z67" s="190"/>
      <c r="AA67" s="153"/>
      <c r="AB67" s="154">
        <f t="shared" si="3"/>
        <v>0</v>
      </c>
      <c r="AC67" s="149">
        <f t="shared" si="4"/>
        <v>0</v>
      </c>
      <c r="AD67" s="125">
        <v>2</v>
      </c>
      <c r="AE67" s="148">
        <f t="shared" si="5"/>
        <v>2</v>
      </c>
      <c r="AF67" s="156"/>
      <c r="AG67" s="156"/>
      <c r="AH67" s="113">
        <f t="shared" si="6"/>
        <v>17</v>
      </c>
      <c r="AI67" s="157">
        <v>65</v>
      </c>
      <c r="AJ67" s="113">
        <f t="shared" si="7"/>
        <v>82</v>
      </c>
      <c r="AK67" s="113">
        <f t="shared" si="8"/>
        <v>82</v>
      </c>
      <c r="AL67" s="158">
        <f t="shared" si="9"/>
        <v>1.02</v>
      </c>
      <c r="AM67" s="159"/>
      <c r="AN67" s="160">
        <f t="shared" si="15"/>
        <v>1</v>
      </c>
      <c r="AO67" s="160">
        <f t="shared" si="15"/>
        <v>2</v>
      </c>
      <c r="AP67" s="133"/>
      <c r="AQ67" s="134"/>
      <c r="AR67" s="161"/>
      <c r="AS67" s="161"/>
      <c r="AT67" s="161"/>
      <c r="AU67" s="161"/>
      <c r="AV67" s="162"/>
      <c r="AW67" s="137">
        <f t="shared" si="11"/>
        <v>0</v>
      </c>
      <c r="AX67" s="137">
        <f t="shared" si="12"/>
        <v>0</v>
      </c>
    </row>
    <row r="68" ht="46.5" customHeight="1" spans="1:50" s="97" customFormat="1" x14ac:dyDescent="0.25">
      <c r="A68" s="100"/>
      <c r="B68" s="100"/>
      <c r="C68" s="100"/>
      <c r="D68" s="100"/>
      <c r="E68" s="100"/>
      <c r="F68" s="100"/>
      <c r="G68" s="103"/>
      <c r="H68" s="186"/>
      <c r="I68" s="195">
        <v>0.51</v>
      </c>
      <c r="J68" s="107">
        <v>0.49</v>
      </c>
      <c r="K68" s="107"/>
      <c r="L68" s="107"/>
      <c r="M68" s="187"/>
      <c r="N68" s="169">
        <f t="shared" si="14"/>
        <v>1</v>
      </c>
      <c r="O68" s="144">
        <v>1</v>
      </c>
      <c r="P68" s="145">
        <v>15</v>
      </c>
      <c r="Q68" s="113">
        <v>15</v>
      </c>
      <c r="R68" s="113"/>
      <c r="S68" s="113"/>
      <c r="T68" s="146"/>
      <c r="U68" s="148">
        <f t="shared" si="1"/>
        <v>15</v>
      </c>
      <c r="V68" s="149">
        <f t="shared" si="2"/>
        <v>15</v>
      </c>
      <c r="W68" s="189"/>
      <c r="X68" s="199"/>
      <c r="Y68" s="151"/>
      <c r="Z68" s="190"/>
      <c r="AA68" s="153"/>
      <c r="AB68" s="154">
        <f t="shared" si="3"/>
        <v>0</v>
      </c>
      <c r="AC68" s="149">
        <f t="shared" si="4"/>
        <v>0</v>
      </c>
      <c r="AD68" s="125">
        <v>2</v>
      </c>
      <c r="AE68" s="148">
        <f t="shared" si="5"/>
        <v>2</v>
      </c>
      <c r="AF68" s="156"/>
      <c r="AG68" s="156"/>
      <c r="AH68" s="113">
        <f t="shared" si="6"/>
        <v>17</v>
      </c>
      <c r="AI68" s="157">
        <v>65</v>
      </c>
      <c r="AJ68" s="113">
        <f t="shared" si="7"/>
        <v>82</v>
      </c>
      <c r="AK68" s="113">
        <f t="shared" si="8"/>
        <v>82</v>
      </c>
      <c r="AL68" s="158">
        <f t="shared" si="9"/>
        <v>1.02</v>
      </c>
      <c r="AM68" s="159"/>
      <c r="AN68" s="160">
        <f t="shared" si="15"/>
        <v>1</v>
      </c>
      <c r="AO68" s="160">
        <f t="shared" si="15"/>
        <v>2</v>
      </c>
      <c r="AP68" s="133"/>
      <c r="AQ68" s="134"/>
      <c r="AR68" s="161"/>
      <c r="AS68" s="161"/>
      <c r="AT68" s="161"/>
      <c r="AU68" s="161"/>
      <c r="AV68" s="162"/>
      <c r="AW68" s="137">
        <f t="shared" si="11"/>
        <v>0</v>
      </c>
      <c r="AX68" s="137">
        <f t="shared" si="12"/>
        <v>0</v>
      </c>
    </row>
    <row r="69" ht="46.5" customHeight="1" spans="1:50" s="97" customFormat="1" x14ac:dyDescent="0.25">
      <c r="A69" s="100"/>
      <c r="B69" s="100"/>
      <c r="C69" s="100"/>
      <c r="D69" s="100"/>
      <c r="E69" s="100"/>
      <c r="F69" s="100"/>
      <c r="G69" s="103"/>
      <c r="H69" s="186"/>
      <c r="I69" s="195">
        <v>0.51</v>
      </c>
      <c r="J69" s="107">
        <v>0.49</v>
      </c>
      <c r="K69" s="107"/>
      <c r="L69" s="107"/>
      <c r="M69" s="187"/>
      <c r="N69" s="169">
        <f t="shared" si="14"/>
        <v>1</v>
      </c>
      <c r="O69" s="144">
        <v>1</v>
      </c>
      <c r="P69" s="145">
        <v>15</v>
      </c>
      <c r="Q69" s="113">
        <v>15</v>
      </c>
      <c r="R69" s="113"/>
      <c r="S69" s="113"/>
      <c r="T69" s="146"/>
      <c r="U69" s="148">
        <f t="shared" si="1"/>
        <v>15</v>
      </c>
      <c r="V69" s="149">
        <f t="shared" si="2"/>
        <v>15</v>
      </c>
      <c r="W69" s="189"/>
      <c r="X69" s="199"/>
      <c r="Y69" s="151"/>
      <c r="Z69" s="190"/>
      <c r="AA69" s="153"/>
      <c r="AB69" s="154">
        <f t="shared" si="3"/>
        <v>0</v>
      </c>
      <c r="AC69" s="149">
        <f t="shared" si="4"/>
        <v>0</v>
      </c>
      <c r="AD69" s="125">
        <v>2</v>
      </c>
      <c r="AE69" s="148">
        <f t="shared" si="5"/>
        <v>2</v>
      </c>
      <c r="AF69" s="156"/>
      <c r="AG69" s="156"/>
      <c r="AH69" s="113">
        <f t="shared" si="6"/>
        <v>17</v>
      </c>
      <c r="AI69" s="157">
        <v>65</v>
      </c>
      <c r="AJ69" s="113">
        <f t="shared" si="7"/>
        <v>82</v>
      </c>
      <c r="AK69" s="113">
        <f t="shared" si="8"/>
        <v>82</v>
      </c>
      <c r="AL69" s="158">
        <f t="shared" si="9"/>
        <v>1.02</v>
      </c>
      <c r="AM69" s="159"/>
      <c r="AN69" s="160">
        <f t="shared" si="15"/>
        <v>1</v>
      </c>
      <c r="AO69" s="160">
        <f t="shared" si="15"/>
        <v>2</v>
      </c>
      <c r="AP69" s="133"/>
      <c r="AQ69" s="134"/>
      <c r="AR69" s="161"/>
      <c r="AS69" s="161"/>
      <c r="AT69" s="161"/>
      <c r="AU69" s="161"/>
      <c r="AV69" s="162"/>
      <c r="AW69" s="137">
        <f t="shared" si="11"/>
        <v>0</v>
      </c>
      <c r="AX69" s="137">
        <f t="shared" si="12"/>
        <v>0</v>
      </c>
    </row>
    <row r="70" ht="46.5" customHeight="1" spans="1:50" s="97" customFormat="1" x14ac:dyDescent="0.25">
      <c r="A70" s="100"/>
      <c r="B70" s="100"/>
      <c r="C70" s="100"/>
      <c r="D70" s="100"/>
      <c r="E70" s="100"/>
      <c r="F70" s="100"/>
      <c r="G70" s="103"/>
      <c r="H70" s="186"/>
      <c r="I70" s="195">
        <v>0.51</v>
      </c>
      <c r="J70" s="107">
        <v>0.49</v>
      </c>
      <c r="K70" s="107"/>
      <c r="L70" s="107"/>
      <c r="M70" s="187"/>
      <c r="N70" s="169">
        <f t="shared" si="14"/>
        <v>1</v>
      </c>
      <c r="O70" s="144">
        <v>1</v>
      </c>
      <c r="P70" s="145">
        <v>15</v>
      </c>
      <c r="Q70" s="113">
        <v>15</v>
      </c>
      <c r="R70" s="113"/>
      <c r="S70" s="113"/>
      <c r="T70" s="146"/>
      <c r="U70" s="148">
        <f t="shared" si="1"/>
        <v>15</v>
      </c>
      <c r="V70" s="149">
        <f t="shared" si="2"/>
        <v>15</v>
      </c>
      <c r="W70" s="189"/>
      <c r="X70" s="199"/>
      <c r="Y70" s="151"/>
      <c r="Z70" s="190"/>
      <c r="AA70" s="153"/>
      <c r="AB70" s="154">
        <f t="shared" si="3"/>
        <v>0</v>
      </c>
      <c r="AC70" s="149">
        <f t="shared" si="4"/>
        <v>0</v>
      </c>
      <c r="AD70" s="125">
        <v>2</v>
      </c>
      <c r="AE70" s="148">
        <f t="shared" si="5"/>
        <v>2</v>
      </c>
      <c r="AF70" s="156"/>
      <c r="AG70" s="156"/>
      <c r="AH70" s="113">
        <f t="shared" si="6"/>
        <v>17</v>
      </c>
      <c r="AI70" s="157">
        <v>65</v>
      </c>
      <c r="AJ70" s="113">
        <f t="shared" si="7"/>
        <v>82</v>
      </c>
      <c r="AK70" s="113">
        <f t="shared" si="8"/>
        <v>82</v>
      </c>
      <c r="AL70" s="158">
        <f t="shared" si="9"/>
        <v>1.02</v>
      </c>
      <c r="AM70" s="159"/>
      <c r="AN70" s="160">
        <f t="shared" si="15"/>
        <v>1</v>
      </c>
      <c r="AO70" s="160">
        <f t="shared" si="15"/>
        <v>2</v>
      </c>
      <c r="AP70" s="133"/>
      <c r="AQ70" s="134"/>
      <c r="AR70" s="161"/>
      <c r="AS70" s="161"/>
      <c r="AT70" s="161"/>
      <c r="AU70" s="161"/>
      <c r="AV70" s="162"/>
      <c r="AW70" s="137">
        <f t="shared" si="11"/>
        <v>0</v>
      </c>
      <c r="AX70" s="137">
        <f t="shared" si="12"/>
        <v>0</v>
      </c>
    </row>
    <row r="71" ht="46.5" customHeight="1" spans="1:50" s="97" customFormat="1" x14ac:dyDescent="0.25">
      <c r="A71" s="100"/>
      <c r="B71" s="100"/>
      <c r="C71" s="100"/>
      <c r="D71" s="100"/>
      <c r="E71" s="100"/>
      <c r="F71" s="100"/>
      <c r="G71" s="103"/>
      <c r="H71" s="186"/>
      <c r="I71" s="195">
        <v>0.51</v>
      </c>
      <c r="J71" s="107">
        <v>0.49</v>
      </c>
      <c r="K71" s="107"/>
      <c r="L71" s="107"/>
      <c r="M71" s="187"/>
      <c r="N71" s="169">
        <f t="shared" si="14"/>
        <v>1</v>
      </c>
      <c r="O71" s="144">
        <v>1</v>
      </c>
      <c r="P71" s="145">
        <v>15</v>
      </c>
      <c r="Q71" s="113">
        <v>15</v>
      </c>
      <c r="R71" s="113"/>
      <c r="S71" s="113"/>
      <c r="T71" s="146"/>
      <c r="U71" s="148">
        <f t="shared" si="1"/>
        <v>15</v>
      </c>
      <c r="V71" s="149">
        <f t="shared" si="2"/>
        <v>15</v>
      </c>
      <c r="W71" s="189"/>
      <c r="X71" s="199"/>
      <c r="Y71" s="151"/>
      <c r="Z71" s="190"/>
      <c r="AA71" s="153"/>
      <c r="AB71" s="154">
        <f t="shared" si="3"/>
        <v>0</v>
      </c>
      <c r="AC71" s="149">
        <f t="shared" si="4"/>
        <v>0</v>
      </c>
      <c r="AD71" s="125">
        <v>2</v>
      </c>
      <c r="AE71" s="148">
        <f t="shared" si="5"/>
        <v>2</v>
      </c>
      <c r="AF71" s="156"/>
      <c r="AG71" s="156"/>
      <c r="AH71" s="113">
        <f t="shared" si="6"/>
        <v>17</v>
      </c>
      <c r="AI71" s="157">
        <v>65</v>
      </c>
      <c r="AJ71" s="113">
        <f t="shared" si="7"/>
        <v>82</v>
      </c>
      <c r="AK71" s="113">
        <f t="shared" si="8"/>
        <v>82</v>
      </c>
      <c r="AL71" s="158">
        <f t="shared" si="9"/>
        <v>1.02</v>
      </c>
      <c r="AM71" s="159"/>
      <c r="AN71" s="160">
        <f t="shared" si="15"/>
        <v>1</v>
      </c>
      <c r="AO71" s="160">
        <f t="shared" si="15"/>
        <v>2</v>
      </c>
      <c r="AP71" s="133"/>
      <c r="AQ71" s="134"/>
      <c r="AR71" s="161"/>
      <c r="AS71" s="161"/>
      <c r="AT71" s="161"/>
      <c r="AU71" s="161"/>
      <c r="AV71" s="162"/>
      <c r="AW71" s="137">
        <f t="shared" si="11"/>
        <v>0</v>
      </c>
      <c r="AX71" s="137">
        <f t="shared" si="12"/>
        <v>0</v>
      </c>
    </row>
    <row r="72" ht="46.5" customHeight="1" spans="1:50" s="97" customFormat="1" x14ac:dyDescent="0.25">
      <c r="A72" s="100"/>
      <c r="B72" s="100"/>
      <c r="C72" s="100"/>
      <c r="D72" s="100"/>
      <c r="E72" s="100"/>
      <c r="F72" s="100"/>
      <c r="G72" s="103"/>
      <c r="H72" s="186"/>
      <c r="I72" s="195">
        <v>0.51</v>
      </c>
      <c r="J72" s="107">
        <v>0.49</v>
      </c>
      <c r="K72" s="107"/>
      <c r="L72" s="107"/>
      <c r="M72" s="187"/>
      <c r="N72" s="169">
        <f t="shared" si="14"/>
        <v>1</v>
      </c>
      <c r="O72" s="144">
        <v>1</v>
      </c>
      <c r="P72" s="145">
        <v>15</v>
      </c>
      <c r="Q72" s="113">
        <v>15</v>
      </c>
      <c r="R72" s="113"/>
      <c r="S72" s="113"/>
      <c r="T72" s="146"/>
      <c r="U72" s="148">
        <f t="shared" si="1"/>
        <v>15</v>
      </c>
      <c r="V72" s="149">
        <f t="shared" si="2"/>
        <v>15</v>
      </c>
      <c r="W72" s="189"/>
      <c r="X72" s="199"/>
      <c r="Y72" s="151"/>
      <c r="Z72" s="190"/>
      <c r="AA72" s="153"/>
      <c r="AB72" s="154">
        <f t="shared" si="3"/>
        <v>0</v>
      </c>
      <c r="AC72" s="149">
        <f t="shared" si="4"/>
        <v>0</v>
      </c>
      <c r="AD72" s="125">
        <v>2</v>
      </c>
      <c r="AE72" s="148">
        <f t="shared" si="5"/>
        <v>2</v>
      </c>
      <c r="AF72" s="156"/>
      <c r="AG72" s="156"/>
      <c r="AH72" s="113">
        <f t="shared" si="6"/>
        <v>17</v>
      </c>
      <c r="AI72" s="157">
        <v>65</v>
      </c>
      <c r="AJ72" s="113">
        <f t="shared" si="7"/>
        <v>82</v>
      </c>
      <c r="AK72" s="113">
        <f t="shared" si="8"/>
        <v>82</v>
      </c>
      <c r="AL72" s="158">
        <f t="shared" si="9"/>
        <v>1.02</v>
      </c>
      <c r="AM72" s="159"/>
      <c r="AN72" s="160">
        <f t="shared" si="15"/>
        <v>1</v>
      </c>
      <c r="AO72" s="160">
        <f t="shared" si="15"/>
        <v>2</v>
      </c>
      <c r="AP72" s="133"/>
      <c r="AQ72" s="134"/>
      <c r="AR72" s="161"/>
      <c r="AS72" s="161"/>
      <c r="AT72" s="161"/>
      <c r="AU72" s="161"/>
      <c r="AV72" s="162"/>
      <c r="AW72" s="137">
        <f t="shared" si="11"/>
        <v>0</v>
      </c>
      <c r="AX72" s="137">
        <f t="shared" si="12"/>
        <v>0</v>
      </c>
    </row>
    <row r="73" ht="46.5" customHeight="1" spans="1:50" s="97" customFormat="1" x14ac:dyDescent="0.25">
      <c r="A73" s="100"/>
      <c r="B73" s="100"/>
      <c r="C73" s="100"/>
      <c r="D73" s="100"/>
      <c r="E73" s="100"/>
      <c r="F73" s="100"/>
      <c r="G73" s="103"/>
      <c r="H73" s="186"/>
      <c r="I73" s="195">
        <v>0.51</v>
      </c>
      <c r="J73" s="107">
        <v>0.49</v>
      </c>
      <c r="K73" s="107"/>
      <c r="L73" s="107"/>
      <c r="M73" s="187"/>
      <c r="N73" s="169">
        <f t="shared" si="14"/>
        <v>1</v>
      </c>
      <c r="O73" s="144">
        <v>1</v>
      </c>
      <c r="P73" s="145">
        <v>15</v>
      </c>
      <c r="Q73" s="113">
        <v>15</v>
      </c>
      <c r="R73" s="113"/>
      <c r="S73" s="113"/>
      <c r="T73" s="146"/>
      <c r="U73" s="148">
        <f t="shared" si="1"/>
        <v>15</v>
      </c>
      <c r="V73" s="149">
        <f t="shared" si="2"/>
        <v>15</v>
      </c>
      <c r="W73" s="189"/>
      <c r="X73" s="199"/>
      <c r="Y73" s="151"/>
      <c r="Z73" s="190"/>
      <c r="AA73" s="153"/>
      <c r="AB73" s="154">
        <f t="shared" si="3"/>
        <v>0</v>
      </c>
      <c r="AC73" s="149">
        <f t="shared" si="4"/>
        <v>0</v>
      </c>
      <c r="AD73" s="125">
        <v>2</v>
      </c>
      <c r="AE73" s="148">
        <f t="shared" si="5"/>
        <v>2</v>
      </c>
      <c r="AF73" s="156"/>
      <c r="AG73" s="156"/>
      <c r="AH73" s="113">
        <f t="shared" si="6"/>
        <v>17</v>
      </c>
      <c r="AI73" s="157">
        <v>65</v>
      </c>
      <c r="AJ73" s="113">
        <f t="shared" si="7"/>
        <v>82</v>
      </c>
      <c r="AK73" s="113">
        <f t="shared" si="8"/>
        <v>82</v>
      </c>
      <c r="AL73" s="158">
        <f t="shared" si="9"/>
        <v>1.02</v>
      </c>
      <c r="AM73" s="159"/>
      <c r="AN73" s="160">
        <f t="shared" si="15"/>
        <v>1</v>
      </c>
      <c r="AO73" s="160">
        <f t="shared" si="15"/>
        <v>2</v>
      </c>
      <c r="AP73" s="133"/>
      <c r="AQ73" s="134"/>
      <c r="AR73" s="161"/>
      <c r="AS73" s="161"/>
      <c r="AT73" s="161"/>
      <c r="AU73" s="161"/>
      <c r="AV73" s="162"/>
      <c r="AW73" s="137">
        <f t="shared" si="11"/>
        <v>0</v>
      </c>
      <c r="AX73" s="137">
        <f t="shared" si="12"/>
        <v>0</v>
      </c>
    </row>
    <row r="74" ht="46.5" customHeight="1" spans="1:50" s="97" customFormat="1" x14ac:dyDescent="0.25">
      <c r="A74" s="100"/>
      <c r="B74" s="100"/>
      <c r="C74" s="100"/>
      <c r="D74" s="100"/>
      <c r="E74" s="100"/>
      <c r="F74" s="100"/>
      <c r="G74" s="103"/>
      <c r="H74" s="186"/>
      <c r="I74" s="195">
        <v>0.51</v>
      </c>
      <c r="J74" s="107">
        <v>0.49</v>
      </c>
      <c r="K74" s="107"/>
      <c r="L74" s="107"/>
      <c r="M74" s="187"/>
      <c r="N74" s="169">
        <f t="shared" si="14"/>
        <v>1</v>
      </c>
      <c r="O74" s="144">
        <v>1</v>
      </c>
      <c r="P74" s="145">
        <v>15</v>
      </c>
      <c r="Q74" s="113">
        <v>15</v>
      </c>
      <c r="R74" s="113"/>
      <c r="S74" s="113"/>
      <c r="T74" s="146"/>
      <c r="U74" s="148">
        <f t="shared" si="1"/>
        <v>15</v>
      </c>
      <c r="V74" s="149">
        <f t="shared" si="2"/>
        <v>15</v>
      </c>
      <c r="W74" s="189"/>
      <c r="X74" s="199"/>
      <c r="Y74" s="151"/>
      <c r="Z74" s="190"/>
      <c r="AA74" s="153"/>
      <c r="AB74" s="154">
        <f t="shared" si="3"/>
        <v>0</v>
      </c>
      <c r="AC74" s="149">
        <f t="shared" si="4"/>
        <v>0</v>
      </c>
      <c r="AD74" s="125">
        <v>2</v>
      </c>
      <c r="AE74" s="148">
        <f t="shared" si="5"/>
        <v>2</v>
      </c>
      <c r="AF74" s="156"/>
      <c r="AG74" s="156"/>
      <c r="AH74" s="113">
        <f t="shared" si="6"/>
        <v>17</v>
      </c>
      <c r="AI74" s="157">
        <v>65</v>
      </c>
      <c r="AJ74" s="113">
        <f t="shared" si="7"/>
        <v>82</v>
      </c>
      <c r="AK74" s="113">
        <f t="shared" si="8"/>
        <v>82</v>
      </c>
      <c r="AL74" s="158">
        <f t="shared" si="9"/>
        <v>1.02</v>
      </c>
      <c r="AM74" s="159"/>
      <c r="AN74" s="160">
        <f t="shared" si="15"/>
        <v>1</v>
      </c>
      <c r="AO74" s="160">
        <f t="shared" si="15"/>
        <v>2</v>
      </c>
      <c r="AP74" s="133"/>
      <c r="AQ74" s="134"/>
      <c r="AR74" s="161"/>
      <c r="AS74" s="161"/>
      <c r="AT74" s="161"/>
      <c r="AU74" s="161"/>
      <c r="AV74" s="162"/>
      <c r="AW74" s="137">
        <f t="shared" si="11"/>
        <v>0</v>
      </c>
      <c r="AX74" s="137">
        <f t="shared" si="12"/>
        <v>0</v>
      </c>
    </row>
    <row r="75" ht="46.5" customHeight="1" spans="1:50" s="97" customFormat="1" x14ac:dyDescent="0.25">
      <c r="A75" s="100"/>
      <c r="B75" s="100"/>
      <c r="C75" s="100"/>
      <c r="D75" s="100"/>
      <c r="E75" s="100"/>
      <c r="F75" s="100"/>
      <c r="G75" s="103"/>
      <c r="H75" s="186"/>
      <c r="I75" s="195">
        <v>0.51</v>
      </c>
      <c r="J75" s="107">
        <v>0.49</v>
      </c>
      <c r="K75" s="107"/>
      <c r="L75" s="107"/>
      <c r="M75" s="187"/>
      <c r="N75" s="169">
        <f t="shared" si="14"/>
        <v>1</v>
      </c>
      <c r="O75" s="144">
        <v>1</v>
      </c>
      <c r="P75" s="145">
        <v>15</v>
      </c>
      <c r="Q75" s="113">
        <v>15</v>
      </c>
      <c r="R75" s="113"/>
      <c r="S75" s="113"/>
      <c r="T75" s="146"/>
      <c r="U75" s="148">
        <f t="shared" si="1"/>
        <v>15</v>
      </c>
      <c r="V75" s="149">
        <f t="shared" si="2"/>
        <v>15</v>
      </c>
      <c r="W75" s="189"/>
      <c r="X75" s="199"/>
      <c r="Y75" s="151"/>
      <c r="Z75" s="190"/>
      <c r="AA75" s="153"/>
      <c r="AB75" s="154">
        <f t="shared" si="3"/>
        <v>0</v>
      </c>
      <c r="AC75" s="149">
        <f t="shared" si="4"/>
        <v>0</v>
      </c>
      <c r="AD75" s="125">
        <v>2</v>
      </c>
      <c r="AE75" s="148">
        <f t="shared" si="5"/>
        <v>2</v>
      </c>
      <c r="AF75" s="156"/>
      <c r="AG75" s="156"/>
      <c r="AH75" s="113">
        <f t="shared" si="6"/>
        <v>17</v>
      </c>
      <c r="AI75" s="157">
        <v>65</v>
      </c>
      <c r="AJ75" s="113">
        <f t="shared" si="7"/>
        <v>82</v>
      </c>
      <c r="AK75" s="113">
        <f t="shared" si="8"/>
        <v>82</v>
      </c>
      <c r="AL75" s="158">
        <f t="shared" si="9"/>
        <v>1.02</v>
      </c>
      <c r="AM75" s="159"/>
      <c r="AN75" s="160">
        <f t="shared" si="15"/>
        <v>1</v>
      </c>
      <c r="AO75" s="160">
        <f t="shared" si="15"/>
        <v>2</v>
      </c>
      <c r="AP75" s="133"/>
      <c r="AQ75" s="134"/>
      <c r="AR75" s="161"/>
      <c r="AS75" s="161"/>
      <c r="AT75" s="161"/>
      <c r="AU75" s="161"/>
      <c r="AV75" s="162"/>
      <c r="AW75" s="137">
        <f t="shared" si="11"/>
        <v>0</v>
      </c>
      <c r="AX75" s="137">
        <f t="shared" si="12"/>
        <v>0</v>
      </c>
    </row>
    <row r="76" ht="46.5" customHeight="1" spans="1:50" s="97" customFormat="1" x14ac:dyDescent="0.25">
      <c r="A76" s="100"/>
      <c r="B76" s="100"/>
      <c r="C76" s="100"/>
      <c r="D76" s="100"/>
      <c r="E76" s="100"/>
      <c r="F76" s="100"/>
      <c r="G76" s="103"/>
      <c r="H76" s="186"/>
      <c r="I76" s="195">
        <v>0.51</v>
      </c>
      <c r="J76" s="107">
        <v>0.49</v>
      </c>
      <c r="K76" s="107"/>
      <c r="L76" s="107"/>
      <c r="M76" s="187"/>
      <c r="N76" s="169">
        <f t="shared" si="14"/>
        <v>1</v>
      </c>
      <c r="O76" s="144">
        <v>1</v>
      </c>
      <c r="P76" s="145">
        <v>15</v>
      </c>
      <c r="Q76" s="113">
        <v>15</v>
      </c>
      <c r="R76" s="113"/>
      <c r="S76" s="113"/>
      <c r="T76" s="146"/>
      <c r="U76" s="148">
        <f t="shared" si="1"/>
        <v>15</v>
      </c>
      <c r="V76" s="149">
        <f t="shared" si="2"/>
        <v>15</v>
      </c>
      <c r="W76" s="189"/>
      <c r="X76" s="199"/>
      <c r="Y76" s="151"/>
      <c r="Z76" s="190"/>
      <c r="AA76" s="153"/>
      <c r="AB76" s="154">
        <f t="shared" si="3"/>
        <v>0</v>
      </c>
      <c r="AC76" s="149">
        <f t="shared" si="4"/>
        <v>0</v>
      </c>
      <c r="AD76" s="125">
        <v>2</v>
      </c>
      <c r="AE76" s="148">
        <f t="shared" si="5"/>
        <v>2</v>
      </c>
      <c r="AF76" s="156"/>
      <c r="AG76" s="156"/>
      <c r="AH76" s="113">
        <f t="shared" si="6"/>
        <v>17</v>
      </c>
      <c r="AI76" s="157">
        <v>65</v>
      </c>
      <c r="AJ76" s="113">
        <f t="shared" si="7"/>
        <v>82</v>
      </c>
      <c r="AK76" s="113">
        <f t="shared" si="8"/>
        <v>82</v>
      </c>
      <c r="AL76" s="158">
        <f t="shared" si="9"/>
        <v>1.02</v>
      </c>
      <c r="AM76" s="159"/>
      <c r="AN76" s="160">
        <f t="shared" si="15"/>
        <v>1</v>
      </c>
      <c r="AO76" s="160">
        <f t="shared" si="15"/>
        <v>2</v>
      </c>
      <c r="AP76" s="133"/>
      <c r="AQ76" s="134"/>
      <c r="AR76" s="161"/>
      <c r="AS76" s="161"/>
      <c r="AT76" s="161"/>
      <c r="AU76" s="161"/>
      <c r="AV76" s="162"/>
      <c r="AW76" s="137">
        <f t="shared" si="11"/>
        <v>0</v>
      </c>
      <c r="AX76" s="137">
        <f t="shared" si="12"/>
        <v>0</v>
      </c>
    </row>
    <row r="77" ht="46.5" customHeight="1" spans="1:50" s="97" customFormat="1" x14ac:dyDescent="0.25">
      <c r="A77" s="100"/>
      <c r="B77" s="100"/>
      <c r="C77" s="100"/>
      <c r="D77" s="100"/>
      <c r="E77" s="100"/>
      <c r="F77" s="100"/>
      <c r="G77" s="103"/>
      <c r="H77" s="186"/>
      <c r="I77" s="195">
        <v>0.51</v>
      </c>
      <c r="J77" s="107">
        <v>0.49</v>
      </c>
      <c r="K77" s="107"/>
      <c r="L77" s="107"/>
      <c r="M77" s="187"/>
      <c r="N77" s="169">
        <f t="shared" si="14"/>
        <v>1</v>
      </c>
      <c r="O77" s="144">
        <v>1</v>
      </c>
      <c r="P77" s="145">
        <v>15</v>
      </c>
      <c r="Q77" s="113">
        <v>15</v>
      </c>
      <c r="R77" s="113"/>
      <c r="S77" s="113"/>
      <c r="T77" s="146"/>
      <c r="U77" s="148">
        <f t="shared" si="1"/>
        <v>15</v>
      </c>
      <c r="V77" s="149">
        <f t="shared" si="2"/>
        <v>15</v>
      </c>
      <c r="W77" s="189"/>
      <c r="X77" s="199"/>
      <c r="Y77" s="151"/>
      <c r="Z77" s="190"/>
      <c r="AA77" s="153"/>
      <c r="AB77" s="154">
        <f t="shared" si="3"/>
        <v>0</v>
      </c>
      <c r="AC77" s="149">
        <f t="shared" si="4"/>
        <v>0</v>
      </c>
      <c r="AD77" s="125">
        <v>2</v>
      </c>
      <c r="AE77" s="148">
        <f t="shared" si="5"/>
        <v>2</v>
      </c>
      <c r="AF77" s="156"/>
      <c r="AG77" s="156"/>
      <c r="AH77" s="113">
        <f t="shared" si="6"/>
        <v>17</v>
      </c>
      <c r="AI77" s="157">
        <v>65</v>
      </c>
      <c r="AJ77" s="113">
        <f t="shared" si="7"/>
        <v>82</v>
      </c>
      <c r="AK77" s="113">
        <f t="shared" si="8"/>
        <v>82</v>
      </c>
      <c r="AL77" s="158">
        <f t="shared" si="9"/>
        <v>1.02</v>
      </c>
      <c r="AM77" s="159"/>
      <c r="AN77" s="160">
        <f t="shared" si="15"/>
        <v>1</v>
      </c>
      <c r="AO77" s="160">
        <f t="shared" si="15"/>
        <v>2</v>
      </c>
      <c r="AP77" s="133"/>
      <c r="AQ77" s="134"/>
      <c r="AR77" s="161"/>
      <c r="AS77" s="161"/>
      <c r="AT77" s="161"/>
      <c r="AU77" s="161"/>
      <c r="AV77" s="162"/>
      <c r="AW77" s="137">
        <f t="shared" si="11"/>
        <v>0</v>
      </c>
      <c r="AX77" s="137">
        <f t="shared" si="12"/>
        <v>0</v>
      </c>
    </row>
    <row r="78" ht="46.5" customHeight="1" spans="1:50" s="97" customFormat="1" x14ac:dyDescent="0.25">
      <c r="A78" s="100"/>
      <c r="B78" s="100"/>
      <c r="C78" s="100"/>
      <c r="D78" s="100"/>
      <c r="E78" s="100"/>
      <c r="F78" s="100"/>
      <c r="G78" s="103"/>
      <c r="H78" s="186"/>
      <c r="I78" s="195">
        <v>0.51</v>
      </c>
      <c r="J78" s="107">
        <v>0.49</v>
      </c>
      <c r="K78" s="107"/>
      <c r="L78" s="107"/>
      <c r="M78" s="187"/>
      <c r="N78" s="169">
        <f t="shared" si="14"/>
        <v>1</v>
      </c>
      <c r="O78" s="144">
        <v>1</v>
      </c>
      <c r="P78" s="145">
        <v>15</v>
      </c>
      <c r="Q78" s="113">
        <v>15</v>
      </c>
      <c r="R78" s="113"/>
      <c r="S78" s="113"/>
      <c r="T78" s="146"/>
      <c r="U78" s="148">
        <f t="shared" si="1"/>
        <v>15</v>
      </c>
      <c r="V78" s="149">
        <f t="shared" si="2"/>
        <v>15</v>
      </c>
      <c r="W78" s="189"/>
      <c r="X78" s="199"/>
      <c r="Y78" s="151"/>
      <c r="Z78" s="190"/>
      <c r="AA78" s="153"/>
      <c r="AB78" s="154">
        <f t="shared" si="3"/>
        <v>0</v>
      </c>
      <c r="AC78" s="149">
        <f t="shared" si="4"/>
        <v>0</v>
      </c>
      <c r="AD78" s="125">
        <v>2</v>
      </c>
      <c r="AE78" s="148">
        <f t="shared" si="5"/>
        <v>2</v>
      </c>
      <c r="AF78" s="156"/>
      <c r="AG78" s="156"/>
      <c r="AH78" s="113">
        <f t="shared" si="6"/>
        <v>17</v>
      </c>
      <c r="AI78" s="157">
        <v>65</v>
      </c>
      <c r="AJ78" s="113">
        <f t="shared" si="7"/>
        <v>82</v>
      </c>
      <c r="AK78" s="113">
        <f t="shared" si="8"/>
        <v>82</v>
      </c>
      <c r="AL78" s="158">
        <f t="shared" si="9"/>
        <v>1.02</v>
      </c>
      <c r="AM78" s="159"/>
      <c r="AN78" s="160">
        <f t="shared" si="15"/>
        <v>1</v>
      </c>
      <c r="AO78" s="160">
        <f t="shared" si="15"/>
        <v>2</v>
      </c>
      <c r="AP78" s="133"/>
      <c r="AQ78" s="134"/>
      <c r="AR78" s="161"/>
      <c r="AS78" s="161"/>
      <c r="AT78" s="161"/>
      <c r="AU78" s="161"/>
      <c r="AV78" s="162"/>
      <c r="AW78" s="137">
        <f t="shared" si="11"/>
        <v>0</v>
      </c>
      <c r="AX78" s="137">
        <f t="shared" si="12"/>
        <v>0</v>
      </c>
    </row>
    <row r="79" ht="46.5" customHeight="1" spans="1:50" s="97" customFormat="1" x14ac:dyDescent="0.25">
      <c r="A79" s="100"/>
      <c r="B79" s="100"/>
      <c r="C79" s="100"/>
      <c r="D79" s="100"/>
      <c r="E79" s="100"/>
      <c r="F79" s="100"/>
      <c r="G79" s="103"/>
      <c r="H79" s="186"/>
      <c r="I79" s="195">
        <v>0.51</v>
      </c>
      <c r="J79" s="107">
        <v>0.49</v>
      </c>
      <c r="K79" s="107"/>
      <c r="L79" s="107"/>
      <c r="M79" s="187"/>
      <c r="N79" s="169">
        <f t="shared" si="14"/>
        <v>1</v>
      </c>
      <c r="O79" s="144">
        <v>1</v>
      </c>
      <c r="P79" s="145">
        <v>15</v>
      </c>
      <c r="Q79" s="113">
        <v>15</v>
      </c>
      <c r="R79" s="113"/>
      <c r="S79" s="113"/>
      <c r="T79" s="146"/>
      <c r="U79" s="148">
        <f t="shared" si="1"/>
        <v>15</v>
      </c>
      <c r="V79" s="149">
        <f t="shared" si="2"/>
        <v>15</v>
      </c>
      <c r="W79" s="189"/>
      <c r="X79" s="199"/>
      <c r="Y79" s="151"/>
      <c r="Z79" s="190"/>
      <c r="AA79" s="153"/>
      <c r="AB79" s="154">
        <f t="shared" si="3"/>
        <v>0</v>
      </c>
      <c r="AC79" s="149">
        <f t="shared" si="4"/>
        <v>0</v>
      </c>
      <c r="AD79" s="125">
        <v>2</v>
      </c>
      <c r="AE79" s="148">
        <f t="shared" si="5"/>
        <v>2</v>
      </c>
      <c r="AF79" s="156"/>
      <c r="AG79" s="156"/>
      <c r="AH79" s="113">
        <f t="shared" si="6"/>
        <v>17</v>
      </c>
      <c r="AI79" s="157">
        <v>65</v>
      </c>
      <c r="AJ79" s="113">
        <f t="shared" si="7"/>
        <v>82</v>
      </c>
      <c r="AK79" s="113">
        <f t="shared" si="8"/>
        <v>82</v>
      </c>
      <c r="AL79" s="158">
        <f t="shared" si="9"/>
        <v>1.02</v>
      </c>
      <c r="AM79" s="159"/>
      <c r="AN79" s="160">
        <f t="shared" si="15"/>
        <v>1</v>
      </c>
      <c r="AO79" s="160">
        <f t="shared" si="15"/>
        <v>2</v>
      </c>
      <c r="AP79" s="133"/>
      <c r="AQ79" s="134"/>
      <c r="AR79" s="161"/>
      <c r="AS79" s="161"/>
      <c r="AT79" s="161"/>
      <c r="AU79" s="161"/>
      <c r="AV79" s="162"/>
      <c r="AW79" s="137">
        <f t="shared" si="11"/>
        <v>0</v>
      </c>
      <c r="AX79" s="137">
        <f t="shared" si="12"/>
        <v>0</v>
      </c>
    </row>
    <row r="80" ht="46.5" customHeight="1" spans="1:50" s="97" customFormat="1" x14ac:dyDescent="0.25">
      <c r="A80" s="100"/>
      <c r="B80" s="100"/>
      <c r="C80" s="100"/>
      <c r="D80" s="100"/>
      <c r="E80" s="100"/>
      <c r="F80" s="100"/>
      <c r="G80" s="103"/>
      <c r="H80" s="186"/>
      <c r="I80" s="195">
        <v>0.51</v>
      </c>
      <c r="J80" s="107">
        <v>0.49</v>
      </c>
      <c r="K80" s="107"/>
      <c r="L80" s="107"/>
      <c r="M80" s="187"/>
      <c r="N80" s="169">
        <f t="shared" si="14"/>
        <v>1</v>
      </c>
      <c r="O80" s="144">
        <v>1</v>
      </c>
      <c r="P80" s="145">
        <v>15</v>
      </c>
      <c r="Q80" s="113">
        <v>15</v>
      </c>
      <c r="R80" s="113"/>
      <c r="S80" s="113"/>
      <c r="T80" s="146"/>
      <c r="U80" s="148">
        <f t="shared" si="1"/>
        <v>15</v>
      </c>
      <c r="V80" s="149">
        <f t="shared" si="2"/>
        <v>15</v>
      </c>
      <c r="W80" s="189"/>
      <c r="X80" s="199"/>
      <c r="Y80" s="151"/>
      <c r="Z80" s="190"/>
      <c r="AA80" s="153"/>
      <c r="AB80" s="154">
        <f t="shared" si="3"/>
        <v>0</v>
      </c>
      <c r="AC80" s="149">
        <f t="shared" si="4"/>
        <v>0</v>
      </c>
      <c r="AD80" s="125">
        <v>2</v>
      </c>
      <c r="AE80" s="148">
        <f t="shared" si="5"/>
        <v>2</v>
      </c>
      <c r="AF80" s="156"/>
      <c r="AG80" s="156"/>
      <c r="AH80" s="113">
        <f t="shared" si="6"/>
        <v>17</v>
      </c>
      <c r="AI80" s="157">
        <v>65</v>
      </c>
      <c r="AJ80" s="113">
        <f t="shared" si="7"/>
        <v>82</v>
      </c>
      <c r="AK80" s="113">
        <f t="shared" si="8"/>
        <v>82</v>
      </c>
      <c r="AL80" s="158">
        <f t="shared" si="9"/>
        <v>1.02</v>
      </c>
      <c r="AM80" s="159"/>
      <c r="AN80" s="160">
        <f t="shared" si="15"/>
        <v>1</v>
      </c>
      <c r="AO80" s="160">
        <f t="shared" si="15"/>
        <v>2</v>
      </c>
      <c r="AP80" s="133"/>
      <c r="AQ80" s="134"/>
      <c r="AR80" s="161"/>
      <c r="AS80" s="161"/>
      <c r="AT80" s="161"/>
      <c r="AU80" s="161"/>
      <c r="AV80" s="162"/>
      <c r="AW80" s="137">
        <f t="shared" si="11"/>
        <v>0</v>
      </c>
      <c r="AX80" s="137">
        <f t="shared" si="12"/>
        <v>0</v>
      </c>
    </row>
    <row r="81" ht="46.5" customHeight="1" spans="1:50" s="97" customFormat="1" x14ac:dyDescent="0.25">
      <c r="A81" s="100"/>
      <c r="B81" s="100"/>
      <c r="C81" s="100"/>
      <c r="D81" s="100"/>
      <c r="E81" s="100"/>
      <c r="F81" s="100"/>
      <c r="G81" s="103"/>
      <c r="H81" s="186"/>
      <c r="I81" s="195">
        <v>0.51</v>
      </c>
      <c r="J81" s="107">
        <v>0.49</v>
      </c>
      <c r="K81" s="107"/>
      <c r="L81" s="107"/>
      <c r="M81" s="187"/>
      <c r="N81" s="169">
        <f t="shared" si="14"/>
        <v>1</v>
      </c>
      <c r="O81" s="144">
        <v>1</v>
      </c>
      <c r="P81" s="145">
        <v>15</v>
      </c>
      <c r="Q81" s="113">
        <v>15</v>
      </c>
      <c r="R81" s="113"/>
      <c r="S81" s="113"/>
      <c r="T81" s="146"/>
      <c r="U81" s="148">
        <f t="shared" si="1"/>
        <v>15</v>
      </c>
      <c r="V81" s="149">
        <f t="shared" si="2"/>
        <v>15</v>
      </c>
      <c r="W81" s="189"/>
      <c r="X81" s="199"/>
      <c r="Y81" s="151"/>
      <c r="Z81" s="190"/>
      <c r="AA81" s="153"/>
      <c r="AB81" s="154">
        <f t="shared" si="3"/>
        <v>0</v>
      </c>
      <c r="AC81" s="149">
        <f t="shared" si="4"/>
        <v>0</v>
      </c>
      <c r="AD81" s="125">
        <v>2</v>
      </c>
      <c r="AE81" s="148">
        <f t="shared" si="5"/>
        <v>2</v>
      </c>
      <c r="AF81" s="156"/>
      <c r="AG81" s="156"/>
      <c r="AH81" s="113">
        <f t="shared" si="6"/>
        <v>17</v>
      </c>
      <c r="AI81" s="157">
        <v>65</v>
      </c>
      <c r="AJ81" s="113">
        <f t="shared" si="7"/>
        <v>82</v>
      </c>
      <c r="AK81" s="113">
        <f t="shared" si="8"/>
        <v>82</v>
      </c>
      <c r="AL81" s="158">
        <f t="shared" si="9"/>
        <v>1.02</v>
      </c>
      <c r="AM81" s="159"/>
      <c r="AN81" s="160">
        <f t="shared" si="15"/>
        <v>1</v>
      </c>
      <c r="AO81" s="160">
        <f t="shared" si="15"/>
        <v>2</v>
      </c>
      <c r="AP81" s="133"/>
      <c r="AQ81" s="134"/>
      <c r="AR81" s="161"/>
      <c r="AS81" s="161"/>
      <c r="AT81" s="161"/>
      <c r="AU81" s="161"/>
      <c r="AV81" s="162"/>
      <c r="AW81" s="137">
        <f t="shared" si="11"/>
        <v>0</v>
      </c>
      <c r="AX81" s="137">
        <f t="shared" si="12"/>
        <v>0</v>
      </c>
    </row>
    <row r="82" ht="46.5" customHeight="1" spans="1:50" s="97" customFormat="1" x14ac:dyDescent="0.25">
      <c r="A82" s="100"/>
      <c r="B82" s="100"/>
      <c r="C82" s="100"/>
      <c r="D82" s="100"/>
      <c r="E82" s="100"/>
      <c r="F82" s="100"/>
      <c r="G82" s="103"/>
      <c r="H82" s="186"/>
      <c r="I82" s="195">
        <v>0.51</v>
      </c>
      <c r="J82" s="107">
        <v>0.49</v>
      </c>
      <c r="K82" s="107"/>
      <c r="L82" s="107"/>
      <c r="M82" s="187"/>
      <c r="N82" s="169">
        <f t="shared" si="14"/>
        <v>1</v>
      </c>
      <c r="O82" s="144">
        <v>1</v>
      </c>
      <c r="P82" s="145">
        <v>15</v>
      </c>
      <c r="Q82" s="113">
        <v>15</v>
      </c>
      <c r="R82" s="113"/>
      <c r="S82" s="113"/>
      <c r="T82" s="146"/>
      <c r="U82" s="148">
        <f t="shared" si="1"/>
        <v>15</v>
      </c>
      <c r="V82" s="149">
        <f t="shared" si="2"/>
        <v>15</v>
      </c>
      <c r="W82" s="189"/>
      <c r="X82" s="199"/>
      <c r="Y82" s="151"/>
      <c r="Z82" s="190"/>
      <c r="AA82" s="153"/>
      <c r="AB82" s="154">
        <f t="shared" si="3"/>
        <v>0</v>
      </c>
      <c r="AC82" s="149">
        <f t="shared" si="4"/>
        <v>0</v>
      </c>
      <c r="AD82" s="125">
        <v>2</v>
      </c>
      <c r="AE82" s="148">
        <f t="shared" si="5"/>
        <v>2</v>
      </c>
      <c r="AF82" s="156"/>
      <c r="AG82" s="156"/>
      <c r="AH82" s="113">
        <f t="shared" si="6"/>
        <v>17</v>
      </c>
      <c r="AI82" s="157">
        <v>65</v>
      </c>
      <c r="AJ82" s="113">
        <f t="shared" si="7"/>
        <v>82</v>
      </c>
      <c r="AK82" s="113">
        <f t="shared" si="8"/>
        <v>82</v>
      </c>
      <c r="AL82" s="158">
        <f t="shared" si="9"/>
        <v>1.02</v>
      </c>
      <c r="AM82" s="159"/>
      <c r="AN82" s="160">
        <f t="shared" ref="AN82:AO101" si="16">100%+AM82</f>
        <v>1</v>
      </c>
      <c r="AO82" s="160">
        <f t="shared" si="16"/>
        <v>2</v>
      </c>
      <c r="AP82" s="133"/>
      <c r="AQ82" s="134"/>
      <c r="AR82" s="161"/>
      <c r="AS82" s="161"/>
      <c r="AT82" s="161"/>
      <c r="AU82" s="161"/>
      <c r="AV82" s="162"/>
      <c r="AW82" s="137">
        <f t="shared" si="11"/>
        <v>0</v>
      </c>
      <c r="AX82" s="137">
        <f t="shared" si="12"/>
        <v>0</v>
      </c>
    </row>
    <row r="83" ht="46.5" customHeight="1" spans="1:50" s="97" customFormat="1" x14ac:dyDescent="0.25">
      <c r="A83" s="100"/>
      <c r="B83" s="100"/>
      <c r="C83" s="100"/>
      <c r="D83" s="100"/>
      <c r="E83" s="100"/>
      <c r="F83" s="100"/>
      <c r="G83" s="103"/>
      <c r="H83" s="186"/>
      <c r="I83" s="195">
        <v>0.51</v>
      </c>
      <c r="J83" s="107">
        <v>0.49</v>
      </c>
      <c r="K83" s="107"/>
      <c r="L83" s="107"/>
      <c r="M83" s="187"/>
      <c r="N83" s="169">
        <f t="shared" si="14"/>
        <v>1</v>
      </c>
      <c r="O83" s="144">
        <v>1</v>
      </c>
      <c r="P83" s="145">
        <v>15</v>
      </c>
      <c r="Q83" s="113">
        <v>15</v>
      </c>
      <c r="R83" s="113"/>
      <c r="S83" s="113"/>
      <c r="T83" s="146"/>
      <c r="U83" s="148">
        <f t="shared" si="1"/>
        <v>15</v>
      </c>
      <c r="V83" s="149">
        <f t="shared" si="2"/>
        <v>15</v>
      </c>
      <c r="W83" s="189"/>
      <c r="X83" s="199"/>
      <c r="Y83" s="151"/>
      <c r="Z83" s="190"/>
      <c r="AA83" s="153"/>
      <c r="AB83" s="154">
        <f t="shared" si="3"/>
        <v>0</v>
      </c>
      <c r="AC83" s="149">
        <f t="shared" si="4"/>
        <v>0</v>
      </c>
      <c r="AD83" s="125">
        <v>2</v>
      </c>
      <c r="AE83" s="148">
        <f t="shared" si="5"/>
        <v>2</v>
      </c>
      <c r="AF83" s="156"/>
      <c r="AG83" s="156"/>
      <c r="AH83" s="113">
        <f t="shared" si="6"/>
        <v>17</v>
      </c>
      <c r="AI83" s="157">
        <v>65</v>
      </c>
      <c r="AJ83" s="113">
        <f t="shared" si="7"/>
        <v>82</v>
      </c>
      <c r="AK83" s="113">
        <f t="shared" si="8"/>
        <v>82</v>
      </c>
      <c r="AL83" s="158">
        <f t="shared" si="9"/>
        <v>1.02</v>
      </c>
      <c r="AM83" s="159"/>
      <c r="AN83" s="160">
        <f t="shared" si="16"/>
        <v>1</v>
      </c>
      <c r="AO83" s="160">
        <f t="shared" si="16"/>
        <v>2</v>
      </c>
      <c r="AP83" s="133"/>
      <c r="AQ83" s="134"/>
      <c r="AR83" s="161"/>
      <c r="AS83" s="161"/>
      <c r="AT83" s="161"/>
      <c r="AU83" s="161"/>
      <c r="AV83" s="162"/>
      <c r="AW83" s="137">
        <f t="shared" si="11"/>
        <v>0</v>
      </c>
      <c r="AX83" s="137">
        <f t="shared" si="12"/>
        <v>0</v>
      </c>
    </row>
    <row r="84" ht="46.5" customHeight="1" spans="1:50" s="97" customFormat="1" x14ac:dyDescent="0.25">
      <c r="A84" s="100"/>
      <c r="B84" s="100"/>
      <c r="C84" s="100"/>
      <c r="D84" s="100"/>
      <c r="E84" s="100"/>
      <c r="F84" s="100"/>
      <c r="G84" s="103"/>
      <c r="H84" s="186"/>
      <c r="I84" s="195">
        <v>0.51</v>
      </c>
      <c r="J84" s="107">
        <v>0.49</v>
      </c>
      <c r="K84" s="107"/>
      <c r="L84" s="107"/>
      <c r="M84" s="187"/>
      <c r="N84" s="169">
        <f t="shared" si="14"/>
        <v>1</v>
      </c>
      <c r="O84" s="144">
        <v>1</v>
      </c>
      <c r="P84" s="145">
        <v>15</v>
      </c>
      <c r="Q84" s="113">
        <v>15</v>
      </c>
      <c r="R84" s="113"/>
      <c r="S84" s="113"/>
      <c r="T84" s="146"/>
      <c r="U84" s="148">
        <f t="shared" si="1"/>
        <v>15</v>
      </c>
      <c r="V84" s="149">
        <f t="shared" si="2"/>
        <v>15</v>
      </c>
      <c r="W84" s="189"/>
      <c r="X84" s="199"/>
      <c r="Y84" s="151"/>
      <c r="Z84" s="190"/>
      <c r="AA84" s="153"/>
      <c r="AB84" s="154">
        <f t="shared" si="3"/>
        <v>0</v>
      </c>
      <c r="AC84" s="149">
        <f t="shared" si="4"/>
        <v>0</v>
      </c>
      <c r="AD84" s="125">
        <v>2</v>
      </c>
      <c r="AE84" s="148">
        <f t="shared" si="5"/>
        <v>2</v>
      </c>
      <c r="AF84" s="156"/>
      <c r="AG84" s="156"/>
      <c r="AH84" s="113">
        <f t="shared" si="6"/>
        <v>17</v>
      </c>
      <c r="AI84" s="157">
        <v>65</v>
      </c>
      <c r="AJ84" s="113">
        <f t="shared" si="7"/>
        <v>82</v>
      </c>
      <c r="AK84" s="113">
        <f t="shared" si="8"/>
        <v>82</v>
      </c>
      <c r="AL84" s="158">
        <f t="shared" si="9"/>
        <v>1.02</v>
      </c>
      <c r="AM84" s="159"/>
      <c r="AN84" s="160">
        <f t="shared" si="16"/>
        <v>1</v>
      </c>
      <c r="AO84" s="160">
        <f t="shared" si="16"/>
        <v>2</v>
      </c>
      <c r="AP84" s="133"/>
      <c r="AQ84" s="134"/>
      <c r="AR84" s="161"/>
      <c r="AS84" s="161"/>
      <c r="AT84" s="161"/>
      <c r="AU84" s="161"/>
      <c r="AV84" s="162"/>
      <c r="AW84" s="137">
        <f t="shared" si="11"/>
        <v>0</v>
      </c>
      <c r="AX84" s="137">
        <f t="shared" si="12"/>
        <v>0</v>
      </c>
    </row>
    <row r="85" ht="46.5" customHeight="1" spans="1:50" s="97" customFormat="1" x14ac:dyDescent="0.25">
      <c r="A85" s="100"/>
      <c r="B85" s="100"/>
      <c r="C85" s="100"/>
      <c r="D85" s="100"/>
      <c r="E85" s="100"/>
      <c r="F85" s="100"/>
      <c r="G85" s="103"/>
      <c r="H85" s="186"/>
      <c r="I85" s="195">
        <v>0.51</v>
      </c>
      <c r="J85" s="107">
        <v>0.49</v>
      </c>
      <c r="K85" s="107"/>
      <c r="L85" s="107"/>
      <c r="M85" s="187"/>
      <c r="N85" s="169">
        <f t="shared" si="14"/>
        <v>1</v>
      </c>
      <c r="O85" s="144">
        <v>1</v>
      </c>
      <c r="P85" s="145">
        <v>15</v>
      </c>
      <c r="Q85" s="113">
        <v>15</v>
      </c>
      <c r="R85" s="113"/>
      <c r="S85" s="113"/>
      <c r="T85" s="146"/>
      <c r="U85" s="148">
        <f t="shared" si="1"/>
        <v>15</v>
      </c>
      <c r="V85" s="149">
        <f t="shared" si="2"/>
        <v>15</v>
      </c>
      <c r="W85" s="189"/>
      <c r="X85" s="199"/>
      <c r="Y85" s="151"/>
      <c r="Z85" s="190"/>
      <c r="AA85" s="153"/>
      <c r="AB85" s="154">
        <f t="shared" si="3"/>
        <v>0</v>
      </c>
      <c r="AC85" s="149">
        <f t="shared" si="4"/>
        <v>0</v>
      </c>
      <c r="AD85" s="125">
        <v>2</v>
      </c>
      <c r="AE85" s="148">
        <f t="shared" si="5"/>
        <v>2</v>
      </c>
      <c r="AF85" s="156"/>
      <c r="AG85" s="156"/>
      <c r="AH85" s="113">
        <f t="shared" si="6"/>
        <v>17</v>
      </c>
      <c r="AI85" s="157">
        <v>65</v>
      </c>
      <c r="AJ85" s="113">
        <f t="shared" si="7"/>
        <v>82</v>
      </c>
      <c r="AK85" s="113">
        <f t="shared" si="8"/>
        <v>82</v>
      </c>
      <c r="AL85" s="158">
        <f t="shared" si="9"/>
        <v>1.02</v>
      </c>
      <c r="AM85" s="159"/>
      <c r="AN85" s="160">
        <f t="shared" si="16"/>
        <v>1</v>
      </c>
      <c r="AO85" s="160">
        <f t="shared" si="16"/>
        <v>2</v>
      </c>
      <c r="AP85" s="133"/>
      <c r="AQ85" s="134"/>
      <c r="AR85" s="161"/>
      <c r="AS85" s="161"/>
      <c r="AT85" s="161"/>
      <c r="AU85" s="161"/>
      <c r="AV85" s="162"/>
      <c r="AW85" s="137">
        <f t="shared" si="11"/>
        <v>0</v>
      </c>
      <c r="AX85" s="137">
        <f t="shared" si="12"/>
        <v>0</v>
      </c>
    </row>
    <row r="86" ht="46.5" customHeight="1" spans="1:50" s="97" customFormat="1" x14ac:dyDescent="0.25">
      <c r="A86" s="100"/>
      <c r="B86" s="100"/>
      <c r="C86" s="100"/>
      <c r="D86" s="100"/>
      <c r="E86" s="100"/>
      <c r="F86" s="100"/>
      <c r="G86" s="103"/>
      <c r="H86" s="186"/>
      <c r="I86" s="195">
        <v>0.51</v>
      </c>
      <c r="J86" s="107">
        <v>0.49</v>
      </c>
      <c r="K86" s="107"/>
      <c r="L86" s="107"/>
      <c r="M86" s="187"/>
      <c r="N86" s="169">
        <f t="shared" si="14"/>
        <v>1</v>
      </c>
      <c r="O86" s="144">
        <v>1</v>
      </c>
      <c r="P86" s="145">
        <v>15</v>
      </c>
      <c r="Q86" s="113">
        <v>15</v>
      </c>
      <c r="R86" s="113"/>
      <c r="S86" s="113"/>
      <c r="T86" s="146"/>
      <c r="U86" s="148">
        <f t="shared" ref="U86:U147" si="17">ROUND(((P86*I86)+(Q86*J86)+(R86*K86)+(S86*L86)+(T86*M86))*O86,2)</f>
        <v>15</v>
      </c>
      <c r="V86" s="149">
        <f t="shared" ref="V86:V147" si="18">IF(U86&gt;=15,15,U86)</f>
        <v>15</v>
      </c>
      <c r="W86" s="189"/>
      <c r="X86" s="199"/>
      <c r="Y86" s="151"/>
      <c r="Z86" s="190"/>
      <c r="AA86" s="153"/>
      <c r="AB86" s="154">
        <f t="shared" ref="AB86:AB147" si="19">ROUND((((W86*I86)+(X86*J86)+(Y86*K86)+(Z86*L86)+(AA86*M86))/$I$2),2)*13</f>
        <v>0</v>
      </c>
      <c r="AC86" s="149">
        <f t="shared" ref="AC86:AC147" si="20">IF(AB86&gt;=13,13,AB86)</f>
        <v>0</v>
      </c>
      <c r="AD86" s="125">
        <v>2</v>
      </c>
      <c r="AE86" s="148">
        <f t="shared" ref="AE86:AE147" si="21">IF((AC86+AD86)&gt;=15,15,(AC86+AD86))</f>
        <v>2</v>
      </c>
      <c r="AF86" s="156"/>
      <c r="AG86" s="156"/>
      <c r="AH86" s="113">
        <f t="shared" ref="AH86:AH147" si="22">IF((V86+AE86+AF86)&gt;=30,30,(V86+AE86+AF86))</f>
        <v>17</v>
      </c>
      <c r="AI86" s="157">
        <v>65</v>
      </c>
      <c r="AJ86" s="113">
        <f t="shared" ref="AJ86:AJ147" si="23">V86+AE86+AF86+AI86+AG86</f>
        <v>82</v>
      </c>
      <c r="AK86" s="113">
        <f t="shared" ref="AK86:AK147" si="24">IF(AH86+AI86+AG86&gt;=95,95,AH86+AI86+AG86)</f>
        <v>82</v>
      </c>
      <c r="AL86" s="158">
        <f t="shared" ref="AL86:AL147" si="25">-((50-((176+(45+(50-AH86)))))/200)</f>
        <v>1.02</v>
      </c>
      <c r="AM86" s="159"/>
      <c r="AN86" s="160">
        <f t="shared" si="16"/>
        <v>1</v>
      </c>
      <c r="AO86" s="160">
        <f t="shared" si="16"/>
        <v>2</v>
      </c>
      <c r="AP86" s="133"/>
      <c r="AQ86" s="134"/>
      <c r="AR86" s="161"/>
      <c r="AS86" s="161"/>
      <c r="AT86" s="161"/>
      <c r="AU86" s="161"/>
      <c r="AV86" s="162"/>
      <c r="AW86" s="137">
        <f t="shared" ref="AW86:AW147" si="26">AR86+AS86+AT86+AU86+AV86</f>
        <v>0</v>
      </c>
      <c r="AX86" s="137">
        <f t="shared" ref="AX86:AX147" si="27">(AR86*I86)+(AS86*J86)+(AT86*K86)+(AU86*L86)+(AV86*M86)</f>
        <v>0</v>
      </c>
    </row>
    <row r="87" ht="46.5" customHeight="1" spans="1:50" s="97" customFormat="1" x14ac:dyDescent="0.25">
      <c r="A87" s="100"/>
      <c r="B87" s="100"/>
      <c r="C87" s="100"/>
      <c r="D87" s="100"/>
      <c r="E87" s="100"/>
      <c r="F87" s="100"/>
      <c r="G87" s="103"/>
      <c r="H87" s="186"/>
      <c r="I87" s="195">
        <v>0.51</v>
      </c>
      <c r="J87" s="107">
        <v>0.49</v>
      </c>
      <c r="K87" s="107"/>
      <c r="L87" s="107"/>
      <c r="M87" s="187"/>
      <c r="N87" s="169">
        <f t="shared" si="14"/>
        <v>1</v>
      </c>
      <c r="O87" s="144">
        <v>1</v>
      </c>
      <c r="P87" s="145">
        <v>15</v>
      </c>
      <c r="Q87" s="113">
        <v>15</v>
      </c>
      <c r="R87" s="113"/>
      <c r="S87" s="113"/>
      <c r="T87" s="146"/>
      <c r="U87" s="148">
        <f t="shared" si="17"/>
        <v>15</v>
      </c>
      <c r="V87" s="149">
        <f t="shared" si="18"/>
        <v>15</v>
      </c>
      <c r="W87" s="189"/>
      <c r="X87" s="199"/>
      <c r="Y87" s="151"/>
      <c r="Z87" s="190"/>
      <c r="AA87" s="153"/>
      <c r="AB87" s="154">
        <f t="shared" si="19"/>
        <v>0</v>
      </c>
      <c r="AC87" s="149">
        <f t="shared" si="20"/>
        <v>0</v>
      </c>
      <c r="AD87" s="125">
        <v>2</v>
      </c>
      <c r="AE87" s="148">
        <f t="shared" si="21"/>
        <v>2</v>
      </c>
      <c r="AF87" s="156"/>
      <c r="AG87" s="156"/>
      <c r="AH87" s="113">
        <f t="shared" si="22"/>
        <v>17</v>
      </c>
      <c r="AI87" s="157">
        <v>65</v>
      </c>
      <c r="AJ87" s="113">
        <f t="shared" si="23"/>
        <v>82</v>
      </c>
      <c r="AK87" s="113">
        <f t="shared" si="24"/>
        <v>82</v>
      </c>
      <c r="AL87" s="158">
        <f t="shared" si="25"/>
        <v>1.02</v>
      </c>
      <c r="AM87" s="159"/>
      <c r="AN87" s="160">
        <f t="shared" si="16"/>
        <v>1</v>
      </c>
      <c r="AO87" s="160">
        <f t="shared" si="16"/>
        <v>2</v>
      </c>
      <c r="AP87" s="133"/>
      <c r="AQ87" s="134"/>
      <c r="AR87" s="161"/>
      <c r="AS87" s="161"/>
      <c r="AT87" s="161"/>
      <c r="AU87" s="161"/>
      <c r="AV87" s="162"/>
      <c r="AW87" s="137">
        <f t="shared" si="26"/>
        <v>0</v>
      </c>
      <c r="AX87" s="137">
        <f t="shared" si="27"/>
        <v>0</v>
      </c>
    </row>
    <row r="88" ht="46.5" customHeight="1" spans="1:50" s="97" customFormat="1" x14ac:dyDescent="0.25">
      <c r="A88" s="100"/>
      <c r="B88" s="100"/>
      <c r="C88" s="100"/>
      <c r="D88" s="100"/>
      <c r="E88" s="100"/>
      <c r="F88" s="100"/>
      <c r="G88" s="103"/>
      <c r="H88" s="186"/>
      <c r="I88" s="195">
        <v>0.51</v>
      </c>
      <c r="J88" s="107">
        <v>0.49</v>
      </c>
      <c r="K88" s="107"/>
      <c r="L88" s="107"/>
      <c r="M88" s="187"/>
      <c r="N88" s="169">
        <f t="shared" si="14"/>
        <v>1</v>
      </c>
      <c r="O88" s="144">
        <v>1</v>
      </c>
      <c r="P88" s="145">
        <v>15</v>
      </c>
      <c r="Q88" s="113">
        <v>15</v>
      </c>
      <c r="R88" s="113"/>
      <c r="S88" s="113"/>
      <c r="T88" s="146"/>
      <c r="U88" s="148">
        <f t="shared" si="17"/>
        <v>15</v>
      </c>
      <c r="V88" s="149">
        <f t="shared" si="18"/>
        <v>15</v>
      </c>
      <c r="W88" s="189"/>
      <c r="X88" s="199"/>
      <c r="Y88" s="151"/>
      <c r="Z88" s="190"/>
      <c r="AA88" s="153"/>
      <c r="AB88" s="154">
        <f t="shared" si="19"/>
        <v>0</v>
      </c>
      <c r="AC88" s="149">
        <f t="shared" si="20"/>
        <v>0</v>
      </c>
      <c r="AD88" s="125">
        <v>2</v>
      </c>
      <c r="AE88" s="148">
        <f t="shared" si="21"/>
        <v>2</v>
      </c>
      <c r="AF88" s="156"/>
      <c r="AG88" s="156"/>
      <c r="AH88" s="113">
        <f t="shared" si="22"/>
        <v>17</v>
      </c>
      <c r="AI88" s="157">
        <v>65</v>
      </c>
      <c r="AJ88" s="113">
        <f t="shared" si="23"/>
        <v>82</v>
      </c>
      <c r="AK88" s="113">
        <f t="shared" si="24"/>
        <v>82</v>
      </c>
      <c r="AL88" s="158">
        <f t="shared" si="25"/>
        <v>1.02</v>
      </c>
      <c r="AM88" s="159"/>
      <c r="AN88" s="160">
        <f t="shared" si="16"/>
        <v>1</v>
      </c>
      <c r="AO88" s="160">
        <f t="shared" si="16"/>
        <v>2</v>
      </c>
      <c r="AP88" s="133"/>
      <c r="AQ88" s="134"/>
      <c r="AR88" s="161"/>
      <c r="AS88" s="161"/>
      <c r="AT88" s="161"/>
      <c r="AU88" s="161"/>
      <c r="AV88" s="162"/>
      <c r="AW88" s="137">
        <f t="shared" si="26"/>
        <v>0</v>
      </c>
      <c r="AX88" s="137">
        <f t="shared" si="27"/>
        <v>0</v>
      </c>
    </row>
    <row r="89" ht="46.5" customHeight="1" spans="1:50" s="97" customFormat="1" x14ac:dyDescent="0.25">
      <c r="A89" s="100"/>
      <c r="B89" s="100"/>
      <c r="C89" s="100"/>
      <c r="D89" s="100"/>
      <c r="E89" s="100"/>
      <c r="F89" s="100"/>
      <c r="G89" s="103"/>
      <c r="H89" s="186"/>
      <c r="I89" s="195">
        <v>0.51</v>
      </c>
      <c r="J89" s="107">
        <v>0.49</v>
      </c>
      <c r="K89" s="107"/>
      <c r="L89" s="107"/>
      <c r="M89" s="187"/>
      <c r="N89" s="169">
        <f t="shared" si="14"/>
        <v>1</v>
      </c>
      <c r="O89" s="144">
        <v>1</v>
      </c>
      <c r="P89" s="145">
        <v>15</v>
      </c>
      <c r="Q89" s="113">
        <v>15</v>
      </c>
      <c r="R89" s="113"/>
      <c r="S89" s="113"/>
      <c r="T89" s="146"/>
      <c r="U89" s="148">
        <f t="shared" si="17"/>
        <v>15</v>
      </c>
      <c r="V89" s="149">
        <f t="shared" si="18"/>
        <v>15</v>
      </c>
      <c r="W89" s="189"/>
      <c r="X89" s="199"/>
      <c r="Y89" s="151"/>
      <c r="Z89" s="190"/>
      <c r="AA89" s="153"/>
      <c r="AB89" s="154">
        <f t="shared" si="19"/>
        <v>0</v>
      </c>
      <c r="AC89" s="149">
        <f t="shared" si="20"/>
        <v>0</v>
      </c>
      <c r="AD89" s="125">
        <v>2</v>
      </c>
      <c r="AE89" s="148">
        <f t="shared" si="21"/>
        <v>2</v>
      </c>
      <c r="AF89" s="156"/>
      <c r="AG89" s="156"/>
      <c r="AH89" s="113">
        <f t="shared" si="22"/>
        <v>17</v>
      </c>
      <c r="AI89" s="157">
        <v>65</v>
      </c>
      <c r="AJ89" s="113">
        <f t="shared" si="23"/>
        <v>82</v>
      </c>
      <c r="AK89" s="113">
        <f t="shared" si="24"/>
        <v>82</v>
      </c>
      <c r="AL89" s="158">
        <f t="shared" si="25"/>
        <v>1.02</v>
      </c>
      <c r="AM89" s="159"/>
      <c r="AN89" s="160">
        <f t="shared" si="16"/>
        <v>1</v>
      </c>
      <c r="AO89" s="160">
        <f t="shared" si="16"/>
        <v>2</v>
      </c>
      <c r="AP89" s="133"/>
      <c r="AQ89" s="134"/>
      <c r="AR89" s="161"/>
      <c r="AS89" s="161"/>
      <c r="AT89" s="161"/>
      <c r="AU89" s="161"/>
      <c r="AV89" s="162"/>
      <c r="AW89" s="137">
        <f t="shared" si="26"/>
        <v>0</v>
      </c>
      <c r="AX89" s="137">
        <f t="shared" si="27"/>
        <v>0</v>
      </c>
    </row>
    <row r="90" ht="46.5" customHeight="1" spans="1:50" s="97" customFormat="1" x14ac:dyDescent="0.25">
      <c r="A90" s="100"/>
      <c r="B90" s="100"/>
      <c r="C90" s="100"/>
      <c r="D90" s="100"/>
      <c r="E90" s="100"/>
      <c r="F90" s="100"/>
      <c r="G90" s="103"/>
      <c r="H90" s="186"/>
      <c r="I90" s="195">
        <v>0.51</v>
      </c>
      <c r="J90" s="107">
        <v>0.49</v>
      </c>
      <c r="K90" s="107"/>
      <c r="L90" s="107"/>
      <c r="M90" s="187"/>
      <c r="N90" s="169">
        <f t="shared" si="14"/>
        <v>1</v>
      </c>
      <c r="O90" s="144">
        <v>1</v>
      </c>
      <c r="P90" s="145">
        <v>15</v>
      </c>
      <c r="Q90" s="113">
        <v>15</v>
      </c>
      <c r="R90" s="113"/>
      <c r="S90" s="113"/>
      <c r="T90" s="146"/>
      <c r="U90" s="148">
        <f t="shared" si="17"/>
        <v>15</v>
      </c>
      <c r="V90" s="149">
        <f t="shared" si="18"/>
        <v>15</v>
      </c>
      <c r="W90" s="189"/>
      <c r="X90" s="199"/>
      <c r="Y90" s="151"/>
      <c r="Z90" s="190"/>
      <c r="AA90" s="153"/>
      <c r="AB90" s="154">
        <f t="shared" si="19"/>
        <v>0</v>
      </c>
      <c r="AC90" s="149">
        <f t="shared" si="20"/>
        <v>0</v>
      </c>
      <c r="AD90" s="125">
        <v>2</v>
      </c>
      <c r="AE90" s="148">
        <f t="shared" si="21"/>
        <v>2</v>
      </c>
      <c r="AF90" s="156"/>
      <c r="AG90" s="156"/>
      <c r="AH90" s="113">
        <f t="shared" si="22"/>
        <v>17</v>
      </c>
      <c r="AI90" s="157">
        <v>65</v>
      </c>
      <c r="AJ90" s="113">
        <f t="shared" si="23"/>
        <v>82</v>
      </c>
      <c r="AK90" s="113">
        <f t="shared" si="24"/>
        <v>82</v>
      </c>
      <c r="AL90" s="158">
        <f t="shared" si="25"/>
        <v>1.02</v>
      </c>
      <c r="AM90" s="159"/>
      <c r="AN90" s="160">
        <f t="shared" si="16"/>
        <v>1</v>
      </c>
      <c r="AO90" s="160">
        <f t="shared" si="16"/>
        <v>2</v>
      </c>
      <c r="AP90" s="133"/>
      <c r="AQ90" s="134"/>
      <c r="AR90" s="161"/>
      <c r="AS90" s="161"/>
      <c r="AT90" s="161"/>
      <c r="AU90" s="161"/>
      <c r="AV90" s="162"/>
      <c r="AW90" s="137">
        <f t="shared" si="26"/>
        <v>0</v>
      </c>
      <c r="AX90" s="137">
        <f t="shared" si="27"/>
        <v>0</v>
      </c>
    </row>
    <row r="91" ht="46.5" customHeight="1" spans="1:50" s="97" customFormat="1" x14ac:dyDescent="0.25">
      <c r="A91" s="100"/>
      <c r="B91" s="100"/>
      <c r="C91" s="100"/>
      <c r="D91" s="100"/>
      <c r="E91" s="100"/>
      <c r="F91" s="100"/>
      <c r="G91" s="103"/>
      <c r="H91" s="186"/>
      <c r="I91" s="195">
        <v>0.51</v>
      </c>
      <c r="J91" s="107">
        <v>0.49</v>
      </c>
      <c r="K91" s="107"/>
      <c r="L91" s="107"/>
      <c r="M91" s="187"/>
      <c r="N91" s="169">
        <f t="shared" si="14"/>
        <v>1</v>
      </c>
      <c r="O91" s="144">
        <v>1</v>
      </c>
      <c r="P91" s="145">
        <v>15</v>
      </c>
      <c r="Q91" s="113">
        <v>15</v>
      </c>
      <c r="R91" s="113"/>
      <c r="S91" s="113"/>
      <c r="T91" s="146"/>
      <c r="U91" s="148">
        <f t="shared" si="17"/>
        <v>15</v>
      </c>
      <c r="V91" s="149">
        <f t="shared" si="18"/>
        <v>15</v>
      </c>
      <c r="W91" s="189"/>
      <c r="X91" s="199"/>
      <c r="Y91" s="151"/>
      <c r="Z91" s="190"/>
      <c r="AA91" s="153"/>
      <c r="AB91" s="154">
        <f t="shared" si="19"/>
        <v>0</v>
      </c>
      <c r="AC91" s="149">
        <f t="shared" si="20"/>
        <v>0</v>
      </c>
      <c r="AD91" s="125">
        <v>2</v>
      </c>
      <c r="AE91" s="148">
        <f t="shared" si="21"/>
        <v>2</v>
      </c>
      <c r="AF91" s="156"/>
      <c r="AG91" s="156"/>
      <c r="AH91" s="113">
        <f t="shared" si="22"/>
        <v>17</v>
      </c>
      <c r="AI91" s="157">
        <v>65</v>
      </c>
      <c r="AJ91" s="113">
        <f t="shared" si="23"/>
        <v>82</v>
      </c>
      <c r="AK91" s="113">
        <f t="shared" si="24"/>
        <v>82</v>
      </c>
      <c r="AL91" s="158">
        <f t="shared" si="25"/>
        <v>1.02</v>
      </c>
      <c r="AM91" s="159"/>
      <c r="AN91" s="160">
        <f t="shared" si="16"/>
        <v>1</v>
      </c>
      <c r="AO91" s="160">
        <f t="shared" si="16"/>
        <v>2</v>
      </c>
      <c r="AP91" s="133"/>
      <c r="AQ91" s="134"/>
      <c r="AR91" s="161"/>
      <c r="AS91" s="161"/>
      <c r="AT91" s="161"/>
      <c r="AU91" s="161"/>
      <c r="AV91" s="162"/>
      <c r="AW91" s="137">
        <f t="shared" si="26"/>
        <v>0</v>
      </c>
      <c r="AX91" s="137">
        <f t="shared" si="27"/>
        <v>0</v>
      </c>
    </row>
    <row r="92" ht="46.5" customHeight="1" spans="1:50" s="97" customFormat="1" x14ac:dyDescent="0.25">
      <c r="A92" s="100"/>
      <c r="B92" s="100"/>
      <c r="C92" s="100"/>
      <c r="D92" s="100"/>
      <c r="E92" s="100"/>
      <c r="F92" s="100"/>
      <c r="G92" s="103"/>
      <c r="H92" s="186"/>
      <c r="I92" s="195">
        <v>0.51</v>
      </c>
      <c r="J92" s="107">
        <v>0.49</v>
      </c>
      <c r="K92" s="107"/>
      <c r="L92" s="107"/>
      <c r="M92" s="187"/>
      <c r="N92" s="169">
        <f t="shared" si="14"/>
        <v>1</v>
      </c>
      <c r="O92" s="144">
        <v>1</v>
      </c>
      <c r="P92" s="145">
        <v>15</v>
      </c>
      <c r="Q92" s="113">
        <v>15</v>
      </c>
      <c r="R92" s="113"/>
      <c r="S92" s="113"/>
      <c r="T92" s="146"/>
      <c r="U92" s="148">
        <f t="shared" si="17"/>
        <v>15</v>
      </c>
      <c r="V92" s="149">
        <f t="shared" si="18"/>
        <v>15</v>
      </c>
      <c r="W92" s="189"/>
      <c r="X92" s="199"/>
      <c r="Y92" s="151"/>
      <c r="Z92" s="190"/>
      <c r="AA92" s="153"/>
      <c r="AB92" s="154">
        <f t="shared" si="19"/>
        <v>0</v>
      </c>
      <c r="AC92" s="149">
        <f t="shared" si="20"/>
        <v>0</v>
      </c>
      <c r="AD92" s="125">
        <v>2</v>
      </c>
      <c r="AE92" s="148">
        <f t="shared" si="21"/>
        <v>2</v>
      </c>
      <c r="AF92" s="156"/>
      <c r="AG92" s="156"/>
      <c r="AH92" s="113">
        <f t="shared" si="22"/>
        <v>17</v>
      </c>
      <c r="AI92" s="157">
        <v>65</v>
      </c>
      <c r="AJ92" s="113">
        <f t="shared" si="23"/>
        <v>82</v>
      </c>
      <c r="AK92" s="113">
        <f t="shared" si="24"/>
        <v>82</v>
      </c>
      <c r="AL92" s="158">
        <f t="shared" si="25"/>
        <v>1.02</v>
      </c>
      <c r="AM92" s="159"/>
      <c r="AN92" s="160">
        <f t="shared" si="16"/>
        <v>1</v>
      </c>
      <c r="AO92" s="160">
        <f t="shared" si="16"/>
        <v>2</v>
      </c>
      <c r="AP92" s="133"/>
      <c r="AQ92" s="134"/>
      <c r="AR92" s="161"/>
      <c r="AS92" s="161"/>
      <c r="AT92" s="161"/>
      <c r="AU92" s="161"/>
      <c r="AV92" s="162"/>
      <c r="AW92" s="137">
        <f t="shared" si="26"/>
        <v>0</v>
      </c>
      <c r="AX92" s="137">
        <f t="shared" si="27"/>
        <v>0</v>
      </c>
    </row>
    <row r="93" ht="46.5" customHeight="1" spans="1:50" s="97" customFormat="1" x14ac:dyDescent="0.25">
      <c r="A93" s="100"/>
      <c r="B93" s="100"/>
      <c r="C93" s="100"/>
      <c r="D93" s="100"/>
      <c r="E93" s="100"/>
      <c r="F93" s="100"/>
      <c r="G93" s="103"/>
      <c r="H93" s="186"/>
      <c r="I93" s="195">
        <v>0.51</v>
      </c>
      <c r="J93" s="107">
        <v>0.49</v>
      </c>
      <c r="K93" s="107"/>
      <c r="L93" s="107"/>
      <c r="M93" s="187"/>
      <c r="N93" s="169">
        <f t="shared" si="14"/>
        <v>1</v>
      </c>
      <c r="O93" s="144">
        <v>1</v>
      </c>
      <c r="P93" s="145">
        <v>15</v>
      </c>
      <c r="Q93" s="113">
        <v>15</v>
      </c>
      <c r="R93" s="113"/>
      <c r="S93" s="113"/>
      <c r="T93" s="146"/>
      <c r="U93" s="148">
        <f t="shared" si="17"/>
        <v>15</v>
      </c>
      <c r="V93" s="149">
        <f t="shared" si="18"/>
        <v>15</v>
      </c>
      <c r="W93" s="189"/>
      <c r="X93" s="199"/>
      <c r="Y93" s="151"/>
      <c r="Z93" s="190"/>
      <c r="AA93" s="153"/>
      <c r="AB93" s="154">
        <f t="shared" si="19"/>
        <v>0</v>
      </c>
      <c r="AC93" s="149">
        <f t="shared" si="20"/>
        <v>0</v>
      </c>
      <c r="AD93" s="125">
        <v>2</v>
      </c>
      <c r="AE93" s="148">
        <f t="shared" si="21"/>
        <v>2</v>
      </c>
      <c r="AF93" s="156"/>
      <c r="AG93" s="156"/>
      <c r="AH93" s="113">
        <f t="shared" si="22"/>
        <v>17</v>
      </c>
      <c r="AI93" s="157">
        <v>65</v>
      </c>
      <c r="AJ93" s="113">
        <f t="shared" si="23"/>
        <v>82</v>
      </c>
      <c r="AK93" s="113">
        <f t="shared" si="24"/>
        <v>82</v>
      </c>
      <c r="AL93" s="158">
        <f t="shared" si="25"/>
        <v>1.02</v>
      </c>
      <c r="AM93" s="159"/>
      <c r="AN93" s="160">
        <f t="shared" si="16"/>
        <v>1</v>
      </c>
      <c r="AO93" s="160">
        <f t="shared" si="16"/>
        <v>2</v>
      </c>
      <c r="AP93" s="133"/>
      <c r="AQ93" s="134"/>
      <c r="AR93" s="161"/>
      <c r="AS93" s="161"/>
      <c r="AT93" s="161"/>
      <c r="AU93" s="161"/>
      <c r="AV93" s="162"/>
      <c r="AW93" s="137">
        <f t="shared" si="26"/>
        <v>0</v>
      </c>
      <c r="AX93" s="137">
        <f t="shared" si="27"/>
        <v>0</v>
      </c>
    </row>
    <row r="94" ht="46.5" customHeight="1" spans="1:50" s="97" customFormat="1" x14ac:dyDescent="0.25">
      <c r="A94" s="100"/>
      <c r="B94" s="100"/>
      <c r="C94" s="100"/>
      <c r="D94" s="100"/>
      <c r="E94" s="100"/>
      <c r="F94" s="100"/>
      <c r="G94" s="103"/>
      <c r="H94" s="186"/>
      <c r="I94" s="195">
        <v>0.51</v>
      </c>
      <c r="J94" s="107">
        <v>0.49</v>
      </c>
      <c r="K94" s="107"/>
      <c r="L94" s="107"/>
      <c r="M94" s="187"/>
      <c r="N94" s="169">
        <f t="shared" si="14"/>
        <v>1</v>
      </c>
      <c r="O94" s="144">
        <v>1</v>
      </c>
      <c r="P94" s="145">
        <v>15</v>
      </c>
      <c r="Q94" s="113">
        <v>15</v>
      </c>
      <c r="R94" s="113"/>
      <c r="S94" s="113"/>
      <c r="T94" s="146"/>
      <c r="U94" s="148">
        <f t="shared" si="17"/>
        <v>15</v>
      </c>
      <c r="V94" s="149">
        <f t="shared" si="18"/>
        <v>15</v>
      </c>
      <c r="W94" s="189"/>
      <c r="X94" s="199"/>
      <c r="Y94" s="151"/>
      <c r="Z94" s="190"/>
      <c r="AA94" s="153"/>
      <c r="AB94" s="154">
        <f t="shared" si="19"/>
        <v>0</v>
      </c>
      <c r="AC94" s="149">
        <f t="shared" si="20"/>
        <v>0</v>
      </c>
      <c r="AD94" s="125">
        <v>2</v>
      </c>
      <c r="AE94" s="148">
        <f t="shared" si="21"/>
        <v>2</v>
      </c>
      <c r="AF94" s="156"/>
      <c r="AG94" s="156"/>
      <c r="AH94" s="113">
        <f t="shared" si="22"/>
        <v>17</v>
      </c>
      <c r="AI94" s="157">
        <v>65</v>
      </c>
      <c r="AJ94" s="113">
        <f t="shared" si="23"/>
        <v>82</v>
      </c>
      <c r="AK94" s="113">
        <f t="shared" si="24"/>
        <v>82</v>
      </c>
      <c r="AL94" s="158">
        <f t="shared" si="25"/>
        <v>1.02</v>
      </c>
      <c r="AM94" s="159"/>
      <c r="AN94" s="160">
        <f t="shared" si="16"/>
        <v>1</v>
      </c>
      <c r="AO94" s="160">
        <f t="shared" si="16"/>
        <v>2</v>
      </c>
      <c r="AP94" s="133"/>
      <c r="AQ94" s="134"/>
      <c r="AR94" s="161"/>
      <c r="AS94" s="161"/>
      <c r="AT94" s="161"/>
      <c r="AU94" s="161"/>
      <c r="AV94" s="162"/>
      <c r="AW94" s="137">
        <f t="shared" si="26"/>
        <v>0</v>
      </c>
      <c r="AX94" s="137">
        <f t="shared" si="27"/>
        <v>0</v>
      </c>
    </row>
    <row r="95" ht="46.5" customHeight="1" spans="1:50" s="97" customFormat="1" x14ac:dyDescent="0.25">
      <c r="A95" s="100"/>
      <c r="B95" s="100"/>
      <c r="C95" s="100"/>
      <c r="D95" s="100"/>
      <c r="E95" s="100"/>
      <c r="F95" s="100"/>
      <c r="G95" s="103"/>
      <c r="H95" s="186"/>
      <c r="I95" s="195">
        <v>0.51</v>
      </c>
      <c r="J95" s="107">
        <v>0.49</v>
      </c>
      <c r="K95" s="107"/>
      <c r="L95" s="107"/>
      <c r="M95" s="187"/>
      <c r="N95" s="169">
        <f t="shared" si="14"/>
        <v>1</v>
      </c>
      <c r="O95" s="144">
        <v>1</v>
      </c>
      <c r="P95" s="145">
        <v>15</v>
      </c>
      <c r="Q95" s="113">
        <v>15</v>
      </c>
      <c r="R95" s="113"/>
      <c r="S95" s="113"/>
      <c r="T95" s="146"/>
      <c r="U95" s="148">
        <f t="shared" si="17"/>
        <v>15</v>
      </c>
      <c r="V95" s="149">
        <f t="shared" si="18"/>
        <v>15</v>
      </c>
      <c r="W95" s="189"/>
      <c r="X95" s="199"/>
      <c r="Y95" s="151"/>
      <c r="Z95" s="190"/>
      <c r="AA95" s="153"/>
      <c r="AB95" s="154">
        <f t="shared" si="19"/>
        <v>0</v>
      </c>
      <c r="AC95" s="149">
        <f t="shared" si="20"/>
        <v>0</v>
      </c>
      <c r="AD95" s="125">
        <v>2</v>
      </c>
      <c r="AE95" s="148">
        <f t="shared" si="21"/>
        <v>2</v>
      </c>
      <c r="AF95" s="156"/>
      <c r="AG95" s="156"/>
      <c r="AH95" s="113">
        <f t="shared" si="22"/>
        <v>17</v>
      </c>
      <c r="AI95" s="157">
        <v>65</v>
      </c>
      <c r="AJ95" s="113">
        <f t="shared" si="23"/>
        <v>82</v>
      </c>
      <c r="AK95" s="113">
        <f t="shared" si="24"/>
        <v>82</v>
      </c>
      <c r="AL95" s="158">
        <f t="shared" si="25"/>
        <v>1.02</v>
      </c>
      <c r="AM95" s="159"/>
      <c r="AN95" s="160">
        <f t="shared" si="16"/>
        <v>1</v>
      </c>
      <c r="AO95" s="160">
        <f t="shared" si="16"/>
        <v>2</v>
      </c>
      <c r="AP95" s="133"/>
      <c r="AQ95" s="134"/>
      <c r="AR95" s="161"/>
      <c r="AS95" s="161"/>
      <c r="AT95" s="161"/>
      <c r="AU95" s="161"/>
      <c r="AV95" s="162"/>
      <c r="AW95" s="137">
        <f t="shared" si="26"/>
        <v>0</v>
      </c>
      <c r="AX95" s="137">
        <f t="shared" si="27"/>
        <v>0</v>
      </c>
    </row>
    <row r="96" ht="46.5" customHeight="1" spans="1:50" s="97" customFormat="1" x14ac:dyDescent="0.25">
      <c r="A96" s="100"/>
      <c r="B96" s="100"/>
      <c r="C96" s="100"/>
      <c r="D96" s="100"/>
      <c r="E96" s="100"/>
      <c r="F96" s="100"/>
      <c r="G96" s="103"/>
      <c r="H96" s="186"/>
      <c r="I96" s="195">
        <v>0.51</v>
      </c>
      <c r="J96" s="107">
        <v>0.49</v>
      </c>
      <c r="K96" s="107"/>
      <c r="L96" s="107"/>
      <c r="M96" s="187"/>
      <c r="N96" s="169">
        <f t="shared" si="14"/>
        <v>1</v>
      </c>
      <c r="O96" s="144">
        <v>1</v>
      </c>
      <c r="P96" s="145">
        <v>15</v>
      </c>
      <c r="Q96" s="113">
        <v>15</v>
      </c>
      <c r="R96" s="113"/>
      <c r="S96" s="113"/>
      <c r="T96" s="146"/>
      <c r="U96" s="148">
        <f t="shared" si="17"/>
        <v>15</v>
      </c>
      <c r="V96" s="149">
        <f t="shared" si="18"/>
        <v>15</v>
      </c>
      <c r="W96" s="189"/>
      <c r="X96" s="199"/>
      <c r="Y96" s="151"/>
      <c r="Z96" s="190"/>
      <c r="AA96" s="153"/>
      <c r="AB96" s="154">
        <f t="shared" si="19"/>
        <v>0</v>
      </c>
      <c r="AC96" s="149">
        <f t="shared" si="20"/>
        <v>0</v>
      </c>
      <c r="AD96" s="125">
        <v>2</v>
      </c>
      <c r="AE96" s="148">
        <f t="shared" si="21"/>
        <v>2</v>
      </c>
      <c r="AF96" s="156"/>
      <c r="AG96" s="156"/>
      <c r="AH96" s="113">
        <f t="shared" si="22"/>
        <v>17</v>
      </c>
      <c r="AI96" s="157">
        <v>65</v>
      </c>
      <c r="AJ96" s="113">
        <f t="shared" si="23"/>
        <v>82</v>
      </c>
      <c r="AK96" s="113">
        <f t="shared" si="24"/>
        <v>82</v>
      </c>
      <c r="AL96" s="158">
        <f t="shared" si="25"/>
        <v>1.02</v>
      </c>
      <c r="AM96" s="159"/>
      <c r="AN96" s="160">
        <f t="shared" si="16"/>
        <v>1</v>
      </c>
      <c r="AO96" s="160">
        <f t="shared" si="16"/>
        <v>2</v>
      </c>
      <c r="AP96" s="133"/>
      <c r="AQ96" s="134"/>
      <c r="AR96" s="161"/>
      <c r="AS96" s="161"/>
      <c r="AT96" s="161"/>
      <c r="AU96" s="161"/>
      <c r="AV96" s="162"/>
      <c r="AW96" s="137">
        <f t="shared" si="26"/>
        <v>0</v>
      </c>
      <c r="AX96" s="137">
        <f t="shared" si="27"/>
        <v>0</v>
      </c>
    </row>
    <row r="97" ht="46.5" customHeight="1" spans="1:50" s="97" customFormat="1" x14ac:dyDescent="0.25">
      <c r="A97" s="100"/>
      <c r="B97" s="100"/>
      <c r="C97" s="100"/>
      <c r="D97" s="100"/>
      <c r="E97" s="100"/>
      <c r="F97" s="100"/>
      <c r="G97" s="103"/>
      <c r="H97" s="186"/>
      <c r="I97" s="195">
        <v>0.51</v>
      </c>
      <c r="J97" s="107">
        <v>0.49</v>
      </c>
      <c r="K97" s="107"/>
      <c r="L97" s="107"/>
      <c r="M97" s="187"/>
      <c r="N97" s="169">
        <f t="shared" si="14"/>
        <v>1</v>
      </c>
      <c r="O97" s="144">
        <v>1</v>
      </c>
      <c r="P97" s="145">
        <v>15</v>
      </c>
      <c r="Q97" s="113">
        <v>15</v>
      </c>
      <c r="R97" s="113"/>
      <c r="S97" s="113"/>
      <c r="T97" s="146"/>
      <c r="U97" s="148">
        <f t="shared" si="17"/>
        <v>15</v>
      </c>
      <c r="V97" s="149">
        <f t="shared" si="18"/>
        <v>15</v>
      </c>
      <c r="W97" s="189"/>
      <c r="X97" s="199"/>
      <c r="Y97" s="151"/>
      <c r="Z97" s="190"/>
      <c r="AA97" s="153"/>
      <c r="AB97" s="154">
        <f t="shared" si="19"/>
        <v>0</v>
      </c>
      <c r="AC97" s="149">
        <f t="shared" si="20"/>
        <v>0</v>
      </c>
      <c r="AD97" s="125">
        <v>2</v>
      </c>
      <c r="AE97" s="148">
        <f t="shared" si="21"/>
        <v>2</v>
      </c>
      <c r="AF97" s="156"/>
      <c r="AG97" s="156"/>
      <c r="AH97" s="113">
        <f t="shared" si="22"/>
        <v>17</v>
      </c>
      <c r="AI97" s="157">
        <v>65</v>
      </c>
      <c r="AJ97" s="113">
        <f t="shared" si="23"/>
        <v>82</v>
      </c>
      <c r="AK97" s="113">
        <f t="shared" si="24"/>
        <v>82</v>
      </c>
      <c r="AL97" s="158">
        <f t="shared" si="25"/>
        <v>1.02</v>
      </c>
      <c r="AM97" s="159"/>
      <c r="AN97" s="160">
        <f t="shared" si="16"/>
        <v>1</v>
      </c>
      <c r="AO97" s="160">
        <f t="shared" si="16"/>
        <v>2</v>
      </c>
      <c r="AP97" s="133"/>
      <c r="AQ97" s="134"/>
      <c r="AR97" s="161"/>
      <c r="AS97" s="161"/>
      <c r="AT97" s="161"/>
      <c r="AU97" s="161"/>
      <c r="AV97" s="162"/>
      <c r="AW97" s="137">
        <f t="shared" si="26"/>
        <v>0</v>
      </c>
      <c r="AX97" s="137">
        <f t="shared" si="27"/>
        <v>0</v>
      </c>
    </row>
    <row r="98" ht="46.5" customHeight="1" spans="1:50" s="97" customFormat="1" x14ac:dyDescent="0.25">
      <c r="A98" s="100"/>
      <c r="B98" s="100"/>
      <c r="C98" s="100"/>
      <c r="D98" s="100"/>
      <c r="E98" s="100"/>
      <c r="F98" s="100"/>
      <c r="G98" s="103"/>
      <c r="H98" s="186"/>
      <c r="I98" s="195">
        <v>0.51</v>
      </c>
      <c r="J98" s="107">
        <v>0.49</v>
      </c>
      <c r="K98" s="107"/>
      <c r="L98" s="107"/>
      <c r="M98" s="187"/>
      <c r="N98" s="169">
        <f t="shared" si="14"/>
        <v>1</v>
      </c>
      <c r="O98" s="144">
        <v>1</v>
      </c>
      <c r="P98" s="145">
        <v>15</v>
      </c>
      <c r="Q98" s="113">
        <v>15</v>
      </c>
      <c r="R98" s="113"/>
      <c r="S98" s="113"/>
      <c r="T98" s="146"/>
      <c r="U98" s="148">
        <f t="shared" si="17"/>
        <v>15</v>
      </c>
      <c r="V98" s="149">
        <f t="shared" si="18"/>
        <v>15</v>
      </c>
      <c r="W98" s="189"/>
      <c r="X98" s="199"/>
      <c r="Y98" s="151"/>
      <c r="Z98" s="190"/>
      <c r="AA98" s="153"/>
      <c r="AB98" s="154">
        <f t="shared" si="19"/>
        <v>0</v>
      </c>
      <c r="AC98" s="149">
        <f t="shared" si="20"/>
        <v>0</v>
      </c>
      <c r="AD98" s="125">
        <v>2</v>
      </c>
      <c r="AE98" s="148">
        <f t="shared" si="21"/>
        <v>2</v>
      </c>
      <c r="AF98" s="156"/>
      <c r="AG98" s="156"/>
      <c r="AH98" s="113">
        <f t="shared" si="22"/>
        <v>17</v>
      </c>
      <c r="AI98" s="157">
        <v>65</v>
      </c>
      <c r="AJ98" s="113">
        <f t="shared" si="23"/>
        <v>82</v>
      </c>
      <c r="AK98" s="113">
        <f t="shared" si="24"/>
        <v>82</v>
      </c>
      <c r="AL98" s="158">
        <f t="shared" si="25"/>
        <v>1.02</v>
      </c>
      <c r="AM98" s="159"/>
      <c r="AN98" s="160">
        <f t="shared" si="16"/>
        <v>1</v>
      </c>
      <c r="AO98" s="160">
        <f t="shared" si="16"/>
        <v>2</v>
      </c>
      <c r="AP98" s="133"/>
      <c r="AQ98" s="134"/>
      <c r="AR98" s="161"/>
      <c r="AS98" s="161"/>
      <c r="AT98" s="161"/>
      <c r="AU98" s="161"/>
      <c r="AV98" s="162"/>
      <c r="AW98" s="137">
        <f t="shared" si="26"/>
        <v>0</v>
      </c>
      <c r="AX98" s="137">
        <f t="shared" si="27"/>
        <v>0</v>
      </c>
    </row>
    <row r="99" ht="46.5" customHeight="1" spans="1:50" s="97" customFormat="1" x14ac:dyDescent="0.25">
      <c r="A99" s="100"/>
      <c r="B99" s="100"/>
      <c r="C99" s="100"/>
      <c r="D99" s="100"/>
      <c r="E99" s="100"/>
      <c r="F99" s="100"/>
      <c r="G99" s="103"/>
      <c r="H99" s="186"/>
      <c r="I99" s="195">
        <v>0.51</v>
      </c>
      <c r="J99" s="107">
        <v>0.49</v>
      </c>
      <c r="K99" s="107"/>
      <c r="L99" s="107"/>
      <c r="M99" s="187"/>
      <c r="N99" s="169">
        <f t="shared" si="14"/>
        <v>1</v>
      </c>
      <c r="O99" s="144">
        <v>1</v>
      </c>
      <c r="P99" s="145">
        <v>15</v>
      </c>
      <c r="Q99" s="113">
        <v>15</v>
      </c>
      <c r="R99" s="113"/>
      <c r="S99" s="113"/>
      <c r="T99" s="146"/>
      <c r="U99" s="148">
        <f t="shared" si="17"/>
        <v>15</v>
      </c>
      <c r="V99" s="149">
        <f t="shared" si="18"/>
        <v>15</v>
      </c>
      <c r="W99" s="189"/>
      <c r="X99" s="199"/>
      <c r="Y99" s="151"/>
      <c r="Z99" s="190"/>
      <c r="AA99" s="153"/>
      <c r="AB99" s="154">
        <f t="shared" si="19"/>
        <v>0</v>
      </c>
      <c r="AC99" s="149">
        <f t="shared" si="20"/>
        <v>0</v>
      </c>
      <c r="AD99" s="125">
        <v>2</v>
      </c>
      <c r="AE99" s="148">
        <f t="shared" si="21"/>
        <v>2</v>
      </c>
      <c r="AF99" s="156"/>
      <c r="AG99" s="156"/>
      <c r="AH99" s="113">
        <f t="shared" si="22"/>
        <v>17</v>
      </c>
      <c r="AI99" s="157">
        <v>65</v>
      </c>
      <c r="AJ99" s="113">
        <f t="shared" si="23"/>
        <v>82</v>
      </c>
      <c r="AK99" s="113">
        <f t="shared" si="24"/>
        <v>82</v>
      </c>
      <c r="AL99" s="158">
        <f t="shared" si="25"/>
        <v>1.02</v>
      </c>
      <c r="AM99" s="159"/>
      <c r="AN99" s="160">
        <f t="shared" si="16"/>
        <v>1</v>
      </c>
      <c r="AO99" s="160">
        <f t="shared" si="16"/>
        <v>2</v>
      </c>
      <c r="AP99" s="133"/>
      <c r="AQ99" s="134"/>
      <c r="AR99" s="161"/>
      <c r="AS99" s="161"/>
      <c r="AT99" s="161"/>
      <c r="AU99" s="161"/>
      <c r="AV99" s="162"/>
      <c r="AW99" s="137">
        <f t="shared" si="26"/>
        <v>0</v>
      </c>
      <c r="AX99" s="137">
        <f t="shared" si="27"/>
        <v>0</v>
      </c>
    </row>
    <row r="100" ht="46.5" customHeight="1" spans="1:50" s="97" customFormat="1" x14ac:dyDescent="0.25">
      <c r="A100" s="100"/>
      <c r="B100" s="100"/>
      <c r="C100" s="100"/>
      <c r="D100" s="100"/>
      <c r="E100" s="100"/>
      <c r="F100" s="100"/>
      <c r="G100" s="103"/>
      <c r="H100" s="186"/>
      <c r="I100" s="195">
        <v>0.51</v>
      </c>
      <c r="J100" s="107">
        <v>0.49</v>
      </c>
      <c r="K100" s="107"/>
      <c r="L100" s="107"/>
      <c r="M100" s="187"/>
      <c r="N100" s="169">
        <f t="shared" si="14"/>
        <v>1</v>
      </c>
      <c r="O100" s="144">
        <v>1</v>
      </c>
      <c r="P100" s="145">
        <v>15</v>
      </c>
      <c r="Q100" s="113">
        <v>15</v>
      </c>
      <c r="R100" s="113"/>
      <c r="S100" s="113"/>
      <c r="T100" s="146"/>
      <c r="U100" s="148">
        <f t="shared" si="17"/>
        <v>15</v>
      </c>
      <c r="V100" s="149">
        <f t="shared" si="18"/>
        <v>15</v>
      </c>
      <c r="W100" s="189"/>
      <c r="X100" s="199"/>
      <c r="Y100" s="151"/>
      <c r="Z100" s="190"/>
      <c r="AA100" s="153"/>
      <c r="AB100" s="154">
        <f t="shared" si="19"/>
        <v>0</v>
      </c>
      <c r="AC100" s="149">
        <f t="shared" si="20"/>
        <v>0</v>
      </c>
      <c r="AD100" s="125">
        <v>2</v>
      </c>
      <c r="AE100" s="148">
        <f t="shared" si="21"/>
        <v>2</v>
      </c>
      <c r="AF100" s="156"/>
      <c r="AG100" s="156"/>
      <c r="AH100" s="113">
        <f t="shared" si="22"/>
        <v>17</v>
      </c>
      <c r="AI100" s="157">
        <v>65</v>
      </c>
      <c r="AJ100" s="113">
        <f t="shared" si="23"/>
        <v>82</v>
      </c>
      <c r="AK100" s="113">
        <f t="shared" si="24"/>
        <v>82</v>
      </c>
      <c r="AL100" s="158">
        <f t="shared" si="25"/>
        <v>1.02</v>
      </c>
      <c r="AM100" s="159"/>
      <c r="AN100" s="160">
        <f t="shared" si="16"/>
        <v>1</v>
      </c>
      <c r="AO100" s="160">
        <f t="shared" si="16"/>
        <v>2</v>
      </c>
      <c r="AP100" s="133"/>
      <c r="AQ100" s="134"/>
      <c r="AR100" s="161"/>
      <c r="AS100" s="161"/>
      <c r="AT100" s="161"/>
      <c r="AU100" s="161"/>
      <c r="AV100" s="162"/>
      <c r="AW100" s="137">
        <f t="shared" si="26"/>
        <v>0</v>
      </c>
      <c r="AX100" s="137">
        <f t="shared" si="27"/>
        <v>0</v>
      </c>
    </row>
    <row r="101" ht="46.5" customHeight="1" spans="1:50" s="97" customFormat="1" x14ac:dyDescent="0.25">
      <c r="A101" s="100"/>
      <c r="B101" s="100"/>
      <c r="C101" s="100"/>
      <c r="D101" s="100"/>
      <c r="E101" s="100"/>
      <c r="F101" s="100"/>
      <c r="G101" s="103"/>
      <c r="H101" s="186"/>
      <c r="I101" s="195">
        <v>0.51</v>
      </c>
      <c r="J101" s="107">
        <v>0.49</v>
      </c>
      <c r="K101" s="107"/>
      <c r="L101" s="107"/>
      <c r="M101" s="187"/>
      <c r="N101" s="169">
        <f t="shared" si="14"/>
        <v>1</v>
      </c>
      <c r="O101" s="144">
        <v>1</v>
      </c>
      <c r="P101" s="145">
        <v>15</v>
      </c>
      <c r="Q101" s="113">
        <v>15</v>
      </c>
      <c r="R101" s="113"/>
      <c r="S101" s="113"/>
      <c r="T101" s="146"/>
      <c r="U101" s="148">
        <f t="shared" si="17"/>
        <v>15</v>
      </c>
      <c r="V101" s="149">
        <f t="shared" si="18"/>
        <v>15</v>
      </c>
      <c r="W101" s="189"/>
      <c r="X101" s="199"/>
      <c r="Y101" s="151"/>
      <c r="Z101" s="190"/>
      <c r="AA101" s="153"/>
      <c r="AB101" s="154">
        <f t="shared" si="19"/>
        <v>0</v>
      </c>
      <c r="AC101" s="149">
        <f t="shared" si="20"/>
        <v>0</v>
      </c>
      <c r="AD101" s="125">
        <v>2</v>
      </c>
      <c r="AE101" s="148">
        <f t="shared" si="21"/>
        <v>2</v>
      </c>
      <c r="AF101" s="156"/>
      <c r="AG101" s="156"/>
      <c r="AH101" s="113">
        <f t="shared" si="22"/>
        <v>17</v>
      </c>
      <c r="AI101" s="157">
        <v>65</v>
      </c>
      <c r="AJ101" s="113">
        <f t="shared" si="23"/>
        <v>82</v>
      </c>
      <c r="AK101" s="113">
        <f t="shared" si="24"/>
        <v>82</v>
      </c>
      <c r="AL101" s="158">
        <f t="shared" si="25"/>
        <v>1.02</v>
      </c>
      <c r="AM101" s="159"/>
      <c r="AN101" s="160">
        <f t="shared" si="16"/>
        <v>1</v>
      </c>
      <c r="AO101" s="160">
        <f t="shared" si="16"/>
        <v>2</v>
      </c>
      <c r="AP101" s="133"/>
      <c r="AQ101" s="134"/>
      <c r="AR101" s="161"/>
      <c r="AS101" s="161"/>
      <c r="AT101" s="161"/>
      <c r="AU101" s="161"/>
      <c r="AV101" s="162"/>
      <c r="AW101" s="137">
        <f t="shared" si="26"/>
        <v>0</v>
      </c>
      <c r="AX101" s="137">
        <f t="shared" si="27"/>
        <v>0</v>
      </c>
    </row>
    <row r="102" ht="46.5" customHeight="1" spans="1:50" s="97" customFormat="1" x14ac:dyDescent="0.25">
      <c r="A102" s="100"/>
      <c r="B102" s="100"/>
      <c r="C102" s="100"/>
      <c r="D102" s="100"/>
      <c r="E102" s="100"/>
      <c r="F102" s="100"/>
      <c r="G102" s="103"/>
      <c r="H102" s="186"/>
      <c r="I102" s="195">
        <v>0.51</v>
      </c>
      <c r="J102" s="107">
        <v>0.49</v>
      </c>
      <c r="K102" s="107"/>
      <c r="L102" s="107"/>
      <c r="M102" s="187"/>
      <c r="N102" s="169">
        <f t="shared" si="14"/>
        <v>1</v>
      </c>
      <c r="O102" s="144">
        <v>1</v>
      </c>
      <c r="P102" s="145">
        <v>15</v>
      </c>
      <c r="Q102" s="113">
        <v>15</v>
      </c>
      <c r="R102" s="113"/>
      <c r="S102" s="113"/>
      <c r="T102" s="146"/>
      <c r="U102" s="148">
        <f t="shared" si="17"/>
        <v>15</v>
      </c>
      <c r="V102" s="149">
        <f t="shared" si="18"/>
        <v>15</v>
      </c>
      <c r="W102" s="189"/>
      <c r="X102" s="199"/>
      <c r="Y102" s="151"/>
      <c r="Z102" s="190"/>
      <c r="AA102" s="153"/>
      <c r="AB102" s="154">
        <f t="shared" si="19"/>
        <v>0</v>
      </c>
      <c r="AC102" s="149">
        <f t="shared" si="20"/>
        <v>0</v>
      </c>
      <c r="AD102" s="125">
        <v>2</v>
      </c>
      <c r="AE102" s="148">
        <f t="shared" si="21"/>
        <v>2</v>
      </c>
      <c r="AF102" s="156"/>
      <c r="AG102" s="156"/>
      <c r="AH102" s="113">
        <f t="shared" si="22"/>
        <v>17</v>
      </c>
      <c r="AI102" s="157">
        <v>65</v>
      </c>
      <c r="AJ102" s="113">
        <f t="shared" si="23"/>
        <v>82</v>
      </c>
      <c r="AK102" s="113">
        <f t="shared" si="24"/>
        <v>82</v>
      </c>
      <c r="AL102" s="158">
        <f t="shared" si="25"/>
        <v>1.02</v>
      </c>
      <c r="AM102" s="159"/>
      <c r="AN102" s="160">
        <f t="shared" ref="AN102:AO121" si="28">100%+AM102</f>
        <v>1</v>
      </c>
      <c r="AO102" s="160">
        <f t="shared" si="28"/>
        <v>2</v>
      </c>
      <c r="AP102" s="133"/>
      <c r="AQ102" s="134"/>
      <c r="AR102" s="161"/>
      <c r="AS102" s="161"/>
      <c r="AT102" s="161"/>
      <c r="AU102" s="161"/>
      <c r="AV102" s="162"/>
      <c r="AW102" s="137">
        <f t="shared" si="26"/>
        <v>0</v>
      </c>
      <c r="AX102" s="137">
        <f t="shared" si="27"/>
        <v>0</v>
      </c>
    </row>
    <row r="103" ht="46.5" customHeight="1" spans="1:50" s="97" customFormat="1" x14ac:dyDescent="0.25">
      <c r="A103" s="100"/>
      <c r="B103" s="100"/>
      <c r="C103" s="100"/>
      <c r="D103" s="100"/>
      <c r="E103" s="100"/>
      <c r="F103" s="100"/>
      <c r="G103" s="103"/>
      <c r="H103" s="186"/>
      <c r="I103" s="195">
        <v>0.51</v>
      </c>
      <c r="J103" s="107">
        <v>0.49</v>
      </c>
      <c r="K103" s="107"/>
      <c r="L103" s="107"/>
      <c r="M103" s="187"/>
      <c r="N103" s="169">
        <f t="shared" si="14"/>
        <v>1</v>
      </c>
      <c r="O103" s="144">
        <v>1</v>
      </c>
      <c r="P103" s="145">
        <v>15</v>
      </c>
      <c r="Q103" s="113">
        <v>15</v>
      </c>
      <c r="R103" s="113"/>
      <c r="S103" s="113"/>
      <c r="T103" s="146"/>
      <c r="U103" s="148">
        <f t="shared" si="17"/>
        <v>15</v>
      </c>
      <c r="V103" s="149">
        <f t="shared" si="18"/>
        <v>15</v>
      </c>
      <c r="W103" s="189"/>
      <c r="X103" s="199"/>
      <c r="Y103" s="151"/>
      <c r="Z103" s="190"/>
      <c r="AA103" s="153"/>
      <c r="AB103" s="154">
        <f t="shared" si="19"/>
        <v>0</v>
      </c>
      <c r="AC103" s="149">
        <f t="shared" si="20"/>
        <v>0</v>
      </c>
      <c r="AD103" s="125">
        <v>2</v>
      </c>
      <c r="AE103" s="148">
        <f t="shared" si="21"/>
        <v>2</v>
      </c>
      <c r="AF103" s="156"/>
      <c r="AG103" s="156"/>
      <c r="AH103" s="113">
        <f t="shared" si="22"/>
        <v>17</v>
      </c>
      <c r="AI103" s="157">
        <v>65</v>
      </c>
      <c r="AJ103" s="113">
        <f t="shared" si="23"/>
        <v>82</v>
      </c>
      <c r="AK103" s="113">
        <f t="shared" si="24"/>
        <v>82</v>
      </c>
      <c r="AL103" s="158">
        <f t="shared" si="25"/>
        <v>1.02</v>
      </c>
      <c r="AM103" s="159"/>
      <c r="AN103" s="160">
        <f t="shared" si="28"/>
        <v>1</v>
      </c>
      <c r="AO103" s="160">
        <f t="shared" si="28"/>
        <v>2</v>
      </c>
      <c r="AP103" s="133"/>
      <c r="AQ103" s="134"/>
      <c r="AR103" s="161"/>
      <c r="AS103" s="161"/>
      <c r="AT103" s="161"/>
      <c r="AU103" s="161"/>
      <c r="AV103" s="162"/>
      <c r="AW103" s="137">
        <f t="shared" si="26"/>
        <v>0</v>
      </c>
      <c r="AX103" s="137">
        <f t="shared" si="27"/>
        <v>0</v>
      </c>
    </row>
    <row r="104" ht="46.5" customHeight="1" spans="1:50" s="97" customFormat="1" x14ac:dyDescent="0.25">
      <c r="A104" s="100"/>
      <c r="B104" s="100"/>
      <c r="C104" s="100"/>
      <c r="D104" s="100"/>
      <c r="E104" s="100"/>
      <c r="F104" s="100"/>
      <c r="G104" s="103"/>
      <c r="H104" s="186"/>
      <c r="I104" s="195">
        <v>0.51</v>
      </c>
      <c r="J104" s="107">
        <v>0.49</v>
      </c>
      <c r="K104" s="107"/>
      <c r="L104" s="107"/>
      <c r="M104" s="187"/>
      <c r="N104" s="169">
        <f t="shared" si="14"/>
        <v>1</v>
      </c>
      <c r="O104" s="144">
        <v>1</v>
      </c>
      <c r="P104" s="145">
        <v>15</v>
      </c>
      <c r="Q104" s="113">
        <v>15</v>
      </c>
      <c r="R104" s="113"/>
      <c r="S104" s="113"/>
      <c r="T104" s="146"/>
      <c r="U104" s="148">
        <f t="shared" si="17"/>
        <v>15</v>
      </c>
      <c r="V104" s="149">
        <f t="shared" si="18"/>
        <v>15</v>
      </c>
      <c r="W104" s="189"/>
      <c r="X104" s="199"/>
      <c r="Y104" s="151"/>
      <c r="Z104" s="190"/>
      <c r="AA104" s="153"/>
      <c r="AB104" s="154">
        <f t="shared" si="19"/>
        <v>0</v>
      </c>
      <c r="AC104" s="149">
        <f t="shared" si="20"/>
        <v>0</v>
      </c>
      <c r="AD104" s="125">
        <v>2</v>
      </c>
      <c r="AE104" s="148">
        <f t="shared" si="21"/>
        <v>2</v>
      </c>
      <c r="AF104" s="156"/>
      <c r="AG104" s="156"/>
      <c r="AH104" s="113">
        <f t="shared" si="22"/>
        <v>17</v>
      </c>
      <c r="AI104" s="157">
        <v>65</v>
      </c>
      <c r="AJ104" s="113">
        <f t="shared" si="23"/>
        <v>82</v>
      </c>
      <c r="AK104" s="113">
        <f t="shared" si="24"/>
        <v>82</v>
      </c>
      <c r="AL104" s="158">
        <f t="shared" si="25"/>
        <v>1.02</v>
      </c>
      <c r="AM104" s="159"/>
      <c r="AN104" s="160">
        <f t="shared" si="28"/>
        <v>1</v>
      </c>
      <c r="AO104" s="160">
        <f t="shared" si="28"/>
        <v>2</v>
      </c>
      <c r="AP104" s="133"/>
      <c r="AQ104" s="134"/>
      <c r="AR104" s="161"/>
      <c r="AS104" s="161"/>
      <c r="AT104" s="161"/>
      <c r="AU104" s="161"/>
      <c r="AV104" s="162"/>
      <c r="AW104" s="137">
        <f t="shared" si="26"/>
        <v>0</v>
      </c>
      <c r="AX104" s="137">
        <f t="shared" si="27"/>
        <v>0</v>
      </c>
    </row>
    <row r="105" ht="46.5" customHeight="1" spans="1:50" s="97" customFormat="1" x14ac:dyDescent="0.25">
      <c r="A105" s="100"/>
      <c r="B105" s="100"/>
      <c r="C105" s="100"/>
      <c r="D105" s="100"/>
      <c r="E105" s="100"/>
      <c r="F105" s="100"/>
      <c r="G105" s="103"/>
      <c r="H105" s="186"/>
      <c r="I105" s="195">
        <v>0.51</v>
      </c>
      <c r="J105" s="107">
        <v>0.49</v>
      </c>
      <c r="K105" s="107"/>
      <c r="L105" s="107"/>
      <c r="M105" s="187"/>
      <c r="N105" s="169">
        <f t="shared" si="14"/>
        <v>1</v>
      </c>
      <c r="O105" s="144">
        <v>1</v>
      </c>
      <c r="P105" s="145">
        <v>15</v>
      </c>
      <c r="Q105" s="113">
        <v>15</v>
      </c>
      <c r="R105" s="113"/>
      <c r="S105" s="113"/>
      <c r="T105" s="146"/>
      <c r="U105" s="148">
        <f t="shared" si="17"/>
        <v>15</v>
      </c>
      <c r="V105" s="149">
        <f t="shared" si="18"/>
        <v>15</v>
      </c>
      <c r="W105" s="189"/>
      <c r="X105" s="199"/>
      <c r="Y105" s="151"/>
      <c r="Z105" s="190"/>
      <c r="AA105" s="153"/>
      <c r="AB105" s="154">
        <f t="shared" si="19"/>
        <v>0</v>
      </c>
      <c r="AC105" s="149">
        <f t="shared" si="20"/>
        <v>0</v>
      </c>
      <c r="AD105" s="125">
        <v>2</v>
      </c>
      <c r="AE105" s="148">
        <f t="shared" si="21"/>
        <v>2</v>
      </c>
      <c r="AF105" s="156"/>
      <c r="AG105" s="156"/>
      <c r="AH105" s="113">
        <f t="shared" si="22"/>
        <v>17</v>
      </c>
      <c r="AI105" s="157">
        <v>65</v>
      </c>
      <c r="AJ105" s="113">
        <f t="shared" si="23"/>
        <v>82</v>
      </c>
      <c r="AK105" s="113">
        <f t="shared" si="24"/>
        <v>82</v>
      </c>
      <c r="AL105" s="158">
        <f t="shared" si="25"/>
        <v>1.02</v>
      </c>
      <c r="AM105" s="159"/>
      <c r="AN105" s="160">
        <f t="shared" si="28"/>
        <v>1</v>
      </c>
      <c r="AO105" s="160">
        <f t="shared" si="28"/>
        <v>2</v>
      </c>
      <c r="AP105" s="133"/>
      <c r="AQ105" s="134"/>
      <c r="AR105" s="161"/>
      <c r="AS105" s="161"/>
      <c r="AT105" s="161"/>
      <c r="AU105" s="161"/>
      <c r="AV105" s="162"/>
      <c r="AW105" s="137">
        <f t="shared" si="26"/>
        <v>0</v>
      </c>
      <c r="AX105" s="137">
        <f t="shared" si="27"/>
        <v>0</v>
      </c>
    </row>
    <row r="106" ht="46.5" customHeight="1" spans="1:50" s="97" customFormat="1" x14ac:dyDescent="0.25">
      <c r="A106" s="100"/>
      <c r="B106" s="100"/>
      <c r="C106" s="100"/>
      <c r="D106" s="100"/>
      <c r="E106" s="100"/>
      <c r="F106" s="100"/>
      <c r="G106" s="103"/>
      <c r="H106" s="186"/>
      <c r="I106" s="195">
        <v>0.51</v>
      </c>
      <c r="J106" s="107">
        <v>0.49</v>
      </c>
      <c r="K106" s="107"/>
      <c r="L106" s="107"/>
      <c r="M106" s="187"/>
      <c r="N106" s="169">
        <f t="shared" si="14"/>
        <v>1</v>
      </c>
      <c r="O106" s="144">
        <v>1</v>
      </c>
      <c r="P106" s="145">
        <v>15</v>
      </c>
      <c r="Q106" s="113">
        <v>15</v>
      </c>
      <c r="R106" s="113"/>
      <c r="S106" s="113"/>
      <c r="T106" s="146"/>
      <c r="U106" s="148">
        <f t="shared" si="17"/>
        <v>15</v>
      </c>
      <c r="V106" s="149">
        <f t="shared" si="18"/>
        <v>15</v>
      </c>
      <c r="W106" s="189"/>
      <c r="X106" s="199"/>
      <c r="Y106" s="151"/>
      <c r="Z106" s="190"/>
      <c r="AA106" s="153"/>
      <c r="AB106" s="154">
        <f t="shared" si="19"/>
        <v>0</v>
      </c>
      <c r="AC106" s="149">
        <f t="shared" si="20"/>
        <v>0</v>
      </c>
      <c r="AD106" s="125">
        <v>2</v>
      </c>
      <c r="AE106" s="148">
        <f t="shared" si="21"/>
        <v>2</v>
      </c>
      <c r="AF106" s="156"/>
      <c r="AG106" s="156"/>
      <c r="AH106" s="113">
        <f t="shared" si="22"/>
        <v>17</v>
      </c>
      <c r="AI106" s="157">
        <v>65</v>
      </c>
      <c r="AJ106" s="113">
        <f t="shared" si="23"/>
        <v>82</v>
      </c>
      <c r="AK106" s="113">
        <f t="shared" si="24"/>
        <v>82</v>
      </c>
      <c r="AL106" s="158">
        <f t="shared" si="25"/>
        <v>1.02</v>
      </c>
      <c r="AM106" s="159"/>
      <c r="AN106" s="160">
        <f t="shared" si="28"/>
        <v>1</v>
      </c>
      <c r="AO106" s="160">
        <f t="shared" si="28"/>
        <v>2</v>
      </c>
      <c r="AP106" s="133"/>
      <c r="AQ106" s="134"/>
      <c r="AR106" s="161"/>
      <c r="AS106" s="161"/>
      <c r="AT106" s="161"/>
      <c r="AU106" s="161"/>
      <c r="AV106" s="162"/>
      <c r="AW106" s="137">
        <f t="shared" si="26"/>
        <v>0</v>
      </c>
      <c r="AX106" s="137">
        <f t="shared" si="27"/>
        <v>0</v>
      </c>
    </row>
    <row r="107" ht="46.5" customHeight="1" spans="1:50" s="97" customFormat="1" x14ac:dyDescent="0.25">
      <c r="A107" s="100"/>
      <c r="B107" s="100"/>
      <c r="C107" s="100"/>
      <c r="D107" s="100"/>
      <c r="E107" s="100"/>
      <c r="F107" s="100"/>
      <c r="G107" s="103"/>
      <c r="H107" s="186"/>
      <c r="I107" s="195">
        <v>0.51</v>
      </c>
      <c r="J107" s="107">
        <v>0.49</v>
      </c>
      <c r="K107" s="107"/>
      <c r="L107" s="107"/>
      <c r="M107" s="187"/>
      <c r="N107" s="169">
        <f t="shared" si="14"/>
        <v>1</v>
      </c>
      <c r="O107" s="144">
        <v>1</v>
      </c>
      <c r="P107" s="145">
        <v>15</v>
      </c>
      <c r="Q107" s="113">
        <v>15</v>
      </c>
      <c r="R107" s="113"/>
      <c r="S107" s="113"/>
      <c r="T107" s="146"/>
      <c r="U107" s="148">
        <f t="shared" si="17"/>
        <v>15</v>
      </c>
      <c r="V107" s="149">
        <f t="shared" si="18"/>
        <v>15</v>
      </c>
      <c r="W107" s="189"/>
      <c r="X107" s="199"/>
      <c r="Y107" s="151"/>
      <c r="Z107" s="190"/>
      <c r="AA107" s="153"/>
      <c r="AB107" s="154">
        <f t="shared" si="19"/>
        <v>0</v>
      </c>
      <c r="AC107" s="149">
        <f t="shared" si="20"/>
        <v>0</v>
      </c>
      <c r="AD107" s="125">
        <v>2</v>
      </c>
      <c r="AE107" s="148">
        <f t="shared" si="21"/>
        <v>2</v>
      </c>
      <c r="AF107" s="156"/>
      <c r="AG107" s="156"/>
      <c r="AH107" s="113">
        <f t="shared" si="22"/>
        <v>17</v>
      </c>
      <c r="AI107" s="157">
        <v>65</v>
      </c>
      <c r="AJ107" s="113">
        <f t="shared" si="23"/>
        <v>82</v>
      </c>
      <c r="AK107" s="113">
        <f t="shared" si="24"/>
        <v>82</v>
      </c>
      <c r="AL107" s="158">
        <f t="shared" si="25"/>
        <v>1.02</v>
      </c>
      <c r="AM107" s="159"/>
      <c r="AN107" s="160">
        <f t="shared" si="28"/>
        <v>1</v>
      </c>
      <c r="AO107" s="160">
        <f t="shared" si="28"/>
        <v>2</v>
      </c>
      <c r="AP107" s="133"/>
      <c r="AQ107" s="134"/>
      <c r="AR107" s="161"/>
      <c r="AS107" s="161"/>
      <c r="AT107" s="161"/>
      <c r="AU107" s="161"/>
      <c r="AV107" s="162"/>
      <c r="AW107" s="137">
        <f t="shared" si="26"/>
        <v>0</v>
      </c>
      <c r="AX107" s="137">
        <f t="shared" si="27"/>
        <v>0</v>
      </c>
    </row>
    <row r="108" ht="46.5" customHeight="1" spans="1:50" s="97" customFormat="1" x14ac:dyDescent="0.25">
      <c r="A108" s="100"/>
      <c r="B108" s="100"/>
      <c r="C108" s="100"/>
      <c r="D108" s="100"/>
      <c r="E108" s="100"/>
      <c r="F108" s="100"/>
      <c r="G108" s="103"/>
      <c r="H108" s="186"/>
      <c r="I108" s="195">
        <v>0.51</v>
      </c>
      <c r="J108" s="107">
        <v>0.49</v>
      </c>
      <c r="K108" s="107"/>
      <c r="L108" s="107"/>
      <c r="M108" s="187"/>
      <c r="N108" s="169">
        <f t="shared" si="14"/>
        <v>1</v>
      </c>
      <c r="O108" s="144">
        <v>1</v>
      </c>
      <c r="P108" s="145">
        <v>15</v>
      </c>
      <c r="Q108" s="113">
        <v>15</v>
      </c>
      <c r="R108" s="113"/>
      <c r="S108" s="113"/>
      <c r="T108" s="146"/>
      <c r="U108" s="148">
        <f t="shared" si="17"/>
        <v>15</v>
      </c>
      <c r="V108" s="149">
        <f t="shared" si="18"/>
        <v>15</v>
      </c>
      <c r="W108" s="189"/>
      <c r="X108" s="199"/>
      <c r="Y108" s="151"/>
      <c r="Z108" s="190"/>
      <c r="AA108" s="153"/>
      <c r="AB108" s="154">
        <f t="shared" si="19"/>
        <v>0</v>
      </c>
      <c r="AC108" s="149">
        <f t="shared" si="20"/>
        <v>0</v>
      </c>
      <c r="AD108" s="125">
        <v>2</v>
      </c>
      <c r="AE108" s="148">
        <f t="shared" si="21"/>
        <v>2</v>
      </c>
      <c r="AF108" s="156"/>
      <c r="AG108" s="156"/>
      <c r="AH108" s="113">
        <f t="shared" si="22"/>
        <v>17</v>
      </c>
      <c r="AI108" s="157">
        <v>65</v>
      </c>
      <c r="AJ108" s="113">
        <f t="shared" si="23"/>
        <v>82</v>
      </c>
      <c r="AK108" s="113">
        <f t="shared" si="24"/>
        <v>82</v>
      </c>
      <c r="AL108" s="158">
        <f t="shared" si="25"/>
        <v>1.02</v>
      </c>
      <c r="AM108" s="159"/>
      <c r="AN108" s="160">
        <f t="shared" si="28"/>
        <v>1</v>
      </c>
      <c r="AO108" s="160">
        <f t="shared" si="28"/>
        <v>2</v>
      </c>
      <c r="AP108" s="133"/>
      <c r="AQ108" s="134"/>
      <c r="AR108" s="161"/>
      <c r="AS108" s="161"/>
      <c r="AT108" s="161"/>
      <c r="AU108" s="161"/>
      <c r="AV108" s="162"/>
      <c r="AW108" s="137">
        <f t="shared" si="26"/>
        <v>0</v>
      </c>
      <c r="AX108" s="137">
        <f t="shared" si="27"/>
        <v>0</v>
      </c>
    </row>
    <row r="109" ht="64.5" customHeight="1" spans="1:50" s="56" customFormat="1" x14ac:dyDescent="0.25">
      <c r="A109" s="100"/>
      <c r="B109" s="100"/>
      <c r="C109" s="100"/>
      <c r="D109" s="100"/>
      <c r="E109" s="100"/>
      <c r="F109" s="100"/>
      <c r="G109" s="103"/>
      <c r="H109" s="186"/>
      <c r="I109" s="195">
        <v>0.51</v>
      </c>
      <c r="J109" s="107">
        <v>0.49</v>
      </c>
      <c r="K109" s="107"/>
      <c r="L109" s="107"/>
      <c r="M109" s="187"/>
      <c r="N109" s="169">
        <f t="shared" si="14"/>
        <v>1</v>
      </c>
      <c r="O109" s="144">
        <v>1</v>
      </c>
      <c r="P109" s="145">
        <v>15</v>
      </c>
      <c r="Q109" s="113">
        <v>15</v>
      </c>
      <c r="R109" s="113"/>
      <c r="S109" s="113"/>
      <c r="T109" s="146"/>
      <c r="U109" s="148">
        <f t="shared" si="17"/>
        <v>15</v>
      </c>
      <c r="V109" s="149">
        <f t="shared" si="18"/>
        <v>15</v>
      </c>
      <c r="W109" s="189"/>
      <c r="X109" s="199"/>
      <c r="Y109" s="151"/>
      <c r="Z109" s="190"/>
      <c r="AA109" s="153"/>
      <c r="AB109" s="154">
        <f t="shared" si="19"/>
        <v>0</v>
      </c>
      <c r="AC109" s="149">
        <f t="shared" si="20"/>
        <v>0</v>
      </c>
      <c r="AD109" s="125">
        <v>2</v>
      </c>
      <c r="AE109" s="148">
        <f t="shared" si="21"/>
        <v>2</v>
      </c>
      <c r="AF109" s="156"/>
      <c r="AG109" s="156"/>
      <c r="AH109" s="113">
        <f t="shared" si="22"/>
        <v>17</v>
      </c>
      <c r="AI109" s="157">
        <v>65</v>
      </c>
      <c r="AJ109" s="113">
        <f t="shared" si="23"/>
        <v>82</v>
      </c>
      <c r="AK109" s="113">
        <f t="shared" si="24"/>
        <v>82</v>
      </c>
      <c r="AL109" s="158">
        <f t="shared" si="25"/>
        <v>1.02</v>
      </c>
      <c r="AM109" s="159"/>
      <c r="AN109" s="160">
        <f t="shared" si="28"/>
        <v>1</v>
      </c>
      <c r="AO109" s="160">
        <f t="shared" si="28"/>
        <v>2</v>
      </c>
      <c r="AP109" s="133"/>
      <c r="AQ109" s="134"/>
      <c r="AR109" s="161"/>
      <c r="AS109" s="161"/>
      <c r="AT109" s="161"/>
      <c r="AU109" s="161"/>
      <c r="AV109" s="162"/>
      <c r="AW109" s="137">
        <f t="shared" si="26"/>
        <v>0</v>
      </c>
      <c r="AX109" s="137">
        <f t="shared" si="27"/>
        <v>0</v>
      </c>
    </row>
    <row r="110" ht="46.5" customHeight="1" spans="1:50" s="97" customFormat="1" x14ac:dyDescent="0.25">
      <c r="A110" s="100"/>
      <c r="B110" s="100"/>
      <c r="C110" s="100"/>
      <c r="D110" s="100"/>
      <c r="E110" s="100"/>
      <c r="F110" s="100"/>
      <c r="G110" s="103"/>
      <c r="H110" s="186"/>
      <c r="I110" s="195">
        <v>0.51</v>
      </c>
      <c r="J110" s="107">
        <v>0.49</v>
      </c>
      <c r="K110" s="107"/>
      <c r="L110" s="107"/>
      <c r="M110" s="187"/>
      <c r="N110" s="169">
        <f t="shared" si="14"/>
        <v>1</v>
      </c>
      <c r="O110" s="144">
        <v>1</v>
      </c>
      <c r="P110" s="145">
        <v>15</v>
      </c>
      <c r="Q110" s="113">
        <v>15</v>
      </c>
      <c r="R110" s="113"/>
      <c r="S110" s="113"/>
      <c r="T110" s="146"/>
      <c r="U110" s="148">
        <f t="shared" si="17"/>
        <v>15</v>
      </c>
      <c r="V110" s="149">
        <f t="shared" si="18"/>
        <v>15</v>
      </c>
      <c r="W110" s="189"/>
      <c r="X110" s="199"/>
      <c r="Y110" s="151"/>
      <c r="Z110" s="190"/>
      <c r="AA110" s="153"/>
      <c r="AB110" s="154">
        <f t="shared" si="19"/>
        <v>0</v>
      </c>
      <c r="AC110" s="149">
        <f t="shared" si="20"/>
        <v>0</v>
      </c>
      <c r="AD110" s="125">
        <v>2</v>
      </c>
      <c r="AE110" s="148">
        <f t="shared" si="21"/>
        <v>2</v>
      </c>
      <c r="AF110" s="156"/>
      <c r="AG110" s="156"/>
      <c r="AH110" s="113">
        <f t="shared" si="22"/>
        <v>17</v>
      </c>
      <c r="AI110" s="157">
        <v>65</v>
      </c>
      <c r="AJ110" s="113">
        <f t="shared" si="23"/>
        <v>82</v>
      </c>
      <c r="AK110" s="113">
        <f t="shared" si="24"/>
        <v>82</v>
      </c>
      <c r="AL110" s="158">
        <f t="shared" si="25"/>
        <v>1.02</v>
      </c>
      <c r="AM110" s="159"/>
      <c r="AN110" s="160">
        <f t="shared" si="28"/>
        <v>1</v>
      </c>
      <c r="AO110" s="160">
        <f t="shared" si="28"/>
        <v>2</v>
      </c>
      <c r="AP110" s="133"/>
      <c r="AQ110" s="134"/>
      <c r="AR110" s="161"/>
      <c r="AS110" s="161"/>
      <c r="AT110" s="161"/>
      <c r="AU110" s="161"/>
      <c r="AV110" s="162"/>
      <c r="AW110" s="137">
        <f t="shared" si="26"/>
        <v>0</v>
      </c>
      <c r="AX110" s="137">
        <f t="shared" si="27"/>
        <v>0</v>
      </c>
    </row>
    <row r="111" ht="46.5" customHeight="1" spans="1:50" s="97" customFormat="1" x14ac:dyDescent="0.25">
      <c r="A111" s="100"/>
      <c r="B111" s="100"/>
      <c r="C111" s="100"/>
      <c r="D111" s="100"/>
      <c r="E111" s="100"/>
      <c r="F111" s="100"/>
      <c r="G111" s="103"/>
      <c r="H111" s="186"/>
      <c r="I111" s="195">
        <v>0.51</v>
      </c>
      <c r="J111" s="107">
        <v>0.49</v>
      </c>
      <c r="K111" s="107"/>
      <c r="L111" s="107"/>
      <c r="M111" s="187"/>
      <c r="N111" s="169">
        <f t="shared" si="14"/>
        <v>1</v>
      </c>
      <c r="O111" s="144">
        <v>1</v>
      </c>
      <c r="P111" s="145">
        <v>15</v>
      </c>
      <c r="Q111" s="113">
        <v>15</v>
      </c>
      <c r="R111" s="113"/>
      <c r="S111" s="113"/>
      <c r="T111" s="146"/>
      <c r="U111" s="148">
        <f t="shared" si="17"/>
        <v>15</v>
      </c>
      <c r="V111" s="149">
        <f t="shared" si="18"/>
        <v>15</v>
      </c>
      <c r="W111" s="189"/>
      <c r="X111" s="199"/>
      <c r="Y111" s="151"/>
      <c r="Z111" s="190"/>
      <c r="AA111" s="153"/>
      <c r="AB111" s="154">
        <f t="shared" si="19"/>
        <v>0</v>
      </c>
      <c r="AC111" s="149">
        <f t="shared" si="20"/>
        <v>0</v>
      </c>
      <c r="AD111" s="125">
        <v>2</v>
      </c>
      <c r="AE111" s="148">
        <f t="shared" si="21"/>
        <v>2</v>
      </c>
      <c r="AF111" s="156"/>
      <c r="AG111" s="156"/>
      <c r="AH111" s="113">
        <f t="shared" si="22"/>
        <v>17</v>
      </c>
      <c r="AI111" s="157">
        <v>65</v>
      </c>
      <c r="AJ111" s="113">
        <f t="shared" si="23"/>
        <v>82</v>
      </c>
      <c r="AK111" s="113">
        <f t="shared" si="24"/>
        <v>82</v>
      </c>
      <c r="AL111" s="158">
        <f t="shared" si="25"/>
        <v>1.02</v>
      </c>
      <c r="AM111" s="159"/>
      <c r="AN111" s="160">
        <f t="shared" si="28"/>
        <v>1</v>
      </c>
      <c r="AO111" s="160">
        <f t="shared" si="28"/>
        <v>2</v>
      </c>
      <c r="AP111" s="133"/>
      <c r="AQ111" s="134"/>
      <c r="AR111" s="161"/>
      <c r="AS111" s="161"/>
      <c r="AT111" s="161"/>
      <c r="AU111" s="161"/>
      <c r="AV111" s="162"/>
      <c r="AW111" s="137">
        <f t="shared" si="26"/>
        <v>0</v>
      </c>
      <c r="AX111" s="137">
        <f t="shared" si="27"/>
        <v>0</v>
      </c>
    </row>
    <row r="112" ht="46.5" customHeight="1" spans="1:50" s="97" customFormat="1" x14ac:dyDescent="0.25">
      <c r="A112" s="100"/>
      <c r="B112" s="100"/>
      <c r="C112" s="100"/>
      <c r="D112" s="100"/>
      <c r="E112" s="100"/>
      <c r="F112" s="100"/>
      <c r="G112" s="103"/>
      <c r="H112" s="186"/>
      <c r="I112" s="195">
        <v>0.51</v>
      </c>
      <c r="J112" s="107">
        <v>0.49</v>
      </c>
      <c r="K112" s="107"/>
      <c r="L112" s="107"/>
      <c r="M112" s="187"/>
      <c r="N112" s="169">
        <f t="shared" si="14"/>
        <v>1</v>
      </c>
      <c r="O112" s="144">
        <v>1</v>
      </c>
      <c r="P112" s="145">
        <v>15</v>
      </c>
      <c r="Q112" s="113">
        <v>15</v>
      </c>
      <c r="R112" s="113"/>
      <c r="S112" s="113"/>
      <c r="T112" s="146"/>
      <c r="U112" s="148">
        <f t="shared" si="17"/>
        <v>15</v>
      </c>
      <c r="V112" s="149">
        <f t="shared" si="18"/>
        <v>15</v>
      </c>
      <c r="W112" s="189"/>
      <c r="X112" s="199"/>
      <c r="Y112" s="151"/>
      <c r="Z112" s="190"/>
      <c r="AA112" s="153"/>
      <c r="AB112" s="154">
        <f t="shared" si="19"/>
        <v>0</v>
      </c>
      <c r="AC112" s="149">
        <f t="shared" si="20"/>
        <v>0</v>
      </c>
      <c r="AD112" s="125">
        <v>2</v>
      </c>
      <c r="AE112" s="148">
        <f t="shared" si="21"/>
        <v>2</v>
      </c>
      <c r="AF112" s="156"/>
      <c r="AG112" s="156"/>
      <c r="AH112" s="113">
        <f t="shared" si="22"/>
        <v>17</v>
      </c>
      <c r="AI112" s="157">
        <v>65</v>
      </c>
      <c r="AJ112" s="113">
        <f t="shared" si="23"/>
        <v>82</v>
      </c>
      <c r="AK112" s="113">
        <f t="shared" si="24"/>
        <v>82</v>
      </c>
      <c r="AL112" s="158">
        <f t="shared" si="25"/>
        <v>1.02</v>
      </c>
      <c r="AM112" s="159"/>
      <c r="AN112" s="160">
        <f t="shared" si="28"/>
        <v>1</v>
      </c>
      <c r="AO112" s="160">
        <f t="shared" si="28"/>
        <v>2</v>
      </c>
      <c r="AP112" s="133"/>
      <c r="AQ112" s="134"/>
      <c r="AR112" s="161"/>
      <c r="AS112" s="161"/>
      <c r="AT112" s="161"/>
      <c r="AU112" s="161"/>
      <c r="AV112" s="162"/>
      <c r="AW112" s="137">
        <f t="shared" si="26"/>
        <v>0</v>
      </c>
      <c r="AX112" s="137">
        <f t="shared" si="27"/>
        <v>0</v>
      </c>
    </row>
    <row r="113" ht="47.25" customHeight="1" spans="1:50" s="97" customFormat="1" x14ac:dyDescent="0.25">
      <c r="A113" s="100"/>
      <c r="B113" s="100"/>
      <c r="C113" s="100"/>
      <c r="D113" s="100"/>
      <c r="E113" s="100"/>
      <c r="F113" s="100"/>
      <c r="G113" s="103"/>
      <c r="H113" s="186"/>
      <c r="I113" s="195">
        <v>0.51</v>
      </c>
      <c r="J113" s="107">
        <v>0.49</v>
      </c>
      <c r="K113" s="107"/>
      <c r="L113" s="107"/>
      <c r="M113" s="187"/>
      <c r="N113" s="169">
        <f t="shared" si="14"/>
        <v>1</v>
      </c>
      <c r="O113" s="144">
        <v>1</v>
      </c>
      <c r="P113" s="145">
        <v>15</v>
      </c>
      <c r="Q113" s="113">
        <v>15</v>
      </c>
      <c r="R113" s="113"/>
      <c r="S113" s="113"/>
      <c r="T113" s="146"/>
      <c r="U113" s="148">
        <f t="shared" si="17"/>
        <v>15</v>
      </c>
      <c r="V113" s="149">
        <f t="shared" si="18"/>
        <v>15</v>
      </c>
      <c r="W113" s="189"/>
      <c r="X113" s="199"/>
      <c r="Y113" s="151"/>
      <c r="Z113" s="190"/>
      <c r="AA113" s="153"/>
      <c r="AB113" s="154">
        <f t="shared" si="19"/>
        <v>0</v>
      </c>
      <c r="AC113" s="149">
        <f t="shared" si="20"/>
        <v>0</v>
      </c>
      <c r="AD113" s="125">
        <v>2</v>
      </c>
      <c r="AE113" s="148">
        <f t="shared" si="21"/>
        <v>2</v>
      </c>
      <c r="AF113" s="156"/>
      <c r="AG113" s="156"/>
      <c r="AH113" s="113">
        <f t="shared" si="22"/>
        <v>17</v>
      </c>
      <c r="AI113" s="157">
        <v>65</v>
      </c>
      <c r="AJ113" s="113">
        <f t="shared" si="23"/>
        <v>82</v>
      </c>
      <c r="AK113" s="113">
        <f t="shared" si="24"/>
        <v>82</v>
      </c>
      <c r="AL113" s="158">
        <f t="shared" si="25"/>
        <v>1.02</v>
      </c>
      <c r="AM113" s="159"/>
      <c r="AN113" s="160">
        <f t="shared" si="28"/>
        <v>1</v>
      </c>
      <c r="AO113" s="160">
        <f t="shared" si="28"/>
        <v>2</v>
      </c>
      <c r="AP113" s="133"/>
      <c r="AQ113" s="134"/>
      <c r="AR113" s="161"/>
      <c r="AS113" s="161"/>
      <c r="AT113" s="161"/>
      <c r="AU113" s="161"/>
      <c r="AV113" s="162"/>
      <c r="AW113" s="137">
        <f t="shared" si="26"/>
        <v>0</v>
      </c>
      <c r="AX113" s="137">
        <f t="shared" si="27"/>
        <v>0</v>
      </c>
    </row>
    <row r="114" ht="46.5" customHeight="1" spans="1:50" s="97" customFormat="1" x14ac:dyDescent="0.25">
      <c r="A114" s="100"/>
      <c r="B114" s="100"/>
      <c r="C114" s="100"/>
      <c r="D114" s="100"/>
      <c r="E114" s="100"/>
      <c r="F114" s="100"/>
      <c r="G114" s="103"/>
      <c r="H114" s="186"/>
      <c r="I114" s="195">
        <v>0.51</v>
      </c>
      <c r="J114" s="107">
        <v>0.49</v>
      </c>
      <c r="K114" s="107"/>
      <c r="L114" s="107"/>
      <c r="M114" s="187"/>
      <c r="N114" s="169">
        <f t="shared" si="14"/>
        <v>1</v>
      </c>
      <c r="O114" s="144">
        <v>1</v>
      </c>
      <c r="P114" s="145">
        <v>15</v>
      </c>
      <c r="Q114" s="113">
        <v>15</v>
      </c>
      <c r="R114" s="113"/>
      <c r="S114" s="113"/>
      <c r="T114" s="146"/>
      <c r="U114" s="148">
        <f t="shared" si="17"/>
        <v>15</v>
      </c>
      <c r="V114" s="149">
        <f t="shared" si="18"/>
        <v>15</v>
      </c>
      <c r="W114" s="189"/>
      <c r="X114" s="199"/>
      <c r="Y114" s="151"/>
      <c r="Z114" s="190"/>
      <c r="AA114" s="153"/>
      <c r="AB114" s="154">
        <f t="shared" si="19"/>
        <v>0</v>
      </c>
      <c r="AC114" s="149">
        <f t="shared" si="20"/>
        <v>0</v>
      </c>
      <c r="AD114" s="125">
        <v>2</v>
      </c>
      <c r="AE114" s="148">
        <f t="shared" si="21"/>
        <v>2</v>
      </c>
      <c r="AF114" s="156"/>
      <c r="AG114" s="156"/>
      <c r="AH114" s="113">
        <f t="shared" si="22"/>
        <v>17</v>
      </c>
      <c r="AI114" s="157">
        <v>65</v>
      </c>
      <c r="AJ114" s="113">
        <f t="shared" si="23"/>
        <v>82</v>
      </c>
      <c r="AK114" s="113">
        <f t="shared" si="24"/>
        <v>82</v>
      </c>
      <c r="AL114" s="158">
        <f t="shared" si="25"/>
        <v>1.02</v>
      </c>
      <c r="AM114" s="159"/>
      <c r="AN114" s="160">
        <f t="shared" si="28"/>
        <v>1</v>
      </c>
      <c r="AO114" s="160">
        <f t="shared" si="28"/>
        <v>2</v>
      </c>
      <c r="AP114" s="133"/>
      <c r="AQ114" s="134"/>
      <c r="AR114" s="161"/>
      <c r="AS114" s="161"/>
      <c r="AT114" s="161"/>
      <c r="AU114" s="161"/>
      <c r="AV114" s="162"/>
      <c r="AW114" s="137">
        <f t="shared" si="26"/>
        <v>0</v>
      </c>
      <c r="AX114" s="137">
        <f t="shared" si="27"/>
        <v>0</v>
      </c>
    </row>
    <row r="115" ht="46.5" customHeight="1" spans="1:50" s="97" customFormat="1" x14ac:dyDescent="0.25">
      <c r="A115" s="100"/>
      <c r="B115" s="100"/>
      <c r="C115" s="100"/>
      <c r="D115" s="100"/>
      <c r="E115" s="100"/>
      <c r="F115" s="100"/>
      <c r="G115" s="103"/>
      <c r="H115" s="186"/>
      <c r="I115" s="195">
        <v>0.51</v>
      </c>
      <c r="J115" s="107">
        <v>0.49</v>
      </c>
      <c r="K115" s="107"/>
      <c r="L115" s="107"/>
      <c r="M115" s="187"/>
      <c r="N115" s="169">
        <f t="shared" si="14"/>
        <v>1</v>
      </c>
      <c r="O115" s="144">
        <v>1</v>
      </c>
      <c r="P115" s="145">
        <v>15</v>
      </c>
      <c r="Q115" s="113">
        <v>15</v>
      </c>
      <c r="R115" s="113"/>
      <c r="S115" s="113"/>
      <c r="T115" s="146"/>
      <c r="U115" s="148">
        <f t="shared" si="17"/>
        <v>15</v>
      </c>
      <c r="V115" s="149">
        <f t="shared" si="18"/>
        <v>15</v>
      </c>
      <c r="W115" s="189"/>
      <c r="X115" s="199"/>
      <c r="Y115" s="151"/>
      <c r="Z115" s="190"/>
      <c r="AA115" s="153"/>
      <c r="AB115" s="154">
        <f t="shared" si="19"/>
        <v>0</v>
      </c>
      <c r="AC115" s="149">
        <f t="shared" si="20"/>
        <v>0</v>
      </c>
      <c r="AD115" s="125">
        <v>2</v>
      </c>
      <c r="AE115" s="148">
        <f t="shared" si="21"/>
        <v>2</v>
      </c>
      <c r="AF115" s="156"/>
      <c r="AG115" s="156"/>
      <c r="AH115" s="113">
        <f t="shared" si="22"/>
        <v>17</v>
      </c>
      <c r="AI115" s="157">
        <v>65</v>
      </c>
      <c r="AJ115" s="113">
        <f t="shared" si="23"/>
        <v>82</v>
      </c>
      <c r="AK115" s="113">
        <f t="shared" si="24"/>
        <v>82</v>
      </c>
      <c r="AL115" s="158">
        <f t="shared" si="25"/>
        <v>1.02</v>
      </c>
      <c r="AM115" s="159"/>
      <c r="AN115" s="160">
        <f t="shared" si="28"/>
        <v>1</v>
      </c>
      <c r="AO115" s="160">
        <f t="shared" si="28"/>
        <v>2</v>
      </c>
      <c r="AP115" s="133"/>
      <c r="AQ115" s="134"/>
      <c r="AR115" s="161"/>
      <c r="AS115" s="161"/>
      <c r="AT115" s="161"/>
      <c r="AU115" s="161"/>
      <c r="AV115" s="162"/>
      <c r="AW115" s="137">
        <f t="shared" si="26"/>
        <v>0</v>
      </c>
      <c r="AX115" s="137">
        <f t="shared" si="27"/>
        <v>0</v>
      </c>
    </row>
    <row r="116" ht="46.5" customHeight="1" spans="1:50" s="97" customFormat="1" x14ac:dyDescent="0.25">
      <c r="A116" s="100"/>
      <c r="B116" s="100"/>
      <c r="C116" s="100"/>
      <c r="D116" s="100"/>
      <c r="E116" s="100"/>
      <c r="F116" s="100"/>
      <c r="G116" s="103"/>
      <c r="H116" s="186"/>
      <c r="I116" s="195">
        <v>0.51</v>
      </c>
      <c r="J116" s="107">
        <v>0.49</v>
      </c>
      <c r="K116" s="107"/>
      <c r="L116" s="107"/>
      <c r="M116" s="187"/>
      <c r="N116" s="169">
        <f t="shared" si="14"/>
        <v>1</v>
      </c>
      <c r="O116" s="144">
        <v>1</v>
      </c>
      <c r="P116" s="145">
        <v>15</v>
      </c>
      <c r="Q116" s="113">
        <v>15</v>
      </c>
      <c r="R116" s="113"/>
      <c r="S116" s="113"/>
      <c r="T116" s="146"/>
      <c r="U116" s="148">
        <f t="shared" si="17"/>
        <v>15</v>
      </c>
      <c r="V116" s="149">
        <f t="shared" si="18"/>
        <v>15</v>
      </c>
      <c r="W116" s="189"/>
      <c r="X116" s="199"/>
      <c r="Y116" s="151"/>
      <c r="Z116" s="190"/>
      <c r="AA116" s="153"/>
      <c r="AB116" s="154">
        <f t="shared" si="19"/>
        <v>0</v>
      </c>
      <c r="AC116" s="149">
        <f t="shared" si="20"/>
        <v>0</v>
      </c>
      <c r="AD116" s="125">
        <v>2</v>
      </c>
      <c r="AE116" s="148">
        <f t="shared" si="21"/>
        <v>2</v>
      </c>
      <c r="AF116" s="156"/>
      <c r="AG116" s="156"/>
      <c r="AH116" s="113">
        <f t="shared" si="22"/>
        <v>17</v>
      </c>
      <c r="AI116" s="157">
        <v>65</v>
      </c>
      <c r="AJ116" s="113">
        <f t="shared" si="23"/>
        <v>82</v>
      </c>
      <c r="AK116" s="113">
        <f t="shared" si="24"/>
        <v>82</v>
      </c>
      <c r="AL116" s="158">
        <f t="shared" si="25"/>
        <v>1.02</v>
      </c>
      <c r="AM116" s="159"/>
      <c r="AN116" s="160">
        <f t="shared" si="28"/>
        <v>1</v>
      </c>
      <c r="AO116" s="160">
        <f t="shared" si="28"/>
        <v>2</v>
      </c>
      <c r="AP116" s="133"/>
      <c r="AQ116" s="134"/>
      <c r="AR116" s="161"/>
      <c r="AS116" s="161"/>
      <c r="AT116" s="161"/>
      <c r="AU116" s="161"/>
      <c r="AV116" s="162"/>
      <c r="AW116" s="137">
        <f t="shared" si="26"/>
        <v>0</v>
      </c>
      <c r="AX116" s="137">
        <f t="shared" si="27"/>
        <v>0</v>
      </c>
    </row>
    <row r="117" ht="46.5" customHeight="1" spans="1:50" s="97" customFormat="1" x14ac:dyDescent="0.25">
      <c r="A117" s="100"/>
      <c r="B117" s="100"/>
      <c r="C117" s="100"/>
      <c r="D117" s="100"/>
      <c r="E117" s="100"/>
      <c r="F117" s="100"/>
      <c r="G117" s="103"/>
      <c r="H117" s="186"/>
      <c r="I117" s="195">
        <v>0.51</v>
      </c>
      <c r="J117" s="107">
        <v>0.49</v>
      </c>
      <c r="K117" s="107"/>
      <c r="L117" s="107"/>
      <c r="M117" s="187"/>
      <c r="N117" s="169">
        <f t="shared" si="14"/>
        <v>1</v>
      </c>
      <c r="O117" s="144">
        <v>1</v>
      </c>
      <c r="P117" s="145">
        <v>15</v>
      </c>
      <c r="Q117" s="113">
        <v>15</v>
      </c>
      <c r="R117" s="113"/>
      <c r="S117" s="113"/>
      <c r="T117" s="146"/>
      <c r="U117" s="148">
        <f t="shared" si="17"/>
        <v>15</v>
      </c>
      <c r="V117" s="149">
        <f t="shared" si="18"/>
        <v>15</v>
      </c>
      <c r="W117" s="189"/>
      <c r="X117" s="199"/>
      <c r="Y117" s="151"/>
      <c r="Z117" s="190"/>
      <c r="AA117" s="153"/>
      <c r="AB117" s="154">
        <f t="shared" si="19"/>
        <v>0</v>
      </c>
      <c r="AC117" s="149">
        <f t="shared" si="20"/>
        <v>0</v>
      </c>
      <c r="AD117" s="125">
        <v>2</v>
      </c>
      <c r="AE117" s="148">
        <f t="shared" si="21"/>
        <v>2</v>
      </c>
      <c r="AF117" s="156"/>
      <c r="AG117" s="156"/>
      <c r="AH117" s="113">
        <f t="shared" si="22"/>
        <v>17</v>
      </c>
      <c r="AI117" s="157">
        <v>65</v>
      </c>
      <c r="AJ117" s="113">
        <f t="shared" si="23"/>
        <v>82</v>
      </c>
      <c r="AK117" s="113">
        <f t="shared" si="24"/>
        <v>82</v>
      </c>
      <c r="AL117" s="158">
        <f t="shared" si="25"/>
        <v>1.02</v>
      </c>
      <c r="AM117" s="159"/>
      <c r="AN117" s="160">
        <f t="shared" si="28"/>
        <v>1</v>
      </c>
      <c r="AO117" s="160">
        <f t="shared" si="28"/>
        <v>2</v>
      </c>
      <c r="AP117" s="133"/>
      <c r="AQ117" s="134"/>
      <c r="AR117" s="161"/>
      <c r="AS117" s="161"/>
      <c r="AT117" s="161"/>
      <c r="AU117" s="161"/>
      <c r="AV117" s="162"/>
      <c r="AW117" s="137">
        <f t="shared" si="26"/>
        <v>0</v>
      </c>
      <c r="AX117" s="137">
        <f t="shared" si="27"/>
        <v>0</v>
      </c>
    </row>
    <row r="118" ht="47.25" customHeight="1" spans="1:50" s="56" customFormat="1" x14ac:dyDescent="0.25">
      <c r="A118" s="100"/>
      <c r="B118" s="100"/>
      <c r="C118" s="100"/>
      <c r="D118" s="100"/>
      <c r="E118" s="100"/>
      <c r="F118" s="100"/>
      <c r="G118" s="103"/>
      <c r="H118" s="186"/>
      <c r="I118" s="195">
        <v>0.51</v>
      </c>
      <c r="J118" s="107">
        <v>0.49</v>
      </c>
      <c r="K118" s="107"/>
      <c r="L118" s="107"/>
      <c r="M118" s="187"/>
      <c r="N118" s="169">
        <f t="shared" ref="N118:N147" si="29">SUM(I118:M118)</f>
        <v>1</v>
      </c>
      <c r="O118" s="144">
        <v>1</v>
      </c>
      <c r="P118" s="145">
        <v>15</v>
      </c>
      <c r="Q118" s="113">
        <v>15</v>
      </c>
      <c r="R118" s="113"/>
      <c r="S118" s="113"/>
      <c r="T118" s="146"/>
      <c r="U118" s="148">
        <f t="shared" si="17"/>
        <v>15</v>
      </c>
      <c r="V118" s="149">
        <f t="shared" si="18"/>
        <v>15</v>
      </c>
      <c r="W118" s="189"/>
      <c r="X118" s="199"/>
      <c r="Y118" s="151"/>
      <c r="Z118" s="190"/>
      <c r="AA118" s="153"/>
      <c r="AB118" s="154">
        <f t="shared" si="19"/>
        <v>0</v>
      </c>
      <c r="AC118" s="149">
        <f t="shared" si="20"/>
        <v>0</v>
      </c>
      <c r="AD118" s="125">
        <v>2</v>
      </c>
      <c r="AE118" s="148">
        <f t="shared" si="21"/>
        <v>2</v>
      </c>
      <c r="AF118" s="156"/>
      <c r="AG118" s="156"/>
      <c r="AH118" s="113">
        <f t="shared" si="22"/>
        <v>17</v>
      </c>
      <c r="AI118" s="157">
        <v>65</v>
      </c>
      <c r="AJ118" s="113">
        <f t="shared" si="23"/>
        <v>82</v>
      </c>
      <c r="AK118" s="113">
        <f t="shared" si="24"/>
        <v>82</v>
      </c>
      <c r="AL118" s="158">
        <f t="shared" si="25"/>
        <v>1.02</v>
      </c>
      <c r="AM118" s="159"/>
      <c r="AN118" s="160">
        <f t="shared" si="28"/>
        <v>1</v>
      </c>
      <c r="AO118" s="160">
        <f t="shared" si="28"/>
        <v>2</v>
      </c>
      <c r="AP118" s="133"/>
      <c r="AQ118" s="134"/>
      <c r="AR118" s="161"/>
      <c r="AS118" s="161"/>
      <c r="AT118" s="161"/>
      <c r="AU118" s="161"/>
      <c r="AV118" s="162"/>
      <c r="AW118" s="137">
        <f t="shared" si="26"/>
        <v>0</v>
      </c>
      <c r="AX118" s="137">
        <f t="shared" si="27"/>
        <v>0</v>
      </c>
    </row>
    <row r="119" ht="57" customHeight="1" spans="1:50" s="97" customFormat="1" x14ac:dyDescent="0.25">
      <c r="A119" s="100"/>
      <c r="B119" s="100"/>
      <c r="C119" s="100"/>
      <c r="D119" s="100"/>
      <c r="E119" s="100"/>
      <c r="F119" s="100"/>
      <c r="G119" s="103"/>
      <c r="H119" s="186"/>
      <c r="I119" s="195">
        <v>0.51</v>
      </c>
      <c r="J119" s="107">
        <v>0.49</v>
      </c>
      <c r="K119" s="107"/>
      <c r="L119" s="107"/>
      <c r="M119" s="187"/>
      <c r="N119" s="169">
        <f t="shared" si="29"/>
        <v>1</v>
      </c>
      <c r="O119" s="144">
        <v>1</v>
      </c>
      <c r="P119" s="145">
        <v>15</v>
      </c>
      <c r="Q119" s="113">
        <v>15</v>
      </c>
      <c r="R119" s="113"/>
      <c r="S119" s="113"/>
      <c r="T119" s="146"/>
      <c r="U119" s="148">
        <f t="shared" si="17"/>
        <v>15</v>
      </c>
      <c r="V119" s="149">
        <f t="shared" si="18"/>
        <v>15</v>
      </c>
      <c r="W119" s="189"/>
      <c r="X119" s="199"/>
      <c r="Y119" s="151"/>
      <c r="Z119" s="190"/>
      <c r="AA119" s="153"/>
      <c r="AB119" s="154">
        <f t="shared" si="19"/>
        <v>0</v>
      </c>
      <c r="AC119" s="149">
        <f t="shared" si="20"/>
        <v>0</v>
      </c>
      <c r="AD119" s="125">
        <v>2</v>
      </c>
      <c r="AE119" s="148">
        <f t="shared" si="21"/>
        <v>2</v>
      </c>
      <c r="AF119" s="156"/>
      <c r="AG119" s="156"/>
      <c r="AH119" s="113">
        <f t="shared" si="22"/>
        <v>17</v>
      </c>
      <c r="AI119" s="157">
        <v>65</v>
      </c>
      <c r="AJ119" s="113">
        <f t="shared" si="23"/>
        <v>82</v>
      </c>
      <c r="AK119" s="113">
        <f t="shared" si="24"/>
        <v>82</v>
      </c>
      <c r="AL119" s="158">
        <f t="shared" si="25"/>
        <v>1.02</v>
      </c>
      <c r="AM119" s="159"/>
      <c r="AN119" s="160">
        <f t="shared" si="28"/>
        <v>1</v>
      </c>
      <c r="AO119" s="160">
        <f t="shared" si="28"/>
        <v>2</v>
      </c>
      <c r="AP119" s="133"/>
      <c r="AQ119" s="134"/>
      <c r="AR119" s="161"/>
      <c r="AS119" s="161"/>
      <c r="AT119" s="161"/>
      <c r="AU119" s="161"/>
      <c r="AV119" s="162"/>
      <c r="AW119" s="137">
        <f t="shared" si="26"/>
        <v>0</v>
      </c>
      <c r="AX119" s="137">
        <f t="shared" si="27"/>
        <v>0</v>
      </c>
    </row>
    <row r="120" ht="46.5" customHeight="1" spans="1:50" s="97" customFormat="1" x14ac:dyDescent="0.25">
      <c r="A120" s="100"/>
      <c r="B120" s="100"/>
      <c r="C120" s="100"/>
      <c r="D120" s="100"/>
      <c r="E120" s="100"/>
      <c r="F120" s="100"/>
      <c r="G120" s="103"/>
      <c r="H120" s="186"/>
      <c r="I120" s="195">
        <v>0.51</v>
      </c>
      <c r="J120" s="107">
        <v>0.49</v>
      </c>
      <c r="K120" s="107"/>
      <c r="L120" s="107"/>
      <c r="M120" s="187"/>
      <c r="N120" s="169">
        <f t="shared" si="29"/>
        <v>1</v>
      </c>
      <c r="O120" s="144">
        <v>1</v>
      </c>
      <c r="P120" s="145">
        <v>15</v>
      </c>
      <c r="Q120" s="113">
        <v>15</v>
      </c>
      <c r="R120" s="113"/>
      <c r="S120" s="113"/>
      <c r="T120" s="146"/>
      <c r="U120" s="148">
        <f t="shared" si="17"/>
        <v>15</v>
      </c>
      <c r="V120" s="149">
        <f t="shared" si="18"/>
        <v>15</v>
      </c>
      <c r="W120" s="189"/>
      <c r="X120" s="199"/>
      <c r="Y120" s="151"/>
      <c r="Z120" s="190"/>
      <c r="AA120" s="153"/>
      <c r="AB120" s="154">
        <f t="shared" si="19"/>
        <v>0</v>
      </c>
      <c r="AC120" s="149">
        <f t="shared" si="20"/>
        <v>0</v>
      </c>
      <c r="AD120" s="125">
        <v>2</v>
      </c>
      <c r="AE120" s="148">
        <f t="shared" si="21"/>
        <v>2</v>
      </c>
      <c r="AF120" s="156"/>
      <c r="AG120" s="156"/>
      <c r="AH120" s="113">
        <f t="shared" si="22"/>
        <v>17</v>
      </c>
      <c r="AI120" s="157">
        <v>65</v>
      </c>
      <c r="AJ120" s="113">
        <f t="shared" si="23"/>
        <v>82</v>
      </c>
      <c r="AK120" s="113">
        <f t="shared" si="24"/>
        <v>82</v>
      </c>
      <c r="AL120" s="158">
        <f t="shared" si="25"/>
        <v>1.02</v>
      </c>
      <c r="AM120" s="159"/>
      <c r="AN120" s="160">
        <f t="shared" si="28"/>
        <v>1</v>
      </c>
      <c r="AO120" s="160">
        <f t="shared" si="28"/>
        <v>2</v>
      </c>
      <c r="AP120" s="133"/>
      <c r="AQ120" s="134"/>
      <c r="AR120" s="161"/>
      <c r="AS120" s="161"/>
      <c r="AT120" s="161"/>
      <c r="AU120" s="161"/>
      <c r="AV120" s="162"/>
      <c r="AW120" s="137">
        <f t="shared" si="26"/>
        <v>0</v>
      </c>
      <c r="AX120" s="137">
        <f t="shared" si="27"/>
        <v>0</v>
      </c>
    </row>
    <row r="121" ht="47.25" customHeight="1" spans="1:50" s="56" customFormat="1" x14ac:dyDescent="0.25">
      <c r="A121" s="100"/>
      <c r="B121" s="100"/>
      <c r="C121" s="100"/>
      <c r="D121" s="100"/>
      <c r="E121" s="100"/>
      <c r="F121" s="100"/>
      <c r="G121" s="103"/>
      <c r="H121" s="186"/>
      <c r="I121" s="195">
        <v>0.51</v>
      </c>
      <c r="J121" s="107">
        <v>0.49</v>
      </c>
      <c r="K121" s="107"/>
      <c r="L121" s="107"/>
      <c r="M121" s="187"/>
      <c r="N121" s="169">
        <f t="shared" si="29"/>
        <v>1</v>
      </c>
      <c r="O121" s="144">
        <v>1</v>
      </c>
      <c r="P121" s="145">
        <v>15</v>
      </c>
      <c r="Q121" s="113">
        <v>15</v>
      </c>
      <c r="R121" s="113"/>
      <c r="S121" s="113"/>
      <c r="T121" s="146"/>
      <c r="U121" s="148">
        <f t="shared" si="17"/>
        <v>15</v>
      </c>
      <c r="V121" s="149">
        <f t="shared" si="18"/>
        <v>15</v>
      </c>
      <c r="W121" s="189"/>
      <c r="X121" s="199"/>
      <c r="Y121" s="151"/>
      <c r="Z121" s="190"/>
      <c r="AA121" s="153"/>
      <c r="AB121" s="154">
        <f t="shared" si="19"/>
        <v>0</v>
      </c>
      <c r="AC121" s="149">
        <f t="shared" si="20"/>
        <v>0</v>
      </c>
      <c r="AD121" s="125">
        <v>2</v>
      </c>
      <c r="AE121" s="148">
        <f t="shared" si="21"/>
        <v>2</v>
      </c>
      <c r="AF121" s="156"/>
      <c r="AG121" s="156"/>
      <c r="AH121" s="113">
        <f t="shared" si="22"/>
        <v>17</v>
      </c>
      <c r="AI121" s="157">
        <v>65</v>
      </c>
      <c r="AJ121" s="113">
        <f t="shared" si="23"/>
        <v>82</v>
      </c>
      <c r="AK121" s="113">
        <f t="shared" si="24"/>
        <v>82</v>
      </c>
      <c r="AL121" s="158">
        <f t="shared" si="25"/>
        <v>1.02</v>
      </c>
      <c r="AM121" s="159"/>
      <c r="AN121" s="160">
        <f t="shared" si="28"/>
        <v>1</v>
      </c>
      <c r="AO121" s="160">
        <f t="shared" si="28"/>
        <v>2</v>
      </c>
      <c r="AP121" s="133"/>
      <c r="AQ121" s="134"/>
      <c r="AR121" s="161"/>
      <c r="AS121" s="161"/>
      <c r="AT121" s="161"/>
      <c r="AU121" s="161"/>
      <c r="AV121" s="162"/>
      <c r="AW121" s="137">
        <f t="shared" si="26"/>
        <v>0</v>
      </c>
      <c r="AX121" s="137">
        <f t="shared" si="27"/>
        <v>0</v>
      </c>
    </row>
    <row r="122" ht="46.5" customHeight="1" spans="1:50" s="97" customFormat="1" x14ac:dyDescent="0.25">
      <c r="A122" s="100"/>
      <c r="B122" s="100"/>
      <c r="C122" s="100"/>
      <c r="D122" s="100"/>
      <c r="E122" s="100"/>
      <c r="F122" s="100"/>
      <c r="G122" s="103"/>
      <c r="H122" s="186"/>
      <c r="I122" s="195">
        <v>0.51</v>
      </c>
      <c r="J122" s="107">
        <v>0.49</v>
      </c>
      <c r="K122" s="107"/>
      <c r="L122" s="107"/>
      <c r="M122" s="187"/>
      <c r="N122" s="169">
        <f t="shared" si="29"/>
        <v>1</v>
      </c>
      <c r="O122" s="144">
        <v>1</v>
      </c>
      <c r="P122" s="145">
        <v>15</v>
      </c>
      <c r="Q122" s="113">
        <v>15</v>
      </c>
      <c r="R122" s="113"/>
      <c r="S122" s="113"/>
      <c r="T122" s="146"/>
      <c r="U122" s="148">
        <f t="shared" si="17"/>
        <v>15</v>
      </c>
      <c r="V122" s="149">
        <f t="shared" si="18"/>
        <v>15</v>
      </c>
      <c r="W122" s="189"/>
      <c r="X122" s="199"/>
      <c r="Y122" s="151"/>
      <c r="Z122" s="190"/>
      <c r="AA122" s="153"/>
      <c r="AB122" s="154">
        <f t="shared" si="19"/>
        <v>0</v>
      </c>
      <c r="AC122" s="149">
        <f t="shared" si="20"/>
        <v>0</v>
      </c>
      <c r="AD122" s="125">
        <v>2</v>
      </c>
      <c r="AE122" s="148">
        <f t="shared" si="21"/>
        <v>2</v>
      </c>
      <c r="AF122" s="156"/>
      <c r="AG122" s="156"/>
      <c r="AH122" s="113">
        <f t="shared" si="22"/>
        <v>17</v>
      </c>
      <c r="AI122" s="157">
        <v>65</v>
      </c>
      <c r="AJ122" s="113">
        <f t="shared" si="23"/>
        <v>82</v>
      </c>
      <c r="AK122" s="113">
        <f t="shared" si="24"/>
        <v>82</v>
      </c>
      <c r="AL122" s="158">
        <f t="shared" si="25"/>
        <v>1.02</v>
      </c>
      <c r="AM122" s="159"/>
      <c r="AN122" s="160">
        <f t="shared" ref="AN122:AO141" si="30">100%+AM122</f>
        <v>1</v>
      </c>
      <c r="AO122" s="160">
        <f t="shared" si="30"/>
        <v>2</v>
      </c>
      <c r="AP122" s="133"/>
      <c r="AQ122" s="134"/>
      <c r="AR122" s="161"/>
      <c r="AS122" s="161"/>
      <c r="AT122" s="161"/>
      <c r="AU122" s="161"/>
      <c r="AV122" s="162"/>
      <c r="AW122" s="137">
        <f t="shared" si="26"/>
        <v>0</v>
      </c>
      <c r="AX122" s="137">
        <f t="shared" si="27"/>
        <v>0</v>
      </c>
    </row>
    <row r="123" ht="46.5" customHeight="1" spans="1:50" s="97" customFormat="1" x14ac:dyDescent="0.25">
      <c r="A123" s="100"/>
      <c r="B123" s="100"/>
      <c r="C123" s="100"/>
      <c r="D123" s="100"/>
      <c r="E123" s="100"/>
      <c r="F123" s="100"/>
      <c r="G123" s="103"/>
      <c r="H123" s="186"/>
      <c r="I123" s="195">
        <v>0.51</v>
      </c>
      <c r="J123" s="107">
        <v>0.49</v>
      </c>
      <c r="K123" s="107"/>
      <c r="L123" s="107"/>
      <c r="M123" s="187"/>
      <c r="N123" s="169">
        <f t="shared" si="29"/>
        <v>1</v>
      </c>
      <c r="O123" s="144">
        <v>1</v>
      </c>
      <c r="P123" s="145">
        <v>15</v>
      </c>
      <c r="Q123" s="113">
        <v>15</v>
      </c>
      <c r="R123" s="113"/>
      <c r="S123" s="113"/>
      <c r="T123" s="146"/>
      <c r="U123" s="148">
        <f t="shared" si="17"/>
        <v>15</v>
      </c>
      <c r="V123" s="149">
        <f t="shared" si="18"/>
        <v>15</v>
      </c>
      <c r="W123" s="189"/>
      <c r="X123" s="199"/>
      <c r="Y123" s="151"/>
      <c r="Z123" s="190"/>
      <c r="AA123" s="153"/>
      <c r="AB123" s="154">
        <f t="shared" si="19"/>
        <v>0</v>
      </c>
      <c r="AC123" s="149">
        <f t="shared" si="20"/>
        <v>0</v>
      </c>
      <c r="AD123" s="125">
        <v>2</v>
      </c>
      <c r="AE123" s="148">
        <f t="shared" si="21"/>
        <v>2</v>
      </c>
      <c r="AF123" s="156"/>
      <c r="AG123" s="156"/>
      <c r="AH123" s="113">
        <f t="shared" si="22"/>
        <v>17</v>
      </c>
      <c r="AI123" s="157">
        <v>65</v>
      </c>
      <c r="AJ123" s="113">
        <f t="shared" si="23"/>
        <v>82</v>
      </c>
      <c r="AK123" s="113">
        <f t="shared" si="24"/>
        <v>82</v>
      </c>
      <c r="AL123" s="158">
        <f t="shared" si="25"/>
        <v>1.02</v>
      </c>
      <c r="AM123" s="159"/>
      <c r="AN123" s="160">
        <f t="shared" si="30"/>
        <v>1</v>
      </c>
      <c r="AO123" s="160">
        <f t="shared" si="30"/>
        <v>2</v>
      </c>
      <c r="AP123" s="133"/>
      <c r="AQ123" s="134"/>
      <c r="AR123" s="161"/>
      <c r="AS123" s="161"/>
      <c r="AT123" s="161"/>
      <c r="AU123" s="161"/>
      <c r="AV123" s="162"/>
      <c r="AW123" s="137">
        <f t="shared" si="26"/>
        <v>0</v>
      </c>
      <c r="AX123" s="137">
        <f t="shared" si="27"/>
        <v>0</v>
      </c>
    </row>
    <row r="124" ht="46.5" customHeight="1" spans="1:50" s="97" customFormat="1" x14ac:dyDescent="0.25">
      <c r="A124" s="100"/>
      <c r="B124" s="100"/>
      <c r="C124" s="100"/>
      <c r="D124" s="100"/>
      <c r="E124" s="100"/>
      <c r="F124" s="100"/>
      <c r="G124" s="103"/>
      <c r="H124" s="186"/>
      <c r="I124" s="195">
        <v>0.51</v>
      </c>
      <c r="J124" s="107">
        <v>0.49</v>
      </c>
      <c r="K124" s="107"/>
      <c r="L124" s="107"/>
      <c r="M124" s="187"/>
      <c r="N124" s="169">
        <f t="shared" si="29"/>
        <v>1</v>
      </c>
      <c r="O124" s="144">
        <v>1</v>
      </c>
      <c r="P124" s="145">
        <v>15</v>
      </c>
      <c r="Q124" s="113">
        <v>15</v>
      </c>
      <c r="R124" s="113"/>
      <c r="S124" s="113"/>
      <c r="T124" s="146"/>
      <c r="U124" s="148">
        <f t="shared" si="17"/>
        <v>15</v>
      </c>
      <c r="V124" s="149">
        <f t="shared" si="18"/>
        <v>15</v>
      </c>
      <c r="W124" s="189"/>
      <c r="X124" s="199"/>
      <c r="Y124" s="151"/>
      <c r="Z124" s="190"/>
      <c r="AA124" s="153"/>
      <c r="AB124" s="154">
        <f t="shared" si="19"/>
        <v>0</v>
      </c>
      <c r="AC124" s="149">
        <f t="shared" si="20"/>
        <v>0</v>
      </c>
      <c r="AD124" s="125">
        <v>2</v>
      </c>
      <c r="AE124" s="148">
        <f t="shared" si="21"/>
        <v>2</v>
      </c>
      <c r="AF124" s="156"/>
      <c r="AG124" s="156"/>
      <c r="AH124" s="113">
        <f t="shared" si="22"/>
        <v>17</v>
      </c>
      <c r="AI124" s="157">
        <v>65</v>
      </c>
      <c r="AJ124" s="113">
        <f t="shared" si="23"/>
        <v>82</v>
      </c>
      <c r="AK124" s="113">
        <f t="shared" si="24"/>
        <v>82</v>
      </c>
      <c r="AL124" s="158">
        <f t="shared" si="25"/>
        <v>1.02</v>
      </c>
      <c r="AM124" s="159"/>
      <c r="AN124" s="160">
        <f t="shared" si="30"/>
        <v>1</v>
      </c>
      <c r="AO124" s="160">
        <f t="shared" si="30"/>
        <v>2</v>
      </c>
      <c r="AP124" s="133"/>
      <c r="AQ124" s="134"/>
      <c r="AR124" s="161"/>
      <c r="AS124" s="161"/>
      <c r="AT124" s="161"/>
      <c r="AU124" s="161"/>
      <c r="AV124" s="162"/>
      <c r="AW124" s="137">
        <f t="shared" si="26"/>
        <v>0</v>
      </c>
      <c r="AX124" s="137">
        <f t="shared" si="27"/>
        <v>0</v>
      </c>
    </row>
    <row r="125" ht="53.25" customHeight="1" spans="1:50" s="97" customFormat="1" x14ac:dyDescent="0.25">
      <c r="A125" s="100"/>
      <c r="B125" s="100"/>
      <c r="C125" s="100"/>
      <c r="D125" s="100"/>
      <c r="E125" s="100"/>
      <c r="F125" s="100"/>
      <c r="G125" s="103"/>
      <c r="H125" s="186"/>
      <c r="I125" s="195">
        <v>0.51</v>
      </c>
      <c r="J125" s="107">
        <v>0.49</v>
      </c>
      <c r="K125" s="107"/>
      <c r="L125" s="107"/>
      <c r="M125" s="187"/>
      <c r="N125" s="169">
        <f t="shared" si="29"/>
        <v>1</v>
      </c>
      <c r="O125" s="144">
        <v>1</v>
      </c>
      <c r="P125" s="145">
        <v>15</v>
      </c>
      <c r="Q125" s="113">
        <v>15</v>
      </c>
      <c r="R125" s="113"/>
      <c r="S125" s="113"/>
      <c r="T125" s="146"/>
      <c r="U125" s="148">
        <f t="shared" si="17"/>
        <v>15</v>
      </c>
      <c r="V125" s="149">
        <f t="shared" si="18"/>
        <v>15</v>
      </c>
      <c r="W125" s="189"/>
      <c r="X125" s="199"/>
      <c r="Y125" s="151"/>
      <c r="Z125" s="190"/>
      <c r="AA125" s="153"/>
      <c r="AB125" s="154">
        <f t="shared" si="19"/>
        <v>0</v>
      </c>
      <c r="AC125" s="149">
        <f t="shared" si="20"/>
        <v>0</v>
      </c>
      <c r="AD125" s="125">
        <v>2</v>
      </c>
      <c r="AE125" s="148">
        <f t="shared" si="21"/>
        <v>2</v>
      </c>
      <c r="AF125" s="156"/>
      <c r="AG125" s="156"/>
      <c r="AH125" s="113">
        <f t="shared" si="22"/>
        <v>17</v>
      </c>
      <c r="AI125" s="157">
        <v>65</v>
      </c>
      <c r="AJ125" s="113">
        <f t="shared" si="23"/>
        <v>82</v>
      </c>
      <c r="AK125" s="113">
        <f t="shared" si="24"/>
        <v>82</v>
      </c>
      <c r="AL125" s="158">
        <f t="shared" si="25"/>
        <v>1.02</v>
      </c>
      <c r="AM125" s="159"/>
      <c r="AN125" s="160">
        <f t="shared" si="30"/>
        <v>1</v>
      </c>
      <c r="AO125" s="160">
        <f t="shared" si="30"/>
        <v>2</v>
      </c>
      <c r="AP125" s="133"/>
      <c r="AQ125" s="134"/>
      <c r="AR125" s="161"/>
      <c r="AS125" s="161"/>
      <c r="AT125" s="161"/>
      <c r="AU125" s="161"/>
      <c r="AV125" s="162"/>
      <c r="AW125" s="137">
        <f t="shared" si="26"/>
        <v>0</v>
      </c>
      <c r="AX125" s="137">
        <f t="shared" si="27"/>
        <v>0</v>
      </c>
    </row>
    <row r="126" ht="46.5" customHeight="1" spans="1:50" s="97" customFormat="1" x14ac:dyDescent="0.25">
      <c r="A126" s="100"/>
      <c r="B126" s="100"/>
      <c r="C126" s="100"/>
      <c r="D126" s="100"/>
      <c r="E126" s="100"/>
      <c r="F126" s="100"/>
      <c r="G126" s="103"/>
      <c r="H126" s="186"/>
      <c r="I126" s="195">
        <v>0.51</v>
      </c>
      <c r="J126" s="107">
        <v>0.49</v>
      </c>
      <c r="K126" s="107"/>
      <c r="L126" s="107"/>
      <c r="M126" s="187"/>
      <c r="N126" s="169">
        <f t="shared" si="29"/>
        <v>1</v>
      </c>
      <c r="O126" s="144">
        <v>1</v>
      </c>
      <c r="P126" s="145">
        <v>15</v>
      </c>
      <c r="Q126" s="113">
        <v>15</v>
      </c>
      <c r="R126" s="113"/>
      <c r="S126" s="113"/>
      <c r="T126" s="146"/>
      <c r="U126" s="148">
        <f t="shared" si="17"/>
        <v>15</v>
      </c>
      <c r="V126" s="149">
        <f t="shared" si="18"/>
        <v>15</v>
      </c>
      <c r="W126" s="189"/>
      <c r="X126" s="199"/>
      <c r="Y126" s="151"/>
      <c r="Z126" s="190"/>
      <c r="AA126" s="153"/>
      <c r="AB126" s="154">
        <f t="shared" si="19"/>
        <v>0</v>
      </c>
      <c r="AC126" s="149">
        <f t="shared" si="20"/>
        <v>0</v>
      </c>
      <c r="AD126" s="125">
        <v>2</v>
      </c>
      <c r="AE126" s="148">
        <f t="shared" si="21"/>
        <v>2</v>
      </c>
      <c r="AF126" s="156"/>
      <c r="AG126" s="156"/>
      <c r="AH126" s="113">
        <f t="shared" si="22"/>
        <v>17</v>
      </c>
      <c r="AI126" s="157">
        <v>65</v>
      </c>
      <c r="AJ126" s="113">
        <f t="shared" si="23"/>
        <v>82</v>
      </c>
      <c r="AK126" s="113">
        <f t="shared" si="24"/>
        <v>82</v>
      </c>
      <c r="AL126" s="158">
        <f t="shared" si="25"/>
        <v>1.02</v>
      </c>
      <c r="AM126" s="159"/>
      <c r="AN126" s="160">
        <f t="shared" si="30"/>
        <v>1</v>
      </c>
      <c r="AO126" s="160">
        <f t="shared" si="30"/>
        <v>2</v>
      </c>
      <c r="AP126" s="133"/>
      <c r="AQ126" s="134"/>
      <c r="AR126" s="161"/>
      <c r="AS126" s="161"/>
      <c r="AT126" s="161"/>
      <c r="AU126" s="161"/>
      <c r="AV126" s="162"/>
      <c r="AW126" s="137">
        <f t="shared" si="26"/>
        <v>0</v>
      </c>
      <c r="AX126" s="137">
        <f t="shared" si="27"/>
        <v>0</v>
      </c>
    </row>
    <row r="127" ht="46.5" customHeight="1" spans="1:50" s="97" customFormat="1" x14ac:dyDescent="0.25">
      <c r="A127" s="100"/>
      <c r="B127" s="100"/>
      <c r="C127" s="100"/>
      <c r="D127" s="100"/>
      <c r="E127" s="100"/>
      <c r="F127" s="100"/>
      <c r="G127" s="103"/>
      <c r="H127" s="186"/>
      <c r="I127" s="195">
        <v>0.51</v>
      </c>
      <c r="J127" s="107">
        <v>0.49</v>
      </c>
      <c r="K127" s="107"/>
      <c r="L127" s="107"/>
      <c r="M127" s="187"/>
      <c r="N127" s="169">
        <f t="shared" si="29"/>
        <v>1</v>
      </c>
      <c r="O127" s="144">
        <v>1</v>
      </c>
      <c r="P127" s="145">
        <v>15</v>
      </c>
      <c r="Q127" s="113">
        <v>15</v>
      </c>
      <c r="R127" s="113"/>
      <c r="S127" s="113"/>
      <c r="T127" s="146"/>
      <c r="U127" s="148">
        <f t="shared" si="17"/>
        <v>15</v>
      </c>
      <c r="V127" s="149">
        <f t="shared" si="18"/>
        <v>15</v>
      </c>
      <c r="W127" s="189"/>
      <c r="X127" s="199"/>
      <c r="Y127" s="151"/>
      <c r="Z127" s="190"/>
      <c r="AA127" s="153"/>
      <c r="AB127" s="154">
        <f t="shared" si="19"/>
        <v>0</v>
      </c>
      <c r="AC127" s="149">
        <f t="shared" si="20"/>
        <v>0</v>
      </c>
      <c r="AD127" s="125">
        <v>2</v>
      </c>
      <c r="AE127" s="148">
        <f t="shared" si="21"/>
        <v>2</v>
      </c>
      <c r="AF127" s="156"/>
      <c r="AG127" s="156"/>
      <c r="AH127" s="113">
        <f t="shared" si="22"/>
        <v>17</v>
      </c>
      <c r="AI127" s="157">
        <v>65</v>
      </c>
      <c r="AJ127" s="113">
        <f t="shared" si="23"/>
        <v>82</v>
      </c>
      <c r="AK127" s="113">
        <f t="shared" si="24"/>
        <v>82</v>
      </c>
      <c r="AL127" s="158">
        <f t="shared" si="25"/>
        <v>1.02</v>
      </c>
      <c r="AM127" s="159"/>
      <c r="AN127" s="160">
        <f t="shared" si="30"/>
        <v>1</v>
      </c>
      <c r="AO127" s="160">
        <f t="shared" si="30"/>
        <v>2</v>
      </c>
      <c r="AP127" s="133"/>
      <c r="AQ127" s="134"/>
      <c r="AR127" s="161"/>
      <c r="AS127" s="161"/>
      <c r="AT127" s="161"/>
      <c r="AU127" s="161"/>
      <c r="AV127" s="162"/>
      <c r="AW127" s="137">
        <f t="shared" si="26"/>
        <v>0</v>
      </c>
      <c r="AX127" s="137">
        <f t="shared" si="27"/>
        <v>0</v>
      </c>
    </row>
    <row r="128" ht="46.5" customHeight="1" spans="1:50" s="97" customFormat="1" x14ac:dyDescent="0.25">
      <c r="A128" s="100"/>
      <c r="B128" s="100"/>
      <c r="C128" s="100"/>
      <c r="D128" s="100"/>
      <c r="E128" s="100"/>
      <c r="F128" s="100"/>
      <c r="G128" s="103"/>
      <c r="H128" s="186"/>
      <c r="I128" s="195">
        <v>0.51</v>
      </c>
      <c r="J128" s="107">
        <v>0.49</v>
      </c>
      <c r="K128" s="107"/>
      <c r="L128" s="107"/>
      <c r="M128" s="187"/>
      <c r="N128" s="169">
        <f t="shared" si="29"/>
        <v>1</v>
      </c>
      <c r="O128" s="144">
        <v>1</v>
      </c>
      <c r="P128" s="145">
        <v>15</v>
      </c>
      <c r="Q128" s="113">
        <v>15</v>
      </c>
      <c r="R128" s="113"/>
      <c r="S128" s="113"/>
      <c r="T128" s="146"/>
      <c r="U128" s="148">
        <f t="shared" si="17"/>
        <v>15</v>
      </c>
      <c r="V128" s="149">
        <f t="shared" si="18"/>
        <v>15</v>
      </c>
      <c r="W128" s="189"/>
      <c r="X128" s="199"/>
      <c r="Y128" s="151"/>
      <c r="Z128" s="190"/>
      <c r="AA128" s="153"/>
      <c r="AB128" s="154">
        <f t="shared" si="19"/>
        <v>0</v>
      </c>
      <c r="AC128" s="149">
        <f t="shared" si="20"/>
        <v>0</v>
      </c>
      <c r="AD128" s="125">
        <v>2</v>
      </c>
      <c r="AE128" s="148">
        <f t="shared" si="21"/>
        <v>2</v>
      </c>
      <c r="AF128" s="156"/>
      <c r="AG128" s="156"/>
      <c r="AH128" s="113">
        <f t="shared" si="22"/>
        <v>17</v>
      </c>
      <c r="AI128" s="157">
        <v>65</v>
      </c>
      <c r="AJ128" s="113">
        <f t="shared" si="23"/>
        <v>82</v>
      </c>
      <c r="AK128" s="113">
        <f t="shared" si="24"/>
        <v>82</v>
      </c>
      <c r="AL128" s="158">
        <f t="shared" si="25"/>
        <v>1.02</v>
      </c>
      <c r="AM128" s="159"/>
      <c r="AN128" s="160">
        <f t="shared" si="30"/>
        <v>1</v>
      </c>
      <c r="AO128" s="160">
        <f t="shared" si="30"/>
        <v>2</v>
      </c>
      <c r="AP128" s="133"/>
      <c r="AQ128" s="134"/>
      <c r="AR128" s="161"/>
      <c r="AS128" s="161"/>
      <c r="AT128" s="161"/>
      <c r="AU128" s="161"/>
      <c r="AV128" s="162"/>
      <c r="AW128" s="137">
        <f t="shared" si="26"/>
        <v>0</v>
      </c>
      <c r="AX128" s="137">
        <f t="shared" si="27"/>
        <v>0</v>
      </c>
    </row>
    <row r="129" ht="47.25" customHeight="1" spans="1:50" s="56" customFormat="1" x14ac:dyDescent="0.25">
      <c r="A129" s="100"/>
      <c r="B129" s="100"/>
      <c r="C129" s="100"/>
      <c r="D129" s="100"/>
      <c r="E129" s="100"/>
      <c r="F129" s="100"/>
      <c r="G129" s="103"/>
      <c r="H129" s="186"/>
      <c r="I129" s="195">
        <v>0.51</v>
      </c>
      <c r="J129" s="107">
        <v>0.49</v>
      </c>
      <c r="K129" s="107"/>
      <c r="L129" s="107"/>
      <c r="M129" s="187"/>
      <c r="N129" s="169">
        <f t="shared" si="29"/>
        <v>1</v>
      </c>
      <c r="O129" s="144">
        <v>1</v>
      </c>
      <c r="P129" s="145">
        <v>15</v>
      </c>
      <c r="Q129" s="113">
        <v>15</v>
      </c>
      <c r="R129" s="113"/>
      <c r="S129" s="113"/>
      <c r="T129" s="146"/>
      <c r="U129" s="148">
        <f t="shared" si="17"/>
        <v>15</v>
      </c>
      <c r="V129" s="149">
        <f t="shared" si="18"/>
        <v>15</v>
      </c>
      <c r="W129" s="189"/>
      <c r="X129" s="199"/>
      <c r="Y129" s="151"/>
      <c r="Z129" s="190"/>
      <c r="AA129" s="153"/>
      <c r="AB129" s="154">
        <f t="shared" si="19"/>
        <v>0</v>
      </c>
      <c r="AC129" s="149">
        <f t="shared" si="20"/>
        <v>0</v>
      </c>
      <c r="AD129" s="125">
        <v>2</v>
      </c>
      <c r="AE129" s="148">
        <f t="shared" si="21"/>
        <v>2</v>
      </c>
      <c r="AF129" s="156"/>
      <c r="AG129" s="156"/>
      <c r="AH129" s="113">
        <f t="shared" si="22"/>
        <v>17</v>
      </c>
      <c r="AI129" s="157">
        <v>65</v>
      </c>
      <c r="AJ129" s="113">
        <f t="shared" si="23"/>
        <v>82</v>
      </c>
      <c r="AK129" s="113">
        <f t="shared" si="24"/>
        <v>82</v>
      </c>
      <c r="AL129" s="158">
        <f t="shared" si="25"/>
        <v>1.02</v>
      </c>
      <c r="AM129" s="159"/>
      <c r="AN129" s="160">
        <f t="shared" si="30"/>
        <v>1</v>
      </c>
      <c r="AO129" s="160">
        <f t="shared" si="30"/>
        <v>2</v>
      </c>
      <c r="AP129" s="133"/>
      <c r="AQ129" s="134"/>
      <c r="AR129" s="161"/>
      <c r="AS129" s="161"/>
      <c r="AT129" s="161"/>
      <c r="AU129" s="161"/>
      <c r="AV129" s="162"/>
      <c r="AW129" s="137">
        <f t="shared" si="26"/>
        <v>0</v>
      </c>
      <c r="AX129" s="137">
        <f t="shared" si="27"/>
        <v>0</v>
      </c>
    </row>
    <row r="130" ht="47.25" customHeight="1" spans="1:50" s="56" customFormat="1" x14ac:dyDescent="0.25">
      <c r="A130" s="100"/>
      <c r="B130" s="100"/>
      <c r="C130" s="100"/>
      <c r="D130" s="100"/>
      <c r="E130" s="100"/>
      <c r="F130" s="100"/>
      <c r="G130" s="103"/>
      <c r="H130" s="186"/>
      <c r="I130" s="195">
        <v>0.51</v>
      </c>
      <c r="J130" s="107">
        <v>0.49</v>
      </c>
      <c r="K130" s="107"/>
      <c r="L130" s="107"/>
      <c r="M130" s="187"/>
      <c r="N130" s="169">
        <f t="shared" si="29"/>
        <v>1</v>
      </c>
      <c r="O130" s="144">
        <v>1</v>
      </c>
      <c r="P130" s="145">
        <v>15</v>
      </c>
      <c r="Q130" s="113">
        <v>15</v>
      </c>
      <c r="R130" s="113"/>
      <c r="S130" s="113"/>
      <c r="T130" s="146"/>
      <c r="U130" s="148">
        <f t="shared" si="17"/>
        <v>15</v>
      </c>
      <c r="V130" s="149">
        <f t="shared" si="18"/>
        <v>15</v>
      </c>
      <c r="W130" s="189"/>
      <c r="X130" s="199"/>
      <c r="Y130" s="151"/>
      <c r="Z130" s="190"/>
      <c r="AA130" s="153"/>
      <c r="AB130" s="154">
        <f t="shared" si="19"/>
        <v>0</v>
      </c>
      <c r="AC130" s="149">
        <f t="shared" si="20"/>
        <v>0</v>
      </c>
      <c r="AD130" s="125">
        <v>2</v>
      </c>
      <c r="AE130" s="148">
        <f t="shared" si="21"/>
        <v>2</v>
      </c>
      <c r="AF130" s="156"/>
      <c r="AG130" s="156"/>
      <c r="AH130" s="113">
        <f t="shared" si="22"/>
        <v>17</v>
      </c>
      <c r="AI130" s="157">
        <v>65</v>
      </c>
      <c r="AJ130" s="113">
        <f t="shared" si="23"/>
        <v>82</v>
      </c>
      <c r="AK130" s="113">
        <f t="shared" si="24"/>
        <v>82</v>
      </c>
      <c r="AL130" s="158">
        <f t="shared" si="25"/>
        <v>1.02</v>
      </c>
      <c r="AM130" s="159"/>
      <c r="AN130" s="160">
        <f t="shared" si="30"/>
        <v>1</v>
      </c>
      <c r="AO130" s="160">
        <f t="shared" si="30"/>
        <v>2</v>
      </c>
      <c r="AP130" s="133"/>
      <c r="AQ130" s="134"/>
      <c r="AR130" s="161"/>
      <c r="AS130" s="161"/>
      <c r="AT130" s="161"/>
      <c r="AU130" s="161"/>
      <c r="AV130" s="162"/>
      <c r="AW130" s="137">
        <f t="shared" si="26"/>
        <v>0</v>
      </c>
      <c r="AX130" s="137">
        <f t="shared" si="27"/>
        <v>0</v>
      </c>
    </row>
    <row r="131" ht="46.5" customHeight="1" spans="1:50" s="97" customFormat="1" x14ac:dyDescent="0.25">
      <c r="A131" s="100"/>
      <c r="B131" s="100"/>
      <c r="C131" s="100"/>
      <c r="D131" s="100"/>
      <c r="E131" s="100"/>
      <c r="F131" s="100"/>
      <c r="G131" s="103"/>
      <c r="H131" s="186"/>
      <c r="I131" s="195">
        <v>0.51</v>
      </c>
      <c r="J131" s="107">
        <v>0.49</v>
      </c>
      <c r="K131" s="107"/>
      <c r="L131" s="107"/>
      <c r="M131" s="187"/>
      <c r="N131" s="169">
        <f t="shared" si="29"/>
        <v>1</v>
      </c>
      <c r="O131" s="144">
        <v>1</v>
      </c>
      <c r="P131" s="145">
        <v>15</v>
      </c>
      <c r="Q131" s="113">
        <v>15</v>
      </c>
      <c r="R131" s="113"/>
      <c r="S131" s="113"/>
      <c r="T131" s="146"/>
      <c r="U131" s="148">
        <f t="shared" si="17"/>
        <v>15</v>
      </c>
      <c r="V131" s="149">
        <f t="shared" si="18"/>
        <v>15</v>
      </c>
      <c r="W131" s="189"/>
      <c r="X131" s="199"/>
      <c r="Y131" s="151"/>
      <c r="Z131" s="190"/>
      <c r="AA131" s="153"/>
      <c r="AB131" s="154">
        <f t="shared" si="19"/>
        <v>0</v>
      </c>
      <c r="AC131" s="149">
        <f t="shared" si="20"/>
        <v>0</v>
      </c>
      <c r="AD131" s="125">
        <v>2</v>
      </c>
      <c r="AE131" s="148">
        <f t="shared" si="21"/>
        <v>2</v>
      </c>
      <c r="AF131" s="156"/>
      <c r="AG131" s="156"/>
      <c r="AH131" s="113">
        <f t="shared" si="22"/>
        <v>17</v>
      </c>
      <c r="AI131" s="157">
        <v>65</v>
      </c>
      <c r="AJ131" s="113">
        <f t="shared" si="23"/>
        <v>82</v>
      </c>
      <c r="AK131" s="113">
        <f t="shared" si="24"/>
        <v>82</v>
      </c>
      <c r="AL131" s="158">
        <f t="shared" si="25"/>
        <v>1.02</v>
      </c>
      <c r="AM131" s="159"/>
      <c r="AN131" s="160">
        <f t="shared" si="30"/>
        <v>1</v>
      </c>
      <c r="AO131" s="160">
        <f t="shared" si="30"/>
        <v>2</v>
      </c>
      <c r="AP131" s="133"/>
      <c r="AQ131" s="134"/>
      <c r="AR131" s="161"/>
      <c r="AS131" s="161"/>
      <c r="AT131" s="161"/>
      <c r="AU131" s="161"/>
      <c r="AV131" s="162"/>
      <c r="AW131" s="137">
        <f t="shared" si="26"/>
        <v>0</v>
      </c>
      <c r="AX131" s="137">
        <f t="shared" si="27"/>
        <v>0</v>
      </c>
    </row>
    <row r="132" ht="47.25" customHeight="1" spans="1:50" s="56" customFormat="1" x14ac:dyDescent="0.25">
      <c r="A132" s="100"/>
      <c r="B132" s="100"/>
      <c r="C132" s="100"/>
      <c r="D132" s="100"/>
      <c r="E132" s="100"/>
      <c r="F132" s="100"/>
      <c r="G132" s="103"/>
      <c r="H132" s="186"/>
      <c r="I132" s="195">
        <v>0.51</v>
      </c>
      <c r="J132" s="107">
        <v>0.49</v>
      </c>
      <c r="K132" s="107"/>
      <c r="L132" s="107"/>
      <c r="M132" s="187"/>
      <c r="N132" s="169">
        <f t="shared" si="29"/>
        <v>1</v>
      </c>
      <c r="O132" s="144">
        <v>1</v>
      </c>
      <c r="P132" s="145">
        <v>15</v>
      </c>
      <c r="Q132" s="113">
        <v>15</v>
      </c>
      <c r="R132" s="113"/>
      <c r="S132" s="113"/>
      <c r="T132" s="146"/>
      <c r="U132" s="148">
        <f t="shared" si="17"/>
        <v>15</v>
      </c>
      <c r="V132" s="149">
        <f t="shared" si="18"/>
        <v>15</v>
      </c>
      <c r="W132" s="189"/>
      <c r="X132" s="199"/>
      <c r="Y132" s="151"/>
      <c r="Z132" s="190"/>
      <c r="AA132" s="153"/>
      <c r="AB132" s="154">
        <f t="shared" si="19"/>
        <v>0</v>
      </c>
      <c r="AC132" s="149">
        <f t="shared" si="20"/>
        <v>0</v>
      </c>
      <c r="AD132" s="125">
        <v>2</v>
      </c>
      <c r="AE132" s="148">
        <f t="shared" si="21"/>
        <v>2</v>
      </c>
      <c r="AF132" s="156"/>
      <c r="AG132" s="156"/>
      <c r="AH132" s="113">
        <f t="shared" si="22"/>
        <v>17</v>
      </c>
      <c r="AI132" s="157">
        <v>65</v>
      </c>
      <c r="AJ132" s="113">
        <f t="shared" si="23"/>
        <v>82</v>
      </c>
      <c r="AK132" s="113">
        <f t="shared" si="24"/>
        <v>82</v>
      </c>
      <c r="AL132" s="158">
        <f t="shared" si="25"/>
        <v>1.02</v>
      </c>
      <c r="AM132" s="159"/>
      <c r="AN132" s="160">
        <f t="shared" si="30"/>
        <v>1</v>
      </c>
      <c r="AO132" s="160">
        <f t="shared" si="30"/>
        <v>2</v>
      </c>
      <c r="AP132" s="133"/>
      <c r="AQ132" s="134"/>
      <c r="AR132" s="161"/>
      <c r="AS132" s="161"/>
      <c r="AT132" s="161"/>
      <c r="AU132" s="161"/>
      <c r="AV132" s="162"/>
      <c r="AW132" s="137">
        <f t="shared" si="26"/>
        <v>0</v>
      </c>
      <c r="AX132" s="137">
        <f t="shared" si="27"/>
        <v>0</v>
      </c>
    </row>
    <row r="133" ht="47.25" customHeight="1" spans="1:50" s="97" customFormat="1" x14ac:dyDescent="0.25">
      <c r="A133" s="100"/>
      <c r="B133" s="100"/>
      <c r="C133" s="100"/>
      <c r="D133" s="100"/>
      <c r="E133" s="100"/>
      <c r="F133" s="100"/>
      <c r="G133" s="103"/>
      <c r="H133" s="186"/>
      <c r="I133" s="195">
        <v>0.51</v>
      </c>
      <c r="J133" s="107">
        <v>0.49</v>
      </c>
      <c r="K133" s="107"/>
      <c r="L133" s="107"/>
      <c r="M133" s="187"/>
      <c r="N133" s="169">
        <f t="shared" si="29"/>
        <v>1</v>
      </c>
      <c r="O133" s="144">
        <v>1</v>
      </c>
      <c r="P133" s="145">
        <v>15</v>
      </c>
      <c r="Q133" s="113">
        <v>15</v>
      </c>
      <c r="R133" s="113"/>
      <c r="S133" s="113"/>
      <c r="T133" s="146"/>
      <c r="U133" s="148">
        <f t="shared" si="17"/>
        <v>15</v>
      </c>
      <c r="V133" s="149">
        <f t="shared" si="18"/>
        <v>15</v>
      </c>
      <c r="W133" s="189"/>
      <c r="X133" s="199"/>
      <c r="Y133" s="151"/>
      <c r="Z133" s="190"/>
      <c r="AA133" s="153"/>
      <c r="AB133" s="154">
        <f t="shared" si="19"/>
        <v>0</v>
      </c>
      <c r="AC133" s="149">
        <f t="shared" si="20"/>
        <v>0</v>
      </c>
      <c r="AD133" s="125">
        <v>2</v>
      </c>
      <c r="AE133" s="148">
        <f t="shared" si="21"/>
        <v>2</v>
      </c>
      <c r="AF133" s="156"/>
      <c r="AG133" s="156"/>
      <c r="AH133" s="113">
        <f t="shared" si="22"/>
        <v>17</v>
      </c>
      <c r="AI133" s="157">
        <v>65</v>
      </c>
      <c r="AJ133" s="113">
        <f t="shared" si="23"/>
        <v>82</v>
      </c>
      <c r="AK133" s="113">
        <f t="shared" si="24"/>
        <v>82</v>
      </c>
      <c r="AL133" s="158">
        <f t="shared" si="25"/>
        <v>1.02</v>
      </c>
      <c r="AM133" s="159"/>
      <c r="AN133" s="160">
        <f t="shared" si="30"/>
        <v>1</v>
      </c>
      <c r="AO133" s="160">
        <f t="shared" si="30"/>
        <v>2</v>
      </c>
      <c r="AP133" s="133"/>
      <c r="AQ133" s="134"/>
      <c r="AR133" s="161"/>
      <c r="AS133" s="161"/>
      <c r="AT133" s="161"/>
      <c r="AU133" s="161"/>
      <c r="AV133" s="162"/>
      <c r="AW133" s="137">
        <f t="shared" si="26"/>
        <v>0</v>
      </c>
      <c r="AX133" s="137">
        <f t="shared" si="27"/>
        <v>0</v>
      </c>
    </row>
    <row r="134" ht="47.25" customHeight="1" spans="1:50" s="97" customFormat="1" x14ac:dyDescent="0.25">
      <c r="A134" s="100"/>
      <c r="B134" s="100"/>
      <c r="C134" s="100"/>
      <c r="D134" s="100"/>
      <c r="E134" s="100"/>
      <c r="F134" s="100"/>
      <c r="G134" s="103"/>
      <c r="H134" s="186"/>
      <c r="I134" s="195">
        <v>0.51</v>
      </c>
      <c r="J134" s="107">
        <v>0.49</v>
      </c>
      <c r="K134" s="107"/>
      <c r="L134" s="107"/>
      <c r="M134" s="187"/>
      <c r="N134" s="169">
        <f t="shared" si="29"/>
        <v>1</v>
      </c>
      <c r="O134" s="144">
        <v>1</v>
      </c>
      <c r="P134" s="145">
        <v>15</v>
      </c>
      <c r="Q134" s="113">
        <v>15</v>
      </c>
      <c r="R134" s="113"/>
      <c r="S134" s="113"/>
      <c r="T134" s="146"/>
      <c r="U134" s="148">
        <f t="shared" si="17"/>
        <v>15</v>
      </c>
      <c r="V134" s="149">
        <f t="shared" si="18"/>
        <v>15</v>
      </c>
      <c r="W134" s="189"/>
      <c r="X134" s="199"/>
      <c r="Y134" s="151"/>
      <c r="Z134" s="190"/>
      <c r="AA134" s="153"/>
      <c r="AB134" s="154">
        <f t="shared" si="19"/>
        <v>0</v>
      </c>
      <c r="AC134" s="149">
        <f t="shared" si="20"/>
        <v>0</v>
      </c>
      <c r="AD134" s="125">
        <v>2</v>
      </c>
      <c r="AE134" s="148">
        <f t="shared" si="21"/>
        <v>2</v>
      </c>
      <c r="AF134" s="156"/>
      <c r="AG134" s="156"/>
      <c r="AH134" s="113">
        <f t="shared" si="22"/>
        <v>17</v>
      </c>
      <c r="AI134" s="157">
        <v>65</v>
      </c>
      <c r="AJ134" s="113">
        <f t="shared" si="23"/>
        <v>82</v>
      </c>
      <c r="AK134" s="113">
        <f t="shared" si="24"/>
        <v>82</v>
      </c>
      <c r="AL134" s="158">
        <f t="shared" si="25"/>
        <v>1.02</v>
      </c>
      <c r="AM134" s="159"/>
      <c r="AN134" s="160">
        <f t="shared" si="30"/>
        <v>1</v>
      </c>
      <c r="AO134" s="160">
        <f t="shared" si="30"/>
        <v>2</v>
      </c>
      <c r="AP134" s="133"/>
      <c r="AQ134" s="134"/>
      <c r="AR134" s="161"/>
      <c r="AS134" s="161"/>
      <c r="AT134" s="161"/>
      <c r="AU134" s="161"/>
      <c r="AV134" s="162"/>
      <c r="AW134" s="137">
        <f t="shared" si="26"/>
        <v>0</v>
      </c>
      <c r="AX134" s="137">
        <f t="shared" si="27"/>
        <v>0</v>
      </c>
    </row>
    <row r="135" ht="46.5" customHeight="1" spans="1:50" s="97" customFormat="1" x14ac:dyDescent="0.25">
      <c r="A135" s="100"/>
      <c r="B135" s="100"/>
      <c r="C135" s="100"/>
      <c r="D135" s="100"/>
      <c r="E135" s="100"/>
      <c r="F135" s="100"/>
      <c r="G135" s="103"/>
      <c r="H135" s="186"/>
      <c r="I135" s="195">
        <v>0.51</v>
      </c>
      <c r="J135" s="107">
        <v>0.49</v>
      </c>
      <c r="K135" s="107"/>
      <c r="L135" s="107"/>
      <c r="M135" s="187"/>
      <c r="N135" s="169">
        <f t="shared" si="29"/>
        <v>1</v>
      </c>
      <c r="O135" s="144">
        <v>1</v>
      </c>
      <c r="P135" s="145">
        <v>15</v>
      </c>
      <c r="Q135" s="113">
        <v>15</v>
      </c>
      <c r="R135" s="113"/>
      <c r="S135" s="113"/>
      <c r="T135" s="146"/>
      <c r="U135" s="148">
        <f t="shared" si="17"/>
        <v>15</v>
      </c>
      <c r="V135" s="149">
        <f t="shared" si="18"/>
        <v>15</v>
      </c>
      <c r="W135" s="189"/>
      <c r="X135" s="199"/>
      <c r="Y135" s="151"/>
      <c r="Z135" s="190"/>
      <c r="AA135" s="153"/>
      <c r="AB135" s="154">
        <f t="shared" si="19"/>
        <v>0</v>
      </c>
      <c r="AC135" s="149">
        <f t="shared" si="20"/>
        <v>0</v>
      </c>
      <c r="AD135" s="125">
        <v>2</v>
      </c>
      <c r="AE135" s="148">
        <f t="shared" si="21"/>
        <v>2</v>
      </c>
      <c r="AF135" s="156"/>
      <c r="AG135" s="156"/>
      <c r="AH135" s="113">
        <f t="shared" si="22"/>
        <v>17</v>
      </c>
      <c r="AI135" s="157">
        <v>65</v>
      </c>
      <c r="AJ135" s="113">
        <f t="shared" si="23"/>
        <v>82</v>
      </c>
      <c r="AK135" s="113">
        <f t="shared" si="24"/>
        <v>82</v>
      </c>
      <c r="AL135" s="158">
        <f t="shared" si="25"/>
        <v>1.02</v>
      </c>
      <c r="AM135" s="159"/>
      <c r="AN135" s="160">
        <f t="shared" si="30"/>
        <v>1</v>
      </c>
      <c r="AO135" s="160">
        <f t="shared" si="30"/>
        <v>2</v>
      </c>
      <c r="AP135" s="133"/>
      <c r="AQ135" s="134"/>
      <c r="AR135" s="161"/>
      <c r="AS135" s="161"/>
      <c r="AT135" s="161"/>
      <c r="AU135" s="161"/>
      <c r="AV135" s="162"/>
      <c r="AW135" s="137">
        <f t="shared" si="26"/>
        <v>0</v>
      </c>
      <c r="AX135" s="137">
        <f t="shared" si="27"/>
        <v>0</v>
      </c>
    </row>
    <row r="136" ht="46.5" customHeight="1" spans="1:50" s="97" customFormat="1" x14ac:dyDescent="0.25">
      <c r="A136" s="100"/>
      <c r="B136" s="100"/>
      <c r="C136" s="100"/>
      <c r="D136" s="100"/>
      <c r="E136" s="100"/>
      <c r="F136" s="100"/>
      <c r="G136" s="103"/>
      <c r="H136" s="186"/>
      <c r="I136" s="195">
        <v>0.51</v>
      </c>
      <c r="J136" s="107">
        <v>0.49</v>
      </c>
      <c r="K136" s="107"/>
      <c r="L136" s="107"/>
      <c r="M136" s="187"/>
      <c r="N136" s="169">
        <f t="shared" si="29"/>
        <v>1</v>
      </c>
      <c r="O136" s="144">
        <v>1</v>
      </c>
      <c r="P136" s="145">
        <v>15</v>
      </c>
      <c r="Q136" s="113">
        <v>15</v>
      </c>
      <c r="R136" s="113"/>
      <c r="S136" s="113"/>
      <c r="T136" s="146"/>
      <c r="U136" s="148">
        <f t="shared" si="17"/>
        <v>15</v>
      </c>
      <c r="V136" s="149">
        <f t="shared" si="18"/>
        <v>15</v>
      </c>
      <c r="W136" s="189"/>
      <c r="X136" s="199"/>
      <c r="Y136" s="151"/>
      <c r="Z136" s="190"/>
      <c r="AA136" s="153"/>
      <c r="AB136" s="154">
        <f t="shared" si="19"/>
        <v>0</v>
      </c>
      <c r="AC136" s="149">
        <f t="shared" si="20"/>
        <v>0</v>
      </c>
      <c r="AD136" s="125">
        <v>2</v>
      </c>
      <c r="AE136" s="148">
        <f t="shared" si="21"/>
        <v>2</v>
      </c>
      <c r="AF136" s="156"/>
      <c r="AG136" s="156"/>
      <c r="AH136" s="113">
        <f t="shared" si="22"/>
        <v>17</v>
      </c>
      <c r="AI136" s="157">
        <v>65</v>
      </c>
      <c r="AJ136" s="113">
        <f t="shared" si="23"/>
        <v>82</v>
      </c>
      <c r="AK136" s="113">
        <f t="shared" si="24"/>
        <v>82</v>
      </c>
      <c r="AL136" s="158">
        <f t="shared" si="25"/>
        <v>1.02</v>
      </c>
      <c r="AM136" s="159"/>
      <c r="AN136" s="160">
        <f t="shared" si="30"/>
        <v>1</v>
      </c>
      <c r="AO136" s="160">
        <f t="shared" si="30"/>
        <v>2</v>
      </c>
      <c r="AP136" s="133"/>
      <c r="AQ136" s="134"/>
      <c r="AR136" s="161"/>
      <c r="AS136" s="161"/>
      <c r="AT136" s="161"/>
      <c r="AU136" s="161"/>
      <c r="AV136" s="162"/>
      <c r="AW136" s="137">
        <f t="shared" si="26"/>
        <v>0</v>
      </c>
      <c r="AX136" s="137">
        <f t="shared" si="27"/>
        <v>0</v>
      </c>
    </row>
    <row r="137" ht="47.25" customHeight="1" spans="1:50" s="56" customFormat="1" x14ac:dyDescent="0.25">
      <c r="A137" s="100"/>
      <c r="B137" s="100"/>
      <c r="C137" s="100"/>
      <c r="D137" s="100"/>
      <c r="E137" s="100"/>
      <c r="F137" s="100"/>
      <c r="G137" s="103"/>
      <c r="H137" s="186"/>
      <c r="I137" s="195">
        <v>0.51</v>
      </c>
      <c r="J137" s="107">
        <v>0.49</v>
      </c>
      <c r="K137" s="107"/>
      <c r="L137" s="107"/>
      <c r="M137" s="187"/>
      <c r="N137" s="169">
        <f t="shared" si="29"/>
        <v>1</v>
      </c>
      <c r="O137" s="144">
        <v>1</v>
      </c>
      <c r="P137" s="145">
        <v>15</v>
      </c>
      <c r="Q137" s="113">
        <v>15</v>
      </c>
      <c r="R137" s="113"/>
      <c r="S137" s="113"/>
      <c r="T137" s="146"/>
      <c r="U137" s="148">
        <f t="shared" si="17"/>
        <v>15</v>
      </c>
      <c r="V137" s="149">
        <f t="shared" si="18"/>
        <v>15</v>
      </c>
      <c r="W137" s="189"/>
      <c r="X137" s="199"/>
      <c r="Y137" s="151"/>
      <c r="Z137" s="190"/>
      <c r="AA137" s="153"/>
      <c r="AB137" s="154">
        <f t="shared" si="19"/>
        <v>0</v>
      </c>
      <c r="AC137" s="149">
        <f t="shared" si="20"/>
        <v>0</v>
      </c>
      <c r="AD137" s="125">
        <v>2</v>
      </c>
      <c r="AE137" s="148">
        <f t="shared" si="21"/>
        <v>2</v>
      </c>
      <c r="AF137" s="156"/>
      <c r="AG137" s="156"/>
      <c r="AH137" s="113">
        <f t="shared" si="22"/>
        <v>17</v>
      </c>
      <c r="AI137" s="157">
        <v>65</v>
      </c>
      <c r="AJ137" s="113">
        <f t="shared" si="23"/>
        <v>82</v>
      </c>
      <c r="AK137" s="113">
        <f t="shared" si="24"/>
        <v>82</v>
      </c>
      <c r="AL137" s="158">
        <f t="shared" si="25"/>
        <v>1.02</v>
      </c>
      <c r="AM137" s="159"/>
      <c r="AN137" s="160">
        <f t="shared" si="30"/>
        <v>1</v>
      </c>
      <c r="AO137" s="160">
        <f t="shared" si="30"/>
        <v>2</v>
      </c>
      <c r="AP137" s="133"/>
      <c r="AQ137" s="134"/>
      <c r="AR137" s="161"/>
      <c r="AS137" s="161"/>
      <c r="AT137" s="161"/>
      <c r="AU137" s="161"/>
      <c r="AV137" s="162"/>
      <c r="AW137" s="137">
        <f t="shared" si="26"/>
        <v>0</v>
      </c>
      <c r="AX137" s="137">
        <f t="shared" si="27"/>
        <v>0</v>
      </c>
    </row>
    <row r="138" ht="46.5" customHeight="1" spans="1:50" s="97" customFormat="1" x14ac:dyDescent="0.25">
      <c r="A138" s="100"/>
      <c r="B138" s="100"/>
      <c r="C138" s="100"/>
      <c r="D138" s="100"/>
      <c r="E138" s="100"/>
      <c r="F138" s="100"/>
      <c r="G138" s="103"/>
      <c r="H138" s="186"/>
      <c r="I138" s="195">
        <v>0.51</v>
      </c>
      <c r="J138" s="107">
        <v>0.49</v>
      </c>
      <c r="K138" s="107"/>
      <c r="L138" s="107"/>
      <c r="M138" s="187"/>
      <c r="N138" s="169">
        <f t="shared" si="29"/>
        <v>1</v>
      </c>
      <c r="O138" s="144">
        <v>1</v>
      </c>
      <c r="P138" s="145">
        <v>15</v>
      </c>
      <c r="Q138" s="113">
        <v>15</v>
      </c>
      <c r="R138" s="113"/>
      <c r="S138" s="113"/>
      <c r="T138" s="146"/>
      <c r="U138" s="148">
        <f t="shared" si="17"/>
        <v>15</v>
      </c>
      <c r="V138" s="149">
        <f t="shared" si="18"/>
        <v>15</v>
      </c>
      <c r="W138" s="189"/>
      <c r="X138" s="199"/>
      <c r="Y138" s="151"/>
      <c r="Z138" s="190"/>
      <c r="AA138" s="153"/>
      <c r="AB138" s="154">
        <f t="shared" si="19"/>
        <v>0</v>
      </c>
      <c r="AC138" s="149">
        <f t="shared" si="20"/>
        <v>0</v>
      </c>
      <c r="AD138" s="125">
        <v>2</v>
      </c>
      <c r="AE138" s="148">
        <f t="shared" si="21"/>
        <v>2</v>
      </c>
      <c r="AF138" s="156"/>
      <c r="AG138" s="156"/>
      <c r="AH138" s="113">
        <f t="shared" si="22"/>
        <v>17</v>
      </c>
      <c r="AI138" s="157">
        <v>65</v>
      </c>
      <c r="AJ138" s="113">
        <f t="shared" si="23"/>
        <v>82</v>
      </c>
      <c r="AK138" s="113">
        <f t="shared" si="24"/>
        <v>82</v>
      </c>
      <c r="AL138" s="158">
        <f t="shared" si="25"/>
        <v>1.02</v>
      </c>
      <c r="AM138" s="159"/>
      <c r="AN138" s="160">
        <f t="shared" si="30"/>
        <v>1</v>
      </c>
      <c r="AO138" s="160">
        <f t="shared" si="30"/>
        <v>2</v>
      </c>
      <c r="AP138" s="133"/>
      <c r="AQ138" s="134"/>
      <c r="AR138" s="161"/>
      <c r="AS138" s="161"/>
      <c r="AT138" s="161"/>
      <c r="AU138" s="161"/>
      <c r="AV138" s="162"/>
      <c r="AW138" s="137">
        <f t="shared" si="26"/>
        <v>0</v>
      </c>
      <c r="AX138" s="137">
        <f t="shared" si="27"/>
        <v>0</v>
      </c>
    </row>
    <row r="139" ht="47.25" customHeight="1" spans="1:50" s="56" customFormat="1" x14ac:dyDescent="0.25">
      <c r="A139" s="100"/>
      <c r="B139" s="100"/>
      <c r="C139" s="100"/>
      <c r="D139" s="100"/>
      <c r="E139" s="100"/>
      <c r="F139" s="100"/>
      <c r="G139" s="103"/>
      <c r="H139" s="186"/>
      <c r="I139" s="195">
        <v>0.51</v>
      </c>
      <c r="J139" s="107">
        <v>0.49</v>
      </c>
      <c r="K139" s="107"/>
      <c r="L139" s="107"/>
      <c r="M139" s="187"/>
      <c r="N139" s="169">
        <f t="shared" si="29"/>
        <v>1</v>
      </c>
      <c r="O139" s="144">
        <v>1</v>
      </c>
      <c r="P139" s="145">
        <v>15</v>
      </c>
      <c r="Q139" s="113">
        <v>15</v>
      </c>
      <c r="R139" s="113"/>
      <c r="S139" s="113"/>
      <c r="T139" s="146"/>
      <c r="U139" s="148">
        <f t="shared" si="17"/>
        <v>15</v>
      </c>
      <c r="V139" s="149">
        <f t="shared" si="18"/>
        <v>15</v>
      </c>
      <c r="W139" s="189"/>
      <c r="X139" s="199"/>
      <c r="Y139" s="151"/>
      <c r="Z139" s="190"/>
      <c r="AA139" s="153"/>
      <c r="AB139" s="154">
        <f t="shared" si="19"/>
        <v>0</v>
      </c>
      <c r="AC139" s="149">
        <f t="shared" si="20"/>
        <v>0</v>
      </c>
      <c r="AD139" s="125">
        <v>2</v>
      </c>
      <c r="AE139" s="148">
        <f t="shared" si="21"/>
        <v>2</v>
      </c>
      <c r="AF139" s="156"/>
      <c r="AG139" s="156"/>
      <c r="AH139" s="113">
        <f t="shared" si="22"/>
        <v>17</v>
      </c>
      <c r="AI139" s="157">
        <v>65</v>
      </c>
      <c r="AJ139" s="113">
        <f t="shared" si="23"/>
        <v>82</v>
      </c>
      <c r="AK139" s="113">
        <f t="shared" si="24"/>
        <v>82</v>
      </c>
      <c r="AL139" s="158">
        <f t="shared" si="25"/>
        <v>1.02</v>
      </c>
      <c r="AM139" s="159"/>
      <c r="AN139" s="160">
        <f t="shared" si="30"/>
        <v>1</v>
      </c>
      <c r="AO139" s="160">
        <f t="shared" si="30"/>
        <v>2</v>
      </c>
      <c r="AP139" s="133"/>
      <c r="AQ139" s="134"/>
      <c r="AR139" s="161"/>
      <c r="AS139" s="161"/>
      <c r="AT139" s="161"/>
      <c r="AU139" s="161"/>
      <c r="AV139" s="162"/>
      <c r="AW139" s="137">
        <f t="shared" si="26"/>
        <v>0</v>
      </c>
      <c r="AX139" s="137">
        <f t="shared" si="27"/>
        <v>0</v>
      </c>
    </row>
    <row r="140" ht="46.5" customHeight="1" spans="1:50" s="97" customFormat="1" x14ac:dyDescent="0.25">
      <c r="A140" s="100"/>
      <c r="B140" s="100"/>
      <c r="C140" s="100"/>
      <c r="D140" s="100"/>
      <c r="E140" s="100"/>
      <c r="F140" s="100"/>
      <c r="G140" s="103"/>
      <c r="H140" s="186"/>
      <c r="I140" s="195">
        <v>0.51</v>
      </c>
      <c r="J140" s="107">
        <v>0.49</v>
      </c>
      <c r="K140" s="107"/>
      <c r="L140" s="107"/>
      <c r="M140" s="187"/>
      <c r="N140" s="169">
        <f t="shared" si="29"/>
        <v>1</v>
      </c>
      <c r="O140" s="144">
        <v>1</v>
      </c>
      <c r="P140" s="145">
        <v>15</v>
      </c>
      <c r="Q140" s="113">
        <v>15</v>
      </c>
      <c r="R140" s="113"/>
      <c r="S140" s="113"/>
      <c r="T140" s="146"/>
      <c r="U140" s="148">
        <f t="shared" si="17"/>
        <v>15</v>
      </c>
      <c r="V140" s="149">
        <f t="shared" si="18"/>
        <v>15</v>
      </c>
      <c r="W140" s="189"/>
      <c r="X140" s="199"/>
      <c r="Y140" s="151"/>
      <c r="Z140" s="190"/>
      <c r="AA140" s="153"/>
      <c r="AB140" s="154">
        <f t="shared" si="19"/>
        <v>0</v>
      </c>
      <c r="AC140" s="149">
        <f t="shared" si="20"/>
        <v>0</v>
      </c>
      <c r="AD140" s="125">
        <v>2</v>
      </c>
      <c r="AE140" s="148">
        <f t="shared" si="21"/>
        <v>2</v>
      </c>
      <c r="AF140" s="156"/>
      <c r="AG140" s="156"/>
      <c r="AH140" s="113">
        <f t="shared" si="22"/>
        <v>17</v>
      </c>
      <c r="AI140" s="157">
        <v>65</v>
      </c>
      <c r="AJ140" s="113">
        <f t="shared" si="23"/>
        <v>82</v>
      </c>
      <c r="AK140" s="113">
        <f t="shared" si="24"/>
        <v>82</v>
      </c>
      <c r="AL140" s="158">
        <f t="shared" si="25"/>
        <v>1.02</v>
      </c>
      <c r="AM140" s="159"/>
      <c r="AN140" s="160">
        <f t="shared" si="30"/>
        <v>1</v>
      </c>
      <c r="AO140" s="160">
        <f t="shared" si="30"/>
        <v>2</v>
      </c>
      <c r="AP140" s="133"/>
      <c r="AQ140" s="134"/>
      <c r="AR140" s="161"/>
      <c r="AS140" s="161"/>
      <c r="AT140" s="161"/>
      <c r="AU140" s="161"/>
      <c r="AV140" s="162"/>
      <c r="AW140" s="137">
        <f t="shared" si="26"/>
        <v>0</v>
      </c>
      <c r="AX140" s="137">
        <f t="shared" si="27"/>
        <v>0</v>
      </c>
    </row>
    <row r="141" ht="46.5" customHeight="1" spans="1:50" s="97" customFormat="1" x14ac:dyDescent="0.25">
      <c r="A141" s="100"/>
      <c r="B141" s="100"/>
      <c r="C141" s="100"/>
      <c r="D141" s="100"/>
      <c r="E141" s="100"/>
      <c r="F141" s="100"/>
      <c r="G141" s="103"/>
      <c r="H141" s="186"/>
      <c r="I141" s="195">
        <v>0.51</v>
      </c>
      <c r="J141" s="107">
        <v>0.49</v>
      </c>
      <c r="K141" s="107"/>
      <c r="L141" s="107"/>
      <c r="M141" s="187"/>
      <c r="N141" s="169">
        <f t="shared" si="29"/>
        <v>1</v>
      </c>
      <c r="O141" s="144">
        <v>1</v>
      </c>
      <c r="P141" s="145">
        <v>15</v>
      </c>
      <c r="Q141" s="113">
        <v>15</v>
      </c>
      <c r="R141" s="113"/>
      <c r="S141" s="113"/>
      <c r="T141" s="146"/>
      <c r="U141" s="148">
        <f t="shared" si="17"/>
        <v>15</v>
      </c>
      <c r="V141" s="149">
        <f t="shared" si="18"/>
        <v>15</v>
      </c>
      <c r="W141" s="189"/>
      <c r="X141" s="199"/>
      <c r="Y141" s="151"/>
      <c r="Z141" s="190"/>
      <c r="AA141" s="153"/>
      <c r="AB141" s="154">
        <f t="shared" si="19"/>
        <v>0</v>
      </c>
      <c r="AC141" s="149">
        <f t="shared" si="20"/>
        <v>0</v>
      </c>
      <c r="AD141" s="125">
        <v>2</v>
      </c>
      <c r="AE141" s="148">
        <f t="shared" si="21"/>
        <v>2</v>
      </c>
      <c r="AF141" s="156"/>
      <c r="AG141" s="156"/>
      <c r="AH141" s="113">
        <f t="shared" si="22"/>
        <v>17</v>
      </c>
      <c r="AI141" s="157">
        <v>65</v>
      </c>
      <c r="AJ141" s="113">
        <f t="shared" si="23"/>
        <v>82</v>
      </c>
      <c r="AK141" s="113">
        <f t="shared" si="24"/>
        <v>82</v>
      </c>
      <c r="AL141" s="158">
        <f t="shared" si="25"/>
        <v>1.02</v>
      </c>
      <c r="AM141" s="159"/>
      <c r="AN141" s="160">
        <f t="shared" si="30"/>
        <v>1</v>
      </c>
      <c r="AO141" s="160">
        <f t="shared" si="30"/>
        <v>2</v>
      </c>
      <c r="AP141" s="133"/>
      <c r="AQ141" s="134"/>
      <c r="AR141" s="161"/>
      <c r="AS141" s="161"/>
      <c r="AT141" s="161"/>
      <c r="AU141" s="161"/>
      <c r="AV141" s="162"/>
      <c r="AW141" s="137">
        <f t="shared" si="26"/>
        <v>0</v>
      </c>
      <c r="AX141" s="137">
        <f t="shared" si="27"/>
        <v>0</v>
      </c>
    </row>
    <row r="142" ht="47.25" customHeight="1" spans="1:50" s="97" customFormat="1" x14ac:dyDescent="0.25">
      <c r="A142" s="100"/>
      <c r="B142" s="100"/>
      <c r="C142" s="100"/>
      <c r="D142" s="100"/>
      <c r="E142" s="100"/>
      <c r="F142" s="100"/>
      <c r="G142" s="103"/>
      <c r="H142" s="186"/>
      <c r="I142" s="195">
        <v>0.51</v>
      </c>
      <c r="J142" s="107">
        <v>0.49</v>
      </c>
      <c r="K142" s="107"/>
      <c r="L142" s="107"/>
      <c r="M142" s="187"/>
      <c r="N142" s="169">
        <f t="shared" si="29"/>
        <v>1</v>
      </c>
      <c r="O142" s="144">
        <v>1</v>
      </c>
      <c r="P142" s="145">
        <v>15</v>
      </c>
      <c r="Q142" s="113">
        <v>15</v>
      </c>
      <c r="R142" s="113"/>
      <c r="S142" s="113"/>
      <c r="T142" s="146"/>
      <c r="U142" s="148">
        <f t="shared" si="17"/>
        <v>15</v>
      </c>
      <c r="V142" s="149">
        <f t="shared" si="18"/>
        <v>15</v>
      </c>
      <c r="W142" s="189"/>
      <c r="X142" s="199"/>
      <c r="Y142" s="151"/>
      <c r="Z142" s="190"/>
      <c r="AA142" s="153"/>
      <c r="AB142" s="154">
        <f t="shared" si="19"/>
        <v>0</v>
      </c>
      <c r="AC142" s="149">
        <f t="shared" si="20"/>
        <v>0</v>
      </c>
      <c r="AD142" s="125">
        <v>2</v>
      </c>
      <c r="AE142" s="148">
        <f t="shared" si="21"/>
        <v>2</v>
      </c>
      <c r="AF142" s="156"/>
      <c r="AG142" s="156"/>
      <c r="AH142" s="113">
        <f t="shared" si="22"/>
        <v>17</v>
      </c>
      <c r="AI142" s="157">
        <v>65</v>
      </c>
      <c r="AJ142" s="113">
        <f t="shared" si="23"/>
        <v>82</v>
      </c>
      <c r="AK142" s="113">
        <f t="shared" si="24"/>
        <v>82</v>
      </c>
      <c r="AL142" s="158">
        <f t="shared" si="25"/>
        <v>1.02</v>
      </c>
      <c r="AM142" s="159"/>
      <c r="AN142" s="160">
        <f t="shared" ref="AN142:AO147" si="31">100%+AM142</f>
        <v>1</v>
      </c>
      <c r="AO142" s="160">
        <f t="shared" si="31"/>
        <v>2</v>
      </c>
      <c r="AP142" s="133"/>
      <c r="AQ142" s="134"/>
      <c r="AR142" s="161"/>
      <c r="AS142" s="161"/>
      <c r="AT142" s="161"/>
      <c r="AU142" s="161"/>
      <c r="AV142" s="162"/>
      <c r="AW142" s="137">
        <f t="shared" si="26"/>
        <v>0</v>
      </c>
      <c r="AX142" s="137">
        <f t="shared" si="27"/>
        <v>0</v>
      </c>
    </row>
    <row r="143" ht="47.25" customHeight="1" spans="1:50" s="56" customFormat="1" x14ac:dyDescent="0.25">
      <c r="A143" s="100"/>
      <c r="B143" s="100"/>
      <c r="C143" s="100"/>
      <c r="D143" s="100"/>
      <c r="E143" s="100"/>
      <c r="F143" s="100"/>
      <c r="G143" s="103"/>
      <c r="H143" s="186"/>
      <c r="I143" s="195">
        <v>0.51</v>
      </c>
      <c r="J143" s="107">
        <v>0.49</v>
      </c>
      <c r="K143" s="107"/>
      <c r="L143" s="107"/>
      <c r="M143" s="187"/>
      <c r="N143" s="169">
        <f t="shared" si="29"/>
        <v>1</v>
      </c>
      <c r="O143" s="144">
        <v>1</v>
      </c>
      <c r="P143" s="145">
        <v>15</v>
      </c>
      <c r="Q143" s="113">
        <v>15</v>
      </c>
      <c r="R143" s="113"/>
      <c r="S143" s="113"/>
      <c r="T143" s="146"/>
      <c r="U143" s="148">
        <f t="shared" si="17"/>
        <v>15</v>
      </c>
      <c r="V143" s="149">
        <f t="shared" si="18"/>
        <v>15</v>
      </c>
      <c r="W143" s="189"/>
      <c r="X143" s="199"/>
      <c r="Y143" s="151"/>
      <c r="Z143" s="190"/>
      <c r="AA143" s="153"/>
      <c r="AB143" s="154">
        <f t="shared" si="19"/>
        <v>0</v>
      </c>
      <c r="AC143" s="149">
        <f t="shared" si="20"/>
        <v>0</v>
      </c>
      <c r="AD143" s="125">
        <v>2</v>
      </c>
      <c r="AE143" s="148">
        <f t="shared" si="21"/>
        <v>2</v>
      </c>
      <c r="AF143" s="156"/>
      <c r="AG143" s="156"/>
      <c r="AH143" s="113">
        <f t="shared" si="22"/>
        <v>17</v>
      </c>
      <c r="AI143" s="157">
        <v>65</v>
      </c>
      <c r="AJ143" s="113">
        <f t="shared" si="23"/>
        <v>82</v>
      </c>
      <c r="AK143" s="113">
        <f t="shared" si="24"/>
        <v>82</v>
      </c>
      <c r="AL143" s="158">
        <f t="shared" si="25"/>
        <v>1.02</v>
      </c>
      <c r="AM143" s="159"/>
      <c r="AN143" s="160">
        <f t="shared" si="31"/>
        <v>1</v>
      </c>
      <c r="AO143" s="160">
        <f t="shared" si="31"/>
        <v>2</v>
      </c>
      <c r="AP143" s="133"/>
      <c r="AQ143" s="134"/>
      <c r="AR143" s="161"/>
      <c r="AS143" s="161"/>
      <c r="AT143" s="161"/>
      <c r="AU143" s="161"/>
      <c r="AV143" s="162"/>
      <c r="AW143" s="137">
        <f t="shared" si="26"/>
        <v>0</v>
      </c>
      <c r="AX143" s="137">
        <f t="shared" si="27"/>
        <v>0</v>
      </c>
    </row>
    <row r="144" ht="46.5" customHeight="1" spans="1:50" s="97" customFormat="1" x14ac:dyDescent="0.25">
      <c r="A144" s="100"/>
      <c r="B144" s="100"/>
      <c r="C144" s="100"/>
      <c r="D144" s="100"/>
      <c r="E144" s="100"/>
      <c r="F144" s="100"/>
      <c r="G144" s="103"/>
      <c r="H144" s="186"/>
      <c r="I144" s="195">
        <v>0.51</v>
      </c>
      <c r="J144" s="107">
        <v>0.49</v>
      </c>
      <c r="K144" s="107"/>
      <c r="L144" s="107"/>
      <c r="M144" s="187"/>
      <c r="N144" s="169">
        <f t="shared" si="29"/>
        <v>1</v>
      </c>
      <c r="O144" s="144">
        <v>1</v>
      </c>
      <c r="P144" s="145">
        <v>15</v>
      </c>
      <c r="Q144" s="113">
        <v>15</v>
      </c>
      <c r="R144" s="113"/>
      <c r="S144" s="113"/>
      <c r="T144" s="146"/>
      <c r="U144" s="148">
        <f t="shared" si="17"/>
        <v>15</v>
      </c>
      <c r="V144" s="149">
        <f t="shared" si="18"/>
        <v>15</v>
      </c>
      <c r="W144" s="189"/>
      <c r="X144" s="199"/>
      <c r="Y144" s="151"/>
      <c r="Z144" s="190"/>
      <c r="AA144" s="153"/>
      <c r="AB144" s="154">
        <f t="shared" si="19"/>
        <v>0</v>
      </c>
      <c r="AC144" s="149">
        <f t="shared" si="20"/>
        <v>0</v>
      </c>
      <c r="AD144" s="125">
        <v>2</v>
      </c>
      <c r="AE144" s="148">
        <f t="shared" si="21"/>
        <v>2</v>
      </c>
      <c r="AF144" s="156"/>
      <c r="AG144" s="156"/>
      <c r="AH144" s="113">
        <f t="shared" si="22"/>
        <v>17</v>
      </c>
      <c r="AI144" s="157">
        <v>65</v>
      </c>
      <c r="AJ144" s="113">
        <f t="shared" si="23"/>
        <v>82</v>
      </c>
      <c r="AK144" s="113">
        <f t="shared" si="24"/>
        <v>82</v>
      </c>
      <c r="AL144" s="158">
        <f t="shared" si="25"/>
        <v>1.02</v>
      </c>
      <c r="AM144" s="159"/>
      <c r="AN144" s="160">
        <f t="shared" si="31"/>
        <v>1</v>
      </c>
      <c r="AO144" s="160">
        <f t="shared" si="31"/>
        <v>2</v>
      </c>
      <c r="AP144" s="133"/>
      <c r="AQ144" s="134"/>
      <c r="AR144" s="161"/>
      <c r="AS144" s="161"/>
      <c r="AT144" s="161"/>
      <c r="AU144" s="161"/>
      <c r="AV144" s="162"/>
      <c r="AW144" s="137">
        <f t="shared" si="26"/>
        <v>0</v>
      </c>
      <c r="AX144" s="137">
        <f t="shared" si="27"/>
        <v>0</v>
      </c>
    </row>
    <row r="145" ht="47.25" customHeight="1" spans="1:50" s="56" customFormat="1" x14ac:dyDescent="0.25">
      <c r="A145" s="100"/>
      <c r="B145" s="100"/>
      <c r="C145" s="100"/>
      <c r="D145" s="100"/>
      <c r="E145" s="100"/>
      <c r="F145" s="100"/>
      <c r="G145" s="103"/>
      <c r="H145" s="186"/>
      <c r="I145" s="195">
        <v>0.51</v>
      </c>
      <c r="J145" s="107">
        <v>0.49</v>
      </c>
      <c r="K145" s="107"/>
      <c r="L145" s="107"/>
      <c r="M145" s="187"/>
      <c r="N145" s="169">
        <f t="shared" si="29"/>
        <v>1</v>
      </c>
      <c r="O145" s="144">
        <v>1</v>
      </c>
      <c r="P145" s="145">
        <v>15</v>
      </c>
      <c r="Q145" s="113">
        <v>15</v>
      </c>
      <c r="R145" s="113"/>
      <c r="S145" s="113"/>
      <c r="T145" s="146"/>
      <c r="U145" s="148">
        <f t="shared" si="17"/>
        <v>15</v>
      </c>
      <c r="V145" s="149">
        <f t="shared" si="18"/>
        <v>15</v>
      </c>
      <c r="W145" s="189"/>
      <c r="X145" s="199"/>
      <c r="Y145" s="151"/>
      <c r="Z145" s="190"/>
      <c r="AA145" s="153"/>
      <c r="AB145" s="154">
        <f t="shared" si="19"/>
        <v>0</v>
      </c>
      <c r="AC145" s="149">
        <f t="shared" si="20"/>
        <v>0</v>
      </c>
      <c r="AD145" s="125">
        <v>2</v>
      </c>
      <c r="AE145" s="148">
        <f t="shared" si="21"/>
        <v>2</v>
      </c>
      <c r="AF145" s="156"/>
      <c r="AG145" s="156"/>
      <c r="AH145" s="113">
        <f t="shared" si="22"/>
        <v>17</v>
      </c>
      <c r="AI145" s="157">
        <v>65</v>
      </c>
      <c r="AJ145" s="113">
        <f t="shared" si="23"/>
        <v>82</v>
      </c>
      <c r="AK145" s="113">
        <f t="shared" si="24"/>
        <v>82</v>
      </c>
      <c r="AL145" s="158">
        <f t="shared" si="25"/>
        <v>1.02</v>
      </c>
      <c r="AM145" s="159"/>
      <c r="AN145" s="160">
        <f t="shared" si="31"/>
        <v>1</v>
      </c>
      <c r="AO145" s="160">
        <f t="shared" si="31"/>
        <v>2</v>
      </c>
      <c r="AP145" s="133"/>
      <c r="AQ145" s="134"/>
      <c r="AR145" s="161"/>
      <c r="AS145" s="161"/>
      <c r="AT145" s="161"/>
      <c r="AU145" s="161"/>
      <c r="AV145" s="162"/>
      <c r="AW145" s="137">
        <f t="shared" si="26"/>
        <v>0</v>
      </c>
      <c r="AX145" s="137">
        <f t="shared" si="27"/>
        <v>0</v>
      </c>
    </row>
    <row r="146" ht="47.25" customHeight="1" spans="1:50" s="97" customFormat="1" x14ac:dyDescent="0.25">
      <c r="A146" s="100"/>
      <c r="B146" s="100"/>
      <c r="C146" s="100"/>
      <c r="D146" s="100"/>
      <c r="E146" s="100"/>
      <c r="F146" s="100"/>
      <c r="G146" s="103"/>
      <c r="H146" s="186"/>
      <c r="I146" s="195">
        <v>0.51</v>
      </c>
      <c r="J146" s="107">
        <v>0.49</v>
      </c>
      <c r="K146" s="107"/>
      <c r="L146" s="107"/>
      <c r="M146" s="187"/>
      <c r="N146" s="169">
        <f t="shared" si="29"/>
        <v>1</v>
      </c>
      <c r="O146" s="144">
        <v>1</v>
      </c>
      <c r="P146" s="145">
        <v>15</v>
      </c>
      <c r="Q146" s="113">
        <v>15</v>
      </c>
      <c r="R146" s="113"/>
      <c r="S146" s="113"/>
      <c r="T146" s="146"/>
      <c r="U146" s="148">
        <f t="shared" si="17"/>
        <v>15</v>
      </c>
      <c r="V146" s="149">
        <f t="shared" si="18"/>
        <v>15</v>
      </c>
      <c r="W146" s="189"/>
      <c r="X146" s="199"/>
      <c r="Y146" s="151"/>
      <c r="Z146" s="190"/>
      <c r="AA146" s="153"/>
      <c r="AB146" s="154">
        <f t="shared" si="19"/>
        <v>0</v>
      </c>
      <c r="AC146" s="149">
        <f t="shared" si="20"/>
        <v>0</v>
      </c>
      <c r="AD146" s="125">
        <v>2</v>
      </c>
      <c r="AE146" s="148">
        <f t="shared" si="21"/>
        <v>2</v>
      </c>
      <c r="AF146" s="156"/>
      <c r="AG146" s="156"/>
      <c r="AH146" s="113">
        <f t="shared" si="22"/>
        <v>17</v>
      </c>
      <c r="AI146" s="157">
        <v>65</v>
      </c>
      <c r="AJ146" s="113">
        <f t="shared" si="23"/>
        <v>82</v>
      </c>
      <c r="AK146" s="113">
        <f t="shared" si="24"/>
        <v>82</v>
      </c>
      <c r="AL146" s="158">
        <f t="shared" si="25"/>
        <v>1.02</v>
      </c>
      <c r="AM146" s="159"/>
      <c r="AN146" s="160">
        <f t="shared" si="31"/>
        <v>1</v>
      </c>
      <c r="AO146" s="160">
        <f t="shared" si="31"/>
        <v>2</v>
      </c>
      <c r="AP146" s="133"/>
      <c r="AQ146" s="134"/>
      <c r="AR146" s="161"/>
      <c r="AS146" s="161"/>
      <c r="AT146" s="161"/>
      <c r="AU146" s="161"/>
      <c r="AV146" s="162"/>
      <c r="AW146" s="137">
        <f t="shared" si="26"/>
        <v>0</v>
      </c>
      <c r="AX146" s="137">
        <f t="shared" si="27"/>
        <v>0</v>
      </c>
    </row>
    <row r="147" ht="46.5" customHeight="1" spans="1:50" s="97" customFormat="1" x14ac:dyDescent="0.25">
      <c r="A147" s="100"/>
      <c r="B147" s="100"/>
      <c r="C147" s="100"/>
      <c r="D147" s="100"/>
      <c r="E147" s="100"/>
      <c r="F147" s="100"/>
      <c r="G147" s="103"/>
      <c r="H147" s="186"/>
      <c r="I147" s="195">
        <v>0.51</v>
      </c>
      <c r="J147" s="107">
        <v>0.49</v>
      </c>
      <c r="K147" s="107"/>
      <c r="L147" s="107"/>
      <c r="M147" s="187"/>
      <c r="N147" s="169">
        <f t="shared" si="29"/>
        <v>1</v>
      </c>
      <c r="O147" s="144">
        <v>1</v>
      </c>
      <c r="P147" s="145">
        <v>15</v>
      </c>
      <c r="Q147" s="113">
        <v>15</v>
      </c>
      <c r="R147" s="113"/>
      <c r="S147" s="113"/>
      <c r="T147" s="146"/>
      <c r="U147" s="148">
        <f t="shared" si="17"/>
        <v>15</v>
      </c>
      <c r="V147" s="149">
        <f t="shared" si="18"/>
        <v>15</v>
      </c>
      <c r="W147" s="189"/>
      <c r="X147" s="199"/>
      <c r="Y147" s="151"/>
      <c r="Z147" s="190"/>
      <c r="AA147" s="153"/>
      <c r="AB147" s="154">
        <f t="shared" si="19"/>
        <v>0</v>
      </c>
      <c r="AC147" s="149">
        <f t="shared" si="20"/>
        <v>0</v>
      </c>
      <c r="AD147" s="125">
        <v>2</v>
      </c>
      <c r="AE147" s="148">
        <f t="shared" si="21"/>
        <v>2</v>
      </c>
      <c r="AF147" s="156"/>
      <c r="AG147" s="156"/>
      <c r="AH147" s="113">
        <f t="shared" si="22"/>
        <v>17</v>
      </c>
      <c r="AI147" s="157">
        <v>65</v>
      </c>
      <c r="AJ147" s="113">
        <f t="shared" si="23"/>
        <v>82</v>
      </c>
      <c r="AK147" s="113">
        <f t="shared" si="24"/>
        <v>82</v>
      </c>
      <c r="AL147" s="158">
        <f t="shared" si="25"/>
        <v>1.02</v>
      </c>
      <c r="AM147" s="159"/>
      <c r="AN147" s="160">
        <f t="shared" si="31"/>
        <v>1</v>
      </c>
      <c r="AO147" s="160">
        <f t="shared" si="31"/>
        <v>2</v>
      </c>
      <c r="AP147" s="133"/>
      <c r="AQ147" s="134"/>
      <c r="AR147" s="161"/>
      <c r="AS147" s="161"/>
      <c r="AT147" s="161"/>
      <c r="AU147" s="161"/>
      <c r="AV147" s="162"/>
      <c r="AW147" s="137">
        <f t="shared" si="26"/>
        <v>0</v>
      </c>
      <c r="AX147" s="137">
        <f t="shared" si="27"/>
        <v>0</v>
      </c>
    </row>
  </sheetData>
  <mergeCells count="58">
    <mergeCell ref="D1:E1"/>
    <mergeCell ref="F1:G1"/>
    <mergeCell ref="I1:J1"/>
    <mergeCell ref="Y1:Z1"/>
    <mergeCell ref="AA1:AC1"/>
    <mergeCell ref="AD1:AE1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AG2:AH2"/>
    <mergeCell ref="AI2:AK2"/>
    <mergeCell ref="AS2:AT2"/>
    <mergeCell ref="C3:H3"/>
    <mergeCell ref="I3:M3"/>
    <mergeCell ref="P3:U3"/>
    <mergeCell ref="W3:AE3"/>
    <mergeCell ref="A3:A4"/>
    <mergeCell ref="B3:B4"/>
    <mergeCell ref="N3:N4"/>
    <mergeCell ref="O3:O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6:H6"/>
    <mergeCell ref="A8:H8"/>
    <mergeCell ref="A10:H10"/>
    <mergeCell ref="A12:H12"/>
    <mergeCell ref="A14:H14"/>
    <mergeCell ref="A16:H16"/>
    <mergeCell ref="A18:H18"/>
    <mergeCell ref="A20:H20"/>
    <mergeCell ref="A22:H22"/>
    <mergeCell ref="A24:H24"/>
    <mergeCell ref="A26:H26"/>
    <mergeCell ref="A28:H28"/>
    <mergeCell ref="A30:H30"/>
    <mergeCell ref="A33:H33"/>
    <mergeCell ref="A35:H35"/>
    <mergeCell ref="A38:H38"/>
    <mergeCell ref="A40:H40"/>
    <mergeCell ref="A42:H42"/>
  </mergeCells>
  <pageMargins left="0.7" right="0.7" top="0.75" bottom="0.75" header="0.3" footer="0.3"/>
  <pageSetup paperSize="9" orientation="portrait" horizontalDpi="4294967295" verticalDpi="4294967295" scale="40" fitToWidth="1" fitToHeight="1" firstPageNumber="1" useFirstPageNumber="1" copies="1"/>
</worksheet>
</file>

<file path=xl/worksheets/sheet8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"/>
  <sheetViews>
    <sheetView workbookViewId="0" zoomScale="80" zoomScaleNormal="80">
      <selection activeCell="J16" sqref="J16"/>
    </sheetView>
  </sheetViews>
  <sheetFormatPr defaultRowHeight="13.5" outlineLevelRow="0" outlineLevelCol="0" x14ac:dyDescent="0.15" defaultColWidth="8.88671875" customHeight="1"/>
  <cols>
    <col min="1" max="1" width="5.33203125" style="1" customWidth="1"/>
    <col min="2" max="2" width="5.109375" style="2" customWidth="1"/>
    <col min="3" max="3" width="8.33203125" style="3" customWidth="1"/>
    <col min="4" max="7" width="8.33203125" style="1" customWidth="1"/>
    <col min="8" max="13" width="8.109375" style="1" customWidth="1"/>
    <col min="14" max="15" width="5.88671875" style="1" customWidth="1"/>
    <col min="16" max="21" width="7.5546875" style="1" customWidth="1"/>
    <col min="22" max="22" width="7.6640625" style="4" hidden="1" customWidth="1"/>
    <col min="23" max="27" width="8.33203125" style="1" customWidth="1"/>
    <col min="28" max="28" width="7.6640625" style="1" customWidth="1"/>
    <col min="29" max="29" width="7.6640625" style="4" hidden="1" customWidth="1"/>
    <col min="30" max="31" width="7.6640625" style="4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 customWidth="1"/>
    <col min="49" max="50" width="15.109375" style="1" customWidth="1"/>
    <col min="51" max="16384" width="8.88671875" style="1" customWidth="1"/>
  </cols>
  <sheetData>
    <row r="1" ht="32.25" customHeight="1" spans="3:42" x14ac:dyDescent="0.25">
      <c r="C1" s="5" t="s">
        <v>0</v>
      </c>
      <c r="D1" s="6">
        <v>3612713536</v>
      </c>
      <c r="E1" s="7"/>
      <c r="F1" s="6"/>
      <c r="G1" s="7"/>
      <c r="H1" s="8" t="s">
        <v>1</v>
      </c>
      <c r="I1" s="9">
        <v>6235738889</v>
      </c>
      <c r="J1" s="9"/>
      <c r="K1" s="220" t="s">
        <v>306</v>
      </c>
      <c r="L1" s="11"/>
      <c r="M1" s="11"/>
      <c r="N1" s="12"/>
      <c r="O1" s="12"/>
      <c r="P1" s="12"/>
      <c r="Q1" s="12"/>
      <c r="R1" s="12"/>
      <c r="S1" s="12"/>
      <c r="T1" s="12"/>
      <c r="U1" s="12"/>
      <c r="V1" s="12"/>
      <c r="W1" s="12"/>
      <c r="X1" s="13"/>
      <c r="Y1" s="14" t="s">
        <v>3</v>
      </c>
      <c r="Z1" s="14"/>
      <c r="AA1" s="15" t="s">
        <v>4</v>
      </c>
      <c r="AB1" s="16"/>
      <c r="AC1" s="17"/>
      <c r="AD1" s="18" t="s">
        <v>5</v>
      </c>
      <c r="AE1" s="19"/>
      <c r="AF1" s="20"/>
      <c r="AG1" s="21" t="s">
        <v>6</v>
      </c>
      <c r="AH1" s="22"/>
      <c r="AI1" s="23">
        <v>3612713536</v>
      </c>
      <c r="AJ1" s="24"/>
      <c r="AK1" s="24"/>
      <c r="AL1" s="25" t="s">
        <v>7</v>
      </c>
      <c r="AM1" s="26"/>
      <c r="AN1" s="26"/>
      <c r="AO1" s="26"/>
      <c r="AP1" s="12"/>
    </row>
    <row r="2" ht="29.25" customHeight="1" spans="1:49" s="27" customFormat="1" x14ac:dyDescent="0.25">
      <c r="A2" s="20"/>
      <c r="B2" s="28"/>
      <c r="C2" s="29" t="s">
        <v>8</v>
      </c>
      <c r="D2" s="30">
        <v>3973985000</v>
      </c>
      <c r="E2" s="31"/>
      <c r="F2" s="32"/>
      <c r="G2" s="33"/>
      <c r="H2" s="5" t="s">
        <v>9</v>
      </c>
      <c r="I2" s="34">
        <f>D2*1</f>
        <v>3973985000</v>
      </c>
      <c r="J2" s="32"/>
      <c r="K2" s="35" t="s">
        <v>10</v>
      </c>
      <c r="L2" s="36" t="s">
        <v>11</v>
      </c>
      <c r="M2" s="37">
        <v>45959.625</v>
      </c>
      <c r="N2" s="37"/>
      <c r="O2" s="37"/>
      <c r="P2" s="37"/>
      <c r="Q2" s="38" t="s">
        <v>307</v>
      </c>
      <c r="R2" s="38"/>
      <c r="S2" s="38"/>
      <c r="T2" s="39"/>
      <c r="U2" s="40"/>
      <c r="V2" s="40"/>
      <c r="W2" s="41"/>
      <c r="X2" s="42"/>
      <c r="Y2" s="43">
        <v>1900000000</v>
      </c>
      <c r="Z2" s="43"/>
      <c r="AA2" s="44">
        <f>I1</f>
        <v>6235738889</v>
      </c>
      <c r="AB2" s="45"/>
      <c r="AC2" s="46"/>
      <c r="AD2" s="47">
        <f>TRUNC(Y2/AA2,4)</f>
        <v>0.3046</v>
      </c>
      <c r="AE2" s="48"/>
      <c r="AF2" s="49"/>
      <c r="AG2" s="21" t="s">
        <v>13</v>
      </c>
      <c r="AH2" s="22"/>
      <c r="AI2" s="23"/>
      <c r="AJ2" s="24"/>
      <c r="AK2" s="24"/>
      <c r="AL2" s="50"/>
      <c r="AM2" s="50"/>
      <c r="AN2" s="51" t="s">
        <v>14</v>
      </c>
      <c r="AP2" s="1"/>
      <c r="AQ2" s="1"/>
      <c r="AR2" s="52" t="s">
        <v>15</v>
      </c>
      <c r="AS2" s="53">
        <f>AI1</f>
        <v>3612713536</v>
      </c>
      <c r="AT2" s="54"/>
      <c r="AW2" s="55"/>
    </row>
    <row r="3" ht="24.95" customHeight="1" spans="1:50" s="56" customFormat="1" x14ac:dyDescent="0.25">
      <c r="A3" s="57" t="s">
        <v>16</v>
      </c>
      <c r="B3" s="58" t="s">
        <v>17</v>
      </c>
      <c r="C3" s="59" t="s">
        <v>18</v>
      </c>
      <c r="D3" s="60"/>
      <c r="E3" s="60"/>
      <c r="F3" s="60"/>
      <c r="G3" s="60"/>
      <c r="H3" s="61"/>
      <c r="I3" s="59" t="s">
        <v>19</v>
      </c>
      <c r="J3" s="60"/>
      <c r="K3" s="60"/>
      <c r="L3" s="60"/>
      <c r="M3" s="61"/>
      <c r="N3" s="62" t="s">
        <v>20</v>
      </c>
      <c r="O3" s="63" t="s">
        <v>21</v>
      </c>
      <c r="P3" s="59" t="s">
        <v>22</v>
      </c>
      <c r="Q3" s="60"/>
      <c r="R3" s="64"/>
      <c r="S3" s="64"/>
      <c r="T3" s="60"/>
      <c r="U3" s="61"/>
      <c r="V3" s="65"/>
      <c r="W3" s="59" t="s">
        <v>23</v>
      </c>
      <c r="X3" s="60"/>
      <c r="Y3" s="60"/>
      <c r="Z3" s="60"/>
      <c r="AA3" s="60"/>
      <c r="AB3" s="60"/>
      <c r="AC3" s="60"/>
      <c r="AD3" s="60"/>
      <c r="AE3" s="61"/>
      <c r="AF3" s="60"/>
      <c r="AG3" s="60"/>
      <c r="AH3" s="60"/>
      <c r="AI3" s="60"/>
      <c r="AJ3" s="60"/>
      <c r="AK3" s="61"/>
      <c r="AL3" s="66" t="s">
        <v>24</v>
      </c>
      <c r="AM3" s="67" t="s">
        <v>25</v>
      </c>
      <c r="AN3" s="68" t="s">
        <v>26</v>
      </c>
      <c r="AO3" s="69" t="s">
        <v>27</v>
      </c>
      <c r="AP3" s="70" t="s">
        <v>28</v>
      </c>
      <c r="AQ3" s="65" t="s">
        <v>29</v>
      </c>
      <c r="AR3" s="67" t="s">
        <v>30</v>
      </c>
      <c r="AS3" s="65" t="s">
        <v>31</v>
      </c>
      <c r="AT3" s="65" t="s">
        <v>32</v>
      </c>
      <c r="AU3" s="65" t="s">
        <v>33</v>
      </c>
      <c r="AV3" s="71" t="s">
        <v>34</v>
      </c>
      <c r="AW3" s="65" t="s">
        <v>35</v>
      </c>
      <c r="AX3" s="65" t="s">
        <v>36</v>
      </c>
    </row>
    <row r="4" ht="39.75" customHeight="1" spans="1:50" s="56" customFormat="1" x14ac:dyDescent="0.25">
      <c r="A4" s="72"/>
      <c r="B4" s="73"/>
      <c r="C4" s="74" t="s">
        <v>37</v>
      </c>
      <c r="D4" s="75" t="s">
        <v>38</v>
      </c>
      <c r="E4" s="76" t="s">
        <v>39</v>
      </c>
      <c r="F4" s="76" t="s">
        <v>40</v>
      </c>
      <c r="G4" s="77" t="s">
        <v>41</v>
      </c>
      <c r="H4" s="65" t="s">
        <v>100</v>
      </c>
      <c r="I4" s="78" t="s">
        <v>37</v>
      </c>
      <c r="J4" s="79" t="s">
        <v>38</v>
      </c>
      <c r="K4" s="75" t="s">
        <v>39</v>
      </c>
      <c r="L4" s="75" t="s">
        <v>40</v>
      </c>
      <c r="M4" s="80" t="s">
        <v>41</v>
      </c>
      <c r="N4" s="81"/>
      <c r="O4" s="82"/>
      <c r="P4" s="78" t="s">
        <v>37</v>
      </c>
      <c r="Q4" s="79" t="s">
        <v>38</v>
      </c>
      <c r="R4" s="75" t="s">
        <v>39</v>
      </c>
      <c r="S4" s="75" t="s">
        <v>40</v>
      </c>
      <c r="T4" s="80" t="s">
        <v>41</v>
      </c>
      <c r="U4" s="83" t="s">
        <v>42</v>
      </c>
      <c r="V4" s="84" t="s">
        <v>43</v>
      </c>
      <c r="W4" s="85" t="s">
        <v>37</v>
      </c>
      <c r="X4" s="79" t="s">
        <v>38</v>
      </c>
      <c r="Y4" s="79" t="s">
        <v>39</v>
      </c>
      <c r="Z4" s="79" t="s">
        <v>40</v>
      </c>
      <c r="AA4" s="80" t="s">
        <v>41</v>
      </c>
      <c r="AB4" s="86" t="s">
        <v>44</v>
      </c>
      <c r="AC4" s="87" t="s">
        <v>45</v>
      </c>
      <c r="AD4" s="88" t="s">
        <v>46</v>
      </c>
      <c r="AE4" s="88" t="s">
        <v>47</v>
      </c>
      <c r="AF4" s="89" t="s">
        <v>48</v>
      </c>
      <c r="AG4" s="89" t="s">
        <v>49</v>
      </c>
      <c r="AH4" s="90" t="s">
        <v>50</v>
      </c>
      <c r="AI4" s="91" t="s">
        <v>51</v>
      </c>
      <c r="AJ4" s="91"/>
      <c r="AK4" s="91" t="s">
        <v>52</v>
      </c>
      <c r="AL4" s="92"/>
      <c r="AM4" s="93"/>
      <c r="AN4" s="94"/>
      <c r="AO4" s="95"/>
      <c r="AP4" s="70"/>
      <c r="AQ4" s="65"/>
      <c r="AR4" s="93"/>
      <c r="AS4" s="65"/>
      <c r="AT4" s="65"/>
      <c r="AU4" s="65"/>
      <c r="AV4" s="96"/>
      <c r="AW4" s="65"/>
      <c r="AX4" s="65"/>
    </row>
    <row r="5" ht="46.5" customHeight="1" spans="1:50" s="97" customFormat="1" x14ac:dyDescent="0.25">
      <c r="A5" s="98">
        <v>1</v>
      </c>
      <c r="B5" s="163"/>
      <c r="C5" s="101" t="s">
        <v>68</v>
      </c>
      <c r="D5" s="102"/>
      <c r="E5" s="163"/>
      <c r="F5" s="102"/>
      <c r="G5" s="103"/>
      <c r="H5" s="104"/>
      <c r="I5" s="166">
        <v>1</v>
      </c>
      <c r="J5" s="107"/>
      <c r="K5" s="107"/>
      <c r="L5" s="108"/>
      <c r="M5" s="109"/>
      <c r="N5" s="110">
        <f>SUM(I5:M5)</f>
        <v>1</v>
      </c>
      <c r="O5" s="111">
        <v>1</v>
      </c>
      <c r="P5" s="112">
        <v>15</v>
      </c>
      <c r="Q5" s="217"/>
      <c r="R5" s="112"/>
      <c r="S5" s="114"/>
      <c r="T5" s="115"/>
      <c r="U5" s="116">
        <f>ROUND(((P5*I5)+(Q5*J5)+(R5*K5)+(S5*L5)+(T5*M5))*O5,2)</f>
        <v>15</v>
      </c>
      <c r="V5" s="117">
        <f>IF(U5&gt;=15,15,U5)</f>
        <v>15</v>
      </c>
      <c r="W5" s="120">
        <v>39588420000</v>
      </c>
      <c r="X5" s="221"/>
      <c r="Y5" s="120"/>
      <c r="Z5" s="121"/>
      <c r="AA5" s="122"/>
      <c r="AB5" s="123">
        <f>ROUND((((W5*I5)+(X5*J5)+(Y5*K5)+(Z5*L5)+(AA5*M5))/$I$2),2)*13</f>
        <v>129.48000000000002</v>
      </c>
      <c r="AC5" s="124">
        <f>IF(AB5&gt;=13,13,AB5)</f>
        <v>13</v>
      </c>
      <c r="AD5" s="125">
        <v>2</v>
      </c>
      <c r="AE5" s="116">
        <f>IF((AC5+AD5)&gt;=15,15,(AC5+AD5))</f>
        <v>15</v>
      </c>
      <c r="AF5" s="126"/>
      <c r="AG5" s="127">
        <v>0.64</v>
      </c>
      <c r="AH5" s="128">
        <f>IF((V5+AE5+AF5)&gt;=30,30,(V5+AE5+AF5))</f>
        <v>30</v>
      </c>
      <c r="AI5" s="129">
        <v>65</v>
      </c>
      <c r="AJ5" s="128">
        <f>V5+AE5+AF5+AI5+AG5</f>
        <v>95.64</v>
      </c>
      <c r="AK5" s="128">
        <f>IF(AH5+AI5+AG5&gt;=95,95,AH5+AI5+AG5)</f>
        <v>95</v>
      </c>
      <c r="AL5" s="130">
        <f>-((50-((176+(45+(50-AH5)))))/200)</f>
        <v>0.955</v>
      </c>
      <c r="AM5" s="131"/>
      <c r="AN5" s="132">
        <f>100%+AM5</f>
        <v>1</v>
      </c>
      <c r="AO5" s="132">
        <f>100%+AN5</f>
        <v>2</v>
      </c>
      <c r="AP5" s="133"/>
      <c r="AQ5" s="134"/>
      <c r="AR5" s="135"/>
      <c r="AS5" s="135"/>
      <c r="AT5" s="135"/>
      <c r="AU5" s="135"/>
      <c r="AV5" s="136"/>
      <c r="AW5" s="137">
        <f>AR5+AS5+AT5+AU5+AV5</f>
        <v>0</v>
      </c>
      <c r="AX5" s="137">
        <f>(AR5*I5)+(AS5*J5)+(AT5*K5)+(AU5*L5)+(AV5*M5)</f>
        <v>0</v>
      </c>
    </row>
    <row r="6" ht="21.95" customHeight="1" spans="1:50" s="97" customFormat="1" x14ac:dyDescent="0.25">
      <c r="A6" s="138" t="s">
        <v>56</v>
      </c>
      <c r="B6" s="139"/>
      <c r="C6" s="139"/>
      <c r="D6" s="139"/>
      <c r="E6" s="139"/>
      <c r="F6" s="139"/>
      <c r="G6" s="139"/>
      <c r="H6" s="140"/>
      <c r="I6" s="222">
        <v>85</v>
      </c>
      <c r="J6" s="142">
        <v>85</v>
      </c>
      <c r="K6" s="142"/>
      <c r="L6" s="142"/>
      <c r="M6" s="142"/>
      <c r="N6" s="143">
        <f>I6*I5+J6*J5+K6*K5+L6*L5+M6*M5</f>
        <v>85</v>
      </c>
      <c r="O6" s="144"/>
      <c r="P6" s="145"/>
      <c r="Q6" s="113"/>
      <c r="R6" s="113"/>
      <c r="S6" s="146"/>
      <c r="T6" s="147"/>
      <c r="U6" s="148"/>
      <c r="V6" s="149"/>
      <c r="W6" s="150"/>
      <c r="X6" s="151"/>
      <c r="Y6" s="152"/>
      <c r="Z6" s="151"/>
      <c r="AA6" s="153"/>
      <c r="AB6" s="154"/>
      <c r="AC6" s="149"/>
      <c r="AD6" s="148"/>
      <c r="AE6" s="148"/>
      <c r="AF6" s="155"/>
      <c r="AG6" s="156"/>
      <c r="AH6" s="113"/>
      <c r="AI6" s="157"/>
      <c r="AJ6" s="113"/>
      <c r="AK6" s="113"/>
      <c r="AL6" s="158"/>
      <c r="AM6" s="159"/>
      <c r="AN6" s="160"/>
      <c r="AO6" s="160"/>
      <c r="AP6" s="133"/>
      <c r="AQ6" s="134"/>
      <c r="AR6" s="161"/>
      <c r="AS6" s="161"/>
      <c r="AT6" s="161"/>
      <c r="AU6" s="161"/>
      <c r="AV6" s="162"/>
      <c r="AW6" s="137"/>
      <c r="AX6" s="137"/>
    </row>
    <row r="7" ht="46.5" customHeight="1" spans="1:50" s="97" customFormat="1" x14ac:dyDescent="0.25">
      <c r="A7" s="98">
        <v>2</v>
      </c>
      <c r="B7" s="163"/>
      <c r="C7" s="102" t="s">
        <v>66</v>
      </c>
      <c r="D7" s="101" t="s">
        <v>308</v>
      </c>
      <c r="E7" s="102"/>
      <c r="F7" s="163"/>
      <c r="G7" s="164"/>
      <c r="H7" s="165" t="s">
        <v>309</v>
      </c>
      <c r="I7" s="166">
        <v>0.7</v>
      </c>
      <c r="J7" s="107">
        <v>0.3</v>
      </c>
      <c r="K7" s="107"/>
      <c r="L7" s="167"/>
      <c r="M7" s="168"/>
      <c r="N7" s="169">
        <f>SUM(I7:M7)</f>
        <v>1</v>
      </c>
      <c r="O7" s="144">
        <v>1</v>
      </c>
      <c r="P7" s="112">
        <v>15</v>
      </c>
      <c r="Q7" s="218">
        <v>15</v>
      </c>
      <c r="R7" s="112"/>
      <c r="S7" s="113"/>
      <c r="T7" s="147"/>
      <c r="U7" s="148">
        <f>ROUND(((P7*I7)+(Q7*J7)+(R7*K7)+(S7*L7)+(T7*M7))*O7,2)</f>
        <v>15</v>
      </c>
      <c r="V7" s="149">
        <f>IF(U7&gt;=15,15,U7)</f>
        <v>15</v>
      </c>
      <c r="W7" s="120">
        <v>14977246000</v>
      </c>
      <c r="X7" s="120">
        <v>9733078000</v>
      </c>
      <c r="Y7" s="120"/>
      <c r="Z7" s="151"/>
      <c r="AA7" s="153"/>
      <c r="AB7" s="154">
        <f>ROUND((((W7*I7)+(X7*J7)+(Y7*K7)+(Z7*L7)+(AA7*M7))/$I$2),2)*13</f>
        <v>43.81</v>
      </c>
      <c r="AC7" s="149">
        <f>IF(AB7&gt;=13,13,AB7)</f>
        <v>13</v>
      </c>
      <c r="AD7" s="125">
        <v>2</v>
      </c>
      <c r="AE7" s="148">
        <f>IF((AC7+AD7)&gt;=15,15,(AC7+AD7))</f>
        <v>15</v>
      </c>
      <c r="AF7" s="155"/>
      <c r="AG7" s="127">
        <v>0.64</v>
      </c>
      <c r="AH7" s="113">
        <f>IF((V7+AE7+AF7)&gt;=30,30,(V7+AE7+AF7))</f>
        <v>30</v>
      </c>
      <c r="AI7" s="157">
        <v>65</v>
      </c>
      <c r="AJ7" s="113">
        <f>V7+AE7+AF7+AI7+AG7</f>
        <v>95.64</v>
      </c>
      <c r="AK7" s="113">
        <f>IF(AH7+AI7+AG7&gt;=95,95,AH7+AI7+AG7)</f>
        <v>95</v>
      </c>
      <c r="AL7" s="158">
        <f>-((50-((176+(45+(50-AH7)))))/200)</f>
        <v>0.955</v>
      </c>
      <c r="AM7" s="159"/>
      <c r="AN7" s="160">
        <f>100%+AM7</f>
        <v>1</v>
      </c>
      <c r="AO7" s="160">
        <f>100%+AN7</f>
        <v>2</v>
      </c>
      <c r="AP7" s="133"/>
      <c r="AQ7" s="134"/>
      <c r="AR7" s="161"/>
      <c r="AS7" s="161"/>
      <c r="AT7" s="161"/>
      <c r="AU7" s="161"/>
      <c r="AV7" s="162"/>
      <c r="AW7" s="137">
        <f>AR7+AS7+AT7+AU7+AV7</f>
        <v>0</v>
      </c>
      <c r="AX7" s="137">
        <f>(AR7*I7)+(AS7*J7)+(AT7*K7)+(AU7*L7)+(AV7*M7)</f>
        <v>0</v>
      </c>
    </row>
    <row r="8" ht="21.95" customHeight="1" spans="1:50" s="97" customFormat="1" x14ac:dyDescent="0.25">
      <c r="A8" s="138" t="s">
        <v>56</v>
      </c>
      <c r="B8" s="139"/>
      <c r="C8" s="139"/>
      <c r="D8" s="139"/>
      <c r="E8" s="139"/>
      <c r="F8" s="139"/>
      <c r="G8" s="139"/>
      <c r="H8" s="140"/>
      <c r="I8" s="222">
        <v>85</v>
      </c>
      <c r="J8" s="142">
        <v>85</v>
      </c>
      <c r="K8" s="142"/>
      <c r="L8" s="142"/>
      <c r="M8" s="142"/>
      <c r="N8" s="170">
        <f>I8*I7+J8*J7+K8*K7+L8*L7+M8*M7</f>
        <v>85</v>
      </c>
      <c r="O8" s="144"/>
      <c r="P8" s="145"/>
      <c r="Q8" s="113"/>
      <c r="R8" s="113"/>
      <c r="S8" s="146"/>
      <c r="T8" s="147"/>
      <c r="U8" s="148"/>
      <c r="V8" s="149"/>
      <c r="W8" s="150"/>
      <c r="X8" s="151"/>
      <c r="Y8" s="152"/>
      <c r="Z8" s="151"/>
      <c r="AA8" s="153"/>
      <c r="AB8" s="154"/>
      <c r="AC8" s="149"/>
      <c r="AD8" s="148"/>
      <c r="AE8" s="148"/>
      <c r="AF8" s="155"/>
      <c r="AG8" s="156"/>
      <c r="AH8" s="113"/>
      <c r="AI8" s="157"/>
      <c r="AJ8" s="113"/>
      <c r="AK8" s="113"/>
      <c r="AL8" s="158"/>
      <c r="AM8" s="159"/>
      <c r="AN8" s="160"/>
      <c r="AO8" s="160"/>
      <c r="AP8" s="133"/>
      <c r="AQ8" s="134"/>
      <c r="AR8" s="161"/>
      <c r="AS8" s="161"/>
      <c r="AT8" s="161"/>
      <c r="AU8" s="161"/>
      <c r="AV8" s="162"/>
      <c r="AW8" s="137"/>
      <c r="AX8" s="137"/>
    </row>
    <row r="9" ht="46.5" customHeight="1" spans="1:50" s="97" customFormat="1" x14ac:dyDescent="0.25">
      <c r="A9" s="98">
        <v>3</v>
      </c>
      <c r="B9" s="163"/>
      <c r="C9" s="102" t="s">
        <v>59</v>
      </c>
      <c r="D9" s="101" t="s">
        <v>310</v>
      </c>
      <c r="E9" s="102"/>
      <c r="F9" s="163"/>
      <c r="G9" s="103"/>
      <c r="H9" s="171"/>
      <c r="I9" s="166">
        <v>0.51</v>
      </c>
      <c r="J9" s="107">
        <v>0.49</v>
      </c>
      <c r="K9" s="107"/>
      <c r="L9" s="167"/>
      <c r="M9" s="168"/>
      <c r="N9" s="169">
        <f>SUM(I9:M9)</f>
        <v>1</v>
      </c>
      <c r="O9" s="144">
        <v>1</v>
      </c>
      <c r="P9" s="112">
        <v>15</v>
      </c>
      <c r="Q9" s="112">
        <v>15</v>
      </c>
      <c r="R9" s="112"/>
      <c r="S9" s="146"/>
      <c r="T9" s="147"/>
      <c r="U9" s="148">
        <f>ROUND(((P9*I9)+(Q9*J9)+(R9*K9)+(S9*L9)+(T9*M9))*O9,2)</f>
        <v>15</v>
      </c>
      <c r="V9" s="149">
        <f>IF(U9&gt;=15,15,U9)</f>
        <v>15</v>
      </c>
      <c r="W9" s="120">
        <v>39361754000</v>
      </c>
      <c r="X9" s="120">
        <v>3482331000</v>
      </c>
      <c r="Y9" s="120"/>
      <c r="Z9" s="151"/>
      <c r="AA9" s="153"/>
      <c r="AB9" s="154">
        <f>ROUND((((W9*I9)+(X9*J9)+(Y9*K9)+(Z9*L9)+(AA9*M9))/$I$2),2)*13</f>
        <v>71.24000000000001</v>
      </c>
      <c r="AC9" s="149">
        <f>IF(AB9&gt;=13,13,AB9)</f>
        <v>13</v>
      </c>
      <c r="AD9" s="125">
        <v>2</v>
      </c>
      <c r="AE9" s="148">
        <f>IF((AC9+AD9)&gt;=15,15,(AC9+AD9))</f>
        <v>15</v>
      </c>
      <c r="AF9" s="155"/>
      <c r="AG9" s="127">
        <v>0.64</v>
      </c>
      <c r="AH9" s="113">
        <f>IF((V9+AE9+AF9)&gt;=30,30,(V9+AE9+AF9))</f>
        <v>30</v>
      </c>
      <c r="AI9" s="157">
        <v>65</v>
      </c>
      <c r="AJ9" s="113">
        <f>V9+AE9+AF9+AI9+AG9</f>
        <v>95.64</v>
      </c>
      <c r="AK9" s="113">
        <f>IF(AH9+AI9+AG9&gt;=95,95,AH9+AI9+AG9)</f>
        <v>95</v>
      </c>
      <c r="AL9" s="158">
        <f>-((50-((176+(45+(50-AH9)))))/200)</f>
        <v>0.955</v>
      </c>
      <c r="AM9" s="159"/>
      <c r="AN9" s="160">
        <f>100%+AM9</f>
        <v>1</v>
      </c>
      <c r="AO9" s="160">
        <f>100%+AN9</f>
        <v>2</v>
      </c>
      <c r="AP9" s="133"/>
      <c r="AQ9" s="134"/>
      <c r="AR9" s="161"/>
      <c r="AS9" s="161"/>
      <c r="AT9" s="161"/>
      <c r="AU9" s="161"/>
      <c r="AV9" s="162"/>
      <c r="AW9" s="172">
        <f>AR9+AS9+AT9+AU9+AV9</f>
        <v>0</v>
      </c>
      <c r="AX9" s="172">
        <f>(AR9*I9)+(AS9*J9)+(AT9*K9)+(AU9*L9)+(AV9*M9)</f>
        <v>0</v>
      </c>
    </row>
    <row r="10" ht="21.95" customHeight="1" spans="1:50" s="97" customFormat="1" x14ac:dyDescent="0.25">
      <c r="A10" s="138" t="s">
        <v>56</v>
      </c>
      <c r="B10" s="139"/>
      <c r="C10" s="139"/>
      <c r="D10" s="139"/>
      <c r="E10" s="139"/>
      <c r="F10" s="139"/>
      <c r="G10" s="139"/>
      <c r="H10" s="140"/>
      <c r="I10" s="222">
        <v>85</v>
      </c>
      <c r="J10" s="142">
        <v>85</v>
      </c>
      <c r="K10" s="142">
        <v>85</v>
      </c>
      <c r="L10" s="142"/>
      <c r="M10" s="142"/>
      <c r="N10" s="170">
        <f>I10*I9+J10*J9+K10*K9+L10*L9+M10*M9</f>
        <v>85</v>
      </c>
      <c r="O10" s="144"/>
      <c r="P10" s="145"/>
      <c r="Q10" s="113"/>
      <c r="R10" s="113"/>
      <c r="S10" s="146"/>
      <c r="T10" s="147"/>
      <c r="U10" s="148"/>
      <c r="V10" s="149"/>
      <c r="W10" s="150"/>
      <c r="X10" s="151"/>
      <c r="Y10" s="152"/>
      <c r="Z10" s="151"/>
      <c r="AA10" s="153"/>
      <c r="AB10" s="154"/>
      <c r="AC10" s="149"/>
      <c r="AD10" s="148"/>
      <c r="AE10" s="148"/>
      <c r="AF10" s="155"/>
      <c r="AG10" s="156"/>
      <c r="AH10" s="113"/>
      <c r="AI10" s="157"/>
      <c r="AJ10" s="113"/>
      <c r="AK10" s="113"/>
      <c r="AL10" s="158"/>
      <c r="AM10" s="159"/>
      <c r="AN10" s="160"/>
      <c r="AO10" s="160"/>
      <c r="AP10" s="133"/>
      <c r="AQ10" s="134"/>
      <c r="AR10" s="161"/>
      <c r="AS10" s="161"/>
      <c r="AT10" s="161"/>
      <c r="AU10" s="161"/>
      <c r="AV10" s="162"/>
      <c r="AW10" s="137"/>
      <c r="AX10" s="137"/>
    </row>
    <row r="11" ht="46.5" customHeight="1" spans="1:50" s="97" customFormat="1" x14ac:dyDescent="0.25">
      <c r="A11" s="98">
        <v>4</v>
      </c>
      <c r="B11" s="196"/>
      <c r="C11" s="102" t="s">
        <v>54</v>
      </c>
      <c r="D11" s="101" t="s">
        <v>311</v>
      </c>
      <c r="E11" s="102" t="s">
        <v>312</v>
      </c>
      <c r="F11" s="163"/>
      <c r="G11" s="103"/>
      <c r="H11" s="171" t="s">
        <v>313</v>
      </c>
      <c r="I11" s="166">
        <v>0.6</v>
      </c>
      <c r="J11" s="226">
        <v>0.2056</v>
      </c>
      <c r="K11" s="107">
        <v>0.1</v>
      </c>
      <c r="L11" s="176"/>
      <c r="M11" s="168"/>
      <c r="N11" s="169">
        <f t="shared" ref="N11:N42" si="0">SUM(I11:M11)</f>
        <v>0.9056</v>
      </c>
      <c r="O11" s="229">
        <v>1.1</v>
      </c>
      <c r="P11" s="112">
        <v>15</v>
      </c>
      <c r="Q11" s="112">
        <v>15</v>
      </c>
      <c r="R11" s="156">
        <v>15</v>
      </c>
      <c r="S11" s="113"/>
      <c r="T11" s="147"/>
      <c r="U11" s="148">
        <f t="shared" ref="U11:U74" si="1">ROUND(((P11*I11)+(Q11*J11)+(R11*K11)+(S11*L11)+(T11*M11))*O11,2)</f>
        <v>14.94</v>
      </c>
      <c r="V11" s="149">
        <f t="shared" ref="V11:V74" si="2">IF(U11&gt;=15,15,U11)</f>
        <v>14.94</v>
      </c>
      <c r="W11" s="120">
        <v>59183685000</v>
      </c>
      <c r="X11" s="120">
        <v>1590440000</v>
      </c>
      <c r="Y11" s="120">
        <v>8139504000</v>
      </c>
      <c r="Z11" s="151"/>
      <c r="AA11" s="153"/>
      <c r="AB11" s="154">
        <f t="shared" ref="AB11:AB74" si="3">ROUND((((W11*I11)+(X11*J11)+(Y11*K11)+(Z11*L11)+(AA11*M11))/$I$2),2)*13</f>
        <v>119.86000000000001</v>
      </c>
      <c r="AC11" s="149">
        <f t="shared" ref="AC11:AC74" si="4">IF(AB11&gt;=13,13,AB11)</f>
        <v>13</v>
      </c>
      <c r="AD11" s="125">
        <v>1</v>
      </c>
      <c r="AE11" s="148">
        <f t="shared" ref="AE11:AE74" si="5">IF((AC11+AD11)&gt;=15,15,(AC11+AD11))</f>
        <v>14</v>
      </c>
      <c r="AF11" s="155">
        <f>1.5*I11</f>
        <v>0.8999999999999999</v>
      </c>
      <c r="AG11" s="127">
        <v>0.64</v>
      </c>
      <c r="AH11" s="113">
        <f t="shared" ref="AH11:AH74" si="6">IF((V11+AE11+AF11)&gt;=30,30,(V11+AE11+AF11))</f>
        <v>29.839999999999996</v>
      </c>
      <c r="AI11" s="157">
        <v>65</v>
      </c>
      <c r="AJ11" s="113">
        <f t="shared" ref="AJ11:AJ74" si="7">V11+AE11+AF11+AI11+AG11</f>
        <v>95.48</v>
      </c>
      <c r="AK11" s="113">
        <f t="shared" ref="AK11:AK74" si="8">IF(AH11+AI11+AG11&gt;=95,95,AH11+AI11+AG11)</f>
        <v>95</v>
      </c>
      <c r="AL11" s="158">
        <f t="shared" ref="AL11:AL74" si="9">-((50-((176+(45+(50-AH11)))))/200)</f>
        <v>0.9558</v>
      </c>
      <c r="AM11" s="159"/>
      <c r="AN11" s="160">
        <f t="shared" ref="AN11:AO30" si="10">100%+AM11</f>
        <v>1</v>
      </c>
      <c r="AO11" s="160">
        <f t="shared" si="10"/>
        <v>2</v>
      </c>
      <c r="AP11" s="133"/>
      <c r="AQ11" s="134"/>
      <c r="AR11" s="161"/>
      <c r="AS11" s="161"/>
      <c r="AT11" s="161"/>
      <c r="AU11" s="161"/>
      <c r="AV11" s="162"/>
      <c r="AW11" s="137">
        <f t="shared" ref="AW11:AW74" si="11">AR11+AS11+AT11+AU11+AV11</f>
        <v>0</v>
      </c>
      <c r="AX11" s="137">
        <f t="shared" ref="AX11:AX74" si="12">(AR11*I11)+(AS11*J11)+(AT11*K11)+(AU11*L11)+(AV11*M11)</f>
        <v>0</v>
      </c>
    </row>
    <row r="12" ht="21.95" customHeight="1" spans="1:50" s="97" customFormat="1" x14ac:dyDescent="0.25">
      <c r="A12" s="138" t="s">
        <v>56</v>
      </c>
      <c r="B12" s="139"/>
      <c r="C12" s="139"/>
      <c r="D12" s="139"/>
      <c r="E12" s="139"/>
      <c r="F12" s="139"/>
      <c r="G12" s="139"/>
      <c r="H12" s="140"/>
      <c r="I12" s="244">
        <v>93.38</v>
      </c>
      <c r="J12" s="142">
        <v>85</v>
      </c>
      <c r="K12" s="142">
        <v>85</v>
      </c>
      <c r="L12" s="142"/>
      <c r="M12" s="142"/>
      <c r="N12" s="170">
        <f>I12*I11+J12*J11+K12*K11+L12*L11+M12*M11</f>
        <v>82.00399999999999</v>
      </c>
      <c r="O12" s="144"/>
      <c r="P12" s="145"/>
      <c r="Q12" s="113"/>
      <c r="R12" s="113"/>
      <c r="S12" s="146"/>
      <c r="T12" s="147"/>
      <c r="U12" s="148"/>
      <c r="V12" s="149"/>
      <c r="W12" s="150"/>
      <c r="X12" s="151"/>
      <c r="Y12" s="152"/>
      <c r="Z12" s="151"/>
      <c r="AA12" s="153"/>
      <c r="AB12" s="154"/>
      <c r="AC12" s="149"/>
      <c r="AD12" s="148"/>
      <c r="AE12" s="148"/>
      <c r="AF12" s="155"/>
      <c r="AG12" s="156"/>
      <c r="AH12" s="113"/>
      <c r="AI12" s="157"/>
      <c r="AJ12" s="113"/>
      <c r="AK12" s="113"/>
      <c r="AL12" s="158"/>
      <c r="AM12" s="159"/>
      <c r="AN12" s="160"/>
      <c r="AO12" s="160"/>
      <c r="AP12" s="133"/>
      <c r="AQ12" s="134"/>
      <c r="AR12" s="161"/>
      <c r="AS12" s="161"/>
      <c r="AT12" s="161"/>
      <c r="AU12" s="161"/>
      <c r="AV12" s="162"/>
      <c r="AW12" s="137"/>
      <c r="AX12" s="137"/>
    </row>
    <row r="13" ht="46.5" customHeight="1" spans="1:50" s="97" customFormat="1" x14ac:dyDescent="0.25">
      <c r="A13" s="98"/>
      <c r="B13" s="196"/>
      <c r="C13" s="102"/>
      <c r="D13" s="102"/>
      <c r="E13" s="102"/>
      <c r="F13" s="163"/>
      <c r="G13" s="103"/>
      <c r="H13" s="182"/>
      <c r="I13" s="166">
        <v>0.7</v>
      </c>
      <c r="J13" s="226">
        <v>0.291</v>
      </c>
      <c r="K13" s="107"/>
      <c r="L13" s="167"/>
      <c r="M13" s="168"/>
      <c r="N13" s="169">
        <f t="shared" si="0"/>
        <v>0.9909999999999999</v>
      </c>
      <c r="O13" s="144">
        <v>1</v>
      </c>
      <c r="P13" s="112">
        <v>15</v>
      </c>
      <c r="Q13" s="112">
        <v>15</v>
      </c>
      <c r="R13" s="156"/>
      <c r="S13" s="146"/>
      <c r="T13" s="147"/>
      <c r="U13" s="148">
        <f t="shared" si="1"/>
        <v>14.87</v>
      </c>
      <c r="V13" s="149">
        <f t="shared" si="2"/>
        <v>14.87</v>
      </c>
      <c r="W13" s="120">
        <v>59183685000</v>
      </c>
      <c r="X13" s="120"/>
      <c r="Y13" s="183"/>
      <c r="Z13" s="151"/>
      <c r="AA13" s="153"/>
      <c r="AB13" s="154">
        <f t="shared" si="3"/>
        <v>135.46</v>
      </c>
      <c r="AC13" s="149">
        <f t="shared" si="4"/>
        <v>13</v>
      </c>
      <c r="AD13" s="125">
        <v>1.5</v>
      </c>
      <c r="AE13" s="148">
        <f t="shared" si="5"/>
        <v>14.5</v>
      </c>
      <c r="AF13" s="155"/>
      <c r="AG13" s="127">
        <v>0.64</v>
      </c>
      <c r="AH13" s="113">
        <f t="shared" si="6"/>
        <v>29.369999999999997</v>
      </c>
      <c r="AI13" s="157">
        <v>65</v>
      </c>
      <c r="AJ13" s="113">
        <f t="shared" si="7"/>
        <v>95.01</v>
      </c>
      <c r="AK13" s="113">
        <f t="shared" si="8"/>
        <v>95</v>
      </c>
      <c r="AL13" s="158">
        <f t="shared" si="9"/>
        <v>0.95815</v>
      </c>
      <c r="AM13" s="159"/>
      <c r="AN13" s="160">
        <f t="shared" si="10"/>
        <v>1</v>
      </c>
      <c r="AO13" s="160">
        <f t="shared" si="10"/>
        <v>2</v>
      </c>
      <c r="AP13" s="133"/>
      <c r="AQ13" s="134"/>
      <c r="AR13" s="161"/>
      <c r="AS13" s="161"/>
      <c r="AT13" s="161"/>
      <c r="AU13" s="161"/>
      <c r="AV13" s="162"/>
      <c r="AW13" s="137">
        <f t="shared" si="11"/>
        <v>0</v>
      </c>
      <c r="AX13" s="137">
        <f t="shared" si="12"/>
        <v>0</v>
      </c>
    </row>
    <row r="14" ht="21.95" customHeight="1" spans="1:50" s="97" customFormat="1" x14ac:dyDescent="0.25">
      <c r="A14" s="138" t="s">
        <v>56</v>
      </c>
      <c r="B14" s="139"/>
      <c r="C14" s="139"/>
      <c r="D14" s="139"/>
      <c r="E14" s="139"/>
      <c r="F14" s="139"/>
      <c r="G14" s="139"/>
      <c r="H14" s="140"/>
      <c r="I14" s="248">
        <v>85</v>
      </c>
      <c r="J14" s="142">
        <v>85</v>
      </c>
      <c r="K14" s="142"/>
      <c r="L14" s="142"/>
      <c r="M14" s="142"/>
      <c r="N14" s="170">
        <f>I14*I13+J14*J13+K14*K13+L14*L13+M14*M13</f>
        <v>84.23499999999999</v>
      </c>
      <c r="O14" s="144"/>
      <c r="P14" s="145"/>
      <c r="Q14" s="113"/>
      <c r="R14" s="113"/>
      <c r="S14" s="146"/>
      <c r="T14" s="147"/>
      <c r="U14" s="148"/>
      <c r="V14" s="149"/>
      <c r="W14" s="150"/>
      <c r="X14" s="151"/>
      <c r="Y14" s="152"/>
      <c r="Z14" s="151"/>
      <c r="AA14" s="153"/>
      <c r="AB14" s="154"/>
      <c r="AC14" s="149"/>
      <c r="AD14" s="148"/>
      <c r="AE14" s="148"/>
      <c r="AF14" s="155"/>
      <c r="AG14" s="156"/>
      <c r="AH14" s="113"/>
      <c r="AI14" s="157"/>
      <c r="AJ14" s="113"/>
      <c r="AK14" s="113"/>
      <c r="AL14" s="158"/>
      <c r="AM14" s="159"/>
      <c r="AN14" s="160"/>
      <c r="AO14" s="160"/>
      <c r="AP14" s="133"/>
      <c r="AQ14" s="134"/>
      <c r="AR14" s="161"/>
      <c r="AS14" s="161"/>
      <c r="AT14" s="161"/>
      <c r="AU14" s="161"/>
      <c r="AV14" s="162"/>
      <c r="AW14" s="137"/>
      <c r="AX14" s="137"/>
    </row>
    <row r="15" ht="46.5" customHeight="1" spans="1:50" s="97" customFormat="1" x14ac:dyDescent="0.25">
      <c r="A15" s="98"/>
      <c r="B15" s="196"/>
      <c r="C15" s="102"/>
      <c r="D15" s="224"/>
      <c r="E15" s="224"/>
      <c r="F15" s="224"/>
      <c r="G15" s="103"/>
      <c r="H15" s="182"/>
      <c r="I15" s="166">
        <v>0.51</v>
      </c>
      <c r="J15" s="107">
        <v>0.49</v>
      </c>
      <c r="K15" s="107"/>
      <c r="L15" s="167"/>
      <c r="M15" s="168"/>
      <c r="N15" s="169">
        <f t="shared" si="0"/>
        <v>1</v>
      </c>
      <c r="O15" s="144">
        <v>1</v>
      </c>
      <c r="P15" s="112">
        <v>15</v>
      </c>
      <c r="Q15" s="112">
        <v>15</v>
      </c>
      <c r="R15" s="113"/>
      <c r="S15" s="146"/>
      <c r="T15" s="147"/>
      <c r="U15" s="148">
        <f t="shared" si="1"/>
        <v>15</v>
      </c>
      <c r="V15" s="149">
        <f t="shared" si="2"/>
        <v>15</v>
      </c>
      <c r="W15" s="120"/>
      <c r="X15" s="120"/>
      <c r="Y15" s="120"/>
      <c r="Z15" s="151"/>
      <c r="AA15" s="153"/>
      <c r="AB15" s="154">
        <f t="shared" si="3"/>
        <v>0</v>
      </c>
      <c r="AC15" s="149">
        <f t="shared" si="4"/>
        <v>0</v>
      </c>
      <c r="AD15" s="125">
        <v>2</v>
      </c>
      <c r="AE15" s="148">
        <f t="shared" si="5"/>
        <v>2</v>
      </c>
      <c r="AF15" s="156"/>
      <c r="AG15" s="127"/>
      <c r="AH15" s="113">
        <f t="shared" si="6"/>
        <v>17</v>
      </c>
      <c r="AI15" s="157">
        <v>65</v>
      </c>
      <c r="AJ15" s="113">
        <f t="shared" si="7"/>
        <v>82</v>
      </c>
      <c r="AK15" s="113">
        <f t="shared" si="8"/>
        <v>82</v>
      </c>
      <c r="AL15" s="158">
        <f t="shared" si="9"/>
        <v>1.02</v>
      </c>
      <c r="AM15" s="159"/>
      <c r="AN15" s="160">
        <f t="shared" si="10"/>
        <v>1</v>
      </c>
      <c r="AO15" s="160">
        <f t="shared" si="10"/>
        <v>2</v>
      </c>
      <c r="AP15" s="133"/>
      <c r="AQ15" s="134"/>
      <c r="AR15" s="161"/>
      <c r="AS15" s="161"/>
      <c r="AT15" s="161"/>
      <c r="AU15" s="161"/>
      <c r="AV15" s="162"/>
      <c r="AW15" s="137">
        <f t="shared" si="11"/>
        <v>0</v>
      </c>
      <c r="AX15" s="137">
        <f t="shared" si="12"/>
        <v>0</v>
      </c>
    </row>
    <row r="16" ht="46.5" customHeight="1" spans="1:50" s="97" customFormat="1" x14ac:dyDescent="0.25">
      <c r="A16" s="98"/>
      <c r="B16" s="99"/>
      <c r="C16" s="102"/>
      <c r="D16" s="100"/>
      <c r="E16" s="224"/>
      <c r="F16" s="100"/>
      <c r="G16" s="103"/>
      <c r="H16" s="186"/>
      <c r="I16" s="166">
        <v>0.51</v>
      </c>
      <c r="J16" s="107">
        <v>0.49</v>
      </c>
      <c r="K16" s="107"/>
      <c r="L16" s="167"/>
      <c r="M16" s="168"/>
      <c r="N16" s="169">
        <f t="shared" si="0"/>
        <v>1</v>
      </c>
      <c r="O16" s="144">
        <v>1</v>
      </c>
      <c r="P16" s="112">
        <v>15</v>
      </c>
      <c r="Q16" s="112">
        <v>15</v>
      </c>
      <c r="R16" s="113"/>
      <c r="S16" s="146"/>
      <c r="T16" s="147"/>
      <c r="U16" s="148">
        <f t="shared" si="1"/>
        <v>15</v>
      </c>
      <c r="V16" s="149">
        <f t="shared" si="2"/>
        <v>15</v>
      </c>
      <c r="W16" s="183"/>
      <c r="X16" s="183"/>
      <c r="Y16" s="183"/>
      <c r="Z16" s="151"/>
      <c r="AA16" s="153"/>
      <c r="AB16" s="154">
        <f t="shared" si="3"/>
        <v>0</v>
      </c>
      <c r="AC16" s="149">
        <f t="shared" si="4"/>
        <v>0</v>
      </c>
      <c r="AD16" s="125">
        <v>2</v>
      </c>
      <c r="AE16" s="148">
        <f t="shared" si="5"/>
        <v>2</v>
      </c>
      <c r="AF16" s="156"/>
      <c r="AG16" s="127"/>
      <c r="AH16" s="113">
        <f t="shared" si="6"/>
        <v>17</v>
      </c>
      <c r="AI16" s="157">
        <v>65</v>
      </c>
      <c r="AJ16" s="113">
        <f t="shared" si="7"/>
        <v>82</v>
      </c>
      <c r="AK16" s="113">
        <f t="shared" si="8"/>
        <v>82</v>
      </c>
      <c r="AL16" s="158">
        <f t="shared" si="9"/>
        <v>1.02</v>
      </c>
      <c r="AM16" s="159"/>
      <c r="AN16" s="160">
        <f t="shared" si="10"/>
        <v>1</v>
      </c>
      <c r="AO16" s="160">
        <f t="shared" si="10"/>
        <v>2</v>
      </c>
      <c r="AP16" s="133"/>
      <c r="AQ16" s="134"/>
      <c r="AR16" s="161"/>
      <c r="AS16" s="161"/>
      <c r="AT16" s="161"/>
      <c r="AU16" s="161"/>
      <c r="AV16" s="162"/>
      <c r="AW16" s="137">
        <f t="shared" si="11"/>
        <v>0</v>
      </c>
      <c r="AX16" s="137">
        <f t="shared" si="12"/>
        <v>0</v>
      </c>
    </row>
    <row r="17" ht="46.5" customHeight="1" spans="1:50" s="97" customFormat="1" x14ac:dyDescent="0.25">
      <c r="A17" s="98"/>
      <c r="B17" s="99"/>
      <c r="C17" s="102"/>
      <c r="D17" s="102"/>
      <c r="E17" s="102" t="s">
        <v>314</v>
      </c>
      <c r="F17" s="224"/>
      <c r="G17" s="103"/>
      <c r="H17" s="186"/>
      <c r="I17" s="166">
        <v>0.51</v>
      </c>
      <c r="J17" s="107">
        <v>0.49</v>
      </c>
      <c r="K17" s="107"/>
      <c r="L17" s="107"/>
      <c r="M17" s="187"/>
      <c r="N17" s="169">
        <f t="shared" si="0"/>
        <v>1</v>
      </c>
      <c r="O17" s="144">
        <v>1</v>
      </c>
      <c r="P17" s="112">
        <v>15</v>
      </c>
      <c r="Q17" s="112">
        <v>15</v>
      </c>
      <c r="R17" s="113"/>
      <c r="S17" s="113"/>
      <c r="T17" s="146"/>
      <c r="U17" s="148">
        <f t="shared" si="1"/>
        <v>15</v>
      </c>
      <c r="V17" s="149">
        <f t="shared" si="2"/>
        <v>15</v>
      </c>
      <c r="W17" s="188"/>
      <c r="X17" s="161"/>
      <c r="Y17" s="189"/>
      <c r="Z17" s="190"/>
      <c r="AA17" s="153"/>
      <c r="AB17" s="154">
        <f t="shared" si="3"/>
        <v>0</v>
      </c>
      <c r="AC17" s="149">
        <f t="shared" si="4"/>
        <v>0</v>
      </c>
      <c r="AD17" s="125">
        <v>2</v>
      </c>
      <c r="AE17" s="148">
        <f t="shared" si="5"/>
        <v>2</v>
      </c>
      <c r="AF17" s="156"/>
      <c r="AG17" s="156"/>
      <c r="AH17" s="113">
        <f t="shared" si="6"/>
        <v>17</v>
      </c>
      <c r="AI17" s="157">
        <v>65</v>
      </c>
      <c r="AJ17" s="113">
        <f t="shared" si="7"/>
        <v>82</v>
      </c>
      <c r="AK17" s="113">
        <f t="shared" si="8"/>
        <v>82</v>
      </c>
      <c r="AL17" s="158">
        <f t="shared" si="9"/>
        <v>1.02</v>
      </c>
      <c r="AM17" s="159"/>
      <c r="AN17" s="160">
        <f t="shared" si="10"/>
        <v>1</v>
      </c>
      <c r="AO17" s="160">
        <f t="shared" si="10"/>
        <v>2</v>
      </c>
      <c r="AP17" s="133"/>
      <c r="AQ17" s="134"/>
      <c r="AR17" s="161"/>
      <c r="AS17" s="161"/>
      <c r="AT17" s="161"/>
      <c r="AU17" s="161"/>
      <c r="AV17" s="162"/>
      <c r="AW17" s="137">
        <f t="shared" si="11"/>
        <v>0</v>
      </c>
      <c r="AX17" s="137">
        <f t="shared" si="12"/>
        <v>0</v>
      </c>
    </row>
    <row r="18" ht="46.5" customHeight="1" spans="1:50" s="97" customFormat="1" x14ac:dyDescent="0.25">
      <c r="A18" s="98"/>
      <c r="B18" s="102"/>
      <c r="C18" s="102"/>
      <c r="D18" s="100"/>
      <c r="E18" s="100"/>
      <c r="F18" s="224"/>
      <c r="G18" s="103"/>
      <c r="H18" s="186"/>
      <c r="I18" s="166">
        <v>0.51</v>
      </c>
      <c r="J18" s="107">
        <v>0.49</v>
      </c>
      <c r="K18" s="191"/>
      <c r="L18" s="107"/>
      <c r="M18" s="187"/>
      <c r="N18" s="169">
        <f t="shared" si="0"/>
        <v>1</v>
      </c>
      <c r="O18" s="144">
        <v>1</v>
      </c>
      <c r="P18" s="112">
        <v>15</v>
      </c>
      <c r="Q18" s="112">
        <v>15</v>
      </c>
      <c r="R18" s="113"/>
      <c r="S18" s="113"/>
      <c r="T18" s="146"/>
      <c r="U18" s="148">
        <f t="shared" si="1"/>
        <v>15</v>
      </c>
      <c r="V18" s="149">
        <f t="shared" si="2"/>
        <v>15</v>
      </c>
      <c r="W18" s="192"/>
      <c r="X18" s="120"/>
      <c r="Y18" s="120"/>
      <c r="Z18" s="190"/>
      <c r="AA18" s="153"/>
      <c r="AB18" s="154">
        <f t="shared" si="3"/>
        <v>0</v>
      </c>
      <c r="AC18" s="149">
        <f t="shared" si="4"/>
        <v>0</v>
      </c>
      <c r="AD18" s="125">
        <v>2</v>
      </c>
      <c r="AE18" s="148">
        <f t="shared" si="5"/>
        <v>2</v>
      </c>
      <c r="AF18" s="156"/>
      <c r="AG18" s="156"/>
      <c r="AH18" s="113">
        <f t="shared" si="6"/>
        <v>17</v>
      </c>
      <c r="AI18" s="157">
        <v>65</v>
      </c>
      <c r="AJ18" s="113">
        <f t="shared" si="7"/>
        <v>82</v>
      </c>
      <c r="AK18" s="113">
        <f t="shared" si="8"/>
        <v>82</v>
      </c>
      <c r="AL18" s="158">
        <f t="shared" si="9"/>
        <v>1.02</v>
      </c>
      <c r="AM18" s="159"/>
      <c r="AN18" s="160">
        <f t="shared" si="10"/>
        <v>1</v>
      </c>
      <c r="AO18" s="160">
        <f t="shared" si="10"/>
        <v>2</v>
      </c>
      <c r="AP18" s="133"/>
      <c r="AQ18" s="134"/>
      <c r="AR18" s="161"/>
      <c r="AS18" s="161"/>
      <c r="AT18" s="161"/>
      <c r="AU18" s="161"/>
      <c r="AV18" s="162"/>
      <c r="AW18" s="137">
        <f t="shared" si="11"/>
        <v>0</v>
      </c>
      <c r="AX18" s="137">
        <f t="shared" si="12"/>
        <v>0</v>
      </c>
    </row>
    <row r="19" ht="46.5" customHeight="1" spans="1:50" s="97" customFormat="1" x14ac:dyDescent="0.25">
      <c r="A19" s="98"/>
      <c r="B19" s="102"/>
      <c r="C19" s="102"/>
      <c r="D19" s="102"/>
      <c r="E19" s="100"/>
      <c r="F19" s="100"/>
      <c r="G19" s="103"/>
      <c r="H19" s="186"/>
      <c r="I19" s="166">
        <v>0.51</v>
      </c>
      <c r="J19" s="107">
        <v>0.49</v>
      </c>
      <c r="K19" s="107"/>
      <c r="L19" s="107"/>
      <c r="M19" s="187"/>
      <c r="N19" s="169">
        <f t="shared" si="0"/>
        <v>1</v>
      </c>
      <c r="O19" s="144">
        <v>1</v>
      </c>
      <c r="P19" s="145">
        <v>15</v>
      </c>
      <c r="Q19" s="113">
        <v>15</v>
      </c>
      <c r="R19" s="113"/>
      <c r="S19" s="113"/>
      <c r="T19" s="146"/>
      <c r="U19" s="148">
        <f t="shared" si="1"/>
        <v>15</v>
      </c>
      <c r="V19" s="149">
        <f t="shared" si="2"/>
        <v>15</v>
      </c>
      <c r="W19" s="192"/>
      <c r="X19" s="183"/>
      <c r="Y19" s="120"/>
      <c r="Z19" s="190"/>
      <c r="AA19" s="153"/>
      <c r="AB19" s="154">
        <f t="shared" si="3"/>
        <v>0</v>
      </c>
      <c r="AC19" s="149">
        <f t="shared" si="4"/>
        <v>0</v>
      </c>
      <c r="AD19" s="125">
        <v>2</v>
      </c>
      <c r="AE19" s="148">
        <f t="shared" si="5"/>
        <v>2</v>
      </c>
      <c r="AF19" s="156"/>
      <c r="AG19" s="156"/>
      <c r="AH19" s="113">
        <f t="shared" si="6"/>
        <v>17</v>
      </c>
      <c r="AI19" s="157">
        <v>65</v>
      </c>
      <c r="AJ19" s="113">
        <f t="shared" si="7"/>
        <v>82</v>
      </c>
      <c r="AK19" s="113">
        <f t="shared" si="8"/>
        <v>82</v>
      </c>
      <c r="AL19" s="158">
        <f t="shared" si="9"/>
        <v>1.02</v>
      </c>
      <c r="AM19" s="159"/>
      <c r="AN19" s="160">
        <f t="shared" si="10"/>
        <v>1</v>
      </c>
      <c r="AO19" s="160">
        <f t="shared" si="10"/>
        <v>2</v>
      </c>
      <c r="AP19" s="133"/>
      <c r="AQ19" s="134"/>
      <c r="AR19" s="161"/>
      <c r="AS19" s="161"/>
      <c r="AT19" s="161"/>
      <c r="AU19" s="161"/>
      <c r="AV19" s="162"/>
      <c r="AW19" s="137">
        <f t="shared" si="11"/>
        <v>0</v>
      </c>
      <c r="AX19" s="137">
        <f t="shared" si="12"/>
        <v>0</v>
      </c>
    </row>
    <row r="20" ht="46.5" customHeight="1" spans="1:50" s="97" customFormat="1" x14ac:dyDescent="0.25">
      <c r="A20" s="98"/>
      <c r="B20" s="102"/>
      <c r="C20" s="102"/>
      <c r="D20" s="102"/>
      <c r="E20" s="102"/>
      <c r="F20" s="100"/>
      <c r="G20" s="103"/>
      <c r="H20" s="186"/>
      <c r="I20" s="195">
        <v>0.51</v>
      </c>
      <c r="J20" s="107">
        <v>0.49</v>
      </c>
      <c r="K20" s="107"/>
      <c r="L20" s="107"/>
      <c r="M20" s="187"/>
      <c r="N20" s="169">
        <f t="shared" si="0"/>
        <v>1</v>
      </c>
      <c r="O20" s="144">
        <v>1</v>
      </c>
      <c r="P20" s="145">
        <v>15</v>
      </c>
      <c r="Q20" s="113">
        <v>15</v>
      </c>
      <c r="R20" s="113"/>
      <c r="S20" s="113"/>
      <c r="T20" s="146"/>
      <c r="U20" s="148">
        <f t="shared" si="1"/>
        <v>15</v>
      </c>
      <c r="V20" s="149">
        <f t="shared" si="2"/>
        <v>15</v>
      </c>
      <c r="W20" s="192"/>
      <c r="X20" s="183"/>
      <c r="Y20" s="183"/>
      <c r="Z20" s="190"/>
      <c r="AA20" s="153"/>
      <c r="AB20" s="154">
        <f t="shared" si="3"/>
        <v>0</v>
      </c>
      <c r="AC20" s="149">
        <f t="shared" si="4"/>
        <v>0</v>
      </c>
      <c r="AD20" s="125">
        <v>2</v>
      </c>
      <c r="AE20" s="148">
        <f t="shared" si="5"/>
        <v>2</v>
      </c>
      <c r="AF20" s="156"/>
      <c r="AG20" s="156"/>
      <c r="AH20" s="113">
        <f t="shared" si="6"/>
        <v>17</v>
      </c>
      <c r="AI20" s="157">
        <v>65</v>
      </c>
      <c r="AJ20" s="113">
        <f t="shared" si="7"/>
        <v>82</v>
      </c>
      <c r="AK20" s="113">
        <f t="shared" si="8"/>
        <v>82</v>
      </c>
      <c r="AL20" s="158">
        <f t="shared" si="9"/>
        <v>1.02</v>
      </c>
      <c r="AM20" s="159"/>
      <c r="AN20" s="160">
        <f t="shared" si="10"/>
        <v>1</v>
      </c>
      <c r="AO20" s="160">
        <f t="shared" si="10"/>
        <v>2</v>
      </c>
      <c r="AP20" s="133"/>
      <c r="AQ20" s="134"/>
      <c r="AR20" s="161"/>
      <c r="AS20" s="161"/>
      <c r="AT20" s="161"/>
      <c r="AU20" s="161"/>
      <c r="AV20" s="162"/>
      <c r="AW20" s="137">
        <f t="shared" si="11"/>
        <v>0</v>
      </c>
      <c r="AX20" s="137">
        <f t="shared" si="12"/>
        <v>0</v>
      </c>
    </row>
    <row r="21" ht="46.5" customHeight="1" spans="1:50" s="97" customFormat="1" x14ac:dyDescent="0.25">
      <c r="A21" s="98"/>
      <c r="B21" s="196"/>
      <c r="C21" s="100"/>
      <c r="D21" s="102"/>
      <c r="E21" s="100"/>
      <c r="F21" s="100"/>
      <c r="G21" s="103"/>
      <c r="H21" s="186"/>
      <c r="I21" s="195">
        <v>0.51</v>
      </c>
      <c r="J21" s="107">
        <v>0.49</v>
      </c>
      <c r="K21" s="107"/>
      <c r="L21" s="107"/>
      <c r="M21" s="187"/>
      <c r="N21" s="169">
        <f t="shared" si="0"/>
        <v>1</v>
      </c>
      <c r="O21" s="144">
        <v>1</v>
      </c>
      <c r="P21" s="145">
        <v>15</v>
      </c>
      <c r="Q21" s="113">
        <v>15</v>
      </c>
      <c r="R21" s="156"/>
      <c r="S21" s="113"/>
      <c r="T21" s="146"/>
      <c r="U21" s="148">
        <f t="shared" si="1"/>
        <v>15</v>
      </c>
      <c r="V21" s="149">
        <f t="shared" si="2"/>
        <v>15</v>
      </c>
      <c r="W21" s="197"/>
      <c r="X21" s="120"/>
      <c r="Y21" s="183"/>
      <c r="Z21" s="190"/>
      <c r="AA21" s="153"/>
      <c r="AB21" s="154">
        <f t="shared" si="3"/>
        <v>0</v>
      </c>
      <c r="AC21" s="149">
        <f t="shared" si="4"/>
        <v>0</v>
      </c>
      <c r="AD21" s="125">
        <v>2</v>
      </c>
      <c r="AE21" s="148">
        <f t="shared" si="5"/>
        <v>2</v>
      </c>
      <c r="AF21" s="156"/>
      <c r="AG21" s="156"/>
      <c r="AH21" s="113">
        <f t="shared" si="6"/>
        <v>17</v>
      </c>
      <c r="AI21" s="157">
        <v>65</v>
      </c>
      <c r="AJ21" s="113">
        <f t="shared" si="7"/>
        <v>82</v>
      </c>
      <c r="AK21" s="113">
        <f t="shared" si="8"/>
        <v>82</v>
      </c>
      <c r="AL21" s="158">
        <f t="shared" si="9"/>
        <v>1.02</v>
      </c>
      <c r="AM21" s="159"/>
      <c r="AN21" s="160">
        <f t="shared" si="10"/>
        <v>1</v>
      </c>
      <c r="AO21" s="160">
        <f t="shared" si="10"/>
        <v>2</v>
      </c>
      <c r="AP21" s="133"/>
      <c r="AQ21" s="134"/>
      <c r="AR21" s="161"/>
      <c r="AS21" s="161"/>
      <c r="AT21" s="161"/>
      <c r="AU21" s="161"/>
      <c r="AV21" s="162"/>
      <c r="AW21" s="137">
        <f t="shared" si="11"/>
        <v>0</v>
      </c>
      <c r="AX21" s="137">
        <f t="shared" si="12"/>
        <v>0</v>
      </c>
    </row>
    <row r="22" ht="46.5" customHeight="1" spans="1:50" s="97" customFormat="1" x14ac:dyDescent="0.25">
      <c r="A22" s="100"/>
      <c r="B22" s="100"/>
      <c r="C22" s="100"/>
      <c r="D22" s="100"/>
      <c r="E22" s="100"/>
      <c r="F22" s="100"/>
      <c r="G22" s="103"/>
      <c r="H22" s="186"/>
      <c r="I22" s="195">
        <v>0.51</v>
      </c>
      <c r="J22" s="107">
        <v>0.49</v>
      </c>
      <c r="K22" s="107"/>
      <c r="L22" s="107"/>
      <c r="M22" s="187"/>
      <c r="N22" s="169">
        <f t="shared" si="0"/>
        <v>1</v>
      </c>
      <c r="O22" s="144">
        <v>1</v>
      </c>
      <c r="P22" s="145">
        <v>15</v>
      </c>
      <c r="Q22" s="113">
        <v>15</v>
      </c>
      <c r="R22" s="113"/>
      <c r="S22" s="113"/>
      <c r="T22" s="146"/>
      <c r="U22" s="148">
        <f t="shared" si="1"/>
        <v>15</v>
      </c>
      <c r="V22" s="149">
        <f t="shared" si="2"/>
        <v>15</v>
      </c>
      <c r="W22" s="189"/>
      <c r="X22" s="199"/>
      <c r="Y22" s="151"/>
      <c r="Z22" s="190"/>
      <c r="AA22" s="153"/>
      <c r="AB22" s="154">
        <f t="shared" si="3"/>
        <v>0</v>
      </c>
      <c r="AC22" s="149">
        <f t="shared" si="4"/>
        <v>0</v>
      </c>
      <c r="AD22" s="125">
        <v>2</v>
      </c>
      <c r="AE22" s="148">
        <f t="shared" si="5"/>
        <v>2</v>
      </c>
      <c r="AF22" s="156"/>
      <c r="AG22" s="156"/>
      <c r="AH22" s="113">
        <f t="shared" si="6"/>
        <v>17</v>
      </c>
      <c r="AI22" s="157">
        <v>65</v>
      </c>
      <c r="AJ22" s="113">
        <f t="shared" si="7"/>
        <v>82</v>
      </c>
      <c r="AK22" s="113">
        <f t="shared" si="8"/>
        <v>82</v>
      </c>
      <c r="AL22" s="158">
        <f t="shared" si="9"/>
        <v>1.02</v>
      </c>
      <c r="AM22" s="159"/>
      <c r="AN22" s="160">
        <f t="shared" si="10"/>
        <v>1</v>
      </c>
      <c r="AO22" s="160">
        <f t="shared" si="10"/>
        <v>2</v>
      </c>
      <c r="AP22" s="133"/>
      <c r="AQ22" s="134"/>
      <c r="AR22" s="161"/>
      <c r="AS22" s="161"/>
      <c r="AT22" s="161"/>
      <c r="AU22" s="161"/>
      <c r="AV22" s="162"/>
      <c r="AW22" s="137">
        <f t="shared" si="11"/>
        <v>0</v>
      </c>
      <c r="AX22" s="137">
        <f t="shared" si="12"/>
        <v>0</v>
      </c>
    </row>
    <row r="23" ht="46.5" customHeight="1" spans="1:50" s="97" customFormat="1" x14ac:dyDescent="0.25">
      <c r="A23" s="100"/>
      <c r="B23" s="100"/>
      <c r="C23" s="100"/>
      <c r="D23" s="100"/>
      <c r="E23" s="100"/>
      <c r="F23" s="100"/>
      <c r="G23" s="103"/>
      <c r="H23" s="186"/>
      <c r="I23" s="195">
        <v>0.51</v>
      </c>
      <c r="J23" s="107">
        <v>0.49</v>
      </c>
      <c r="K23" s="107"/>
      <c r="L23" s="107"/>
      <c r="M23" s="187"/>
      <c r="N23" s="169">
        <f t="shared" si="0"/>
        <v>1</v>
      </c>
      <c r="O23" s="144">
        <v>1</v>
      </c>
      <c r="P23" s="145">
        <v>15</v>
      </c>
      <c r="Q23" s="113">
        <v>15</v>
      </c>
      <c r="R23" s="113"/>
      <c r="S23" s="113"/>
      <c r="T23" s="146"/>
      <c r="U23" s="148">
        <f t="shared" si="1"/>
        <v>15</v>
      </c>
      <c r="V23" s="149">
        <f t="shared" si="2"/>
        <v>15</v>
      </c>
      <c r="W23" s="189"/>
      <c r="X23" s="199"/>
      <c r="Y23" s="151"/>
      <c r="Z23" s="190"/>
      <c r="AA23" s="153"/>
      <c r="AB23" s="154">
        <f t="shared" si="3"/>
        <v>0</v>
      </c>
      <c r="AC23" s="149">
        <f t="shared" si="4"/>
        <v>0</v>
      </c>
      <c r="AD23" s="125">
        <v>2</v>
      </c>
      <c r="AE23" s="148">
        <f t="shared" si="5"/>
        <v>2</v>
      </c>
      <c r="AF23" s="156"/>
      <c r="AG23" s="156"/>
      <c r="AH23" s="113">
        <f t="shared" si="6"/>
        <v>17</v>
      </c>
      <c r="AI23" s="157">
        <v>65</v>
      </c>
      <c r="AJ23" s="113">
        <f t="shared" si="7"/>
        <v>82</v>
      </c>
      <c r="AK23" s="113">
        <f t="shared" si="8"/>
        <v>82</v>
      </c>
      <c r="AL23" s="158">
        <f t="shared" si="9"/>
        <v>1.02</v>
      </c>
      <c r="AM23" s="159"/>
      <c r="AN23" s="160">
        <f t="shared" si="10"/>
        <v>1</v>
      </c>
      <c r="AO23" s="160">
        <f t="shared" si="10"/>
        <v>2</v>
      </c>
      <c r="AP23" s="133"/>
      <c r="AQ23" s="134"/>
      <c r="AR23" s="161"/>
      <c r="AS23" s="161"/>
      <c r="AT23" s="161"/>
      <c r="AU23" s="161"/>
      <c r="AV23" s="162"/>
      <c r="AW23" s="137">
        <f t="shared" si="11"/>
        <v>0</v>
      </c>
      <c r="AX23" s="137">
        <f t="shared" si="12"/>
        <v>0</v>
      </c>
    </row>
    <row r="24" ht="46.5" customHeight="1" spans="1:50" s="97" customFormat="1" x14ac:dyDescent="0.25">
      <c r="A24" s="100"/>
      <c r="B24" s="100"/>
      <c r="C24" s="100"/>
      <c r="D24" s="100"/>
      <c r="E24" s="100"/>
      <c r="F24" s="100"/>
      <c r="G24" s="103"/>
      <c r="H24" s="186"/>
      <c r="I24" s="195">
        <v>0.51</v>
      </c>
      <c r="J24" s="107">
        <v>0.49</v>
      </c>
      <c r="K24" s="107"/>
      <c r="L24" s="107"/>
      <c r="M24" s="187"/>
      <c r="N24" s="169">
        <f t="shared" si="0"/>
        <v>1</v>
      </c>
      <c r="O24" s="144">
        <v>1</v>
      </c>
      <c r="P24" s="145">
        <v>15</v>
      </c>
      <c r="Q24" s="113">
        <v>15</v>
      </c>
      <c r="R24" s="113"/>
      <c r="S24" s="113"/>
      <c r="T24" s="146"/>
      <c r="U24" s="148">
        <f t="shared" si="1"/>
        <v>15</v>
      </c>
      <c r="V24" s="149">
        <f t="shared" si="2"/>
        <v>15</v>
      </c>
      <c r="W24" s="189"/>
      <c r="X24" s="199"/>
      <c r="Y24" s="151"/>
      <c r="Z24" s="190"/>
      <c r="AA24" s="153"/>
      <c r="AB24" s="154">
        <f t="shared" si="3"/>
        <v>0</v>
      </c>
      <c r="AC24" s="149">
        <f t="shared" si="4"/>
        <v>0</v>
      </c>
      <c r="AD24" s="125">
        <v>2</v>
      </c>
      <c r="AE24" s="148">
        <f t="shared" si="5"/>
        <v>2</v>
      </c>
      <c r="AF24" s="156"/>
      <c r="AG24" s="156"/>
      <c r="AH24" s="113">
        <f t="shared" si="6"/>
        <v>17</v>
      </c>
      <c r="AI24" s="157">
        <v>65</v>
      </c>
      <c r="AJ24" s="113">
        <f t="shared" si="7"/>
        <v>82</v>
      </c>
      <c r="AK24" s="113">
        <f t="shared" si="8"/>
        <v>82</v>
      </c>
      <c r="AL24" s="158">
        <f t="shared" si="9"/>
        <v>1.02</v>
      </c>
      <c r="AM24" s="159"/>
      <c r="AN24" s="160">
        <f t="shared" si="10"/>
        <v>1</v>
      </c>
      <c r="AO24" s="160">
        <f t="shared" si="10"/>
        <v>2</v>
      </c>
      <c r="AP24" s="133"/>
      <c r="AQ24" s="134"/>
      <c r="AR24" s="161"/>
      <c r="AS24" s="161"/>
      <c r="AT24" s="161"/>
      <c r="AU24" s="161"/>
      <c r="AV24" s="162"/>
      <c r="AW24" s="137">
        <f t="shared" si="11"/>
        <v>0</v>
      </c>
      <c r="AX24" s="137">
        <f t="shared" si="12"/>
        <v>0</v>
      </c>
    </row>
    <row r="25" ht="46.5" customHeight="1" spans="1:50" s="97" customFormat="1" x14ac:dyDescent="0.25">
      <c r="A25" s="100"/>
      <c r="B25" s="100"/>
      <c r="C25" s="100"/>
      <c r="D25" s="100"/>
      <c r="E25" s="100"/>
      <c r="F25" s="100"/>
      <c r="G25" s="103"/>
      <c r="H25" s="186"/>
      <c r="I25" s="195">
        <v>0.51</v>
      </c>
      <c r="J25" s="107">
        <v>0.49</v>
      </c>
      <c r="K25" s="107"/>
      <c r="L25" s="107"/>
      <c r="M25" s="187"/>
      <c r="N25" s="169">
        <f t="shared" si="0"/>
        <v>1</v>
      </c>
      <c r="O25" s="144">
        <v>1</v>
      </c>
      <c r="P25" s="145">
        <v>15</v>
      </c>
      <c r="Q25" s="113">
        <v>15</v>
      </c>
      <c r="R25" s="113"/>
      <c r="S25" s="113"/>
      <c r="T25" s="146"/>
      <c r="U25" s="148">
        <f t="shared" si="1"/>
        <v>15</v>
      </c>
      <c r="V25" s="149">
        <f t="shared" si="2"/>
        <v>15</v>
      </c>
      <c r="W25" s="189"/>
      <c r="X25" s="199"/>
      <c r="Y25" s="151"/>
      <c r="Z25" s="190"/>
      <c r="AA25" s="153"/>
      <c r="AB25" s="154">
        <f t="shared" si="3"/>
        <v>0</v>
      </c>
      <c r="AC25" s="149">
        <f t="shared" si="4"/>
        <v>0</v>
      </c>
      <c r="AD25" s="125">
        <v>2</v>
      </c>
      <c r="AE25" s="148">
        <f t="shared" si="5"/>
        <v>2</v>
      </c>
      <c r="AF25" s="156"/>
      <c r="AG25" s="156"/>
      <c r="AH25" s="113">
        <f t="shared" si="6"/>
        <v>17</v>
      </c>
      <c r="AI25" s="157">
        <v>65</v>
      </c>
      <c r="AJ25" s="113">
        <f t="shared" si="7"/>
        <v>82</v>
      </c>
      <c r="AK25" s="113">
        <f t="shared" si="8"/>
        <v>82</v>
      </c>
      <c r="AL25" s="158">
        <f t="shared" si="9"/>
        <v>1.02</v>
      </c>
      <c r="AM25" s="159"/>
      <c r="AN25" s="160">
        <f t="shared" si="10"/>
        <v>1</v>
      </c>
      <c r="AO25" s="160">
        <f t="shared" si="10"/>
        <v>2</v>
      </c>
      <c r="AP25" s="133"/>
      <c r="AQ25" s="134"/>
      <c r="AR25" s="161"/>
      <c r="AS25" s="161"/>
      <c r="AT25" s="161"/>
      <c r="AU25" s="161"/>
      <c r="AV25" s="162"/>
      <c r="AW25" s="137">
        <f t="shared" si="11"/>
        <v>0</v>
      </c>
      <c r="AX25" s="137">
        <f t="shared" si="12"/>
        <v>0</v>
      </c>
    </row>
    <row r="26" ht="46.5" customHeight="1" spans="1:50" s="97" customFormat="1" x14ac:dyDescent="0.25">
      <c r="A26" s="100"/>
      <c r="B26" s="100"/>
      <c r="C26" s="100"/>
      <c r="D26" s="100"/>
      <c r="E26" s="100"/>
      <c r="F26" s="100"/>
      <c r="G26" s="103"/>
      <c r="H26" s="186"/>
      <c r="I26" s="195">
        <v>0.51</v>
      </c>
      <c r="J26" s="107">
        <v>0.49</v>
      </c>
      <c r="K26" s="107"/>
      <c r="L26" s="107"/>
      <c r="M26" s="187"/>
      <c r="N26" s="169">
        <f t="shared" si="0"/>
        <v>1</v>
      </c>
      <c r="O26" s="144">
        <v>1</v>
      </c>
      <c r="P26" s="145">
        <v>15</v>
      </c>
      <c r="Q26" s="113">
        <v>15</v>
      </c>
      <c r="R26" s="113"/>
      <c r="S26" s="113"/>
      <c r="T26" s="146"/>
      <c r="U26" s="148">
        <f t="shared" si="1"/>
        <v>15</v>
      </c>
      <c r="V26" s="149">
        <f t="shared" si="2"/>
        <v>15</v>
      </c>
      <c r="W26" s="189"/>
      <c r="X26" s="199"/>
      <c r="Y26" s="151"/>
      <c r="Z26" s="190"/>
      <c r="AA26" s="153"/>
      <c r="AB26" s="154">
        <f t="shared" si="3"/>
        <v>0</v>
      </c>
      <c r="AC26" s="149">
        <f t="shared" si="4"/>
        <v>0</v>
      </c>
      <c r="AD26" s="125">
        <v>2</v>
      </c>
      <c r="AE26" s="148">
        <f t="shared" si="5"/>
        <v>2</v>
      </c>
      <c r="AF26" s="156"/>
      <c r="AG26" s="156"/>
      <c r="AH26" s="113">
        <f t="shared" si="6"/>
        <v>17</v>
      </c>
      <c r="AI26" s="157">
        <v>65</v>
      </c>
      <c r="AJ26" s="113">
        <f t="shared" si="7"/>
        <v>82</v>
      </c>
      <c r="AK26" s="113">
        <f t="shared" si="8"/>
        <v>82</v>
      </c>
      <c r="AL26" s="158">
        <f t="shared" si="9"/>
        <v>1.02</v>
      </c>
      <c r="AM26" s="159"/>
      <c r="AN26" s="160">
        <f t="shared" si="10"/>
        <v>1</v>
      </c>
      <c r="AO26" s="160">
        <f t="shared" si="10"/>
        <v>2</v>
      </c>
      <c r="AP26" s="133"/>
      <c r="AQ26" s="134"/>
      <c r="AR26" s="161"/>
      <c r="AS26" s="161"/>
      <c r="AT26" s="161"/>
      <c r="AU26" s="161"/>
      <c r="AV26" s="162"/>
      <c r="AW26" s="137">
        <f t="shared" si="11"/>
        <v>0</v>
      </c>
      <c r="AX26" s="137">
        <f t="shared" si="12"/>
        <v>0</v>
      </c>
    </row>
    <row r="27" ht="46.5" customHeight="1" spans="1:50" s="97" customFormat="1" x14ac:dyDescent="0.25">
      <c r="A27" s="100"/>
      <c r="B27" s="100"/>
      <c r="C27" s="100"/>
      <c r="D27" s="100"/>
      <c r="E27" s="100"/>
      <c r="F27" s="100"/>
      <c r="G27" s="103"/>
      <c r="H27" s="186"/>
      <c r="I27" s="195">
        <v>0.51</v>
      </c>
      <c r="J27" s="107">
        <v>0.49</v>
      </c>
      <c r="K27" s="107"/>
      <c r="L27" s="107"/>
      <c r="M27" s="187"/>
      <c r="N27" s="169">
        <f t="shared" si="0"/>
        <v>1</v>
      </c>
      <c r="O27" s="144">
        <v>1</v>
      </c>
      <c r="P27" s="145">
        <v>15</v>
      </c>
      <c r="Q27" s="113">
        <v>15</v>
      </c>
      <c r="R27" s="113"/>
      <c r="S27" s="113"/>
      <c r="T27" s="146"/>
      <c r="U27" s="148">
        <f t="shared" si="1"/>
        <v>15</v>
      </c>
      <c r="V27" s="149">
        <f t="shared" si="2"/>
        <v>15</v>
      </c>
      <c r="W27" s="189"/>
      <c r="X27" s="199"/>
      <c r="Y27" s="151"/>
      <c r="Z27" s="190"/>
      <c r="AA27" s="153"/>
      <c r="AB27" s="154">
        <f t="shared" si="3"/>
        <v>0</v>
      </c>
      <c r="AC27" s="149">
        <f t="shared" si="4"/>
        <v>0</v>
      </c>
      <c r="AD27" s="125">
        <v>2</v>
      </c>
      <c r="AE27" s="148">
        <f t="shared" si="5"/>
        <v>2</v>
      </c>
      <c r="AF27" s="156"/>
      <c r="AG27" s="156"/>
      <c r="AH27" s="113">
        <f t="shared" si="6"/>
        <v>17</v>
      </c>
      <c r="AI27" s="157">
        <v>65</v>
      </c>
      <c r="AJ27" s="113">
        <f t="shared" si="7"/>
        <v>82</v>
      </c>
      <c r="AK27" s="113">
        <f t="shared" si="8"/>
        <v>82</v>
      </c>
      <c r="AL27" s="158">
        <f t="shared" si="9"/>
        <v>1.02</v>
      </c>
      <c r="AM27" s="159"/>
      <c r="AN27" s="160">
        <f t="shared" si="10"/>
        <v>1</v>
      </c>
      <c r="AO27" s="160">
        <f t="shared" si="10"/>
        <v>2</v>
      </c>
      <c r="AP27" s="133"/>
      <c r="AQ27" s="134"/>
      <c r="AR27" s="161"/>
      <c r="AS27" s="161"/>
      <c r="AT27" s="161"/>
      <c r="AU27" s="161"/>
      <c r="AV27" s="162"/>
      <c r="AW27" s="137">
        <f t="shared" si="11"/>
        <v>0</v>
      </c>
      <c r="AX27" s="137">
        <f t="shared" si="12"/>
        <v>0</v>
      </c>
    </row>
    <row r="28" ht="46.5" customHeight="1" spans="1:50" s="97" customFormat="1" x14ac:dyDescent="0.25">
      <c r="A28" s="100"/>
      <c r="B28" s="100"/>
      <c r="C28" s="100"/>
      <c r="D28" s="100"/>
      <c r="E28" s="100"/>
      <c r="F28" s="100"/>
      <c r="G28" s="103"/>
      <c r="H28" s="186"/>
      <c r="I28" s="195">
        <v>0.51</v>
      </c>
      <c r="J28" s="107">
        <v>0.49</v>
      </c>
      <c r="K28" s="107"/>
      <c r="L28" s="107"/>
      <c r="M28" s="187"/>
      <c r="N28" s="169">
        <f t="shared" si="0"/>
        <v>1</v>
      </c>
      <c r="O28" s="144">
        <v>1</v>
      </c>
      <c r="P28" s="145">
        <v>15</v>
      </c>
      <c r="Q28" s="113">
        <v>15</v>
      </c>
      <c r="R28" s="113"/>
      <c r="S28" s="113"/>
      <c r="T28" s="146"/>
      <c r="U28" s="148">
        <f t="shared" si="1"/>
        <v>15</v>
      </c>
      <c r="V28" s="149">
        <f t="shared" si="2"/>
        <v>15</v>
      </c>
      <c r="W28" s="189"/>
      <c r="X28" s="199"/>
      <c r="Y28" s="151"/>
      <c r="Z28" s="190"/>
      <c r="AA28" s="153"/>
      <c r="AB28" s="154">
        <f t="shared" si="3"/>
        <v>0</v>
      </c>
      <c r="AC28" s="149">
        <f t="shared" si="4"/>
        <v>0</v>
      </c>
      <c r="AD28" s="125">
        <v>2</v>
      </c>
      <c r="AE28" s="148">
        <f t="shared" si="5"/>
        <v>2</v>
      </c>
      <c r="AF28" s="156"/>
      <c r="AG28" s="156"/>
      <c r="AH28" s="113">
        <f t="shared" si="6"/>
        <v>17</v>
      </c>
      <c r="AI28" s="157">
        <v>65</v>
      </c>
      <c r="AJ28" s="113">
        <f t="shared" si="7"/>
        <v>82</v>
      </c>
      <c r="AK28" s="113">
        <f t="shared" si="8"/>
        <v>82</v>
      </c>
      <c r="AL28" s="158">
        <f t="shared" si="9"/>
        <v>1.02</v>
      </c>
      <c r="AM28" s="159"/>
      <c r="AN28" s="160">
        <f t="shared" si="10"/>
        <v>1</v>
      </c>
      <c r="AO28" s="160">
        <f t="shared" si="10"/>
        <v>2</v>
      </c>
      <c r="AP28" s="133"/>
      <c r="AQ28" s="134"/>
      <c r="AR28" s="161"/>
      <c r="AS28" s="161"/>
      <c r="AT28" s="161"/>
      <c r="AU28" s="161"/>
      <c r="AV28" s="162"/>
      <c r="AW28" s="137">
        <f t="shared" si="11"/>
        <v>0</v>
      </c>
      <c r="AX28" s="137">
        <f t="shared" si="12"/>
        <v>0</v>
      </c>
    </row>
    <row r="29" ht="46.5" customHeight="1" spans="1:50" s="97" customFormat="1" x14ac:dyDescent="0.25">
      <c r="A29" s="100"/>
      <c r="B29" s="100"/>
      <c r="C29" s="100"/>
      <c r="D29" s="100"/>
      <c r="E29" s="100"/>
      <c r="F29" s="100"/>
      <c r="G29" s="103"/>
      <c r="H29" s="186"/>
      <c r="I29" s="195">
        <v>0.51</v>
      </c>
      <c r="J29" s="107">
        <v>0.49</v>
      </c>
      <c r="K29" s="107"/>
      <c r="L29" s="107"/>
      <c r="M29" s="187"/>
      <c r="N29" s="169">
        <f t="shared" si="0"/>
        <v>1</v>
      </c>
      <c r="O29" s="144">
        <v>1</v>
      </c>
      <c r="P29" s="145">
        <v>15</v>
      </c>
      <c r="Q29" s="113">
        <v>15</v>
      </c>
      <c r="R29" s="113"/>
      <c r="S29" s="113"/>
      <c r="T29" s="146"/>
      <c r="U29" s="148">
        <f t="shared" si="1"/>
        <v>15</v>
      </c>
      <c r="V29" s="149">
        <f t="shared" si="2"/>
        <v>15</v>
      </c>
      <c r="W29" s="189"/>
      <c r="X29" s="199"/>
      <c r="Y29" s="151"/>
      <c r="Z29" s="190"/>
      <c r="AA29" s="153"/>
      <c r="AB29" s="154">
        <f t="shared" si="3"/>
        <v>0</v>
      </c>
      <c r="AC29" s="149">
        <f t="shared" si="4"/>
        <v>0</v>
      </c>
      <c r="AD29" s="125">
        <v>2</v>
      </c>
      <c r="AE29" s="148">
        <f t="shared" si="5"/>
        <v>2</v>
      </c>
      <c r="AF29" s="156"/>
      <c r="AG29" s="156"/>
      <c r="AH29" s="113">
        <f t="shared" si="6"/>
        <v>17</v>
      </c>
      <c r="AI29" s="157">
        <v>65</v>
      </c>
      <c r="AJ29" s="113">
        <f t="shared" si="7"/>
        <v>82</v>
      </c>
      <c r="AK29" s="113">
        <f t="shared" si="8"/>
        <v>82</v>
      </c>
      <c r="AL29" s="158">
        <f t="shared" si="9"/>
        <v>1.02</v>
      </c>
      <c r="AM29" s="159"/>
      <c r="AN29" s="160">
        <f t="shared" si="10"/>
        <v>1</v>
      </c>
      <c r="AO29" s="160">
        <f t="shared" si="10"/>
        <v>2</v>
      </c>
      <c r="AP29" s="133"/>
      <c r="AQ29" s="134"/>
      <c r="AR29" s="161"/>
      <c r="AS29" s="161"/>
      <c r="AT29" s="161"/>
      <c r="AU29" s="161"/>
      <c r="AV29" s="162"/>
      <c r="AW29" s="137">
        <f t="shared" si="11"/>
        <v>0</v>
      </c>
      <c r="AX29" s="137">
        <f t="shared" si="12"/>
        <v>0</v>
      </c>
    </row>
    <row r="30" ht="46.5" customHeight="1" spans="1:50" s="97" customFormat="1" x14ac:dyDescent="0.25">
      <c r="A30" s="100"/>
      <c r="B30" s="100"/>
      <c r="C30" s="100"/>
      <c r="D30" s="100"/>
      <c r="E30" s="100"/>
      <c r="F30" s="100"/>
      <c r="G30" s="103"/>
      <c r="H30" s="186"/>
      <c r="I30" s="195">
        <v>0.51</v>
      </c>
      <c r="J30" s="107">
        <v>0.49</v>
      </c>
      <c r="K30" s="107"/>
      <c r="L30" s="107"/>
      <c r="M30" s="187"/>
      <c r="N30" s="169">
        <f t="shared" si="0"/>
        <v>1</v>
      </c>
      <c r="O30" s="144">
        <v>1</v>
      </c>
      <c r="P30" s="145">
        <v>15</v>
      </c>
      <c r="Q30" s="113">
        <v>15</v>
      </c>
      <c r="R30" s="113"/>
      <c r="S30" s="113"/>
      <c r="T30" s="146"/>
      <c r="U30" s="148">
        <f t="shared" si="1"/>
        <v>15</v>
      </c>
      <c r="V30" s="149">
        <f t="shared" si="2"/>
        <v>15</v>
      </c>
      <c r="W30" s="189"/>
      <c r="X30" s="199"/>
      <c r="Y30" s="151"/>
      <c r="Z30" s="190"/>
      <c r="AA30" s="153"/>
      <c r="AB30" s="154">
        <f t="shared" si="3"/>
        <v>0</v>
      </c>
      <c r="AC30" s="149">
        <f t="shared" si="4"/>
        <v>0</v>
      </c>
      <c r="AD30" s="125">
        <v>2</v>
      </c>
      <c r="AE30" s="148">
        <f t="shared" si="5"/>
        <v>2</v>
      </c>
      <c r="AF30" s="156"/>
      <c r="AG30" s="156"/>
      <c r="AH30" s="113">
        <f t="shared" si="6"/>
        <v>17</v>
      </c>
      <c r="AI30" s="157">
        <v>65</v>
      </c>
      <c r="AJ30" s="113">
        <f t="shared" si="7"/>
        <v>82</v>
      </c>
      <c r="AK30" s="113">
        <f t="shared" si="8"/>
        <v>82</v>
      </c>
      <c r="AL30" s="158">
        <f t="shared" si="9"/>
        <v>1.02</v>
      </c>
      <c r="AM30" s="159"/>
      <c r="AN30" s="160">
        <f t="shared" si="10"/>
        <v>1</v>
      </c>
      <c r="AO30" s="160">
        <f t="shared" si="10"/>
        <v>2</v>
      </c>
      <c r="AP30" s="133"/>
      <c r="AQ30" s="134"/>
      <c r="AR30" s="161"/>
      <c r="AS30" s="161"/>
      <c r="AT30" s="161"/>
      <c r="AU30" s="161"/>
      <c r="AV30" s="162"/>
      <c r="AW30" s="137">
        <f t="shared" si="11"/>
        <v>0</v>
      </c>
      <c r="AX30" s="137">
        <f t="shared" si="12"/>
        <v>0</v>
      </c>
    </row>
    <row r="31" ht="46.5" customHeight="1" spans="1:50" s="97" customFormat="1" x14ac:dyDescent="0.25">
      <c r="A31" s="100"/>
      <c r="B31" s="100"/>
      <c r="C31" s="100"/>
      <c r="D31" s="100"/>
      <c r="E31" s="100"/>
      <c r="F31" s="100"/>
      <c r="G31" s="103"/>
      <c r="H31" s="186"/>
      <c r="I31" s="195">
        <v>0.51</v>
      </c>
      <c r="J31" s="107">
        <v>0.49</v>
      </c>
      <c r="K31" s="107"/>
      <c r="L31" s="107"/>
      <c r="M31" s="187"/>
      <c r="N31" s="169">
        <f t="shared" si="0"/>
        <v>1</v>
      </c>
      <c r="O31" s="144">
        <v>1</v>
      </c>
      <c r="P31" s="145">
        <v>15</v>
      </c>
      <c r="Q31" s="113">
        <v>15</v>
      </c>
      <c r="R31" s="113"/>
      <c r="S31" s="113"/>
      <c r="T31" s="146"/>
      <c r="U31" s="148">
        <f t="shared" si="1"/>
        <v>15</v>
      </c>
      <c r="V31" s="149">
        <f t="shared" si="2"/>
        <v>15</v>
      </c>
      <c r="W31" s="189"/>
      <c r="X31" s="199"/>
      <c r="Y31" s="151"/>
      <c r="Z31" s="190"/>
      <c r="AA31" s="153"/>
      <c r="AB31" s="154">
        <f t="shared" si="3"/>
        <v>0</v>
      </c>
      <c r="AC31" s="149">
        <f t="shared" si="4"/>
        <v>0</v>
      </c>
      <c r="AD31" s="125">
        <v>2</v>
      </c>
      <c r="AE31" s="148">
        <f t="shared" si="5"/>
        <v>2</v>
      </c>
      <c r="AF31" s="156"/>
      <c r="AG31" s="156"/>
      <c r="AH31" s="113">
        <f t="shared" si="6"/>
        <v>17</v>
      </c>
      <c r="AI31" s="157">
        <v>65</v>
      </c>
      <c r="AJ31" s="113">
        <f t="shared" si="7"/>
        <v>82</v>
      </c>
      <c r="AK31" s="113">
        <f t="shared" si="8"/>
        <v>82</v>
      </c>
      <c r="AL31" s="158">
        <f t="shared" si="9"/>
        <v>1.02</v>
      </c>
      <c r="AM31" s="159"/>
      <c r="AN31" s="160">
        <f t="shared" ref="AN31:AO50" si="13">100%+AM31</f>
        <v>1</v>
      </c>
      <c r="AO31" s="160">
        <f t="shared" si="13"/>
        <v>2</v>
      </c>
      <c r="AP31" s="133"/>
      <c r="AQ31" s="134"/>
      <c r="AR31" s="161"/>
      <c r="AS31" s="161"/>
      <c r="AT31" s="161"/>
      <c r="AU31" s="161"/>
      <c r="AV31" s="162"/>
      <c r="AW31" s="137">
        <f t="shared" si="11"/>
        <v>0</v>
      </c>
      <c r="AX31" s="137">
        <f t="shared" si="12"/>
        <v>0</v>
      </c>
    </row>
    <row r="32" ht="46.5" customHeight="1" spans="1:50" s="97" customFormat="1" x14ac:dyDescent="0.25">
      <c r="A32" s="100"/>
      <c r="B32" s="100"/>
      <c r="C32" s="100"/>
      <c r="D32" s="100"/>
      <c r="E32" s="100"/>
      <c r="F32" s="100"/>
      <c r="G32" s="103"/>
      <c r="H32" s="186"/>
      <c r="I32" s="195">
        <v>0.51</v>
      </c>
      <c r="J32" s="107">
        <v>0.49</v>
      </c>
      <c r="K32" s="107"/>
      <c r="L32" s="107"/>
      <c r="M32" s="187"/>
      <c r="N32" s="169">
        <f t="shared" si="0"/>
        <v>1</v>
      </c>
      <c r="O32" s="144">
        <v>1</v>
      </c>
      <c r="P32" s="145">
        <v>15</v>
      </c>
      <c r="Q32" s="113">
        <v>15</v>
      </c>
      <c r="R32" s="113"/>
      <c r="S32" s="113"/>
      <c r="T32" s="146"/>
      <c r="U32" s="148">
        <f t="shared" si="1"/>
        <v>15</v>
      </c>
      <c r="V32" s="149">
        <f t="shared" si="2"/>
        <v>15</v>
      </c>
      <c r="W32" s="189"/>
      <c r="X32" s="199"/>
      <c r="Y32" s="151"/>
      <c r="Z32" s="190"/>
      <c r="AA32" s="153"/>
      <c r="AB32" s="154">
        <f t="shared" si="3"/>
        <v>0</v>
      </c>
      <c r="AC32" s="149">
        <f t="shared" si="4"/>
        <v>0</v>
      </c>
      <c r="AD32" s="125">
        <v>2</v>
      </c>
      <c r="AE32" s="148">
        <f t="shared" si="5"/>
        <v>2</v>
      </c>
      <c r="AF32" s="156"/>
      <c r="AG32" s="156"/>
      <c r="AH32" s="113">
        <f t="shared" si="6"/>
        <v>17</v>
      </c>
      <c r="AI32" s="157">
        <v>65</v>
      </c>
      <c r="AJ32" s="113">
        <f t="shared" si="7"/>
        <v>82</v>
      </c>
      <c r="AK32" s="113">
        <f t="shared" si="8"/>
        <v>82</v>
      </c>
      <c r="AL32" s="158">
        <f t="shared" si="9"/>
        <v>1.02</v>
      </c>
      <c r="AM32" s="159"/>
      <c r="AN32" s="160">
        <f t="shared" si="13"/>
        <v>1</v>
      </c>
      <c r="AO32" s="160">
        <f t="shared" si="13"/>
        <v>2</v>
      </c>
      <c r="AP32" s="133"/>
      <c r="AQ32" s="134"/>
      <c r="AR32" s="161"/>
      <c r="AS32" s="161"/>
      <c r="AT32" s="161"/>
      <c r="AU32" s="161"/>
      <c r="AV32" s="162"/>
      <c r="AW32" s="137">
        <f t="shared" si="11"/>
        <v>0</v>
      </c>
      <c r="AX32" s="137">
        <f t="shared" si="12"/>
        <v>0</v>
      </c>
    </row>
    <row r="33" ht="46.5" customHeight="1" spans="1:50" s="97" customFormat="1" x14ac:dyDescent="0.25">
      <c r="A33" s="100"/>
      <c r="B33" s="100"/>
      <c r="C33" s="100"/>
      <c r="D33" s="100"/>
      <c r="E33" s="100"/>
      <c r="F33" s="100"/>
      <c r="G33" s="103"/>
      <c r="H33" s="186"/>
      <c r="I33" s="195">
        <v>0.51</v>
      </c>
      <c r="J33" s="107">
        <v>0.49</v>
      </c>
      <c r="K33" s="107"/>
      <c r="L33" s="107"/>
      <c r="M33" s="187"/>
      <c r="N33" s="169">
        <f t="shared" si="0"/>
        <v>1</v>
      </c>
      <c r="O33" s="144">
        <v>1</v>
      </c>
      <c r="P33" s="145">
        <v>15</v>
      </c>
      <c r="Q33" s="113">
        <v>15</v>
      </c>
      <c r="R33" s="113"/>
      <c r="S33" s="113"/>
      <c r="T33" s="146"/>
      <c r="U33" s="148">
        <f t="shared" si="1"/>
        <v>15</v>
      </c>
      <c r="V33" s="149">
        <f t="shared" si="2"/>
        <v>15</v>
      </c>
      <c r="W33" s="189"/>
      <c r="X33" s="199"/>
      <c r="Y33" s="151"/>
      <c r="Z33" s="190"/>
      <c r="AA33" s="153"/>
      <c r="AB33" s="154">
        <f t="shared" si="3"/>
        <v>0</v>
      </c>
      <c r="AC33" s="149">
        <f t="shared" si="4"/>
        <v>0</v>
      </c>
      <c r="AD33" s="125">
        <v>2</v>
      </c>
      <c r="AE33" s="148">
        <f t="shared" si="5"/>
        <v>2</v>
      </c>
      <c r="AF33" s="156"/>
      <c r="AG33" s="156"/>
      <c r="AH33" s="113">
        <f t="shared" si="6"/>
        <v>17</v>
      </c>
      <c r="AI33" s="157">
        <v>65</v>
      </c>
      <c r="AJ33" s="113">
        <f t="shared" si="7"/>
        <v>82</v>
      </c>
      <c r="AK33" s="113">
        <f t="shared" si="8"/>
        <v>82</v>
      </c>
      <c r="AL33" s="158">
        <f t="shared" si="9"/>
        <v>1.02</v>
      </c>
      <c r="AM33" s="159"/>
      <c r="AN33" s="160">
        <f t="shared" si="13"/>
        <v>1</v>
      </c>
      <c r="AO33" s="160">
        <f t="shared" si="13"/>
        <v>2</v>
      </c>
      <c r="AP33" s="133"/>
      <c r="AQ33" s="134"/>
      <c r="AR33" s="161"/>
      <c r="AS33" s="161"/>
      <c r="AT33" s="161"/>
      <c r="AU33" s="161"/>
      <c r="AV33" s="162"/>
      <c r="AW33" s="137">
        <f t="shared" si="11"/>
        <v>0</v>
      </c>
      <c r="AX33" s="137">
        <f t="shared" si="12"/>
        <v>0</v>
      </c>
    </row>
    <row r="34" ht="46.5" customHeight="1" spans="1:50" s="97" customFormat="1" x14ac:dyDescent="0.25">
      <c r="A34" s="100"/>
      <c r="B34" s="100"/>
      <c r="C34" s="100"/>
      <c r="D34" s="100"/>
      <c r="E34" s="100"/>
      <c r="F34" s="100"/>
      <c r="G34" s="103"/>
      <c r="H34" s="186"/>
      <c r="I34" s="195">
        <v>0.51</v>
      </c>
      <c r="J34" s="107">
        <v>0.49</v>
      </c>
      <c r="K34" s="107"/>
      <c r="L34" s="107"/>
      <c r="M34" s="187"/>
      <c r="N34" s="169">
        <f t="shared" si="0"/>
        <v>1</v>
      </c>
      <c r="O34" s="144">
        <v>1</v>
      </c>
      <c r="P34" s="145">
        <v>15</v>
      </c>
      <c r="Q34" s="113">
        <v>15</v>
      </c>
      <c r="R34" s="113"/>
      <c r="S34" s="113"/>
      <c r="T34" s="146"/>
      <c r="U34" s="148">
        <f t="shared" si="1"/>
        <v>15</v>
      </c>
      <c r="V34" s="149">
        <f t="shared" si="2"/>
        <v>15</v>
      </c>
      <c r="W34" s="189"/>
      <c r="X34" s="199"/>
      <c r="Y34" s="151"/>
      <c r="Z34" s="190"/>
      <c r="AA34" s="153"/>
      <c r="AB34" s="154">
        <f t="shared" si="3"/>
        <v>0</v>
      </c>
      <c r="AC34" s="149">
        <f t="shared" si="4"/>
        <v>0</v>
      </c>
      <c r="AD34" s="125">
        <v>2</v>
      </c>
      <c r="AE34" s="148">
        <f t="shared" si="5"/>
        <v>2</v>
      </c>
      <c r="AF34" s="156"/>
      <c r="AG34" s="156"/>
      <c r="AH34" s="113">
        <f t="shared" si="6"/>
        <v>17</v>
      </c>
      <c r="AI34" s="157">
        <v>65</v>
      </c>
      <c r="AJ34" s="113">
        <f t="shared" si="7"/>
        <v>82</v>
      </c>
      <c r="AK34" s="113">
        <f t="shared" si="8"/>
        <v>82</v>
      </c>
      <c r="AL34" s="158">
        <f t="shared" si="9"/>
        <v>1.02</v>
      </c>
      <c r="AM34" s="159"/>
      <c r="AN34" s="160">
        <f t="shared" si="13"/>
        <v>1</v>
      </c>
      <c r="AO34" s="160">
        <f t="shared" si="13"/>
        <v>2</v>
      </c>
      <c r="AP34" s="133"/>
      <c r="AQ34" s="134"/>
      <c r="AR34" s="161"/>
      <c r="AS34" s="161"/>
      <c r="AT34" s="161"/>
      <c r="AU34" s="161"/>
      <c r="AV34" s="162"/>
      <c r="AW34" s="137">
        <f t="shared" si="11"/>
        <v>0</v>
      </c>
      <c r="AX34" s="137">
        <f t="shared" si="12"/>
        <v>0</v>
      </c>
    </row>
    <row r="35" ht="46.5" customHeight="1" spans="1:50" s="97" customFormat="1" x14ac:dyDescent="0.25">
      <c r="A35" s="100"/>
      <c r="B35" s="100"/>
      <c r="C35" s="100"/>
      <c r="D35" s="100"/>
      <c r="E35" s="100"/>
      <c r="F35" s="100"/>
      <c r="G35" s="103"/>
      <c r="H35" s="186"/>
      <c r="I35" s="195">
        <v>0.51</v>
      </c>
      <c r="J35" s="107">
        <v>0.49</v>
      </c>
      <c r="K35" s="107"/>
      <c r="L35" s="107"/>
      <c r="M35" s="187"/>
      <c r="N35" s="169">
        <f t="shared" si="0"/>
        <v>1</v>
      </c>
      <c r="O35" s="144">
        <v>1</v>
      </c>
      <c r="P35" s="145">
        <v>15</v>
      </c>
      <c r="Q35" s="113">
        <v>15</v>
      </c>
      <c r="R35" s="113"/>
      <c r="S35" s="113"/>
      <c r="T35" s="146"/>
      <c r="U35" s="148">
        <f t="shared" si="1"/>
        <v>15</v>
      </c>
      <c r="V35" s="149">
        <f t="shared" si="2"/>
        <v>15</v>
      </c>
      <c r="W35" s="189"/>
      <c r="X35" s="199"/>
      <c r="Y35" s="151"/>
      <c r="Z35" s="190"/>
      <c r="AA35" s="153"/>
      <c r="AB35" s="154">
        <f t="shared" si="3"/>
        <v>0</v>
      </c>
      <c r="AC35" s="149">
        <f t="shared" si="4"/>
        <v>0</v>
      </c>
      <c r="AD35" s="125">
        <v>2</v>
      </c>
      <c r="AE35" s="148">
        <f t="shared" si="5"/>
        <v>2</v>
      </c>
      <c r="AF35" s="156"/>
      <c r="AG35" s="156"/>
      <c r="AH35" s="113">
        <f t="shared" si="6"/>
        <v>17</v>
      </c>
      <c r="AI35" s="157">
        <v>65</v>
      </c>
      <c r="AJ35" s="113">
        <f t="shared" si="7"/>
        <v>82</v>
      </c>
      <c r="AK35" s="113">
        <f t="shared" si="8"/>
        <v>82</v>
      </c>
      <c r="AL35" s="158">
        <f t="shared" si="9"/>
        <v>1.02</v>
      </c>
      <c r="AM35" s="159"/>
      <c r="AN35" s="160">
        <f t="shared" si="13"/>
        <v>1</v>
      </c>
      <c r="AO35" s="160">
        <f t="shared" si="13"/>
        <v>2</v>
      </c>
      <c r="AP35" s="133"/>
      <c r="AQ35" s="134"/>
      <c r="AR35" s="161"/>
      <c r="AS35" s="161"/>
      <c r="AT35" s="161"/>
      <c r="AU35" s="161"/>
      <c r="AV35" s="162"/>
      <c r="AW35" s="137">
        <f t="shared" si="11"/>
        <v>0</v>
      </c>
      <c r="AX35" s="137">
        <f t="shared" si="12"/>
        <v>0</v>
      </c>
    </row>
    <row r="36" ht="46.5" customHeight="1" spans="1:50" s="97" customFormat="1" x14ac:dyDescent="0.25">
      <c r="A36" s="100"/>
      <c r="B36" s="100"/>
      <c r="C36" s="100"/>
      <c r="D36" s="100"/>
      <c r="E36" s="100"/>
      <c r="F36" s="100"/>
      <c r="G36" s="103"/>
      <c r="H36" s="186"/>
      <c r="I36" s="195">
        <v>0.51</v>
      </c>
      <c r="J36" s="107">
        <v>0.49</v>
      </c>
      <c r="K36" s="107"/>
      <c r="L36" s="107"/>
      <c r="M36" s="187"/>
      <c r="N36" s="169">
        <f t="shared" si="0"/>
        <v>1</v>
      </c>
      <c r="O36" s="144">
        <v>1</v>
      </c>
      <c r="P36" s="145">
        <v>15</v>
      </c>
      <c r="Q36" s="113">
        <v>15</v>
      </c>
      <c r="R36" s="113"/>
      <c r="S36" s="113"/>
      <c r="T36" s="146"/>
      <c r="U36" s="148">
        <f t="shared" si="1"/>
        <v>15</v>
      </c>
      <c r="V36" s="149">
        <f t="shared" si="2"/>
        <v>15</v>
      </c>
      <c r="W36" s="189"/>
      <c r="X36" s="199"/>
      <c r="Y36" s="151"/>
      <c r="Z36" s="190"/>
      <c r="AA36" s="153"/>
      <c r="AB36" s="154">
        <f t="shared" si="3"/>
        <v>0</v>
      </c>
      <c r="AC36" s="149">
        <f t="shared" si="4"/>
        <v>0</v>
      </c>
      <c r="AD36" s="125">
        <v>2</v>
      </c>
      <c r="AE36" s="148">
        <f t="shared" si="5"/>
        <v>2</v>
      </c>
      <c r="AF36" s="156"/>
      <c r="AG36" s="156"/>
      <c r="AH36" s="113">
        <f t="shared" si="6"/>
        <v>17</v>
      </c>
      <c r="AI36" s="157">
        <v>65</v>
      </c>
      <c r="AJ36" s="113">
        <f t="shared" si="7"/>
        <v>82</v>
      </c>
      <c r="AK36" s="113">
        <f t="shared" si="8"/>
        <v>82</v>
      </c>
      <c r="AL36" s="158">
        <f t="shared" si="9"/>
        <v>1.02</v>
      </c>
      <c r="AM36" s="159"/>
      <c r="AN36" s="160">
        <f t="shared" si="13"/>
        <v>1</v>
      </c>
      <c r="AO36" s="160">
        <f t="shared" si="13"/>
        <v>2</v>
      </c>
      <c r="AP36" s="133"/>
      <c r="AQ36" s="134"/>
      <c r="AR36" s="161"/>
      <c r="AS36" s="161"/>
      <c r="AT36" s="161"/>
      <c r="AU36" s="161"/>
      <c r="AV36" s="162"/>
      <c r="AW36" s="137">
        <f t="shared" si="11"/>
        <v>0</v>
      </c>
      <c r="AX36" s="137">
        <f t="shared" si="12"/>
        <v>0</v>
      </c>
    </row>
    <row r="37" ht="46.5" customHeight="1" spans="1:50" s="97" customFormat="1" x14ac:dyDescent="0.25">
      <c r="A37" s="100"/>
      <c r="B37" s="100"/>
      <c r="C37" s="100"/>
      <c r="D37" s="100"/>
      <c r="E37" s="100"/>
      <c r="F37" s="100"/>
      <c r="G37" s="103"/>
      <c r="H37" s="186"/>
      <c r="I37" s="195">
        <v>0.51</v>
      </c>
      <c r="J37" s="107">
        <v>0.49</v>
      </c>
      <c r="K37" s="107"/>
      <c r="L37" s="107"/>
      <c r="M37" s="187"/>
      <c r="N37" s="169">
        <f t="shared" si="0"/>
        <v>1</v>
      </c>
      <c r="O37" s="144">
        <v>1</v>
      </c>
      <c r="P37" s="145">
        <v>15</v>
      </c>
      <c r="Q37" s="113">
        <v>15</v>
      </c>
      <c r="R37" s="113"/>
      <c r="S37" s="113"/>
      <c r="T37" s="146"/>
      <c r="U37" s="148">
        <f t="shared" si="1"/>
        <v>15</v>
      </c>
      <c r="V37" s="149">
        <f t="shared" si="2"/>
        <v>15</v>
      </c>
      <c r="W37" s="189"/>
      <c r="X37" s="199"/>
      <c r="Y37" s="151"/>
      <c r="Z37" s="190"/>
      <c r="AA37" s="153"/>
      <c r="AB37" s="154">
        <f t="shared" si="3"/>
        <v>0</v>
      </c>
      <c r="AC37" s="149">
        <f t="shared" si="4"/>
        <v>0</v>
      </c>
      <c r="AD37" s="125">
        <v>2</v>
      </c>
      <c r="AE37" s="148">
        <f t="shared" si="5"/>
        <v>2</v>
      </c>
      <c r="AF37" s="156"/>
      <c r="AG37" s="156"/>
      <c r="AH37" s="113">
        <f t="shared" si="6"/>
        <v>17</v>
      </c>
      <c r="AI37" s="157">
        <v>65</v>
      </c>
      <c r="AJ37" s="113">
        <f t="shared" si="7"/>
        <v>82</v>
      </c>
      <c r="AK37" s="113">
        <f t="shared" si="8"/>
        <v>82</v>
      </c>
      <c r="AL37" s="158">
        <f t="shared" si="9"/>
        <v>1.02</v>
      </c>
      <c r="AM37" s="159"/>
      <c r="AN37" s="160">
        <f t="shared" si="13"/>
        <v>1</v>
      </c>
      <c r="AO37" s="160">
        <f t="shared" si="13"/>
        <v>2</v>
      </c>
      <c r="AP37" s="133"/>
      <c r="AQ37" s="134"/>
      <c r="AR37" s="161"/>
      <c r="AS37" s="161"/>
      <c r="AT37" s="161"/>
      <c r="AU37" s="161"/>
      <c r="AV37" s="162"/>
      <c r="AW37" s="137">
        <f t="shared" si="11"/>
        <v>0</v>
      </c>
      <c r="AX37" s="137">
        <f t="shared" si="12"/>
        <v>0</v>
      </c>
    </row>
    <row r="38" ht="46.5" customHeight="1" spans="1:50" s="97" customFormat="1" x14ac:dyDescent="0.25">
      <c r="A38" s="100"/>
      <c r="B38" s="100"/>
      <c r="C38" s="100"/>
      <c r="D38" s="100"/>
      <c r="E38" s="100"/>
      <c r="F38" s="100"/>
      <c r="G38" s="103"/>
      <c r="H38" s="186"/>
      <c r="I38" s="195">
        <v>0.51</v>
      </c>
      <c r="J38" s="107">
        <v>0.49</v>
      </c>
      <c r="K38" s="107"/>
      <c r="L38" s="107"/>
      <c r="M38" s="187"/>
      <c r="N38" s="169">
        <f t="shared" si="0"/>
        <v>1</v>
      </c>
      <c r="O38" s="144">
        <v>1</v>
      </c>
      <c r="P38" s="145">
        <v>15</v>
      </c>
      <c r="Q38" s="113">
        <v>15</v>
      </c>
      <c r="R38" s="113"/>
      <c r="S38" s="113"/>
      <c r="T38" s="146"/>
      <c r="U38" s="148">
        <f t="shared" si="1"/>
        <v>15</v>
      </c>
      <c r="V38" s="149">
        <f t="shared" si="2"/>
        <v>15</v>
      </c>
      <c r="W38" s="189"/>
      <c r="X38" s="199"/>
      <c r="Y38" s="151"/>
      <c r="Z38" s="190"/>
      <c r="AA38" s="153"/>
      <c r="AB38" s="154">
        <f t="shared" si="3"/>
        <v>0</v>
      </c>
      <c r="AC38" s="149">
        <f t="shared" si="4"/>
        <v>0</v>
      </c>
      <c r="AD38" s="125">
        <v>2</v>
      </c>
      <c r="AE38" s="148">
        <f t="shared" si="5"/>
        <v>2</v>
      </c>
      <c r="AF38" s="156"/>
      <c r="AG38" s="156"/>
      <c r="AH38" s="113">
        <f t="shared" si="6"/>
        <v>17</v>
      </c>
      <c r="AI38" s="157">
        <v>65</v>
      </c>
      <c r="AJ38" s="113">
        <f t="shared" si="7"/>
        <v>82</v>
      </c>
      <c r="AK38" s="113">
        <f t="shared" si="8"/>
        <v>82</v>
      </c>
      <c r="AL38" s="158">
        <f t="shared" si="9"/>
        <v>1.02</v>
      </c>
      <c r="AM38" s="159"/>
      <c r="AN38" s="160">
        <f t="shared" si="13"/>
        <v>1</v>
      </c>
      <c r="AO38" s="160">
        <f t="shared" si="13"/>
        <v>2</v>
      </c>
      <c r="AP38" s="133"/>
      <c r="AQ38" s="134"/>
      <c r="AR38" s="161"/>
      <c r="AS38" s="161"/>
      <c r="AT38" s="161"/>
      <c r="AU38" s="161"/>
      <c r="AV38" s="162"/>
      <c r="AW38" s="137">
        <f t="shared" si="11"/>
        <v>0</v>
      </c>
      <c r="AX38" s="137">
        <f t="shared" si="12"/>
        <v>0</v>
      </c>
    </row>
    <row r="39" ht="46.5" customHeight="1" spans="1:50" s="97" customFormat="1" x14ac:dyDescent="0.25">
      <c r="A39" s="100"/>
      <c r="B39" s="100"/>
      <c r="C39" s="100"/>
      <c r="D39" s="100"/>
      <c r="E39" s="100"/>
      <c r="F39" s="100"/>
      <c r="G39" s="103"/>
      <c r="H39" s="186"/>
      <c r="I39" s="195">
        <v>0.51</v>
      </c>
      <c r="J39" s="107">
        <v>0.49</v>
      </c>
      <c r="K39" s="107"/>
      <c r="L39" s="107"/>
      <c r="M39" s="187"/>
      <c r="N39" s="169">
        <f t="shared" si="0"/>
        <v>1</v>
      </c>
      <c r="O39" s="144">
        <v>1</v>
      </c>
      <c r="P39" s="145">
        <v>15</v>
      </c>
      <c r="Q39" s="113">
        <v>15</v>
      </c>
      <c r="R39" s="113"/>
      <c r="S39" s="113"/>
      <c r="T39" s="146"/>
      <c r="U39" s="148">
        <f t="shared" si="1"/>
        <v>15</v>
      </c>
      <c r="V39" s="149">
        <f t="shared" si="2"/>
        <v>15</v>
      </c>
      <c r="W39" s="189"/>
      <c r="X39" s="199"/>
      <c r="Y39" s="151"/>
      <c r="Z39" s="190"/>
      <c r="AA39" s="153"/>
      <c r="AB39" s="154">
        <f t="shared" si="3"/>
        <v>0</v>
      </c>
      <c r="AC39" s="149">
        <f t="shared" si="4"/>
        <v>0</v>
      </c>
      <c r="AD39" s="125">
        <v>2</v>
      </c>
      <c r="AE39" s="148">
        <f t="shared" si="5"/>
        <v>2</v>
      </c>
      <c r="AF39" s="156"/>
      <c r="AG39" s="156"/>
      <c r="AH39" s="113">
        <f t="shared" si="6"/>
        <v>17</v>
      </c>
      <c r="AI39" s="157">
        <v>65</v>
      </c>
      <c r="AJ39" s="113">
        <f t="shared" si="7"/>
        <v>82</v>
      </c>
      <c r="AK39" s="113">
        <f t="shared" si="8"/>
        <v>82</v>
      </c>
      <c r="AL39" s="158">
        <f t="shared" si="9"/>
        <v>1.02</v>
      </c>
      <c r="AM39" s="159"/>
      <c r="AN39" s="160">
        <f t="shared" si="13"/>
        <v>1</v>
      </c>
      <c r="AO39" s="160">
        <f t="shared" si="13"/>
        <v>2</v>
      </c>
      <c r="AP39" s="133"/>
      <c r="AQ39" s="134"/>
      <c r="AR39" s="161"/>
      <c r="AS39" s="161"/>
      <c r="AT39" s="161"/>
      <c r="AU39" s="161"/>
      <c r="AV39" s="162"/>
      <c r="AW39" s="137">
        <f t="shared" si="11"/>
        <v>0</v>
      </c>
      <c r="AX39" s="137">
        <f t="shared" si="12"/>
        <v>0</v>
      </c>
    </row>
    <row r="40" ht="46.5" customHeight="1" spans="1:50" s="97" customFormat="1" x14ac:dyDescent="0.25">
      <c r="A40" s="100"/>
      <c r="B40" s="100"/>
      <c r="C40" s="100"/>
      <c r="D40" s="100"/>
      <c r="E40" s="100"/>
      <c r="F40" s="100"/>
      <c r="G40" s="103"/>
      <c r="H40" s="186"/>
      <c r="I40" s="195">
        <v>0.51</v>
      </c>
      <c r="J40" s="107">
        <v>0.49</v>
      </c>
      <c r="K40" s="107"/>
      <c r="L40" s="107"/>
      <c r="M40" s="187"/>
      <c r="N40" s="169">
        <f t="shared" si="0"/>
        <v>1</v>
      </c>
      <c r="O40" s="144">
        <v>1</v>
      </c>
      <c r="P40" s="145">
        <v>15</v>
      </c>
      <c r="Q40" s="113">
        <v>15</v>
      </c>
      <c r="R40" s="113"/>
      <c r="S40" s="113"/>
      <c r="T40" s="146"/>
      <c r="U40" s="148">
        <f t="shared" si="1"/>
        <v>15</v>
      </c>
      <c r="V40" s="149">
        <f t="shared" si="2"/>
        <v>15</v>
      </c>
      <c r="W40" s="189"/>
      <c r="X40" s="199"/>
      <c r="Y40" s="151"/>
      <c r="Z40" s="190"/>
      <c r="AA40" s="153"/>
      <c r="AB40" s="154">
        <f t="shared" si="3"/>
        <v>0</v>
      </c>
      <c r="AC40" s="149">
        <f t="shared" si="4"/>
        <v>0</v>
      </c>
      <c r="AD40" s="125">
        <v>2</v>
      </c>
      <c r="AE40" s="148">
        <f t="shared" si="5"/>
        <v>2</v>
      </c>
      <c r="AF40" s="156"/>
      <c r="AG40" s="156"/>
      <c r="AH40" s="113">
        <f t="shared" si="6"/>
        <v>17</v>
      </c>
      <c r="AI40" s="157">
        <v>65</v>
      </c>
      <c r="AJ40" s="113">
        <f t="shared" si="7"/>
        <v>82</v>
      </c>
      <c r="AK40" s="113">
        <f t="shared" si="8"/>
        <v>82</v>
      </c>
      <c r="AL40" s="158">
        <f t="shared" si="9"/>
        <v>1.02</v>
      </c>
      <c r="AM40" s="159"/>
      <c r="AN40" s="160">
        <f t="shared" si="13"/>
        <v>1</v>
      </c>
      <c r="AO40" s="160">
        <f t="shared" si="13"/>
        <v>2</v>
      </c>
      <c r="AP40" s="133"/>
      <c r="AQ40" s="134"/>
      <c r="AR40" s="161"/>
      <c r="AS40" s="161"/>
      <c r="AT40" s="161"/>
      <c r="AU40" s="161"/>
      <c r="AV40" s="162"/>
      <c r="AW40" s="137">
        <f t="shared" si="11"/>
        <v>0</v>
      </c>
      <c r="AX40" s="137">
        <f t="shared" si="12"/>
        <v>0</v>
      </c>
    </row>
    <row r="41" ht="46.5" customHeight="1" spans="1:50" s="97" customFormat="1" x14ac:dyDescent="0.25">
      <c r="A41" s="100"/>
      <c r="B41" s="100"/>
      <c r="C41" s="100"/>
      <c r="D41" s="100"/>
      <c r="E41" s="100"/>
      <c r="F41" s="100"/>
      <c r="G41" s="103"/>
      <c r="H41" s="186"/>
      <c r="I41" s="195">
        <v>0.51</v>
      </c>
      <c r="J41" s="107">
        <v>0.49</v>
      </c>
      <c r="K41" s="107"/>
      <c r="L41" s="107"/>
      <c r="M41" s="187"/>
      <c r="N41" s="169">
        <f t="shared" si="0"/>
        <v>1</v>
      </c>
      <c r="O41" s="144">
        <v>1</v>
      </c>
      <c r="P41" s="145">
        <v>15</v>
      </c>
      <c r="Q41" s="113">
        <v>15</v>
      </c>
      <c r="R41" s="113"/>
      <c r="S41" s="113"/>
      <c r="T41" s="146"/>
      <c r="U41" s="148">
        <f t="shared" si="1"/>
        <v>15</v>
      </c>
      <c r="V41" s="149">
        <f t="shared" si="2"/>
        <v>15</v>
      </c>
      <c r="W41" s="189"/>
      <c r="X41" s="199"/>
      <c r="Y41" s="151"/>
      <c r="Z41" s="190"/>
      <c r="AA41" s="153"/>
      <c r="AB41" s="154">
        <f t="shared" si="3"/>
        <v>0</v>
      </c>
      <c r="AC41" s="149">
        <f t="shared" si="4"/>
        <v>0</v>
      </c>
      <c r="AD41" s="125">
        <v>2</v>
      </c>
      <c r="AE41" s="148">
        <f t="shared" si="5"/>
        <v>2</v>
      </c>
      <c r="AF41" s="156"/>
      <c r="AG41" s="156"/>
      <c r="AH41" s="113">
        <f t="shared" si="6"/>
        <v>17</v>
      </c>
      <c r="AI41" s="157">
        <v>65</v>
      </c>
      <c r="AJ41" s="113">
        <f t="shared" si="7"/>
        <v>82</v>
      </c>
      <c r="AK41" s="113">
        <f t="shared" si="8"/>
        <v>82</v>
      </c>
      <c r="AL41" s="158">
        <f t="shared" si="9"/>
        <v>1.02</v>
      </c>
      <c r="AM41" s="159"/>
      <c r="AN41" s="160">
        <f t="shared" si="13"/>
        <v>1</v>
      </c>
      <c r="AO41" s="160">
        <f t="shared" si="13"/>
        <v>2</v>
      </c>
      <c r="AP41" s="133"/>
      <c r="AQ41" s="134"/>
      <c r="AR41" s="161"/>
      <c r="AS41" s="161"/>
      <c r="AT41" s="161"/>
      <c r="AU41" s="161"/>
      <c r="AV41" s="162"/>
      <c r="AW41" s="137">
        <f t="shared" si="11"/>
        <v>0</v>
      </c>
      <c r="AX41" s="137">
        <f t="shared" si="12"/>
        <v>0</v>
      </c>
    </row>
    <row r="42" ht="46.5" customHeight="1" spans="1:50" s="97" customFormat="1" x14ac:dyDescent="0.25">
      <c r="A42" s="100"/>
      <c r="B42" s="100"/>
      <c r="C42" s="100"/>
      <c r="D42" s="100"/>
      <c r="E42" s="100"/>
      <c r="F42" s="100"/>
      <c r="G42" s="103"/>
      <c r="H42" s="186"/>
      <c r="I42" s="195">
        <v>0.51</v>
      </c>
      <c r="J42" s="107">
        <v>0.49</v>
      </c>
      <c r="K42" s="107"/>
      <c r="L42" s="107"/>
      <c r="M42" s="187"/>
      <c r="N42" s="169">
        <f t="shared" si="0"/>
        <v>1</v>
      </c>
      <c r="O42" s="144">
        <v>1</v>
      </c>
      <c r="P42" s="145">
        <v>15</v>
      </c>
      <c r="Q42" s="113">
        <v>15</v>
      </c>
      <c r="R42" s="113"/>
      <c r="S42" s="113"/>
      <c r="T42" s="146"/>
      <c r="U42" s="148">
        <f t="shared" si="1"/>
        <v>15</v>
      </c>
      <c r="V42" s="149">
        <f t="shared" si="2"/>
        <v>15</v>
      </c>
      <c r="W42" s="189"/>
      <c r="X42" s="199"/>
      <c r="Y42" s="151"/>
      <c r="Z42" s="190"/>
      <c r="AA42" s="153"/>
      <c r="AB42" s="154">
        <f t="shared" si="3"/>
        <v>0</v>
      </c>
      <c r="AC42" s="149">
        <f t="shared" si="4"/>
        <v>0</v>
      </c>
      <c r="AD42" s="125">
        <v>2</v>
      </c>
      <c r="AE42" s="148">
        <f t="shared" si="5"/>
        <v>2</v>
      </c>
      <c r="AF42" s="156"/>
      <c r="AG42" s="156"/>
      <c r="AH42" s="113">
        <f t="shared" si="6"/>
        <v>17</v>
      </c>
      <c r="AI42" s="157">
        <v>65</v>
      </c>
      <c r="AJ42" s="113">
        <f t="shared" si="7"/>
        <v>82</v>
      </c>
      <c r="AK42" s="113">
        <f t="shared" si="8"/>
        <v>82</v>
      </c>
      <c r="AL42" s="158">
        <f t="shared" si="9"/>
        <v>1.02</v>
      </c>
      <c r="AM42" s="159"/>
      <c r="AN42" s="160">
        <f t="shared" si="13"/>
        <v>1</v>
      </c>
      <c r="AO42" s="160">
        <f t="shared" si="13"/>
        <v>2</v>
      </c>
      <c r="AP42" s="133"/>
      <c r="AQ42" s="134"/>
      <c r="AR42" s="161"/>
      <c r="AS42" s="161"/>
      <c r="AT42" s="161"/>
      <c r="AU42" s="161"/>
      <c r="AV42" s="162"/>
      <c r="AW42" s="137">
        <f t="shared" si="11"/>
        <v>0</v>
      </c>
      <c r="AX42" s="137">
        <f t="shared" si="12"/>
        <v>0</v>
      </c>
    </row>
    <row r="43" ht="46.5" customHeight="1" spans="1:50" s="97" customFormat="1" x14ac:dyDescent="0.25">
      <c r="A43" s="100"/>
      <c r="B43" s="100"/>
      <c r="C43" s="100"/>
      <c r="D43" s="100"/>
      <c r="E43" s="100"/>
      <c r="F43" s="100"/>
      <c r="G43" s="103"/>
      <c r="H43" s="186"/>
      <c r="I43" s="195">
        <v>0.51</v>
      </c>
      <c r="J43" s="107">
        <v>0.49</v>
      </c>
      <c r="K43" s="107"/>
      <c r="L43" s="107"/>
      <c r="M43" s="187"/>
      <c r="N43" s="169">
        <f t="shared" ref="N43:N106" si="14">SUM(I43:M43)</f>
        <v>1</v>
      </c>
      <c r="O43" s="144">
        <v>1</v>
      </c>
      <c r="P43" s="145">
        <v>15</v>
      </c>
      <c r="Q43" s="113">
        <v>15</v>
      </c>
      <c r="R43" s="113"/>
      <c r="S43" s="113"/>
      <c r="T43" s="146"/>
      <c r="U43" s="148">
        <f t="shared" si="1"/>
        <v>15</v>
      </c>
      <c r="V43" s="149">
        <f t="shared" si="2"/>
        <v>15</v>
      </c>
      <c r="W43" s="189"/>
      <c r="X43" s="199"/>
      <c r="Y43" s="151"/>
      <c r="Z43" s="190"/>
      <c r="AA43" s="153"/>
      <c r="AB43" s="154">
        <f t="shared" si="3"/>
        <v>0</v>
      </c>
      <c r="AC43" s="149">
        <f t="shared" si="4"/>
        <v>0</v>
      </c>
      <c r="AD43" s="125">
        <v>2</v>
      </c>
      <c r="AE43" s="148">
        <f t="shared" si="5"/>
        <v>2</v>
      </c>
      <c r="AF43" s="156"/>
      <c r="AG43" s="156"/>
      <c r="AH43" s="113">
        <f t="shared" si="6"/>
        <v>17</v>
      </c>
      <c r="AI43" s="157">
        <v>65</v>
      </c>
      <c r="AJ43" s="113">
        <f t="shared" si="7"/>
        <v>82</v>
      </c>
      <c r="AK43" s="113">
        <f t="shared" si="8"/>
        <v>82</v>
      </c>
      <c r="AL43" s="158">
        <f t="shared" si="9"/>
        <v>1.02</v>
      </c>
      <c r="AM43" s="159"/>
      <c r="AN43" s="160">
        <f t="shared" si="13"/>
        <v>1</v>
      </c>
      <c r="AO43" s="160">
        <f t="shared" si="13"/>
        <v>2</v>
      </c>
      <c r="AP43" s="133"/>
      <c r="AQ43" s="134"/>
      <c r="AR43" s="161"/>
      <c r="AS43" s="161"/>
      <c r="AT43" s="161"/>
      <c r="AU43" s="161"/>
      <c r="AV43" s="162"/>
      <c r="AW43" s="137">
        <f t="shared" si="11"/>
        <v>0</v>
      </c>
      <c r="AX43" s="137">
        <f t="shared" si="12"/>
        <v>0</v>
      </c>
    </row>
    <row r="44" ht="46.5" customHeight="1" spans="1:50" s="97" customFormat="1" x14ac:dyDescent="0.25">
      <c r="A44" s="100"/>
      <c r="B44" s="100"/>
      <c r="C44" s="100"/>
      <c r="D44" s="100"/>
      <c r="E44" s="100"/>
      <c r="F44" s="100"/>
      <c r="G44" s="103"/>
      <c r="H44" s="186"/>
      <c r="I44" s="195">
        <v>0.51</v>
      </c>
      <c r="J44" s="107">
        <v>0.49</v>
      </c>
      <c r="K44" s="107"/>
      <c r="L44" s="107"/>
      <c r="M44" s="187"/>
      <c r="N44" s="169">
        <f t="shared" si="14"/>
        <v>1</v>
      </c>
      <c r="O44" s="144">
        <v>1</v>
      </c>
      <c r="P44" s="145">
        <v>15</v>
      </c>
      <c r="Q44" s="113">
        <v>15</v>
      </c>
      <c r="R44" s="113"/>
      <c r="S44" s="113"/>
      <c r="T44" s="146"/>
      <c r="U44" s="148">
        <f t="shared" si="1"/>
        <v>15</v>
      </c>
      <c r="V44" s="149">
        <f t="shared" si="2"/>
        <v>15</v>
      </c>
      <c r="W44" s="189"/>
      <c r="X44" s="199"/>
      <c r="Y44" s="151"/>
      <c r="Z44" s="190"/>
      <c r="AA44" s="153"/>
      <c r="AB44" s="154">
        <f t="shared" si="3"/>
        <v>0</v>
      </c>
      <c r="AC44" s="149">
        <f t="shared" si="4"/>
        <v>0</v>
      </c>
      <c r="AD44" s="125">
        <v>2</v>
      </c>
      <c r="AE44" s="148">
        <f t="shared" si="5"/>
        <v>2</v>
      </c>
      <c r="AF44" s="156"/>
      <c r="AG44" s="156"/>
      <c r="AH44" s="113">
        <f t="shared" si="6"/>
        <v>17</v>
      </c>
      <c r="AI44" s="157">
        <v>65</v>
      </c>
      <c r="AJ44" s="113">
        <f t="shared" si="7"/>
        <v>82</v>
      </c>
      <c r="AK44" s="113">
        <f t="shared" si="8"/>
        <v>82</v>
      </c>
      <c r="AL44" s="158">
        <f t="shared" si="9"/>
        <v>1.02</v>
      </c>
      <c r="AM44" s="159"/>
      <c r="AN44" s="160">
        <f t="shared" si="13"/>
        <v>1</v>
      </c>
      <c r="AO44" s="160">
        <f t="shared" si="13"/>
        <v>2</v>
      </c>
      <c r="AP44" s="133"/>
      <c r="AQ44" s="134"/>
      <c r="AR44" s="161"/>
      <c r="AS44" s="161"/>
      <c r="AT44" s="161"/>
      <c r="AU44" s="161"/>
      <c r="AV44" s="162"/>
      <c r="AW44" s="137">
        <f t="shared" si="11"/>
        <v>0</v>
      </c>
      <c r="AX44" s="137">
        <f t="shared" si="12"/>
        <v>0</v>
      </c>
    </row>
    <row r="45" ht="46.5" customHeight="1" spans="1:50" s="97" customFormat="1" x14ac:dyDescent="0.25">
      <c r="A45" s="100"/>
      <c r="B45" s="100"/>
      <c r="C45" s="100"/>
      <c r="D45" s="100"/>
      <c r="E45" s="100"/>
      <c r="F45" s="100"/>
      <c r="G45" s="103"/>
      <c r="H45" s="186"/>
      <c r="I45" s="195">
        <v>0.51</v>
      </c>
      <c r="J45" s="107">
        <v>0.49</v>
      </c>
      <c r="K45" s="107"/>
      <c r="L45" s="107"/>
      <c r="M45" s="187"/>
      <c r="N45" s="169">
        <f t="shared" si="14"/>
        <v>1</v>
      </c>
      <c r="O45" s="144">
        <v>1</v>
      </c>
      <c r="P45" s="145">
        <v>15</v>
      </c>
      <c r="Q45" s="113">
        <v>15</v>
      </c>
      <c r="R45" s="113"/>
      <c r="S45" s="113"/>
      <c r="T45" s="146"/>
      <c r="U45" s="148">
        <f t="shared" si="1"/>
        <v>15</v>
      </c>
      <c r="V45" s="149">
        <f t="shared" si="2"/>
        <v>15</v>
      </c>
      <c r="W45" s="189"/>
      <c r="X45" s="199"/>
      <c r="Y45" s="151"/>
      <c r="Z45" s="190"/>
      <c r="AA45" s="153"/>
      <c r="AB45" s="154">
        <f t="shared" si="3"/>
        <v>0</v>
      </c>
      <c r="AC45" s="149">
        <f t="shared" si="4"/>
        <v>0</v>
      </c>
      <c r="AD45" s="125">
        <v>2</v>
      </c>
      <c r="AE45" s="148">
        <f t="shared" si="5"/>
        <v>2</v>
      </c>
      <c r="AF45" s="156"/>
      <c r="AG45" s="156"/>
      <c r="AH45" s="113">
        <f t="shared" si="6"/>
        <v>17</v>
      </c>
      <c r="AI45" s="157">
        <v>65</v>
      </c>
      <c r="AJ45" s="113">
        <f t="shared" si="7"/>
        <v>82</v>
      </c>
      <c r="AK45" s="113">
        <f t="shared" si="8"/>
        <v>82</v>
      </c>
      <c r="AL45" s="158">
        <f t="shared" si="9"/>
        <v>1.02</v>
      </c>
      <c r="AM45" s="159"/>
      <c r="AN45" s="160">
        <f t="shared" si="13"/>
        <v>1</v>
      </c>
      <c r="AO45" s="160">
        <f t="shared" si="13"/>
        <v>2</v>
      </c>
      <c r="AP45" s="133"/>
      <c r="AQ45" s="134"/>
      <c r="AR45" s="161"/>
      <c r="AS45" s="161"/>
      <c r="AT45" s="161"/>
      <c r="AU45" s="161"/>
      <c r="AV45" s="162"/>
      <c r="AW45" s="137">
        <f t="shared" si="11"/>
        <v>0</v>
      </c>
      <c r="AX45" s="137">
        <f t="shared" si="12"/>
        <v>0</v>
      </c>
    </row>
    <row r="46" ht="46.5" customHeight="1" spans="1:50" s="97" customFormat="1" x14ac:dyDescent="0.25">
      <c r="A46" s="100"/>
      <c r="B46" s="100"/>
      <c r="C46" s="100"/>
      <c r="D46" s="100"/>
      <c r="E46" s="100"/>
      <c r="F46" s="100"/>
      <c r="G46" s="103"/>
      <c r="H46" s="186"/>
      <c r="I46" s="195">
        <v>0.51</v>
      </c>
      <c r="J46" s="107">
        <v>0.49</v>
      </c>
      <c r="K46" s="107"/>
      <c r="L46" s="107"/>
      <c r="M46" s="187"/>
      <c r="N46" s="169">
        <f t="shared" si="14"/>
        <v>1</v>
      </c>
      <c r="O46" s="144">
        <v>1</v>
      </c>
      <c r="P46" s="145">
        <v>15</v>
      </c>
      <c r="Q46" s="113">
        <v>15</v>
      </c>
      <c r="R46" s="113"/>
      <c r="S46" s="113"/>
      <c r="T46" s="146"/>
      <c r="U46" s="148">
        <f t="shared" si="1"/>
        <v>15</v>
      </c>
      <c r="V46" s="149">
        <f t="shared" si="2"/>
        <v>15</v>
      </c>
      <c r="W46" s="189"/>
      <c r="X46" s="199"/>
      <c r="Y46" s="151"/>
      <c r="Z46" s="190"/>
      <c r="AA46" s="153"/>
      <c r="AB46" s="154">
        <f t="shared" si="3"/>
        <v>0</v>
      </c>
      <c r="AC46" s="149">
        <f t="shared" si="4"/>
        <v>0</v>
      </c>
      <c r="AD46" s="125">
        <v>2</v>
      </c>
      <c r="AE46" s="148">
        <f t="shared" si="5"/>
        <v>2</v>
      </c>
      <c r="AF46" s="156"/>
      <c r="AG46" s="156"/>
      <c r="AH46" s="113">
        <f t="shared" si="6"/>
        <v>17</v>
      </c>
      <c r="AI46" s="157">
        <v>65</v>
      </c>
      <c r="AJ46" s="113">
        <f t="shared" si="7"/>
        <v>82</v>
      </c>
      <c r="AK46" s="113">
        <f t="shared" si="8"/>
        <v>82</v>
      </c>
      <c r="AL46" s="158">
        <f t="shared" si="9"/>
        <v>1.02</v>
      </c>
      <c r="AM46" s="159"/>
      <c r="AN46" s="160">
        <f t="shared" si="13"/>
        <v>1</v>
      </c>
      <c r="AO46" s="160">
        <f t="shared" si="13"/>
        <v>2</v>
      </c>
      <c r="AP46" s="133"/>
      <c r="AQ46" s="134"/>
      <c r="AR46" s="161"/>
      <c r="AS46" s="161"/>
      <c r="AT46" s="161"/>
      <c r="AU46" s="161"/>
      <c r="AV46" s="162"/>
      <c r="AW46" s="137">
        <f t="shared" si="11"/>
        <v>0</v>
      </c>
      <c r="AX46" s="137">
        <f t="shared" si="12"/>
        <v>0</v>
      </c>
    </row>
    <row r="47" ht="46.5" customHeight="1" spans="1:50" s="97" customFormat="1" x14ac:dyDescent="0.25">
      <c r="A47" s="100"/>
      <c r="B47" s="100"/>
      <c r="C47" s="100"/>
      <c r="D47" s="100"/>
      <c r="E47" s="100"/>
      <c r="F47" s="100"/>
      <c r="G47" s="103"/>
      <c r="H47" s="186"/>
      <c r="I47" s="195">
        <v>0.51</v>
      </c>
      <c r="J47" s="107">
        <v>0.49</v>
      </c>
      <c r="K47" s="107"/>
      <c r="L47" s="107"/>
      <c r="M47" s="187"/>
      <c r="N47" s="169">
        <f t="shared" si="14"/>
        <v>1</v>
      </c>
      <c r="O47" s="144">
        <v>1</v>
      </c>
      <c r="P47" s="145">
        <v>15</v>
      </c>
      <c r="Q47" s="113">
        <v>15</v>
      </c>
      <c r="R47" s="113"/>
      <c r="S47" s="113"/>
      <c r="T47" s="146"/>
      <c r="U47" s="148">
        <f t="shared" si="1"/>
        <v>15</v>
      </c>
      <c r="V47" s="149">
        <f t="shared" si="2"/>
        <v>15</v>
      </c>
      <c r="W47" s="189"/>
      <c r="X47" s="199"/>
      <c r="Y47" s="151"/>
      <c r="Z47" s="190"/>
      <c r="AA47" s="153"/>
      <c r="AB47" s="154">
        <f t="shared" si="3"/>
        <v>0</v>
      </c>
      <c r="AC47" s="149">
        <f t="shared" si="4"/>
        <v>0</v>
      </c>
      <c r="AD47" s="125">
        <v>2</v>
      </c>
      <c r="AE47" s="148">
        <f t="shared" si="5"/>
        <v>2</v>
      </c>
      <c r="AF47" s="156"/>
      <c r="AG47" s="156"/>
      <c r="AH47" s="113">
        <f t="shared" si="6"/>
        <v>17</v>
      </c>
      <c r="AI47" s="157">
        <v>65</v>
      </c>
      <c r="AJ47" s="113">
        <f t="shared" si="7"/>
        <v>82</v>
      </c>
      <c r="AK47" s="113">
        <f t="shared" si="8"/>
        <v>82</v>
      </c>
      <c r="AL47" s="158">
        <f t="shared" si="9"/>
        <v>1.02</v>
      </c>
      <c r="AM47" s="159"/>
      <c r="AN47" s="160">
        <f t="shared" si="13"/>
        <v>1</v>
      </c>
      <c r="AO47" s="160">
        <f t="shared" si="13"/>
        <v>2</v>
      </c>
      <c r="AP47" s="133"/>
      <c r="AQ47" s="134"/>
      <c r="AR47" s="161"/>
      <c r="AS47" s="161"/>
      <c r="AT47" s="161"/>
      <c r="AU47" s="161"/>
      <c r="AV47" s="162"/>
      <c r="AW47" s="137">
        <f t="shared" si="11"/>
        <v>0</v>
      </c>
      <c r="AX47" s="137">
        <f t="shared" si="12"/>
        <v>0</v>
      </c>
    </row>
    <row r="48" ht="46.5" customHeight="1" spans="1:50" s="97" customFormat="1" x14ac:dyDescent="0.25">
      <c r="A48" s="100"/>
      <c r="B48" s="100"/>
      <c r="C48" s="100"/>
      <c r="D48" s="100"/>
      <c r="E48" s="100"/>
      <c r="F48" s="100"/>
      <c r="G48" s="103"/>
      <c r="H48" s="186"/>
      <c r="I48" s="195">
        <v>0.51</v>
      </c>
      <c r="J48" s="107">
        <v>0.49</v>
      </c>
      <c r="K48" s="107"/>
      <c r="L48" s="107"/>
      <c r="M48" s="187"/>
      <c r="N48" s="169">
        <f t="shared" si="14"/>
        <v>1</v>
      </c>
      <c r="O48" s="144">
        <v>1</v>
      </c>
      <c r="P48" s="145">
        <v>15</v>
      </c>
      <c r="Q48" s="113">
        <v>15</v>
      </c>
      <c r="R48" s="113"/>
      <c r="S48" s="113"/>
      <c r="T48" s="146"/>
      <c r="U48" s="148">
        <f t="shared" si="1"/>
        <v>15</v>
      </c>
      <c r="V48" s="149">
        <f t="shared" si="2"/>
        <v>15</v>
      </c>
      <c r="W48" s="189"/>
      <c r="X48" s="199"/>
      <c r="Y48" s="151"/>
      <c r="Z48" s="190"/>
      <c r="AA48" s="153"/>
      <c r="AB48" s="154">
        <f t="shared" si="3"/>
        <v>0</v>
      </c>
      <c r="AC48" s="149">
        <f t="shared" si="4"/>
        <v>0</v>
      </c>
      <c r="AD48" s="125">
        <v>2</v>
      </c>
      <c r="AE48" s="148">
        <f t="shared" si="5"/>
        <v>2</v>
      </c>
      <c r="AF48" s="156"/>
      <c r="AG48" s="156"/>
      <c r="AH48" s="113">
        <f t="shared" si="6"/>
        <v>17</v>
      </c>
      <c r="AI48" s="157">
        <v>65</v>
      </c>
      <c r="AJ48" s="113">
        <f t="shared" si="7"/>
        <v>82</v>
      </c>
      <c r="AK48" s="113">
        <f t="shared" si="8"/>
        <v>82</v>
      </c>
      <c r="AL48" s="158">
        <f t="shared" si="9"/>
        <v>1.02</v>
      </c>
      <c r="AM48" s="159"/>
      <c r="AN48" s="160">
        <f t="shared" si="13"/>
        <v>1</v>
      </c>
      <c r="AO48" s="160">
        <f t="shared" si="13"/>
        <v>2</v>
      </c>
      <c r="AP48" s="133"/>
      <c r="AQ48" s="134"/>
      <c r="AR48" s="161"/>
      <c r="AS48" s="161"/>
      <c r="AT48" s="161"/>
      <c r="AU48" s="161"/>
      <c r="AV48" s="162"/>
      <c r="AW48" s="137">
        <f t="shared" si="11"/>
        <v>0</v>
      </c>
      <c r="AX48" s="137">
        <f t="shared" si="12"/>
        <v>0</v>
      </c>
    </row>
    <row r="49" ht="46.5" customHeight="1" spans="1:50" s="97" customFormat="1" x14ac:dyDescent="0.25">
      <c r="A49" s="100"/>
      <c r="B49" s="100"/>
      <c r="C49" s="100"/>
      <c r="D49" s="100"/>
      <c r="E49" s="100"/>
      <c r="F49" s="100"/>
      <c r="G49" s="103"/>
      <c r="H49" s="186"/>
      <c r="I49" s="195">
        <v>0.51</v>
      </c>
      <c r="J49" s="107">
        <v>0.49</v>
      </c>
      <c r="K49" s="107"/>
      <c r="L49" s="107"/>
      <c r="M49" s="187"/>
      <c r="N49" s="169">
        <f t="shared" si="14"/>
        <v>1</v>
      </c>
      <c r="O49" s="144">
        <v>1</v>
      </c>
      <c r="P49" s="145">
        <v>15</v>
      </c>
      <c r="Q49" s="113">
        <v>15</v>
      </c>
      <c r="R49" s="113"/>
      <c r="S49" s="113"/>
      <c r="T49" s="146"/>
      <c r="U49" s="148">
        <f t="shared" si="1"/>
        <v>15</v>
      </c>
      <c r="V49" s="149">
        <f t="shared" si="2"/>
        <v>15</v>
      </c>
      <c r="W49" s="189"/>
      <c r="X49" s="199"/>
      <c r="Y49" s="151"/>
      <c r="Z49" s="190"/>
      <c r="AA49" s="153"/>
      <c r="AB49" s="154">
        <f t="shared" si="3"/>
        <v>0</v>
      </c>
      <c r="AC49" s="149">
        <f t="shared" si="4"/>
        <v>0</v>
      </c>
      <c r="AD49" s="125">
        <v>2</v>
      </c>
      <c r="AE49" s="148">
        <f t="shared" si="5"/>
        <v>2</v>
      </c>
      <c r="AF49" s="156"/>
      <c r="AG49" s="156"/>
      <c r="AH49" s="113">
        <f t="shared" si="6"/>
        <v>17</v>
      </c>
      <c r="AI49" s="157">
        <v>65</v>
      </c>
      <c r="AJ49" s="113">
        <f t="shared" si="7"/>
        <v>82</v>
      </c>
      <c r="AK49" s="113">
        <f t="shared" si="8"/>
        <v>82</v>
      </c>
      <c r="AL49" s="158">
        <f t="shared" si="9"/>
        <v>1.02</v>
      </c>
      <c r="AM49" s="159"/>
      <c r="AN49" s="160">
        <f t="shared" si="13"/>
        <v>1</v>
      </c>
      <c r="AO49" s="160">
        <f t="shared" si="13"/>
        <v>2</v>
      </c>
      <c r="AP49" s="133"/>
      <c r="AQ49" s="134"/>
      <c r="AR49" s="161"/>
      <c r="AS49" s="161"/>
      <c r="AT49" s="161"/>
      <c r="AU49" s="161"/>
      <c r="AV49" s="162"/>
      <c r="AW49" s="137">
        <f t="shared" si="11"/>
        <v>0</v>
      </c>
      <c r="AX49" s="137">
        <f t="shared" si="12"/>
        <v>0</v>
      </c>
    </row>
    <row r="50" ht="46.5" customHeight="1" spans="1:50" s="97" customFormat="1" x14ac:dyDescent="0.25">
      <c r="A50" s="100"/>
      <c r="B50" s="100"/>
      <c r="C50" s="100"/>
      <c r="D50" s="100"/>
      <c r="E50" s="100"/>
      <c r="F50" s="100"/>
      <c r="G50" s="103"/>
      <c r="H50" s="186"/>
      <c r="I50" s="195">
        <v>0.51</v>
      </c>
      <c r="J50" s="107">
        <v>0.49</v>
      </c>
      <c r="K50" s="107"/>
      <c r="L50" s="107"/>
      <c r="M50" s="187"/>
      <c r="N50" s="169">
        <f t="shared" si="14"/>
        <v>1</v>
      </c>
      <c r="O50" s="144">
        <v>1</v>
      </c>
      <c r="P50" s="145">
        <v>15</v>
      </c>
      <c r="Q50" s="113">
        <v>15</v>
      </c>
      <c r="R50" s="113"/>
      <c r="S50" s="113"/>
      <c r="T50" s="146"/>
      <c r="U50" s="148">
        <f t="shared" si="1"/>
        <v>15</v>
      </c>
      <c r="V50" s="149">
        <f t="shared" si="2"/>
        <v>15</v>
      </c>
      <c r="W50" s="189"/>
      <c r="X50" s="199"/>
      <c r="Y50" s="151"/>
      <c r="Z50" s="190"/>
      <c r="AA50" s="153"/>
      <c r="AB50" s="154">
        <f t="shared" si="3"/>
        <v>0</v>
      </c>
      <c r="AC50" s="149">
        <f t="shared" si="4"/>
        <v>0</v>
      </c>
      <c r="AD50" s="125">
        <v>2</v>
      </c>
      <c r="AE50" s="148">
        <f t="shared" si="5"/>
        <v>2</v>
      </c>
      <c r="AF50" s="156"/>
      <c r="AG50" s="156"/>
      <c r="AH50" s="113">
        <f t="shared" si="6"/>
        <v>17</v>
      </c>
      <c r="AI50" s="157">
        <v>65</v>
      </c>
      <c r="AJ50" s="113">
        <f t="shared" si="7"/>
        <v>82</v>
      </c>
      <c r="AK50" s="113">
        <f t="shared" si="8"/>
        <v>82</v>
      </c>
      <c r="AL50" s="158">
        <f t="shared" si="9"/>
        <v>1.02</v>
      </c>
      <c r="AM50" s="159"/>
      <c r="AN50" s="160">
        <f t="shared" si="13"/>
        <v>1</v>
      </c>
      <c r="AO50" s="160">
        <f t="shared" si="13"/>
        <v>2</v>
      </c>
      <c r="AP50" s="133"/>
      <c r="AQ50" s="134"/>
      <c r="AR50" s="161"/>
      <c r="AS50" s="161"/>
      <c r="AT50" s="161"/>
      <c r="AU50" s="161"/>
      <c r="AV50" s="162"/>
      <c r="AW50" s="137">
        <f t="shared" si="11"/>
        <v>0</v>
      </c>
      <c r="AX50" s="137">
        <f t="shared" si="12"/>
        <v>0</v>
      </c>
    </row>
    <row r="51" ht="46.5" customHeight="1" spans="1:50" s="97" customFormat="1" x14ac:dyDescent="0.25">
      <c r="A51" s="100"/>
      <c r="B51" s="100"/>
      <c r="C51" s="100"/>
      <c r="D51" s="100"/>
      <c r="E51" s="100"/>
      <c r="F51" s="100"/>
      <c r="G51" s="103"/>
      <c r="H51" s="186"/>
      <c r="I51" s="195">
        <v>0.51</v>
      </c>
      <c r="J51" s="107">
        <v>0.49</v>
      </c>
      <c r="K51" s="107"/>
      <c r="L51" s="107"/>
      <c r="M51" s="187"/>
      <c r="N51" s="169">
        <f t="shared" si="14"/>
        <v>1</v>
      </c>
      <c r="O51" s="144">
        <v>1</v>
      </c>
      <c r="P51" s="145">
        <v>15</v>
      </c>
      <c r="Q51" s="113">
        <v>15</v>
      </c>
      <c r="R51" s="113"/>
      <c r="S51" s="113"/>
      <c r="T51" s="146"/>
      <c r="U51" s="148">
        <f t="shared" si="1"/>
        <v>15</v>
      </c>
      <c r="V51" s="149">
        <f t="shared" si="2"/>
        <v>15</v>
      </c>
      <c r="W51" s="189"/>
      <c r="X51" s="199"/>
      <c r="Y51" s="151"/>
      <c r="Z51" s="190"/>
      <c r="AA51" s="153"/>
      <c r="AB51" s="154">
        <f t="shared" si="3"/>
        <v>0</v>
      </c>
      <c r="AC51" s="149">
        <f t="shared" si="4"/>
        <v>0</v>
      </c>
      <c r="AD51" s="125">
        <v>2</v>
      </c>
      <c r="AE51" s="148">
        <f t="shared" si="5"/>
        <v>2</v>
      </c>
      <c r="AF51" s="156"/>
      <c r="AG51" s="156"/>
      <c r="AH51" s="113">
        <f t="shared" si="6"/>
        <v>17</v>
      </c>
      <c r="AI51" s="157">
        <v>65</v>
      </c>
      <c r="AJ51" s="113">
        <f t="shared" si="7"/>
        <v>82</v>
      </c>
      <c r="AK51" s="113">
        <f t="shared" si="8"/>
        <v>82</v>
      </c>
      <c r="AL51" s="158">
        <f t="shared" si="9"/>
        <v>1.02</v>
      </c>
      <c r="AM51" s="159"/>
      <c r="AN51" s="160">
        <f t="shared" ref="AN51:AO70" si="15">100%+AM51</f>
        <v>1</v>
      </c>
      <c r="AO51" s="160">
        <f t="shared" si="15"/>
        <v>2</v>
      </c>
      <c r="AP51" s="133"/>
      <c r="AQ51" s="134"/>
      <c r="AR51" s="161"/>
      <c r="AS51" s="161"/>
      <c r="AT51" s="161"/>
      <c r="AU51" s="161"/>
      <c r="AV51" s="162"/>
      <c r="AW51" s="137">
        <f t="shared" si="11"/>
        <v>0</v>
      </c>
      <c r="AX51" s="137">
        <f t="shared" si="12"/>
        <v>0</v>
      </c>
    </row>
    <row r="52" ht="46.5" customHeight="1" spans="1:50" s="97" customFormat="1" x14ac:dyDescent="0.25">
      <c r="A52" s="100"/>
      <c r="B52" s="100"/>
      <c r="C52" s="100"/>
      <c r="D52" s="100"/>
      <c r="E52" s="100"/>
      <c r="F52" s="100"/>
      <c r="G52" s="103"/>
      <c r="H52" s="186"/>
      <c r="I52" s="195">
        <v>0.51</v>
      </c>
      <c r="J52" s="107">
        <v>0.49</v>
      </c>
      <c r="K52" s="107"/>
      <c r="L52" s="107"/>
      <c r="M52" s="187"/>
      <c r="N52" s="169">
        <f t="shared" si="14"/>
        <v>1</v>
      </c>
      <c r="O52" s="144">
        <v>1</v>
      </c>
      <c r="P52" s="145">
        <v>15</v>
      </c>
      <c r="Q52" s="113">
        <v>15</v>
      </c>
      <c r="R52" s="113"/>
      <c r="S52" s="113"/>
      <c r="T52" s="146"/>
      <c r="U52" s="148">
        <f t="shared" si="1"/>
        <v>15</v>
      </c>
      <c r="V52" s="149">
        <f t="shared" si="2"/>
        <v>15</v>
      </c>
      <c r="W52" s="189"/>
      <c r="X52" s="199"/>
      <c r="Y52" s="151"/>
      <c r="Z52" s="190"/>
      <c r="AA52" s="153"/>
      <c r="AB52" s="154">
        <f t="shared" si="3"/>
        <v>0</v>
      </c>
      <c r="AC52" s="149">
        <f t="shared" si="4"/>
        <v>0</v>
      </c>
      <c r="AD52" s="125">
        <v>2</v>
      </c>
      <c r="AE52" s="148">
        <f t="shared" si="5"/>
        <v>2</v>
      </c>
      <c r="AF52" s="156"/>
      <c r="AG52" s="156"/>
      <c r="AH52" s="113">
        <f t="shared" si="6"/>
        <v>17</v>
      </c>
      <c r="AI52" s="157">
        <v>65</v>
      </c>
      <c r="AJ52" s="113">
        <f t="shared" si="7"/>
        <v>82</v>
      </c>
      <c r="AK52" s="113">
        <f t="shared" si="8"/>
        <v>82</v>
      </c>
      <c r="AL52" s="158">
        <f t="shared" si="9"/>
        <v>1.02</v>
      </c>
      <c r="AM52" s="159"/>
      <c r="AN52" s="160">
        <f t="shared" si="15"/>
        <v>1</v>
      </c>
      <c r="AO52" s="160">
        <f t="shared" si="15"/>
        <v>2</v>
      </c>
      <c r="AP52" s="133"/>
      <c r="AQ52" s="134"/>
      <c r="AR52" s="161"/>
      <c r="AS52" s="161"/>
      <c r="AT52" s="161"/>
      <c r="AU52" s="161"/>
      <c r="AV52" s="162"/>
      <c r="AW52" s="137">
        <f t="shared" si="11"/>
        <v>0</v>
      </c>
      <c r="AX52" s="137">
        <f t="shared" si="12"/>
        <v>0</v>
      </c>
    </row>
    <row r="53" ht="46.5" customHeight="1" spans="1:50" s="97" customFormat="1" x14ac:dyDescent="0.25">
      <c r="A53" s="100"/>
      <c r="B53" s="100"/>
      <c r="C53" s="100"/>
      <c r="D53" s="100"/>
      <c r="E53" s="100"/>
      <c r="F53" s="100"/>
      <c r="G53" s="103"/>
      <c r="H53" s="186"/>
      <c r="I53" s="195">
        <v>0.51</v>
      </c>
      <c r="J53" s="107">
        <v>0.49</v>
      </c>
      <c r="K53" s="107"/>
      <c r="L53" s="107"/>
      <c r="M53" s="187"/>
      <c r="N53" s="169">
        <f t="shared" si="14"/>
        <v>1</v>
      </c>
      <c r="O53" s="144">
        <v>1</v>
      </c>
      <c r="P53" s="145">
        <v>15</v>
      </c>
      <c r="Q53" s="113">
        <v>15</v>
      </c>
      <c r="R53" s="113"/>
      <c r="S53" s="113"/>
      <c r="T53" s="146"/>
      <c r="U53" s="148">
        <f t="shared" si="1"/>
        <v>15</v>
      </c>
      <c r="V53" s="149">
        <f t="shared" si="2"/>
        <v>15</v>
      </c>
      <c r="W53" s="189"/>
      <c r="X53" s="199"/>
      <c r="Y53" s="151"/>
      <c r="Z53" s="190"/>
      <c r="AA53" s="153"/>
      <c r="AB53" s="154">
        <f t="shared" si="3"/>
        <v>0</v>
      </c>
      <c r="AC53" s="149">
        <f t="shared" si="4"/>
        <v>0</v>
      </c>
      <c r="AD53" s="125">
        <v>2</v>
      </c>
      <c r="AE53" s="148">
        <f t="shared" si="5"/>
        <v>2</v>
      </c>
      <c r="AF53" s="156"/>
      <c r="AG53" s="156"/>
      <c r="AH53" s="113">
        <f t="shared" si="6"/>
        <v>17</v>
      </c>
      <c r="AI53" s="157">
        <v>65</v>
      </c>
      <c r="AJ53" s="113">
        <f t="shared" si="7"/>
        <v>82</v>
      </c>
      <c r="AK53" s="113">
        <f t="shared" si="8"/>
        <v>82</v>
      </c>
      <c r="AL53" s="158">
        <f t="shared" si="9"/>
        <v>1.02</v>
      </c>
      <c r="AM53" s="159"/>
      <c r="AN53" s="160">
        <f t="shared" si="15"/>
        <v>1</v>
      </c>
      <c r="AO53" s="160">
        <f t="shared" si="15"/>
        <v>2</v>
      </c>
      <c r="AP53" s="133"/>
      <c r="AQ53" s="134"/>
      <c r="AR53" s="161"/>
      <c r="AS53" s="161"/>
      <c r="AT53" s="161"/>
      <c r="AU53" s="161"/>
      <c r="AV53" s="162"/>
      <c r="AW53" s="137">
        <f t="shared" si="11"/>
        <v>0</v>
      </c>
      <c r="AX53" s="137">
        <f t="shared" si="12"/>
        <v>0</v>
      </c>
    </row>
    <row r="54" ht="46.5" customHeight="1" spans="1:50" s="97" customFormat="1" x14ac:dyDescent="0.25">
      <c r="A54" s="100"/>
      <c r="B54" s="100"/>
      <c r="C54" s="100"/>
      <c r="D54" s="100"/>
      <c r="E54" s="100"/>
      <c r="F54" s="100"/>
      <c r="G54" s="103"/>
      <c r="H54" s="186"/>
      <c r="I54" s="195">
        <v>0.51</v>
      </c>
      <c r="J54" s="107">
        <v>0.49</v>
      </c>
      <c r="K54" s="107"/>
      <c r="L54" s="107"/>
      <c r="M54" s="187"/>
      <c r="N54" s="169">
        <f t="shared" si="14"/>
        <v>1</v>
      </c>
      <c r="O54" s="144">
        <v>1</v>
      </c>
      <c r="P54" s="145">
        <v>15</v>
      </c>
      <c r="Q54" s="113">
        <v>15</v>
      </c>
      <c r="R54" s="113"/>
      <c r="S54" s="113"/>
      <c r="T54" s="146"/>
      <c r="U54" s="148">
        <f t="shared" si="1"/>
        <v>15</v>
      </c>
      <c r="V54" s="149">
        <f t="shared" si="2"/>
        <v>15</v>
      </c>
      <c r="W54" s="189"/>
      <c r="X54" s="199"/>
      <c r="Y54" s="151"/>
      <c r="Z54" s="190"/>
      <c r="AA54" s="153"/>
      <c r="AB54" s="154">
        <f t="shared" si="3"/>
        <v>0</v>
      </c>
      <c r="AC54" s="149">
        <f t="shared" si="4"/>
        <v>0</v>
      </c>
      <c r="AD54" s="125">
        <v>2</v>
      </c>
      <c r="AE54" s="148">
        <f t="shared" si="5"/>
        <v>2</v>
      </c>
      <c r="AF54" s="156"/>
      <c r="AG54" s="156"/>
      <c r="AH54" s="113">
        <f t="shared" si="6"/>
        <v>17</v>
      </c>
      <c r="AI54" s="157">
        <v>65</v>
      </c>
      <c r="AJ54" s="113">
        <f t="shared" si="7"/>
        <v>82</v>
      </c>
      <c r="AK54" s="113">
        <f t="shared" si="8"/>
        <v>82</v>
      </c>
      <c r="AL54" s="158">
        <f t="shared" si="9"/>
        <v>1.02</v>
      </c>
      <c r="AM54" s="159"/>
      <c r="AN54" s="160">
        <f t="shared" si="15"/>
        <v>1</v>
      </c>
      <c r="AO54" s="160">
        <f t="shared" si="15"/>
        <v>2</v>
      </c>
      <c r="AP54" s="133"/>
      <c r="AQ54" s="134"/>
      <c r="AR54" s="161"/>
      <c r="AS54" s="161"/>
      <c r="AT54" s="161"/>
      <c r="AU54" s="161"/>
      <c r="AV54" s="162"/>
      <c r="AW54" s="137">
        <f t="shared" si="11"/>
        <v>0</v>
      </c>
      <c r="AX54" s="137">
        <f t="shared" si="12"/>
        <v>0</v>
      </c>
    </row>
    <row r="55" ht="46.5" customHeight="1" spans="1:50" s="97" customFormat="1" x14ac:dyDescent="0.25">
      <c r="A55" s="100"/>
      <c r="B55" s="100"/>
      <c r="C55" s="100"/>
      <c r="D55" s="100"/>
      <c r="E55" s="100"/>
      <c r="F55" s="100"/>
      <c r="G55" s="103"/>
      <c r="H55" s="186"/>
      <c r="I55" s="195">
        <v>0.51</v>
      </c>
      <c r="J55" s="107">
        <v>0.49</v>
      </c>
      <c r="K55" s="107"/>
      <c r="L55" s="107"/>
      <c r="M55" s="187"/>
      <c r="N55" s="169">
        <f t="shared" si="14"/>
        <v>1</v>
      </c>
      <c r="O55" s="144">
        <v>1</v>
      </c>
      <c r="P55" s="145">
        <v>15</v>
      </c>
      <c r="Q55" s="113">
        <v>15</v>
      </c>
      <c r="R55" s="113"/>
      <c r="S55" s="113"/>
      <c r="T55" s="146"/>
      <c r="U55" s="148">
        <f t="shared" si="1"/>
        <v>15</v>
      </c>
      <c r="V55" s="149">
        <f t="shared" si="2"/>
        <v>15</v>
      </c>
      <c r="W55" s="189"/>
      <c r="X55" s="199"/>
      <c r="Y55" s="151"/>
      <c r="Z55" s="190"/>
      <c r="AA55" s="153"/>
      <c r="AB55" s="154">
        <f t="shared" si="3"/>
        <v>0</v>
      </c>
      <c r="AC55" s="149">
        <f t="shared" si="4"/>
        <v>0</v>
      </c>
      <c r="AD55" s="125">
        <v>2</v>
      </c>
      <c r="AE55" s="148">
        <f t="shared" si="5"/>
        <v>2</v>
      </c>
      <c r="AF55" s="156"/>
      <c r="AG55" s="156"/>
      <c r="AH55" s="113">
        <f t="shared" si="6"/>
        <v>17</v>
      </c>
      <c r="AI55" s="157">
        <v>65</v>
      </c>
      <c r="AJ55" s="113">
        <f t="shared" si="7"/>
        <v>82</v>
      </c>
      <c r="AK55" s="113">
        <f t="shared" si="8"/>
        <v>82</v>
      </c>
      <c r="AL55" s="158">
        <f t="shared" si="9"/>
        <v>1.02</v>
      </c>
      <c r="AM55" s="159"/>
      <c r="AN55" s="160">
        <f t="shared" si="15"/>
        <v>1</v>
      </c>
      <c r="AO55" s="160">
        <f t="shared" si="15"/>
        <v>2</v>
      </c>
      <c r="AP55" s="133"/>
      <c r="AQ55" s="134"/>
      <c r="AR55" s="161"/>
      <c r="AS55" s="161"/>
      <c r="AT55" s="161"/>
      <c r="AU55" s="161"/>
      <c r="AV55" s="162"/>
      <c r="AW55" s="137">
        <f t="shared" si="11"/>
        <v>0</v>
      </c>
      <c r="AX55" s="137">
        <f t="shared" si="12"/>
        <v>0</v>
      </c>
    </row>
    <row r="56" ht="46.5" customHeight="1" spans="1:50" s="97" customFormat="1" x14ac:dyDescent="0.25">
      <c r="A56" s="100"/>
      <c r="B56" s="100"/>
      <c r="C56" s="100"/>
      <c r="D56" s="100"/>
      <c r="E56" s="100"/>
      <c r="F56" s="100"/>
      <c r="G56" s="103"/>
      <c r="H56" s="186"/>
      <c r="I56" s="195">
        <v>0.51</v>
      </c>
      <c r="J56" s="107">
        <v>0.49</v>
      </c>
      <c r="K56" s="107"/>
      <c r="L56" s="107"/>
      <c r="M56" s="187"/>
      <c r="N56" s="169">
        <f t="shared" si="14"/>
        <v>1</v>
      </c>
      <c r="O56" s="144">
        <v>1</v>
      </c>
      <c r="P56" s="145">
        <v>15</v>
      </c>
      <c r="Q56" s="113">
        <v>15</v>
      </c>
      <c r="R56" s="113"/>
      <c r="S56" s="113"/>
      <c r="T56" s="146"/>
      <c r="U56" s="148">
        <f t="shared" si="1"/>
        <v>15</v>
      </c>
      <c r="V56" s="149">
        <f t="shared" si="2"/>
        <v>15</v>
      </c>
      <c r="W56" s="189"/>
      <c r="X56" s="199"/>
      <c r="Y56" s="151"/>
      <c r="Z56" s="190"/>
      <c r="AA56" s="153"/>
      <c r="AB56" s="154">
        <f t="shared" si="3"/>
        <v>0</v>
      </c>
      <c r="AC56" s="149">
        <f t="shared" si="4"/>
        <v>0</v>
      </c>
      <c r="AD56" s="125">
        <v>2</v>
      </c>
      <c r="AE56" s="148">
        <f t="shared" si="5"/>
        <v>2</v>
      </c>
      <c r="AF56" s="156"/>
      <c r="AG56" s="156"/>
      <c r="AH56" s="113">
        <f t="shared" si="6"/>
        <v>17</v>
      </c>
      <c r="AI56" s="157">
        <v>65</v>
      </c>
      <c r="AJ56" s="113">
        <f t="shared" si="7"/>
        <v>82</v>
      </c>
      <c r="AK56" s="113">
        <f t="shared" si="8"/>
        <v>82</v>
      </c>
      <c r="AL56" s="158">
        <f t="shared" si="9"/>
        <v>1.02</v>
      </c>
      <c r="AM56" s="159"/>
      <c r="AN56" s="160">
        <f t="shared" si="15"/>
        <v>1</v>
      </c>
      <c r="AO56" s="160">
        <f t="shared" si="15"/>
        <v>2</v>
      </c>
      <c r="AP56" s="133"/>
      <c r="AQ56" s="134"/>
      <c r="AR56" s="161"/>
      <c r="AS56" s="161"/>
      <c r="AT56" s="161"/>
      <c r="AU56" s="161"/>
      <c r="AV56" s="162"/>
      <c r="AW56" s="137">
        <f t="shared" si="11"/>
        <v>0</v>
      </c>
      <c r="AX56" s="137">
        <f t="shared" si="12"/>
        <v>0</v>
      </c>
    </row>
    <row r="57" ht="46.5" customHeight="1" spans="1:50" s="97" customFormat="1" x14ac:dyDescent="0.25">
      <c r="A57" s="100"/>
      <c r="B57" s="100"/>
      <c r="C57" s="100"/>
      <c r="D57" s="100"/>
      <c r="E57" s="100"/>
      <c r="F57" s="100"/>
      <c r="G57" s="103"/>
      <c r="H57" s="186"/>
      <c r="I57" s="195">
        <v>0.51</v>
      </c>
      <c r="J57" s="107">
        <v>0.49</v>
      </c>
      <c r="K57" s="107"/>
      <c r="L57" s="107"/>
      <c r="M57" s="187"/>
      <c r="N57" s="169">
        <f t="shared" si="14"/>
        <v>1</v>
      </c>
      <c r="O57" s="144">
        <v>1</v>
      </c>
      <c r="P57" s="145">
        <v>15</v>
      </c>
      <c r="Q57" s="113">
        <v>15</v>
      </c>
      <c r="R57" s="113"/>
      <c r="S57" s="113"/>
      <c r="T57" s="146"/>
      <c r="U57" s="148">
        <f t="shared" si="1"/>
        <v>15</v>
      </c>
      <c r="V57" s="149">
        <f t="shared" si="2"/>
        <v>15</v>
      </c>
      <c r="W57" s="189"/>
      <c r="X57" s="199"/>
      <c r="Y57" s="151"/>
      <c r="Z57" s="190"/>
      <c r="AA57" s="153"/>
      <c r="AB57" s="154">
        <f t="shared" si="3"/>
        <v>0</v>
      </c>
      <c r="AC57" s="149">
        <f t="shared" si="4"/>
        <v>0</v>
      </c>
      <c r="AD57" s="125">
        <v>2</v>
      </c>
      <c r="AE57" s="148">
        <f t="shared" si="5"/>
        <v>2</v>
      </c>
      <c r="AF57" s="156"/>
      <c r="AG57" s="156"/>
      <c r="AH57" s="113">
        <f t="shared" si="6"/>
        <v>17</v>
      </c>
      <c r="AI57" s="157">
        <v>65</v>
      </c>
      <c r="AJ57" s="113">
        <f t="shared" si="7"/>
        <v>82</v>
      </c>
      <c r="AK57" s="113">
        <f t="shared" si="8"/>
        <v>82</v>
      </c>
      <c r="AL57" s="158">
        <f t="shared" si="9"/>
        <v>1.02</v>
      </c>
      <c r="AM57" s="159"/>
      <c r="AN57" s="160">
        <f t="shared" si="15"/>
        <v>1</v>
      </c>
      <c r="AO57" s="160">
        <f t="shared" si="15"/>
        <v>2</v>
      </c>
      <c r="AP57" s="133"/>
      <c r="AQ57" s="134"/>
      <c r="AR57" s="161"/>
      <c r="AS57" s="161"/>
      <c r="AT57" s="161"/>
      <c r="AU57" s="161"/>
      <c r="AV57" s="162"/>
      <c r="AW57" s="137">
        <f t="shared" si="11"/>
        <v>0</v>
      </c>
      <c r="AX57" s="137">
        <f t="shared" si="12"/>
        <v>0</v>
      </c>
    </row>
    <row r="58" ht="46.5" customHeight="1" spans="1:50" s="97" customFormat="1" x14ac:dyDescent="0.25">
      <c r="A58" s="100"/>
      <c r="B58" s="100"/>
      <c r="C58" s="100"/>
      <c r="D58" s="100"/>
      <c r="E58" s="100"/>
      <c r="F58" s="100"/>
      <c r="G58" s="103"/>
      <c r="H58" s="186"/>
      <c r="I58" s="195">
        <v>0.51</v>
      </c>
      <c r="J58" s="107">
        <v>0.49</v>
      </c>
      <c r="K58" s="107"/>
      <c r="L58" s="107"/>
      <c r="M58" s="187"/>
      <c r="N58" s="169">
        <f t="shared" si="14"/>
        <v>1</v>
      </c>
      <c r="O58" s="144">
        <v>1</v>
      </c>
      <c r="P58" s="145">
        <v>15</v>
      </c>
      <c r="Q58" s="113">
        <v>15</v>
      </c>
      <c r="R58" s="113"/>
      <c r="S58" s="113"/>
      <c r="T58" s="146"/>
      <c r="U58" s="148">
        <f t="shared" si="1"/>
        <v>15</v>
      </c>
      <c r="V58" s="149">
        <f t="shared" si="2"/>
        <v>15</v>
      </c>
      <c r="W58" s="189"/>
      <c r="X58" s="199"/>
      <c r="Y58" s="151"/>
      <c r="Z58" s="190"/>
      <c r="AA58" s="153"/>
      <c r="AB58" s="154">
        <f t="shared" si="3"/>
        <v>0</v>
      </c>
      <c r="AC58" s="149">
        <f t="shared" si="4"/>
        <v>0</v>
      </c>
      <c r="AD58" s="125">
        <v>2</v>
      </c>
      <c r="AE58" s="148">
        <f t="shared" si="5"/>
        <v>2</v>
      </c>
      <c r="AF58" s="156"/>
      <c r="AG58" s="156"/>
      <c r="AH58" s="113">
        <f t="shared" si="6"/>
        <v>17</v>
      </c>
      <c r="AI58" s="157">
        <v>65</v>
      </c>
      <c r="AJ58" s="113">
        <f t="shared" si="7"/>
        <v>82</v>
      </c>
      <c r="AK58" s="113">
        <f t="shared" si="8"/>
        <v>82</v>
      </c>
      <c r="AL58" s="158">
        <f t="shared" si="9"/>
        <v>1.02</v>
      </c>
      <c r="AM58" s="159"/>
      <c r="AN58" s="160">
        <f t="shared" si="15"/>
        <v>1</v>
      </c>
      <c r="AO58" s="160">
        <f t="shared" si="15"/>
        <v>2</v>
      </c>
      <c r="AP58" s="133"/>
      <c r="AQ58" s="134"/>
      <c r="AR58" s="161"/>
      <c r="AS58" s="161"/>
      <c r="AT58" s="161"/>
      <c r="AU58" s="161"/>
      <c r="AV58" s="162"/>
      <c r="AW58" s="137">
        <f t="shared" si="11"/>
        <v>0</v>
      </c>
      <c r="AX58" s="137">
        <f t="shared" si="12"/>
        <v>0</v>
      </c>
    </row>
    <row r="59" ht="46.5" customHeight="1" spans="1:50" s="97" customFormat="1" x14ac:dyDescent="0.25">
      <c r="A59" s="100"/>
      <c r="B59" s="100"/>
      <c r="C59" s="100"/>
      <c r="D59" s="100"/>
      <c r="E59" s="100"/>
      <c r="F59" s="100"/>
      <c r="G59" s="103"/>
      <c r="H59" s="186"/>
      <c r="I59" s="195">
        <v>0.51</v>
      </c>
      <c r="J59" s="107">
        <v>0.49</v>
      </c>
      <c r="K59" s="107"/>
      <c r="L59" s="107"/>
      <c r="M59" s="187"/>
      <c r="N59" s="169">
        <f t="shared" si="14"/>
        <v>1</v>
      </c>
      <c r="O59" s="144">
        <v>1</v>
      </c>
      <c r="P59" s="145">
        <v>15</v>
      </c>
      <c r="Q59" s="113">
        <v>15</v>
      </c>
      <c r="R59" s="113"/>
      <c r="S59" s="113"/>
      <c r="T59" s="146"/>
      <c r="U59" s="148">
        <f t="shared" si="1"/>
        <v>15</v>
      </c>
      <c r="V59" s="149">
        <f t="shared" si="2"/>
        <v>15</v>
      </c>
      <c r="W59" s="189"/>
      <c r="X59" s="199"/>
      <c r="Y59" s="151"/>
      <c r="Z59" s="190"/>
      <c r="AA59" s="153"/>
      <c r="AB59" s="154">
        <f t="shared" si="3"/>
        <v>0</v>
      </c>
      <c r="AC59" s="149">
        <f t="shared" si="4"/>
        <v>0</v>
      </c>
      <c r="AD59" s="125">
        <v>2</v>
      </c>
      <c r="AE59" s="148">
        <f t="shared" si="5"/>
        <v>2</v>
      </c>
      <c r="AF59" s="156"/>
      <c r="AG59" s="156"/>
      <c r="AH59" s="113">
        <f t="shared" si="6"/>
        <v>17</v>
      </c>
      <c r="AI59" s="157">
        <v>65</v>
      </c>
      <c r="AJ59" s="113">
        <f t="shared" si="7"/>
        <v>82</v>
      </c>
      <c r="AK59" s="113">
        <f t="shared" si="8"/>
        <v>82</v>
      </c>
      <c r="AL59" s="158">
        <f t="shared" si="9"/>
        <v>1.02</v>
      </c>
      <c r="AM59" s="159"/>
      <c r="AN59" s="160">
        <f t="shared" si="15"/>
        <v>1</v>
      </c>
      <c r="AO59" s="160">
        <f t="shared" si="15"/>
        <v>2</v>
      </c>
      <c r="AP59" s="133"/>
      <c r="AQ59" s="134"/>
      <c r="AR59" s="161"/>
      <c r="AS59" s="161"/>
      <c r="AT59" s="161"/>
      <c r="AU59" s="161"/>
      <c r="AV59" s="162"/>
      <c r="AW59" s="137">
        <f t="shared" si="11"/>
        <v>0</v>
      </c>
      <c r="AX59" s="137">
        <f t="shared" si="12"/>
        <v>0</v>
      </c>
    </row>
    <row r="60" ht="46.5" customHeight="1" spans="1:50" s="97" customFormat="1" x14ac:dyDescent="0.25">
      <c r="A60" s="100"/>
      <c r="B60" s="100"/>
      <c r="C60" s="100"/>
      <c r="D60" s="100"/>
      <c r="E60" s="100"/>
      <c r="F60" s="100"/>
      <c r="G60" s="103"/>
      <c r="H60" s="186"/>
      <c r="I60" s="195">
        <v>0.51</v>
      </c>
      <c r="J60" s="107">
        <v>0.49</v>
      </c>
      <c r="K60" s="107"/>
      <c r="L60" s="107"/>
      <c r="M60" s="187"/>
      <c r="N60" s="169">
        <f t="shared" si="14"/>
        <v>1</v>
      </c>
      <c r="O60" s="144">
        <v>1</v>
      </c>
      <c r="P60" s="145">
        <v>15</v>
      </c>
      <c r="Q60" s="113">
        <v>15</v>
      </c>
      <c r="R60" s="113"/>
      <c r="S60" s="113"/>
      <c r="T60" s="146"/>
      <c r="U60" s="148">
        <f t="shared" si="1"/>
        <v>15</v>
      </c>
      <c r="V60" s="149">
        <f t="shared" si="2"/>
        <v>15</v>
      </c>
      <c r="W60" s="189"/>
      <c r="X60" s="199"/>
      <c r="Y60" s="151"/>
      <c r="Z60" s="190"/>
      <c r="AA60" s="153"/>
      <c r="AB60" s="154">
        <f t="shared" si="3"/>
        <v>0</v>
      </c>
      <c r="AC60" s="149">
        <f t="shared" si="4"/>
        <v>0</v>
      </c>
      <c r="AD60" s="125">
        <v>2</v>
      </c>
      <c r="AE60" s="148">
        <f t="shared" si="5"/>
        <v>2</v>
      </c>
      <c r="AF60" s="156"/>
      <c r="AG60" s="156"/>
      <c r="AH60" s="113">
        <f t="shared" si="6"/>
        <v>17</v>
      </c>
      <c r="AI60" s="157">
        <v>65</v>
      </c>
      <c r="AJ60" s="113">
        <f t="shared" si="7"/>
        <v>82</v>
      </c>
      <c r="AK60" s="113">
        <f t="shared" si="8"/>
        <v>82</v>
      </c>
      <c r="AL60" s="158">
        <f t="shared" si="9"/>
        <v>1.02</v>
      </c>
      <c r="AM60" s="159"/>
      <c r="AN60" s="160">
        <f t="shared" si="15"/>
        <v>1</v>
      </c>
      <c r="AO60" s="160">
        <f t="shared" si="15"/>
        <v>2</v>
      </c>
      <c r="AP60" s="133"/>
      <c r="AQ60" s="134"/>
      <c r="AR60" s="161"/>
      <c r="AS60" s="161"/>
      <c r="AT60" s="161"/>
      <c r="AU60" s="161"/>
      <c r="AV60" s="162"/>
      <c r="AW60" s="137">
        <f t="shared" si="11"/>
        <v>0</v>
      </c>
      <c r="AX60" s="137">
        <f t="shared" si="12"/>
        <v>0</v>
      </c>
    </row>
    <row r="61" ht="46.5" customHeight="1" spans="1:50" s="97" customFormat="1" x14ac:dyDescent="0.25">
      <c r="A61" s="100"/>
      <c r="B61" s="100"/>
      <c r="C61" s="100"/>
      <c r="D61" s="100"/>
      <c r="E61" s="100"/>
      <c r="F61" s="100"/>
      <c r="G61" s="103"/>
      <c r="H61" s="186"/>
      <c r="I61" s="195">
        <v>0.51</v>
      </c>
      <c r="J61" s="107">
        <v>0.49</v>
      </c>
      <c r="K61" s="107"/>
      <c r="L61" s="107"/>
      <c r="M61" s="187"/>
      <c r="N61" s="169">
        <f t="shared" si="14"/>
        <v>1</v>
      </c>
      <c r="O61" s="144">
        <v>1</v>
      </c>
      <c r="P61" s="145">
        <v>15</v>
      </c>
      <c r="Q61" s="113">
        <v>15</v>
      </c>
      <c r="R61" s="113"/>
      <c r="S61" s="113"/>
      <c r="T61" s="146"/>
      <c r="U61" s="148">
        <f t="shared" si="1"/>
        <v>15</v>
      </c>
      <c r="V61" s="149">
        <f t="shared" si="2"/>
        <v>15</v>
      </c>
      <c r="W61" s="189"/>
      <c r="X61" s="199"/>
      <c r="Y61" s="151"/>
      <c r="Z61" s="190"/>
      <c r="AA61" s="153"/>
      <c r="AB61" s="154">
        <f t="shared" si="3"/>
        <v>0</v>
      </c>
      <c r="AC61" s="149">
        <f t="shared" si="4"/>
        <v>0</v>
      </c>
      <c r="AD61" s="125">
        <v>2</v>
      </c>
      <c r="AE61" s="148">
        <f t="shared" si="5"/>
        <v>2</v>
      </c>
      <c r="AF61" s="156"/>
      <c r="AG61" s="156"/>
      <c r="AH61" s="113">
        <f t="shared" si="6"/>
        <v>17</v>
      </c>
      <c r="AI61" s="157">
        <v>65</v>
      </c>
      <c r="AJ61" s="113">
        <f t="shared" si="7"/>
        <v>82</v>
      </c>
      <c r="AK61" s="113">
        <f t="shared" si="8"/>
        <v>82</v>
      </c>
      <c r="AL61" s="158">
        <f t="shared" si="9"/>
        <v>1.02</v>
      </c>
      <c r="AM61" s="159"/>
      <c r="AN61" s="160">
        <f t="shared" si="15"/>
        <v>1</v>
      </c>
      <c r="AO61" s="160">
        <f t="shared" si="15"/>
        <v>2</v>
      </c>
      <c r="AP61" s="133"/>
      <c r="AQ61" s="134"/>
      <c r="AR61" s="161"/>
      <c r="AS61" s="161"/>
      <c r="AT61" s="161"/>
      <c r="AU61" s="161"/>
      <c r="AV61" s="162"/>
      <c r="AW61" s="137">
        <f t="shared" si="11"/>
        <v>0</v>
      </c>
      <c r="AX61" s="137">
        <f t="shared" si="12"/>
        <v>0</v>
      </c>
    </row>
    <row r="62" ht="46.5" customHeight="1" spans="1:50" s="97" customFormat="1" x14ac:dyDescent="0.25">
      <c r="A62" s="100"/>
      <c r="B62" s="100"/>
      <c r="C62" s="100"/>
      <c r="D62" s="100"/>
      <c r="E62" s="100"/>
      <c r="F62" s="100"/>
      <c r="G62" s="103"/>
      <c r="H62" s="186"/>
      <c r="I62" s="195">
        <v>0.51</v>
      </c>
      <c r="J62" s="107">
        <v>0.49</v>
      </c>
      <c r="K62" s="107"/>
      <c r="L62" s="107"/>
      <c r="M62" s="187"/>
      <c r="N62" s="169">
        <f t="shared" si="14"/>
        <v>1</v>
      </c>
      <c r="O62" s="144">
        <v>1</v>
      </c>
      <c r="P62" s="145">
        <v>15</v>
      </c>
      <c r="Q62" s="113">
        <v>15</v>
      </c>
      <c r="R62" s="113"/>
      <c r="S62" s="113"/>
      <c r="T62" s="146"/>
      <c r="U62" s="148">
        <f t="shared" si="1"/>
        <v>15</v>
      </c>
      <c r="V62" s="149">
        <f t="shared" si="2"/>
        <v>15</v>
      </c>
      <c r="W62" s="189"/>
      <c r="X62" s="199"/>
      <c r="Y62" s="151"/>
      <c r="Z62" s="190"/>
      <c r="AA62" s="153"/>
      <c r="AB62" s="154">
        <f t="shared" si="3"/>
        <v>0</v>
      </c>
      <c r="AC62" s="149">
        <f t="shared" si="4"/>
        <v>0</v>
      </c>
      <c r="AD62" s="125">
        <v>2</v>
      </c>
      <c r="AE62" s="148">
        <f t="shared" si="5"/>
        <v>2</v>
      </c>
      <c r="AF62" s="156"/>
      <c r="AG62" s="156"/>
      <c r="AH62" s="113">
        <f t="shared" si="6"/>
        <v>17</v>
      </c>
      <c r="AI62" s="157">
        <v>65</v>
      </c>
      <c r="AJ62" s="113">
        <f t="shared" si="7"/>
        <v>82</v>
      </c>
      <c r="AK62" s="113">
        <f t="shared" si="8"/>
        <v>82</v>
      </c>
      <c r="AL62" s="158">
        <f t="shared" si="9"/>
        <v>1.02</v>
      </c>
      <c r="AM62" s="159"/>
      <c r="AN62" s="160">
        <f t="shared" si="15"/>
        <v>1</v>
      </c>
      <c r="AO62" s="160">
        <f t="shared" si="15"/>
        <v>2</v>
      </c>
      <c r="AP62" s="133"/>
      <c r="AQ62" s="134"/>
      <c r="AR62" s="161"/>
      <c r="AS62" s="161"/>
      <c r="AT62" s="161"/>
      <c r="AU62" s="161"/>
      <c r="AV62" s="162"/>
      <c r="AW62" s="137">
        <f t="shared" si="11"/>
        <v>0</v>
      </c>
      <c r="AX62" s="137">
        <f t="shared" si="12"/>
        <v>0</v>
      </c>
    </row>
    <row r="63" ht="46.5" customHeight="1" spans="1:50" s="97" customFormat="1" x14ac:dyDescent="0.25">
      <c r="A63" s="100"/>
      <c r="B63" s="100"/>
      <c r="C63" s="100"/>
      <c r="D63" s="100"/>
      <c r="E63" s="100"/>
      <c r="F63" s="100"/>
      <c r="G63" s="103"/>
      <c r="H63" s="186"/>
      <c r="I63" s="195">
        <v>0.51</v>
      </c>
      <c r="J63" s="107">
        <v>0.49</v>
      </c>
      <c r="K63" s="107"/>
      <c r="L63" s="107"/>
      <c r="M63" s="187"/>
      <c r="N63" s="169">
        <f t="shared" si="14"/>
        <v>1</v>
      </c>
      <c r="O63" s="144">
        <v>1</v>
      </c>
      <c r="P63" s="145">
        <v>15</v>
      </c>
      <c r="Q63" s="113">
        <v>15</v>
      </c>
      <c r="R63" s="113"/>
      <c r="S63" s="113"/>
      <c r="T63" s="146"/>
      <c r="U63" s="148">
        <f t="shared" si="1"/>
        <v>15</v>
      </c>
      <c r="V63" s="149">
        <f t="shared" si="2"/>
        <v>15</v>
      </c>
      <c r="W63" s="189"/>
      <c r="X63" s="199"/>
      <c r="Y63" s="151"/>
      <c r="Z63" s="190"/>
      <c r="AA63" s="153"/>
      <c r="AB63" s="154">
        <f t="shared" si="3"/>
        <v>0</v>
      </c>
      <c r="AC63" s="149">
        <f t="shared" si="4"/>
        <v>0</v>
      </c>
      <c r="AD63" s="125">
        <v>2</v>
      </c>
      <c r="AE63" s="148">
        <f t="shared" si="5"/>
        <v>2</v>
      </c>
      <c r="AF63" s="156"/>
      <c r="AG63" s="156"/>
      <c r="AH63" s="113">
        <f t="shared" si="6"/>
        <v>17</v>
      </c>
      <c r="AI63" s="157">
        <v>65</v>
      </c>
      <c r="AJ63" s="113">
        <f t="shared" si="7"/>
        <v>82</v>
      </c>
      <c r="AK63" s="113">
        <f t="shared" si="8"/>
        <v>82</v>
      </c>
      <c r="AL63" s="158">
        <f t="shared" si="9"/>
        <v>1.02</v>
      </c>
      <c r="AM63" s="159"/>
      <c r="AN63" s="160">
        <f t="shared" si="15"/>
        <v>1</v>
      </c>
      <c r="AO63" s="160">
        <f t="shared" si="15"/>
        <v>2</v>
      </c>
      <c r="AP63" s="133"/>
      <c r="AQ63" s="134"/>
      <c r="AR63" s="161"/>
      <c r="AS63" s="161"/>
      <c r="AT63" s="161"/>
      <c r="AU63" s="161"/>
      <c r="AV63" s="162"/>
      <c r="AW63" s="137">
        <f t="shared" si="11"/>
        <v>0</v>
      </c>
      <c r="AX63" s="137">
        <f t="shared" si="12"/>
        <v>0</v>
      </c>
    </row>
    <row r="64" ht="46.5" customHeight="1" spans="1:50" s="97" customFormat="1" x14ac:dyDescent="0.25">
      <c r="A64" s="100"/>
      <c r="B64" s="100"/>
      <c r="C64" s="100"/>
      <c r="D64" s="100"/>
      <c r="E64" s="100"/>
      <c r="F64" s="100"/>
      <c r="G64" s="103"/>
      <c r="H64" s="186"/>
      <c r="I64" s="195">
        <v>0.51</v>
      </c>
      <c r="J64" s="107">
        <v>0.49</v>
      </c>
      <c r="K64" s="107"/>
      <c r="L64" s="107"/>
      <c r="M64" s="187"/>
      <c r="N64" s="169">
        <f t="shared" si="14"/>
        <v>1</v>
      </c>
      <c r="O64" s="144">
        <v>1</v>
      </c>
      <c r="P64" s="145">
        <v>15</v>
      </c>
      <c r="Q64" s="113">
        <v>15</v>
      </c>
      <c r="R64" s="113"/>
      <c r="S64" s="113"/>
      <c r="T64" s="146"/>
      <c r="U64" s="148">
        <f t="shared" si="1"/>
        <v>15</v>
      </c>
      <c r="V64" s="149">
        <f t="shared" si="2"/>
        <v>15</v>
      </c>
      <c r="W64" s="189"/>
      <c r="X64" s="199"/>
      <c r="Y64" s="151"/>
      <c r="Z64" s="190"/>
      <c r="AA64" s="153"/>
      <c r="AB64" s="154">
        <f t="shared" si="3"/>
        <v>0</v>
      </c>
      <c r="AC64" s="149">
        <f t="shared" si="4"/>
        <v>0</v>
      </c>
      <c r="AD64" s="125">
        <v>2</v>
      </c>
      <c r="AE64" s="148">
        <f t="shared" si="5"/>
        <v>2</v>
      </c>
      <c r="AF64" s="156"/>
      <c r="AG64" s="156"/>
      <c r="AH64" s="113">
        <f t="shared" si="6"/>
        <v>17</v>
      </c>
      <c r="AI64" s="157">
        <v>65</v>
      </c>
      <c r="AJ64" s="113">
        <f t="shared" si="7"/>
        <v>82</v>
      </c>
      <c r="AK64" s="113">
        <f t="shared" si="8"/>
        <v>82</v>
      </c>
      <c r="AL64" s="158">
        <f t="shared" si="9"/>
        <v>1.02</v>
      </c>
      <c r="AM64" s="159"/>
      <c r="AN64" s="160">
        <f t="shared" si="15"/>
        <v>1</v>
      </c>
      <c r="AO64" s="160">
        <f t="shared" si="15"/>
        <v>2</v>
      </c>
      <c r="AP64" s="133"/>
      <c r="AQ64" s="134"/>
      <c r="AR64" s="161"/>
      <c r="AS64" s="161"/>
      <c r="AT64" s="161"/>
      <c r="AU64" s="161"/>
      <c r="AV64" s="162"/>
      <c r="AW64" s="137">
        <f t="shared" si="11"/>
        <v>0</v>
      </c>
      <c r="AX64" s="137">
        <f t="shared" si="12"/>
        <v>0</v>
      </c>
    </row>
    <row r="65" ht="46.5" customHeight="1" spans="1:50" s="97" customFormat="1" x14ac:dyDescent="0.25">
      <c r="A65" s="100"/>
      <c r="B65" s="100"/>
      <c r="C65" s="100"/>
      <c r="D65" s="100"/>
      <c r="E65" s="100"/>
      <c r="F65" s="100"/>
      <c r="G65" s="103"/>
      <c r="H65" s="186"/>
      <c r="I65" s="195">
        <v>0.51</v>
      </c>
      <c r="J65" s="107">
        <v>0.49</v>
      </c>
      <c r="K65" s="107"/>
      <c r="L65" s="107"/>
      <c r="M65" s="187"/>
      <c r="N65" s="169">
        <f t="shared" si="14"/>
        <v>1</v>
      </c>
      <c r="O65" s="144">
        <v>1</v>
      </c>
      <c r="P65" s="145">
        <v>15</v>
      </c>
      <c r="Q65" s="113">
        <v>15</v>
      </c>
      <c r="R65" s="113"/>
      <c r="S65" s="113"/>
      <c r="T65" s="146"/>
      <c r="U65" s="148">
        <f t="shared" si="1"/>
        <v>15</v>
      </c>
      <c r="V65" s="149">
        <f t="shared" si="2"/>
        <v>15</v>
      </c>
      <c r="W65" s="189"/>
      <c r="X65" s="199"/>
      <c r="Y65" s="151"/>
      <c r="Z65" s="190"/>
      <c r="AA65" s="153"/>
      <c r="AB65" s="154">
        <f t="shared" si="3"/>
        <v>0</v>
      </c>
      <c r="AC65" s="149">
        <f t="shared" si="4"/>
        <v>0</v>
      </c>
      <c r="AD65" s="125">
        <v>2</v>
      </c>
      <c r="AE65" s="148">
        <f t="shared" si="5"/>
        <v>2</v>
      </c>
      <c r="AF65" s="156"/>
      <c r="AG65" s="156"/>
      <c r="AH65" s="113">
        <f t="shared" si="6"/>
        <v>17</v>
      </c>
      <c r="AI65" s="157">
        <v>65</v>
      </c>
      <c r="AJ65" s="113">
        <f t="shared" si="7"/>
        <v>82</v>
      </c>
      <c r="AK65" s="113">
        <f t="shared" si="8"/>
        <v>82</v>
      </c>
      <c r="AL65" s="158">
        <f t="shared" si="9"/>
        <v>1.02</v>
      </c>
      <c r="AM65" s="159"/>
      <c r="AN65" s="160">
        <f t="shared" si="15"/>
        <v>1</v>
      </c>
      <c r="AO65" s="160">
        <f t="shared" si="15"/>
        <v>2</v>
      </c>
      <c r="AP65" s="133"/>
      <c r="AQ65" s="134"/>
      <c r="AR65" s="161"/>
      <c r="AS65" s="161"/>
      <c r="AT65" s="161"/>
      <c r="AU65" s="161"/>
      <c r="AV65" s="162"/>
      <c r="AW65" s="137">
        <f t="shared" si="11"/>
        <v>0</v>
      </c>
      <c r="AX65" s="137">
        <f t="shared" si="12"/>
        <v>0</v>
      </c>
    </row>
    <row r="66" ht="46.5" customHeight="1" spans="1:50" s="97" customFormat="1" x14ac:dyDescent="0.25">
      <c r="A66" s="100"/>
      <c r="B66" s="100"/>
      <c r="C66" s="100"/>
      <c r="D66" s="100"/>
      <c r="E66" s="100"/>
      <c r="F66" s="100"/>
      <c r="G66" s="103"/>
      <c r="H66" s="186"/>
      <c r="I66" s="195">
        <v>0.51</v>
      </c>
      <c r="J66" s="107">
        <v>0.49</v>
      </c>
      <c r="K66" s="107"/>
      <c r="L66" s="107"/>
      <c r="M66" s="187"/>
      <c r="N66" s="169">
        <f t="shared" si="14"/>
        <v>1</v>
      </c>
      <c r="O66" s="144">
        <v>1</v>
      </c>
      <c r="P66" s="145">
        <v>15</v>
      </c>
      <c r="Q66" s="113">
        <v>15</v>
      </c>
      <c r="R66" s="113"/>
      <c r="S66" s="113"/>
      <c r="T66" s="146"/>
      <c r="U66" s="148">
        <f t="shared" si="1"/>
        <v>15</v>
      </c>
      <c r="V66" s="149">
        <f t="shared" si="2"/>
        <v>15</v>
      </c>
      <c r="W66" s="189"/>
      <c r="X66" s="199"/>
      <c r="Y66" s="151"/>
      <c r="Z66" s="190"/>
      <c r="AA66" s="153"/>
      <c r="AB66" s="154">
        <f t="shared" si="3"/>
        <v>0</v>
      </c>
      <c r="AC66" s="149">
        <f t="shared" si="4"/>
        <v>0</v>
      </c>
      <c r="AD66" s="125">
        <v>2</v>
      </c>
      <c r="AE66" s="148">
        <f t="shared" si="5"/>
        <v>2</v>
      </c>
      <c r="AF66" s="156"/>
      <c r="AG66" s="156"/>
      <c r="AH66" s="113">
        <f t="shared" si="6"/>
        <v>17</v>
      </c>
      <c r="AI66" s="157">
        <v>65</v>
      </c>
      <c r="AJ66" s="113">
        <f t="shared" si="7"/>
        <v>82</v>
      </c>
      <c r="AK66" s="113">
        <f t="shared" si="8"/>
        <v>82</v>
      </c>
      <c r="AL66" s="158">
        <f t="shared" si="9"/>
        <v>1.02</v>
      </c>
      <c r="AM66" s="159"/>
      <c r="AN66" s="160">
        <f t="shared" si="15"/>
        <v>1</v>
      </c>
      <c r="AO66" s="160">
        <f t="shared" si="15"/>
        <v>2</v>
      </c>
      <c r="AP66" s="133"/>
      <c r="AQ66" s="134"/>
      <c r="AR66" s="161"/>
      <c r="AS66" s="161"/>
      <c r="AT66" s="161"/>
      <c r="AU66" s="161"/>
      <c r="AV66" s="162"/>
      <c r="AW66" s="137">
        <f t="shared" si="11"/>
        <v>0</v>
      </c>
      <c r="AX66" s="137">
        <f t="shared" si="12"/>
        <v>0</v>
      </c>
    </row>
    <row r="67" ht="46.5" customHeight="1" spans="1:50" s="97" customFormat="1" x14ac:dyDescent="0.25">
      <c r="A67" s="100"/>
      <c r="B67" s="100"/>
      <c r="C67" s="100"/>
      <c r="D67" s="100"/>
      <c r="E67" s="100"/>
      <c r="F67" s="100"/>
      <c r="G67" s="103"/>
      <c r="H67" s="186"/>
      <c r="I67" s="195">
        <v>0.51</v>
      </c>
      <c r="J67" s="107">
        <v>0.49</v>
      </c>
      <c r="K67" s="107"/>
      <c r="L67" s="107"/>
      <c r="M67" s="187"/>
      <c r="N67" s="169">
        <f t="shared" si="14"/>
        <v>1</v>
      </c>
      <c r="O67" s="144">
        <v>1</v>
      </c>
      <c r="P67" s="145">
        <v>15</v>
      </c>
      <c r="Q67" s="113">
        <v>15</v>
      </c>
      <c r="R67" s="113"/>
      <c r="S67" s="113"/>
      <c r="T67" s="146"/>
      <c r="U67" s="148">
        <f t="shared" si="1"/>
        <v>15</v>
      </c>
      <c r="V67" s="149">
        <f t="shared" si="2"/>
        <v>15</v>
      </c>
      <c r="W67" s="189"/>
      <c r="X67" s="199"/>
      <c r="Y67" s="151"/>
      <c r="Z67" s="190"/>
      <c r="AA67" s="153"/>
      <c r="AB67" s="154">
        <f t="shared" si="3"/>
        <v>0</v>
      </c>
      <c r="AC67" s="149">
        <f t="shared" si="4"/>
        <v>0</v>
      </c>
      <c r="AD67" s="125">
        <v>2</v>
      </c>
      <c r="AE67" s="148">
        <f t="shared" si="5"/>
        <v>2</v>
      </c>
      <c r="AF67" s="156"/>
      <c r="AG67" s="156"/>
      <c r="AH67" s="113">
        <f t="shared" si="6"/>
        <v>17</v>
      </c>
      <c r="AI67" s="157">
        <v>65</v>
      </c>
      <c r="AJ67" s="113">
        <f t="shared" si="7"/>
        <v>82</v>
      </c>
      <c r="AK67" s="113">
        <f t="shared" si="8"/>
        <v>82</v>
      </c>
      <c r="AL67" s="158">
        <f t="shared" si="9"/>
        <v>1.02</v>
      </c>
      <c r="AM67" s="159"/>
      <c r="AN67" s="160">
        <f t="shared" si="15"/>
        <v>1</v>
      </c>
      <c r="AO67" s="160">
        <f t="shared" si="15"/>
        <v>2</v>
      </c>
      <c r="AP67" s="133"/>
      <c r="AQ67" s="134"/>
      <c r="AR67" s="161"/>
      <c r="AS67" s="161"/>
      <c r="AT67" s="161"/>
      <c r="AU67" s="161"/>
      <c r="AV67" s="162"/>
      <c r="AW67" s="137">
        <f t="shared" si="11"/>
        <v>0</v>
      </c>
      <c r="AX67" s="137">
        <f t="shared" si="12"/>
        <v>0</v>
      </c>
    </row>
    <row r="68" ht="46.5" customHeight="1" spans="1:50" s="97" customFormat="1" x14ac:dyDescent="0.25">
      <c r="A68" s="100"/>
      <c r="B68" s="100"/>
      <c r="C68" s="100"/>
      <c r="D68" s="100"/>
      <c r="E68" s="100"/>
      <c r="F68" s="100"/>
      <c r="G68" s="103"/>
      <c r="H68" s="186"/>
      <c r="I68" s="195">
        <v>0.51</v>
      </c>
      <c r="J68" s="107">
        <v>0.49</v>
      </c>
      <c r="K68" s="107"/>
      <c r="L68" s="107"/>
      <c r="M68" s="187"/>
      <c r="N68" s="169">
        <f t="shared" si="14"/>
        <v>1</v>
      </c>
      <c r="O68" s="144">
        <v>1</v>
      </c>
      <c r="P68" s="145">
        <v>15</v>
      </c>
      <c r="Q68" s="113">
        <v>15</v>
      </c>
      <c r="R68" s="113"/>
      <c r="S68" s="113"/>
      <c r="T68" s="146"/>
      <c r="U68" s="148">
        <f t="shared" si="1"/>
        <v>15</v>
      </c>
      <c r="V68" s="149">
        <f t="shared" si="2"/>
        <v>15</v>
      </c>
      <c r="W68" s="189"/>
      <c r="X68" s="199"/>
      <c r="Y68" s="151"/>
      <c r="Z68" s="190"/>
      <c r="AA68" s="153"/>
      <c r="AB68" s="154">
        <f t="shared" si="3"/>
        <v>0</v>
      </c>
      <c r="AC68" s="149">
        <f t="shared" si="4"/>
        <v>0</v>
      </c>
      <c r="AD68" s="125">
        <v>2</v>
      </c>
      <c r="AE68" s="148">
        <f t="shared" si="5"/>
        <v>2</v>
      </c>
      <c r="AF68" s="156"/>
      <c r="AG68" s="156"/>
      <c r="AH68" s="113">
        <f t="shared" si="6"/>
        <v>17</v>
      </c>
      <c r="AI68" s="157">
        <v>65</v>
      </c>
      <c r="AJ68" s="113">
        <f t="shared" si="7"/>
        <v>82</v>
      </c>
      <c r="AK68" s="113">
        <f t="shared" si="8"/>
        <v>82</v>
      </c>
      <c r="AL68" s="158">
        <f t="shared" si="9"/>
        <v>1.02</v>
      </c>
      <c r="AM68" s="159"/>
      <c r="AN68" s="160">
        <f t="shared" si="15"/>
        <v>1</v>
      </c>
      <c r="AO68" s="160">
        <f t="shared" si="15"/>
        <v>2</v>
      </c>
      <c r="AP68" s="133"/>
      <c r="AQ68" s="134"/>
      <c r="AR68" s="161"/>
      <c r="AS68" s="161"/>
      <c r="AT68" s="161"/>
      <c r="AU68" s="161"/>
      <c r="AV68" s="162"/>
      <c r="AW68" s="137">
        <f t="shared" si="11"/>
        <v>0</v>
      </c>
      <c r="AX68" s="137">
        <f t="shared" si="12"/>
        <v>0</v>
      </c>
    </row>
    <row r="69" ht="46.5" customHeight="1" spans="1:50" s="97" customFormat="1" x14ac:dyDescent="0.25">
      <c r="A69" s="100"/>
      <c r="B69" s="100"/>
      <c r="C69" s="100"/>
      <c r="D69" s="100"/>
      <c r="E69" s="100"/>
      <c r="F69" s="100"/>
      <c r="G69" s="103"/>
      <c r="H69" s="186"/>
      <c r="I69" s="195">
        <v>0.51</v>
      </c>
      <c r="J69" s="107">
        <v>0.49</v>
      </c>
      <c r="K69" s="107"/>
      <c r="L69" s="107"/>
      <c r="M69" s="187"/>
      <c r="N69" s="169">
        <f t="shared" si="14"/>
        <v>1</v>
      </c>
      <c r="O69" s="144">
        <v>1</v>
      </c>
      <c r="P69" s="145">
        <v>15</v>
      </c>
      <c r="Q69" s="113">
        <v>15</v>
      </c>
      <c r="R69" s="113"/>
      <c r="S69" s="113"/>
      <c r="T69" s="146"/>
      <c r="U69" s="148">
        <f t="shared" si="1"/>
        <v>15</v>
      </c>
      <c r="V69" s="149">
        <f t="shared" si="2"/>
        <v>15</v>
      </c>
      <c r="W69" s="189"/>
      <c r="X69" s="199"/>
      <c r="Y69" s="151"/>
      <c r="Z69" s="190"/>
      <c r="AA69" s="153"/>
      <c r="AB69" s="154">
        <f t="shared" si="3"/>
        <v>0</v>
      </c>
      <c r="AC69" s="149">
        <f t="shared" si="4"/>
        <v>0</v>
      </c>
      <c r="AD69" s="125">
        <v>2</v>
      </c>
      <c r="AE69" s="148">
        <f t="shared" si="5"/>
        <v>2</v>
      </c>
      <c r="AF69" s="156"/>
      <c r="AG69" s="156"/>
      <c r="AH69" s="113">
        <f t="shared" si="6"/>
        <v>17</v>
      </c>
      <c r="AI69" s="157">
        <v>65</v>
      </c>
      <c r="AJ69" s="113">
        <f t="shared" si="7"/>
        <v>82</v>
      </c>
      <c r="AK69" s="113">
        <f t="shared" si="8"/>
        <v>82</v>
      </c>
      <c r="AL69" s="158">
        <f t="shared" si="9"/>
        <v>1.02</v>
      </c>
      <c r="AM69" s="159"/>
      <c r="AN69" s="160">
        <f t="shared" si="15"/>
        <v>1</v>
      </c>
      <c r="AO69" s="160">
        <f t="shared" si="15"/>
        <v>2</v>
      </c>
      <c r="AP69" s="133"/>
      <c r="AQ69" s="134"/>
      <c r="AR69" s="161"/>
      <c r="AS69" s="161"/>
      <c r="AT69" s="161"/>
      <c r="AU69" s="161"/>
      <c r="AV69" s="162"/>
      <c r="AW69" s="137">
        <f t="shared" si="11"/>
        <v>0</v>
      </c>
      <c r="AX69" s="137">
        <f t="shared" si="12"/>
        <v>0</v>
      </c>
    </row>
    <row r="70" ht="46.5" customHeight="1" spans="1:50" s="97" customFormat="1" x14ac:dyDescent="0.25">
      <c r="A70" s="100"/>
      <c r="B70" s="100"/>
      <c r="C70" s="100"/>
      <c r="D70" s="100"/>
      <c r="E70" s="100"/>
      <c r="F70" s="100"/>
      <c r="G70" s="103"/>
      <c r="H70" s="186"/>
      <c r="I70" s="195">
        <v>0.51</v>
      </c>
      <c r="J70" s="107">
        <v>0.49</v>
      </c>
      <c r="K70" s="107"/>
      <c r="L70" s="107"/>
      <c r="M70" s="187"/>
      <c r="N70" s="169">
        <f t="shared" si="14"/>
        <v>1</v>
      </c>
      <c r="O70" s="144">
        <v>1</v>
      </c>
      <c r="P70" s="145">
        <v>15</v>
      </c>
      <c r="Q70" s="113">
        <v>15</v>
      </c>
      <c r="R70" s="113"/>
      <c r="S70" s="113"/>
      <c r="T70" s="146"/>
      <c r="U70" s="148">
        <f t="shared" si="1"/>
        <v>15</v>
      </c>
      <c r="V70" s="149">
        <f t="shared" si="2"/>
        <v>15</v>
      </c>
      <c r="W70" s="189"/>
      <c r="X70" s="199"/>
      <c r="Y70" s="151"/>
      <c r="Z70" s="190"/>
      <c r="AA70" s="153"/>
      <c r="AB70" s="154">
        <f t="shared" si="3"/>
        <v>0</v>
      </c>
      <c r="AC70" s="149">
        <f t="shared" si="4"/>
        <v>0</v>
      </c>
      <c r="AD70" s="125">
        <v>2</v>
      </c>
      <c r="AE70" s="148">
        <f t="shared" si="5"/>
        <v>2</v>
      </c>
      <c r="AF70" s="156"/>
      <c r="AG70" s="156"/>
      <c r="AH70" s="113">
        <f t="shared" si="6"/>
        <v>17</v>
      </c>
      <c r="AI70" s="157">
        <v>65</v>
      </c>
      <c r="AJ70" s="113">
        <f t="shared" si="7"/>
        <v>82</v>
      </c>
      <c r="AK70" s="113">
        <f t="shared" si="8"/>
        <v>82</v>
      </c>
      <c r="AL70" s="158">
        <f t="shared" si="9"/>
        <v>1.02</v>
      </c>
      <c r="AM70" s="159"/>
      <c r="AN70" s="160">
        <f t="shared" si="15"/>
        <v>1</v>
      </c>
      <c r="AO70" s="160">
        <f t="shared" si="15"/>
        <v>2</v>
      </c>
      <c r="AP70" s="133"/>
      <c r="AQ70" s="134"/>
      <c r="AR70" s="161"/>
      <c r="AS70" s="161"/>
      <c r="AT70" s="161"/>
      <c r="AU70" s="161"/>
      <c r="AV70" s="162"/>
      <c r="AW70" s="137">
        <f t="shared" si="11"/>
        <v>0</v>
      </c>
      <c r="AX70" s="137">
        <f t="shared" si="12"/>
        <v>0</v>
      </c>
    </row>
    <row r="71" ht="46.5" customHeight="1" spans="1:50" s="97" customFormat="1" x14ac:dyDescent="0.25">
      <c r="A71" s="100"/>
      <c r="B71" s="100"/>
      <c r="C71" s="100"/>
      <c r="D71" s="100"/>
      <c r="E71" s="100"/>
      <c r="F71" s="100"/>
      <c r="G71" s="103"/>
      <c r="H71" s="186"/>
      <c r="I71" s="195">
        <v>0.51</v>
      </c>
      <c r="J71" s="107">
        <v>0.49</v>
      </c>
      <c r="K71" s="107"/>
      <c r="L71" s="107"/>
      <c r="M71" s="187"/>
      <c r="N71" s="169">
        <f t="shared" si="14"/>
        <v>1</v>
      </c>
      <c r="O71" s="144">
        <v>1</v>
      </c>
      <c r="P71" s="145">
        <v>15</v>
      </c>
      <c r="Q71" s="113">
        <v>15</v>
      </c>
      <c r="R71" s="113"/>
      <c r="S71" s="113"/>
      <c r="T71" s="146"/>
      <c r="U71" s="148">
        <f t="shared" si="1"/>
        <v>15</v>
      </c>
      <c r="V71" s="149">
        <f t="shared" si="2"/>
        <v>15</v>
      </c>
      <c r="W71" s="189"/>
      <c r="X71" s="199"/>
      <c r="Y71" s="151"/>
      <c r="Z71" s="190"/>
      <c r="AA71" s="153"/>
      <c r="AB71" s="154">
        <f t="shared" si="3"/>
        <v>0</v>
      </c>
      <c r="AC71" s="149">
        <f t="shared" si="4"/>
        <v>0</v>
      </c>
      <c r="AD71" s="125">
        <v>2</v>
      </c>
      <c r="AE71" s="148">
        <f t="shared" si="5"/>
        <v>2</v>
      </c>
      <c r="AF71" s="156"/>
      <c r="AG71" s="156"/>
      <c r="AH71" s="113">
        <f t="shared" si="6"/>
        <v>17</v>
      </c>
      <c r="AI71" s="157">
        <v>65</v>
      </c>
      <c r="AJ71" s="113">
        <f t="shared" si="7"/>
        <v>82</v>
      </c>
      <c r="AK71" s="113">
        <f t="shared" si="8"/>
        <v>82</v>
      </c>
      <c r="AL71" s="158">
        <f t="shared" si="9"/>
        <v>1.02</v>
      </c>
      <c r="AM71" s="159"/>
      <c r="AN71" s="160">
        <f t="shared" ref="AN71:AO90" si="16">100%+AM71</f>
        <v>1</v>
      </c>
      <c r="AO71" s="160">
        <f t="shared" si="16"/>
        <v>2</v>
      </c>
      <c r="AP71" s="133"/>
      <c r="AQ71" s="134"/>
      <c r="AR71" s="161"/>
      <c r="AS71" s="161"/>
      <c r="AT71" s="161"/>
      <c r="AU71" s="161"/>
      <c r="AV71" s="162"/>
      <c r="AW71" s="137">
        <f t="shared" si="11"/>
        <v>0</v>
      </c>
      <c r="AX71" s="137">
        <f t="shared" si="12"/>
        <v>0</v>
      </c>
    </row>
    <row r="72" ht="46.5" customHeight="1" spans="1:50" s="97" customFormat="1" x14ac:dyDescent="0.25">
      <c r="A72" s="100"/>
      <c r="B72" s="100"/>
      <c r="C72" s="100"/>
      <c r="D72" s="100"/>
      <c r="E72" s="100"/>
      <c r="F72" s="100"/>
      <c r="G72" s="103"/>
      <c r="H72" s="186"/>
      <c r="I72" s="195">
        <v>0.51</v>
      </c>
      <c r="J72" s="107">
        <v>0.49</v>
      </c>
      <c r="K72" s="107"/>
      <c r="L72" s="107"/>
      <c r="M72" s="187"/>
      <c r="N72" s="169">
        <f t="shared" si="14"/>
        <v>1</v>
      </c>
      <c r="O72" s="144">
        <v>1</v>
      </c>
      <c r="P72" s="145">
        <v>15</v>
      </c>
      <c r="Q72" s="113">
        <v>15</v>
      </c>
      <c r="R72" s="113"/>
      <c r="S72" s="113"/>
      <c r="T72" s="146"/>
      <c r="U72" s="148">
        <f t="shared" si="1"/>
        <v>15</v>
      </c>
      <c r="V72" s="149">
        <f t="shared" si="2"/>
        <v>15</v>
      </c>
      <c r="W72" s="189"/>
      <c r="X72" s="199"/>
      <c r="Y72" s="151"/>
      <c r="Z72" s="190"/>
      <c r="AA72" s="153"/>
      <c r="AB72" s="154">
        <f t="shared" si="3"/>
        <v>0</v>
      </c>
      <c r="AC72" s="149">
        <f t="shared" si="4"/>
        <v>0</v>
      </c>
      <c r="AD72" s="125">
        <v>2</v>
      </c>
      <c r="AE72" s="148">
        <f t="shared" si="5"/>
        <v>2</v>
      </c>
      <c r="AF72" s="156"/>
      <c r="AG72" s="156"/>
      <c r="AH72" s="113">
        <f t="shared" si="6"/>
        <v>17</v>
      </c>
      <c r="AI72" s="157">
        <v>65</v>
      </c>
      <c r="AJ72" s="113">
        <f t="shared" si="7"/>
        <v>82</v>
      </c>
      <c r="AK72" s="113">
        <f t="shared" si="8"/>
        <v>82</v>
      </c>
      <c r="AL72" s="158">
        <f t="shared" si="9"/>
        <v>1.02</v>
      </c>
      <c r="AM72" s="159"/>
      <c r="AN72" s="160">
        <f t="shared" si="16"/>
        <v>1</v>
      </c>
      <c r="AO72" s="160">
        <f t="shared" si="16"/>
        <v>2</v>
      </c>
      <c r="AP72" s="133"/>
      <c r="AQ72" s="134"/>
      <c r="AR72" s="161"/>
      <c r="AS72" s="161"/>
      <c r="AT72" s="161"/>
      <c r="AU72" s="161"/>
      <c r="AV72" s="162"/>
      <c r="AW72" s="137">
        <f t="shared" si="11"/>
        <v>0</v>
      </c>
      <c r="AX72" s="137">
        <f t="shared" si="12"/>
        <v>0</v>
      </c>
    </row>
    <row r="73" ht="46.5" customHeight="1" spans="1:50" s="97" customFormat="1" x14ac:dyDescent="0.25">
      <c r="A73" s="100"/>
      <c r="B73" s="100"/>
      <c r="C73" s="100"/>
      <c r="D73" s="100"/>
      <c r="E73" s="100"/>
      <c r="F73" s="100"/>
      <c r="G73" s="103"/>
      <c r="H73" s="186"/>
      <c r="I73" s="195">
        <v>0.51</v>
      </c>
      <c r="J73" s="107">
        <v>0.49</v>
      </c>
      <c r="K73" s="107"/>
      <c r="L73" s="107"/>
      <c r="M73" s="187"/>
      <c r="N73" s="169">
        <f t="shared" si="14"/>
        <v>1</v>
      </c>
      <c r="O73" s="144">
        <v>1</v>
      </c>
      <c r="P73" s="145">
        <v>15</v>
      </c>
      <c r="Q73" s="113">
        <v>15</v>
      </c>
      <c r="R73" s="113"/>
      <c r="S73" s="113"/>
      <c r="T73" s="146"/>
      <c r="U73" s="148">
        <f t="shared" si="1"/>
        <v>15</v>
      </c>
      <c r="V73" s="149">
        <f t="shared" si="2"/>
        <v>15</v>
      </c>
      <c r="W73" s="189"/>
      <c r="X73" s="199"/>
      <c r="Y73" s="151"/>
      <c r="Z73" s="190"/>
      <c r="AA73" s="153"/>
      <c r="AB73" s="154">
        <f t="shared" si="3"/>
        <v>0</v>
      </c>
      <c r="AC73" s="149">
        <f t="shared" si="4"/>
        <v>0</v>
      </c>
      <c r="AD73" s="125">
        <v>2</v>
      </c>
      <c r="AE73" s="148">
        <f t="shared" si="5"/>
        <v>2</v>
      </c>
      <c r="AF73" s="156"/>
      <c r="AG73" s="156"/>
      <c r="AH73" s="113">
        <f t="shared" si="6"/>
        <v>17</v>
      </c>
      <c r="AI73" s="157">
        <v>65</v>
      </c>
      <c r="AJ73" s="113">
        <f t="shared" si="7"/>
        <v>82</v>
      </c>
      <c r="AK73" s="113">
        <f t="shared" si="8"/>
        <v>82</v>
      </c>
      <c r="AL73" s="158">
        <f t="shared" si="9"/>
        <v>1.02</v>
      </c>
      <c r="AM73" s="159"/>
      <c r="AN73" s="160">
        <f t="shared" si="16"/>
        <v>1</v>
      </c>
      <c r="AO73" s="160">
        <f t="shared" si="16"/>
        <v>2</v>
      </c>
      <c r="AP73" s="133"/>
      <c r="AQ73" s="134"/>
      <c r="AR73" s="161"/>
      <c r="AS73" s="161"/>
      <c r="AT73" s="161"/>
      <c r="AU73" s="161"/>
      <c r="AV73" s="162"/>
      <c r="AW73" s="137">
        <f t="shared" si="11"/>
        <v>0</v>
      </c>
      <c r="AX73" s="137">
        <f t="shared" si="12"/>
        <v>0</v>
      </c>
    </row>
    <row r="74" ht="46.5" customHeight="1" spans="1:50" s="97" customFormat="1" x14ac:dyDescent="0.25">
      <c r="A74" s="100"/>
      <c r="B74" s="100"/>
      <c r="C74" s="100"/>
      <c r="D74" s="100"/>
      <c r="E74" s="100"/>
      <c r="F74" s="100"/>
      <c r="G74" s="103"/>
      <c r="H74" s="186"/>
      <c r="I74" s="195">
        <v>0.51</v>
      </c>
      <c r="J74" s="107">
        <v>0.49</v>
      </c>
      <c r="K74" s="107"/>
      <c r="L74" s="107"/>
      <c r="M74" s="187"/>
      <c r="N74" s="169">
        <f t="shared" si="14"/>
        <v>1</v>
      </c>
      <c r="O74" s="144">
        <v>1</v>
      </c>
      <c r="P74" s="145">
        <v>15</v>
      </c>
      <c r="Q74" s="113">
        <v>15</v>
      </c>
      <c r="R74" s="113"/>
      <c r="S74" s="113"/>
      <c r="T74" s="146"/>
      <c r="U74" s="148">
        <f t="shared" si="1"/>
        <v>15</v>
      </c>
      <c r="V74" s="149">
        <f t="shared" si="2"/>
        <v>15</v>
      </c>
      <c r="W74" s="189"/>
      <c r="X74" s="199"/>
      <c r="Y74" s="151"/>
      <c r="Z74" s="190"/>
      <c r="AA74" s="153"/>
      <c r="AB74" s="154">
        <f t="shared" si="3"/>
        <v>0</v>
      </c>
      <c r="AC74" s="149">
        <f t="shared" si="4"/>
        <v>0</v>
      </c>
      <c r="AD74" s="125">
        <v>2</v>
      </c>
      <c r="AE74" s="148">
        <f t="shared" si="5"/>
        <v>2</v>
      </c>
      <c r="AF74" s="156"/>
      <c r="AG74" s="156"/>
      <c r="AH74" s="113">
        <f t="shared" si="6"/>
        <v>17</v>
      </c>
      <c r="AI74" s="157">
        <v>65</v>
      </c>
      <c r="AJ74" s="113">
        <f t="shared" si="7"/>
        <v>82</v>
      </c>
      <c r="AK74" s="113">
        <f t="shared" si="8"/>
        <v>82</v>
      </c>
      <c r="AL74" s="158">
        <f t="shared" si="9"/>
        <v>1.02</v>
      </c>
      <c r="AM74" s="159"/>
      <c r="AN74" s="160">
        <f t="shared" si="16"/>
        <v>1</v>
      </c>
      <c r="AO74" s="160">
        <f t="shared" si="16"/>
        <v>2</v>
      </c>
      <c r="AP74" s="133"/>
      <c r="AQ74" s="134"/>
      <c r="AR74" s="161"/>
      <c r="AS74" s="161"/>
      <c r="AT74" s="161"/>
      <c r="AU74" s="161"/>
      <c r="AV74" s="162"/>
      <c r="AW74" s="137">
        <f t="shared" si="11"/>
        <v>0</v>
      </c>
      <c r="AX74" s="137">
        <f t="shared" si="12"/>
        <v>0</v>
      </c>
    </row>
    <row r="75" ht="46.5" customHeight="1" spans="1:50" s="97" customFormat="1" x14ac:dyDescent="0.25">
      <c r="A75" s="100"/>
      <c r="B75" s="100"/>
      <c r="C75" s="100"/>
      <c r="D75" s="100"/>
      <c r="E75" s="100"/>
      <c r="F75" s="100"/>
      <c r="G75" s="103"/>
      <c r="H75" s="186"/>
      <c r="I75" s="195">
        <v>0.51</v>
      </c>
      <c r="J75" s="107">
        <v>0.49</v>
      </c>
      <c r="K75" s="107"/>
      <c r="L75" s="107"/>
      <c r="M75" s="187"/>
      <c r="N75" s="169">
        <f t="shared" si="14"/>
        <v>1</v>
      </c>
      <c r="O75" s="144">
        <v>1</v>
      </c>
      <c r="P75" s="145">
        <v>15</v>
      </c>
      <c r="Q75" s="113">
        <v>15</v>
      </c>
      <c r="R75" s="113"/>
      <c r="S75" s="113"/>
      <c r="T75" s="146"/>
      <c r="U75" s="148">
        <f t="shared" ref="U75:U136" si="17">ROUND(((P75*I75)+(Q75*J75)+(R75*K75)+(S75*L75)+(T75*M75))*O75,2)</f>
        <v>15</v>
      </c>
      <c r="V75" s="149">
        <f t="shared" ref="V75:V136" si="18">IF(U75&gt;=15,15,U75)</f>
        <v>15</v>
      </c>
      <c r="W75" s="189"/>
      <c r="X75" s="199"/>
      <c r="Y75" s="151"/>
      <c r="Z75" s="190"/>
      <c r="AA75" s="153"/>
      <c r="AB75" s="154">
        <f t="shared" ref="AB75:AB136" si="19">ROUND((((W75*I75)+(X75*J75)+(Y75*K75)+(Z75*L75)+(AA75*M75))/$I$2),2)*13</f>
        <v>0</v>
      </c>
      <c r="AC75" s="149">
        <f t="shared" ref="AC75:AC136" si="20">IF(AB75&gt;=13,13,AB75)</f>
        <v>0</v>
      </c>
      <c r="AD75" s="125">
        <v>2</v>
      </c>
      <c r="AE75" s="148">
        <f t="shared" ref="AE75:AE136" si="21">IF((AC75+AD75)&gt;=15,15,(AC75+AD75))</f>
        <v>2</v>
      </c>
      <c r="AF75" s="156"/>
      <c r="AG75" s="156"/>
      <c r="AH75" s="113">
        <f t="shared" ref="AH75:AH136" si="22">IF((V75+AE75+AF75)&gt;=30,30,(V75+AE75+AF75))</f>
        <v>17</v>
      </c>
      <c r="AI75" s="157">
        <v>65</v>
      </c>
      <c r="AJ75" s="113">
        <f t="shared" ref="AJ75:AJ136" si="23">V75+AE75+AF75+AI75+AG75</f>
        <v>82</v>
      </c>
      <c r="AK75" s="113">
        <f t="shared" ref="AK75:AK136" si="24">IF(AH75+AI75+AG75&gt;=95,95,AH75+AI75+AG75)</f>
        <v>82</v>
      </c>
      <c r="AL75" s="158">
        <f t="shared" ref="AL75:AL136" si="25">-((50-((176+(45+(50-AH75)))))/200)</f>
        <v>1.02</v>
      </c>
      <c r="AM75" s="159"/>
      <c r="AN75" s="160">
        <f t="shared" si="16"/>
        <v>1</v>
      </c>
      <c r="AO75" s="160">
        <f t="shared" si="16"/>
        <v>2</v>
      </c>
      <c r="AP75" s="133"/>
      <c r="AQ75" s="134"/>
      <c r="AR75" s="161"/>
      <c r="AS75" s="161"/>
      <c r="AT75" s="161"/>
      <c r="AU75" s="161"/>
      <c r="AV75" s="162"/>
      <c r="AW75" s="137">
        <f t="shared" ref="AW75:AW136" si="26">AR75+AS75+AT75+AU75+AV75</f>
        <v>0</v>
      </c>
      <c r="AX75" s="137">
        <f t="shared" ref="AX75:AX136" si="27">(AR75*I75)+(AS75*J75)+(AT75*K75)+(AU75*L75)+(AV75*M75)</f>
        <v>0</v>
      </c>
    </row>
    <row r="76" ht="46.5" customHeight="1" spans="1:50" s="97" customFormat="1" x14ac:dyDescent="0.25">
      <c r="A76" s="100"/>
      <c r="B76" s="100"/>
      <c r="C76" s="100"/>
      <c r="D76" s="100"/>
      <c r="E76" s="100"/>
      <c r="F76" s="100"/>
      <c r="G76" s="103"/>
      <c r="H76" s="186"/>
      <c r="I76" s="195">
        <v>0.51</v>
      </c>
      <c r="J76" s="107">
        <v>0.49</v>
      </c>
      <c r="K76" s="107"/>
      <c r="L76" s="107"/>
      <c r="M76" s="187"/>
      <c r="N76" s="169">
        <f t="shared" si="14"/>
        <v>1</v>
      </c>
      <c r="O76" s="144">
        <v>1</v>
      </c>
      <c r="P76" s="145">
        <v>15</v>
      </c>
      <c r="Q76" s="113">
        <v>15</v>
      </c>
      <c r="R76" s="113"/>
      <c r="S76" s="113"/>
      <c r="T76" s="146"/>
      <c r="U76" s="148">
        <f t="shared" si="17"/>
        <v>15</v>
      </c>
      <c r="V76" s="149">
        <f t="shared" si="18"/>
        <v>15</v>
      </c>
      <c r="W76" s="189"/>
      <c r="X76" s="199"/>
      <c r="Y76" s="151"/>
      <c r="Z76" s="190"/>
      <c r="AA76" s="153"/>
      <c r="AB76" s="154">
        <f t="shared" si="19"/>
        <v>0</v>
      </c>
      <c r="AC76" s="149">
        <f t="shared" si="20"/>
        <v>0</v>
      </c>
      <c r="AD76" s="125">
        <v>2</v>
      </c>
      <c r="AE76" s="148">
        <f t="shared" si="21"/>
        <v>2</v>
      </c>
      <c r="AF76" s="156"/>
      <c r="AG76" s="156"/>
      <c r="AH76" s="113">
        <f t="shared" si="22"/>
        <v>17</v>
      </c>
      <c r="AI76" s="157">
        <v>65</v>
      </c>
      <c r="AJ76" s="113">
        <f t="shared" si="23"/>
        <v>82</v>
      </c>
      <c r="AK76" s="113">
        <f t="shared" si="24"/>
        <v>82</v>
      </c>
      <c r="AL76" s="158">
        <f t="shared" si="25"/>
        <v>1.02</v>
      </c>
      <c r="AM76" s="159"/>
      <c r="AN76" s="160">
        <f t="shared" si="16"/>
        <v>1</v>
      </c>
      <c r="AO76" s="160">
        <f t="shared" si="16"/>
        <v>2</v>
      </c>
      <c r="AP76" s="133"/>
      <c r="AQ76" s="134"/>
      <c r="AR76" s="161"/>
      <c r="AS76" s="161"/>
      <c r="AT76" s="161"/>
      <c r="AU76" s="161"/>
      <c r="AV76" s="162"/>
      <c r="AW76" s="137">
        <f t="shared" si="26"/>
        <v>0</v>
      </c>
      <c r="AX76" s="137">
        <f t="shared" si="27"/>
        <v>0</v>
      </c>
    </row>
    <row r="77" ht="46.5" customHeight="1" spans="1:50" s="97" customFormat="1" x14ac:dyDescent="0.25">
      <c r="A77" s="100"/>
      <c r="B77" s="100"/>
      <c r="C77" s="100"/>
      <c r="D77" s="100"/>
      <c r="E77" s="100"/>
      <c r="F77" s="100"/>
      <c r="G77" s="103"/>
      <c r="H77" s="186"/>
      <c r="I77" s="195">
        <v>0.51</v>
      </c>
      <c r="J77" s="107">
        <v>0.49</v>
      </c>
      <c r="K77" s="107"/>
      <c r="L77" s="107"/>
      <c r="M77" s="187"/>
      <c r="N77" s="169">
        <f t="shared" si="14"/>
        <v>1</v>
      </c>
      <c r="O77" s="144">
        <v>1</v>
      </c>
      <c r="P77" s="145">
        <v>15</v>
      </c>
      <c r="Q77" s="113">
        <v>15</v>
      </c>
      <c r="R77" s="113"/>
      <c r="S77" s="113"/>
      <c r="T77" s="146"/>
      <c r="U77" s="148">
        <f t="shared" si="17"/>
        <v>15</v>
      </c>
      <c r="V77" s="149">
        <f t="shared" si="18"/>
        <v>15</v>
      </c>
      <c r="W77" s="189"/>
      <c r="X77" s="199"/>
      <c r="Y77" s="151"/>
      <c r="Z77" s="190"/>
      <c r="AA77" s="153"/>
      <c r="AB77" s="154">
        <f t="shared" si="19"/>
        <v>0</v>
      </c>
      <c r="AC77" s="149">
        <f t="shared" si="20"/>
        <v>0</v>
      </c>
      <c r="AD77" s="125">
        <v>2</v>
      </c>
      <c r="AE77" s="148">
        <f t="shared" si="21"/>
        <v>2</v>
      </c>
      <c r="AF77" s="156"/>
      <c r="AG77" s="156"/>
      <c r="AH77" s="113">
        <f t="shared" si="22"/>
        <v>17</v>
      </c>
      <c r="AI77" s="157">
        <v>65</v>
      </c>
      <c r="AJ77" s="113">
        <f t="shared" si="23"/>
        <v>82</v>
      </c>
      <c r="AK77" s="113">
        <f t="shared" si="24"/>
        <v>82</v>
      </c>
      <c r="AL77" s="158">
        <f t="shared" si="25"/>
        <v>1.02</v>
      </c>
      <c r="AM77" s="159"/>
      <c r="AN77" s="160">
        <f t="shared" si="16"/>
        <v>1</v>
      </c>
      <c r="AO77" s="160">
        <f t="shared" si="16"/>
        <v>2</v>
      </c>
      <c r="AP77" s="133"/>
      <c r="AQ77" s="134"/>
      <c r="AR77" s="161"/>
      <c r="AS77" s="161"/>
      <c r="AT77" s="161"/>
      <c r="AU77" s="161"/>
      <c r="AV77" s="162"/>
      <c r="AW77" s="137">
        <f t="shared" si="26"/>
        <v>0</v>
      </c>
      <c r="AX77" s="137">
        <f t="shared" si="27"/>
        <v>0</v>
      </c>
    </row>
    <row r="78" ht="46.5" customHeight="1" spans="1:50" s="97" customFormat="1" x14ac:dyDescent="0.25">
      <c r="A78" s="100"/>
      <c r="B78" s="100"/>
      <c r="C78" s="100"/>
      <c r="D78" s="100"/>
      <c r="E78" s="100"/>
      <c r="F78" s="100"/>
      <c r="G78" s="103"/>
      <c r="H78" s="186"/>
      <c r="I78" s="195">
        <v>0.51</v>
      </c>
      <c r="J78" s="107">
        <v>0.49</v>
      </c>
      <c r="K78" s="107"/>
      <c r="L78" s="107"/>
      <c r="M78" s="187"/>
      <c r="N78" s="169">
        <f t="shared" si="14"/>
        <v>1</v>
      </c>
      <c r="O78" s="144">
        <v>1</v>
      </c>
      <c r="P78" s="145">
        <v>15</v>
      </c>
      <c r="Q78" s="113">
        <v>15</v>
      </c>
      <c r="R78" s="113"/>
      <c r="S78" s="113"/>
      <c r="T78" s="146"/>
      <c r="U78" s="148">
        <f t="shared" si="17"/>
        <v>15</v>
      </c>
      <c r="V78" s="149">
        <f t="shared" si="18"/>
        <v>15</v>
      </c>
      <c r="W78" s="189"/>
      <c r="X78" s="199"/>
      <c r="Y78" s="151"/>
      <c r="Z78" s="190"/>
      <c r="AA78" s="153"/>
      <c r="AB78" s="154">
        <f t="shared" si="19"/>
        <v>0</v>
      </c>
      <c r="AC78" s="149">
        <f t="shared" si="20"/>
        <v>0</v>
      </c>
      <c r="AD78" s="125">
        <v>2</v>
      </c>
      <c r="AE78" s="148">
        <f t="shared" si="21"/>
        <v>2</v>
      </c>
      <c r="AF78" s="156"/>
      <c r="AG78" s="156"/>
      <c r="AH78" s="113">
        <f t="shared" si="22"/>
        <v>17</v>
      </c>
      <c r="AI78" s="157">
        <v>65</v>
      </c>
      <c r="AJ78" s="113">
        <f t="shared" si="23"/>
        <v>82</v>
      </c>
      <c r="AK78" s="113">
        <f t="shared" si="24"/>
        <v>82</v>
      </c>
      <c r="AL78" s="158">
        <f t="shared" si="25"/>
        <v>1.02</v>
      </c>
      <c r="AM78" s="159"/>
      <c r="AN78" s="160">
        <f t="shared" si="16"/>
        <v>1</v>
      </c>
      <c r="AO78" s="160">
        <f t="shared" si="16"/>
        <v>2</v>
      </c>
      <c r="AP78" s="133"/>
      <c r="AQ78" s="134"/>
      <c r="AR78" s="161"/>
      <c r="AS78" s="161"/>
      <c r="AT78" s="161"/>
      <c r="AU78" s="161"/>
      <c r="AV78" s="162"/>
      <c r="AW78" s="137">
        <f t="shared" si="26"/>
        <v>0</v>
      </c>
      <c r="AX78" s="137">
        <f t="shared" si="27"/>
        <v>0</v>
      </c>
    </row>
    <row r="79" ht="46.5" customHeight="1" spans="1:50" s="97" customFormat="1" x14ac:dyDescent="0.25">
      <c r="A79" s="100"/>
      <c r="B79" s="100"/>
      <c r="C79" s="100"/>
      <c r="D79" s="100"/>
      <c r="E79" s="100"/>
      <c r="F79" s="100"/>
      <c r="G79" s="103"/>
      <c r="H79" s="186"/>
      <c r="I79" s="195">
        <v>0.51</v>
      </c>
      <c r="J79" s="107">
        <v>0.49</v>
      </c>
      <c r="K79" s="107"/>
      <c r="L79" s="107"/>
      <c r="M79" s="187"/>
      <c r="N79" s="169">
        <f t="shared" si="14"/>
        <v>1</v>
      </c>
      <c r="O79" s="144">
        <v>1</v>
      </c>
      <c r="P79" s="145">
        <v>15</v>
      </c>
      <c r="Q79" s="113">
        <v>15</v>
      </c>
      <c r="R79" s="113"/>
      <c r="S79" s="113"/>
      <c r="T79" s="146"/>
      <c r="U79" s="148">
        <f t="shared" si="17"/>
        <v>15</v>
      </c>
      <c r="V79" s="149">
        <f t="shared" si="18"/>
        <v>15</v>
      </c>
      <c r="W79" s="189"/>
      <c r="X79" s="199"/>
      <c r="Y79" s="151"/>
      <c r="Z79" s="190"/>
      <c r="AA79" s="153"/>
      <c r="AB79" s="154">
        <f t="shared" si="19"/>
        <v>0</v>
      </c>
      <c r="AC79" s="149">
        <f t="shared" si="20"/>
        <v>0</v>
      </c>
      <c r="AD79" s="125">
        <v>2</v>
      </c>
      <c r="AE79" s="148">
        <f t="shared" si="21"/>
        <v>2</v>
      </c>
      <c r="AF79" s="156"/>
      <c r="AG79" s="156"/>
      <c r="AH79" s="113">
        <f t="shared" si="22"/>
        <v>17</v>
      </c>
      <c r="AI79" s="157">
        <v>65</v>
      </c>
      <c r="AJ79" s="113">
        <f t="shared" si="23"/>
        <v>82</v>
      </c>
      <c r="AK79" s="113">
        <f t="shared" si="24"/>
        <v>82</v>
      </c>
      <c r="AL79" s="158">
        <f t="shared" si="25"/>
        <v>1.02</v>
      </c>
      <c r="AM79" s="159"/>
      <c r="AN79" s="160">
        <f t="shared" si="16"/>
        <v>1</v>
      </c>
      <c r="AO79" s="160">
        <f t="shared" si="16"/>
        <v>2</v>
      </c>
      <c r="AP79" s="133"/>
      <c r="AQ79" s="134"/>
      <c r="AR79" s="161"/>
      <c r="AS79" s="161"/>
      <c r="AT79" s="161"/>
      <c r="AU79" s="161"/>
      <c r="AV79" s="162"/>
      <c r="AW79" s="137">
        <f t="shared" si="26"/>
        <v>0</v>
      </c>
      <c r="AX79" s="137">
        <f t="shared" si="27"/>
        <v>0</v>
      </c>
    </row>
    <row r="80" ht="46.5" customHeight="1" spans="1:50" s="97" customFormat="1" x14ac:dyDescent="0.25">
      <c r="A80" s="100"/>
      <c r="B80" s="100"/>
      <c r="C80" s="100"/>
      <c r="D80" s="100"/>
      <c r="E80" s="100"/>
      <c r="F80" s="100"/>
      <c r="G80" s="103"/>
      <c r="H80" s="186"/>
      <c r="I80" s="195">
        <v>0.51</v>
      </c>
      <c r="J80" s="107">
        <v>0.49</v>
      </c>
      <c r="K80" s="107"/>
      <c r="L80" s="107"/>
      <c r="M80" s="187"/>
      <c r="N80" s="169">
        <f t="shared" si="14"/>
        <v>1</v>
      </c>
      <c r="O80" s="144">
        <v>1</v>
      </c>
      <c r="P80" s="145">
        <v>15</v>
      </c>
      <c r="Q80" s="113">
        <v>15</v>
      </c>
      <c r="R80" s="113"/>
      <c r="S80" s="113"/>
      <c r="T80" s="146"/>
      <c r="U80" s="148">
        <f t="shared" si="17"/>
        <v>15</v>
      </c>
      <c r="V80" s="149">
        <f t="shared" si="18"/>
        <v>15</v>
      </c>
      <c r="W80" s="189"/>
      <c r="X80" s="199"/>
      <c r="Y80" s="151"/>
      <c r="Z80" s="190"/>
      <c r="AA80" s="153"/>
      <c r="AB80" s="154">
        <f t="shared" si="19"/>
        <v>0</v>
      </c>
      <c r="AC80" s="149">
        <f t="shared" si="20"/>
        <v>0</v>
      </c>
      <c r="AD80" s="125">
        <v>2</v>
      </c>
      <c r="AE80" s="148">
        <f t="shared" si="21"/>
        <v>2</v>
      </c>
      <c r="AF80" s="156"/>
      <c r="AG80" s="156"/>
      <c r="AH80" s="113">
        <f t="shared" si="22"/>
        <v>17</v>
      </c>
      <c r="AI80" s="157">
        <v>65</v>
      </c>
      <c r="AJ80" s="113">
        <f t="shared" si="23"/>
        <v>82</v>
      </c>
      <c r="AK80" s="113">
        <f t="shared" si="24"/>
        <v>82</v>
      </c>
      <c r="AL80" s="158">
        <f t="shared" si="25"/>
        <v>1.02</v>
      </c>
      <c r="AM80" s="159"/>
      <c r="AN80" s="160">
        <f t="shared" si="16"/>
        <v>1</v>
      </c>
      <c r="AO80" s="160">
        <f t="shared" si="16"/>
        <v>2</v>
      </c>
      <c r="AP80" s="133"/>
      <c r="AQ80" s="134"/>
      <c r="AR80" s="161"/>
      <c r="AS80" s="161"/>
      <c r="AT80" s="161"/>
      <c r="AU80" s="161"/>
      <c r="AV80" s="162"/>
      <c r="AW80" s="137">
        <f t="shared" si="26"/>
        <v>0</v>
      </c>
      <c r="AX80" s="137">
        <f t="shared" si="27"/>
        <v>0</v>
      </c>
    </row>
    <row r="81" ht="46.5" customHeight="1" spans="1:50" s="97" customFormat="1" x14ac:dyDescent="0.25">
      <c r="A81" s="100"/>
      <c r="B81" s="100"/>
      <c r="C81" s="100"/>
      <c r="D81" s="100"/>
      <c r="E81" s="100"/>
      <c r="F81" s="100"/>
      <c r="G81" s="103"/>
      <c r="H81" s="186"/>
      <c r="I81" s="195">
        <v>0.51</v>
      </c>
      <c r="J81" s="107">
        <v>0.49</v>
      </c>
      <c r="K81" s="107"/>
      <c r="L81" s="107"/>
      <c r="M81" s="187"/>
      <c r="N81" s="169">
        <f t="shared" si="14"/>
        <v>1</v>
      </c>
      <c r="O81" s="144">
        <v>1</v>
      </c>
      <c r="P81" s="145">
        <v>15</v>
      </c>
      <c r="Q81" s="113">
        <v>15</v>
      </c>
      <c r="R81" s="113"/>
      <c r="S81" s="113"/>
      <c r="T81" s="146"/>
      <c r="U81" s="148">
        <f t="shared" si="17"/>
        <v>15</v>
      </c>
      <c r="V81" s="149">
        <f t="shared" si="18"/>
        <v>15</v>
      </c>
      <c r="W81" s="189"/>
      <c r="X81" s="199"/>
      <c r="Y81" s="151"/>
      <c r="Z81" s="190"/>
      <c r="AA81" s="153"/>
      <c r="AB81" s="154">
        <f t="shared" si="19"/>
        <v>0</v>
      </c>
      <c r="AC81" s="149">
        <f t="shared" si="20"/>
        <v>0</v>
      </c>
      <c r="AD81" s="125">
        <v>2</v>
      </c>
      <c r="AE81" s="148">
        <f t="shared" si="21"/>
        <v>2</v>
      </c>
      <c r="AF81" s="156"/>
      <c r="AG81" s="156"/>
      <c r="AH81" s="113">
        <f t="shared" si="22"/>
        <v>17</v>
      </c>
      <c r="AI81" s="157">
        <v>65</v>
      </c>
      <c r="AJ81" s="113">
        <f t="shared" si="23"/>
        <v>82</v>
      </c>
      <c r="AK81" s="113">
        <f t="shared" si="24"/>
        <v>82</v>
      </c>
      <c r="AL81" s="158">
        <f t="shared" si="25"/>
        <v>1.02</v>
      </c>
      <c r="AM81" s="159"/>
      <c r="AN81" s="160">
        <f t="shared" si="16"/>
        <v>1</v>
      </c>
      <c r="AO81" s="160">
        <f t="shared" si="16"/>
        <v>2</v>
      </c>
      <c r="AP81" s="133"/>
      <c r="AQ81" s="134"/>
      <c r="AR81" s="161"/>
      <c r="AS81" s="161"/>
      <c r="AT81" s="161"/>
      <c r="AU81" s="161"/>
      <c r="AV81" s="162"/>
      <c r="AW81" s="137">
        <f t="shared" si="26"/>
        <v>0</v>
      </c>
      <c r="AX81" s="137">
        <f t="shared" si="27"/>
        <v>0</v>
      </c>
    </row>
    <row r="82" ht="46.5" customHeight="1" spans="1:50" s="97" customFormat="1" x14ac:dyDescent="0.25">
      <c r="A82" s="100"/>
      <c r="B82" s="100"/>
      <c r="C82" s="100"/>
      <c r="D82" s="100"/>
      <c r="E82" s="100"/>
      <c r="F82" s="100"/>
      <c r="G82" s="103"/>
      <c r="H82" s="186"/>
      <c r="I82" s="195">
        <v>0.51</v>
      </c>
      <c r="J82" s="107">
        <v>0.49</v>
      </c>
      <c r="K82" s="107"/>
      <c r="L82" s="107"/>
      <c r="M82" s="187"/>
      <c r="N82" s="169">
        <f t="shared" si="14"/>
        <v>1</v>
      </c>
      <c r="O82" s="144">
        <v>1</v>
      </c>
      <c r="P82" s="145">
        <v>15</v>
      </c>
      <c r="Q82" s="113">
        <v>15</v>
      </c>
      <c r="R82" s="113"/>
      <c r="S82" s="113"/>
      <c r="T82" s="146"/>
      <c r="U82" s="148">
        <f t="shared" si="17"/>
        <v>15</v>
      </c>
      <c r="V82" s="149">
        <f t="shared" si="18"/>
        <v>15</v>
      </c>
      <c r="W82" s="189"/>
      <c r="X82" s="199"/>
      <c r="Y82" s="151"/>
      <c r="Z82" s="190"/>
      <c r="AA82" s="153"/>
      <c r="AB82" s="154">
        <f t="shared" si="19"/>
        <v>0</v>
      </c>
      <c r="AC82" s="149">
        <f t="shared" si="20"/>
        <v>0</v>
      </c>
      <c r="AD82" s="125">
        <v>2</v>
      </c>
      <c r="AE82" s="148">
        <f t="shared" si="21"/>
        <v>2</v>
      </c>
      <c r="AF82" s="156"/>
      <c r="AG82" s="156"/>
      <c r="AH82" s="113">
        <f t="shared" si="22"/>
        <v>17</v>
      </c>
      <c r="AI82" s="157">
        <v>65</v>
      </c>
      <c r="AJ82" s="113">
        <f t="shared" si="23"/>
        <v>82</v>
      </c>
      <c r="AK82" s="113">
        <f t="shared" si="24"/>
        <v>82</v>
      </c>
      <c r="AL82" s="158">
        <f t="shared" si="25"/>
        <v>1.02</v>
      </c>
      <c r="AM82" s="159"/>
      <c r="AN82" s="160">
        <f t="shared" si="16"/>
        <v>1</v>
      </c>
      <c r="AO82" s="160">
        <f t="shared" si="16"/>
        <v>2</v>
      </c>
      <c r="AP82" s="133"/>
      <c r="AQ82" s="134"/>
      <c r="AR82" s="161"/>
      <c r="AS82" s="161"/>
      <c r="AT82" s="161"/>
      <c r="AU82" s="161"/>
      <c r="AV82" s="162"/>
      <c r="AW82" s="137">
        <f t="shared" si="26"/>
        <v>0</v>
      </c>
      <c r="AX82" s="137">
        <f t="shared" si="27"/>
        <v>0</v>
      </c>
    </row>
    <row r="83" ht="46.5" customHeight="1" spans="1:50" s="97" customFormat="1" x14ac:dyDescent="0.25">
      <c r="A83" s="100"/>
      <c r="B83" s="100"/>
      <c r="C83" s="100"/>
      <c r="D83" s="100"/>
      <c r="E83" s="100"/>
      <c r="F83" s="100"/>
      <c r="G83" s="103"/>
      <c r="H83" s="186"/>
      <c r="I83" s="195">
        <v>0.51</v>
      </c>
      <c r="J83" s="107">
        <v>0.49</v>
      </c>
      <c r="K83" s="107"/>
      <c r="L83" s="107"/>
      <c r="M83" s="187"/>
      <c r="N83" s="169">
        <f t="shared" si="14"/>
        <v>1</v>
      </c>
      <c r="O83" s="144">
        <v>1</v>
      </c>
      <c r="P83" s="145">
        <v>15</v>
      </c>
      <c r="Q83" s="113">
        <v>15</v>
      </c>
      <c r="R83" s="113"/>
      <c r="S83" s="113"/>
      <c r="T83" s="146"/>
      <c r="U83" s="148">
        <f t="shared" si="17"/>
        <v>15</v>
      </c>
      <c r="V83" s="149">
        <f t="shared" si="18"/>
        <v>15</v>
      </c>
      <c r="W83" s="189"/>
      <c r="X83" s="199"/>
      <c r="Y83" s="151"/>
      <c r="Z83" s="190"/>
      <c r="AA83" s="153"/>
      <c r="AB83" s="154">
        <f t="shared" si="19"/>
        <v>0</v>
      </c>
      <c r="AC83" s="149">
        <f t="shared" si="20"/>
        <v>0</v>
      </c>
      <c r="AD83" s="125">
        <v>2</v>
      </c>
      <c r="AE83" s="148">
        <f t="shared" si="21"/>
        <v>2</v>
      </c>
      <c r="AF83" s="156"/>
      <c r="AG83" s="156"/>
      <c r="AH83" s="113">
        <f t="shared" si="22"/>
        <v>17</v>
      </c>
      <c r="AI83" s="157">
        <v>65</v>
      </c>
      <c r="AJ83" s="113">
        <f t="shared" si="23"/>
        <v>82</v>
      </c>
      <c r="AK83" s="113">
        <f t="shared" si="24"/>
        <v>82</v>
      </c>
      <c r="AL83" s="158">
        <f t="shared" si="25"/>
        <v>1.02</v>
      </c>
      <c r="AM83" s="159"/>
      <c r="AN83" s="160">
        <f t="shared" si="16"/>
        <v>1</v>
      </c>
      <c r="AO83" s="160">
        <f t="shared" si="16"/>
        <v>2</v>
      </c>
      <c r="AP83" s="133"/>
      <c r="AQ83" s="134"/>
      <c r="AR83" s="161"/>
      <c r="AS83" s="161"/>
      <c r="AT83" s="161"/>
      <c r="AU83" s="161"/>
      <c r="AV83" s="162"/>
      <c r="AW83" s="137">
        <f t="shared" si="26"/>
        <v>0</v>
      </c>
      <c r="AX83" s="137">
        <f t="shared" si="27"/>
        <v>0</v>
      </c>
    </row>
    <row r="84" ht="46.5" customHeight="1" spans="1:50" s="97" customFormat="1" x14ac:dyDescent="0.25">
      <c r="A84" s="100"/>
      <c r="B84" s="100"/>
      <c r="C84" s="100"/>
      <c r="D84" s="100"/>
      <c r="E84" s="100"/>
      <c r="F84" s="100"/>
      <c r="G84" s="103"/>
      <c r="H84" s="186"/>
      <c r="I84" s="195">
        <v>0.51</v>
      </c>
      <c r="J84" s="107">
        <v>0.49</v>
      </c>
      <c r="K84" s="107"/>
      <c r="L84" s="107"/>
      <c r="M84" s="187"/>
      <c r="N84" s="169">
        <f t="shared" si="14"/>
        <v>1</v>
      </c>
      <c r="O84" s="144">
        <v>1</v>
      </c>
      <c r="P84" s="145">
        <v>15</v>
      </c>
      <c r="Q84" s="113">
        <v>15</v>
      </c>
      <c r="R84" s="113"/>
      <c r="S84" s="113"/>
      <c r="T84" s="146"/>
      <c r="U84" s="148">
        <f t="shared" si="17"/>
        <v>15</v>
      </c>
      <c r="V84" s="149">
        <f t="shared" si="18"/>
        <v>15</v>
      </c>
      <c r="W84" s="189"/>
      <c r="X84" s="199"/>
      <c r="Y84" s="151"/>
      <c r="Z84" s="190"/>
      <c r="AA84" s="153"/>
      <c r="AB84" s="154">
        <f t="shared" si="19"/>
        <v>0</v>
      </c>
      <c r="AC84" s="149">
        <f t="shared" si="20"/>
        <v>0</v>
      </c>
      <c r="AD84" s="125">
        <v>2</v>
      </c>
      <c r="AE84" s="148">
        <f t="shared" si="21"/>
        <v>2</v>
      </c>
      <c r="AF84" s="156"/>
      <c r="AG84" s="156"/>
      <c r="AH84" s="113">
        <f t="shared" si="22"/>
        <v>17</v>
      </c>
      <c r="AI84" s="157">
        <v>65</v>
      </c>
      <c r="AJ84" s="113">
        <f t="shared" si="23"/>
        <v>82</v>
      </c>
      <c r="AK84" s="113">
        <f t="shared" si="24"/>
        <v>82</v>
      </c>
      <c r="AL84" s="158">
        <f t="shared" si="25"/>
        <v>1.02</v>
      </c>
      <c r="AM84" s="159"/>
      <c r="AN84" s="160">
        <f t="shared" si="16"/>
        <v>1</v>
      </c>
      <c r="AO84" s="160">
        <f t="shared" si="16"/>
        <v>2</v>
      </c>
      <c r="AP84" s="133"/>
      <c r="AQ84" s="134"/>
      <c r="AR84" s="161"/>
      <c r="AS84" s="161"/>
      <c r="AT84" s="161"/>
      <c r="AU84" s="161"/>
      <c r="AV84" s="162"/>
      <c r="AW84" s="137">
        <f t="shared" si="26"/>
        <v>0</v>
      </c>
      <c r="AX84" s="137">
        <f t="shared" si="27"/>
        <v>0</v>
      </c>
    </row>
    <row r="85" ht="46.5" customHeight="1" spans="1:50" s="97" customFormat="1" x14ac:dyDescent="0.25">
      <c r="A85" s="100"/>
      <c r="B85" s="100"/>
      <c r="C85" s="100"/>
      <c r="D85" s="100"/>
      <c r="E85" s="100"/>
      <c r="F85" s="100"/>
      <c r="G85" s="103"/>
      <c r="H85" s="186"/>
      <c r="I85" s="195">
        <v>0.51</v>
      </c>
      <c r="J85" s="107">
        <v>0.49</v>
      </c>
      <c r="K85" s="107"/>
      <c r="L85" s="107"/>
      <c r="M85" s="187"/>
      <c r="N85" s="169">
        <f t="shared" si="14"/>
        <v>1</v>
      </c>
      <c r="O85" s="144">
        <v>1</v>
      </c>
      <c r="P85" s="145">
        <v>15</v>
      </c>
      <c r="Q85" s="113">
        <v>15</v>
      </c>
      <c r="R85" s="113"/>
      <c r="S85" s="113"/>
      <c r="T85" s="146"/>
      <c r="U85" s="148">
        <f t="shared" si="17"/>
        <v>15</v>
      </c>
      <c r="V85" s="149">
        <f t="shared" si="18"/>
        <v>15</v>
      </c>
      <c r="W85" s="189"/>
      <c r="X85" s="199"/>
      <c r="Y85" s="151"/>
      <c r="Z85" s="190"/>
      <c r="AA85" s="153"/>
      <c r="AB85" s="154">
        <f t="shared" si="19"/>
        <v>0</v>
      </c>
      <c r="AC85" s="149">
        <f t="shared" si="20"/>
        <v>0</v>
      </c>
      <c r="AD85" s="125">
        <v>2</v>
      </c>
      <c r="AE85" s="148">
        <f t="shared" si="21"/>
        <v>2</v>
      </c>
      <c r="AF85" s="156"/>
      <c r="AG85" s="156"/>
      <c r="AH85" s="113">
        <f t="shared" si="22"/>
        <v>17</v>
      </c>
      <c r="AI85" s="157">
        <v>65</v>
      </c>
      <c r="AJ85" s="113">
        <f t="shared" si="23"/>
        <v>82</v>
      </c>
      <c r="AK85" s="113">
        <f t="shared" si="24"/>
        <v>82</v>
      </c>
      <c r="AL85" s="158">
        <f t="shared" si="25"/>
        <v>1.02</v>
      </c>
      <c r="AM85" s="159"/>
      <c r="AN85" s="160">
        <f t="shared" si="16"/>
        <v>1</v>
      </c>
      <c r="AO85" s="160">
        <f t="shared" si="16"/>
        <v>2</v>
      </c>
      <c r="AP85" s="133"/>
      <c r="AQ85" s="134"/>
      <c r="AR85" s="161"/>
      <c r="AS85" s="161"/>
      <c r="AT85" s="161"/>
      <c r="AU85" s="161"/>
      <c r="AV85" s="162"/>
      <c r="AW85" s="137">
        <f t="shared" si="26"/>
        <v>0</v>
      </c>
      <c r="AX85" s="137">
        <f t="shared" si="27"/>
        <v>0</v>
      </c>
    </row>
    <row r="86" ht="46.5" customHeight="1" spans="1:50" s="97" customFormat="1" x14ac:dyDescent="0.25">
      <c r="A86" s="100"/>
      <c r="B86" s="100"/>
      <c r="C86" s="100"/>
      <c r="D86" s="100"/>
      <c r="E86" s="100"/>
      <c r="F86" s="100"/>
      <c r="G86" s="103"/>
      <c r="H86" s="186"/>
      <c r="I86" s="195">
        <v>0.51</v>
      </c>
      <c r="J86" s="107">
        <v>0.49</v>
      </c>
      <c r="K86" s="107"/>
      <c r="L86" s="107"/>
      <c r="M86" s="187"/>
      <c r="N86" s="169">
        <f t="shared" si="14"/>
        <v>1</v>
      </c>
      <c r="O86" s="144">
        <v>1</v>
      </c>
      <c r="P86" s="145">
        <v>15</v>
      </c>
      <c r="Q86" s="113">
        <v>15</v>
      </c>
      <c r="R86" s="113"/>
      <c r="S86" s="113"/>
      <c r="T86" s="146"/>
      <c r="U86" s="148">
        <f t="shared" si="17"/>
        <v>15</v>
      </c>
      <c r="V86" s="149">
        <f t="shared" si="18"/>
        <v>15</v>
      </c>
      <c r="W86" s="189"/>
      <c r="X86" s="199"/>
      <c r="Y86" s="151"/>
      <c r="Z86" s="190"/>
      <c r="AA86" s="153"/>
      <c r="AB86" s="154">
        <f t="shared" si="19"/>
        <v>0</v>
      </c>
      <c r="AC86" s="149">
        <f t="shared" si="20"/>
        <v>0</v>
      </c>
      <c r="AD86" s="125">
        <v>2</v>
      </c>
      <c r="AE86" s="148">
        <f t="shared" si="21"/>
        <v>2</v>
      </c>
      <c r="AF86" s="156"/>
      <c r="AG86" s="156"/>
      <c r="AH86" s="113">
        <f t="shared" si="22"/>
        <v>17</v>
      </c>
      <c r="AI86" s="157">
        <v>65</v>
      </c>
      <c r="AJ86" s="113">
        <f t="shared" si="23"/>
        <v>82</v>
      </c>
      <c r="AK86" s="113">
        <f t="shared" si="24"/>
        <v>82</v>
      </c>
      <c r="AL86" s="158">
        <f t="shared" si="25"/>
        <v>1.02</v>
      </c>
      <c r="AM86" s="159"/>
      <c r="AN86" s="160">
        <f t="shared" si="16"/>
        <v>1</v>
      </c>
      <c r="AO86" s="160">
        <f t="shared" si="16"/>
        <v>2</v>
      </c>
      <c r="AP86" s="133"/>
      <c r="AQ86" s="134"/>
      <c r="AR86" s="161"/>
      <c r="AS86" s="161"/>
      <c r="AT86" s="161"/>
      <c r="AU86" s="161"/>
      <c r="AV86" s="162"/>
      <c r="AW86" s="137">
        <f t="shared" si="26"/>
        <v>0</v>
      </c>
      <c r="AX86" s="137">
        <f t="shared" si="27"/>
        <v>0</v>
      </c>
    </row>
    <row r="87" ht="46.5" customHeight="1" spans="1:50" s="97" customFormat="1" x14ac:dyDescent="0.25">
      <c r="A87" s="100"/>
      <c r="B87" s="100"/>
      <c r="C87" s="100"/>
      <c r="D87" s="100"/>
      <c r="E87" s="100"/>
      <c r="F87" s="100"/>
      <c r="G87" s="103"/>
      <c r="H87" s="186"/>
      <c r="I87" s="195">
        <v>0.51</v>
      </c>
      <c r="J87" s="107">
        <v>0.49</v>
      </c>
      <c r="K87" s="107"/>
      <c r="L87" s="107"/>
      <c r="M87" s="187"/>
      <c r="N87" s="169">
        <f t="shared" si="14"/>
        <v>1</v>
      </c>
      <c r="O87" s="144">
        <v>1</v>
      </c>
      <c r="P87" s="145">
        <v>15</v>
      </c>
      <c r="Q87" s="113">
        <v>15</v>
      </c>
      <c r="R87" s="113"/>
      <c r="S87" s="113"/>
      <c r="T87" s="146"/>
      <c r="U87" s="148">
        <f t="shared" si="17"/>
        <v>15</v>
      </c>
      <c r="V87" s="149">
        <f t="shared" si="18"/>
        <v>15</v>
      </c>
      <c r="W87" s="189"/>
      <c r="X87" s="199"/>
      <c r="Y87" s="151"/>
      <c r="Z87" s="190"/>
      <c r="AA87" s="153"/>
      <c r="AB87" s="154">
        <f t="shared" si="19"/>
        <v>0</v>
      </c>
      <c r="AC87" s="149">
        <f t="shared" si="20"/>
        <v>0</v>
      </c>
      <c r="AD87" s="125">
        <v>2</v>
      </c>
      <c r="AE87" s="148">
        <f t="shared" si="21"/>
        <v>2</v>
      </c>
      <c r="AF87" s="156"/>
      <c r="AG87" s="156"/>
      <c r="AH87" s="113">
        <f t="shared" si="22"/>
        <v>17</v>
      </c>
      <c r="AI87" s="157">
        <v>65</v>
      </c>
      <c r="AJ87" s="113">
        <f t="shared" si="23"/>
        <v>82</v>
      </c>
      <c r="AK87" s="113">
        <f t="shared" si="24"/>
        <v>82</v>
      </c>
      <c r="AL87" s="158">
        <f t="shared" si="25"/>
        <v>1.02</v>
      </c>
      <c r="AM87" s="159"/>
      <c r="AN87" s="160">
        <f t="shared" si="16"/>
        <v>1</v>
      </c>
      <c r="AO87" s="160">
        <f t="shared" si="16"/>
        <v>2</v>
      </c>
      <c r="AP87" s="133"/>
      <c r="AQ87" s="134"/>
      <c r="AR87" s="161"/>
      <c r="AS87" s="161"/>
      <c r="AT87" s="161"/>
      <c r="AU87" s="161"/>
      <c r="AV87" s="162"/>
      <c r="AW87" s="137">
        <f t="shared" si="26"/>
        <v>0</v>
      </c>
      <c r="AX87" s="137">
        <f t="shared" si="27"/>
        <v>0</v>
      </c>
    </row>
    <row r="88" ht="46.5" customHeight="1" spans="1:50" s="97" customFormat="1" x14ac:dyDescent="0.25">
      <c r="A88" s="100"/>
      <c r="B88" s="100"/>
      <c r="C88" s="100"/>
      <c r="D88" s="100"/>
      <c r="E88" s="100"/>
      <c r="F88" s="100"/>
      <c r="G88" s="103"/>
      <c r="H88" s="186"/>
      <c r="I88" s="195">
        <v>0.51</v>
      </c>
      <c r="J88" s="107">
        <v>0.49</v>
      </c>
      <c r="K88" s="107"/>
      <c r="L88" s="107"/>
      <c r="M88" s="187"/>
      <c r="N88" s="169">
        <f t="shared" si="14"/>
        <v>1</v>
      </c>
      <c r="O88" s="144">
        <v>1</v>
      </c>
      <c r="P88" s="145">
        <v>15</v>
      </c>
      <c r="Q88" s="113">
        <v>15</v>
      </c>
      <c r="R88" s="113"/>
      <c r="S88" s="113"/>
      <c r="T88" s="146"/>
      <c r="U88" s="148">
        <f t="shared" si="17"/>
        <v>15</v>
      </c>
      <c r="V88" s="149">
        <f t="shared" si="18"/>
        <v>15</v>
      </c>
      <c r="W88" s="189"/>
      <c r="X88" s="199"/>
      <c r="Y88" s="151"/>
      <c r="Z88" s="190"/>
      <c r="AA88" s="153"/>
      <c r="AB88" s="154">
        <f t="shared" si="19"/>
        <v>0</v>
      </c>
      <c r="AC88" s="149">
        <f t="shared" si="20"/>
        <v>0</v>
      </c>
      <c r="AD88" s="125">
        <v>2</v>
      </c>
      <c r="AE88" s="148">
        <f t="shared" si="21"/>
        <v>2</v>
      </c>
      <c r="AF88" s="156"/>
      <c r="AG88" s="156"/>
      <c r="AH88" s="113">
        <f t="shared" si="22"/>
        <v>17</v>
      </c>
      <c r="AI88" s="157">
        <v>65</v>
      </c>
      <c r="AJ88" s="113">
        <f t="shared" si="23"/>
        <v>82</v>
      </c>
      <c r="AK88" s="113">
        <f t="shared" si="24"/>
        <v>82</v>
      </c>
      <c r="AL88" s="158">
        <f t="shared" si="25"/>
        <v>1.02</v>
      </c>
      <c r="AM88" s="159"/>
      <c r="AN88" s="160">
        <f t="shared" si="16"/>
        <v>1</v>
      </c>
      <c r="AO88" s="160">
        <f t="shared" si="16"/>
        <v>2</v>
      </c>
      <c r="AP88" s="133"/>
      <c r="AQ88" s="134"/>
      <c r="AR88" s="161"/>
      <c r="AS88" s="161"/>
      <c r="AT88" s="161"/>
      <c r="AU88" s="161"/>
      <c r="AV88" s="162"/>
      <c r="AW88" s="137">
        <f t="shared" si="26"/>
        <v>0</v>
      </c>
      <c r="AX88" s="137">
        <f t="shared" si="27"/>
        <v>0</v>
      </c>
    </row>
    <row r="89" ht="46.5" customHeight="1" spans="1:50" s="97" customFormat="1" x14ac:dyDescent="0.25">
      <c r="A89" s="100"/>
      <c r="B89" s="100"/>
      <c r="C89" s="100"/>
      <c r="D89" s="100"/>
      <c r="E89" s="100"/>
      <c r="F89" s="100"/>
      <c r="G89" s="103"/>
      <c r="H89" s="186"/>
      <c r="I89" s="195">
        <v>0.51</v>
      </c>
      <c r="J89" s="107">
        <v>0.49</v>
      </c>
      <c r="K89" s="107"/>
      <c r="L89" s="107"/>
      <c r="M89" s="187"/>
      <c r="N89" s="169">
        <f t="shared" si="14"/>
        <v>1</v>
      </c>
      <c r="O89" s="144">
        <v>1</v>
      </c>
      <c r="P89" s="145">
        <v>15</v>
      </c>
      <c r="Q89" s="113">
        <v>15</v>
      </c>
      <c r="R89" s="113"/>
      <c r="S89" s="113"/>
      <c r="T89" s="146"/>
      <c r="U89" s="148">
        <f t="shared" si="17"/>
        <v>15</v>
      </c>
      <c r="V89" s="149">
        <f t="shared" si="18"/>
        <v>15</v>
      </c>
      <c r="W89" s="189"/>
      <c r="X89" s="199"/>
      <c r="Y89" s="151"/>
      <c r="Z89" s="190"/>
      <c r="AA89" s="153"/>
      <c r="AB89" s="154">
        <f t="shared" si="19"/>
        <v>0</v>
      </c>
      <c r="AC89" s="149">
        <f t="shared" si="20"/>
        <v>0</v>
      </c>
      <c r="AD89" s="125">
        <v>2</v>
      </c>
      <c r="AE89" s="148">
        <f t="shared" si="21"/>
        <v>2</v>
      </c>
      <c r="AF89" s="156"/>
      <c r="AG89" s="156"/>
      <c r="AH89" s="113">
        <f t="shared" si="22"/>
        <v>17</v>
      </c>
      <c r="AI89" s="157">
        <v>65</v>
      </c>
      <c r="AJ89" s="113">
        <f t="shared" si="23"/>
        <v>82</v>
      </c>
      <c r="AK89" s="113">
        <f t="shared" si="24"/>
        <v>82</v>
      </c>
      <c r="AL89" s="158">
        <f t="shared" si="25"/>
        <v>1.02</v>
      </c>
      <c r="AM89" s="159"/>
      <c r="AN89" s="160">
        <f t="shared" si="16"/>
        <v>1</v>
      </c>
      <c r="AO89" s="160">
        <f t="shared" si="16"/>
        <v>2</v>
      </c>
      <c r="AP89" s="133"/>
      <c r="AQ89" s="134"/>
      <c r="AR89" s="161"/>
      <c r="AS89" s="161"/>
      <c r="AT89" s="161"/>
      <c r="AU89" s="161"/>
      <c r="AV89" s="162"/>
      <c r="AW89" s="137">
        <f t="shared" si="26"/>
        <v>0</v>
      </c>
      <c r="AX89" s="137">
        <f t="shared" si="27"/>
        <v>0</v>
      </c>
    </row>
    <row r="90" ht="46.5" customHeight="1" spans="1:50" s="97" customFormat="1" x14ac:dyDescent="0.25">
      <c r="A90" s="100"/>
      <c r="B90" s="100"/>
      <c r="C90" s="100"/>
      <c r="D90" s="100"/>
      <c r="E90" s="100"/>
      <c r="F90" s="100"/>
      <c r="G90" s="103"/>
      <c r="H90" s="186"/>
      <c r="I90" s="195">
        <v>0.51</v>
      </c>
      <c r="J90" s="107">
        <v>0.49</v>
      </c>
      <c r="K90" s="107"/>
      <c r="L90" s="107"/>
      <c r="M90" s="187"/>
      <c r="N90" s="169">
        <f t="shared" si="14"/>
        <v>1</v>
      </c>
      <c r="O90" s="144">
        <v>1</v>
      </c>
      <c r="P90" s="145">
        <v>15</v>
      </c>
      <c r="Q90" s="113">
        <v>15</v>
      </c>
      <c r="R90" s="113"/>
      <c r="S90" s="113"/>
      <c r="T90" s="146"/>
      <c r="U90" s="148">
        <f t="shared" si="17"/>
        <v>15</v>
      </c>
      <c r="V90" s="149">
        <f t="shared" si="18"/>
        <v>15</v>
      </c>
      <c r="W90" s="189"/>
      <c r="X90" s="199"/>
      <c r="Y90" s="151"/>
      <c r="Z90" s="190"/>
      <c r="AA90" s="153"/>
      <c r="AB90" s="154">
        <f t="shared" si="19"/>
        <v>0</v>
      </c>
      <c r="AC90" s="149">
        <f t="shared" si="20"/>
        <v>0</v>
      </c>
      <c r="AD90" s="125">
        <v>2</v>
      </c>
      <c r="AE90" s="148">
        <f t="shared" si="21"/>
        <v>2</v>
      </c>
      <c r="AF90" s="156"/>
      <c r="AG90" s="156"/>
      <c r="AH90" s="113">
        <f t="shared" si="22"/>
        <v>17</v>
      </c>
      <c r="AI90" s="157">
        <v>65</v>
      </c>
      <c r="AJ90" s="113">
        <f t="shared" si="23"/>
        <v>82</v>
      </c>
      <c r="AK90" s="113">
        <f t="shared" si="24"/>
        <v>82</v>
      </c>
      <c r="AL90" s="158">
        <f t="shared" si="25"/>
        <v>1.02</v>
      </c>
      <c r="AM90" s="159"/>
      <c r="AN90" s="160">
        <f t="shared" si="16"/>
        <v>1</v>
      </c>
      <c r="AO90" s="160">
        <f t="shared" si="16"/>
        <v>2</v>
      </c>
      <c r="AP90" s="133"/>
      <c r="AQ90" s="134"/>
      <c r="AR90" s="161"/>
      <c r="AS90" s="161"/>
      <c r="AT90" s="161"/>
      <c r="AU90" s="161"/>
      <c r="AV90" s="162"/>
      <c r="AW90" s="137">
        <f t="shared" si="26"/>
        <v>0</v>
      </c>
      <c r="AX90" s="137">
        <f t="shared" si="27"/>
        <v>0</v>
      </c>
    </row>
    <row r="91" ht="46.5" customHeight="1" spans="1:50" s="97" customFormat="1" x14ac:dyDescent="0.25">
      <c r="A91" s="100"/>
      <c r="B91" s="100"/>
      <c r="C91" s="100"/>
      <c r="D91" s="100"/>
      <c r="E91" s="100"/>
      <c r="F91" s="100"/>
      <c r="G91" s="103"/>
      <c r="H91" s="186"/>
      <c r="I91" s="195">
        <v>0.51</v>
      </c>
      <c r="J91" s="107">
        <v>0.49</v>
      </c>
      <c r="K91" s="107"/>
      <c r="L91" s="107"/>
      <c r="M91" s="187"/>
      <c r="N91" s="169">
        <f t="shared" si="14"/>
        <v>1</v>
      </c>
      <c r="O91" s="144">
        <v>1</v>
      </c>
      <c r="P91" s="145">
        <v>15</v>
      </c>
      <c r="Q91" s="113">
        <v>15</v>
      </c>
      <c r="R91" s="113"/>
      <c r="S91" s="113"/>
      <c r="T91" s="146"/>
      <c r="U91" s="148">
        <f t="shared" si="17"/>
        <v>15</v>
      </c>
      <c r="V91" s="149">
        <f t="shared" si="18"/>
        <v>15</v>
      </c>
      <c r="W91" s="189"/>
      <c r="X91" s="199"/>
      <c r="Y91" s="151"/>
      <c r="Z91" s="190"/>
      <c r="AA91" s="153"/>
      <c r="AB91" s="154">
        <f t="shared" si="19"/>
        <v>0</v>
      </c>
      <c r="AC91" s="149">
        <f t="shared" si="20"/>
        <v>0</v>
      </c>
      <c r="AD91" s="125">
        <v>2</v>
      </c>
      <c r="AE91" s="148">
        <f t="shared" si="21"/>
        <v>2</v>
      </c>
      <c r="AF91" s="156"/>
      <c r="AG91" s="156"/>
      <c r="AH91" s="113">
        <f t="shared" si="22"/>
        <v>17</v>
      </c>
      <c r="AI91" s="157">
        <v>65</v>
      </c>
      <c r="AJ91" s="113">
        <f t="shared" si="23"/>
        <v>82</v>
      </c>
      <c r="AK91" s="113">
        <f t="shared" si="24"/>
        <v>82</v>
      </c>
      <c r="AL91" s="158">
        <f t="shared" si="25"/>
        <v>1.02</v>
      </c>
      <c r="AM91" s="159"/>
      <c r="AN91" s="160">
        <f t="shared" ref="AN91:AO110" si="28">100%+AM91</f>
        <v>1</v>
      </c>
      <c r="AO91" s="160">
        <f t="shared" si="28"/>
        <v>2</v>
      </c>
      <c r="AP91" s="133"/>
      <c r="AQ91" s="134"/>
      <c r="AR91" s="161"/>
      <c r="AS91" s="161"/>
      <c r="AT91" s="161"/>
      <c r="AU91" s="161"/>
      <c r="AV91" s="162"/>
      <c r="AW91" s="137">
        <f t="shared" si="26"/>
        <v>0</v>
      </c>
      <c r="AX91" s="137">
        <f t="shared" si="27"/>
        <v>0</v>
      </c>
    </row>
    <row r="92" ht="46.5" customHeight="1" spans="1:50" s="97" customFormat="1" x14ac:dyDescent="0.25">
      <c r="A92" s="100"/>
      <c r="B92" s="100"/>
      <c r="C92" s="100"/>
      <c r="D92" s="100"/>
      <c r="E92" s="100"/>
      <c r="F92" s="100"/>
      <c r="G92" s="103"/>
      <c r="H92" s="186"/>
      <c r="I92" s="195">
        <v>0.51</v>
      </c>
      <c r="J92" s="107">
        <v>0.49</v>
      </c>
      <c r="K92" s="107"/>
      <c r="L92" s="107"/>
      <c r="M92" s="187"/>
      <c r="N92" s="169">
        <f t="shared" si="14"/>
        <v>1</v>
      </c>
      <c r="O92" s="144">
        <v>1</v>
      </c>
      <c r="P92" s="145">
        <v>15</v>
      </c>
      <c r="Q92" s="113">
        <v>15</v>
      </c>
      <c r="R92" s="113"/>
      <c r="S92" s="113"/>
      <c r="T92" s="146"/>
      <c r="U92" s="148">
        <f t="shared" si="17"/>
        <v>15</v>
      </c>
      <c r="V92" s="149">
        <f t="shared" si="18"/>
        <v>15</v>
      </c>
      <c r="W92" s="189"/>
      <c r="X92" s="199"/>
      <c r="Y92" s="151"/>
      <c r="Z92" s="190"/>
      <c r="AA92" s="153"/>
      <c r="AB92" s="154">
        <f t="shared" si="19"/>
        <v>0</v>
      </c>
      <c r="AC92" s="149">
        <f t="shared" si="20"/>
        <v>0</v>
      </c>
      <c r="AD92" s="125">
        <v>2</v>
      </c>
      <c r="AE92" s="148">
        <f t="shared" si="21"/>
        <v>2</v>
      </c>
      <c r="AF92" s="156"/>
      <c r="AG92" s="156"/>
      <c r="AH92" s="113">
        <f t="shared" si="22"/>
        <v>17</v>
      </c>
      <c r="AI92" s="157">
        <v>65</v>
      </c>
      <c r="AJ92" s="113">
        <f t="shared" si="23"/>
        <v>82</v>
      </c>
      <c r="AK92" s="113">
        <f t="shared" si="24"/>
        <v>82</v>
      </c>
      <c r="AL92" s="158">
        <f t="shared" si="25"/>
        <v>1.02</v>
      </c>
      <c r="AM92" s="159"/>
      <c r="AN92" s="160">
        <f t="shared" si="28"/>
        <v>1</v>
      </c>
      <c r="AO92" s="160">
        <f t="shared" si="28"/>
        <v>2</v>
      </c>
      <c r="AP92" s="133"/>
      <c r="AQ92" s="134"/>
      <c r="AR92" s="161"/>
      <c r="AS92" s="161"/>
      <c r="AT92" s="161"/>
      <c r="AU92" s="161"/>
      <c r="AV92" s="162"/>
      <c r="AW92" s="137">
        <f t="shared" si="26"/>
        <v>0</v>
      </c>
      <c r="AX92" s="137">
        <f t="shared" si="27"/>
        <v>0</v>
      </c>
    </row>
    <row r="93" ht="46.5" customHeight="1" spans="1:50" s="97" customFormat="1" x14ac:dyDescent="0.25">
      <c r="A93" s="100"/>
      <c r="B93" s="100"/>
      <c r="C93" s="100"/>
      <c r="D93" s="100"/>
      <c r="E93" s="100"/>
      <c r="F93" s="100"/>
      <c r="G93" s="103"/>
      <c r="H93" s="186"/>
      <c r="I93" s="195">
        <v>0.51</v>
      </c>
      <c r="J93" s="107">
        <v>0.49</v>
      </c>
      <c r="K93" s="107"/>
      <c r="L93" s="107"/>
      <c r="M93" s="187"/>
      <c r="N93" s="169">
        <f t="shared" si="14"/>
        <v>1</v>
      </c>
      <c r="O93" s="144">
        <v>1</v>
      </c>
      <c r="P93" s="145">
        <v>15</v>
      </c>
      <c r="Q93" s="113">
        <v>15</v>
      </c>
      <c r="R93" s="113"/>
      <c r="S93" s="113"/>
      <c r="T93" s="146"/>
      <c r="U93" s="148">
        <f t="shared" si="17"/>
        <v>15</v>
      </c>
      <c r="V93" s="149">
        <f t="shared" si="18"/>
        <v>15</v>
      </c>
      <c r="W93" s="189"/>
      <c r="X93" s="199"/>
      <c r="Y93" s="151"/>
      <c r="Z93" s="190"/>
      <c r="AA93" s="153"/>
      <c r="AB93" s="154">
        <f t="shared" si="19"/>
        <v>0</v>
      </c>
      <c r="AC93" s="149">
        <f t="shared" si="20"/>
        <v>0</v>
      </c>
      <c r="AD93" s="125">
        <v>2</v>
      </c>
      <c r="AE93" s="148">
        <f t="shared" si="21"/>
        <v>2</v>
      </c>
      <c r="AF93" s="156"/>
      <c r="AG93" s="156"/>
      <c r="AH93" s="113">
        <f t="shared" si="22"/>
        <v>17</v>
      </c>
      <c r="AI93" s="157">
        <v>65</v>
      </c>
      <c r="AJ93" s="113">
        <f t="shared" si="23"/>
        <v>82</v>
      </c>
      <c r="AK93" s="113">
        <f t="shared" si="24"/>
        <v>82</v>
      </c>
      <c r="AL93" s="158">
        <f t="shared" si="25"/>
        <v>1.02</v>
      </c>
      <c r="AM93" s="159"/>
      <c r="AN93" s="160">
        <f t="shared" si="28"/>
        <v>1</v>
      </c>
      <c r="AO93" s="160">
        <f t="shared" si="28"/>
        <v>2</v>
      </c>
      <c r="AP93" s="133"/>
      <c r="AQ93" s="134"/>
      <c r="AR93" s="161"/>
      <c r="AS93" s="161"/>
      <c r="AT93" s="161"/>
      <c r="AU93" s="161"/>
      <c r="AV93" s="162"/>
      <c r="AW93" s="137">
        <f t="shared" si="26"/>
        <v>0</v>
      </c>
      <c r="AX93" s="137">
        <f t="shared" si="27"/>
        <v>0</v>
      </c>
    </row>
    <row r="94" ht="46.5" customHeight="1" spans="1:50" s="97" customFormat="1" x14ac:dyDescent="0.25">
      <c r="A94" s="100"/>
      <c r="B94" s="100"/>
      <c r="C94" s="100"/>
      <c r="D94" s="100"/>
      <c r="E94" s="100"/>
      <c r="F94" s="100"/>
      <c r="G94" s="103"/>
      <c r="H94" s="186"/>
      <c r="I94" s="195">
        <v>0.51</v>
      </c>
      <c r="J94" s="107">
        <v>0.49</v>
      </c>
      <c r="K94" s="107"/>
      <c r="L94" s="107"/>
      <c r="M94" s="187"/>
      <c r="N94" s="169">
        <f t="shared" si="14"/>
        <v>1</v>
      </c>
      <c r="O94" s="144">
        <v>1</v>
      </c>
      <c r="P94" s="145">
        <v>15</v>
      </c>
      <c r="Q94" s="113">
        <v>15</v>
      </c>
      <c r="R94" s="113"/>
      <c r="S94" s="113"/>
      <c r="T94" s="146"/>
      <c r="U94" s="148">
        <f t="shared" si="17"/>
        <v>15</v>
      </c>
      <c r="V94" s="149">
        <f t="shared" si="18"/>
        <v>15</v>
      </c>
      <c r="W94" s="189"/>
      <c r="X94" s="199"/>
      <c r="Y94" s="151"/>
      <c r="Z94" s="190"/>
      <c r="AA94" s="153"/>
      <c r="AB94" s="154">
        <f t="shared" si="19"/>
        <v>0</v>
      </c>
      <c r="AC94" s="149">
        <f t="shared" si="20"/>
        <v>0</v>
      </c>
      <c r="AD94" s="125">
        <v>2</v>
      </c>
      <c r="AE94" s="148">
        <f t="shared" si="21"/>
        <v>2</v>
      </c>
      <c r="AF94" s="156"/>
      <c r="AG94" s="156"/>
      <c r="AH94" s="113">
        <f t="shared" si="22"/>
        <v>17</v>
      </c>
      <c r="AI94" s="157">
        <v>65</v>
      </c>
      <c r="AJ94" s="113">
        <f t="shared" si="23"/>
        <v>82</v>
      </c>
      <c r="AK94" s="113">
        <f t="shared" si="24"/>
        <v>82</v>
      </c>
      <c r="AL94" s="158">
        <f t="shared" si="25"/>
        <v>1.02</v>
      </c>
      <c r="AM94" s="159"/>
      <c r="AN94" s="160">
        <f t="shared" si="28"/>
        <v>1</v>
      </c>
      <c r="AO94" s="160">
        <f t="shared" si="28"/>
        <v>2</v>
      </c>
      <c r="AP94" s="133"/>
      <c r="AQ94" s="134"/>
      <c r="AR94" s="161"/>
      <c r="AS94" s="161"/>
      <c r="AT94" s="161"/>
      <c r="AU94" s="161"/>
      <c r="AV94" s="162"/>
      <c r="AW94" s="137">
        <f t="shared" si="26"/>
        <v>0</v>
      </c>
      <c r="AX94" s="137">
        <f t="shared" si="27"/>
        <v>0</v>
      </c>
    </row>
    <row r="95" ht="46.5" customHeight="1" spans="1:50" s="97" customFormat="1" x14ac:dyDescent="0.25">
      <c r="A95" s="100"/>
      <c r="B95" s="100"/>
      <c r="C95" s="100"/>
      <c r="D95" s="100"/>
      <c r="E95" s="100"/>
      <c r="F95" s="100"/>
      <c r="G95" s="103"/>
      <c r="H95" s="186"/>
      <c r="I95" s="195">
        <v>0.51</v>
      </c>
      <c r="J95" s="107">
        <v>0.49</v>
      </c>
      <c r="K95" s="107"/>
      <c r="L95" s="107"/>
      <c r="M95" s="187"/>
      <c r="N95" s="169">
        <f t="shared" si="14"/>
        <v>1</v>
      </c>
      <c r="O95" s="144">
        <v>1</v>
      </c>
      <c r="P95" s="145">
        <v>15</v>
      </c>
      <c r="Q95" s="113">
        <v>15</v>
      </c>
      <c r="R95" s="113"/>
      <c r="S95" s="113"/>
      <c r="T95" s="146"/>
      <c r="U95" s="148">
        <f t="shared" si="17"/>
        <v>15</v>
      </c>
      <c r="V95" s="149">
        <f t="shared" si="18"/>
        <v>15</v>
      </c>
      <c r="W95" s="189"/>
      <c r="X95" s="199"/>
      <c r="Y95" s="151"/>
      <c r="Z95" s="190"/>
      <c r="AA95" s="153"/>
      <c r="AB95" s="154">
        <f t="shared" si="19"/>
        <v>0</v>
      </c>
      <c r="AC95" s="149">
        <f t="shared" si="20"/>
        <v>0</v>
      </c>
      <c r="AD95" s="125">
        <v>2</v>
      </c>
      <c r="AE95" s="148">
        <f t="shared" si="21"/>
        <v>2</v>
      </c>
      <c r="AF95" s="156"/>
      <c r="AG95" s="156"/>
      <c r="AH95" s="113">
        <f t="shared" si="22"/>
        <v>17</v>
      </c>
      <c r="AI95" s="157">
        <v>65</v>
      </c>
      <c r="AJ95" s="113">
        <f t="shared" si="23"/>
        <v>82</v>
      </c>
      <c r="AK95" s="113">
        <f t="shared" si="24"/>
        <v>82</v>
      </c>
      <c r="AL95" s="158">
        <f t="shared" si="25"/>
        <v>1.02</v>
      </c>
      <c r="AM95" s="159"/>
      <c r="AN95" s="160">
        <f t="shared" si="28"/>
        <v>1</v>
      </c>
      <c r="AO95" s="160">
        <f t="shared" si="28"/>
        <v>2</v>
      </c>
      <c r="AP95" s="133"/>
      <c r="AQ95" s="134"/>
      <c r="AR95" s="161"/>
      <c r="AS95" s="161"/>
      <c r="AT95" s="161"/>
      <c r="AU95" s="161"/>
      <c r="AV95" s="162"/>
      <c r="AW95" s="137">
        <f t="shared" si="26"/>
        <v>0</v>
      </c>
      <c r="AX95" s="137">
        <f t="shared" si="27"/>
        <v>0</v>
      </c>
    </row>
    <row r="96" ht="46.5" customHeight="1" spans="1:50" s="97" customFormat="1" x14ac:dyDescent="0.25">
      <c r="A96" s="100"/>
      <c r="B96" s="100"/>
      <c r="C96" s="100"/>
      <c r="D96" s="100"/>
      <c r="E96" s="100"/>
      <c r="F96" s="100"/>
      <c r="G96" s="103"/>
      <c r="H96" s="186"/>
      <c r="I96" s="195">
        <v>0.51</v>
      </c>
      <c r="J96" s="107">
        <v>0.49</v>
      </c>
      <c r="K96" s="107"/>
      <c r="L96" s="107"/>
      <c r="M96" s="187"/>
      <c r="N96" s="169">
        <f t="shared" si="14"/>
        <v>1</v>
      </c>
      <c r="O96" s="144">
        <v>1</v>
      </c>
      <c r="P96" s="145">
        <v>15</v>
      </c>
      <c r="Q96" s="113">
        <v>15</v>
      </c>
      <c r="R96" s="113"/>
      <c r="S96" s="113"/>
      <c r="T96" s="146"/>
      <c r="U96" s="148">
        <f t="shared" si="17"/>
        <v>15</v>
      </c>
      <c r="V96" s="149">
        <f t="shared" si="18"/>
        <v>15</v>
      </c>
      <c r="W96" s="189"/>
      <c r="X96" s="199"/>
      <c r="Y96" s="151"/>
      <c r="Z96" s="190"/>
      <c r="AA96" s="153"/>
      <c r="AB96" s="154">
        <f t="shared" si="19"/>
        <v>0</v>
      </c>
      <c r="AC96" s="149">
        <f t="shared" si="20"/>
        <v>0</v>
      </c>
      <c r="AD96" s="125">
        <v>2</v>
      </c>
      <c r="AE96" s="148">
        <f t="shared" si="21"/>
        <v>2</v>
      </c>
      <c r="AF96" s="156"/>
      <c r="AG96" s="156"/>
      <c r="AH96" s="113">
        <f t="shared" si="22"/>
        <v>17</v>
      </c>
      <c r="AI96" s="157">
        <v>65</v>
      </c>
      <c r="AJ96" s="113">
        <f t="shared" si="23"/>
        <v>82</v>
      </c>
      <c r="AK96" s="113">
        <f t="shared" si="24"/>
        <v>82</v>
      </c>
      <c r="AL96" s="158">
        <f t="shared" si="25"/>
        <v>1.02</v>
      </c>
      <c r="AM96" s="159"/>
      <c r="AN96" s="160">
        <f t="shared" si="28"/>
        <v>1</v>
      </c>
      <c r="AO96" s="160">
        <f t="shared" si="28"/>
        <v>2</v>
      </c>
      <c r="AP96" s="133"/>
      <c r="AQ96" s="134"/>
      <c r="AR96" s="161"/>
      <c r="AS96" s="161"/>
      <c r="AT96" s="161"/>
      <c r="AU96" s="161"/>
      <c r="AV96" s="162"/>
      <c r="AW96" s="137">
        <f t="shared" si="26"/>
        <v>0</v>
      </c>
      <c r="AX96" s="137">
        <f t="shared" si="27"/>
        <v>0</v>
      </c>
    </row>
    <row r="97" ht="46.5" customHeight="1" spans="1:50" s="97" customFormat="1" x14ac:dyDescent="0.25">
      <c r="A97" s="100"/>
      <c r="B97" s="100"/>
      <c r="C97" s="100"/>
      <c r="D97" s="100"/>
      <c r="E97" s="100"/>
      <c r="F97" s="100"/>
      <c r="G97" s="103"/>
      <c r="H97" s="186"/>
      <c r="I97" s="195">
        <v>0.51</v>
      </c>
      <c r="J97" s="107">
        <v>0.49</v>
      </c>
      <c r="K97" s="107"/>
      <c r="L97" s="107"/>
      <c r="M97" s="187"/>
      <c r="N97" s="169">
        <f t="shared" si="14"/>
        <v>1</v>
      </c>
      <c r="O97" s="144">
        <v>1</v>
      </c>
      <c r="P97" s="145">
        <v>15</v>
      </c>
      <c r="Q97" s="113">
        <v>15</v>
      </c>
      <c r="R97" s="113"/>
      <c r="S97" s="113"/>
      <c r="T97" s="146"/>
      <c r="U97" s="148">
        <f t="shared" si="17"/>
        <v>15</v>
      </c>
      <c r="V97" s="149">
        <f t="shared" si="18"/>
        <v>15</v>
      </c>
      <c r="W97" s="189"/>
      <c r="X97" s="199"/>
      <c r="Y97" s="151"/>
      <c r="Z97" s="190"/>
      <c r="AA97" s="153"/>
      <c r="AB97" s="154">
        <f t="shared" si="19"/>
        <v>0</v>
      </c>
      <c r="AC97" s="149">
        <f t="shared" si="20"/>
        <v>0</v>
      </c>
      <c r="AD97" s="125">
        <v>2</v>
      </c>
      <c r="AE97" s="148">
        <f t="shared" si="21"/>
        <v>2</v>
      </c>
      <c r="AF97" s="156"/>
      <c r="AG97" s="156"/>
      <c r="AH97" s="113">
        <f t="shared" si="22"/>
        <v>17</v>
      </c>
      <c r="AI97" s="157">
        <v>65</v>
      </c>
      <c r="AJ97" s="113">
        <f t="shared" si="23"/>
        <v>82</v>
      </c>
      <c r="AK97" s="113">
        <f t="shared" si="24"/>
        <v>82</v>
      </c>
      <c r="AL97" s="158">
        <f t="shared" si="25"/>
        <v>1.02</v>
      </c>
      <c r="AM97" s="159"/>
      <c r="AN97" s="160">
        <f t="shared" si="28"/>
        <v>1</v>
      </c>
      <c r="AO97" s="160">
        <f t="shared" si="28"/>
        <v>2</v>
      </c>
      <c r="AP97" s="133"/>
      <c r="AQ97" s="134"/>
      <c r="AR97" s="161"/>
      <c r="AS97" s="161"/>
      <c r="AT97" s="161"/>
      <c r="AU97" s="161"/>
      <c r="AV97" s="162"/>
      <c r="AW97" s="137">
        <f t="shared" si="26"/>
        <v>0</v>
      </c>
      <c r="AX97" s="137">
        <f t="shared" si="27"/>
        <v>0</v>
      </c>
    </row>
    <row r="98" ht="64.5" customHeight="1" spans="1:50" s="56" customFormat="1" x14ac:dyDescent="0.25">
      <c r="A98" s="100"/>
      <c r="B98" s="100"/>
      <c r="C98" s="100"/>
      <c r="D98" s="100"/>
      <c r="E98" s="100"/>
      <c r="F98" s="100"/>
      <c r="G98" s="103"/>
      <c r="H98" s="186"/>
      <c r="I98" s="195">
        <v>0.51</v>
      </c>
      <c r="J98" s="107">
        <v>0.49</v>
      </c>
      <c r="K98" s="107"/>
      <c r="L98" s="107"/>
      <c r="M98" s="187"/>
      <c r="N98" s="169">
        <f t="shared" si="14"/>
        <v>1</v>
      </c>
      <c r="O98" s="144">
        <v>1</v>
      </c>
      <c r="P98" s="145">
        <v>15</v>
      </c>
      <c r="Q98" s="113">
        <v>15</v>
      </c>
      <c r="R98" s="113"/>
      <c r="S98" s="113"/>
      <c r="T98" s="146"/>
      <c r="U98" s="148">
        <f t="shared" si="17"/>
        <v>15</v>
      </c>
      <c r="V98" s="149">
        <f t="shared" si="18"/>
        <v>15</v>
      </c>
      <c r="W98" s="189"/>
      <c r="X98" s="199"/>
      <c r="Y98" s="151"/>
      <c r="Z98" s="190"/>
      <c r="AA98" s="153"/>
      <c r="AB98" s="154">
        <f t="shared" si="19"/>
        <v>0</v>
      </c>
      <c r="AC98" s="149">
        <f t="shared" si="20"/>
        <v>0</v>
      </c>
      <c r="AD98" s="125">
        <v>2</v>
      </c>
      <c r="AE98" s="148">
        <f t="shared" si="21"/>
        <v>2</v>
      </c>
      <c r="AF98" s="156"/>
      <c r="AG98" s="156"/>
      <c r="AH98" s="113">
        <f t="shared" si="22"/>
        <v>17</v>
      </c>
      <c r="AI98" s="157">
        <v>65</v>
      </c>
      <c r="AJ98" s="113">
        <f t="shared" si="23"/>
        <v>82</v>
      </c>
      <c r="AK98" s="113">
        <f t="shared" si="24"/>
        <v>82</v>
      </c>
      <c r="AL98" s="158">
        <f t="shared" si="25"/>
        <v>1.02</v>
      </c>
      <c r="AM98" s="159"/>
      <c r="AN98" s="160">
        <f t="shared" si="28"/>
        <v>1</v>
      </c>
      <c r="AO98" s="160">
        <f t="shared" si="28"/>
        <v>2</v>
      </c>
      <c r="AP98" s="133"/>
      <c r="AQ98" s="134"/>
      <c r="AR98" s="161"/>
      <c r="AS98" s="161"/>
      <c r="AT98" s="161"/>
      <c r="AU98" s="161"/>
      <c r="AV98" s="162"/>
      <c r="AW98" s="137">
        <f t="shared" si="26"/>
        <v>0</v>
      </c>
      <c r="AX98" s="137">
        <f t="shared" si="27"/>
        <v>0</v>
      </c>
    </row>
    <row r="99" ht="46.5" customHeight="1" spans="1:50" s="97" customFormat="1" x14ac:dyDescent="0.25">
      <c r="A99" s="100"/>
      <c r="B99" s="100"/>
      <c r="C99" s="100"/>
      <c r="D99" s="100"/>
      <c r="E99" s="100"/>
      <c r="F99" s="100"/>
      <c r="G99" s="103"/>
      <c r="H99" s="186"/>
      <c r="I99" s="195">
        <v>0.51</v>
      </c>
      <c r="J99" s="107">
        <v>0.49</v>
      </c>
      <c r="K99" s="107"/>
      <c r="L99" s="107"/>
      <c r="M99" s="187"/>
      <c r="N99" s="169">
        <f t="shared" si="14"/>
        <v>1</v>
      </c>
      <c r="O99" s="144">
        <v>1</v>
      </c>
      <c r="P99" s="145">
        <v>15</v>
      </c>
      <c r="Q99" s="113">
        <v>15</v>
      </c>
      <c r="R99" s="113"/>
      <c r="S99" s="113"/>
      <c r="T99" s="146"/>
      <c r="U99" s="148">
        <f t="shared" si="17"/>
        <v>15</v>
      </c>
      <c r="V99" s="149">
        <f t="shared" si="18"/>
        <v>15</v>
      </c>
      <c r="W99" s="189"/>
      <c r="X99" s="199"/>
      <c r="Y99" s="151"/>
      <c r="Z99" s="190"/>
      <c r="AA99" s="153"/>
      <c r="AB99" s="154">
        <f t="shared" si="19"/>
        <v>0</v>
      </c>
      <c r="AC99" s="149">
        <f t="shared" si="20"/>
        <v>0</v>
      </c>
      <c r="AD99" s="125">
        <v>2</v>
      </c>
      <c r="AE99" s="148">
        <f t="shared" si="21"/>
        <v>2</v>
      </c>
      <c r="AF99" s="156"/>
      <c r="AG99" s="156"/>
      <c r="AH99" s="113">
        <f t="shared" si="22"/>
        <v>17</v>
      </c>
      <c r="AI99" s="157">
        <v>65</v>
      </c>
      <c r="AJ99" s="113">
        <f t="shared" si="23"/>
        <v>82</v>
      </c>
      <c r="AK99" s="113">
        <f t="shared" si="24"/>
        <v>82</v>
      </c>
      <c r="AL99" s="158">
        <f t="shared" si="25"/>
        <v>1.02</v>
      </c>
      <c r="AM99" s="159"/>
      <c r="AN99" s="160">
        <f t="shared" si="28"/>
        <v>1</v>
      </c>
      <c r="AO99" s="160">
        <f t="shared" si="28"/>
        <v>2</v>
      </c>
      <c r="AP99" s="133"/>
      <c r="AQ99" s="134"/>
      <c r="AR99" s="161"/>
      <c r="AS99" s="161"/>
      <c r="AT99" s="161"/>
      <c r="AU99" s="161"/>
      <c r="AV99" s="162"/>
      <c r="AW99" s="137">
        <f t="shared" si="26"/>
        <v>0</v>
      </c>
      <c r="AX99" s="137">
        <f t="shared" si="27"/>
        <v>0</v>
      </c>
    </row>
    <row r="100" ht="46.5" customHeight="1" spans="1:50" s="97" customFormat="1" x14ac:dyDescent="0.25">
      <c r="A100" s="100"/>
      <c r="B100" s="100"/>
      <c r="C100" s="100"/>
      <c r="D100" s="100"/>
      <c r="E100" s="100"/>
      <c r="F100" s="100"/>
      <c r="G100" s="103"/>
      <c r="H100" s="186"/>
      <c r="I100" s="195">
        <v>0.51</v>
      </c>
      <c r="J100" s="107">
        <v>0.49</v>
      </c>
      <c r="K100" s="107"/>
      <c r="L100" s="107"/>
      <c r="M100" s="187"/>
      <c r="N100" s="169">
        <f t="shared" si="14"/>
        <v>1</v>
      </c>
      <c r="O100" s="144">
        <v>1</v>
      </c>
      <c r="P100" s="145">
        <v>15</v>
      </c>
      <c r="Q100" s="113">
        <v>15</v>
      </c>
      <c r="R100" s="113"/>
      <c r="S100" s="113"/>
      <c r="T100" s="146"/>
      <c r="U100" s="148">
        <f t="shared" si="17"/>
        <v>15</v>
      </c>
      <c r="V100" s="149">
        <f t="shared" si="18"/>
        <v>15</v>
      </c>
      <c r="W100" s="189"/>
      <c r="X100" s="199"/>
      <c r="Y100" s="151"/>
      <c r="Z100" s="190"/>
      <c r="AA100" s="153"/>
      <c r="AB100" s="154">
        <f t="shared" si="19"/>
        <v>0</v>
      </c>
      <c r="AC100" s="149">
        <f t="shared" si="20"/>
        <v>0</v>
      </c>
      <c r="AD100" s="125">
        <v>2</v>
      </c>
      <c r="AE100" s="148">
        <f t="shared" si="21"/>
        <v>2</v>
      </c>
      <c r="AF100" s="156"/>
      <c r="AG100" s="156"/>
      <c r="AH100" s="113">
        <f t="shared" si="22"/>
        <v>17</v>
      </c>
      <c r="AI100" s="157">
        <v>65</v>
      </c>
      <c r="AJ100" s="113">
        <f t="shared" si="23"/>
        <v>82</v>
      </c>
      <c r="AK100" s="113">
        <f t="shared" si="24"/>
        <v>82</v>
      </c>
      <c r="AL100" s="158">
        <f t="shared" si="25"/>
        <v>1.02</v>
      </c>
      <c r="AM100" s="159"/>
      <c r="AN100" s="160">
        <f t="shared" si="28"/>
        <v>1</v>
      </c>
      <c r="AO100" s="160">
        <f t="shared" si="28"/>
        <v>2</v>
      </c>
      <c r="AP100" s="133"/>
      <c r="AQ100" s="134"/>
      <c r="AR100" s="161"/>
      <c r="AS100" s="161"/>
      <c r="AT100" s="161"/>
      <c r="AU100" s="161"/>
      <c r="AV100" s="162"/>
      <c r="AW100" s="137">
        <f t="shared" si="26"/>
        <v>0</v>
      </c>
      <c r="AX100" s="137">
        <f t="shared" si="27"/>
        <v>0</v>
      </c>
    </row>
    <row r="101" ht="46.5" customHeight="1" spans="1:50" s="97" customFormat="1" x14ac:dyDescent="0.25">
      <c r="A101" s="100"/>
      <c r="B101" s="100"/>
      <c r="C101" s="100"/>
      <c r="D101" s="100"/>
      <c r="E101" s="100"/>
      <c r="F101" s="100"/>
      <c r="G101" s="103"/>
      <c r="H101" s="186"/>
      <c r="I101" s="195">
        <v>0.51</v>
      </c>
      <c r="J101" s="107">
        <v>0.49</v>
      </c>
      <c r="K101" s="107"/>
      <c r="L101" s="107"/>
      <c r="M101" s="187"/>
      <c r="N101" s="169">
        <f t="shared" si="14"/>
        <v>1</v>
      </c>
      <c r="O101" s="144">
        <v>1</v>
      </c>
      <c r="P101" s="145">
        <v>15</v>
      </c>
      <c r="Q101" s="113">
        <v>15</v>
      </c>
      <c r="R101" s="113"/>
      <c r="S101" s="113"/>
      <c r="T101" s="146"/>
      <c r="U101" s="148">
        <f t="shared" si="17"/>
        <v>15</v>
      </c>
      <c r="V101" s="149">
        <f t="shared" si="18"/>
        <v>15</v>
      </c>
      <c r="W101" s="189"/>
      <c r="X101" s="199"/>
      <c r="Y101" s="151"/>
      <c r="Z101" s="190"/>
      <c r="AA101" s="153"/>
      <c r="AB101" s="154">
        <f t="shared" si="19"/>
        <v>0</v>
      </c>
      <c r="AC101" s="149">
        <f t="shared" si="20"/>
        <v>0</v>
      </c>
      <c r="AD101" s="125">
        <v>2</v>
      </c>
      <c r="AE101" s="148">
        <f t="shared" si="21"/>
        <v>2</v>
      </c>
      <c r="AF101" s="156"/>
      <c r="AG101" s="156"/>
      <c r="AH101" s="113">
        <f t="shared" si="22"/>
        <v>17</v>
      </c>
      <c r="AI101" s="157">
        <v>65</v>
      </c>
      <c r="AJ101" s="113">
        <f t="shared" si="23"/>
        <v>82</v>
      </c>
      <c r="AK101" s="113">
        <f t="shared" si="24"/>
        <v>82</v>
      </c>
      <c r="AL101" s="158">
        <f t="shared" si="25"/>
        <v>1.02</v>
      </c>
      <c r="AM101" s="159"/>
      <c r="AN101" s="160">
        <f t="shared" si="28"/>
        <v>1</v>
      </c>
      <c r="AO101" s="160">
        <f t="shared" si="28"/>
        <v>2</v>
      </c>
      <c r="AP101" s="133"/>
      <c r="AQ101" s="134"/>
      <c r="AR101" s="161"/>
      <c r="AS101" s="161"/>
      <c r="AT101" s="161"/>
      <c r="AU101" s="161"/>
      <c r="AV101" s="162"/>
      <c r="AW101" s="137">
        <f t="shared" si="26"/>
        <v>0</v>
      </c>
      <c r="AX101" s="137">
        <f t="shared" si="27"/>
        <v>0</v>
      </c>
    </row>
    <row r="102" ht="47.25" customHeight="1" spans="1:50" s="97" customFormat="1" x14ac:dyDescent="0.25">
      <c r="A102" s="100"/>
      <c r="B102" s="100"/>
      <c r="C102" s="100"/>
      <c r="D102" s="100"/>
      <c r="E102" s="100"/>
      <c r="F102" s="100"/>
      <c r="G102" s="103"/>
      <c r="H102" s="186"/>
      <c r="I102" s="195">
        <v>0.51</v>
      </c>
      <c r="J102" s="107">
        <v>0.49</v>
      </c>
      <c r="K102" s="107"/>
      <c r="L102" s="107"/>
      <c r="M102" s="187"/>
      <c r="N102" s="169">
        <f t="shared" si="14"/>
        <v>1</v>
      </c>
      <c r="O102" s="144">
        <v>1</v>
      </c>
      <c r="P102" s="145">
        <v>15</v>
      </c>
      <c r="Q102" s="113">
        <v>15</v>
      </c>
      <c r="R102" s="113"/>
      <c r="S102" s="113"/>
      <c r="T102" s="146"/>
      <c r="U102" s="148">
        <f t="shared" si="17"/>
        <v>15</v>
      </c>
      <c r="V102" s="149">
        <f t="shared" si="18"/>
        <v>15</v>
      </c>
      <c r="W102" s="189"/>
      <c r="X102" s="199"/>
      <c r="Y102" s="151"/>
      <c r="Z102" s="190"/>
      <c r="AA102" s="153"/>
      <c r="AB102" s="154">
        <f t="shared" si="19"/>
        <v>0</v>
      </c>
      <c r="AC102" s="149">
        <f t="shared" si="20"/>
        <v>0</v>
      </c>
      <c r="AD102" s="125">
        <v>2</v>
      </c>
      <c r="AE102" s="148">
        <f t="shared" si="21"/>
        <v>2</v>
      </c>
      <c r="AF102" s="156"/>
      <c r="AG102" s="156"/>
      <c r="AH102" s="113">
        <f t="shared" si="22"/>
        <v>17</v>
      </c>
      <c r="AI102" s="157">
        <v>65</v>
      </c>
      <c r="AJ102" s="113">
        <f t="shared" si="23"/>
        <v>82</v>
      </c>
      <c r="AK102" s="113">
        <f t="shared" si="24"/>
        <v>82</v>
      </c>
      <c r="AL102" s="158">
        <f t="shared" si="25"/>
        <v>1.02</v>
      </c>
      <c r="AM102" s="159"/>
      <c r="AN102" s="160">
        <f t="shared" si="28"/>
        <v>1</v>
      </c>
      <c r="AO102" s="160">
        <f t="shared" si="28"/>
        <v>2</v>
      </c>
      <c r="AP102" s="133"/>
      <c r="AQ102" s="134"/>
      <c r="AR102" s="161"/>
      <c r="AS102" s="161"/>
      <c r="AT102" s="161"/>
      <c r="AU102" s="161"/>
      <c r="AV102" s="162"/>
      <c r="AW102" s="137">
        <f t="shared" si="26"/>
        <v>0</v>
      </c>
      <c r="AX102" s="137">
        <f t="shared" si="27"/>
        <v>0</v>
      </c>
    </row>
    <row r="103" ht="46.5" customHeight="1" spans="1:50" s="97" customFormat="1" x14ac:dyDescent="0.25">
      <c r="A103" s="100"/>
      <c r="B103" s="100"/>
      <c r="C103" s="100"/>
      <c r="D103" s="100"/>
      <c r="E103" s="100"/>
      <c r="F103" s="100"/>
      <c r="G103" s="103"/>
      <c r="H103" s="186"/>
      <c r="I103" s="195">
        <v>0.51</v>
      </c>
      <c r="J103" s="107">
        <v>0.49</v>
      </c>
      <c r="K103" s="107"/>
      <c r="L103" s="107"/>
      <c r="M103" s="187"/>
      <c r="N103" s="169">
        <f t="shared" si="14"/>
        <v>1</v>
      </c>
      <c r="O103" s="144">
        <v>1</v>
      </c>
      <c r="P103" s="145">
        <v>15</v>
      </c>
      <c r="Q103" s="113">
        <v>15</v>
      </c>
      <c r="R103" s="113"/>
      <c r="S103" s="113"/>
      <c r="T103" s="146"/>
      <c r="U103" s="148">
        <f t="shared" si="17"/>
        <v>15</v>
      </c>
      <c r="V103" s="149">
        <f t="shared" si="18"/>
        <v>15</v>
      </c>
      <c r="W103" s="189"/>
      <c r="X103" s="199"/>
      <c r="Y103" s="151"/>
      <c r="Z103" s="190"/>
      <c r="AA103" s="153"/>
      <c r="AB103" s="154">
        <f t="shared" si="19"/>
        <v>0</v>
      </c>
      <c r="AC103" s="149">
        <f t="shared" si="20"/>
        <v>0</v>
      </c>
      <c r="AD103" s="125">
        <v>2</v>
      </c>
      <c r="AE103" s="148">
        <f t="shared" si="21"/>
        <v>2</v>
      </c>
      <c r="AF103" s="156"/>
      <c r="AG103" s="156"/>
      <c r="AH103" s="113">
        <f t="shared" si="22"/>
        <v>17</v>
      </c>
      <c r="AI103" s="157">
        <v>65</v>
      </c>
      <c r="AJ103" s="113">
        <f t="shared" si="23"/>
        <v>82</v>
      </c>
      <c r="AK103" s="113">
        <f t="shared" si="24"/>
        <v>82</v>
      </c>
      <c r="AL103" s="158">
        <f t="shared" si="25"/>
        <v>1.02</v>
      </c>
      <c r="AM103" s="159"/>
      <c r="AN103" s="160">
        <f t="shared" si="28"/>
        <v>1</v>
      </c>
      <c r="AO103" s="160">
        <f t="shared" si="28"/>
        <v>2</v>
      </c>
      <c r="AP103" s="133"/>
      <c r="AQ103" s="134"/>
      <c r="AR103" s="161"/>
      <c r="AS103" s="161"/>
      <c r="AT103" s="161"/>
      <c r="AU103" s="161"/>
      <c r="AV103" s="162"/>
      <c r="AW103" s="137">
        <f t="shared" si="26"/>
        <v>0</v>
      </c>
      <c r="AX103" s="137">
        <f t="shared" si="27"/>
        <v>0</v>
      </c>
    </row>
    <row r="104" ht="46.5" customHeight="1" spans="1:50" s="97" customFormat="1" x14ac:dyDescent="0.25">
      <c r="A104" s="100"/>
      <c r="B104" s="100"/>
      <c r="C104" s="100"/>
      <c r="D104" s="100"/>
      <c r="E104" s="100"/>
      <c r="F104" s="100"/>
      <c r="G104" s="103"/>
      <c r="H104" s="186"/>
      <c r="I104" s="195">
        <v>0.51</v>
      </c>
      <c r="J104" s="107">
        <v>0.49</v>
      </c>
      <c r="K104" s="107"/>
      <c r="L104" s="107"/>
      <c r="M104" s="187"/>
      <c r="N104" s="169">
        <f t="shared" si="14"/>
        <v>1</v>
      </c>
      <c r="O104" s="144">
        <v>1</v>
      </c>
      <c r="P104" s="145">
        <v>15</v>
      </c>
      <c r="Q104" s="113">
        <v>15</v>
      </c>
      <c r="R104" s="113"/>
      <c r="S104" s="113"/>
      <c r="T104" s="146"/>
      <c r="U104" s="148">
        <f t="shared" si="17"/>
        <v>15</v>
      </c>
      <c r="V104" s="149">
        <f t="shared" si="18"/>
        <v>15</v>
      </c>
      <c r="W104" s="189"/>
      <c r="X104" s="199"/>
      <c r="Y104" s="151"/>
      <c r="Z104" s="190"/>
      <c r="AA104" s="153"/>
      <c r="AB104" s="154">
        <f t="shared" si="19"/>
        <v>0</v>
      </c>
      <c r="AC104" s="149">
        <f t="shared" si="20"/>
        <v>0</v>
      </c>
      <c r="AD104" s="125">
        <v>2</v>
      </c>
      <c r="AE104" s="148">
        <f t="shared" si="21"/>
        <v>2</v>
      </c>
      <c r="AF104" s="156"/>
      <c r="AG104" s="156"/>
      <c r="AH104" s="113">
        <f t="shared" si="22"/>
        <v>17</v>
      </c>
      <c r="AI104" s="157">
        <v>65</v>
      </c>
      <c r="AJ104" s="113">
        <f t="shared" si="23"/>
        <v>82</v>
      </c>
      <c r="AK104" s="113">
        <f t="shared" si="24"/>
        <v>82</v>
      </c>
      <c r="AL104" s="158">
        <f t="shared" si="25"/>
        <v>1.02</v>
      </c>
      <c r="AM104" s="159"/>
      <c r="AN104" s="160">
        <f t="shared" si="28"/>
        <v>1</v>
      </c>
      <c r="AO104" s="160">
        <f t="shared" si="28"/>
        <v>2</v>
      </c>
      <c r="AP104" s="133"/>
      <c r="AQ104" s="134"/>
      <c r="AR104" s="161"/>
      <c r="AS104" s="161"/>
      <c r="AT104" s="161"/>
      <c r="AU104" s="161"/>
      <c r="AV104" s="162"/>
      <c r="AW104" s="137">
        <f t="shared" si="26"/>
        <v>0</v>
      </c>
      <c r="AX104" s="137">
        <f t="shared" si="27"/>
        <v>0</v>
      </c>
    </row>
    <row r="105" ht="46.5" customHeight="1" spans="1:50" s="97" customFormat="1" x14ac:dyDescent="0.25">
      <c r="A105" s="100"/>
      <c r="B105" s="100"/>
      <c r="C105" s="100"/>
      <c r="D105" s="100"/>
      <c r="E105" s="100"/>
      <c r="F105" s="100"/>
      <c r="G105" s="103"/>
      <c r="H105" s="186"/>
      <c r="I105" s="195">
        <v>0.51</v>
      </c>
      <c r="J105" s="107">
        <v>0.49</v>
      </c>
      <c r="K105" s="107"/>
      <c r="L105" s="107"/>
      <c r="M105" s="187"/>
      <c r="N105" s="169">
        <f t="shared" si="14"/>
        <v>1</v>
      </c>
      <c r="O105" s="144">
        <v>1</v>
      </c>
      <c r="P105" s="145">
        <v>15</v>
      </c>
      <c r="Q105" s="113">
        <v>15</v>
      </c>
      <c r="R105" s="113"/>
      <c r="S105" s="113"/>
      <c r="T105" s="146"/>
      <c r="U105" s="148">
        <f t="shared" si="17"/>
        <v>15</v>
      </c>
      <c r="V105" s="149">
        <f t="shared" si="18"/>
        <v>15</v>
      </c>
      <c r="W105" s="189"/>
      <c r="X105" s="199"/>
      <c r="Y105" s="151"/>
      <c r="Z105" s="190"/>
      <c r="AA105" s="153"/>
      <c r="AB105" s="154">
        <f t="shared" si="19"/>
        <v>0</v>
      </c>
      <c r="AC105" s="149">
        <f t="shared" si="20"/>
        <v>0</v>
      </c>
      <c r="AD105" s="125">
        <v>2</v>
      </c>
      <c r="AE105" s="148">
        <f t="shared" si="21"/>
        <v>2</v>
      </c>
      <c r="AF105" s="156"/>
      <c r="AG105" s="156"/>
      <c r="AH105" s="113">
        <f t="shared" si="22"/>
        <v>17</v>
      </c>
      <c r="AI105" s="157">
        <v>65</v>
      </c>
      <c r="AJ105" s="113">
        <f t="shared" si="23"/>
        <v>82</v>
      </c>
      <c r="AK105" s="113">
        <f t="shared" si="24"/>
        <v>82</v>
      </c>
      <c r="AL105" s="158">
        <f t="shared" si="25"/>
        <v>1.02</v>
      </c>
      <c r="AM105" s="159"/>
      <c r="AN105" s="160">
        <f t="shared" si="28"/>
        <v>1</v>
      </c>
      <c r="AO105" s="160">
        <f t="shared" si="28"/>
        <v>2</v>
      </c>
      <c r="AP105" s="133"/>
      <c r="AQ105" s="134"/>
      <c r="AR105" s="161"/>
      <c r="AS105" s="161"/>
      <c r="AT105" s="161"/>
      <c r="AU105" s="161"/>
      <c r="AV105" s="162"/>
      <c r="AW105" s="137">
        <f t="shared" si="26"/>
        <v>0</v>
      </c>
      <c r="AX105" s="137">
        <f t="shared" si="27"/>
        <v>0</v>
      </c>
    </row>
    <row r="106" ht="46.5" customHeight="1" spans="1:50" s="97" customFormat="1" x14ac:dyDescent="0.25">
      <c r="A106" s="100"/>
      <c r="B106" s="100"/>
      <c r="C106" s="100"/>
      <c r="D106" s="100"/>
      <c r="E106" s="100"/>
      <c r="F106" s="100"/>
      <c r="G106" s="103"/>
      <c r="H106" s="186"/>
      <c r="I106" s="195">
        <v>0.51</v>
      </c>
      <c r="J106" s="107">
        <v>0.49</v>
      </c>
      <c r="K106" s="107"/>
      <c r="L106" s="107"/>
      <c r="M106" s="187"/>
      <c r="N106" s="169">
        <f t="shared" si="14"/>
        <v>1</v>
      </c>
      <c r="O106" s="144">
        <v>1</v>
      </c>
      <c r="P106" s="145">
        <v>15</v>
      </c>
      <c r="Q106" s="113">
        <v>15</v>
      </c>
      <c r="R106" s="113"/>
      <c r="S106" s="113"/>
      <c r="T106" s="146"/>
      <c r="U106" s="148">
        <f t="shared" si="17"/>
        <v>15</v>
      </c>
      <c r="V106" s="149">
        <f t="shared" si="18"/>
        <v>15</v>
      </c>
      <c r="W106" s="189"/>
      <c r="X106" s="199"/>
      <c r="Y106" s="151"/>
      <c r="Z106" s="190"/>
      <c r="AA106" s="153"/>
      <c r="AB106" s="154">
        <f t="shared" si="19"/>
        <v>0</v>
      </c>
      <c r="AC106" s="149">
        <f t="shared" si="20"/>
        <v>0</v>
      </c>
      <c r="AD106" s="125">
        <v>2</v>
      </c>
      <c r="AE106" s="148">
        <f t="shared" si="21"/>
        <v>2</v>
      </c>
      <c r="AF106" s="156"/>
      <c r="AG106" s="156"/>
      <c r="AH106" s="113">
        <f t="shared" si="22"/>
        <v>17</v>
      </c>
      <c r="AI106" s="157">
        <v>65</v>
      </c>
      <c r="AJ106" s="113">
        <f t="shared" si="23"/>
        <v>82</v>
      </c>
      <c r="AK106" s="113">
        <f t="shared" si="24"/>
        <v>82</v>
      </c>
      <c r="AL106" s="158">
        <f t="shared" si="25"/>
        <v>1.02</v>
      </c>
      <c r="AM106" s="159"/>
      <c r="AN106" s="160">
        <f t="shared" si="28"/>
        <v>1</v>
      </c>
      <c r="AO106" s="160">
        <f t="shared" si="28"/>
        <v>2</v>
      </c>
      <c r="AP106" s="133"/>
      <c r="AQ106" s="134"/>
      <c r="AR106" s="161"/>
      <c r="AS106" s="161"/>
      <c r="AT106" s="161"/>
      <c r="AU106" s="161"/>
      <c r="AV106" s="162"/>
      <c r="AW106" s="137">
        <f t="shared" si="26"/>
        <v>0</v>
      </c>
      <c r="AX106" s="137">
        <f t="shared" si="27"/>
        <v>0</v>
      </c>
    </row>
    <row r="107" ht="47.25" customHeight="1" spans="1:50" s="56" customFormat="1" x14ac:dyDescent="0.25">
      <c r="A107" s="100"/>
      <c r="B107" s="100"/>
      <c r="C107" s="100"/>
      <c r="D107" s="100"/>
      <c r="E107" s="100"/>
      <c r="F107" s="100"/>
      <c r="G107" s="103"/>
      <c r="H107" s="186"/>
      <c r="I107" s="195">
        <v>0.51</v>
      </c>
      <c r="J107" s="107">
        <v>0.49</v>
      </c>
      <c r="K107" s="107"/>
      <c r="L107" s="107"/>
      <c r="M107" s="187"/>
      <c r="N107" s="169">
        <f t="shared" ref="N107:N136" si="29">SUM(I107:M107)</f>
        <v>1</v>
      </c>
      <c r="O107" s="144">
        <v>1</v>
      </c>
      <c r="P107" s="145">
        <v>15</v>
      </c>
      <c r="Q107" s="113">
        <v>15</v>
      </c>
      <c r="R107" s="113"/>
      <c r="S107" s="113"/>
      <c r="T107" s="146"/>
      <c r="U107" s="148">
        <f t="shared" si="17"/>
        <v>15</v>
      </c>
      <c r="V107" s="149">
        <f t="shared" si="18"/>
        <v>15</v>
      </c>
      <c r="W107" s="189"/>
      <c r="X107" s="199"/>
      <c r="Y107" s="151"/>
      <c r="Z107" s="190"/>
      <c r="AA107" s="153"/>
      <c r="AB107" s="154">
        <f t="shared" si="19"/>
        <v>0</v>
      </c>
      <c r="AC107" s="149">
        <f t="shared" si="20"/>
        <v>0</v>
      </c>
      <c r="AD107" s="125">
        <v>2</v>
      </c>
      <c r="AE107" s="148">
        <f t="shared" si="21"/>
        <v>2</v>
      </c>
      <c r="AF107" s="156"/>
      <c r="AG107" s="156"/>
      <c r="AH107" s="113">
        <f t="shared" si="22"/>
        <v>17</v>
      </c>
      <c r="AI107" s="157">
        <v>65</v>
      </c>
      <c r="AJ107" s="113">
        <f t="shared" si="23"/>
        <v>82</v>
      </c>
      <c r="AK107" s="113">
        <f t="shared" si="24"/>
        <v>82</v>
      </c>
      <c r="AL107" s="158">
        <f t="shared" si="25"/>
        <v>1.02</v>
      </c>
      <c r="AM107" s="159"/>
      <c r="AN107" s="160">
        <f t="shared" si="28"/>
        <v>1</v>
      </c>
      <c r="AO107" s="160">
        <f t="shared" si="28"/>
        <v>2</v>
      </c>
      <c r="AP107" s="133"/>
      <c r="AQ107" s="134"/>
      <c r="AR107" s="161"/>
      <c r="AS107" s="161"/>
      <c r="AT107" s="161"/>
      <c r="AU107" s="161"/>
      <c r="AV107" s="162"/>
      <c r="AW107" s="137">
        <f t="shared" si="26"/>
        <v>0</v>
      </c>
      <c r="AX107" s="137">
        <f t="shared" si="27"/>
        <v>0</v>
      </c>
    </row>
    <row r="108" ht="57" customHeight="1" spans="1:50" s="97" customFormat="1" x14ac:dyDescent="0.25">
      <c r="A108" s="100"/>
      <c r="B108" s="100"/>
      <c r="C108" s="100"/>
      <c r="D108" s="100"/>
      <c r="E108" s="100"/>
      <c r="F108" s="100"/>
      <c r="G108" s="103"/>
      <c r="H108" s="186"/>
      <c r="I108" s="195">
        <v>0.51</v>
      </c>
      <c r="J108" s="107">
        <v>0.49</v>
      </c>
      <c r="K108" s="107"/>
      <c r="L108" s="107"/>
      <c r="M108" s="187"/>
      <c r="N108" s="169">
        <f t="shared" si="29"/>
        <v>1</v>
      </c>
      <c r="O108" s="144">
        <v>1</v>
      </c>
      <c r="P108" s="145">
        <v>15</v>
      </c>
      <c r="Q108" s="113">
        <v>15</v>
      </c>
      <c r="R108" s="113"/>
      <c r="S108" s="113"/>
      <c r="T108" s="146"/>
      <c r="U108" s="148">
        <f t="shared" si="17"/>
        <v>15</v>
      </c>
      <c r="V108" s="149">
        <f t="shared" si="18"/>
        <v>15</v>
      </c>
      <c r="W108" s="189"/>
      <c r="X108" s="199"/>
      <c r="Y108" s="151"/>
      <c r="Z108" s="190"/>
      <c r="AA108" s="153"/>
      <c r="AB108" s="154">
        <f t="shared" si="19"/>
        <v>0</v>
      </c>
      <c r="AC108" s="149">
        <f t="shared" si="20"/>
        <v>0</v>
      </c>
      <c r="AD108" s="125">
        <v>2</v>
      </c>
      <c r="AE108" s="148">
        <f t="shared" si="21"/>
        <v>2</v>
      </c>
      <c r="AF108" s="156"/>
      <c r="AG108" s="156"/>
      <c r="AH108" s="113">
        <f t="shared" si="22"/>
        <v>17</v>
      </c>
      <c r="AI108" s="157">
        <v>65</v>
      </c>
      <c r="AJ108" s="113">
        <f t="shared" si="23"/>
        <v>82</v>
      </c>
      <c r="AK108" s="113">
        <f t="shared" si="24"/>
        <v>82</v>
      </c>
      <c r="AL108" s="158">
        <f t="shared" si="25"/>
        <v>1.02</v>
      </c>
      <c r="AM108" s="159"/>
      <c r="AN108" s="160">
        <f t="shared" si="28"/>
        <v>1</v>
      </c>
      <c r="AO108" s="160">
        <f t="shared" si="28"/>
        <v>2</v>
      </c>
      <c r="AP108" s="133"/>
      <c r="AQ108" s="134"/>
      <c r="AR108" s="161"/>
      <c r="AS108" s="161"/>
      <c r="AT108" s="161"/>
      <c r="AU108" s="161"/>
      <c r="AV108" s="162"/>
      <c r="AW108" s="137">
        <f t="shared" si="26"/>
        <v>0</v>
      </c>
      <c r="AX108" s="137">
        <f t="shared" si="27"/>
        <v>0</v>
      </c>
    </row>
    <row r="109" ht="46.5" customHeight="1" spans="1:50" s="97" customFormat="1" x14ac:dyDescent="0.25">
      <c r="A109" s="100"/>
      <c r="B109" s="100"/>
      <c r="C109" s="100"/>
      <c r="D109" s="100"/>
      <c r="E109" s="100"/>
      <c r="F109" s="100"/>
      <c r="G109" s="103"/>
      <c r="H109" s="186"/>
      <c r="I109" s="195">
        <v>0.51</v>
      </c>
      <c r="J109" s="107">
        <v>0.49</v>
      </c>
      <c r="K109" s="107"/>
      <c r="L109" s="107"/>
      <c r="M109" s="187"/>
      <c r="N109" s="169">
        <f t="shared" si="29"/>
        <v>1</v>
      </c>
      <c r="O109" s="144">
        <v>1</v>
      </c>
      <c r="P109" s="145">
        <v>15</v>
      </c>
      <c r="Q109" s="113">
        <v>15</v>
      </c>
      <c r="R109" s="113"/>
      <c r="S109" s="113"/>
      <c r="T109" s="146"/>
      <c r="U109" s="148">
        <f t="shared" si="17"/>
        <v>15</v>
      </c>
      <c r="V109" s="149">
        <f t="shared" si="18"/>
        <v>15</v>
      </c>
      <c r="W109" s="189"/>
      <c r="X109" s="199"/>
      <c r="Y109" s="151"/>
      <c r="Z109" s="190"/>
      <c r="AA109" s="153"/>
      <c r="AB109" s="154">
        <f t="shared" si="19"/>
        <v>0</v>
      </c>
      <c r="AC109" s="149">
        <f t="shared" si="20"/>
        <v>0</v>
      </c>
      <c r="AD109" s="125">
        <v>2</v>
      </c>
      <c r="AE109" s="148">
        <f t="shared" si="21"/>
        <v>2</v>
      </c>
      <c r="AF109" s="156"/>
      <c r="AG109" s="156"/>
      <c r="AH109" s="113">
        <f t="shared" si="22"/>
        <v>17</v>
      </c>
      <c r="AI109" s="157">
        <v>65</v>
      </c>
      <c r="AJ109" s="113">
        <f t="shared" si="23"/>
        <v>82</v>
      </c>
      <c r="AK109" s="113">
        <f t="shared" si="24"/>
        <v>82</v>
      </c>
      <c r="AL109" s="158">
        <f t="shared" si="25"/>
        <v>1.02</v>
      </c>
      <c r="AM109" s="159"/>
      <c r="AN109" s="160">
        <f t="shared" si="28"/>
        <v>1</v>
      </c>
      <c r="AO109" s="160">
        <f t="shared" si="28"/>
        <v>2</v>
      </c>
      <c r="AP109" s="133"/>
      <c r="AQ109" s="134"/>
      <c r="AR109" s="161"/>
      <c r="AS109" s="161"/>
      <c r="AT109" s="161"/>
      <c r="AU109" s="161"/>
      <c r="AV109" s="162"/>
      <c r="AW109" s="137">
        <f t="shared" si="26"/>
        <v>0</v>
      </c>
      <c r="AX109" s="137">
        <f t="shared" si="27"/>
        <v>0</v>
      </c>
    </row>
    <row r="110" ht="47.25" customHeight="1" spans="1:50" s="56" customFormat="1" x14ac:dyDescent="0.25">
      <c r="A110" s="100"/>
      <c r="B110" s="100"/>
      <c r="C110" s="100"/>
      <c r="D110" s="100"/>
      <c r="E110" s="100"/>
      <c r="F110" s="100"/>
      <c r="G110" s="103"/>
      <c r="H110" s="186"/>
      <c r="I110" s="195">
        <v>0.51</v>
      </c>
      <c r="J110" s="107">
        <v>0.49</v>
      </c>
      <c r="K110" s="107"/>
      <c r="L110" s="107"/>
      <c r="M110" s="187"/>
      <c r="N110" s="169">
        <f t="shared" si="29"/>
        <v>1</v>
      </c>
      <c r="O110" s="144">
        <v>1</v>
      </c>
      <c r="P110" s="145">
        <v>15</v>
      </c>
      <c r="Q110" s="113">
        <v>15</v>
      </c>
      <c r="R110" s="113"/>
      <c r="S110" s="113"/>
      <c r="T110" s="146"/>
      <c r="U110" s="148">
        <f t="shared" si="17"/>
        <v>15</v>
      </c>
      <c r="V110" s="149">
        <f t="shared" si="18"/>
        <v>15</v>
      </c>
      <c r="W110" s="189"/>
      <c r="X110" s="199"/>
      <c r="Y110" s="151"/>
      <c r="Z110" s="190"/>
      <c r="AA110" s="153"/>
      <c r="AB110" s="154">
        <f t="shared" si="19"/>
        <v>0</v>
      </c>
      <c r="AC110" s="149">
        <f t="shared" si="20"/>
        <v>0</v>
      </c>
      <c r="AD110" s="125">
        <v>2</v>
      </c>
      <c r="AE110" s="148">
        <f t="shared" si="21"/>
        <v>2</v>
      </c>
      <c r="AF110" s="156"/>
      <c r="AG110" s="156"/>
      <c r="AH110" s="113">
        <f t="shared" si="22"/>
        <v>17</v>
      </c>
      <c r="AI110" s="157">
        <v>65</v>
      </c>
      <c r="AJ110" s="113">
        <f t="shared" si="23"/>
        <v>82</v>
      </c>
      <c r="AK110" s="113">
        <f t="shared" si="24"/>
        <v>82</v>
      </c>
      <c r="AL110" s="158">
        <f t="shared" si="25"/>
        <v>1.02</v>
      </c>
      <c r="AM110" s="159"/>
      <c r="AN110" s="160">
        <f t="shared" si="28"/>
        <v>1</v>
      </c>
      <c r="AO110" s="160">
        <f t="shared" si="28"/>
        <v>2</v>
      </c>
      <c r="AP110" s="133"/>
      <c r="AQ110" s="134"/>
      <c r="AR110" s="161"/>
      <c r="AS110" s="161"/>
      <c r="AT110" s="161"/>
      <c r="AU110" s="161"/>
      <c r="AV110" s="162"/>
      <c r="AW110" s="137">
        <f t="shared" si="26"/>
        <v>0</v>
      </c>
      <c r="AX110" s="137">
        <f t="shared" si="27"/>
        <v>0</v>
      </c>
    </row>
    <row r="111" ht="46.5" customHeight="1" spans="1:50" s="97" customFormat="1" x14ac:dyDescent="0.25">
      <c r="A111" s="100"/>
      <c r="B111" s="100"/>
      <c r="C111" s="100"/>
      <c r="D111" s="100"/>
      <c r="E111" s="100"/>
      <c r="F111" s="100"/>
      <c r="G111" s="103"/>
      <c r="H111" s="186"/>
      <c r="I111" s="195">
        <v>0.51</v>
      </c>
      <c r="J111" s="107">
        <v>0.49</v>
      </c>
      <c r="K111" s="107"/>
      <c r="L111" s="107"/>
      <c r="M111" s="187"/>
      <c r="N111" s="169">
        <f t="shared" si="29"/>
        <v>1</v>
      </c>
      <c r="O111" s="144">
        <v>1</v>
      </c>
      <c r="P111" s="145">
        <v>15</v>
      </c>
      <c r="Q111" s="113">
        <v>15</v>
      </c>
      <c r="R111" s="113"/>
      <c r="S111" s="113"/>
      <c r="T111" s="146"/>
      <c r="U111" s="148">
        <f t="shared" si="17"/>
        <v>15</v>
      </c>
      <c r="V111" s="149">
        <f t="shared" si="18"/>
        <v>15</v>
      </c>
      <c r="W111" s="189"/>
      <c r="X111" s="199"/>
      <c r="Y111" s="151"/>
      <c r="Z111" s="190"/>
      <c r="AA111" s="153"/>
      <c r="AB111" s="154">
        <f t="shared" si="19"/>
        <v>0</v>
      </c>
      <c r="AC111" s="149">
        <f t="shared" si="20"/>
        <v>0</v>
      </c>
      <c r="AD111" s="125">
        <v>2</v>
      </c>
      <c r="AE111" s="148">
        <f t="shared" si="21"/>
        <v>2</v>
      </c>
      <c r="AF111" s="156"/>
      <c r="AG111" s="156"/>
      <c r="AH111" s="113">
        <f t="shared" si="22"/>
        <v>17</v>
      </c>
      <c r="AI111" s="157">
        <v>65</v>
      </c>
      <c r="AJ111" s="113">
        <f t="shared" si="23"/>
        <v>82</v>
      </c>
      <c r="AK111" s="113">
        <f t="shared" si="24"/>
        <v>82</v>
      </c>
      <c r="AL111" s="158">
        <f t="shared" si="25"/>
        <v>1.02</v>
      </c>
      <c r="AM111" s="159"/>
      <c r="AN111" s="160">
        <f t="shared" ref="AN111:AO130" si="30">100%+AM111</f>
        <v>1</v>
      </c>
      <c r="AO111" s="160">
        <f t="shared" si="30"/>
        <v>2</v>
      </c>
      <c r="AP111" s="133"/>
      <c r="AQ111" s="134"/>
      <c r="AR111" s="161"/>
      <c r="AS111" s="161"/>
      <c r="AT111" s="161"/>
      <c r="AU111" s="161"/>
      <c r="AV111" s="162"/>
      <c r="AW111" s="137">
        <f t="shared" si="26"/>
        <v>0</v>
      </c>
      <c r="AX111" s="137">
        <f t="shared" si="27"/>
        <v>0</v>
      </c>
    </row>
    <row r="112" ht="46.5" customHeight="1" spans="1:50" s="97" customFormat="1" x14ac:dyDescent="0.25">
      <c r="A112" s="100"/>
      <c r="B112" s="100"/>
      <c r="C112" s="100"/>
      <c r="D112" s="100"/>
      <c r="E112" s="100"/>
      <c r="F112" s="100"/>
      <c r="G112" s="103"/>
      <c r="H112" s="186"/>
      <c r="I112" s="195">
        <v>0.51</v>
      </c>
      <c r="J112" s="107">
        <v>0.49</v>
      </c>
      <c r="K112" s="107"/>
      <c r="L112" s="107"/>
      <c r="M112" s="187"/>
      <c r="N112" s="169">
        <f t="shared" si="29"/>
        <v>1</v>
      </c>
      <c r="O112" s="144">
        <v>1</v>
      </c>
      <c r="P112" s="145">
        <v>15</v>
      </c>
      <c r="Q112" s="113">
        <v>15</v>
      </c>
      <c r="R112" s="113"/>
      <c r="S112" s="113"/>
      <c r="T112" s="146"/>
      <c r="U112" s="148">
        <f t="shared" si="17"/>
        <v>15</v>
      </c>
      <c r="V112" s="149">
        <f t="shared" si="18"/>
        <v>15</v>
      </c>
      <c r="W112" s="189"/>
      <c r="X112" s="199"/>
      <c r="Y112" s="151"/>
      <c r="Z112" s="190"/>
      <c r="AA112" s="153"/>
      <c r="AB112" s="154">
        <f t="shared" si="19"/>
        <v>0</v>
      </c>
      <c r="AC112" s="149">
        <f t="shared" si="20"/>
        <v>0</v>
      </c>
      <c r="AD112" s="125">
        <v>2</v>
      </c>
      <c r="AE112" s="148">
        <f t="shared" si="21"/>
        <v>2</v>
      </c>
      <c r="AF112" s="156"/>
      <c r="AG112" s="156"/>
      <c r="AH112" s="113">
        <f t="shared" si="22"/>
        <v>17</v>
      </c>
      <c r="AI112" s="157">
        <v>65</v>
      </c>
      <c r="AJ112" s="113">
        <f t="shared" si="23"/>
        <v>82</v>
      </c>
      <c r="AK112" s="113">
        <f t="shared" si="24"/>
        <v>82</v>
      </c>
      <c r="AL112" s="158">
        <f t="shared" si="25"/>
        <v>1.02</v>
      </c>
      <c r="AM112" s="159"/>
      <c r="AN112" s="160">
        <f t="shared" si="30"/>
        <v>1</v>
      </c>
      <c r="AO112" s="160">
        <f t="shared" si="30"/>
        <v>2</v>
      </c>
      <c r="AP112" s="133"/>
      <c r="AQ112" s="134"/>
      <c r="AR112" s="161"/>
      <c r="AS112" s="161"/>
      <c r="AT112" s="161"/>
      <c r="AU112" s="161"/>
      <c r="AV112" s="162"/>
      <c r="AW112" s="137">
        <f t="shared" si="26"/>
        <v>0</v>
      </c>
      <c r="AX112" s="137">
        <f t="shared" si="27"/>
        <v>0</v>
      </c>
    </row>
    <row r="113" ht="46.5" customHeight="1" spans="1:50" s="97" customFormat="1" x14ac:dyDescent="0.25">
      <c r="A113" s="100"/>
      <c r="B113" s="100"/>
      <c r="C113" s="100"/>
      <c r="D113" s="100"/>
      <c r="E113" s="100"/>
      <c r="F113" s="100"/>
      <c r="G113" s="103"/>
      <c r="H113" s="186"/>
      <c r="I113" s="195">
        <v>0.51</v>
      </c>
      <c r="J113" s="107">
        <v>0.49</v>
      </c>
      <c r="K113" s="107"/>
      <c r="L113" s="107"/>
      <c r="M113" s="187"/>
      <c r="N113" s="169">
        <f t="shared" si="29"/>
        <v>1</v>
      </c>
      <c r="O113" s="144">
        <v>1</v>
      </c>
      <c r="P113" s="145">
        <v>15</v>
      </c>
      <c r="Q113" s="113">
        <v>15</v>
      </c>
      <c r="R113" s="113"/>
      <c r="S113" s="113"/>
      <c r="T113" s="146"/>
      <c r="U113" s="148">
        <f t="shared" si="17"/>
        <v>15</v>
      </c>
      <c r="V113" s="149">
        <f t="shared" si="18"/>
        <v>15</v>
      </c>
      <c r="W113" s="189"/>
      <c r="X113" s="199"/>
      <c r="Y113" s="151"/>
      <c r="Z113" s="190"/>
      <c r="AA113" s="153"/>
      <c r="AB113" s="154">
        <f t="shared" si="19"/>
        <v>0</v>
      </c>
      <c r="AC113" s="149">
        <f t="shared" si="20"/>
        <v>0</v>
      </c>
      <c r="AD113" s="125">
        <v>2</v>
      </c>
      <c r="AE113" s="148">
        <f t="shared" si="21"/>
        <v>2</v>
      </c>
      <c r="AF113" s="156"/>
      <c r="AG113" s="156"/>
      <c r="AH113" s="113">
        <f t="shared" si="22"/>
        <v>17</v>
      </c>
      <c r="AI113" s="157">
        <v>65</v>
      </c>
      <c r="AJ113" s="113">
        <f t="shared" si="23"/>
        <v>82</v>
      </c>
      <c r="AK113" s="113">
        <f t="shared" si="24"/>
        <v>82</v>
      </c>
      <c r="AL113" s="158">
        <f t="shared" si="25"/>
        <v>1.02</v>
      </c>
      <c r="AM113" s="159"/>
      <c r="AN113" s="160">
        <f t="shared" si="30"/>
        <v>1</v>
      </c>
      <c r="AO113" s="160">
        <f t="shared" si="30"/>
        <v>2</v>
      </c>
      <c r="AP113" s="133"/>
      <c r="AQ113" s="134"/>
      <c r="AR113" s="161"/>
      <c r="AS113" s="161"/>
      <c r="AT113" s="161"/>
      <c r="AU113" s="161"/>
      <c r="AV113" s="162"/>
      <c r="AW113" s="137">
        <f t="shared" si="26"/>
        <v>0</v>
      </c>
      <c r="AX113" s="137">
        <f t="shared" si="27"/>
        <v>0</v>
      </c>
    </row>
    <row r="114" ht="53.25" customHeight="1" spans="1:50" s="97" customFormat="1" x14ac:dyDescent="0.25">
      <c r="A114" s="100"/>
      <c r="B114" s="100"/>
      <c r="C114" s="100"/>
      <c r="D114" s="100"/>
      <c r="E114" s="100"/>
      <c r="F114" s="100"/>
      <c r="G114" s="103"/>
      <c r="H114" s="186"/>
      <c r="I114" s="195">
        <v>0.51</v>
      </c>
      <c r="J114" s="107">
        <v>0.49</v>
      </c>
      <c r="K114" s="107"/>
      <c r="L114" s="107"/>
      <c r="M114" s="187"/>
      <c r="N114" s="169">
        <f t="shared" si="29"/>
        <v>1</v>
      </c>
      <c r="O114" s="144">
        <v>1</v>
      </c>
      <c r="P114" s="145">
        <v>15</v>
      </c>
      <c r="Q114" s="113">
        <v>15</v>
      </c>
      <c r="R114" s="113"/>
      <c r="S114" s="113"/>
      <c r="T114" s="146"/>
      <c r="U114" s="148">
        <f t="shared" si="17"/>
        <v>15</v>
      </c>
      <c r="V114" s="149">
        <f t="shared" si="18"/>
        <v>15</v>
      </c>
      <c r="W114" s="189"/>
      <c r="X114" s="199"/>
      <c r="Y114" s="151"/>
      <c r="Z114" s="190"/>
      <c r="AA114" s="153"/>
      <c r="AB114" s="154">
        <f t="shared" si="19"/>
        <v>0</v>
      </c>
      <c r="AC114" s="149">
        <f t="shared" si="20"/>
        <v>0</v>
      </c>
      <c r="AD114" s="125">
        <v>2</v>
      </c>
      <c r="AE114" s="148">
        <f t="shared" si="21"/>
        <v>2</v>
      </c>
      <c r="AF114" s="156"/>
      <c r="AG114" s="156"/>
      <c r="AH114" s="113">
        <f t="shared" si="22"/>
        <v>17</v>
      </c>
      <c r="AI114" s="157">
        <v>65</v>
      </c>
      <c r="AJ114" s="113">
        <f t="shared" si="23"/>
        <v>82</v>
      </c>
      <c r="AK114" s="113">
        <f t="shared" si="24"/>
        <v>82</v>
      </c>
      <c r="AL114" s="158">
        <f t="shared" si="25"/>
        <v>1.02</v>
      </c>
      <c r="AM114" s="159"/>
      <c r="AN114" s="160">
        <f t="shared" si="30"/>
        <v>1</v>
      </c>
      <c r="AO114" s="160">
        <f t="shared" si="30"/>
        <v>2</v>
      </c>
      <c r="AP114" s="133"/>
      <c r="AQ114" s="134"/>
      <c r="AR114" s="161"/>
      <c r="AS114" s="161"/>
      <c r="AT114" s="161"/>
      <c r="AU114" s="161"/>
      <c r="AV114" s="162"/>
      <c r="AW114" s="137">
        <f t="shared" si="26"/>
        <v>0</v>
      </c>
      <c r="AX114" s="137">
        <f t="shared" si="27"/>
        <v>0</v>
      </c>
    </row>
    <row r="115" ht="46.5" customHeight="1" spans="1:50" s="97" customFormat="1" x14ac:dyDescent="0.25">
      <c r="A115" s="100"/>
      <c r="B115" s="100"/>
      <c r="C115" s="100"/>
      <c r="D115" s="100"/>
      <c r="E115" s="100"/>
      <c r="F115" s="100"/>
      <c r="G115" s="103"/>
      <c r="H115" s="186"/>
      <c r="I115" s="195">
        <v>0.51</v>
      </c>
      <c r="J115" s="107">
        <v>0.49</v>
      </c>
      <c r="K115" s="107"/>
      <c r="L115" s="107"/>
      <c r="M115" s="187"/>
      <c r="N115" s="169">
        <f t="shared" si="29"/>
        <v>1</v>
      </c>
      <c r="O115" s="144">
        <v>1</v>
      </c>
      <c r="P115" s="145">
        <v>15</v>
      </c>
      <c r="Q115" s="113">
        <v>15</v>
      </c>
      <c r="R115" s="113"/>
      <c r="S115" s="113"/>
      <c r="T115" s="146"/>
      <c r="U115" s="148">
        <f t="shared" si="17"/>
        <v>15</v>
      </c>
      <c r="V115" s="149">
        <f t="shared" si="18"/>
        <v>15</v>
      </c>
      <c r="W115" s="189"/>
      <c r="X115" s="199"/>
      <c r="Y115" s="151"/>
      <c r="Z115" s="190"/>
      <c r="AA115" s="153"/>
      <c r="AB115" s="154">
        <f t="shared" si="19"/>
        <v>0</v>
      </c>
      <c r="AC115" s="149">
        <f t="shared" si="20"/>
        <v>0</v>
      </c>
      <c r="AD115" s="125">
        <v>2</v>
      </c>
      <c r="AE115" s="148">
        <f t="shared" si="21"/>
        <v>2</v>
      </c>
      <c r="AF115" s="156"/>
      <c r="AG115" s="156"/>
      <c r="AH115" s="113">
        <f t="shared" si="22"/>
        <v>17</v>
      </c>
      <c r="AI115" s="157">
        <v>65</v>
      </c>
      <c r="AJ115" s="113">
        <f t="shared" si="23"/>
        <v>82</v>
      </c>
      <c r="AK115" s="113">
        <f t="shared" si="24"/>
        <v>82</v>
      </c>
      <c r="AL115" s="158">
        <f t="shared" si="25"/>
        <v>1.02</v>
      </c>
      <c r="AM115" s="159"/>
      <c r="AN115" s="160">
        <f t="shared" si="30"/>
        <v>1</v>
      </c>
      <c r="AO115" s="160">
        <f t="shared" si="30"/>
        <v>2</v>
      </c>
      <c r="AP115" s="133"/>
      <c r="AQ115" s="134"/>
      <c r="AR115" s="161"/>
      <c r="AS115" s="161"/>
      <c r="AT115" s="161"/>
      <c r="AU115" s="161"/>
      <c r="AV115" s="162"/>
      <c r="AW115" s="137">
        <f t="shared" si="26"/>
        <v>0</v>
      </c>
      <c r="AX115" s="137">
        <f t="shared" si="27"/>
        <v>0</v>
      </c>
    </row>
    <row r="116" ht="46.5" customHeight="1" spans="1:50" s="97" customFormat="1" x14ac:dyDescent="0.25">
      <c r="A116" s="100"/>
      <c r="B116" s="100"/>
      <c r="C116" s="100"/>
      <c r="D116" s="100"/>
      <c r="E116" s="100"/>
      <c r="F116" s="100"/>
      <c r="G116" s="103"/>
      <c r="H116" s="186"/>
      <c r="I116" s="195">
        <v>0.51</v>
      </c>
      <c r="J116" s="107">
        <v>0.49</v>
      </c>
      <c r="K116" s="107"/>
      <c r="L116" s="107"/>
      <c r="M116" s="187"/>
      <c r="N116" s="169">
        <f t="shared" si="29"/>
        <v>1</v>
      </c>
      <c r="O116" s="144">
        <v>1</v>
      </c>
      <c r="P116" s="145">
        <v>15</v>
      </c>
      <c r="Q116" s="113">
        <v>15</v>
      </c>
      <c r="R116" s="113"/>
      <c r="S116" s="113"/>
      <c r="T116" s="146"/>
      <c r="U116" s="148">
        <f t="shared" si="17"/>
        <v>15</v>
      </c>
      <c r="V116" s="149">
        <f t="shared" si="18"/>
        <v>15</v>
      </c>
      <c r="W116" s="189"/>
      <c r="X116" s="199"/>
      <c r="Y116" s="151"/>
      <c r="Z116" s="190"/>
      <c r="AA116" s="153"/>
      <c r="AB116" s="154">
        <f t="shared" si="19"/>
        <v>0</v>
      </c>
      <c r="AC116" s="149">
        <f t="shared" si="20"/>
        <v>0</v>
      </c>
      <c r="AD116" s="125">
        <v>2</v>
      </c>
      <c r="AE116" s="148">
        <f t="shared" si="21"/>
        <v>2</v>
      </c>
      <c r="AF116" s="156"/>
      <c r="AG116" s="156"/>
      <c r="AH116" s="113">
        <f t="shared" si="22"/>
        <v>17</v>
      </c>
      <c r="AI116" s="157">
        <v>65</v>
      </c>
      <c r="AJ116" s="113">
        <f t="shared" si="23"/>
        <v>82</v>
      </c>
      <c r="AK116" s="113">
        <f t="shared" si="24"/>
        <v>82</v>
      </c>
      <c r="AL116" s="158">
        <f t="shared" si="25"/>
        <v>1.02</v>
      </c>
      <c r="AM116" s="159"/>
      <c r="AN116" s="160">
        <f t="shared" si="30"/>
        <v>1</v>
      </c>
      <c r="AO116" s="160">
        <f t="shared" si="30"/>
        <v>2</v>
      </c>
      <c r="AP116" s="133"/>
      <c r="AQ116" s="134"/>
      <c r="AR116" s="161"/>
      <c r="AS116" s="161"/>
      <c r="AT116" s="161"/>
      <c r="AU116" s="161"/>
      <c r="AV116" s="162"/>
      <c r="AW116" s="137">
        <f t="shared" si="26"/>
        <v>0</v>
      </c>
      <c r="AX116" s="137">
        <f t="shared" si="27"/>
        <v>0</v>
      </c>
    </row>
    <row r="117" ht="46.5" customHeight="1" spans="1:50" s="97" customFormat="1" x14ac:dyDescent="0.25">
      <c r="A117" s="100"/>
      <c r="B117" s="100"/>
      <c r="C117" s="100"/>
      <c r="D117" s="100"/>
      <c r="E117" s="100"/>
      <c r="F117" s="100"/>
      <c r="G117" s="103"/>
      <c r="H117" s="186"/>
      <c r="I117" s="195">
        <v>0.51</v>
      </c>
      <c r="J117" s="107">
        <v>0.49</v>
      </c>
      <c r="K117" s="107"/>
      <c r="L117" s="107"/>
      <c r="M117" s="187"/>
      <c r="N117" s="169">
        <f t="shared" si="29"/>
        <v>1</v>
      </c>
      <c r="O117" s="144">
        <v>1</v>
      </c>
      <c r="P117" s="145">
        <v>15</v>
      </c>
      <c r="Q117" s="113">
        <v>15</v>
      </c>
      <c r="R117" s="113"/>
      <c r="S117" s="113"/>
      <c r="T117" s="146"/>
      <c r="U117" s="148">
        <f t="shared" si="17"/>
        <v>15</v>
      </c>
      <c r="V117" s="149">
        <f t="shared" si="18"/>
        <v>15</v>
      </c>
      <c r="W117" s="189"/>
      <c r="X117" s="199"/>
      <c r="Y117" s="151"/>
      <c r="Z117" s="190"/>
      <c r="AA117" s="153"/>
      <c r="AB117" s="154">
        <f t="shared" si="19"/>
        <v>0</v>
      </c>
      <c r="AC117" s="149">
        <f t="shared" si="20"/>
        <v>0</v>
      </c>
      <c r="AD117" s="125">
        <v>2</v>
      </c>
      <c r="AE117" s="148">
        <f t="shared" si="21"/>
        <v>2</v>
      </c>
      <c r="AF117" s="156"/>
      <c r="AG117" s="156"/>
      <c r="AH117" s="113">
        <f t="shared" si="22"/>
        <v>17</v>
      </c>
      <c r="AI117" s="157">
        <v>65</v>
      </c>
      <c r="AJ117" s="113">
        <f t="shared" si="23"/>
        <v>82</v>
      </c>
      <c r="AK117" s="113">
        <f t="shared" si="24"/>
        <v>82</v>
      </c>
      <c r="AL117" s="158">
        <f t="shared" si="25"/>
        <v>1.02</v>
      </c>
      <c r="AM117" s="159"/>
      <c r="AN117" s="160">
        <f t="shared" si="30"/>
        <v>1</v>
      </c>
      <c r="AO117" s="160">
        <f t="shared" si="30"/>
        <v>2</v>
      </c>
      <c r="AP117" s="133"/>
      <c r="AQ117" s="134"/>
      <c r="AR117" s="161"/>
      <c r="AS117" s="161"/>
      <c r="AT117" s="161"/>
      <c r="AU117" s="161"/>
      <c r="AV117" s="162"/>
      <c r="AW117" s="137">
        <f t="shared" si="26"/>
        <v>0</v>
      </c>
      <c r="AX117" s="137">
        <f t="shared" si="27"/>
        <v>0</v>
      </c>
    </row>
    <row r="118" ht="47.25" customHeight="1" spans="1:50" s="56" customFormat="1" x14ac:dyDescent="0.25">
      <c r="A118" s="100"/>
      <c r="B118" s="100"/>
      <c r="C118" s="100"/>
      <c r="D118" s="100"/>
      <c r="E118" s="100"/>
      <c r="F118" s="100"/>
      <c r="G118" s="103"/>
      <c r="H118" s="186"/>
      <c r="I118" s="195">
        <v>0.51</v>
      </c>
      <c r="J118" s="107">
        <v>0.49</v>
      </c>
      <c r="K118" s="107"/>
      <c r="L118" s="107"/>
      <c r="M118" s="187"/>
      <c r="N118" s="169">
        <f t="shared" si="29"/>
        <v>1</v>
      </c>
      <c r="O118" s="144">
        <v>1</v>
      </c>
      <c r="P118" s="145">
        <v>15</v>
      </c>
      <c r="Q118" s="113">
        <v>15</v>
      </c>
      <c r="R118" s="113"/>
      <c r="S118" s="113"/>
      <c r="T118" s="146"/>
      <c r="U118" s="148">
        <f t="shared" si="17"/>
        <v>15</v>
      </c>
      <c r="V118" s="149">
        <f t="shared" si="18"/>
        <v>15</v>
      </c>
      <c r="W118" s="189"/>
      <c r="X118" s="199"/>
      <c r="Y118" s="151"/>
      <c r="Z118" s="190"/>
      <c r="AA118" s="153"/>
      <c r="AB118" s="154">
        <f t="shared" si="19"/>
        <v>0</v>
      </c>
      <c r="AC118" s="149">
        <f t="shared" si="20"/>
        <v>0</v>
      </c>
      <c r="AD118" s="125">
        <v>2</v>
      </c>
      <c r="AE118" s="148">
        <f t="shared" si="21"/>
        <v>2</v>
      </c>
      <c r="AF118" s="156"/>
      <c r="AG118" s="156"/>
      <c r="AH118" s="113">
        <f t="shared" si="22"/>
        <v>17</v>
      </c>
      <c r="AI118" s="157">
        <v>65</v>
      </c>
      <c r="AJ118" s="113">
        <f t="shared" si="23"/>
        <v>82</v>
      </c>
      <c r="AK118" s="113">
        <f t="shared" si="24"/>
        <v>82</v>
      </c>
      <c r="AL118" s="158">
        <f t="shared" si="25"/>
        <v>1.02</v>
      </c>
      <c r="AM118" s="159"/>
      <c r="AN118" s="160">
        <f t="shared" si="30"/>
        <v>1</v>
      </c>
      <c r="AO118" s="160">
        <f t="shared" si="30"/>
        <v>2</v>
      </c>
      <c r="AP118" s="133"/>
      <c r="AQ118" s="134"/>
      <c r="AR118" s="161"/>
      <c r="AS118" s="161"/>
      <c r="AT118" s="161"/>
      <c r="AU118" s="161"/>
      <c r="AV118" s="162"/>
      <c r="AW118" s="137">
        <f t="shared" si="26"/>
        <v>0</v>
      </c>
      <c r="AX118" s="137">
        <f t="shared" si="27"/>
        <v>0</v>
      </c>
    </row>
    <row r="119" ht="47.25" customHeight="1" spans="1:50" s="56" customFormat="1" x14ac:dyDescent="0.25">
      <c r="A119" s="100"/>
      <c r="B119" s="100"/>
      <c r="C119" s="100"/>
      <c r="D119" s="100"/>
      <c r="E119" s="100"/>
      <c r="F119" s="100"/>
      <c r="G119" s="103"/>
      <c r="H119" s="186"/>
      <c r="I119" s="195">
        <v>0.51</v>
      </c>
      <c r="J119" s="107">
        <v>0.49</v>
      </c>
      <c r="K119" s="107"/>
      <c r="L119" s="107"/>
      <c r="M119" s="187"/>
      <c r="N119" s="169">
        <f t="shared" si="29"/>
        <v>1</v>
      </c>
      <c r="O119" s="144">
        <v>1</v>
      </c>
      <c r="P119" s="145">
        <v>15</v>
      </c>
      <c r="Q119" s="113">
        <v>15</v>
      </c>
      <c r="R119" s="113"/>
      <c r="S119" s="113"/>
      <c r="T119" s="146"/>
      <c r="U119" s="148">
        <f t="shared" si="17"/>
        <v>15</v>
      </c>
      <c r="V119" s="149">
        <f t="shared" si="18"/>
        <v>15</v>
      </c>
      <c r="W119" s="189"/>
      <c r="X119" s="199"/>
      <c r="Y119" s="151"/>
      <c r="Z119" s="190"/>
      <c r="AA119" s="153"/>
      <c r="AB119" s="154">
        <f t="shared" si="19"/>
        <v>0</v>
      </c>
      <c r="AC119" s="149">
        <f t="shared" si="20"/>
        <v>0</v>
      </c>
      <c r="AD119" s="125">
        <v>2</v>
      </c>
      <c r="AE119" s="148">
        <f t="shared" si="21"/>
        <v>2</v>
      </c>
      <c r="AF119" s="156"/>
      <c r="AG119" s="156"/>
      <c r="AH119" s="113">
        <f t="shared" si="22"/>
        <v>17</v>
      </c>
      <c r="AI119" s="157">
        <v>65</v>
      </c>
      <c r="AJ119" s="113">
        <f t="shared" si="23"/>
        <v>82</v>
      </c>
      <c r="AK119" s="113">
        <f t="shared" si="24"/>
        <v>82</v>
      </c>
      <c r="AL119" s="158">
        <f t="shared" si="25"/>
        <v>1.02</v>
      </c>
      <c r="AM119" s="159"/>
      <c r="AN119" s="160">
        <f t="shared" si="30"/>
        <v>1</v>
      </c>
      <c r="AO119" s="160">
        <f t="shared" si="30"/>
        <v>2</v>
      </c>
      <c r="AP119" s="133"/>
      <c r="AQ119" s="134"/>
      <c r="AR119" s="161"/>
      <c r="AS119" s="161"/>
      <c r="AT119" s="161"/>
      <c r="AU119" s="161"/>
      <c r="AV119" s="162"/>
      <c r="AW119" s="137">
        <f t="shared" si="26"/>
        <v>0</v>
      </c>
      <c r="AX119" s="137">
        <f t="shared" si="27"/>
        <v>0</v>
      </c>
    </row>
    <row r="120" ht="46.5" customHeight="1" spans="1:50" s="97" customFormat="1" x14ac:dyDescent="0.25">
      <c r="A120" s="100"/>
      <c r="B120" s="100"/>
      <c r="C120" s="100"/>
      <c r="D120" s="100"/>
      <c r="E120" s="100"/>
      <c r="F120" s="100"/>
      <c r="G120" s="103"/>
      <c r="H120" s="186"/>
      <c r="I120" s="195">
        <v>0.51</v>
      </c>
      <c r="J120" s="107">
        <v>0.49</v>
      </c>
      <c r="K120" s="107"/>
      <c r="L120" s="107"/>
      <c r="M120" s="187"/>
      <c r="N120" s="169">
        <f t="shared" si="29"/>
        <v>1</v>
      </c>
      <c r="O120" s="144">
        <v>1</v>
      </c>
      <c r="P120" s="145">
        <v>15</v>
      </c>
      <c r="Q120" s="113">
        <v>15</v>
      </c>
      <c r="R120" s="113"/>
      <c r="S120" s="113"/>
      <c r="T120" s="146"/>
      <c r="U120" s="148">
        <f t="shared" si="17"/>
        <v>15</v>
      </c>
      <c r="V120" s="149">
        <f t="shared" si="18"/>
        <v>15</v>
      </c>
      <c r="W120" s="189"/>
      <c r="X120" s="199"/>
      <c r="Y120" s="151"/>
      <c r="Z120" s="190"/>
      <c r="AA120" s="153"/>
      <c r="AB120" s="154">
        <f t="shared" si="19"/>
        <v>0</v>
      </c>
      <c r="AC120" s="149">
        <f t="shared" si="20"/>
        <v>0</v>
      </c>
      <c r="AD120" s="125">
        <v>2</v>
      </c>
      <c r="AE120" s="148">
        <f t="shared" si="21"/>
        <v>2</v>
      </c>
      <c r="AF120" s="156"/>
      <c r="AG120" s="156"/>
      <c r="AH120" s="113">
        <f t="shared" si="22"/>
        <v>17</v>
      </c>
      <c r="AI120" s="157">
        <v>65</v>
      </c>
      <c r="AJ120" s="113">
        <f t="shared" si="23"/>
        <v>82</v>
      </c>
      <c r="AK120" s="113">
        <f t="shared" si="24"/>
        <v>82</v>
      </c>
      <c r="AL120" s="158">
        <f t="shared" si="25"/>
        <v>1.02</v>
      </c>
      <c r="AM120" s="159"/>
      <c r="AN120" s="160">
        <f t="shared" si="30"/>
        <v>1</v>
      </c>
      <c r="AO120" s="160">
        <f t="shared" si="30"/>
        <v>2</v>
      </c>
      <c r="AP120" s="133"/>
      <c r="AQ120" s="134"/>
      <c r="AR120" s="161"/>
      <c r="AS120" s="161"/>
      <c r="AT120" s="161"/>
      <c r="AU120" s="161"/>
      <c r="AV120" s="162"/>
      <c r="AW120" s="137">
        <f t="shared" si="26"/>
        <v>0</v>
      </c>
      <c r="AX120" s="137">
        <f t="shared" si="27"/>
        <v>0</v>
      </c>
    </row>
    <row r="121" ht="47.25" customHeight="1" spans="1:50" s="56" customFormat="1" x14ac:dyDescent="0.25">
      <c r="A121" s="100"/>
      <c r="B121" s="100"/>
      <c r="C121" s="100"/>
      <c r="D121" s="100"/>
      <c r="E121" s="100"/>
      <c r="F121" s="100"/>
      <c r="G121" s="103"/>
      <c r="H121" s="186"/>
      <c r="I121" s="195">
        <v>0.51</v>
      </c>
      <c r="J121" s="107">
        <v>0.49</v>
      </c>
      <c r="K121" s="107"/>
      <c r="L121" s="107"/>
      <c r="M121" s="187"/>
      <c r="N121" s="169">
        <f t="shared" si="29"/>
        <v>1</v>
      </c>
      <c r="O121" s="144">
        <v>1</v>
      </c>
      <c r="P121" s="145">
        <v>15</v>
      </c>
      <c r="Q121" s="113">
        <v>15</v>
      </c>
      <c r="R121" s="113"/>
      <c r="S121" s="113"/>
      <c r="T121" s="146"/>
      <c r="U121" s="148">
        <f t="shared" si="17"/>
        <v>15</v>
      </c>
      <c r="V121" s="149">
        <f t="shared" si="18"/>
        <v>15</v>
      </c>
      <c r="W121" s="189"/>
      <c r="X121" s="199"/>
      <c r="Y121" s="151"/>
      <c r="Z121" s="190"/>
      <c r="AA121" s="153"/>
      <c r="AB121" s="154">
        <f t="shared" si="19"/>
        <v>0</v>
      </c>
      <c r="AC121" s="149">
        <f t="shared" si="20"/>
        <v>0</v>
      </c>
      <c r="AD121" s="125">
        <v>2</v>
      </c>
      <c r="AE121" s="148">
        <f t="shared" si="21"/>
        <v>2</v>
      </c>
      <c r="AF121" s="156"/>
      <c r="AG121" s="156"/>
      <c r="AH121" s="113">
        <f t="shared" si="22"/>
        <v>17</v>
      </c>
      <c r="AI121" s="157">
        <v>65</v>
      </c>
      <c r="AJ121" s="113">
        <f t="shared" si="23"/>
        <v>82</v>
      </c>
      <c r="AK121" s="113">
        <f t="shared" si="24"/>
        <v>82</v>
      </c>
      <c r="AL121" s="158">
        <f t="shared" si="25"/>
        <v>1.02</v>
      </c>
      <c r="AM121" s="159"/>
      <c r="AN121" s="160">
        <f t="shared" si="30"/>
        <v>1</v>
      </c>
      <c r="AO121" s="160">
        <f t="shared" si="30"/>
        <v>2</v>
      </c>
      <c r="AP121" s="133"/>
      <c r="AQ121" s="134"/>
      <c r="AR121" s="161"/>
      <c r="AS121" s="161"/>
      <c r="AT121" s="161"/>
      <c r="AU121" s="161"/>
      <c r="AV121" s="162"/>
      <c r="AW121" s="137">
        <f t="shared" si="26"/>
        <v>0</v>
      </c>
      <c r="AX121" s="137">
        <f t="shared" si="27"/>
        <v>0</v>
      </c>
    </row>
    <row r="122" ht="47.25" customHeight="1" spans="1:50" s="97" customFormat="1" x14ac:dyDescent="0.25">
      <c r="A122" s="100"/>
      <c r="B122" s="100"/>
      <c r="C122" s="100"/>
      <c r="D122" s="100"/>
      <c r="E122" s="100"/>
      <c r="F122" s="100"/>
      <c r="G122" s="103"/>
      <c r="H122" s="186"/>
      <c r="I122" s="195">
        <v>0.51</v>
      </c>
      <c r="J122" s="107">
        <v>0.49</v>
      </c>
      <c r="K122" s="107"/>
      <c r="L122" s="107"/>
      <c r="M122" s="187"/>
      <c r="N122" s="169">
        <f t="shared" si="29"/>
        <v>1</v>
      </c>
      <c r="O122" s="144">
        <v>1</v>
      </c>
      <c r="P122" s="145">
        <v>15</v>
      </c>
      <c r="Q122" s="113">
        <v>15</v>
      </c>
      <c r="R122" s="113"/>
      <c r="S122" s="113"/>
      <c r="T122" s="146"/>
      <c r="U122" s="148">
        <f t="shared" si="17"/>
        <v>15</v>
      </c>
      <c r="V122" s="149">
        <f t="shared" si="18"/>
        <v>15</v>
      </c>
      <c r="W122" s="189"/>
      <c r="X122" s="199"/>
      <c r="Y122" s="151"/>
      <c r="Z122" s="190"/>
      <c r="AA122" s="153"/>
      <c r="AB122" s="154">
        <f t="shared" si="19"/>
        <v>0</v>
      </c>
      <c r="AC122" s="149">
        <f t="shared" si="20"/>
        <v>0</v>
      </c>
      <c r="AD122" s="125">
        <v>2</v>
      </c>
      <c r="AE122" s="148">
        <f t="shared" si="21"/>
        <v>2</v>
      </c>
      <c r="AF122" s="156"/>
      <c r="AG122" s="156"/>
      <c r="AH122" s="113">
        <f t="shared" si="22"/>
        <v>17</v>
      </c>
      <c r="AI122" s="157">
        <v>65</v>
      </c>
      <c r="AJ122" s="113">
        <f t="shared" si="23"/>
        <v>82</v>
      </c>
      <c r="AK122" s="113">
        <f t="shared" si="24"/>
        <v>82</v>
      </c>
      <c r="AL122" s="158">
        <f t="shared" si="25"/>
        <v>1.02</v>
      </c>
      <c r="AM122" s="159"/>
      <c r="AN122" s="160">
        <f t="shared" si="30"/>
        <v>1</v>
      </c>
      <c r="AO122" s="160">
        <f t="shared" si="30"/>
        <v>2</v>
      </c>
      <c r="AP122" s="133"/>
      <c r="AQ122" s="134"/>
      <c r="AR122" s="161"/>
      <c r="AS122" s="161"/>
      <c r="AT122" s="161"/>
      <c r="AU122" s="161"/>
      <c r="AV122" s="162"/>
      <c r="AW122" s="137">
        <f t="shared" si="26"/>
        <v>0</v>
      </c>
      <c r="AX122" s="137">
        <f t="shared" si="27"/>
        <v>0</v>
      </c>
    </row>
    <row r="123" ht="47.25" customHeight="1" spans="1:50" s="97" customFormat="1" x14ac:dyDescent="0.25">
      <c r="A123" s="100"/>
      <c r="B123" s="100"/>
      <c r="C123" s="100"/>
      <c r="D123" s="100"/>
      <c r="E123" s="100"/>
      <c r="F123" s="100"/>
      <c r="G123" s="103"/>
      <c r="H123" s="186"/>
      <c r="I123" s="195">
        <v>0.51</v>
      </c>
      <c r="J123" s="107">
        <v>0.49</v>
      </c>
      <c r="K123" s="107"/>
      <c r="L123" s="107"/>
      <c r="M123" s="187"/>
      <c r="N123" s="169">
        <f t="shared" si="29"/>
        <v>1</v>
      </c>
      <c r="O123" s="144">
        <v>1</v>
      </c>
      <c r="P123" s="145">
        <v>15</v>
      </c>
      <c r="Q123" s="113">
        <v>15</v>
      </c>
      <c r="R123" s="113"/>
      <c r="S123" s="113"/>
      <c r="T123" s="146"/>
      <c r="U123" s="148">
        <f t="shared" si="17"/>
        <v>15</v>
      </c>
      <c r="V123" s="149">
        <f t="shared" si="18"/>
        <v>15</v>
      </c>
      <c r="W123" s="189"/>
      <c r="X123" s="199"/>
      <c r="Y123" s="151"/>
      <c r="Z123" s="190"/>
      <c r="AA123" s="153"/>
      <c r="AB123" s="154">
        <f t="shared" si="19"/>
        <v>0</v>
      </c>
      <c r="AC123" s="149">
        <f t="shared" si="20"/>
        <v>0</v>
      </c>
      <c r="AD123" s="125">
        <v>2</v>
      </c>
      <c r="AE123" s="148">
        <f t="shared" si="21"/>
        <v>2</v>
      </c>
      <c r="AF123" s="156"/>
      <c r="AG123" s="156"/>
      <c r="AH123" s="113">
        <f t="shared" si="22"/>
        <v>17</v>
      </c>
      <c r="AI123" s="157">
        <v>65</v>
      </c>
      <c r="AJ123" s="113">
        <f t="shared" si="23"/>
        <v>82</v>
      </c>
      <c r="AK123" s="113">
        <f t="shared" si="24"/>
        <v>82</v>
      </c>
      <c r="AL123" s="158">
        <f t="shared" si="25"/>
        <v>1.02</v>
      </c>
      <c r="AM123" s="159"/>
      <c r="AN123" s="160">
        <f t="shared" si="30"/>
        <v>1</v>
      </c>
      <c r="AO123" s="160">
        <f t="shared" si="30"/>
        <v>2</v>
      </c>
      <c r="AP123" s="133"/>
      <c r="AQ123" s="134"/>
      <c r="AR123" s="161"/>
      <c r="AS123" s="161"/>
      <c r="AT123" s="161"/>
      <c r="AU123" s="161"/>
      <c r="AV123" s="162"/>
      <c r="AW123" s="137">
        <f t="shared" si="26"/>
        <v>0</v>
      </c>
      <c r="AX123" s="137">
        <f t="shared" si="27"/>
        <v>0</v>
      </c>
    </row>
    <row r="124" ht="46.5" customHeight="1" spans="1:50" s="97" customFormat="1" x14ac:dyDescent="0.25">
      <c r="A124" s="100"/>
      <c r="B124" s="100"/>
      <c r="C124" s="100"/>
      <c r="D124" s="100"/>
      <c r="E124" s="100"/>
      <c r="F124" s="100"/>
      <c r="G124" s="103"/>
      <c r="H124" s="186"/>
      <c r="I124" s="195">
        <v>0.51</v>
      </c>
      <c r="J124" s="107">
        <v>0.49</v>
      </c>
      <c r="K124" s="107"/>
      <c r="L124" s="107"/>
      <c r="M124" s="187"/>
      <c r="N124" s="169">
        <f t="shared" si="29"/>
        <v>1</v>
      </c>
      <c r="O124" s="144">
        <v>1</v>
      </c>
      <c r="P124" s="145">
        <v>15</v>
      </c>
      <c r="Q124" s="113">
        <v>15</v>
      </c>
      <c r="R124" s="113"/>
      <c r="S124" s="113"/>
      <c r="T124" s="146"/>
      <c r="U124" s="148">
        <f t="shared" si="17"/>
        <v>15</v>
      </c>
      <c r="V124" s="149">
        <f t="shared" si="18"/>
        <v>15</v>
      </c>
      <c r="W124" s="189"/>
      <c r="X124" s="199"/>
      <c r="Y124" s="151"/>
      <c r="Z124" s="190"/>
      <c r="AA124" s="153"/>
      <c r="AB124" s="154">
        <f t="shared" si="19"/>
        <v>0</v>
      </c>
      <c r="AC124" s="149">
        <f t="shared" si="20"/>
        <v>0</v>
      </c>
      <c r="AD124" s="125">
        <v>2</v>
      </c>
      <c r="AE124" s="148">
        <f t="shared" si="21"/>
        <v>2</v>
      </c>
      <c r="AF124" s="156"/>
      <c r="AG124" s="156"/>
      <c r="AH124" s="113">
        <f t="shared" si="22"/>
        <v>17</v>
      </c>
      <c r="AI124" s="157">
        <v>65</v>
      </c>
      <c r="AJ124" s="113">
        <f t="shared" si="23"/>
        <v>82</v>
      </c>
      <c r="AK124" s="113">
        <f t="shared" si="24"/>
        <v>82</v>
      </c>
      <c r="AL124" s="158">
        <f t="shared" si="25"/>
        <v>1.02</v>
      </c>
      <c r="AM124" s="159"/>
      <c r="AN124" s="160">
        <f t="shared" si="30"/>
        <v>1</v>
      </c>
      <c r="AO124" s="160">
        <f t="shared" si="30"/>
        <v>2</v>
      </c>
      <c r="AP124" s="133"/>
      <c r="AQ124" s="134"/>
      <c r="AR124" s="161"/>
      <c r="AS124" s="161"/>
      <c r="AT124" s="161"/>
      <c r="AU124" s="161"/>
      <c r="AV124" s="162"/>
      <c r="AW124" s="137">
        <f t="shared" si="26"/>
        <v>0</v>
      </c>
      <c r="AX124" s="137">
        <f t="shared" si="27"/>
        <v>0</v>
      </c>
    </row>
    <row r="125" ht="46.5" customHeight="1" spans="1:50" s="97" customFormat="1" x14ac:dyDescent="0.25">
      <c r="A125" s="100"/>
      <c r="B125" s="100"/>
      <c r="C125" s="100"/>
      <c r="D125" s="100"/>
      <c r="E125" s="100"/>
      <c r="F125" s="100"/>
      <c r="G125" s="103"/>
      <c r="H125" s="186"/>
      <c r="I125" s="195">
        <v>0.51</v>
      </c>
      <c r="J125" s="107">
        <v>0.49</v>
      </c>
      <c r="K125" s="107"/>
      <c r="L125" s="107"/>
      <c r="M125" s="187"/>
      <c r="N125" s="169">
        <f t="shared" si="29"/>
        <v>1</v>
      </c>
      <c r="O125" s="144">
        <v>1</v>
      </c>
      <c r="P125" s="145">
        <v>15</v>
      </c>
      <c r="Q125" s="113">
        <v>15</v>
      </c>
      <c r="R125" s="113"/>
      <c r="S125" s="113"/>
      <c r="T125" s="146"/>
      <c r="U125" s="148">
        <f t="shared" si="17"/>
        <v>15</v>
      </c>
      <c r="V125" s="149">
        <f t="shared" si="18"/>
        <v>15</v>
      </c>
      <c r="W125" s="189"/>
      <c r="X125" s="199"/>
      <c r="Y125" s="151"/>
      <c r="Z125" s="190"/>
      <c r="AA125" s="153"/>
      <c r="AB125" s="154">
        <f t="shared" si="19"/>
        <v>0</v>
      </c>
      <c r="AC125" s="149">
        <f t="shared" si="20"/>
        <v>0</v>
      </c>
      <c r="AD125" s="125">
        <v>2</v>
      </c>
      <c r="AE125" s="148">
        <f t="shared" si="21"/>
        <v>2</v>
      </c>
      <c r="AF125" s="156"/>
      <c r="AG125" s="156"/>
      <c r="AH125" s="113">
        <f t="shared" si="22"/>
        <v>17</v>
      </c>
      <c r="AI125" s="157">
        <v>65</v>
      </c>
      <c r="AJ125" s="113">
        <f t="shared" si="23"/>
        <v>82</v>
      </c>
      <c r="AK125" s="113">
        <f t="shared" si="24"/>
        <v>82</v>
      </c>
      <c r="AL125" s="158">
        <f t="shared" si="25"/>
        <v>1.02</v>
      </c>
      <c r="AM125" s="159"/>
      <c r="AN125" s="160">
        <f t="shared" si="30"/>
        <v>1</v>
      </c>
      <c r="AO125" s="160">
        <f t="shared" si="30"/>
        <v>2</v>
      </c>
      <c r="AP125" s="133"/>
      <c r="AQ125" s="134"/>
      <c r="AR125" s="161"/>
      <c r="AS125" s="161"/>
      <c r="AT125" s="161"/>
      <c r="AU125" s="161"/>
      <c r="AV125" s="162"/>
      <c r="AW125" s="137">
        <f t="shared" si="26"/>
        <v>0</v>
      </c>
      <c r="AX125" s="137">
        <f t="shared" si="27"/>
        <v>0</v>
      </c>
    </row>
    <row r="126" ht="47.25" customHeight="1" spans="1:50" s="56" customFormat="1" x14ac:dyDescent="0.25">
      <c r="A126" s="100"/>
      <c r="B126" s="100"/>
      <c r="C126" s="100"/>
      <c r="D126" s="100"/>
      <c r="E126" s="100"/>
      <c r="F126" s="100"/>
      <c r="G126" s="103"/>
      <c r="H126" s="186"/>
      <c r="I126" s="195">
        <v>0.51</v>
      </c>
      <c r="J126" s="107">
        <v>0.49</v>
      </c>
      <c r="K126" s="107"/>
      <c r="L126" s="107"/>
      <c r="M126" s="187"/>
      <c r="N126" s="169">
        <f t="shared" si="29"/>
        <v>1</v>
      </c>
      <c r="O126" s="144">
        <v>1</v>
      </c>
      <c r="P126" s="145">
        <v>15</v>
      </c>
      <c r="Q126" s="113">
        <v>15</v>
      </c>
      <c r="R126" s="113"/>
      <c r="S126" s="113"/>
      <c r="T126" s="146"/>
      <c r="U126" s="148">
        <f t="shared" si="17"/>
        <v>15</v>
      </c>
      <c r="V126" s="149">
        <f t="shared" si="18"/>
        <v>15</v>
      </c>
      <c r="W126" s="189"/>
      <c r="X126" s="199"/>
      <c r="Y126" s="151"/>
      <c r="Z126" s="190"/>
      <c r="AA126" s="153"/>
      <c r="AB126" s="154">
        <f t="shared" si="19"/>
        <v>0</v>
      </c>
      <c r="AC126" s="149">
        <f t="shared" si="20"/>
        <v>0</v>
      </c>
      <c r="AD126" s="125">
        <v>2</v>
      </c>
      <c r="AE126" s="148">
        <f t="shared" si="21"/>
        <v>2</v>
      </c>
      <c r="AF126" s="156"/>
      <c r="AG126" s="156"/>
      <c r="AH126" s="113">
        <f t="shared" si="22"/>
        <v>17</v>
      </c>
      <c r="AI126" s="157">
        <v>65</v>
      </c>
      <c r="AJ126" s="113">
        <f t="shared" si="23"/>
        <v>82</v>
      </c>
      <c r="AK126" s="113">
        <f t="shared" si="24"/>
        <v>82</v>
      </c>
      <c r="AL126" s="158">
        <f t="shared" si="25"/>
        <v>1.02</v>
      </c>
      <c r="AM126" s="159"/>
      <c r="AN126" s="160">
        <f t="shared" si="30"/>
        <v>1</v>
      </c>
      <c r="AO126" s="160">
        <f t="shared" si="30"/>
        <v>2</v>
      </c>
      <c r="AP126" s="133"/>
      <c r="AQ126" s="134"/>
      <c r="AR126" s="161"/>
      <c r="AS126" s="161"/>
      <c r="AT126" s="161"/>
      <c r="AU126" s="161"/>
      <c r="AV126" s="162"/>
      <c r="AW126" s="137">
        <f t="shared" si="26"/>
        <v>0</v>
      </c>
      <c r="AX126" s="137">
        <f t="shared" si="27"/>
        <v>0</v>
      </c>
    </row>
    <row r="127" ht="46.5" customHeight="1" spans="1:50" s="97" customFormat="1" x14ac:dyDescent="0.25">
      <c r="A127" s="100"/>
      <c r="B127" s="100"/>
      <c r="C127" s="100"/>
      <c r="D127" s="100"/>
      <c r="E127" s="100"/>
      <c r="F127" s="100"/>
      <c r="G127" s="103"/>
      <c r="H127" s="186"/>
      <c r="I127" s="195">
        <v>0.51</v>
      </c>
      <c r="J127" s="107">
        <v>0.49</v>
      </c>
      <c r="K127" s="107"/>
      <c r="L127" s="107"/>
      <c r="M127" s="187"/>
      <c r="N127" s="169">
        <f t="shared" si="29"/>
        <v>1</v>
      </c>
      <c r="O127" s="144">
        <v>1</v>
      </c>
      <c r="P127" s="145">
        <v>15</v>
      </c>
      <c r="Q127" s="113">
        <v>15</v>
      </c>
      <c r="R127" s="113"/>
      <c r="S127" s="113"/>
      <c r="T127" s="146"/>
      <c r="U127" s="148">
        <f t="shared" si="17"/>
        <v>15</v>
      </c>
      <c r="V127" s="149">
        <f t="shared" si="18"/>
        <v>15</v>
      </c>
      <c r="W127" s="189"/>
      <c r="X127" s="199"/>
      <c r="Y127" s="151"/>
      <c r="Z127" s="190"/>
      <c r="AA127" s="153"/>
      <c r="AB127" s="154">
        <f t="shared" si="19"/>
        <v>0</v>
      </c>
      <c r="AC127" s="149">
        <f t="shared" si="20"/>
        <v>0</v>
      </c>
      <c r="AD127" s="125">
        <v>2</v>
      </c>
      <c r="AE127" s="148">
        <f t="shared" si="21"/>
        <v>2</v>
      </c>
      <c r="AF127" s="156"/>
      <c r="AG127" s="156"/>
      <c r="AH127" s="113">
        <f t="shared" si="22"/>
        <v>17</v>
      </c>
      <c r="AI127" s="157">
        <v>65</v>
      </c>
      <c r="AJ127" s="113">
        <f t="shared" si="23"/>
        <v>82</v>
      </c>
      <c r="AK127" s="113">
        <f t="shared" si="24"/>
        <v>82</v>
      </c>
      <c r="AL127" s="158">
        <f t="shared" si="25"/>
        <v>1.02</v>
      </c>
      <c r="AM127" s="159"/>
      <c r="AN127" s="160">
        <f t="shared" si="30"/>
        <v>1</v>
      </c>
      <c r="AO127" s="160">
        <f t="shared" si="30"/>
        <v>2</v>
      </c>
      <c r="AP127" s="133"/>
      <c r="AQ127" s="134"/>
      <c r="AR127" s="161"/>
      <c r="AS127" s="161"/>
      <c r="AT127" s="161"/>
      <c r="AU127" s="161"/>
      <c r="AV127" s="162"/>
      <c r="AW127" s="137">
        <f t="shared" si="26"/>
        <v>0</v>
      </c>
      <c r="AX127" s="137">
        <f t="shared" si="27"/>
        <v>0</v>
      </c>
    </row>
    <row r="128" ht="47.25" customHeight="1" spans="1:50" s="56" customFormat="1" x14ac:dyDescent="0.25">
      <c r="A128" s="100"/>
      <c r="B128" s="100"/>
      <c r="C128" s="100"/>
      <c r="D128" s="100"/>
      <c r="E128" s="100"/>
      <c r="F128" s="100"/>
      <c r="G128" s="103"/>
      <c r="H128" s="186"/>
      <c r="I128" s="195">
        <v>0.51</v>
      </c>
      <c r="J128" s="107">
        <v>0.49</v>
      </c>
      <c r="K128" s="107"/>
      <c r="L128" s="107"/>
      <c r="M128" s="187"/>
      <c r="N128" s="169">
        <f t="shared" si="29"/>
        <v>1</v>
      </c>
      <c r="O128" s="144">
        <v>1</v>
      </c>
      <c r="P128" s="145">
        <v>15</v>
      </c>
      <c r="Q128" s="113">
        <v>15</v>
      </c>
      <c r="R128" s="113"/>
      <c r="S128" s="113"/>
      <c r="T128" s="146"/>
      <c r="U128" s="148">
        <f t="shared" si="17"/>
        <v>15</v>
      </c>
      <c r="V128" s="149">
        <f t="shared" si="18"/>
        <v>15</v>
      </c>
      <c r="W128" s="189"/>
      <c r="X128" s="199"/>
      <c r="Y128" s="151"/>
      <c r="Z128" s="190"/>
      <c r="AA128" s="153"/>
      <c r="AB128" s="154">
        <f t="shared" si="19"/>
        <v>0</v>
      </c>
      <c r="AC128" s="149">
        <f t="shared" si="20"/>
        <v>0</v>
      </c>
      <c r="AD128" s="125">
        <v>2</v>
      </c>
      <c r="AE128" s="148">
        <f t="shared" si="21"/>
        <v>2</v>
      </c>
      <c r="AF128" s="156"/>
      <c r="AG128" s="156"/>
      <c r="AH128" s="113">
        <f t="shared" si="22"/>
        <v>17</v>
      </c>
      <c r="AI128" s="157">
        <v>65</v>
      </c>
      <c r="AJ128" s="113">
        <f t="shared" si="23"/>
        <v>82</v>
      </c>
      <c r="AK128" s="113">
        <f t="shared" si="24"/>
        <v>82</v>
      </c>
      <c r="AL128" s="158">
        <f t="shared" si="25"/>
        <v>1.02</v>
      </c>
      <c r="AM128" s="159"/>
      <c r="AN128" s="160">
        <f t="shared" si="30"/>
        <v>1</v>
      </c>
      <c r="AO128" s="160">
        <f t="shared" si="30"/>
        <v>2</v>
      </c>
      <c r="AP128" s="133"/>
      <c r="AQ128" s="134"/>
      <c r="AR128" s="161"/>
      <c r="AS128" s="161"/>
      <c r="AT128" s="161"/>
      <c r="AU128" s="161"/>
      <c r="AV128" s="162"/>
      <c r="AW128" s="137">
        <f t="shared" si="26"/>
        <v>0</v>
      </c>
      <c r="AX128" s="137">
        <f t="shared" si="27"/>
        <v>0</v>
      </c>
    </row>
    <row r="129" ht="46.5" customHeight="1" spans="1:50" s="97" customFormat="1" x14ac:dyDescent="0.25">
      <c r="A129" s="100"/>
      <c r="B129" s="100"/>
      <c r="C129" s="100"/>
      <c r="D129" s="100"/>
      <c r="E129" s="100"/>
      <c r="F129" s="100"/>
      <c r="G129" s="103"/>
      <c r="H129" s="186"/>
      <c r="I129" s="195">
        <v>0.51</v>
      </c>
      <c r="J129" s="107">
        <v>0.49</v>
      </c>
      <c r="K129" s="107"/>
      <c r="L129" s="107"/>
      <c r="M129" s="187"/>
      <c r="N129" s="169">
        <f t="shared" si="29"/>
        <v>1</v>
      </c>
      <c r="O129" s="144">
        <v>1</v>
      </c>
      <c r="P129" s="145">
        <v>15</v>
      </c>
      <c r="Q129" s="113">
        <v>15</v>
      </c>
      <c r="R129" s="113"/>
      <c r="S129" s="113"/>
      <c r="T129" s="146"/>
      <c r="U129" s="148">
        <f t="shared" si="17"/>
        <v>15</v>
      </c>
      <c r="V129" s="149">
        <f t="shared" si="18"/>
        <v>15</v>
      </c>
      <c r="W129" s="189"/>
      <c r="X129" s="199"/>
      <c r="Y129" s="151"/>
      <c r="Z129" s="190"/>
      <c r="AA129" s="153"/>
      <c r="AB129" s="154">
        <f t="shared" si="19"/>
        <v>0</v>
      </c>
      <c r="AC129" s="149">
        <f t="shared" si="20"/>
        <v>0</v>
      </c>
      <c r="AD129" s="125">
        <v>2</v>
      </c>
      <c r="AE129" s="148">
        <f t="shared" si="21"/>
        <v>2</v>
      </c>
      <c r="AF129" s="156"/>
      <c r="AG129" s="156"/>
      <c r="AH129" s="113">
        <f t="shared" si="22"/>
        <v>17</v>
      </c>
      <c r="AI129" s="157">
        <v>65</v>
      </c>
      <c r="AJ129" s="113">
        <f t="shared" si="23"/>
        <v>82</v>
      </c>
      <c r="AK129" s="113">
        <f t="shared" si="24"/>
        <v>82</v>
      </c>
      <c r="AL129" s="158">
        <f t="shared" si="25"/>
        <v>1.02</v>
      </c>
      <c r="AM129" s="159"/>
      <c r="AN129" s="160">
        <f t="shared" si="30"/>
        <v>1</v>
      </c>
      <c r="AO129" s="160">
        <f t="shared" si="30"/>
        <v>2</v>
      </c>
      <c r="AP129" s="133"/>
      <c r="AQ129" s="134"/>
      <c r="AR129" s="161"/>
      <c r="AS129" s="161"/>
      <c r="AT129" s="161"/>
      <c r="AU129" s="161"/>
      <c r="AV129" s="162"/>
      <c r="AW129" s="137">
        <f t="shared" si="26"/>
        <v>0</v>
      </c>
      <c r="AX129" s="137">
        <f t="shared" si="27"/>
        <v>0</v>
      </c>
    </row>
    <row r="130" ht="46.5" customHeight="1" spans="1:50" s="97" customFormat="1" x14ac:dyDescent="0.25">
      <c r="A130" s="100"/>
      <c r="B130" s="100"/>
      <c r="C130" s="100"/>
      <c r="D130" s="100"/>
      <c r="E130" s="100"/>
      <c r="F130" s="100"/>
      <c r="G130" s="103"/>
      <c r="H130" s="186"/>
      <c r="I130" s="195">
        <v>0.51</v>
      </c>
      <c r="J130" s="107">
        <v>0.49</v>
      </c>
      <c r="K130" s="107"/>
      <c r="L130" s="107"/>
      <c r="M130" s="187"/>
      <c r="N130" s="169">
        <f t="shared" si="29"/>
        <v>1</v>
      </c>
      <c r="O130" s="144">
        <v>1</v>
      </c>
      <c r="P130" s="145">
        <v>15</v>
      </c>
      <c r="Q130" s="113">
        <v>15</v>
      </c>
      <c r="R130" s="113"/>
      <c r="S130" s="113"/>
      <c r="T130" s="146"/>
      <c r="U130" s="148">
        <f t="shared" si="17"/>
        <v>15</v>
      </c>
      <c r="V130" s="149">
        <f t="shared" si="18"/>
        <v>15</v>
      </c>
      <c r="W130" s="189"/>
      <c r="X130" s="199"/>
      <c r="Y130" s="151"/>
      <c r="Z130" s="190"/>
      <c r="AA130" s="153"/>
      <c r="AB130" s="154">
        <f t="shared" si="19"/>
        <v>0</v>
      </c>
      <c r="AC130" s="149">
        <f t="shared" si="20"/>
        <v>0</v>
      </c>
      <c r="AD130" s="125">
        <v>2</v>
      </c>
      <c r="AE130" s="148">
        <f t="shared" si="21"/>
        <v>2</v>
      </c>
      <c r="AF130" s="156"/>
      <c r="AG130" s="156"/>
      <c r="AH130" s="113">
        <f t="shared" si="22"/>
        <v>17</v>
      </c>
      <c r="AI130" s="157">
        <v>65</v>
      </c>
      <c r="AJ130" s="113">
        <f t="shared" si="23"/>
        <v>82</v>
      </c>
      <c r="AK130" s="113">
        <f t="shared" si="24"/>
        <v>82</v>
      </c>
      <c r="AL130" s="158">
        <f t="shared" si="25"/>
        <v>1.02</v>
      </c>
      <c r="AM130" s="159"/>
      <c r="AN130" s="160">
        <f t="shared" si="30"/>
        <v>1</v>
      </c>
      <c r="AO130" s="160">
        <f t="shared" si="30"/>
        <v>2</v>
      </c>
      <c r="AP130" s="133"/>
      <c r="AQ130" s="134"/>
      <c r="AR130" s="161"/>
      <c r="AS130" s="161"/>
      <c r="AT130" s="161"/>
      <c r="AU130" s="161"/>
      <c r="AV130" s="162"/>
      <c r="AW130" s="137">
        <f t="shared" si="26"/>
        <v>0</v>
      </c>
      <c r="AX130" s="137">
        <f t="shared" si="27"/>
        <v>0</v>
      </c>
    </row>
    <row r="131" ht="47.25" customHeight="1" spans="1:50" s="97" customFormat="1" x14ac:dyDescent="0.25">
      <c r="A131" s="100"/>
      <c r="B131" s="100"/>
      <c r="C131" s="100"/>
      <c r="D131" s="100"/>
      <c r="E131" s="100"/>
      <c r="F131" s="100"/>
      <c r="G131" s="103"/>
      <c r="H131" s="186"/>
      <c r="I131" s="195">
        <v>0.51</v>
      </c>
      <c r="J131" s="107">
        <v>0.49</v>
      </c>
      <c r="K131" s="107"/>
      <c r="L131" s="107"/>
      <c r="M131" s="187"/>
      <c r="N131" s="169">
        <f t="shared" si="29"/>
        <v>1</v>
      </c>
      <c r="O131" s="144">
        <v>1</v>
      </c>
      <c r="P131" s="145">
        <v>15</v>
      </c>
      <c r="Q131" s="113">
        <v>15</v>
      </c>
      <c r="R131" s="113"/>
      <c r="S131" s="113"/>
      <c r="T131" s="146"/>
      <c r="U131" s="148">
        <f t="shared" si="17"/>
        <v>15</v>
      </c>
      <c r="V131" s="149">
        <f t="shared" si="18"/>
        <v>15</v>
      </c>
      <c r="W131" s="189"/>
      <c r="X131" s="199"/>
      <c r="Y131" s="151"/>
      <c r="Z131" s="190"/>
      <c r="AA131" s="153"/>
      <c r="AB131" s="154">
        <f t="shared" si="19"/>
        <v>0</v>
      </c>
      <c r="AC131" s="149">
        <f t="shared" si="20"/>
        <v>0</v>
      </c>
      <c r="AD131" s="125">
        <v>2</v>
      </c>
      <c r="AE131" s="148">
        <f t="shared" si="21"/>
        <v>2</v>
      </c>
      <c r="AF131" s="156"/>
      <c r="AG131" s="156"/>
      <c r="AH131" s="113">
        <f t="shared" si="22"/>
        <v>17</v>
      </c>
      <c r="AI131" s="157">
        <v>65</v>
      </c>
      <c r="AJ131" s="113">
        <f t="shared" si="23"/>
        <v>82</v>
      </c>
      <c r="AK131" s="113">
        <f t="shared" si="24"/>
        <v>82</v>
      </c>
      <c r="AL131" s="158">
        <f t="shared" si="25"/>
        <v>1.02</v>
      </c>
      <c r="AM131" s="159"/>
      <c r="AN131" s="160">
        <f t="shared" ref="AN131:AO136" si="31">100%+AM131</f>
        <v>1</v>
      </c>
      <c r="AO131" s="160">
        <f t="shared" si="31"/>
        <v>2</v>
      </c>
      <c r="AP131" s="133"/>
      <c r="AQ131" s="134"/>
      <c r="AR131" s="161"/>
      <c r="AS131" s="161"/>
      <c r="AT131" s="161"/>
      <c r="AU131" s="161"/>
      <c r="AV131" s="162"/>
      <c r="AW131" s="137">
        <f t="shared" si="26"/>
        <v>0</v>
      </c>
      <c r="AX131" s="137">
        <f t="shared" si="27"/>
        <v>0</v>
      </c>
    </row>
    <row r="132" ht="47.25" customHeight="1" spans="1:50" s="56" customFormat="1" x14ac:dyDescent="0.25">
      <c r="A132" s="100"/>
      <c r="B132" s="100"/>
      <c r="C132" s="100"/>
      <c r="D132" s="100"/>
      <c r="E132" s="100"/>
      <c r="F132" s="100"/>
      <c r="G132" s="103"/>
      <c r="H132" s="186"/>
      <c r="I132" s="195">
        <v>0.51</v>
      </c>
      <c r="J132" s="107">
        <v>0.49</v>
      </c>
      <c r="K132" s="107"/>
      <c r="L132" s="107"/>
      <c r="M132" s="187"/>
      <c r="N132" s="169">
        <f t="shared" si="29"/>
        <v>1</v>
      </c>
      <c r="O132" s="144">
        <v>1</v>
      </c>
      <c r="P132" s="145">
        <v>15</v>
      </c>
      <c r="Q132" s="113">
        <v>15</v>
      </c>
      <c r="R132" s="113"/>
      <c r="S132" s="113"/>
      <c r="T132" s="146"/>
      <c r="U132" s="148">
        <f t="shared" si="17"/>
        <v>15</v>
      </c>
      <c r="V132" s="149">
        <f t="shared" si="18"/>
        <v>15</v>
      </c>
      <c r="W132" s="189"/>
      <c r="X132" s="199"/>
      <c r="Y132" s="151"/>
      <c r="Z132" s="190"/>
      <c r="AA132" s="153"/>
      <c r="AB132" s="154">
        <f t="shared" si="19"/>
        <v>0</v>
      </c>
      <c r="AC132" s="149">
        <f t="shared" si="20"/>
        <v>0</v>
      </c>
      <c r="AD132" s="125">
        <v>2</v>
      </c>
      <c r="AE132" s="148">
        <f t="shared" si="21"/>
        <v>2</v>
      </c>
      <c r="AF132" s="156"/>
      <c r="AG132" s="156"/>
      <c r="AH132" s="113">
        <f t="shared" si="22"/>
        <v>17</v>
      </c>
      <c r="AI132" s="157">
        <v>65</v>
      </c>
      <c r="AJ132" s="113">
        <f t="shared" si="23"/>
        <v>82</v>
      </c>
      <c r="AK132" s="113">
        <f t="shared" si="24"/>
        <v>82</v>
      </c>
      <c r="AL132" s="158">
        <f t="shared" si="25"/>
        <v>1.02</v>
      </c>
      <c r="AM132" s="159"/>
      <c r="AN132" s="160">
        <f t="shared" si="31"/>
        <v>1</v>
      </c>
      <c r="AO132" s="160">
        <f t="shared" si="31"/>
        <v>2</v>
      </c>
      <c r="AP132" s="133"/>
      <c r="AQ132" s="134"/>
      <c r="AR132" s="161"/>
      <c r="AS132" s="161"/>
      <c r="AT132" s="161"/>
      <c r="AU132" s="161"/>
      <c r="AV132" s="162"/>
      <c r="AW132" s="137">
        <f t="shared" si="26"/>
        <v>0</v>
      </c>
      <c r="AX132" s="137">
        <f t="shared" si="27"/>
        <v>0</v>
      </c>
    </row>
    <row r="133" ht="46.5" customHeight="1" spans="1:50" s="97" customFormat="1" x14ac:dyDescent="0.25">
      <c r="A133" s="100"/>
      <c r="B133" s="100"/>
      <c r="C133" s="100"/>
      <c r="D133" s="100"/>
      <c r="E133" s="100"/>
      <c r="F133" s="100"/>
      <c r="G133" s="103"/>
      <c r="H133" s="186"/>
      <c r="I133" s="195">
        <v>0.51</v>
      </c>
      <c r="J133" s="107">
        <v>0.49</v>
      </c>
      <c r="K133" s="107"/>
      <c r="L133" s="107"/>
      <c r="M133" s="187"/>
      <c r="N133" s="169">
        <f t="shared" si="29"/>
        <v>1</v>
      </c>
      <c r="O133" s="144">
        <v>1</v>
      </c>
      <c r="P133" s="145">
        <v>15</v>
      </c>
      <c r="Q133" s="113">
        <v>15</v>
      </c>
      <c r="R133" s="113"/>
      <c r="S133" s="113"/>
      <c r="T133" s="146"/>
      <c r="U133" s="148">
        <f t="shared" si="17"/>
        <v>15</v>
      </c>
      <c r="V133" s="149">
        <f t="shared" si="18"/>
        <v>15</v>
      </c>
      <c r="W133" s="189"/>
      <c r="X133" s="199"/>
      <c r="Y133" s="151"/>
      <c r="Z133" s="190"/>
      <c r="AA133" s="153"/>
      <c r="AB133" s="154">
        <f t="shared" si="19"/>
        <v>0</v>
      </c>
      <c r="AC133" s="149">
        <f t="shared" si="20"/>
        <v>0</v>
      </c>
      <c r="AD133" s="125">
        <v>2</v>
      </c>
      <c r="AE133" s="148">
        <f t="shared" si="21"/>
        <v>2</v>
      </c>
      <c r="AF133" s="156"/>
      <c r="AG133" s="156"/>
      <c r="AH133" s="113">
        <f t="shared" si="22"/>
        <v>17</v>
      </c>
      <c r="AI133" s="157">
        <v>65</v>
      </c>
      <c r="AJ133" s="113">
        <f t="shared" si="23"/>
        <v>82</v>
      </c>
      <c r="AK133" s="113">
        <f t="shared" si="24"/>
        <v>82</v>
      </c>
      <c r="AL133" s="158">
        <f t="shared" si="25"/>
        <v>1.02</v>
      </c>
      <c r="AM133" s="159"/>
      <c r="AN133" s="160">
        <f t="shared" si="31"/>
        <v>1</v>
      </c>
      <c r="AO133" s="160">
        <f t="shared" si="31"/>
        <v>2</v>
      </c>
      <c r="AP133" s="133"/>
      <c r="AQ133" s="134"/>
      <c r="AR133" s="161"/>
      <c r="AS133" s="161"/>
      <c r="AT133" s="161"/>
      <c r="AU133" s="161"/>
      <c r="AV133" s="162"/>
      <c r="AW133" s="137">
        <f t="shared" si="26"/>
        <v>0</v>
      </c>
      <c r="AX133" s="137">
        <f t="shared" si="27"/>
        <v>0</v>
      </c>
    </row>
    <row r="134" ht="47.25" customHeight="1" spans="1:50" s="56" customFormat="1" x14ac:dyDescent="0.25">
      <c r="A134" s="100"/>
      <c r="B134" s="100"/>
      <c r="C134" s="100"/>
      <c r="D134" s="100"/>
      <c r="E134" s="100"/>
      <c r="F134" s="100"/>
      <c r="G134" s="103"/>
      <c r="H134" s="186"/>
      <c r="I134" s="195">
        <v>0.51</v>
      </c>
      <c r="J134" s="107">
        <v>0.49</v>
      </c>
      <c r="K134" s="107"/>
      <c r="L134" s="107"/>
      <c r="M134" s="187"/>
      <c r="N134" s="169">
        <f t="shared" si="29"/>
        <v>1</v>
      </c>
      <c r="O134" s="144">
        <v>1</v>
      </c>
      <c r="P134" s="145">
        <v>15</v>
      </c>
      <c r="Q134" s="113">
        <v>15</v>
      </c>
      <c r="R134" s="113"/>
      <c r="S134" s="113"/>
      <c r="T134" s="146"/>
      <c r="U134" s="148">
        <f t="shared" si="17"/>
        <v>15</v>
      </c>
      <c r="V134" s="149">
        <f t="shared" si="18"/>
        <v>15</v>
      </c>
      <c r="W134" s="189"/>
      <c r="X134" s="199"/>
      <c r="Y134" s="151"/>
      <c r="Z134" s="190"/>
      <c r="AA134" s="153"/>
      <c r="AB134" s="154">
        <f t="shared" si="19"/>
        <v>0</v>
      </c>
      <c r="AC134" s="149">
        <f t="shared" si="20"/>
        <v>0</v>
      </c>
      <c r="AD134" s="125">
        <v>2</v>
      </c>
      <c r="AE134" s="148">
        <f t="shared" si="21"/>
        <v>2</v>
      </c>
      <c r="AF134" s="156"/>
      <c r="AG134" s="156"/>
      <c r="AH134" s="113">
        <f t="shared" si="22"/>
        <v>17</v>
      </c>
      <c r="AI134" s="157">
        <v>65</v>
      </c>
      <c r="AJ134" s="113">
        <f t="shared" si="23"/>
        <v>82</v>
      </c>
      <c r="AK134" s="113">
        <f t="shared" si="24"/>
        <v>82</v>
      </c>
      <c r="AL134" s="158">
        <f t="shared" si="25"/>
        <v>1.02</v>
      </c>
      <c r="AM134" s="159"/>
      <c r="AN134" s="160">
        <f t="shared" si="31"/>
        <v>1</v>
      </c>
      <c r="AO134" s="160">
        <f t="shared" si="31"/>
        <v>2</v>
      </c>
      <c r="AP134" s="133"/>
      <c r="AQ134" s="134"/>
      <c r="AR134" s="161"/>
      <c r="AS134" s="161"/>
      <c r="AT134" s="161"/>
      <c r="AU134" s="161"/>
      <c r="AV134" s="162"/>
      <c r="AW134" s="137">
        <f t="shared" si="26"/>
        <v>0</v>
      </c>
      <c r="AX134" s="137">
        <f t="shared" si="27"/>
        <v>0</v>
      </c>
    </row>
    <row r="135" ht="47.25" customHeight="1" spans="1:50" s="97" customFormat="1" x14ac:dyDescent="0.25">
      <c r="A135" s="100"/>
      <c r="B135" s="100"/>
      <c r="C135" s="100"/>
      <c r="D135" s="100"/>
      <c r="E135" s="100"/>
      <c r="F135" s="100"/>
      <c r="G135" s="103"/>
      <c r="H135" s="186"/>
      <c r="I135" s="195">
        <v>0.51</v>
      </c>
      <c r="J135" s="107">
        <v>0.49</v>
      </c>
      <c r="K135" s="107"/>
      <c r="L135" s="107"/>
      <c r="M135" s="187"/>
      <c r="N135" s="169">
        <f t="shared" si="29"/>
        <v>1</v>
      </c>
      <c r="O135" s="144">
        <v>1</v>
      </c>
      <c r="P135" s="145">
        <v>15</v>
      </c>
      <c r="Q135" s="113">
        <v>15</v>
      </c>
      <c r="R135" s="113"/>
      <c r="S135" s="113"/>
      <c r="T135" s="146"/>
      <c r="U135" s="148">
        <f t="shared" si="17"/>
        <v>15</v>
      </c>
      <c r="V135" s="149">
        <f t="shared" si="18"/>
        <v>15</v>
      </c>
      <c r="W135" s="189"/>
      <c r="X135" s="199"/>
      <c r="Y135" s="151"/>
      <c r="Z135" s="190"/>
      <c r="AA135" s="153"/>
      <c r="AB135" s="154">
        <f t="shared" si="19"/>
        <v>0</v>
      </c>
      <c r="AC135" s="149">
        <f t="shared" si="20"/>
        <v>0</v>
      </c>
      <c r="AD135" s="125">
        <v>2</v>
      </c>
      <c r="AE135" s="148">
        <f t="shared" si="21"/>
        <v>2</v>
      </c>
      <c r="AF135" s="156"/>
      <c r="AG135" s="156"/>
      <c r="AH135" s="113">
        <f t="shared" si="22"/>
        <v>17</v>
      </c>
      <c r="AI135" s="157">
        <v>65</v>
      </c>
      <c r="AJ135" s="113">
        <f t="shared" si="23"/>
        <v>82</v>
      </c>
      <c r="AK135" s="113">
        <f t="shared" si="24"/>
        <v>82</v>
      </c>
      <c r="AL135" s="158">
        <f t="shared" si="25"/>
        <v>1.02</v>
      </c>
      <c r="AM135" s="159"/>
      <c r="AN135" s="160">
        <f t="shared" si="31"/>
        <v>1</v>
      </c>
      <c r="AO135" s="160">
        <f t="shared" si="31"/>
        <v>2</v>
      </c>
      <c r="AP135" s="133"/>
      <c r="AQ135" s="134"/>
      <c r="AR135" s="161"/>
      <c r="AS135" s="161"/>
      <c r="AT135" s="161"/>
      <c r="AU135" s="161"/>
      <c r="AV135" s="162"/>
      <c r="AW135" s="137">
        <f t="shared" si="26"/>
        <v>0</v>
      </c>
      <c r="AX135" s="137">
        <f t="shared" si="27"/>
        <v>0</v>
      </c>
    </row>
    <row r="136" ht="46.5" customHeight="1" spans="1:50" s="97" customFormat="1" x14ac:dyDescent="0.25">
      <c r="A136" s="100"/>
      <c r="B136" s="100"/>
      <c r="C136" s="100"/>
      <c r="D136" s="100"/>
      <c r="E136" s="100"/>
      <c r="F136" s="100"/>
      <c r="G136" s="103"/>
      <c r="H136" s="186"/>
      <c r="I136" s="195">
        <v>0.51</v>
      </c>
      <c r="J136" s="107">
        <v>0.49</v>
      </c>
      <c r="K136" s="107"/>
      <c r="L136" s="107"/>
      <c r="M136" s="187"/>
      <c r="N136" s="169">
        <f t="shared" si="29"/>
        <v>1</v>
      </c>
      <c r="O136" s="144">
        <v>1</v>
      </c>
      <c r="P136" s="145">
        <v>15</v>
      </c>
      <c r="Q136" s="113">
        <v>15</v>
      </c>
      <c r="R136" s="113"/>
      <c r="S136" s="113"/>
      <c r="T136" s="146"/>
      <c r="U136" s="148">
        <f t="shared" si="17"/>
        <v>15</v>
      </c>
      <c r="V136" s="149">
        <f t="shared" si="18"/>
        <v>15</v>
      </c>
      <c r="W136" s="189"/>
      <c r="X136" s="199"/>
      <c r="Y136" s="151"/>
      <c r="Z136" s="190"/>
      <c r="AA136" s="153"/>
      <c r="AB136" s="154">
        <f t="shared" si="19"/>
        <v>0</v>
      </c>
      <c r="AC136" s="149">
        <f t="shared" si="20"/>
        <v>0</v>
      </c>
      <c r="AD136" s="125">
        <v>2</v>
      </c>
      <c r="AE136" s="148">
        <f t="shared" si="21"/>
        <v>2</v>
      </c>
      <c r="AF136" s="156"/>
      <c r="AG136" s="156"/>
      <c r="AH136" s="113">
        <f t="shared" si="22"/>
        <v>17</v>
      </c>
      <c r="AI136" s="157">
        <v>65</v>
      </c>
      <c r="AJ136" s="113">
        <f t="shared" si="23"/>
        <v>82</v>
      </c>
      <c r="AK136" s="113">
        <f t="shared" si="24"/>
        <v>82</v>
      </c>
      <c r="AL136" s="158">
        <f t="shared" si="25"/>
        <v>1.02</v>
      </c>
      <c r="AM136" s="159"/>
      <c r="AN136" s="160">
        <f t="shared" si="31"/>
        <v>1</v>
      </c>
      <c r="AO136" s="160">
        <f t="shared" si="31"/>
        <v>2</v>
      </c>
      <c r="AP136" s="133"/>
      <c r="AQ136" s="134"/>
      <c r="AR136" s="161"/>
      <c r="AS136" s="161"/>
      <c r="AT136" s="161"/>
      <c r="AU136" s="161"/>
      <c r="AV136" s="162"/>
      <c r="AW136" s="137">
        <f t="shared" si="26"/>
        <v>0</v>
      </c>
      <c r="AX136" s="137">
        <f t="shared" si="27"/>
        <v>0</v>
      </c>
    </row>
  </sheetData>
  <mergeCells count="45">
    <mergeCell ref="D1:E1"/>
    <mergeCell ref="F1:G1"/>
    <mergeCell ref="I1:J1"/>
    <mergeCell ref="Y1:Z1"/>
    <mergeCell ref="AA1:AC1"/>
    <mergeCell ref="AD1:AE1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AG2:AH2"/>
    <mergeCell ref="AI2:AK2"/>
    <mergeCell ref="AS2:AT2"/>
    <mergeCell ref="C3:H3"/>
    <mergeCell ref="I3:M3"/>
    <mergeCell ref="P3:U3"/>
    <mergeCell ref="W3:AE3"/>
    <mergeCell ref="A3:A4"/>
    <mergeCell ref="B3:B4"/>
    <mergeCell ref="N3:N4"/>
    <mergeCell ref="O3:O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6:H6"/>
    <mergeCell ref="A8:H8"/>
    <mergeCell ref="A10:H10"/>
    <mergeCell ref="A12:H12"/>
    <mergeCell ref="A14:H14"/>
  </mergeCells>
  <pageMargins left="0.7" right="0.7" top="0.75" bottom="0.75" header="0.3" footer="0.3"/>
  <pageSetup paperSize="9" orientation="portrait" horizontalDpi="4294967295" verticalDpi="4294967295" scale="40" fitToWidth="1" fitToHeight="1" firstPageNumber="1" useFirstPageNumber="1" copies="1"/>
</worksheet>
</file>

<file path=xl/worksheets/sheet8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X133"/>
  <sheetViews>
    <sheetView workbookViewId="0" zoomScale="80" zoomScaleNormal="80">
      <selection activeCell="J16" sqref="J16"/>
    </sheetView>
  </sheetViews>
  <sheetFormatPr defaultRowHeight="13.5" outlineLevelRow="0" outlineLevelCol="0" x14ac:dyDescent="0.15" defaultColWidth="8.88671875" customHeight="1"/>
  <cols>
    <col min="1" max="1" width="5.33203125" style="1" customWidth="1"/>
    <col min="2" max="2" width="5.109375" style="2" customWidth="1"/>
    <col min="3" max="3" width="8.33203125" style="3" customWidth="1"/>
    <col min="4" max="7" width="8.33203125" style="1" customWidth="1"/>
    <col min="8" max="13" width="8.109375" style="1" customWidth="1"/>
    <col min="14" max="15" width="5.88671875" style="1" customWidth="1"/>
    <col min="16" max="21" width="7.5546875" style="1" customWidth="1"/>
    <col min="22" max="22" width="7.6640625" style="4" hidden="1" customWidth="1"/>
    <col min="23" max="27" width="8.33203125" style="1" customWidth="1"/>
    <col min="28" max="28" width="7.6640625" style="1" customWidth="1"/>
    <col min="29" max="29" width="7.6640625" style="4" hidden="1" customWidth="1"/>
    <col min="30" max="31" width="7.6640625" style="4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 customWidth="1"/>
    <col min="49" max="50" width="15.109375" style="1" customWidth="1"/>
    <col min="51" max="16384" width="8.88671875" style="1" customWidth="1"/>
  </cols>
  <sheetData>
    <row r="1" ht="32.25" customHeight="1" spans="3:42" x14ac:dyDescent="0.25">
      <c r="C1" s="5" t="s">
        <v>0</v>
      </c>
      <c r="D1" s="6">
        <v>4774800000</v>
      </c>
      <c r="E1" s="7"/>
      <c r="F1" s="6"/>
      <c r="G1" s="7"/>
      <c r="H1" s="8" t="s">
        <v>1</v>
      </c>
      <c r="I1" s="9">
        <v>6574862800</v>
      </c>
      <c r="J1" s="9"/>
      <c r="K1" s="220" t="s">
        <v>315</v>
      </c>
      <c r="L1" s="11"/>
      <c r="M1" s="11"/>
      <c r="N1" s="12"/>
      <c r="O1" s="12"/>
      <c r="P1" s="12"/>
      <c r="Q1" s="12"/>
      <c r="R1" s="12"/>
      <c r="S1" s="12"/>
      <c r="T1" s="12"/>
      <c r="U1" s="12"/>
      <c r="V1" s="12"/>
      <c r="W1" s="12"/>
      <c r="X1" s="13"/>
      <c r="Y1" s="14" t="s">
        <v>3</v>
      </c>
      <c r="Z1" s="14"/>
      <c r="AA1" s="15" t="s">
        <v>4</v>
      </c>
      <c r="AB1" s="16"/>
      <c r="AC1" s="17"/>
      <c r="AD1" s="18" t="s">
        <v>5</v>
      </c>
      <c r="AE1" s="19"/>
      <c r="AF1" s="20"/>
      <c r="AG1" s="21" t="s">
        <v>6</v>
      </c>
      <c r="AH1" s="22"/>
      <c r="AI1" s="23">
        <f>D1</f>
        <v>4774800000</v>
      </c>
      <c r="AJ1" s="24"/>
      <c r="AK1" s="24"/>
      <c r="AL1" s="25" t="s">
        <v>7</v>
      </c>
      <c r="AM1" s="26"/>
      <c r="AN1" s="26"/>
      <c r="AO1" s="26"/>
      <c r="AP1" s="12"/>
    </row>
    <row r="2" ht="29.25" customHeight="1" spans="1:49" s="27" customFormat="1" x14ac:dyDescent="0.25">
      <c r="A2" s="20"/>
      <c r="B2" s="28"/>
      <c r="C2" s="29" t="s">
        <v>8</v>
      </c>
      <c r="D2" s="30">
        <v>5252280000</v>
      </c>
      <c r="E2" s="31"/>
      <c r="F2" s="32"/>
      <c r="G2" s="33"/>
      <c r="H2" s="5" t="s">
        <v>9</v>
      </c>
      <c r="I2" s="34">
        <f>D2*1</f>
        <v>5252280000</v>
      </c>
      <c r="J2" s="32"/>
      <c r="K2" s="35" t="s">
        <v>10</v>
      </c>
      <c r="L2" s="36" t="s">
        <v>11</v>
      </c>
      <c r="M2" s="37">
        <v>45966.70833333333</v>
      </c>
      <c r="N2" s="37"/>
      <c r="O2" s="37"/>
      <c r="P2" s="37"/>
      <c r="Q2" s="38" t="s">
        <v>221</v>
      </c>
      <c r="R2" s="38"/>
      <c r="S2" s="38"/>
      <c r="T2" s="39"/>
      <c r="U2" s="40"/>
      <c r="V2" s="40"/>
      <c r="W2" s="41"/>
      <c r="X2" s="42"/>
      <c r="Y2" s="202">
        <v>2623000000</v>
      </c>
      <c r="Z2" s="202"/>
      <c r="AA2" s="44">
        <f>I1</f>
        <v>6574862800</v>
      </c>
      <c r="AB2" s="45"/>
      <c r="AC2" s="46"/>
      <c r="AD2" s="47">
        <f>TRUNC(Y2/AA2,4)</f>
        <v>0.3989</v>
      </c>
      <c r="AE2" s="48"/>
      <c r="AF2" s="49"/>
      <c r="AG2" s="50"/>
      <c r="AH2" s="50"/>
      <c r="AI2" s="50"/>
      <c r="AJ2" s="50"/>
      <c r="AK2" s="50"/>
      <c r="AL2" s="50"/>
      <c r="AM2" s="50"/>
      <c r="AN2" s="51" t="s">
        <v>172</v>
      </c>
      <c r="AP2" s="1"/>
      <c r="AQ2" s="1"/>
      <c r="AR2" s="52" t="s">
        <v>15</v>
      </c>
      <c r="AS2" s="53">
        <f>AI1</f>
        <v>4774800000</v>
      </c>
      <c r="AT2" s="54"/>
      <c r="AW2" s="55"/>
    </row>
    <row r="3" ht="24.95" customHeight="1" spans="1:50" s="56" customFormat="1" x14ac:dyDescent="0.25">
      <c r="A3" s="57" t="s">
        <v>16</v>
      </c>
      <c r="B3" s="58" t="s">
        <v>17</v>
      </c>
      <c r="C3" s="59" t="s">
        <v>18</v>
      </c>
      <c r="D3" s="60"/>
      <c r="E3" s="60"/>
      <c r="F3" s="60"/>
      <c r="G3" s="60"/>
      <c r="H3" s="61"/>
      <c r="I3" s="59" t="s">
        <v>19</v>
      </c>
      <c r="J3" s="60"/>
      <c r="K3" s="60"/>
      <c r="L3" s="60"/>
      <c r="M3" s="61"/>
      <c r="N3" s="62" t="s">
        <v>20</v>
      </c>
      <c r="O3" s="63" t="s">
        <v>21</v>
      </c>
      <c r="P3" s="59" t="s">
        <v>22</v>
      </c>
      <c r="Q3" s="60"/>
      <c r="R3" s="64"/>
      <c r="S3" s="64"/>
      <c r="T3" s="60"/>
      <c r="U3" s="61"/>
      <c r="V3" s="65"/>
      <c r="W3" s="59" t="s">
        <v>23</v>
      </c>
      <c r="X3" s="60"/>
      <c r="Y3" s="60"/>
      <c r="Z3" s="60"/>
      <c r="AA3" s="60"/>
      <c r="AB3" s="60"/>
      <c r="AC3" s="60"/>
      <c r="AD3" s="60"/>
      <c r="AE3" s="61"/>
      <c r="AF3" s="60"/>
      <c r="AG3" s="60"/>
      <c r="AH3" s="60"/>
      <c r="AI3" s="60"/>
      <c r="AJ3" s="60"/>
      <c r="AK3" s="61"/>
      <c r="AL3" s="66" t="s">
        <v>24</v>
      </c>
      <c r="AM3" s="67" t="s">
        <v>25</v>
      </c>
      <c r="AN3" s="68" t="s">
        <v>26</v>
      </c>
      <c r="AO3" s="69" t="s">
        <v>27</v>
      </c>
      <c r="AP3" s="70" t="s">
        <v>28</v>
      </c>
      <c r="AQ3" s="65" t="s">
        <v>29</v>
      </c>
      <c r="AR3" s="67" t="s">
        <v>30</v>
      </c>
      <c r="AS3" s="65" t="s">
        <v>31</v>
      </c>
      <c r="AT3" s="65" t="s">
        <v>32</v>
      </c>
      <c r="AU3" s="65" t="s">
        <v>33</v>
      </c>
      <c r="AV3" s="71" t="s">
        <v>34</v>
      </c>
      <c r="AW3" s="65" t="s">
        <v>35</v>
      </c>
      <c r="AX3" s="65" t="s">
        <v>36</v>
      </c>
    </row>
    <row r="4" ht="39.75" customHeight="1" spans="1:50" s="56" customFormat="1" x14ac:dyDescent="0.25">
      <c r="A4" s="72"/>
      <c r="B4" s="73"/>
      <c r="C4" s="74" t="s">
        <v>37</v>
      </c>
      <c r="D4" s="75" t="s">
        <v>38</v>
      </c>
      <c r="E4" s="76" t="s">
        <v>39</v>
      </c>
      <c r="F4" s="76" t="s">
        <v>40</v>
      </c>
      <c r="G4" s="77" t="s">
        <v>41</v>
      </c>
      <c r="H4" s="65" t="s">
        <v>100</v>
      </c>
      <c r="I4" s="78" t="s">
        <v>37</v>
      </c>
      <c r="J4" s="79" t="s">
        <v>38</v>
      </c>
      <c r="K4" s="75" t="s">
        <v>39</v>
      </c>
      <c r="L4" s="75" t="s">
        <v>40</v>
      </c>
      <c r="M4" s="80" t="s">
        <v>41</v>
      </c>
      <c r="N4" s="81"/>
      <c r="O4" s="82"/>
      <c r="P4" s="78" t="s">
        <v>37</v>
      </c>
      <c r="Q4" s="79" t="s">
        <v>38</v>
      </c>
      <c r="R4" s="75" t="s">
        <v>39</v>
      </c>
      <c r="S4" s="75" t="s">
        <v>40</v>
      </c>
      <c r="T4" s="80" t="s">
        <v>41</v>
      </c>
      <c r="U4" s="83" t="s">
        <v>42</v>
      </c>
      <c r="V4" s="84" t="s">
        <v>43</v>
      </c>
      <c r="W4" s="85" t="s">
        <v>37</v>
      </c>
      <c r="X4" s="79" t="s">
        <v>38</v>
      </c>
      <c r="Y4" s="79" t="s">
        <v>39</v>
      </c>
      <c r="Z4" s="79" t="s">
        <v>40</v>
      </c>
      <c r="AA4" s="80" t="s">
        <v>41</v>
      </c>
      <c r="AB4" s="86" t="s">
        <v>44</v>
      </c>
      <c r="AC4" s="87" t="s">
        <v>45</v>
      </c>
      <c r="AD4" s="88" t="s">
        <v>46</v>
      </c>
      <c r="AE4" s="88" t="s">
        <v>47</v>
      </c>
      <c r="AF4" s="89" t="s">
        <v>48</v>
      </c>
      <c r="AG4" s="89" t="s">
        <v>49</v>
      </c>
      <c r="AH4" s="90" t="s">
        <v>50</v>
      </c>
      <c r="AI4" s="91" t="s">
        <v>51</v>
      </c>
      <c r="AJ4" s="91"/>
      <c r="AK4" s="91" t="s">
        <v>52</v>
      </c>
      <c r="AL4" s="92"/>
      <c r="AM4" s="93"/>
      <c r="AN4" s="94"/>
      <c r="AO4" s="95"/>
      <c r="AP4" s="70"/>
      <c r="AQ4" s="65"/>
      <c r="AR4" s="93"/>
      <c r="AS4" s="65"/>
      <c r="AT4" s="65"/>
      <c r="AU4" s="65"/>
      <c r="AV4" s="96"/>
      <c r="AW4" s="65"/>
      <c r="AX4" s="65"/>
    </row>
    <row r="5" ht="46.5" customHeight="1" spans="1:50" s="97" customFormat="1" x14ac:dyDescent="0.25">
      <c r="A5" s="98">
        <v>1</v>
      </c>
      <c r="B5" s="163"/>
      <c r="C5" s="101" t="s">
        <v>54</v>
      </c>
      <c r="D5" s="102"/>
      <c r="E5" s="163"/>
      <c r="F5" s="102"/>
      <c r="G5" s="103"/>
      <c r="H5" s="104"/>
      <c r="I5" s="166">
        <v>1</v>
      </c>
      <c r="J5" s="247"/>
      <c r="K5" s="107"/>
      <c r="L5" s="108"/>
      <c r="M5" s="109"/>
      <c r="N5" s="110">
        <f>SUM(I5:M5)</f>
        <v>1</v>
      </c>
      <c r="O5" s="111">
        <v>1</v>
      </c>
      <c r="P5" s="112">
        <v>15</v>
      </c>
      <c r="Q5" s="217"/>
      <c r="R5" s="112"/>
      <c r="S5" s="114"/>
      <c r="T5" s="115"/>
      <c r="U5" s="116">
        <f>ROUND(((P5*I5)+(Q5*J5)+(R5*K5)+(S5*L5)+(T5*M5))*O5,2)</f>
        <v>15</v>
      </c>
      <c r="V5" s="117">
        <f>IF(U5&gt;=15,15,U5)</f>
        <v>15</v>
      </c>
      <c r="W5" s="120">
        <v>75440266000</v>
      </c>
      <c r="X5" s="221"/>
      <c r="Y5" s="120"/>
      <c r="Z5" s="121"/>
      <c r="AA5" s="122"/>
      <c r="AB5" s="123">
        <f>ROUND((((W5*I5)+(X5*J5)+(Y5*K5)+(Z5*L5)+(AA5*M5))/$I$2),2)*13</f>
        <v>186.68</v>
      </c>
      <c r="AC5" s="124">
        <f>IF(AB5&gt;=13,13,AB5)</f>
        <v>13</v>
      </c>
      <c r="AD5" s="125">
        <v>2</v>
      </c>
      <c r="AE5" s="116">
        <f>IF((AC5+AD5)&gt;=15,15,(AC5+AD5))</f>
        <v>15</v>
      </c>
      <c r="AF5" s="126"/>
      <c r="AG5" s="127"/>
      <c r="AH5" s="128">
        <f>IF((V5+AE5+AF5)&gt;=30,30,(V5+AE5+AF5))</f>
        <v>30</v>
      </c>
      <c r="AI5" s="129">
        <v>65</v>
      </c>
      <c r="AJ5" s="128">
        <f>V5+AE5+AF5+AI5+AG5</f>
        <v>95</v>
      </c>
      <c r="AK5" s="128">
        <f>IF(AH5+AI5+AG5&gt;=95,95,AH5+AI5+AG5)</f>
        <v>95</v>
      </c>
      <c r="AL5" s="130">
        <f>-((50-((176+(45+(50-AH5)))))/200)</f>
        <v>0.955</v>
      </c>
      <c r="AM5" s="131"/>
      <c r="AN5" s="132">
        <f>100%+AM5</f>
        <v>1</v>
      </c>
      <c r="AO5" s="132">
        <f>100%+AN5</f>
        <v>2</v>
      </c>
      <c r="AP5" s="133"/>
      <c r="AQ5" s="134"/>
      <c r="AR5" s="135"/>
      <c r="AS5" s="135"/>
      <c r="AT5" s="135"/>
      <c r="AU5" s="135"/>
      <c r="AV5" s="136"/>
      <c r="AW5" s="137">
        <f>AR5+AS5+AT5+AU5+AV5</f>
        <v>0</v>
      </c>
      <c r="AX5" s="137">
        <f>(AR5*I5)+(AS5*J5)+(AT5*K5)+(AU5*L5)+(AV5*M5)</f>
        <v>0</v>
      </c>
    </row>
    <row r="6" ht="21.95" customHeight="1" spans="1:50" s="97" customFormat="1" x14ac:dyDescent="0.25">
      <c r="A6" s="138" t="s">
        <v>56</v>
      </c>
      <c r="B6" s="139"/>
      <c r="C6" s="139"/>
      <c r="D6" s="139"/>
      <c r="E6" s="139"/>
      <c r="F6" s="139"/>
      <c r="G6" s="139"/>
      <c r="H6" s="140"/>
      <c r="I6" s="248">
        <v>85</v>
      </c>
      <c r="J6" s="142"/>
      <c r="K6" s="142"/>
      <c r="L6" s="142"/>
      <c r="M6" s="142"/>
      <c r="N6" s="143">
        <f>I6*I5+J6*J5+K6*K5+L6*L5+M6*M5</f>
        <v>85</v>
      </c>
      <c r="O6" s="144"/>
      <c r="P6" s="145"/>
      <c r="Q6" s="113"/>
      <c r="R6" s="113"/>
      <c r="S6" s="146"/>
      <c r="T6" s="147"/>
      <c r="U6" s="148"/>
      <c r="V6" s="149"/>
      <c r="W6" s="150"/>
      <c r="X6" s="151"/>
      <c r="Y6" s="152"/>
      <c r="Z6" s="151"/>
      <c r="AA6" s="153"/>
      <c r="AB6" s="154"/>
      <c r="AC6" s="149"/>
      <c r="AD6" s="148"/>
      <c r="AE6" s="148"/>
      <c r="AF6" s="155"/>
      <c r="AG6" s="156"/>
      <c r="AH6" s="113"/>
      <c r="AI6" s="157"/>
      <c r="AJ6" s="113"/>
      <c r="AK6" s="113"/>
      <c r="AL6" s="158"/>
      <c r="AM6" s="159"/>
      <c r="AN6" s="160"/>
      <c r="AO6" s="160"/>
      <c r="AP6" s="133"/>
      <c r="AQ6" s="134"/>
      <c r="AR6" s="161"/>
      <c r="AS6" s="161"/>
      <c r="AT6" s="161"/>
      <c r="AU6" s="161"/>
      <c r="AV6" s="162"/>
      <c r="AW6" s="137"/>
      <c r="AX6" s="137"/>
    </row>
    <row r="7" ht="46.5" customHeight="1" spans="1:50" s="97" customFormat="1" x14ac:dyDescent="0.25">
      <c r="A7" s="98">
        <v>2</v>
      </c>
      <c r="B7" s="163"/>
      <c r="C7" s="101" t="s">
        <v>59</v>
      </c>
      <c r="D7" s="102"/>
      <c r="E7" s="163"/>
      <c r="F7" s="163"/>
      <c r="G7" s="103"/>
      <c r="H7" s="171"/>
      <c r="I7" s="166">
        <v>1</v>
      </c>
      <c r="J7" s="107"/>
      <c r="K7" s="107"/>
      <c r="L7" s="167"/>
      <c r="M7" s="168"/>
      <c r="N7" s="169">
        <f>SUM(I7:M7)</f>
        <v>1</v>
      </c>
      <c r="O7" s="144">
        <v>1</v>
      </c>
      <c r="P7" s="112">
        <v>15</v>
      </c>
      <c r="Q7" s="178"/>
      <c r="R7" s="112"/>
      <c r="S7" s="146"/>
      <c r="T7" s="147"/>
      <c r="U7" s="148">
        <f>ROUND(((P7*I7)+(Q7*J7)+(R7*K7)+(S7*L7)+(T7*M7))*O7,2)</f>
        <v>15</v>
      </c>
      <c r="V7" s="149">
        <f>IF(U7&gt;=15,15,U7)</f>
        <v>15</v>
      </c>
      <c r="W7" s="120">
        <v>17928117000</v>
      </c>
      <c r="X7" s="120"/>
      <c r="Y7" s="120"/>
      <c r="Z7" s="151"/>
      <c r="AA7" s="153"/>
      <c r="AB7" s="154">
        <f>ROUND((((W7*I7)+(X7*J7)+(Y7*K7)+(Z7*L7)+(AA7*M7))/$I$2),2)*13</f>
        <v>44.33</v>
      </c>
      <c r="AC7" s="149">
        <f>IF(AB7&gt;=13,13,AB7)</f>
        <v>13</v>
      </c>
      <c r="AD7" s="125">
        <v>2</v>
      </c>
      <c r="AE7" s="148">
        <f>IF((AC7+AD7)&gt;=15,15,(AC7+AD7))</f>
        <v>15</v>
      </c>
      <c r="AF7" s="155"/>
      <c r="AG7" s="127"/>
      <c r="AH7" s="113">
        <f>IF((V7+AE7+AF7)&gt;=30,30,(V7+AE7+AF7))</f>
        <v>30</v>
      </c>
      <c r="AI7" s="157">
        <v>65</v>
      </c>
      <c r="AJ7" s="113">
        <f>V7+AE7+AF7+AI7+AG7</f>
        <v>95</v>
      </c>
      <c r="AK7" s="113">
        <f>IF(AH7+AI7+AG7&gt;=95,95,AH7+AI7+AG7)</f>
        <v>95</v>
      </c>
      <c r="AL7" s="158">
        <f>-((50-((176+(45+(50-AH7)))))/200)</f>
        <v>0.955</v>
      </c>
      <c r="AM7" s="159"/>
      <c r="AN7" s="160">
        <f>100%+AM7</f>
        <v>1</v>
      </c>
      <c r="AO7" s="160">
        <f>100%+AN7</f>
        <v>2</v>
      </c>
      <c r="AP7" s="133"/>
      <c r="AQ7" s="134"/>
      <c r="AR7" s="161"/>
      <c r="AS7" s="161"/>
      <c r="AT7" s="161"/>
      <c r="AU7" s="161"/>
      <c r="AV7" s="162"/>
      <c r="AW7" s="172">
        <f>AR7+AS7+AT7+AU7+AV7</f>
        <v>0</v>
      </c>
      <c r="AX7" s="172">
        <f>(AR7*I7)+(AS7*J7)+(AT7*K7)+(AU7*L7)+(AV7*M7)</f>
        <v>0</v>
      </c>
    </row>
    <row r="8" ht="21.95" customHeight="1" spans="1:50" s="97" customFormat="1" x14ac:dyDescent="0.25">
      <c r="A8" s="138" t="s">
        <v>56</v>
      </c>
      <c r="B8" s="139"/>
      <c r="C8" s="139"/>
      <c r="D8" s="139"/>
      <c r="E8" s="139"/>
      <c r="F8" s="139"/>
      <c r="G8" s="139"/>
      <c r="H8" s="140"/>
      <c r="I8" s="142">
        <v>85</v>
      </c>
      <c r="J8" s="142"/>
      <c r="K8" s="142"/>
      <c r="L8" s="142"/>
      <c r="M8" s="142"/>
      <c r="N8" s="143">
        <f>I8*I7+J8*J7+K8*K7+L8*L7+M8*M7</f>
        <v>85</v>
      </c>
      <c r="O8" s="144"/>
      <c r="P8" s="145"/>
      <c r="Q8" s="113"/>
      <c r="R8" s="113"/>
      <c r="S8" s="146"/>
      <c r="T8" s="147"/>
      <c r="U8" s="148"/>
      <c r="V8" s="149"/>
      <c r="W8" s="150"/>
      <c r="X8" s="151"/>
      <c r="Y8" s="152"/>
      <c r="Z8" s="151"/>
      <c r="AA8" s="153"/>
      <c r="AB8" s="154"/>
      <c r="AC8" s="149"/>
      <c r="AD8" s="148"/>
      <c r="AE8" s="148"/>
      <c r="AF8" s="155"/>
      <c r="AG8" s="156"/>
      <c r="AH8" s="113"/>
      <c r="AI8" s="157"/>
      <c r="AJ8" s="113"/>
      <c r="AK8" s="113"/>
      <c r="AL8" s="158"/>
      <c r="AM8" s="159"/>
      <c r="AN8" s="160"/>
      <c r="AO8" s="160"/>
      <c r="AP8" s="133"/>
      <c r="AQ8" s="134"/>
      <c r="AR8" s="161"/>
      <c r="AS8" s="161"/>
      <c r="AT8" s="161"/>
      <c r="AU8" s="161"/>
      <c r="AV8" s="162"/>
      <c r="AW8" s="137"/>
      <c r="AX8" s="137"/>
    </row>
    <row r="9" ht="46.5" customHeight="1" spans="1:50" s="97" customFormat="1" x14ac:dyDescent="0.25">
      <c r="A9" s="98">
        <v>3</v>
      </c>
      <c r="B9" s="163"/>
      <c r="C9" s="101" t="s">
        <v>316</v>
      </c>
      <c r="D9" s="253" t="s">
        <v>317</v>
      </c>
      <c r="E9" s="261"/>
      <c r="F9" s="163"/>
      <c r="G9" s="164"/>
      <c r="H9" s="165"/>
      <c r="I9" s="166">
        <v>0.61</v>
      </c>
      <c r="J9" s="262">
        <v>0.39</v>
      </c>
      <c r="K9" s="250"/>
      <c r="L9" s="167"/>
      <c r="M9" s="168"/>
      <c r="N9" s="169">
        <f>SUM(I9:M9)</f>
        <v>1</v>
      </c>
      <c r="O9" s="144">
        <v>1</v>
      </c>
      <c r="P9" s="112">
        <v>15</v>
      </c>
      <c r="Q9" s="263">
        <v>15</v>
      </c>
      <c r="R9" s="263"/>
      <c r="S9" s="113"/>
      <c r="T9" s="147"/>
      <c r="U9" s="148">
        <f>ROUND(((P9*I9)+(Q9*J9)+(R9*K9)+(S9*L9)+(T9*M9))*O9,2)</f>
        <v>15</v>
      </c>
      <c r="V9" s="149">
        <f>IF(U9&gt;=15,15,U9)</f>
        <v>15</v>
      </c>
      <c r="W9" s="120">
        <v>13410300000</v>
      </c>
      <c r="X9" s="256">
        <v>2925617000</v>
      </c>
      <c r="Y9" s="264"/>
      <c r="Z9" s="151"/>
      <c r="AA9" s="153"/>
      <c r="AB9" s="154">
        <f>ROUND((((W9*I9)+(X9*J9)+(Y9*K9)+(Z9*L9)+(AA9*M9))/$I$2),2)*13</f>
        <v>23.01</v>
      </c>
      <c r="AC9" s="149">
        <f>IF(AB9&gt;=13,13,AB9)</f>
        <v>13</v>
      </c>
      <c r="AD9" s="125">
        <v>2</v>
      </c>
      <c r="AE9" s="148">
        <f>IF((AC9+AD9)&gt;=15,15,(AC9+AD9))</f>
        <v>15</v>
      </c>
      <c r="AF9" s="155"/>
      <c r="AG9" s="127"/>
      <c r="AH9" s="113">
        <f>IF((V9+AE9+AF9)&gt;=30,30,(V9+AE9+AF9))</f>
        <v>30</v>
      </c>
      <c r="AI9" s="157">
        <v>65</v>
      </c>
      <c r="AJ9" s="113">
        <f>V9+AE9+AF9+AI9+AG9</f>
        <v>95</v>
      </c>
      <c r="AK9" s="113">
        <f>IF(AH9+AI9+AG9&gt;=95,95,AH9+AI9+AG9)</f>
        <v>95</v>
      </c>
      <c r="AL9" s="158">
        <f>-((50-((176+(45+(50-AH9)))))/200)</f>
        <v>0.955</v>
      </c>
      <c r="AM9" s="159"/>
      <c r="AN9" s="160">
        <f>100%+AM9</f>
        <v>1</v>
      </c>
      <c r="AO9" s="160">
        <f>100%+AN9</f>
        <v>2</v>
      </c>
      <c r="AP9" s="133"/>
      <c r="AQ9" s="134"/>
      <c r="AR9" s="161"/>
      <c r="AS9" s="161"/>
      <c r="AT9" s="161"/>
      <c r="AU9" s="161"/>
      <c r="AV9" s="162"/>
      <c r="AW9" s="137">
        <f>AR9+AS9+AT9+AU9+AV9</f>
        <v>0</v>
      </c>
      <c r="AX9" s="137">
        <f>(AR9*I9)+(AS9*J9)+(AT9*K9)+(AU9*L9)+(AV9*M9)</f>
        <v>0</v>
      </c>
    </row>
    <row r="10" ht="21.95" customHeight="1" spans="1:50" s="97" customFormat="1" x14ac:dyDescent="0.25">
      <c r="A10" s="138" t="s">
        <v>56</v>
      </c>
      <c r="B10" s="139"/>
      <c r="C10" s="139"/>
      <c r="D10" s="139"/>
      <c r="E10" s="139"/>
      <c r="F10" s="139"/>
      <c r="G10" s="139"/>
      <c r="H10" s="140"/>
      <c r="I10" s="248">
        <v>85</v>
      </c>
      <c r="J10" s="142">
        <v>85</v>
      </c>
      <c r="K10" s="142"/>
      <c r="L10" s="142"/>
      <c r="M10" s="142"/>
      <c r="N10" s="143">
        <f>I10*I9+J10*J9+K10*K9+L10*L9+M10*M9</f>
        <v>85</v>
      </c>
      <c r="O10" s="144"/>
      <c r="P10" s="145"/>
      <c r="Q10" s="113"/>
      <c r="R10" s="113"/>
      <c r="S10" s="146"/>
      <c r="T10" s="147"/>
      <c r="U10" s="148"/>
      <c r="V10" s="149"/>
      <c r="W10" s="150"/>
      <c r="X10" s="151"/>
      <c r="Y10" s="152"/>
      <c r="Z10" s="151"/>
      <c r="AA10" s="153"/>
      <c r="AB10" s="154"/>
      <c r="AC10" s="149"/>
      <c r="AD10" s="148"/>
      <c r="AE10" s="148"/>
      <c r="AF10" s="155"/>
      <c r="AG10" s="156"/>
      <c r="AH10" s="113"/>
      <c r="AI10" s="157"/>
      <c r="AJ10" s="113"/>
      <c r="AK10" s="113"/>
      <c r="AL10" s="158"/>
      <c r="AM10" s="159"/>
      <c r="AN10" s="160"/>
      <c r="AO10" s="160"/>
      <c r="AP10" s="133"/>
      <c r="AQ10" s="134"/>
      <c r="AR10" s="161"/>
      <c r="AS10" s="161"/>
      <c r="AT10" s="161"/>
      <c r="AU10" s="161"/>
      <c r="AV10" s="162"/>
      <c r="AW10" s="137"/>
      <c r="AX10" s="137"/>
    </row>
    <row r="11" ht="46.5" customHeight="1" spans="1:50" s="97" customFormat="1" x14ac:dyDescent="0.25">
      <c r="A11" s="98">
        <v>4</v>
      </c>
      <c r="B11" s="196"/>
      <c r="C11" s="101" t="s">
        <v>318</v>
      </c>
      <c r="D11" s="253" t="s">
        <v>319</v>
      </c>
      <c r="E11" s="163"/>
      <c r="F11" s="163"/>
      <c r="G11" s="103"/>
      <c r="H11" s="171" t="s">
        <v>320</v>
      </c>
      <c r="I11" s="265">
        <v>0.6418</v>
      </c>
      <c r="J11" s="250">
        <v>0.34</v>
      </c>
      <c r="K11" s="107"/>
      <c r="L11" s="176"/>
      <c r="M11" s="168"/>
      <c r="N11" s="169">
        <f t="shared" ref="N11:N39" si="0">SUM(I11:M11)</f>
        <v>0.9818</v>
      </c>
      <c r="O11" s="144">
        <v>1</v>
      </c>
      <c r="P11" s="112">
        <v>15</v>
      </c>
      <c r="Q11" s="263">
        <v>15</v>
      </c>
      <c r="R11" s="156"/>
      <c r="S11" s="113"/>
      <c r="T11" s="147"/>
      <c r="U11" s="148">
        <f t="shared" ref="U11:U71" si="1">ROUND(((P11*I11)+(Q11*J11)+(R11*K11)+(S11*L11)+(T11*M11))*O11,2)</f>
        <v>14.73</v>
      </c>
      <c r="V11" s="149">
        <f t="shared" ref="V11:V71" si="2">IF(U11&gt;=15,15,U11)</f>
        <v>14.73</v>
      </c>
      <c r="W11" s="192">
        <v>28147269000</v>
      </c>
      <c r="X11" s="252">
        <v>3843363000</v>
      </c>
      <c r="Y11" s="120"/>
      <c r="Z11" s="151"/>
      <c r="AA11" s="153"/>
      <c r="AB11" s="154">
        <f t="shared" ref="AB11:AB71" si="3">ROUND((((W11*I11)+(X11*J11)+(Y11*K11)+(Z11*L11)+(AA11*M11))/$I$2),2)*13</f>
        <v>47.97</v>
      </c>
      <c r="AC11" s="149">
        <f t="shared" ref="AC11:AC71" si="4">IF(AB11&gt;=13,13,AB11)</f>
        <v>13</v>
      </c>
      <c r="AD11" s="125">
        <v>1.5</v>
      </c>
      <c r="AE11" s="148">
        <f t="shared" ref="AE11:AE71" si="5">IF((AC11+AD11)&gt;=15,15,(AC11+AD11))</f>
        <v>14.5</v>
      </c>
      <c r="AF11" s="155">
        <f>1.5*I11</f>
        <v>0.9627000000000001</v>
      </c>
      <c r="AG11" s="127"/>
      <c r="AH11" s="113">
        <f t="shared" ref="AH11:AH71" si="6">IF((V11+AE11+AF11)&gt;=30,30,(V11+AE11+AF11))</f>
        <v>30</v>
      </c>
      <c r="AI11" s="157">
        <v>65</v>
      </c>
      <c r="AJ11" s="113">
        <f t="shared" ref="AJ11:AJ71" si="7">V11+AE11+AF11+AI11+AG11</f>
        <v>95.1927</v>
      </c>
      <c r="AK11" s="113">
        <f t="shared" ref="AK11:AK71" si="8">IF(AH11+AI11+AG11&gt;=95,95,AH11+AI11+AG11)</f>
        <v>95</v>
      </c>
      <c r="AL11" s="158">
        <f t="shared" ref="AL11:AL71" si="9">-((50-((176+(45+(50-AH11)))))/200)</f>
        <v>0.955</v>
      </c>
      <c r="AM11" s="159"/>
      <c r="AN11" s="160">
        <f t="shared" ref="AN11:AO25" si="10">100%+AM11</f>
        <v>1</v>
      </c>
      <c r="AO11" s="160">
        <f t="shared" si="10"/>
        <v>2</v>
      </c>
      <c r="AP11" s="133"/>
      <c r="AQ11" s="134"/>
      <c r="AR11" s="161"/>
      <c r="AS11" s="161"/>
      <c r="AT11" s="161"/>
      <c r="AU11" s="161"/>
      <c r="AV11" s="162"/>
      <c r="AW11" s="137">
        <f t="shared" ref="AW11:AW71" si="11">AR11+AS11+AT11+AU11+AV11</f>
        <v>0</v>
      </c>
      <c r="AX11" s="137">
        <f t="shared" ref="AX11:AX71" si="12">(AR11*I11)+(AS11*J11)+(AT11*K11)+(AU11*L11)+(AV11*M11)</f>
        <v>0</v>
      </c>
    </row>
    <row r="12" ht="21.95" customHeight="1" spans="1:50" s="97" customFormat="1" x14ac:dyDescent="0.25">
      <c r="A12" s="138" t="s">
        <v>56</v>
      </c>
      <c r="B12" s="139"/>
      <c r="C12" s="139"/>
      <c r="D12" s="139"/>
      <c r="E12" s="139"/>
      <c r="F12" s="139"/>
      <c r="G12" s="139"/>
      <c r="H12" s="140"/>
      <c r="I12" s="248">
        <v>85</v>
      </c>
      <c r="J12" s="266">
        <v>85</v>
      </c>
      <c r="K12" s="142"/>
      <c r="L12" s="142"/>
      <c r="M12" s="142"/>
      <c r="N12" s="143">
        <f>I12*I11+J12*J11+K12*K11+L12*L11+M12*M11</f>
        <v>83.453</v>
      </c>
      <c r="O12" s="144"/>
      <c r="P12" s="145"/>
      <c r="Q12" s="113"/>
      <c r="R12" s="113"/>
      <c r="S12" s="146"/>
      <c r="T12" s="147"/>
      <c r="U12" s="148"/>
      <c r="V12" s="149"/>
      <c r="W12" s="150"/>
      <c r="X12" s="151"/>
      <c r="Y12" s="152"/>
      <c r="Z12" s="151"/>
      <c r="AA12" s="153"/>
      <c r="AB12" s="154"/>
      <c r="AC12" s="149"/>
      <c r="AD12" s="148"/>
      <c r="AE12" s="148"/>
      <c r="AF12" s="155"/>
      <c r="AG12" s="156"/>
      <c r="AH12" s="113"/>
      <c r="AI12" s="157"/>
      <c r="AJ12" s="113"/>
      <c r="AK12" s="113"/>
      <c r="AL12" s="158"/>
      <c r="AM12" s="159"/>
      <c r="AN12" s="160"/>
      <c r="AO12" s="160"/>
      <c r="AP12" s="133"/>
      <c r="AQ12" s="134"/>
      <c r="AR12" s="161"/>
      <c r="AS12" s="161"/>
      <c r="AT12" s="161"/>
      <c r="AU12" s="161"/>
      <c r="AV12" s="162"/>
      <c r="AW12" s="137"/>
      <c r="AX12" s="137"/>
    </row>
    <row r="13" ht="46.5" customHeight="1" spans="1:50" s="97" customFormat="1" x14ac:dyDescent="0.25">
      <c r="A13" s="98">
        <v>5</v>
      </c>
      <c r="B13" s="196"/>
      <c r="C13" s="102" t="s">
        <v>146</v>
      </c>
      <c r="D13" s="249" t="s">
        <v>321</v>
      </c>
      <c r="E13" s="249" t="s">
        <v>322</v>
      </c>
      <c r="F13" s="163"/>
      <c r="G13" s="103"/>
      <c r="H13" s="171"/>
      <c r="I13" s="166">
        <v>0.7</v>
      </c>
      <c r="J13" s="250">
        <v>0.19</v>
      </c>
      <c r="K13" s="250">
        <v>0.11</v>
      </c>
      <c r="L13" s="167"/>
      <c r="M13" s="168"/>
      <c r="N13" s="169">
        <f t="shared" si="0"/>
        <v>0.9999999999999999</v>
      </c>
      <c r="O13" s="229">
        <v>1.1</v>
      </c>
      <c r="P13" s="112">
        <v>15</v>
      </c>
      <c r="Q13" s="267">
        <v>14.9</v>
      </c>
      <c r="R13" s="268">
        <v>15</v>
      </c>
      <c r="S13" s="146"/>
      <c r="T13" s="147"/>
      <c r="U13" s="148">
        <f t="shared" si="1"/>
        <v>16.48</v>
      </c>
      <c r="V13" s="149">
        <f t="shared" si="2"/>
        <v>15</v>
      </c>
      <c r="W13" s="120">
        <v>61572822000</v>
      </c>
      <c r="X13" s="264">
        <v>781586000</v>
      </c>
      <c r="Y13" s="264">
        <v>856790000</v>
      </c>
      <c r="Z13" s="151"/>
      <c r="AA13" s="153"/>
      <c r="AB13" s="154">
        <f t="shared" si="3"/>
        <v>107.25</v>
      </c>
      <c r="AC13" s="149">
        <f t="shared" si="4"/>
        <v>13</v>
      </c>
      <c r="AD13" s="125">
        <v>2</v>
      </c>
      <c r="AE13" s="148">
        <f t="shared" si="5"/>
        <v>15</v>
      </c>
      <c r="AF13" s="156"/>
      <c r="AG13" s="127"/>
      <c r="AH13" s="113">
        <f t="shared" si="6"/>
        <v>30</v>
      </c>
      <c r="AI13" s="157">
        <v>65</v>
      </c>
      <c r="AJ13" s="113">
        <f t="shared" si="7"/>
        <v>95</v>
      </c>
      <c r="AK13" s="113">
        <f t="shared" si="8"/>
        <v>95</v>
      </c>
      <c r="AL13" s="158">
        <f t="shared" si="9"/>
        <v>0.955</v>
      </c>
      <c r="AM13" s="159"/>
      <c r="AN13" s="160">
        <f t="shared" si="10"/>
        <v>1</v>
      </c>
      <c r="AO13" s="160">
        <f t="shared" si="10"/>
        <v>2</v>
      </c>
      <c r="AP13" s="133"/>
      <c r="AQ13" s="134"/>
      <c r="AR13" s="161"/>
      <c r="AS13" s="161"/>
      <c r="AT13" s="161"/>
      <c r="AU13" s="161"/>
      <c r="AV13" s="162"/>
      <c r="AW13" s="137">
        <f t="shared" si="11"/>
        <v>0</v>
      </c>
      <c r="AX13" s="137">
        <f t="shared" si="12"/>
        <v>0</v>
      </c>
    </row>
    <row r="14" ht="21.95" customHeight="1" spans="1:50" s="97" customFormat="1" x14ac:dyDescent="0.25">
      <c r="A14" s="138" t="s">
        <v>56</v>
      </c>
      <c r="B14" s="139"/>
      <c r="C14" s="139"/>
      <c r="D14" s="139"/>
      <c r="E14" s="139"/>
      <c r="F14" s="139"/>
      <c r="G14" s="139"/>
      <c r="H14" s="140"/>
      <c r="I14" s="248">
        <v>85</v>
      </c>
      <c r="J14" s="142">
        <v>85</v>
      </c>
      <c r="K14" s="142">
        <v>85</v>
      </c>
      <c r="L14" s="142"/>
      <c r="M14" s="142"/>
      <c r="N14" s="143">
        <f>I14*I13+J14*J13+K14*K13+L14*L13+M14*M13</f>
        <v>84.99999999999999</v>
      </c>
      <c r="O14" s="144"/>
      <c r="P14" s="145"/>
      <c r="Q14" s="113"/>
      <c r="R14" s="113"/>
      <c r="S14" s="146"/>
      <c r="T14" s="147"/>
      <c r="U14" s="148"/>
      <c r="V14" s="149"/>
      <c r="W14" s="150"/>
      <c r="X14" s="151"/>
      <c r="Y14" s="152"/>
      <c r="Z14" s="151"/>
      <c r="AA14" s="153"/>
      <c r="AB14" s="154"/>
      <c r="AC14" s="149"/>
      <c r="AD14" s="148"/>
      <c r="AE14" s="148"/>
      <c r="AF14" s="155"/>
      <c r="AG14" s="156"/>
      <c r="AH14" s="113"/>
      <c r="AI14" s="157"/>
      <c r="AJ14" s="113"/>
      <c r="AK14" s="113"/>
      <c r="AL14" s="158"/>
      <c r="AM14" s="159"/>
      <c r="AN14" s="160"/>
      <c r="AO14" s="160"/>
      <c r="AP14" s="133"/>
      <c r="AQ14" s="134"/>
      <c r="AR14" s="161"/>
      <c r="AS14" s="161"/>
      <c r="AT14" s="161"/>
      <c r="AU14" s="161"/>
      <c r="AV14" s="162"/>
      <c r="AW14" s="137"/>
      <c r="AX14" s="137"/>
    </row>
    <row r="15" ht="46.5" customHeight="1" spans="1:50" s="97" customFormat="1" x14ac:dyDescent="0.25">
      <c r="A15" s="98">
        <v>6</v>
      </c>
      <c r="B15" s="99"/>
      <c r="C15" s="269" t="s">
        <v>323</v>
      </c>
      <c r="D15" s="249" t="s">
        <v>324</v>
      </c>
      <c r="E15" s="261"/>
      <c r="F15" s="163"/>
      <c r="G15" s="103"/>
      <c r="H15" s="171"/>
      <c r="I15" s="250">
        <v>0.51</v>
      </c>
      <c r="J15" s="250">
        <v>0.49</v>
      </c>
      <c r="K15" s="250"/>
      <c r="L15" s="107"/>
      <c r="M15" s="187"/>
      <c r="N15" s="169">
        <f t="shared" si="0"/>
        <v>1</v>
      </c>
      <c r="O15" s="144">
        <v>1</v>
      </c>
      <c r="P15" s="263">
        <v>15</v>
      </c>
      <c r="Q15" s="263">
        <v>15</v>
      </c>
      <c r="R15" s="263"/>
      <c r="S15" s="113"/>
      <c r="T15" s="146"/>
      <c r="U15" s="148">
        <f t="shared" si="1"/>
        <v>15</v>
      </c>
      <c r="V15" s="149">
        <f t="shared" si="2"/>
        <v>15</v>
      </c>
      <c r="W15" s="270">
        <v>9826016000</v>
      </c>
      <c r="X15" s="161">
        <v>8405329000</v>
      </c>
      <c r="Y15" s="199"/>
      <c r="Z15" s="161"/>
      <c r="AA15" s="153"/>
      <c r="AB15" s="154">
        <f t="shared" si="3"/>
        <v>22.62</v>
      </c>
      <c r="AC15" s="149">
        <f t="shared" si="4"/>
        <v>13</v>
      </c>
      <c r="AD15" s="125">
        <v>2</v>
      </c>
      <c r="AE15" s="148">
        <f t="shared" si="5"/>
        <v>15</v>
      </c>
      <c r="AF15" s="156"/>
      <c r="AG15" s="127"/>
      <c r="AH15" s="113">
        <f t="shared" si="6"/>
        <v>30</v>
      </c>
      <c r="AI15" s="157">
        <v>65</v>
      </c>
      <c r="AJ15" s="113">
        <f t="shared" si="7"/>
        <v>95</v>
      </c>
      <c r="AK15" s="113">
        <f t="shared" si="8"/>
        <v>95</v>
      </c>
      <c r="AL15" s="158">
        <f t="shared" si="9"/>
        <v>0.955</v>
      </c>
      <c r="AM15" s="159"/>
      <c r="AN15" s="160">
        <f t="shared" si="10"/>
        <v>1</v>
      </c>
      <c r="AO15" s="160">
        <f t="shared" si="10"/>
        <v>2</v>
      </c>
      <c r="AP15" s="133"/>
      <c r="AQ15" s="134"/>
      <c r="AR15" s="161"/>
      <c r="AS15" s="161"/>
      <c r="AT15" s="161"/>
      <c r="AU15" s="161"/>
      <c r="AV15" s="162"/>
      <c r="AW15" s="137">
        <f t="shared" si="11"/>
        <v>0</v>
      </c>
      <c r="AX15" s="137">
        <f t="shared" si="12"/>
        <v>0</v>
      </c>
    </row>
    <row r="16" ht="21.95" customHeight="1" spans="1:50" s="97" customFormat="1" x14ac:dyDescent="0.25">
      <c r="A16" s="138" t="s">
        <v>56</v>
      </c>
      <c r="B16" s="139"/>
      <c r="C16" s="139"/>
      <c r="D16" s="139"/>
      <c r="E16" s="139"/>
      <c r="F16" s="139"/>
      <c r="G16" s="139"/>
      <c r="H16" s="140"/>
      <c r="I16" s="248">
        <v>85</v>
      </c>
      <c r="J16" s="142">
        <v>85</v>
      </c>
      <c r="K16" s="142"/>
      <c r="L16" s="142"/>
      <c r="M16" s="142"/>
      <c r="N16" s="143">
        <f>I16*I15+J16*J15+K16*K15+L16*L15+M16*M15</f>
        <v>85</v>
      </c>
      <c r="O16" s="144"/>
      <c r="P16" s="145"/>
      <c r="Q16" s="113"/>
      <c r="R16" s="113"/>
      <c r="S16" s="146"/>
      <c r="T16" s="147"/>
      <c r="U16" s="148"/>
      <c r="V16" s="149"/>
      <c r="W16" s="150"/>
      <c r="X16" s="151"/>
      <c r="Y16" s="152"/>
      <c r="Z16" s="151"/>
      <c r="AA16" s="153"/>
      <c r="AB16" s="154"/>
      <c r="AC16" s="149"/>
      <c r="AD16" s="148"/>
      <c r="AE16" s="148"/>
      <c r="AF16" s="155"/>
      <c r="AG16" s="156"/>
      <c r="AH16" s="113"/>
      <c r="AI16" s="157"/>
      <c r="AJ16" s="113"/>
      <c r="AK16" s="113"/>
      <c r="AL16" s="158"/>
      <c r="AM16" s="159"/>
      <c r="AN16" s="160"/>
      <c r="AO16" s="160"/>
      <c r="AP16" s="133"/>
      <c r="AQ16" s="134"/>
      <c r="AR16" s="161"/>
      <c r="AS16" s="161"/>
      <c r="AT16" s="161"/>
      <c r="AU16" s="161"/>
      <c r="AV16" s="162"/>
      <c r="AW16" s="137"/>
      <c r="AX16" s="137"/>
    </row>
    <row r="17" ht="46.5" customHeight="1" spans="1:50" s="97" customFormat="1" x14ac:dyDescent="0.25">
      <c r="A17" s="98">
        <v>7</v>
      </c>
      <c r="B17" s="102"/>
      <c r="C17" s="209" t="s">
        <v>232</v>
      </c>
      <c r="D17" s="249" t="s">
        <v>325</v>
      </c>
      <c r="E17" s="261"/>
      <c r="F17" s="163"/>
      <c r="G17" s="103"/>
      <c r="H17" s="186"/>
      <c r="I17" s="166">
        <v>0.55</v>
      </c>
      <c r="J17" s="250">
        <v>0.45</v>
      </c>
      <c r="K17" s="250"/>
      <c r="L17" s="107"/>
      <c r="M17" s="187"/>
      <c r="N17" s="169">
        <f t="shared" si="0"/>
        <v>1</v>
      </c>
      <c r="O17" s="144">
        <v>1</v>
      </c>
      <c r="P17" s="145">
        <v>15</v>
      </c>
      <c r="Q17" s="268">
        <v>15</v>
      </c>
      <c r="R17" s="268"/>
      <c r="S17" s="113"/>
      <c r="T17" s="146"/>
      <c r="U17" s="148">
        <f t="shared" si="1"/>
        <v>15</v>
      </c>
      <c r="V17" s="149">
        <f t="shared" si="2"/>
        <v>15</v>
      </c>
      <c r="W17" s="192">
        <v>19538352000</v>
      </c>
      <c r="X17" s="264">
        <v>7601919000</v>
      </c>
      <c r="Y17" s="264"/>
      <c r="Z17" s="190"/>
      <c r="AA17" s="153"/>
      <c r="AB17" s="154">
        <f t="shared" si="3"/>
        <v>35.1</v>
      </c>
      <c r="AC17" s="149">
        <f t="shared" si="4"/>
        <v>13</v>
      </c>
      <c r="AD17" s="125">
        <v>2</v>
      </c>
      <c r="AE17" s="148">
        <f t="shared" si="5"/>
        <v>15</v>
      </c>
      <c r="AF17" s="156"/>
      <c r="AG17" s="127"/>
      <c r="AH17" s="113">
        <f t="shared" si="6"/>
        <v>30</v>
      </c>
      <c r="AI17" s="157">
        <v>65</v>
      </c>
      <c r="AJ17" s="113">
        <f t="shared" si="7"/>
        <v>95</v>
      </c>
      <c r="AK17" s="113">
        <f t="shared" si="8"/>
        <v>95</v>
      </c>
      <c r="AL17" s="158">
        <f t="shared" si="9"/>
        <v>0.955</v>
      </c>
      <c r="AM17" s="159"/>
      <c r="AN17" s="160">
        <f t="shared" si="10"/>
        <v>1</v>
      </c>
      <c r="AO17" s="160">
        <f t="shared" si="10"/>
        <v>2</v>
      </c>
      <c r="AP17" s="133"/>
      <c r="AQ17" s="134"/>
      <c r="AR17" s="161"/>
      <c r="AS17" s="161"/>
      <c r="AT17" s="161"/>
      <c r="AU17" s="161"/>
      <c r="AV17" s="162"/>
      <c r="AW17" s="137">
        <f t="shared" si="11"/>
        <v>0</v>
      </c>
      <c r="AX17" s="137">
        <f t="shared" si="12"/>
        <v>0</v>
      </c>
    </row>
    <row r="18" ht="21.95" customHeight="1" spans="1:50" s="97" customFormat="1" x14ac:dyDescent="0.25">
      <c r="A18" s="138" t="s">
        <v>56</v>
      </c>
      <c r="B18" s="139"/>
      <c r="C18" s="139"/>
      <c r="D18" s="139"/>
      <c r="E18" s="139"/>
      <c r="F18" s="139"/>
      <c r="G18" s="139"/>
      <c r="H18" s="140"/>
      <c r="I18" s="248">
        <v>85</v>
      </c>
      <c r="J18" s="142">
        <v>85</v>
      </c>
      <c r="K18" s="142"/>
      <c r="L18" s="142"/>
      <c r="M18" s="142"/>
      <c r="N18" s="143">
        <f>I18*I17+J18*J17+K18*K17+L18*L17+M18*M17</f>
        <v>85</v>
      </c>
      <c r="O18" s="144"/>
      <c r="P18" s="145"/>
      <c r="Q18" s="113"/>
      <c r="R18" s="113"/>
      <c r="S18" s="146"/>
      <c r="T18" s="147"/>
      <c r="U18" s="148"/>
      <c r="V18" s="149"/>
      <c r="W18" s="150"/>
      <c r="X18" s="151"/>
      <c r="Y18" s="152"/>
      <c r="Z18" s="151"/>
      <c r="AA18" s="153"/>
      <c r="AB18" s="154"/>
      <c r="AC18" s="149"/>
      <c r="AD18" s="148"/>
      <c r="AE18" s="148"/>
      <c r="AF18" s="155"/>
      <c r="AG18" s="156"/>
      <c r="AH18" s="113"/>
      <c r="AI18" s="157"/>
      <c r="AJ18" s="113"/>
      <c r="AK18" s="113"/>
      <c r="AL18" s="158"/>
      <c r="AM18" s="159"/>
      <c r="AN18" s="160"/>
      <c r="AO18" s="160"/>
      <c r="AP18" s="133"/>
      <c r="AQ18" s="134"/>
      <c r="AR18" s="161"/>
      <c r="AS18" s="161"/>
      <c r="AT18" s="161"/>
      <c r="AU18" s="161"/>
      <c r="AV18" s="162"/>
      <c r="AW18" s="137"/>
      <c r="AX18" s="137"/>
    </row>
    <row r="19" ht="46.5" customHeight="1" spans="1:50" s="97" customFormat="1" x14ac:dyDescent="0.25">
      <c r="A19" s="98">
        <v>8</v>
      </c>
      <c r="B19" s="99"/>
      <c r="C19" s="203" t="s">
        <v>326</v>
      </c>
      <c r="D19" s="253" t="s">
        <v>327</v>
      </c>
      <c r="E19" s="253"/>
      <c r="F19" s="253"/>
      <c r="G19" s="103"/>
      <c r="H19" s="186"/>
      <c r="I19" s="195">
        <v>0.51</v>
      </c>
      <c r="J19" s="250">
        <v>0.49</v>
      </c>
      <c r="K19" s="250"/>
      <c r="L19" s="250"/>
      <c r="M19" s="187"/>
      <c r="N19" s="169">
        <f t="shared" si="0"/>
        <v>1</v>
      </c>
      <c r="O19" s="144">
        <v>1</v>
      </c>
      <c r="P19" s="145">
        <v>15</v>
      </c>
      <c r="Q19" s="268">
        <v>15</v>
      </c>
      <c r="R19" s="271"/>
      <c r="S19" s="268"/>
      <c r="T19" s="146"/>
      <c r="U19" s="148">
        <f t="shared" si="1"/>
        <v>15</v>
      </c>
      <c r="V19" s="149">
        <f t="shared" si="2"/>
        <v>15</v>
      </c>
      <c r="W19" s="197">
        <v>0</v>
      </c>
      <c r="X19" s="264">
        <v>14186630000</v>
      </c>
      <c r="Y19" s="272"/>
      <c r="Z19" s="273"/>
      <c r="AA19" s="153"/>
      <c r="AB19" s="154">
        <f t="shared" si="3"/>
        <v>17.16</v>
      </c>
      <c r="AC19" s="149">
        <f t="shared" si="4"/>
        <v>13</v>
      </c>
      <c r="AD19" s="125">
        <v>2</v>
      </c>
      <c r="AE19" s="148">
        <f t="shared" si="5"/>
        <v>15</v>
      </c>
      <c r="AF19" s="156"/>
      <c r="AG19" s="127"/>
      <c r="AH19" s="113">
        <f t="shared" si="6"/>
        <v>30</v>
      </c>
      <c r="AI19" s="157">
        <v>65</v>
      </c>
      <c r="AJ19" s="113">
        <f t="shared" si="7"/>
        <v>95</v>
      </c>
      <c r="AK19" s="113">
        <f t="shared" si="8"/>
        <v>95</v>
      </c>
      <c r="AL19" s="158">
        <f t="shared" si="9"/>
        <v>0.955</v>
      </c>
      <c r="AM19" s="159"/>
      <c r="AN19" s="160">
        <f t="shared" si="10"/>
        <v>1</v>
      </c>
      <c r="AO19" s="160">
        <f t="shared" si="10"/>
        <v>2</v>
      </c>
      <c r="AP19" s="133"/>
      <c r="AQ19" s="134"/>
      <c r="AR19" s="161"/>
      <c r="AS19" s="161"/>
      <c r="AT19" s="161"/>
      <c r="AU19" s="161"/>
      <c r="AV19" s="162"/>
      <c r="AW19" s="137">
        <f t="shared" si="11"/>
        <v>0</v>
      </c>
      <c r="AX19" s="137">
        <f t="shared" si="12"/>
        <v>0</v>
      </c>
    </row>
    <row r="20" ht="21.95" customHeight="1" spans="1:50" s="97" customFormat="1" x14ac:dyDescent="0.25">
      <c r="A20" s="138" t="s">
        <v>56</v>
      </c>
      <c r="B20" s="139"/>
      <c r="C20" s="139"/>
      <c r="D20" s="139"/>
      <c r="E20" s="139"/>
      <c r="F20" s="139"/>
      <c r="G20" s="139"/>
      <c r="H20" s="140"/>
      <c r="I20" s="248">
        <v>85</v>
      </c>
      <c r="J20" s="142">
        <v>85</v>
      </c>
      <c r="K20" s="142"/>
      <c r="L20" s="142"/>
      <c r="M20" s="142"/>
      <c r="N20" s="143">
        <f>I20*I19+J20*J19+K20*K19+L20*L19+M20*M19</f>
        <v>85</v>
      </c>
      <c r="O20" s="144"/>
      <c r="P20" s="145"/>
      <c r="Q20" s="113"/>
      <c r="R20" s="113"/>
      <c r="S20" s="146"/>
      <c r="T20" s="147"/>
      <c r="U20" s="148"/>
      <c r="V20" s="149"/>
      <c r="W20" s="150"/>
      <c r="X20" s="151"/>
      <c r="Y20" s="152"/>
      <c r="Z20" s="151"/>
      <c r="AA20" s="153"/>
      <c r="AB20" s="154"/>
      <c r="AC20" s="149"/>
      <c r="AD20" s="148"/>
      <c r="AE20" s="148"/>
      <c r="AF20" s="155"/>
      <c r="AG20" s="156"/>
      <c r="AH20" s="113"/>
      <c r="AI20" s="157"/>
      <c r="AJ20" s="113"/>
      <c r="AK20" s="113"/>
      <c r="AL20" s="158"/>
      <c r="AM20" s="159"/>
      <c r="AN20" s="160"/>
      <c r="AO20" s="160"/>
      <c r="AP20" s="133"/>
      <c r="AQ20" s="134"/>
      <c r="AR20" s="161"/>
      <c r="AS20" s="161"/>
      <c r="AT20" s="161"/>
      <c r="AU20" s="161"/>
      <c r="AV20" s="162"/>
      <c r="AW20" s="137"/>
      <c r="AX20" s="137"/>
    </row>
    <row r="21" ht="46.5" customHeight="1" spans="1:50" s="97" customFormat="1" x14ac:dyDescent="0.25">
      <c r="A21" s="239">
        <v>9</v>
      </c>
      <c r="B21" s="100"/>
      <c r="C21" s="253" t="s">
        <v>238</v>
      </c>
      <c r="D21" s="249" t="s">
        <v>328</v>
      </c>
      <c r="E21" s="249" t="s">
        <v>329</v>
      </c>
      <c r="F21" s="100"/>
      <c r="G21" s="214"/>
      <c r="H21" s="186"/>
      <c r="I21" s="254">
        <v>0.7</v>
      </c>
      <c r="J21" s="250">
        <v>0.2</v>
      </c>
      <c r="K21" s="250">
        <v>0.1</v>
      </c>
      <c r="L21" s="107"/>
      <c r="M21" s="187"/>
      <c r="N21" s="169">
        <f t="shared" si="0"/>
        <v>0.9999999999999999</v>
      </c>
      <c r="O21" s="144">
        <v>1</v>
      </c>
      <c r="P21" s="255">
        <v>15</v>
      </c>
      <c r="Q21" s="268">
        <v>15</v>
      </c>
      <c r="R21" s="268">
        <v>15</v>
      </c>
      <c r="S21" s="113"/>
      <c r="T21" s="146"/>
      <c r="U21" s="148">
        <f t="shared" si="1"/>
        <v>15</v>
      </c>
      <c r="V21" s="149">
        <f t="shared" si="2"/>
        <v>15</v>
      </c>
      <c r="W21" s="256">
        <v>37227845000</v>
      </c>
      <c r="X21" s="252">
        <v>7441762000</v>
      </c>
      <c r="Y21" s="274">
        <v>5312265000</v>
      </c>
      <c r="Z21" s="190"/>
      <c r="AA21" s="153"/>
      <c r="AB21" s="154">
        <f t="shared" si="3"/>
        <v>69.55</v>
      </c>
      <c r="AC21" s="149">
        <f t="shared" si="4"/>
        <v>13</v>
      </c>
      <c r="AD21" s="125">
        <v>2</v>
      </c>
      <c r="AE21" s="148">
        <f t="shared" si="5"/>
        <v>15</v>
      </c>
      <c r="AF21" s="156"/>
      <c r="AG21" s="127"/>
      <c r="AH21" s="113">
        <f t="shared" si="6"/>
        <v>30</v>
      </c>
      <c r="AI21" s="157">
        <v>65</v>
      </c>
      <c r="AJ21" s="113">
        <f t="shared" si="7"/>
        <v>95</v>
      </c>
      <c r="AK21" s="113">
        <f t="shared" si="8"/>
        <v>95</v>
      </c>
      <c r="AL21" s="158">
        <f t="shared" si="9"/>
        <v>0.955</v>
      </c>
      <c r="AM21" s="159"/>
      <c r="AN21" s="160">
        <f t="shared" si="10"/>
        <v>1</v>
      </c>
      <c r="AO21" s="160">
        <f t="shared" si="10"/>
        <v>2</v>
      </c>
      <c r="AP21" s="133"/>
      <c r="AQ21" s="134"/>
      <c r="AR21" s="161"/>
      <c r="AS21" s="161"/>
      <c r="AT21" s="161"/>
      <c r="AU21" s="161"/>
      <c r="AV21" s="162"/>
      <c r="AW21" s="137">
        <f t="shared" si="11"/>
        <v>0</v>
      </c>
      <c r="AX21" s="137">
        <f t="shared" si="12"/>
        <v>0</v>
      </c>
    </row>
    <row r="22" ht="21.95" customHeight="1" spans="1:50" s="97" customFormat="1" x14ac:dyDescent="0.25">
      <c r="A22" s="138" t="s">
        <v>56</v>
      </c>
      <c r="B22" s="139"/>
      <c r="C22" s="139"/>
      <c r="D22" s="139"/>
      <c r="E22" s="139"/>
      <c r="F22" s="139"/>
      <c r="G22" s="139"/>
      <c r="H22" s="140"/>
      <c r="I22" s="248">
        <v>85</v>
      </c>
      <c r="J22" s="142">
        <v>85</v>
      </c>
      <c r="K22" s="142">
        <v>85</v>
      </c>
      <c r="L22" s="142"/>
      <c r="M22" s="142"/>
      <c r="N22" s="143">
        <f>I22*I21+J22*J21+K22*K21+L22*L21+M22*M21</f>
        <v>85</v>
      </c>
      <c r="O22" s="144"/>
      <c r="P22" s="145"/>
      <c r="Q22" s="113"/>
      <c r="R22" s="113"/>
      <c r="S22" s="146"/>
      <c r="T22" s="147"/>
      <c r="U22" s="148"/>
      <c r="V22" s="149"/>
      <c r="W22" s="150"/>
      <c r="X22" s="151"/>
      <c r="Y22" s="152"/>
      <c r="Z22" s="151"/>
      <c r="AA22" s="153"/>
      <c r="AB22" s="154"/>
      <c r="AC22" s="149"/>
      <c r="AD22" s="148"/>
      <c r="AE22" s="148"/>
      <c r="AF22" s="155"/>
      <c r="AG22" s="156"/>
      <c r="AH22" s="113"/>
      <c r="AI22" s="157"/>
      <c r="AJ22" s="113"/>
      <c r="AK22" s="113"/>
      <c r="AL22" s="158"/>
      <c r="AM22" s="159"/>
      <c r="AN22" s="160"/>
      <c r="AO22" s="160"/>
      <c r="AP22" s="133"/>
      <c r="AQ22" s="134"/>
      <c r="AR22" s="161"/>
      <c r="AS22" s="161"/>
      <c r="AT22" s="161"/>
      <c r="AU22" s="161"/>
      <c r="AV22" s="162"/>
      <c r="AW22" s="137"/>
      <c r="AX22" s="137"/>
    </row>
    <row r="23" ht="46.5" customHeight="1" spans="1:50" s="97" customFormat="1" x14ac:dyDescent="0.25">
      <c r="A23" s="239">
        <v>10</v>
      </c>
      <c r="B23" s="100"/>
      <c r="C23" s="253" t="s">
        <v>236</v>
      </c>
      <c r="D23" s="249" t="s">
        <v>330</v>
      </c>
      <c r="E23" s="275" t="s">
        <v>331</v>
      </c>
      <c r="F23" s="253"/>
      <c r="G23" s="103"/>
      <c r="H23" s="171"/>
      <c r="I23" s="254">
        <v>0.7</v>
      </c>
      <c r="J23" s="250">
        <v>0.1</v>
      </c>
      <c r="K23" s="107">
        <v>0.2</v>
      </c>
      <c r="L23" s="107"/>
      <c r="M23" s="187"/>
      <c r="N23" s="169">
        <f t="shared" si="0"/>
        <v>1</v>
      </c>
      <c r="O23" s="144">
        <v>1</v>
      </c>
      <c r="P23" s="255">
        <v>15</v>
      </c>
      <c r="Q23" s="268">
        <v>15</v>
      </c>
      <c r="R23" s="113">
        <v>15</v>
      </c>
      <c r="S23" s="113"/>
      <c r="T23" s="146"/>
      <c r="U23" s="148">
        <f t="shared" si="1"/>
        <v>15</v>
      </c>
      <c r="V23" s="149">
        <f t="shared" si="2"/>
        <v>15</v>
      </c>
      <c r="W23" s="272">
        <v>72793312000</v>
      </c>
      <c r="X23" s="274">
        <v>704364000</v>
      </c>
      <c r="Y23" s="264">
        <v>1743811000</v>
      </c>
      <c r="Z23" s="190"/>
      <c r="AA23" s="153"/>
      <c r="AB23" s="154">
        <f t="shared" si="3"/>
        <v>127.13999999999999</v>
      </c>
      <c r="AC23" s="149">
        <f t="shared" si="4"/>
        <v>13</v>
      </c>
      <c r="AD23" s="125">
        <v>2</v>
      </c>
      <c r="AE23" s="148">
        <f t="shared" si="5"/>
        <v>15</v>
      </c>
      <c r="AF23" s="156"/>
      <c r="AG23" s="127"/>
      <c r="AH23" s="113">
        <f t="shared" si="6"/>
        <v>30</v>
      </c>
      <c r="AI23" s="157">
        <v>65</v>
      </c>
      <c r="AJ23" s="113">
        <f t="shared" si="7"/>
        <v>95</v>
      </c>
      <c r="AK23" s="113">
        <f t="shared" si="8"/>
        <v>95</v>
      </c>
      <c r="AL23" s="158">
        <f t="shared" si="9"/>
        <v>0.955</v>
      </c>
      <c r="AM23" s="159"/>
      <c r="AN23" s="160">
        <f t="shared" si="10"/>
        <v>1</v>
      </c>
      <c r="AO23" s="160">
        <f t="shared" si="10"/>
        <v>2</v>
      </c>
      <c r="AP23" s="133"/>
      <c r="AQ23" s="134"/>
      <c r="AR23" s="161"/>
      <c r="AS23" s="161"/>
      <c r="AT23" s="161"/>
      <c r="AU23" s="161"/>
      <c r="AV23" s="162"/>
      <c r="AW23" s="137">
        <f t="shared" si="11"/>
        <v>0</v>
      </c>
      <c r="AX23" s="137">
        <f t="shared" si="12"/>
        <v>0</v>
      </c>
    </row>
    <row r="24" ht="21.95" customHeight="1" spans="1:50" s="97" customFormat="1" x14ac:dyDescent="0.25">
      <c r="A24" s="138" t="s">
        <v>56</v>
      </c>
      <c r="B24" s="139"/>
      <c r="C24" s="139"/>
      <c r="D24" s="139"/>
      <c r="E24" s="139"/>
      <c r="F24" s="139"/>
      <c r="G24" s="139"/>
      <c r="H24" s="140"/>
      <c r="I24" s="248">
        <v>85</v>
      </c>
      <c r="J24" s="142">
        <v>85</v>
      </c>
      <c r="K24" s="142">
        <v>85</v>
      </c>
      <c r="L24" s="142"/>
      <c r="M24" s="142"/>
      <c r="N24" s="143">
        <f>I24*I23+J24*J23+K24*K23+L24*L23+M24*M23</f>
        <v>85</v>
      </c>
      <c r="O24" s="144"/>
      <c r="P24" s="145"/>
      <c r="Q24" s="113"/>
      <c r="R24" s="113"/>
      <c r="S24" s="146"/>
      <c r="T24" s="147"/>
      <c r="U24" s="148"/>
      <c r="V24" s="149"/>
      <c r="W24" s="150"/>
      <c r="X24" s="151"/>
      <c r="Y24" s="152"/>
      <c r="Z24" s="151"/>
      <c r="AA24" s="153"/>
      <c r="AB24" s="154"/>
      <c r="AC24" s="149"/>
      <c r="AD24" s="148"/>
      <c r="AE24" s="148"/>
      <c r="AF24" s="155"/>
      <c r="AG24" s="156"/>
      <c r="AH24" s="113"/>
      <c r="AI24" s="157"/>
      <c r="AJ24" s="113"/>
      <c r="AK24" s="113"/>
      <c r="AL24" s="158"/>
      <c r="AM24" s="159"/>
      <c r="AN24" s="160"/>
      <c r="AO24" s="160"/>
      <c r="AP24" s="133"/>
      <c r="AQ24" s="134"/>
      <c r="AR24" s="161"/>
      <c r="AS24" s="161"/>
      <c r="AT24" s="161"/>
      <c r="AU24" s="161"/>
      <c r="AV24" s="162"/>
      <c r="AW24" s="137"/>
      <c r="AX24" s="137"/>
    </row>
    <row r="25" ht="46.5" customHeight="1" spans="1:50" s="97" customFormat="1" x14ac:dyDescent="0.25">
      <c r="A25" s="239">
        <v>11</v>
      </c>
      <c r="B25" s="100"/>
      <c r="C25" s="253" t="s">
        <v>244</v>
      </c>
      <c r="D25" s="249" t="s">
        <v>332</v>
      </c>
      <c r="E25" s="100"/>
      <c r="F25" s="100"/>
      <c r="G25" s="103"/>
      <c r="H25" s="186"/>
      <c r="I25" s="254">
        <v>0.51</v>
      </c>
      <c r="J25" s="250">
        <v>0.49</v>
      </c>
      <c r="K25" s="107"/>
      <c r="L25" s="107"/>
      <c r="M25" s="187"/>
      <c r="N25" s="169">
        <f t="shared" si="0"/>
        <v>1</v>
      </c>
      <c r="O25" s="144">
        <v>1</v>
      </c>
      <c r="P25" s="255">
        <v>15</v>
      </c>
      <c r="Q25" s="268">
        <v>15</v>
      </c>
      <c r="R25" s="113"/>
      <c r="S25" s="113"/>
      <c r="T25" s="146"/>
      <c r="U25" s="148">
        <f t="shared" si="1"/>
        <v>15</v>
      </c>
      <c r="V25" s="149">
        <f t="shared" si="2"/>
        <v>15</v>
      </c>
      <c r="W25" s="256">
        <v>15298736000</v>
      </c>
      <c r="X25" s="252">
        <v>1956205000</v>
      </c>
      <c r="Y25" s="151"/>
      <c r="Z25" s="190"/>
      <c r="AA25" s="153"/>
      <c r="AB25" s="154">
        <f t="shared" si="3"/>
        <v>21.71</v>
      </c>
      <c r="AC25" s="149">
        <f t="shared" si="4"/>
        <v>13</v>
      </c>
      <c r="AD25" s="125">
        <v>2</v>
      </c>
      <c r="AE25" s="148">
        <f t="shared" si="5"/>
        <v>15</v>
      </c>
      <c r="AF25" s="156"/>
      <c r="AG25" s="127"/>
      <c r="AH25" s="113">
        <f t="shared" si="6"/>
        <v>30</v>
      </c>
      <c r="AI25" s="157">
        <v>65</v>
      </c>
      <c r="AJ25" s="113">
        <f t="shared" si="7"/>
        <v>95</v>
      </c>
      <c r="AK25" s="113">
        <f t="shared" si="8"/>
        <v>95</v>
      </c>
      <c r="AL25" s="158">
        <f t="shared" si="9"/>
        <v>0.955</v>
      </c>
      <c r="AM25" s="159"/>
      <c r="AN25" s="160">
        <f t="shared" si="10"/>
        <v>1</v>
      </c>
      <c r="AO25" s="160">
        <f t="shared" si="10"/>
        <v>2</v>
      </c>
      <c r="AP25" s="133"/>
      <c r="AQ25" s="134"/>
      <c r="AR25" s="161"/>
      <c r="AS25" s="161"/>
      <c r="AT25" s="161"/>
      <c r="AU25" s="161"/>
      <c r="AV25" s="162"/>
      <c r="AW25" s="137">
        <f t="shared" si="11"/>
        <v>0</v>
      </c>
      <c r="AX25" s="137">
        <f t="shared" si="12"/>
        <v>0</v>
      </c>
    </row>
    <row r="26" ht="21.95" customHeight="1" spans="1:50" s="97" customFormat="1" x14ac:dyDescent="0.25">
      <c r="A26" s="259" t="s">
        <v>56</v>
      </c>
      <c r="B26" s="260"/>
      <c r="C26" s="260"/>
      <c r="D26" s="260"/>
      <c r="E26" s="260"/>
      <c r="F26" s="260"/>
      <c r="G26" s="260"/>
      <c r="H26" s="140"/>
      <c r="I26" s="248">
        <v>85</v>
      </c>
      <c r="J26" s="142">
        <v>85</v>
      </c>
      <c r="K26" s="142"/>
      <c r="L26" s="142"/>
      <c r="M26" s="142"/>
      <c r="N26" s="143">
        <f>I26*I25+J26*J25+K26*K25+L26*L25+M26*M25</f>
        <v>85</v>
      </c>
      <c r="O26" s="144"/>
      <c r="P26" s="145"/>
      <c r="Q26" s="113"/>
      <c r="R26" s="113"/>
      <c r="S26" s="146"/>
      <c r="T26" s="147"/>
      <c r="U26" s="148"/>
      <c r="V26" s="149"/>
      <c r="W26" s="150"/>
      <c r="X26" s="151"/>
      <c r="Y26" s="152"/>
      <c r="Z26" s="151"/>
      <c r="AA26" s="153"/>
      <c r="AB26" s="154"/>
      <c r="AC26" s="149"/>
      <c r="AD26" s="148"/>
      <c r="AE26" s="148"/>
      <c r="AF26" s="155"/>
      <c r="AG26" s="156"/>
      <c r="AH26" s="113"/>
      <c r="AI26" s="157"/>
      <c r="AJ26" s="113"/>
      <c r="AK26" s="113"/>
      <c r="AL26" s="158"/>
      <c r="AM26" s="159"/>
      <c r="AN26" s="160"/>
      <c r="AO26" s="160"/>
      <c r="AP26" s="133"/>
      <c r="AQ26" s="134"/>
      <c r="AR26" s="161"/>
      <c r="AS26" s="161"/>
      <c r="AT26" s="161"/>
      <c r="AU26" s="161"/>
      <c r="AV26" s="162"/>
      <c r="AW26" s="137"/>
      <c r="AX26" s="137"/>
    </row>
    <row r="27" ht="46.5" customHeight="1" spans="1:50" s="97" customFormat="1" x14ac:dyDescent="0.25">
      <c r="A27" s="239">
        <v>12</v>
      </c>
      <c r="B27" s="100"/>
      <c r="C27" s="253" t="s">
        <v>157</v>
      </c>
      <c r="D27" s="249" t="s">
        <v>333</v>
      </c>
      <c r="E27" s="249" t="s">
        <v>334</v>
      </c>
      <c r="F27" s="100"/>
      <c r="G27" s="103"/>
      <c r="H27" s="233" t="s">
        <v>335</v>
      </c>
      <c r="I27" s="254">
        <v>0.7</v>
      </c>
      <c r="J27" s="276">
        <v>0.1518</v>
      </c>
      <c r="K27" s="250">
        <v>0.1</v>
      </c>
      <c r="L27" s="107"/>
      <c r="M27" s="187"/>
      <c r="N27" s="169">
        <f t="shared" si="0"/>
        <v>0.9517999999999999</v>
      </c>
      <c r="O27" s="229">
        <v>1.1</v>
      </c>
      <c r="P27" s="255">
        <v>15</v>
      </c>
      <c r="Q27" s="268">
        <v>15</v>
      </c>
      <c r="R27" s="268">
        <v>15</v>
      </c>
      <c r="S27" s="113"/>
      <c r="T27" s="146"/>
      <c r="U27" s="148">
        <f t="shared" si="1"/>
        <v>15.7</v>
      </c>
      <c r="V27" s="149">
        <f t="shared" si="2"/>
        <v>15</v>
      </c>
      <c r="W27" s="256">
        <v>13914768000</v>
      </c>
      <c r="X27" s="277">
        <v>1174870000</v>
      </c>
      <c r="Y27" s="272">
        <v>998766000</v>
      </c>
      <c r="Z27" s="272"/>
      <c r="AA27" s="153"/>
      <c r="AB27" s="154">
        <f t="shared" si="3"/>
        <v>24.83</v>
      </c>
      <c r="AC27" s="149">
        <f t="shared" si="4"/>
        <v>13</v>
      </c>
      <c r="AD27" s="125">
        <v>1</v>
      </c>
      <c r="AE27" s="148">
        <f t="shared" si="5"/>
        <v>14</v>
      </c>
      <c r="AF27" s="156">
        <f>1.5*I27+0.5*J27</f>
        <v>1.1259</v>
      </c>
      <c r="AG27" s="127"/>
      <c r="AH27" s="113">
        <f t="shared" si="6"/>
        <v>30</v>
      </c>
      <c r="AI27" s="157">
        <v>65</v>
      </c>
      <c r="AJ27" s="113">
        <f t="shared" si="7"/>
        <v>95.1259</v>
      </c>
      <c r="AK27" s="113">
        <f t="shared" si="8"/>
        <v>95</v>
      </c>
      <c r="AL27" s="158">
        <f t="shared" si="9"/>
        <v>0.955</v>
      </c>
      <c r="AM27" s="159"/>
      <c r="AN27" s="160">
        <f t="shared" ref="AN27:AO47" si="13">100%+AM27</f>
        <v>1</v>
      </c>
      <c r="AO27" s="160">
        <f t="shared" si="13"/>
        <v>2</v>
      </c>
      <c r="AP27" s="133"/>
      <c r="AQ27" s="134"/>
      <c r="AR27" s="161"/>
      <c r="AS27" s="161"/>
      <c r="AT27" s="161"/>
      <c r="AU27" s="161"/>
      <c r="AV27" s="162"/>
      <c r="AW27" s="137">
        <f t="shared" si="11"/>
        <v>0</v>
      </c>
      <c r="AX27" s="137">
        <f t="shared" si="12"/>
        <v>0</v>
      </c>
    </row>
    <row r="28" ht="21.95" customHeight="1" spans="1:50" s="97" customFormat="1" x14ac:dyDescent="0.25">
      <c r="A28" s="138" t="s">
        <v>56</v>
      </c>
      <c r="B28" s="139"/>
      <c r="C28" s="139"/>
      <c r="D28" s="139"/>
      <c r="E28" s="139"/>
      <c r="F28" s="139"/>
      <c r="G28" s="139"/>
      <c r="H28" s="140"/>
      <c r="I28" s="248">
        <v>85</v>
      </c>
      <c r="J28" s="142">
        <v>85</v>
      </c>
      <c r="K28" s="142">
        <v>85</v>
      </c>
      <c r="L28" s="142"/>
      <c r="M28" s="142"/>
      <c r="N28" s="143">
        <f>I28*I27+J28*J27+K28*K27+L28*L27+M28*M27</f>
        <v>80.90299999999999</v>
      </c>
      <c r="O28" s="144"/>
      <c r="P28" s="145"/>
      <c r="Q28" s="113"/>
      <c r="R28" s="113"/>
      <c r="S28" s="146"/>
      <c r="T28" s="147"/>
      <c r="U28" s="148"/>
      <c r="V28" s="149"/>
      <c r="W28" s="150"/>
      <c r="X28" s="151"/>
      <c r="Y28" s="152"/>
      <c r="Z28" s="151"/>
      <c r="AA28" s="153"/>
      <c r="AB28" s="154"/>
      <c r="AC28" s="149"/>
      <c r="AD28" s="148"/>
      <c r="AE28" s="148"/>
      <c r="AF28" s="155"/>
      <c r="AG28" s="156"/>
      <c r="AH28" s="113"/>
      <c r="AI28" s="157"/>
      <c r="AJ28" s="113"/>
      <c r="AK28" s="113"/>
      <c r="AL28" s="158"/>
      <c r="AM28" s="159"/>
      <c r="AN28" s="160"/>
      <c r="AO28" s="160"/>
      <c r="AP28" s="133"/>
      <c r="AQ28" s="134"/>
      <c r="AR28" s="161"/>
      <c r="AS28" s="161"/>
      <c r="AT28" s="161"/>
      <c r="AU28" s="161"/>
      <c r="AV28" s="162"/>
      <c r="AW28" s="137"/>
      <c r="AX28" s="137"/>
    </row>
    <row r="29" ht="46.5" customHeight="1" spans="1:50" s="97" customFormat="1" x14ac:dyDescent="0.25">
      <c r="A29" s="239">
        <v>13</v>
      </c>
      <c r="B29" s="100"/>
      <c r="C29" s="174" t="s">
        <v>336</v>
      </c>
      <c r="D29" s="278" t="s">
        <v>206</v>
      </c>
      <c r="E29" s="278"/>
      <c r="F29" s="100"/>
      <c r="G29" s="103"/>
      <c r="H29" s="186"/>
      <c r="I29" s="195">
        <v>0.51</v>
      </c>
      <c r="J29" s="107">
        <v>0.49</v>
      </c>
      <c r="K29" s="107"/>
      <c r="L29" s="107"/>
      <c r="M29" s="187"/>
      <c r="N29" s="169">
        <f t="shared" si="0"/>
        <v>1</v>
      </c>
      <c r="O29" s="144">
        <v>1</v>
      </c>
      <c r="P29" s="145">
        <v>15</v>
      </c>
      <c r="Q29" s="113">
        <v>15</v>
      </c>
      <c r="R29" s="113"/>
      <c r="S29" s="113"/>
      <c r="T29" s="146"/>
      <c r="U29" s="148">
        <f t="shared" si="1"/>
        <v>15</v>
      </c>
      <c r="V29" s="149">
        <f t="shared" si="2"/>
        <v>15</v>
      </c>
      <c r="W29" s="189">
        <v>2728330000</v>
      </c>
      <c r="X29" s="264">
        <v>23014391000</v>
      </c>
      <c r="Y29" s="264"/>
      <c r="Z29" s="190"/>
      <c r="AA29" s="153"/>
      <c r="AB29" s="154">
        <f t="shared" si="3"/>
        <v>31.330000000000002</v>
      </c>
      <c r="AC29" s="149">
        <f t="shared" si="4"/>
        <v>13</v>
      </c>
      <c r="AD29" s="125">
        <v>2</v>
      </c>
      <c r="AE29" s="148">
        <f t="shared" si="5"/>
        <v>15</v>
      </c>
      <c r="AF29" s="156"/>
      <c r="AG29" s="127"/>
      <c r="AH29" s="113">
        <f t="shared" si="6"/>
        <v>30</v>
      </c>
      <c r="AI29" s="157">
        <v>65</v>
      </c>
      <c r="AJ29" s="113">
        <f t="shared" si="7"/>
        <v>95</v>
      </c>
      <c r="AK29" s="113">
        <f t="shared" si="8"/>
        <v>95</v>
      </c>
      <c r="AL29" s="158">
        <f t="shared" si="9"/>
        <v>0.955</v>
      </c>
      <c r="AM29" s="159"/>
      <c r="AN29" s="160">
        <f t="shared" si="13"/>
        <v>1</v>
      </c>
      <c r="AO29" s="160">
        <f t="shared" si="13"/>
        <v>2</v>
      </c>
      <c r="AP29" s="133"/>
      <c r="AQ29" s="134"/>
      <c r="AR29" s="161"/>
      <c r="AS29" s="161"/>
      <c r="AT29" s="161"/>
      <c r="AU29" s="161"/>
      <c r="AV29" s="162"/>
      <c r="AW29" s="137">
        <f t="shared" si="11"/>
        <v>0</v>
      </c>
      <c r="AX29" s="137">
        <f t="shared" si="12"/>
        <v>0</v>
      </c>
    </row>
    <row r="30" ht="21.95" customHeight="1" spans="1:50" s="97" customFormat="1" x14ac:dyDescent="0.25">
      <c r="A30" s="138" t="s">
        <v>56</v>
      </c>
      <c r="B30" s="139"/>
      <c r="C30" s="139"/>
      <c r="D30" s="139"/>
      <c r="E30" s="139"/>
      <c r="F30" s="139"/>
      <c r="G30" s="139"/>
      <c r="H30" s="140"/>
      <c r="I30" s="248">
        <v>85</v>
      </c>
      <c r="J30" s="142">
        <v>85</v>
      </c>
      <c r="K30" s="142"/>
      <c r="L30" s="142"/>
      <c r="M30" s="142"/>
      <c r="N30" s="143">
        <f>I30*I29+J30*J29+K30*K29+L30*L29+M30*M29</f>
        <v>85</v>
      </c>
      <c r="O30" s="144"/>
      <c r="P30" s="145"/>
      <c r="Q30" s="113"/>
      <c r="R30" s="113"/>
      <c r="S30" s="146"/>
      <c r="T30" s="147"/>
      <c r="U30" s="148"/>
      <c r="V30" s="149"/>
      <c r="W30" s="150"/>
      <c r="X30" s="151"/>
      <c r="Y30" s="152"/>
      <c r="Z30" s="151"/>
      <c r="AA30" s="153"/>
      <c r="AB30" s="154"/>
      <c r="AC30" s="149"/>
      <c r="AD30" s="148"/>
      <c r="AE30" s="148"/>
      <c r="AF30" s="155"/>
      <c r="AG30" s="156"/>
      <c r="AH30" s="113"/>
      <c r="AI30" s="157"/>
      <c r="AJ30" s="113"/>
      <c r="AK30" s="113"/>
      <c r="AL30" s="158"/>
      <c r="AM30" s="159"/>
      <c r="AN30" s="160"/>
      <c r="AO30" s="160"/>
      <c r="AP30" s="133"/>
      <c r="AQ30" s="134"/>
      <c r="AR30" s="161"/>
      <c r="AS30" s="161"/>
      <c r="AT30" s="161"/>
      <c r="AU30" s="161"/>
      <c r="AV30" s="162"/>
      <c r="AW30" s="137"/>
      <c r="AX30" s="137"/>
    </row>
    <row r="31" ht="46.5" customHeight="1" spans="1:50" s="97" customFormat="1" x14ac:dyDescent="0.25">
      <c r="A31" s="239">
        <v>14</v>
      </c>
      <c r="B31" s="100"/>
      <c r="C31" s="212" t="s">
        <v>248</v>
      </c>
      <c r="D31" s="174" t="s">
        <v>337</v>
      </c>
      <c r="E31" s="100"/>
      <c r="F31" s="100"/>
      <c r="G31" s="103"/>
      <c r="H31" s="186"/>
      <c r="I31" s="195">
        <v>0.51</v>
      </c>
      <c r="J31" s="107">
        <v>0.49</v>
      </c>
      <c r="K31" s="107"/>
      <c r="L31" s="107"/>
      <c r="M31" s="187"/>
      <c r="N31" s="169">
        <f t="shared" si="0"/>
        <v>1</v>
      </c>
      <c r="O31" s="144">
        <v>1</v>
      </c>
      <c r="P31" s="145">
        <v>15</v>
      </c>
      <c r="Q31" s="113">
        <v>15</v>
      </c>
      <c r="R31" s="113"/>
      <c r="S31" s="113"/>
      <c r="T31" s="146"/>
      <c r="U31" s="148">
        <f t="shared" si="1"/>
        <v>15</v>
      </c>
      <c r="V31" s="149">
        <f t="shared" si="2"/>
        <v>15</v>
      </c>
      <c r="W31" s="189">
        <v>9491864000</v>
      </c>
      <c r="X31" s="199">
        <v>2871000000</v>
      </c>
      <c r="Y31" s="151"/>
      <c r="Z31" s="190"/>
      <c r="AA31" s="153"/>
      <c r="AB31" s="154">
        <f t="shared" si="3"/>
        <v>15.469999999999999</v>
      </c>
      <c r="AC31" s="149">
        <f t="shared" si="4"/>
        <v>13</v>
      </c>
      <c r="AD31" s="125">
        <v>2</v>
      </c>
      <c r="AE31" s="148">
        <f t="shared" si="5"/>
        <v>15</v>
      </c>
      <c r="AF31" s="156"/>
      <c r="AG31" s="127"/>
      <c r="AH31" s="113">
        <f t="shared" si="6"/>
        <v>30</v>
      </c>
      <c r="AI31" s="157">
        <v>65</v>
      </c>
      <c r="AJ31" s="113">
        <f t="shared" si="7"/>
        <v>95</v>
      </c>
      <c r="AK31" s="113">
        <f t="shared" si="8"/>
        <v>95</v>
      </c>
      <c r="AL31" s="158">
        <f t="shared" si="9"/>
        <v>0.955</v>
      </c>
      <c r="AM31" s="159"/>
      <c r="AN31" s="160">
        <f t="shared" si="13"/>
        <v>1</v>
      </c>
      <c r="AO31" s="160">
        <f t="shared" si="13"/>
        <v>2</v>
      </c>
      <c r="AP31" s="133"/>
      <c r="AQ31" s="134"/>
      <c r="AR31" s="161"/>
      <c r="AS31" s="161"/>
      <c r="AT31" s="161"/>
      <c r="AU31" s="161"/>
      <c r="AV31" s="162"/>
      <c r="AW31" s="137">
        <f t="shared" si="11"/>
        <v>0</v>
      </c>
      <c r="AX31" s="137">
        <f t="shared" si="12"/>
        <v>0</v>
      </c>
    </row>
    <row r="32" ht="21.95" customHeight="1" spans="1:50" s="97" customFormat="1" x14ac:dyDescent="0.25">
      <c r="A32" s="138" t="s">
        <v>56</v>
      </c>
      <c r="B32" s="139"/>
      <c r="C32" s="139"/>
      <c r="D32" s="139"/>
      <c r="E32" s="139"/>
      <c r="F32" s="139"/>
      <c r="G32" s="139"/>
      <c r="H32" s="140"/>
      <c r="I32" s="248">
        <v>85</v>
      </c>
      <c r="J32" s="142">
        <v>85</v>
      </c>
      <c r="K32" s="142"/>
      <c r="L32" s="142"/>
      <c r="M32" s="142"/>
      <c r="N32" s="143">
        <f>I32*I31+J32*J31+K32*K31+L32*L31+M32*M31</f>
        <v>85</v>
      </c>
      <c r="O32" s="144"/>
      <c r="P32" s="145"/>
      <c r="Q32" s="113"/>
      <c r="R32" s="113"/>
      <c r="S32" s="146"/>
      <c r="T32" s="147"/>
      <c r="U32" s="148"/>
      <c r="V32" s="149"/>
      <c r="W32" s="150"/>
      <c r="X32" s="151"/>
      <c r="Y32" s="152"/>
      <c r="Z32" s="151"/>
      <c r="AA32" s="153"/>
      <c r="AB32" s="154"/>
      <c r="AC32" s="149"/>
      <c r="AD32" s="148"/>
      <c r="AE32" s="148"/>
      <c r="AF32" s="155"/>
      <c r="AG32" s="156"/>
      <c r="AH32" s="113"/>
      <c r="AI32" s="157"/>
      <c r="AJ32" s="113"/>
      <c r="AK32" s="113"/>
      <c r="AL32" s="158"/>
      <c r="AM32" s="159"/>
      <c r="AN32" s="160"/>
      <c r="AO32" s="160"/>
      <c r="AP32" s="133"/>
      <c r="AQ32" s="134"/>
      <c r="AR32" s="161"/>
      <c r="AS32" s="161"/>
      <c r="AT32" s="161"/>
      <c r="AU32" s="161"/>
      <c r="AV32" s="162"/>
      <c r="AW32" s="137"/>
      <c r="AX32" s="137"/>
    </row>
    <row r="33" ht="46.5" customHeight="1" spans="1:50" s="97" customFormat="1" x14ac:dyDescent="0.25">
      <c r="A33" s="239">
        <v>15</v>
      </c>
      <c r="B33" s="100"/>
      <c r="C33" s="174" t="s">
        <v>338</v>
      </c>
      <c r="D33" s="279" t="s">
        <v>339</v>
      </c>
      <c r="E33" s="100"/>
      <c r="F33" s="100"/>
      <c r="G33" s="103"/>
      <c r="H33" s="233"/>
      <c r="I33" s="254">
        <v>0.6</v>
      </c>
      <c r="J33" s="250">
        <v>0.4</v>
      </c>
      <c r="K33" s="107"/>
      <c r="L33" s="107"/>
      <c r="M33" s="187"/>
      <c r="N33" s="169">
        <f t="shared" si="0"/>
        <v>1</v>
      </c>
      <c r="O33" s="144">
        <v>1</v>
      </c>
      <c r="P33" s="145">
        <v>15</v>
      </c>
      <c r="Q33" s="268">
        <v>15</v>
      </c>
      <c r="R33" s="113"/>
      <c r="S33" s="113"/>
      <c r="T33" s="146"/>
      <c r="U33" s="148">
        <f t="shared" si="1"/>
        <v>15</v>
      </c>
      <c r="V33" s="149">
        <f t="shared" si="2"/>
        <v>15</v>
      </c>
      <c r="W33" s="256">
        <v>5528217000</v>
      </c>
      <c r="X33" s="256">
        <v>7891990000</v>
      </c>
      <c r="Y33" s="151"/>
      <c r="Z33" s="190"/>
      <c r="AA33" s="153"/>
      <c r="AB33" s="154">
        <f t="shared" si="3"/>
        <v>15.99</v>
      </c>
      <c r="AC33" s="149">
        <f t="shared" si="4"/>
        <v>13</v>
      </c>
      <c r="AD33" s="125">
        <v>2</v>
      </c>
      <c r="AE33" s="148">
        <f t="shared" si="5"/>
        <v>15</v>
      </c>
      <c r="AF33" s="156"/>
      <c r="AG33" s="127"/>
      <c r="AH33" s="113">
        <f t="shared" si="6"/>
        <v>30</v>
      </c>
      <c r="AI33" s="157">
        <v>65</v>
      </c>
      <c r="AJ33" s="113">
        <f t="shared" si="7"/>
        <v>95</v>
      </c>
      <c r="AK33" s="113">
        <f t="shared" si="8"/>
        <v>95</v>
      </c>
      <c r="AL33" s="158">
        <f t="shared" si="9"/>
        <v>0.955</v>
      </c>
      <c r="AM33" s="159"/>
      <c r="AN33" s="160">
        <f t="shared" si="13"/>
        <v>1</v>
      </c>
      <c r="AO33" s="160">
        <f t="shared" si="13"/>
        <v>2</v>
      </c>
      <c r="AP33" s="133"/>
      <c r="AQ33" s="134"/>
      <c r="AR33" s="161"/>
      <c r="AS33" s="161"/>
      <c r="AT33" s="161"/>
      <c r="AU33" s="161"/>
      <c r="AV33" s="162"/>
      <c r="AW33" s="137">
        <f t="shared" si="11"/>
        <v>0</v>
      </c>
      <c r="AX33" s="137">
        <f t="shared" si="12"/>
        <v>0</v>
      </c>
    </row>
    <row r="34" ht="21.95" customHeight="1" spans="1:50" s="97" customFormat="1" x14ac:dyDescent="0.25">
      <c r="A34" s="138" t="s">
        <v>56</v>
      </c>
      <c r="B34" s="139"/>
      <c r="C34" s="139"/>
      <c r="D34" s="139"/>
      <c r="E34" s="139"/>
      <c r="F34" s="139"/>
      <c r="G34" s="139"/>
      <c r="H34" s="140"/>
      <c r="I34" s="248">
        <v>85</v>
      </c>
      <c r="J34" s="142">
        <v>85</v>
      </c>
      <c r="K34" s="142"/>
      <c r="L34" s="142"/>
      <c r="M34" s="142"/>
      <c r="N34" s="143">
        <f>I34*I33+J34*J33+K34*K33+L34*L33+M34*M33</f>
        <v>85</v>
      </c>
      <c r="O34" s="144"/>
      <c r="P34" s="145"/>
      <c r="Q34" s="113"/>
      <c r="R34" s="113"/>
      <c r="S34" s="146"/>
      <c r="T34" s="147"/>
      <c r="U34" s="148"/>
      <c r="V34" s="149"/>
      <c r="W34" s="150"/>
      <c r="X34" s="151"/>
      <c r="Y34" s="152"/>
      <c r="Z34" s="151"/>
      <c r="AA34" s="153"/>
      <c r="AB34" s="154"/>
      <c r="AC34" s="149"/>
      <c r="AD34" s="148"/>
      <c r="AE34" s="148"/>
      <c r="AF34" s="155"/>
      <c r="AG34" s="156"/>
      <c r="AH34" s="113"/>
      <c r="AI34" s="157"/>
      <c r="AJ34" s="113"/>
      <c r="AK34" s="113"/>
      <c r="AL34" s="158"/>
      <c r="AM34" s="159"/>
      <c r="AN34" s="160"/>
      <c r="AO34" s="160"/>
      <c r="AP34" s="133"/>
      <c r="AQ34" s="134"/>
      <c r="AR34" s="161"/>
      <c r="AS34" s="161"/>
      <c r="AT34" s="161"/>
      <c r="AU34" s="161"/>
      <c r="AV34" s="162"/>
      <c r="AW34" s="137"/>
      <c r="AX34" s="137"/>
    </row>
    <row r="35" ht="46.5" customHeight="1" spans="1:50" s="97" customFormat="1" x14ac:dyDescent="0.25">
      <c r="A35" s="239">
        <v>16</v>
      </c>
      <c r="B35" s="100"/>
      <c r="C35" s="249" t="s">
        <v>340</v>
      </c>
      <c r="D35" s="249" t="s">
        <v>341</v>
      </c>
      <c r="E35" s="253" t="s">
        <v>235</v>
      </c>
      <c r="F35" s="100"/>
      <c r="G35" s="103"/>
      <c r="H35" s="171" t="s">
        <v>342</v>
      </c>
      <c r="I35" s="254">
        <v>0.45</v>
      </c>
      <c r="J35" s="276">
        <v>0.0792</v>
      </c>
      <c r="K35" s="107">
        <v>0.45</v>
      </c>
      <c r="L35" s="107"/>
      <c r="M35" s="187"/>
      <c r="N35" s="169">
        <f t="shared" si="0"/>
        <v>0.9792000000000001</v>
      </c>
      <c r="O35" s="229">
        <v>1.1</v>
      </c>
      <c r="P35" s="145">
        <v>15</v>
      </c>
      <c r="Q35" s="268">
        <v>15</v>
      </c>
      <c r="R35" s="268">
        <v>15</v>
      </c>
      <c r="S35" s="113"/>
      <c r="T35" s="146"/>
      <c r="U35" s="148">
        <f t="shared" si="1"/>
        <v>16.16</v>
      </c>
      <c r="V35" s="149">
        <f t="shared" si="2"/>
        <v>15</v>
      </c>
      <c r="W35" s="189">
        <v>9902065000</v>
      </c>
      <c r="X35" s="199">
        <v>222246000</v>
      </c>
      <c r="Y35" s="264">
        <v>34160627000</v>
      </c>
      <c r="Z35" s="190"/>
      <c r="AA35" s="153"/>
      <c r="AB35" s="154">
        <f t="shared" si="3"/>
        <v>49.14</v>
      </c>
      <c r="AC35" s="149">
        <f t="shared" si="4"/>
        <v>13</v>
      </c>
      <c r="AD35" s="125">
        <v>2</v>
      </c>
      <c r="AE35" s="148">
        <f t="shared" si="5"/>
        <v>15</v>
      </c>
      <c r="AF35" s="156"/>
      <c r="AG35" s="156"/>
      <c r="AH35" s="113">
        <f t="shared" si="6"/>
        <v>30</v>
      </c>
      <c r="AI35" s="157">
        <v>65</v>
      </c>
      <c r="AJ35" s="113">
        <f t="shared" si="7"/>
        <v>95</v>
      </c>
      <c r="AK35" s="113">
        <f t="shared" si="8"/>
        <v>95</v>
      </c>
      <c r="AL35" s="158">
        <f t="shared" si="9"/>
        <v>0.955</v>
      </c>
      <c r="AM35" s="159"/>
      <c r="AN35" s="160">
        <f t="shared" si="13"/>
        <v>1</v>
      </c>
      <c r="AO35" s="160">
        <f t="shared" si="13"/>
        <v>2</v>
      </c>
      <c r="AP35" s="133"/>
      <c r="AQ35" s="134"/>
      <c r="AR35" s="161"/>
      <c r="AS35" s="161"/>
      <c r="AT35" s="161"/>
      <c r="AU35" s="161"/>
      <c r="AV35" s="162"/>
      <c r="AW35" s="137">
        <f t="shared" si="11"/>
        <v>0</v>
      </c>
      <c r="AX35" s="137">
        <f t="shared" si="12"/>
        <v>0</v>
      </c>
    </row>
    <row r="36" ht="21.95" customHeight="1" spans="1:50" s="97" customFormat="1" x14ac:dyDescent="0.25">
      <c r="A36" s="138" t="s">
        <v>56</v>
      </c>
      <c r="B36" s="139"/>
      <c r="C36" s="139"/>
      <c r="D36" s="139"/>
      <c r="E36" s="139"/>
      <c r="F36" s="139"/>
      <c r="G36" s="139"/>
      <c r="H36" s="140"/>
      <c r="I36" s="248">
        <v>85</v>
      </c>
      <c r="J36" s="142">
        <v>85</v>
      </c>
      <c r="K36" s="141">
        <v>90.7</v>
      </c>
      <c r="L36" s="142"/>
      <c r="M36" s="142"/>
      <c r="N36" s="143">
        <f>I36*I35+J36*J35+K36*K35+L36*L35+M36*M35</f>
        <v>85.797</v>
      </c>
      <c r="O36" s="144"/>
      <c r="P36" s="145"/>
      <c r="Q36" s="113"/>
      <c r="R36" s="113"/>
      <c r="S36" s="146"/>
      <c r="T36" s="147"/>
      <c r="U36" s="148"/>
      <c r="V36" s="149"/>
      <c r="W36" s="150"/>
      <c r="X36" s="151"/>
      <c r="Y36" s="152"/>
      <c r="Z36" s="151"/>
      <c r="AA36" s="153"/>
      <c r="AB36" s="154"/>
      <c r="AC36" s="149"/>
      <c r="AD36" s="148"/>
      <c r="AE36" s="148"/>
      <c r="AF36" s="155"/>
      <c r="AG36" s="156"/>
      <c r="AH36" s="113"/>
      <c r="AI36" s="157"/>
      <c r="AJ36" s="113"/>
      <c r="AK36" s="113"/>
      <c r="AL36" s="158"/>
      <c r="AM36" s="159"/>
      <c r="AN36" s="160"/>
      <c r="AO36" s="160"/>
      <c r="AP36" s="133"/>
      <c r="AQ36" s="134"/>
      <c r="AR36" s="161"/>
      <c r="AS36" s="161"/>
      <c r="AT36" s="161"/>
      <c r="AU36" s="161"/>
      <c r="AV36" s="162"/>
      <c r="AW36" s="137"/>
      <c r="AX36" s="137"/>
    </row>
    <row r="37" ht="46.5" customHeight="1" spans="1:50" s="97" customFormat="1" x14ac:dyDescent="0.25">
      <c r="A37" s="239">
        <v>17</v>
      </c>
      <c r="B37" s="100"/>
      <c r="C37" s="253" t="s">
        <v>343</v>
      </c>
      <c r="D37" s="249" t="s">
        <v>344</v>
      </c>
      <c r="E37" s="100"/>
      <c r="F37" s="100"/>
      <c r="G37" s="103"/>
      <c r="H37" s="186"/>
      <c r="I37" s="195">
        <v>0.65</v>
      </c>
      <c r="J37" s="107">
        <v>0.35</v>
      </c>
      <c r="K37" s="107"/>
      <c r="L37" s="107"/>
      <c r="M37" s="187"/>
      <c r="N37" s="169">
        <f t="shared" si="0"/>
        <v>1</v>
      </c>
      <c r="O37" s="144">
        <v>1</v>
      </c>
      <c r="P37" s="145">
        <v>15</v>
      </c>
      <c r="Q37" s="268">
        <v>15</v>
      </c>
      <c r="R37" s="113"/>
      <c r="S37" s="113"/>
      <c r="T37" s="146"/>
      <c r="U37" s="148">
        <f t="shared" si="1"/>
        <v>15</v>
      </c>
      <c r="V37" s="149">
        <f t="shared" si="2"/>
        <v>15</v>
      </c>
      <c r="W37" s="256">
        <v>62476959000</v>
      </c>
      <c r="X37" s="252">
        <v>2864143000</v>
      </c>
      <c r="Y37" s="151"/>
      <c r="Z37" s="190"/>
      <c r="AA37" s="153"/>
      <c r="AB37" s="154">
        <f t="shared" si="3"/>
        <v>102.96</v>
      </c>
      <c r="AC37" s="149">
        <f t="shared" si="4"/>
        <v>13</v>
      </c>
      <c r="AD37" s="125">
        <v>2</v>
      </c>
      <c r="AE37" s="148">
        <f t="shared" si="5"/>
        <v>15</v>
      </c>
      <c r="AF37" s="156"/>
      <c r="AG37" s="156"/>
      <c r="AH37" s="113">
        <f t="shared" si="6"/>
        <v>30</v>
      </c>
      <c r="AI37" s="157">
        <v>65</v>
      </c>
      <c r="AJ37" s="113">
        <f t="shared" si="7"/>
        <v>95</v>
      </c>
      <c r="AK37" s="113">
        <f t="shared" si="8"/>
        <v>95</v>
      </c>
      <c r="AL37" s="158">
        <f t="shared" si="9"/>
        <v>0.955</v>
      </c>
      <c r="AM37" s="159"/>
      <c r="AN37" s="160">
        <f t="shared" si="13"/>
        <v>1</v>
      </c>
      <c r="AO37" s="160">
        <f t="shared" si="13"/>
        <v>2</v>
      </c>
      <c r="AP37" s="133"/>
      <c r="AQ37" s="134"/>
      <c r="AR37" s="161"/>
      <c r="AS37" s="161"/>
      <c r="AT37" s="161"/>
      <c r="AU37" s="161"/>
      <c r="AV37" s="162"/>
      <c r="AW37" s="137">
        <f t="shared" si="11"/>
        <v>0</v>
      </c>
      <c r="AX37" s="137">
        <f t="shared" si="12"/>
        <v>0</v>
      </c>
    </row>
    <row r="38" ht="21.95" customHeight="1" spans="1:50" s="97" customFormat="1" x14ac:dyDescent="0.25">
      <c r="A38" s="138" t="s">
        <v>56</v>
      </c>
      <c r="B38" s="139"/>
      <c r="C38" s="139"/>
      <c r="D38" s="139"/>
      <c r="E38" s="139"/>
      <c r="F38" s="139"/>
      <c r="G38" s="139"/>
      <c r="H38" s="140"/>
      <c r="I38" s="248">
        <v>85</v>
      </c>
      <c r="J38" s="142">
        <v>85</v>
      </c>
      <c r="K38" s="181"/>
      <c r="L38" s="142"/>
      <c r="M38" s="142"/>
      <c r="N38" s="143">
        <f>I38*I37+J38*J37+K38*K37+L38*L37+M38*M37</f>
        <v>85</v>
      </c>
      <c r="O38" s="144"/>
      <c r="P38" s="145"/>
      <c r="Q38" s="113"/>
      <c r="R38" s="113"/>
      <c r="S38" s="146"/>
      <c r="T38" s="147"/>
      <c r="U38" s="148"/>
      <c r="V38" s="149"/>
      <c r="W38" s="150"/>
      <c r="X38" s="151"/>
      <c r="Y38" s="152"/>
      <c r="Z38" s="151"/>
      <c r="AA38" s="153"/>
      <c r="AB38" s="154"/>
      <c r="AC38" s="149"/>
      <c r="AD38" s="148"/>
      <c r="AE38" s="148"/>
      <c r="AF38" s="155"/>
      <c r="AG38" s="156"/>
      <c r="AH38" s="113"/>
      <c r="AI38" s="157"/>
      <c r="AJ38" s="113"/>
      <c r="AK38" s="113"/>
      <c r="AL38" s="158"/>
      <c r="AM38" s="159"/>
      <c r="AN38" s="160"/>
      <c r="AO38" s="160"/>
      <c r="AP38" s="133"/>
      <c r="AQ38" s="134"/>
      <c r="AR38" s="161"/>
      <c r="AS38" s="161"/>
      <c r="AT38" s="161"/>
      <c r="AU38" s="161"/>
      <c r="AV38" s="162"/>
      <c r="AW38" s="137"/>
      <c r="AX38" s="137"/>
    </row>
    <row r="39" ht="46.5" customHeight="1" spans="1:50" s="97" customFormat="1" x14ac:dyDescent="0.25">
      <c r="A39" s="239">
        <v>18</v>
      </c>
      <c r="B39" s="100"/>
      <c r="C39" s="253" t="s">
        <v>345</v>
      </c>
      <c r="D39" s="249" t="s">
        <v>251</v>
      </c>
      <c r="E39" s="100"/>
      <c r="F39" s="100"/>
      <c r="G39" s="103"/>
      <c r="H39" s="186"/>
      <c r="I39" s="254">
        <v>0.51</v>
      </c>
      <c r="J39" s="250">
        <v>0.49</v>
      </c>
      <c r="K39" s="250"/>
      <c r="L39" s="107"/>
      <c r="M39" s="187"/>
      <c r="N39" s="169">
        <f t="shared" si="0"/>
        <v>1</v>
      </c>
      <c r="O39" s="144">
        <v>1</v>
      </c>
      <c r="P39" s="255">
        <v>15</v>
      </c>
      <c r="Q39" s="268">
        <v>15</v>
      </c>
      <c r="R39" s="268"/>
      <c r="S39" s="113"/>
      <c r="T39" s="146"/>
      <c r="U39" s="148">
        <f t="shared" si="1"/>
        <v>15</v>
      </c>
      <c r="V39" s="149">
        <f t="shared" si="2"/>
        <v>15</v>
      </c>
      <c r="W39" s="280">
        <v>6023199000</v>
      </c>
      <c r="X39" s="252">
        <v>17599269000</v>
      </c>
      <c r="Y39" s="274"/>
      <c r="Z39" s="190"/>
      <c r="AA39" s="153"/>
      <c r="AB39" s="154">
        <f t="shared" si="3"/>
        <v>28.99</v>
      </c>
      <c r="AC39" s="149">
        <f t="shared" si="4"/>
        <v>13</v>
      </c>
      <c r="AD39" s="125">
        <v>2</v>
      </c>
      <c r="AE39" s="148">
        <f t="shared" si="5"/>
        <v>15</v>
      </c>
      <c r="AF39" s="156"/>
      <c r="AG39" s="156"/>
      <c r="AH39" s="113">
        <f t="shared" si="6"/>
        <v>30</v>
      </c>
      <c r="AI39" s="157">
        <v>65</v>
      </c>
      <c r="AJ39" s="113">
        <f t="shared" si="7"/>
        <v>95</v>
      </c>
      <c r="AK39" s="113">
        <f t="shared" si="8"/>
        <v>95</v>
      </c>
      <c r="AL39" s="158">
        <f t="shared" si="9"/>
        <v>0.955</v>
      </c>
      <c r="AM39" s="159"/>
      <c r="AN39" s="160">
        <f t="shared" si="13"/>
        <v>1</v>
      </c>
      <c r="AO39" s="160">
        <f t="shared" si="13"/>
        <v>2</v>
      </c>
      <c r="AP39" s="133"/>
      <c r="AQ39" s="134"/>
      <c r="AR39" s="161"/>
      <c r="AS39" s="161"/>
      <c r="AT39" s="161"/>
      <c r="AU39" s="161"/>
      <c r="AV39" s="162"/>
      <c r="AW39" s="137">
        <f t="shared" si="11"/>
        <v>0</v>
      </c>
      <c r="AX39" s="137">
        <f t="shared" si="12"/>
        <v>0</v>
      </c>
    </row>
    <row r="40" ht="21.95" customHeight="1" spans="1:50" s="97" customFormat="1" x14ac:dyDescent="0.25">
      <c r="A40" s="138" t="s">
        <v>56</v>
      </c>
      <c r="B40" s="139"/>
      <c r="C40" s="139"/>
      <c r="D40" s="139"/>
      <c r="E40" s="139"/>
      <c r="F40" s="139"/>
      <c r="G40" s="139"/>
      <c r="H40" s="140"/>
      <c r="I40" s="248">
        <v>85</v>
      </c>
      <c r="J40" s="142">
        <v>85</v>
      </c>
      <c r="K40" s="181"/>
      <c r="L40" s="142"/>
      <c r="M40" s="142"/>
      <c r="N40" s="143">
        <f>I40*I39+J40*J39+K40*K39+L40*L39+M40*M39</f>
        <v>85</v>
      </c>
      <c r="O40" s="144"/>
      <c r="P40" s="145"/>
      <c r="Q40" s="113"/>
      <c r="R40" s="113"/>
      <c r="S40" s="146"/>
      <c r="T40" s="147"/>
      <c r="U40" s="148"/>
      <c r="V40" s="149"/>
      <c r="W40" s="150"/>
      <c r="X40" s="151"/>
      <c r="Y40" s="152"/>
      <c r="Z40" s="151"/>
      <c r="AA40" s="153"/>
      <c r="AB40" s="154"/>
      <c r="AC40" s="149"/>
      <c r="AD40" s="148"/>
      <c r="AE40" s="148"/>
      <c r="AF40" s="155"/>
      <c r="AG40" s="156"/>
      <c r="AH40" s="113"/>
      <c r="AI40" s="157"/>
      <c r="AJ40" s="113"/>
      <c r="AK40" s="113"/>
      <c r="AL40" s="158"/>
      <c r="AM40" s="159"/>
      <c r="AN40" s="160"/>
      <c r="AO40" s="160"/>
      <c r="AP40" s="133"/>
      <c r="AQ40" s="134"/>
      <c r="AR40" s="161"/>
      <c r="AS40" s="161"/>
      <c r="AT40" s="161"/>
      <c r="AU40" s="161"/>
      <c r="AV40" s="162"/>
      <c r="AW40" s="137"/>
      <c r="AX40" s="137"/>
    </row>
    <row r="41" ht="46.5" customHeight="1" spans="1:50" s="97" customFormat="1" x14ac:dyDescent="0.25">
      <c r="A41" s="100"/>
      <c r="B41" s="100"/>
      <c r="C41" s="100"/>
      <c r="D41" s="100"/>
      <c r="E41" s="100"/>
      <c r="F41" s="100"/>
      <c r="G41" s="103"/>
      <c r="H41" s="186"/>
      <c r="I41" s="195">
        <v>0.51</v>
      </c>
      <c r="J41" s="250">
        <v>0.49</v>
      </c>
      <c r="K41" s="107"/>
      <c r="L41" s="107"/>
      <c r="M41" s="187"/>
      <c r="N41" s="169">
        <f t="shared" ref="N41:N103" si="14">SUM(I41:M41)</f>
        <v>1</v>
      </c>
      <c r="O41" s="144">
        <v>1</v>
      </c>
      <c r="P41" s="145">
        <v>15</v>
      </c>
      <c r="Q41" s="251">
        <v>11.8</v>
      </c>
      <c r="R41" s="113"/>
      <c r="S41" s="113"/>
      <c r="T41" s="146"/>
      <c r="U41" s="148">
        <f t="shared" si="1"/>
        <v>13.43</v>
      </c>
      <c r="V41" s="149">
        <f t="shared" si="2"/>
        <v>13.43</v>
      </c>
      <c r="W41" s="189"/>
      <c r="X41" s="252"/>
      <c r="Y41" s="151"/>
      <c r="Z41" s="190"/>
      <c r="AA41" s="153"/>
      <c r="AB41" s="154">
        <f t="shared" si="3"/>
        <v>0</v>
      </c>
      <c r="AC41" s="149">
        <f t="shared" si="4"/>
        <v>0</v>
      </c>
      <c r="AD41" s="125">
        <v>2</v>
      </c>
      <c r="AE41" s="148">
        <f t="shared" si="5"/>
        <v>2</v>
      </c>
      <c r="AF41" s="156"/>
      <c r="AG41" s="156"/>
      <c r="AH41" s="113">
        <f t="shared" si="6"/>
        <v>15.43</v>
      </c>
      <c r="AI41" s="157">
        <v>65</v>
      </c>
      <c r="AJ41" s="113">
        <f t="shared" si="7"/>
        <v>80.43</v>
      </c>
      <c r="AK41" s="113">
        <f t="shared" si="8"/>
        <v>80.43</v>
      </c>
      <c r="AL41" s="158">
        <f t="shared" si="9"/>
        <v>1.02785</v>
      </c>
      <c r="AM41" s="159"/>
      <c r="AN41" s="160">
        <f t="shared" si="13"/>
        <v>1</v>
      </c>
      <c r="AO41" s="160">
        <f t="shared" si="13"/>
        <v>2</v>
      </c>
      <c r="AP41" s="133"/>
      <c r="AQ41" s="134"/>
      <c r="AR41" s="161"/>
      <c r="AS41" s="161"/>
      <c r="AT41" s="161"/>
      <c r="AU41" s="161"/>
      <c r="AV41" s="162"/>
      <c r="AW41" s="137">
        <f t="shared" si="11"/>
        <v>0</v>
      </c>
      <c r="AX41" s="137">
        <f t="shared" si="12"/>
        <v>0</v>
      </c>
    </row>
    <row r="42" ht="46.5" customHeight="1" spans="1:50" s="97" customFormat="1" x14ac:dyDescent="0.25">
      <c r="A42" s="100"/>
      <c r="B42" s="100"/>
      <c r="C42" s="100"/>
      <c r="D42" s="100" t="s">
        <v>256</v>
      </c>
      <c r="E42" s="253" t="s">
        <v>346</v>
      </c>
      <c r="F42" s="100"/>
      <c r="G42" s="103"/>
      <c r="H42" s="186"/>
      <c r="I42" s="195">
        <v>0.51</v>
      </c>
      <c r="J42" s="107">
        <v>0.49</v>
      </c>
      <c r="K42" s="107"/>
      <c r="L42" s="107"/>
      <c r="M42" s="187"/>
      <c r="N42" s="169">
        <f t="shared" si="14"/>
        <v>1</v>
      </c>
      <c r="O42" s="144">
        <v>1</v>
      </c>
      <c r="P42" s="145">
        <v>15</v>
      </c>
      <c r="Q42" s="113">
        <v>15</v>
      </c>
      <c r="R42" s="113"/>
      <c r="S42" s="113"/>
      <c r="T42" s="146"/>
      <c r="U42" s="148">
        <f t="shared" si="1"/>
        <v>15</v>
      </c>
      <c r="V42" s="149">
        <f t="shared" si="2"/>
        <v>15</v>
      </c>
      <c r="W42" s="189"/>
      <c r="X42" s="199"/>
      <c r="Y42" s="151"/>
      <c r="Z42" s="190"/>
      <c r="AA42" s="153"/>
      <c r="AB42" s="154">
        <f t="shared" si="3"/>
        <v>0</v>
      </c>
      <c r="AC42" s="149">
        <f t="shared" si="4"/>
        <v>0</v>
      </c>
      <c r="AD42" s="125">
        <v>2</v>
      </c>
      <c r="AE42" s="148">
        <f t="shared" si="5"/>
        <v>2</v>
      </c>
      <c r="AF42" s="156"/>
      <c r="AG42" s="156"/>
      <c r="AH42" s="113">
        <f t="shared" si="6"/>
        <v>17</v>
      </c>
      <c r="AI42" s="157">
        <v>65</v>
      </c>
      <c r="AJ42" s="113">
        <f t="shared" si="7"/>
        <v>82</v>
      </c>
      <c r="AK42" s="113">
        <f t="shared" si="8"/>
        <v>82</v>
      </c>
      <c r="AL42" s="158">
        <f t="shared" si="9"/>
        <v>1.02</v>
      </c>
      <c r="AM42" s="159"/>
      <c r="AN42" s="160">
        <f t="shared" si="13"/>
        <v>1</v>
      </c>
      <c r="AO42" s="160">
        <f t="shared" si="13"/>
        <v>2</v>
      </c>
      <c r="AP42" s="133"/>
      <c r="AQ42" s="134"/>
      <c r="AR42" s="161"/>
      <c r="AS42" s="161"/>
      <c r="AT42" s="161"/>
      <c r="AU42" s="161"/>
      <c r="AV42" s="162"/>
      <c r="AW42" s="137">
        <f t="shared" si="11"/>
        <v>0</v>
      </c>
      <c r="AX42" s="137">
        <f t="shared" si="12"/>
        <v>0</v>
      </c>
    </row>
    <row r="43" ht="46.5" customHeight="1" spans="1:50" s="97" customFormat="1" x14ac:dyDescent="0.25">
      <c r="A43" s="100"/>
      <c r="B43" s="100"/>
      <c r="C43" s="100"/>
      <c r="D43" s="100" t="s">
        <v>347</v>
      </c>
      <c r="E43" s="100"/>
      <c r="F43" s="100"/>
      <c r="G43" s="103"/>
      <c r="H43" s="186"/>
      <c r="I43" s="195">
        <v>0.51</v>
      </c>
      <c r="J43" s="107">
        <v>0.49</v>
      </c>
      <c r="K43" s="107"/>
      <c r="L43" s="107"/>
      <c r="M43" s="187"/>
      <c r="N43" s="169">
        <f t="shared" si="14"/>
        <v>1</v>
      </c>
      <c r="O43" s="144">
        <v>1</v>
      </c>
      <c r="P43" s="145">
        <v>15</v>
      </c>
      <c r="Q43" s="113">
        <v>15</v>
      </c>
      <c r="R43" s="113"/>
      <c r="S43" s="113"/>
      <c r="T43" s="146"/>
      <c r="U43" s="148">
        <f t="shared" si="1"/>
        <v>15</v>
      </c>
      <c r="V43" s="149">
        <f t="shared" si="2"/>
        <v>15</v>
      </c>
      <c r="W43" s="189"/>
      <c r="X43" s="199"/>
      <c r="Y43" s="151"/>
      <c r="Z43" s="190"/>
      <c r="AA43" s="153"/>
      <c r="AB43" s="154">
        <f t="shared" si="3"/>
        <v>0</v>
      </c>
      <c r="AC43" s="149">
        <f t="shared" si="4"/>
        <v>0</v>
      </c>
      <c r="AD43" s="125">
        <v>2</v>
      </c>
      <c r="AE43" s="148">
        <f t="shared" si="5"/>
        <v>2</v>
      </c>
      <c r="AF43" s="156"/>
      <c r="AG43" s="156"/>
      <c r="AH43" s="113">
        <f t="shared" si="6"/>
        <v>17</v>
      </c>
      <c r="AI43" s="157">
        <v>65</v>
      </c>
      <c r="AJ43" s="113">
        <f t="shared" si="7"/>
        <v>82</v>
      </c>
      <c r="AK43" s="113">
        <f t="shared" si="8"/>
        <v>82</v>
      </c>
      <c r="AL43" s="158">
        <f t="shared" si="9"/>
        <v>1.02</v>
      </c>
      <c r="AM43" s="159"/>
      <c r="AN43" s="160">
        <f t="shared" si="13"/>
        <v>1</v>
      </c>
      <c r="AO43" s="160">
        <f t="shared" si="13"/>
        <v>2</v>
      </c>
      <c r="AP43" s="133"/>
      <c r="AQ43" s="134"/>
      <c r="AR43" s="161"/>
      <c r="AS43" s="161"/>
      <c r="AT43" s="161"/>
      <c r="AU43" s="161"/>
      <c r="AV43" s="162"/>
      <c r="AW43" s="137">
        <f t="shared" si="11"/>
        <v>0</v>
      </c>
      <c r="AX43" s="137">
        <f t="shared" si="12"/>
        <v>0</v>
      </c>
    </row>
    <row r="44" ht="46.5" customHeight="1" spans="1:50" s="97" customFormat="1" x14ac:dyDescent="0.25">
      <c r="A44" s="100"/>
      <c r="B44" s="100"/>
      <c r="C44" s="100"/>
      <c r="D44" s="100"/>
      <c r="E44" s="100"/>
      <c r="F44" s="100"/>
      <c r="G44" s="103"/>
      <c r="H44" s="186"/>
      <c r="I44" s="195">
        <v>0.51</v>
      </c>
      <c r="J44" s="107">
        <v>0.49</v>
      </c>
      <c r="K44" s="107"/>
      <c r="L44" s="107"/>
      <c r="M44" s="187"/>
      <c r="N44" s="169">
        <f t="shared" si="14"/>
        <v>1</v>
      </c>
      <c r="O44" s="144">
        <v>1</v>
      </c>
      <c r="P44" s="145">
        <v>15</v>
      </c>
      <c r="Q44" s="113">
        <v>15</v>
      </c>
      <c r="R44" s="113"/>
      <c r="S44" s="113"/>
      <c r="T44" s="146"/>
      <c r="U44" s="148">
        <f t="shared" si="1"/>
        <v>15</v>
      </c>
      <c r="V44" s="149">
        <f t="shared" si="2"/>
        <v>15</v>
      </c>
      <c r="W44" s="189"/>
      <c r="X44" s="199"/>
      <c r="Y44" s="151"/>
      <c r="Z44" s="190"/>
      <c r="AA44" s="153"/>
      <c r="AB44" s="154">
        <f t="shared" si="3"/>
        <v>0</v>
      </c>
      <c r="AC44" s="149">
        <f t="shared" si="4"/>
        <v>0</v>
      </c>
      <c r="AD44" s="125">
        <v>2</v>
      </c>
      <c r="AE44" s="148">
        <f t="shared" si="5"/>
        <v>2</v>
      </c>
      <c r="AF44" s="156"/>
      <c r="AG44" s="156"/>
      <c r="AH44" s="113">
        <f t="shared" si="6"/>
        <v>17</v>
      </c>
      <c r="AI44" s="157">
        <v>65</v>
      </c>
      <c r="AJ44" s="113">
        <f t="shared" si="7"/>
        <v>82</v>
      </c>
      <c r="AK44" s="113">
        <f t="shared" si="8"/>
        <v>82</v>
      </c>
      <c r="AL44" s="158">
        <f t="shared" si="9"/>
        <v>1.02</v>
      </c>
      <c r="AM44" s="159"/>
      <c r="AN44" s="160">
        <f t="shared" si="13"/>
        <v>1</v>
      </c>
      <c r="AO44" s="160">
        <f t="shared" si="13"/>
        <v>2</v>
      </c>
      <c r="AP44" s="133"/>
      <c r="AQ44" s="134"/>
      <c r="AR44" s="161"/>
      <c r="AS44" s="161"/>
      <c r="AT44" s="161"/>
      <c r="AU44" s="161"/>
      <c r="AV44" s="162"/>
      <c r="AW44" s="137">
        <f t="shared" si="11"/>
        <v>0</v>
      </c>
      <c r="AX44" s="137">
        <f t="shared" si="12"/>
        <v>0</v>
      </c>
    </row>
    <row r="45" ht="46.5" customHeight="1" spans="1:50" s="97" customFormat="1" x14ac:dyDescent="0.25">
      <c r="A45" s="100"/>
      <c r="B45" s="100"/>
      <c r="C45" s="100"/>
      <c r="D45" s="100"/>
      <c r="E45" s="100"/>
      <c r="F45" s="100"/>
      <c r="G45" s="103"/>
      <c r="H45" s="186"/>
      <c r="I45" s="195">
        <v>0.51</v>
      </c>
      <c r="J45" s="107">
        <v>0.49</v>
      </c>
      <c r="K45" s="107"/>
      <c r="L45" s="107"/>
      <c r="M45" s="187"/>
      <c r="N45" s="169">
        <f t="shared" si="14"/>
        <v>1</v>
      </c>
      <c r="O45" s="144">
        <v>1</v>
      </c>
      <c r="P45" s="145">
        <v>15</v>
      </c>
      <c r="Q45" s="113">
        <v>15</v>
      </c>
      <c r="R45" s="113"/>
      <c r="S45" s="113"/>
      <c r="T45" s="146"/>
      <c r="U45" s="148">
        <f t="shared" si="1"/>
        <v>15</v>
      </c>
      <c r="V45" s="149">
        <f t="shared" si="2"/>
        <v>15</v>
      </c>
      <c r="W45" s="189"/>
      <c r="X45" s="199"/>
      <c r="Y45" s="151"/>
      <c r="Z45" s="190"/>
      <c r="AA45" s="153"/>
      <c r="AB45" s="154">
        <f t="shared" si="3"/>
        <v>0</v>
      </c>
      <c r="AC45" s="149">
        <f t="shared" si="4"/>
        <v>0</v>
      </c>
      <c r="AD45" s="125">
        <v>2</v>
      </c>
      <c r="AE45" s="148">
        <f t="shared" si="5"/>
        <v>2</v>
      </c>
      <c r="AF45" s="156"/>
      <c r="AG45" s="156"/>
      <c r="AH45" s="113">
        <f t="shared" si="6"/>
        <v>17</v>
      </c>
      <c r="AI45" s="157">
        <v>65</v>
      </c>
      <c r="AJ45" s="113">
        <f t="shared" si="7"/>
        <v>82</v>
      </c>
      <c r="AK45" s="113">
        <f t="shared" si="8"/>
        <v>82</v>
      </c>
      <c r="AL45" s="158">
        <f t="shared" si="9"/>
        <v>1.02</v>
      </c>
      <c r="AM45" s="159"/>
      <c r="AN45" s="160">
        <f t="shared" si="13"/>
        <v>1</v>
      </c>
      <c r="AO45" s="160">
        <f t="shared" si="13"/>
        <v>2</v>
      </c>
      <c r="AP45" s="133"/>
      <c r="AQ45" s="134"/>
      <c r="AR45" s="161"/>
      <c r="AS45" s="161"/>
      <c r="AT45" s="161"/>
      <c r="AU45" s="161"/>
      <c r="AV45" s="162"/>
      <c r="AW45" s="137">
        <f t="shared" si="11"/>
        <v>0</v>
      </c>
      <c r="AX45" s="137">
        <f t="shared" si="12"/>
        <v>0</v>
      </c>
    </row>
    <row r="46" ht="46.5" customHeight="1" spans="1:50" s="97" customFormat="1" x14ac:dyDescent="0.25">
      <c r="A46" s="100"/>
      <c r="B46" s="100"/>
      <c r="C46" s="100"/>
      <c r="D46" s="100"/>
      <c r="E46" s="100"/>
      <c r="F46" s="100"/>
      <c r="G46" s="103"/>
      <c r="H46" s="186"/>
      <c r="I46" s="195">
        <v>0.51</v>
      </c>
      <c r="J46" s="107">
        <v>0.49</v>
      </c>
      <c r="K46" s="107"/>
      <c r="L46" s="107"/>
      <c r="M46" s="187"/>
      <c r="N46" s="169">
        <f t="shared" si="14"/>
        <v>1</v>
      </c>
      <c r="O46" s="144">
        <v>1</v>
      </c>
      <c r="P46" s="145">
        <v>15</v>
      </c>
      <c r="Q46" s="113">
        <v>15</v>
      </c>
      <c r="R46" s="113"/>
      <c r="S46" s="113"/>
      <c r="T46" s="146"/>
      <c r="U46" s="148">
        <f t="shared" si="1"/>
        <v>15</v>
      </c>
      <c r="V46" s="149">
        <f t="shared" si="2"/>
        <v>15</v>
      </c>
      <c r="W46" s="189"/>
      <c r="X46" s="199"/>
      <c r="Y46" s="151"/>
      <c r="Z46" s="190"/>
      <c r="AA46" s="153"/>
      <c r="AB46" s="154">
        <f t="shared" si="3"/>
        <v>0</v>
      </c>
      <c r="AC46" s="149">
        <f t="shared" si="4"/>
        <v>0</v>
      </c>
      <c r="AD46" s="125">
        <v>2</v>
      </c>
      <c r="AE46" s="148">
        <f t="shared" si="5"/>
        <v>2</v>
      </c>
      <c r="AF46" s="156"/>
      <c r="AG46" s="156"/>
      <c r="AH46" s="113">
        <f t="shared" si="6"/>
        <v>17</v>
      </c>
      <c r="AI46" s="157">
        <v>65</v>
      </c>
      <c r="AJ46" s="113">
        <f t="shared" si="7"/>
        <v>82</v>
      </c>
      <c r="AK46" s="113">
        <f t="shared" si="8"/>
        <v>82</v>
      </c>
      <c r="AL46" s="158">
        <f t="shared" si="9"/>
        <v>1.02</v>
      </c>
      <c r="AM46" s="159"/>
      <c r="AN46" s="160">
        <f t="shared" si="13"/>
        <v>1</v>
      </c>
      <c r="AO46" s="160">
        <f t="shared" si="13"/>
        <v>2</v>
      </c>
      <c r="AP46" s="133"/>
      <c r="AQ46" s="134"/>
      <c r="AR46" s="161"/>
      <c r="AS46" s="161"/>
      <c r="AT46" s="161"/>
      <c r="AU46" s="161"/>
      <c r="AV46" s="162"/>
      <c r="AW46" s="137">
        <f t="shared" si="11"/>
        <v>0</v>
      </c>
      <c r="AX46" s="137">
        <f t="shared" si="12"/>
        <v>0</v>
      </c>
    </row>
    <row r="47" ht="46.5" customHeight="1" spans="1:50" s="97" customFormat="1" x14ac:dyDescent="0.25">
      <c r="A47" s="100"/>
      <c r="B47" s="100"/>
      <c r="C47" s="100"/>
      <c r="D47" s="100"/>
      <c r="E47" s="100"/>
      <c r="F47" s="100"/>
      <c r="G47" s="103"/>
      <c r="H47" s="186"/>
      <c r="I47" s="195">
        <v>0.51</v>
      </c>
      <c r="J47" s="107">
        <v>0.49</v>
      </c>
      <c r="K47" s="107"/>
      <c r="L47" s="107"/>
      <c r="M47" s="187"/>
      <c r="N47" s="169">
        <f t="shared" si="14"/>
        <v>1</v>
      </c>
      <c r="O47" s="144">
        <v>1</v>
      </c>
      <c r="P47" s="145">
        <v>15</v>
      </c>
      <c r="Q47" s="113">
        <v>15</v>
      </c>
      <c r="R47" s="113"/>
      <c r="S47" s="113"/>
      <c r="T47" s="146"/>
      <c r="U47" s="148">
        <f t="shared" si="1"/>
        <v>15</v>
      </c>
      <c r="V47" s="149">
        <f t="shared" si="2"/>
        <v>15</v>
      </c>
      <c r="W47" s="189"/>
      <c r="X47" s="199"/>
      <c r="Y47" s="151"/>
      <c r="Z47" s="190"/>
      <c r="AA47" s="153"/>
      <c r="AB47" s="154">
        <f t="shared" si="3"/>
        <v>0</v>
      </c>
      <c r="AC47" s="149">
        <f t="shared" si="4"/>
        <v>0</v>
      </c>
      <c r="AD47" s="125">
        <v>2</v>
      </c>
      <c r="AE47" s="148">
        <f t="shared" si="5"/>
        <v>2</v>
      </c>
      <c r="AF47" s="156"/>
      <c r="AG47" s="156"/>
      <c r="AH47" s="113">
        <f t="shared" si="6"/>
        <v>17</v>
      </c>
      <c r="AI47" s="157">
        <v>65</v>
      </c>
      <c r="AJ47" s="113">
        <f t="shared" si="7"/>
        <v>82</v>
      </c>
      <c r="AK47" s="113">
        <f t="shared" si="8"/>
        <v>82</v>
      </c>
      <c r="AL47" s="158">
        <f t="shared" si="9"/>
        <v>1.02</v>
      </c>
      <c r="AM47" s="159"/>
      <c r="AN47" s="160">
        <f t="shared" si="13"/>
        <v>1</v>
      </c>
      <c r="AO47" s="160">
        <f t="shared" si="13"/>
        <v>2</v>
      </c>
      <c r="AP47" s="133"/>
      <c r="AQ47" s="134"/>
      <c r="AR47" s="161"/>
      <c r="AS47" s="161"/>
      <c r="AT47" s="161"/>
      <c r="AU47" s="161"/>
      <c r="AV47" s="162"/>
      <c r="AW47" s="137">
        <f t="shared" si="11"/>
        <v>0</v>
      </c>
      <c r="AX47" s="137">
        <f t="shared" si="12"/>
        <v>0</v>
      </c>
    </row>
    <row r="48" ht="46.5" customHeight="1" spans="1:50" s="97" customFormat="1" x14ac:dyDescent="0.25">
      <c r="A48" s="100"/>
      <c r="B48" s="100"/>
      <c r="C48" s="100"/>
      <c r="D48" s="100"/>
      <c r="E48" s="100"/>
      <c r="F48" s="100"/>
      <c r="G48" s="103"/>
      <c r="H48" s="186"/>
      <c r="I48" s="195">
        <v>0.51</v>
      </c>
      <c r="J48" s="107">
        <v>0.49</v>
      </c>
      <c r="K48" s="107"/>
      <c r="L48" s="107"/>
      <c r="M48" s="187"/>
      <c r="N48" s="169">
        <f t="shared" si="14"/>
        <v>1</v>
      </c>
      <c r="O48" s="144">
        <v>1</v>
      </c>
      <c r="P48" s="145">
        <v>15</v>
      </c>
      <c r="Q48" s="113">
        <v>15</v>
      </c>
      <c r="R48" s="113"/>
      <c r="S48" s="113"/>
      <c r="T48" s="146"/>
      <c r="U48" s="148">
        <f t="shared" si="1"/>
        <v>15</v>
      </c>
      <c r="V48" s="149">
        <f t="shared" si="2"/>
        <v>15</v>
      </c>
      <c r="W48" s="189"/>
      <c r="X48" s="199"/>
      <c r="Y48" s="151"/>
      <c r="Z48" s="190"/>
      <c r="AA48" s="153"/>
      <c r="AB48" s="154">
        <f t="shared" si="3"/>
        <v>0</v>
      </c>
      <c r="AC48" s="149">
        <f t="shared" si="4"/>
        <v>0</v>
      </c>
      <c r="AD48" s="125">
        <v>2</v>
      </c>
      <c r="AE48" s="148">
        <f t="shared" si="5"/>
        <v>2</v>
      </c>
      <c r="AF48" s="156"/>
      <c r="AG48" s="156"/>
      <c r="AH48" s="113">
        <f t="shared" si="6"/>
        <v>17</v>
      </c>
      <c r="AI48" s="157">
        <v>65</v>
      </c>
      <c r="AJ48" s="113">
        <f t="shared" si="7"/>
        <v>82</v>
      </c>
      <c r="AK48" s="113">
        <f t="shared" si="8"/>
        <v>82</v>
      </c>
      <c r="AL48" s="158">
        <f t="shared" si="9"/>
        <v>1.02</v>
      </c>
      <c r="AM48" s="159"/>
      <c r="AN48" s="160">
        <f t="shared" ref="AN48:AO67" si="15">100%+AM48</f>
        <v>1</v>
      </c>
      <c r="AO48" s="160">
        <f t="shared" si="15"/>
        <v>2</v>
      </c>
      <c r="AP48" s="133"/>
      <c r="AQ48" s="134"/>
      <c r="AR48" s="161"/>
      <c r="AS48" s="161"/>
      <c r="AT48" s="161"/>
      <c r="AU48" s="161"/>
      <c r="AV48" s="162"/>
      <c r="AW48" s="137">
        <f t="shared" si="11"/>
        <v>0</v>
      </c>
      <c r="AX48" s="137">
        <f t="shared" si="12"/>
        <v>0</v>
      </c>
    </row>
    <row r="49" ht="46.5" customHeight="1" spans="1:50" s="97" customFormat="1" x14ac:dyDescent="0.25">
      <c r="A49" s="100"/>
      <c r="B49" s="100"/>
      <c r="C49" s="100"/>
      <c r="D49" s="100"/>
      <c r="E49" s="100"/>
      <c r="F49" s="100"/>
      <c r="G49" s="103"/>
      <c r="H49" s="186"/>
      <c r="I49" s="195">
        <v>0.51</v>
      </c>
      <c r="J49" s="107">
        <v>0.49</v>
      </c>
      <c r="K49" s="107"/>
      <c r="L49" s="107"/>
      <c r="M49" s="187"/>
      <c r="N49" s="169">
        <f t="shared" si="14"/>
        <v>1</v>
      </c>
      <c r="O49" s="144">
        <v>1</v>
      </c>
      <c r="P49" s="145">
        <v>15</v>
      </c>
      <c r="Q49" s="113">
        <v>15</v>
      </c>
      <c r="R49" s="113"/>
      <c r="S49" s="113"/>
      <c r="T49" s="146"/>
      <c r="U49" s="148">
        <f t="shared" si="1"/>
        <v>15</v>
      </c>
      <c r="V49" s="149">
        <f t="shared" si="2"/>
        <v>15</v>
      </c>
      <c r="W49" s="189"/>
      <c r="X49" s="199"/>
      <c r="Y49" s="151"/>
      <c r="Z49" s="190"/>
      <c r="AA49" s="153"/>
      <c r="AB49" s="154">
        <f t="shared" si="3"/>
        <v>0</v>
      </c>
      <c r="AC49" s="149">
        <f t="shared" si="4"/>
        <v>0</v>
      </c>
      <c r="AD49" s="125">
        <v>2</v>
      </c>
      <c r="AE49" s="148">
        <f t="shared" si="5"/>
        <v>2</v>
      </c>
      <c r="AF49" s="156"/>
      <c r="AG49" s="156"/>
      <c r="AH49" s="113">
        <f t="shared" si="6"/>
        <v>17</v>
      </c>
      <c r="AI49" s="157">
        <v>65</v>
      </c>
      <c r="AJ49" s="113">
        <f t="shared" si="7"/>
        <v>82</v>
      </c>
      <c r="AK49" s="113">
        <f t="shared" si="8"/>
        <v>82</v>
      </c>
      <c r="AL49" s="158">
        <f t="shared" si="9"/>
        <v>1.02</v>
      </c>
      <c r="AM49" s="159"/>
      <c r="AN49" s="160">
        <f t="shared" si="15"/>
        <v>1</v>
      </c>
      <c r="AO49" s="160">
        <f t="shared" si="15"/>
        <v>2</v>
      </c>
      <c r="AP49" s="133"/>
      <c r="AQ49" s="134"/>
      <c r="AR49" s="161"/>
      <c r="AS49" s="161"/>
      <c r="AT49" s="161"/>
      <c r="AU49" s="161"/>
      <c r="AV49" s="162"/>
      <c r="AW49" s="137">
        <f t="shared" si="11"/>
        <v>0</v>
      </c>
      <c r="AX49" s="137">
        <f t="shared" si="12"/>
        <v>0</v>
      </c>
    </row>
    <row r="50" ht="46.5" customHeight="1" spans="1:50" s="97" customFormat="1" x14ac:dyDescent="0.25">
      <c r="A50" s="100"/>
      <c r="B50" s="100"/>
      <c r="C50" s="100"/>
      <c r="D50" s="100"/>
      <c r="E50" s="100"/>
      <c r="F50" s="100"/>
      <c r="G50" s="103"/>
      <c r="H50" s="186"/>
      <c r="I50" s="195">
        <v>0.51</v>
      </c>
      <c r="J50" s="107">
        <v>0.49</v>
      </c>
      <c r="K50" s="107"/>
      <c r="L50" s="107"/>
      <c r="M50" s="187"/>
      <c r="N50" s="169">
        <f t="shared" si="14"/>
        <v>1</v>
      </c>
      <c r="O50" s="144">
        <v>1</v>
      </c>
      <c r="P50" s="145">
        <v>15</v>
      </c>
      <c r="Q50" s="113">
        <v>15</v>
      </c>
      <c r="R50" s="113"/>
      <c r="S50" s="113"/>
      <c r="T50" s="146"/>
      <c r="U50" s="148">
        <f t="shared" si="1"/>
        <v>15</v>
      </c>
      <c r="V50" s="149">
        <f t="shared" si="2"/>
        <v>15</v>
      </c>
      <c r="W50" s="189"/>
      <c r="X50" s="199"/>
      <c r="Y50" s="151"/>
      <c r="Z50" s="190"/>
      <c r="AA50" s="153"/>
      <c r="AB50" s="154">
        <f t="shared" si="3"/>
        <v>0</v>
      </c>
      <c r="AC50" s="149">
        <f t="shared" si="4"/>
        <v>0</v>
      </c>
      <c r="AD50" s="125">
        <v>2</v>
      </c>
      <c r="AE50" s="148">
        <f t="shared" si="5"/>
        <v>2</v>
      </c>
      <c r="AF50" s="156"/>
      <c r="AG50" s="156"/>
      <c r="AH50" s="113">
        <f t="shared" si="6"/>
        <v>17</v>
      </c>
      <c r="AI50" s="157">
        <v>65</v>
      </c>
      <c r="AJ50" s="113">
        <f t="shared" si="7"/>
        <v>82</v>
      </c>
      <c r="AK50" s="113">
        <f t="shared" si="8"/>
        <v>82</v>
      </c>
      <c r="AL50" s="158">
        <f t="shared" si="9"/>
        <v>1.02</v>
      </c>
      <c r="AM50" s="159"/>
      <c r="AN50" s="160">
        <f t="shared" si="15"/>
        <v>1</v>
      </c>
      <c r="AO50" s="160">
        <f t="shared" si="15"/>
        <v>2</v>
      </c>
      <c r="AP50" s="133"/>
      <c r="AQ50" s="134"/>
      <c r="AR50" s="161"/>
      <c r="AS50" s="161"/>
      <c r="AT50" s="161"/>
      <c r="AU50" s="161"/>
      <c r="AV50" s="162"/>
      <c r="AW50" s="137">
        <f t="shared" si="11"/>
        <v>0</v>
      </c>
      <c r="AX50" s="137">
        <f t="shared" si="12"/>
        <v>0</v>
      </c>
    </row>
    <row r="51" ht="46.5" customHeight="1" spans="1:50" s="97" customFormat="1" x14ac:dyDescent="0.25">
      <c r="A51" s="100"/>
      <c r="B51" s="100"/>
      <c r="C51" s="100"/>
      <c r="D51" s="100"/>
      <c r="E51" s="100"/>
      <c r="F51" s="100"/>
      <c r="G51" s="103"/>
      <c r="H51" s="186"/>
      <c r="I51" s="195">
        <v>0.51</v>
      </c>
      <c r="J51" s="107">
        <v>0.49</v>
      </c>
      <c r="K51" s="107"/>
      <c r="L51" s="107"/>
      <c r="M51" s="187"/>
      <c r="N51" s="169">
        <f t="shared" si="14"/>
        <v>1</v>
      </c>
      <c r="O51" s="144">
        <v>1</v>
      </c>
      <c r="P51" s="145">
        <v>15</v>
      </c>
      <c r="Q51" s="113">
        <v>15</v>
      </c>
      <c r="R51" s="113"/>
      <c r="S51" s="113"/>
      <c r="T51" s="146"/>
      <c r="U51" s="148">
        <f t="shared" si="1"/>
        <v>15</v>
      </c>
      <c r="V51" s="149">
        <f t="shared" si="2"/>
        <v>15</v>
      </c>
      <c r="W51" s="189"/>
      <c r="X51" s="199"/>
      <c r="Y51" s="151"/>
      <c r="Z51" s="190"/>
      <c r="AA51" s="153"/>
      <c r="AB51" s="154">
        <f t="shared" si="3"/>
        <v>0</v>
      </c>
      <c r="AC51" s="149">
        <f t="shared" si="4"/>
        <v>0</v>
      </c>
      <c r="AD51" s="125">
        <v>2</v>
      </c>
      <c r="AE51" s="148">
        <f t="shared" si="5"/>
        <v>2</v>
      </c>
      <c r="AF51" s="156"/>
      <c r="AG51" s="156"/>
      <c r="AH51" s="113">
        <f t="shared" si="6"/>
        <v>17</v>
      </c>
      <c r="AI51" s="157">
        <v>65</v>
      </c>
      <c r="AJ51" s="113">
        <f t="shared" si="7"/>
        <v>82</v>
      </c>
      <c r="AK51" s="113">
        <f t="shared" si="8"/>
        <v>82</v>
      </c>
      <c r="AL51" s="158">
        <f t="shared" si="9"/>
        <v>1.02</v>
      </c>
      <c r="AM51" s="159"/>
      <c r="AN51" s="160">
        <f t="shared" si="15"/>
        <v>1</v>
      </c>
      <c r="AO51" s="160">
        <f t="shared" si="15"/>
        <v>2</v>
      </c>
      <c r="AP51" s="133"/>
      <c r="AQ51" s="134"/>
      <c r="AR51" s="161"/>
      <c r="AS51" s="161"/>
      <c r="AT51" s="161"/>
      <c r="AU51" s="161"/>
      <c r="AV51" s="162"/>
      <c r="AW51" s="137">
        <f t="shared" si="11"/>
        <v>0</v>
      </c>
      <c r="AX51" s="137">
        <f t="shared" si="12"/>
        <v>0</v>
      </c>
    </row>
    <row r="52" ht="46.5" customHeight="1" spans="1:50" s="97" customFormat="1" x14ac:dyDescent="0.25">
      <c r="A52" s="100"/>
      <c r="B52" s="100"/>
      <c r="C52" s="100"/>
      <c r="D52" s="100"/>
      <c r="E52" s="100"/>
      <c r="F52" s="100"/>
      <c r="G52" s="103"/>
      <c r="H52" s="186"/>
      <c r="I52" s="195">
        <v>0.51</v>
      </c>
      <c r="J52" s="107">
        <v>0.49</v>
      </c>
      <c r="K52" s="107"/>
      <c r="L52" s="107"/>
      <c r="M52" s="187"/>
      <c r="N52" s="169">
        <f t="shared" si="14"/>
        <v>1</v>
      </c>
      <c r="O52" s="144">
        <v>1</v>
      </c>
      <c r="P52" s="145">
        <v>15</v>
      </c>
      <c r="Q52" s="113">
        <v>15</v>
      </c>
      <c r="R52" s="113"/>
      <c r="S52" s="113"/>
      <c r="T52" s="146"/>
      <c r="U52" s="148">
        <f t="shared" si="1"/>
        <v>15</v>
      </c>
      <c r="V52" s="149">
        <f t="shared" si="2"/>
        <v>15</v>
      </c>
      <c r="W52" s="189"/>
      <c r="X52" s="199"/>
      <c r="Y52" s="151"/>
      <c r="Z52" s="190"/>
      <c r="AA52" s="153"/>
      <c r="AB52" s="154">
        <f t="shared" si="3"/>
        <v>0</v>
      </c>
      <c r="AC52" s="149">
        <f t="shared" si="4"/>
        <v>0</v>
      </c>
      <c r="AD52" s="125">
        <v>2</v>
      </c>
      <c r="AE52" s="148">
        <f t="shared" si="5"/>
        <v>2</v>
      </c>
      <c r="AF52" s="156"/>
      <c r="AG52" s="156"/>
      <c r="AH52" s="113">
        <f t="shared" si="6"/>
        <v>17</v>
      </c>
      <c r="AI52" s="157">
        <v>65</v>
      </c>
      <c r="AJ52" s="113">
        <f t="shared" si="7"/>
        <v>82</v>
      </c>
      <c r="AK52" s="113">
        <f t="shared" si="8"/>
        <v>82</v>
      </c>
      <c r="AL52" s="158">
        <f t="shared" si="9"/>
        <v>1.02</v>
      </c>
      <c r="AM52" s="159"/>
      <c r="AN52" s="160">
        <f t="shared" si="15"/>
        <v>1</v>
      </c>
      <c r="AO52" s="160">
        <f t="shared" si="15"/>
        <v>2</v>
      </c>
      <c r="AP52" s="133"/>
      <c r="AQ52" s="134"/>
      <c r="AR52" s="161"/>
      <c r="AS52" s="161"/>
      <c r="AT52" s="161"/>
      <c r="AU52" s="161"/>
      <c r="AV52" s="162"/>
      <c r="AW52" s="137">
        <f t="shared" si="11"/>
        <v>0</v>
      </c>
      <c r="AX52" s="137">
        <f t="shared" si="12"/>
        <v>0</v>
      </c>
    </row>
    <row r="53" ht="46.5" customHeight="1" spans="1:50" s="97" customFormat="1" x14ac:dyDescent="0.25">
      <c r="A53" s="100"/>
      <c r="B53" s="100"/>
      <c r="C53" s="100"/>
      <c r="D53" s="100"/>
      <c r="E53" s="100"/>
      <c r="F53" s="100"/>
      <c r="G53" s="103"/>
      <c r="H53" s="186"/>
      <c r="I53" s="195">
        <v>0.51</v>
      </c>
      <c r="J53" s="107">
        <v>0.49</v>
      </c>
      <c r="K53" s="107"/>
      <c r="L53" s="107"/>
      <c r="M53" s="187"/>
      <c r="N53" s="169">
        <f t="shared" si="14"/>
        <v>1</v>
      </c>
      <c r="O53" s="144">
        <v>1</v>
      </c>
      <c r="P53" s="145">
        <v>15</v>
      </c>
      <c r="Q53" s="113">
        <v>15</v>
      </c>
      <c r="R53" s="113"/>
      <c r="S53" s="113"/>
      <c r="T53" s="146"/>
      <c r="U53" s="148">
        <f t="shared" si="1"/>
        <v>15</v>
      </c>
      <c r="V53" s="149">
        <f t="shared" si="2"/>
        <v>15</v>
      </c>
      <c r="W53" s="189"/>
      <c r="X53" s="199"/>
      <c r="Y53" s="151"/>
      <c r="Z53" s="190"/>
      <c r="AA53" s="153"/>
      <c r="AB53" s="154">
        <f t="shared" si="3"/>
        <v>0</v>
      </c>
      <c r="AC53" s="149">
        <f t="shared" si="4"/>
        <v>0</v>
      </c>
      <c r="AD53" s="125">
        <v>2</v>
      </c>
      <c r="AE53" s="148">
        <f t="shared" si="5"/>
        <v>2</v>
      </c>
      <c r="AF53" s="156"/>
      <c r="AG53" s="156"/>
      <c r="AH53" s="113">
        <f t="shared" si="6"/>
        <v>17</v>
      </c>
      <c r="AI53" s="157">
        <v>65</v>
      </c>
      <c r="AJ53" s="113">
        <f t="shared" si="7"/>
        <v>82</v>
      </c>
      <c r="AK53" s="113">
        <f t="shared" si="8"/>
        <v>82</v>
      </c>
      <c r="AL53" s="158">
        <f t="shared" si="9"/>
        <v>1.02</v>
      </c>
      <c r="AM53" s="159"/>
      <c r="AN53" s="160">
        <f t="shared" si="15"/>
        <v>1</v>
      </c>
      <c r="AO53" s="160">
        <f t="shared" si="15"/>
        <v>2</v>
      </c>
      <c r="AP53" s="133"/>
      <c r="AQ53" s="134"/>
      <c r="AR53" s="161"/>
      <c r="AS53" s="161"/>
      <c r="AT53" s="161"/>
      <c r="AU53" s="161"/>
      <c r="AV53" s="162"/>
      <c r="AW53" s="137">
        <f t="shared" si="11"/>
        <v>0</v>
      </c>
      <c r="AX53" s="137">
        <f t="shared" si="12"/>
        <v>0</v>
      </c>
    </row>
    <row r="54" ht="46.5" customHeight="1" spans="1:50" s="97" customFormat="1" x14ac:dyDescent="0.25">
      <c r="A54" s="100"/>
      <c r="B54" s="100"/>
      <c r="C54" s="100"/>
      <c r="D54" s="100"/>
      <c r="E54" s="100"/>
      <c r="F54" s="100"/>
      <c r="G54" s="103"/>
      <c r="H54" s="186"/>
      <c r="I54" s="195">
        <v>0.51</v>
      </c>
      <c r="J54" s="107">
        <v>0.49</v>
      </c>
      <c r="K54" s="107"/>
      <c r="L54" s="107"/>
      <c r="M54" s="187"/>
      <c r="N54" s="169">
        <f t="shared" si="14"/>
        <v>1</v>
      </c>
      <c r="O54" s="144">
        <v>1</v>
      </c>
      <c r="P54" s="145">
        <v>15</v>
      </c>
      <c r="Q54" s="113">
        <v>15</v>
      </c>
      <c r="R54" s="113"/>
      <c r="S54" s="113"/>
      <c r="T54" s="146"/>
      <c r="U54" s="148">
        <f t="shared" si="1"/>
        <v>15</v>
      </c>
      <c r="V54" s="149">
        <f t="shared" si="2"/>
        <v>15</v>
      </c>
      <c r="W54" s="189"/>
      <c r="X54" s="199"/>
      <c r="Y54" s="151"/>
      <c r="Z54" s="190"/>
      <c r="AA54" s="153"/>
      <c r="AB54" s="154">
        <f t="shared" si="3"/>
        <v>0</v>
      </c>
      <c r="AC54" s="149">
        <f t="shared" si="4"/>
        <v>0</v>
      </c>
      <c r="AD54" s="125">
        <v>2</v>
      </c>
      <c r="AE54" s="148">
        <f t="shared" si="5"/>
        <v>2</v>
      </c>
      <c r="AF54" s="156"/>
      <c r="AG54" s="156"/>
      <c r="AH54" s="113">
        <f t="shared" si="6"/>
        <v>17</v>
      </c>
      <c r="AI54" s="157">
        <v>65</v>
      </c>
      <c r="AJ54" s="113">
        <f t="shared" si="7"/>
        <v>82</v>
      </c>
      <c r="AK54" s="113">
        <f t="shared" si="8"/>
        <v>82</v>
      </c>
      <c r="AL54" s="158">
        <f t="shared" si="9"/>
        <v>1.02</v>
      </c>
      <c r="AM54" s="159"/>
      <c r="AN54" s="160">
        <f t="shared" si="15"/>
        <v>1</v>
      </c>
      <c r="AO54" s="160">
        <f t="shared" si="15"/>
        <v>2</v>
      </c>
      <c r="AP54" s="133"/>
      <c r="AQ54" s="134"/>
      <c r="AR54" s="161"/>
      <c r="AS54" s="161"/>
      <c r="AT54" s="161"/>
      <c r="AU54" s="161"/>
      <c r="AV54" s="162"/>
      <c r="AW54" s="137">
        <f t="shared" si="11"/>
        <v>0</v>
      </c>
      <c r="AX54" s="137">
        <f t="shared" si="12"/>
        <v>0</v>
      </c>
    </row>
    <row r="55" ht="46.5" customHeight="1" spans="1:50" s="97" customFormat="1" x14ac:dyDescent="0.25">
      <c r="A55" s="100"/>
      <c r="B55" s="100"/>
      <c r="C55" s="100"/>
      <c r="D55" s="100"/>
      <c r="E55" s="100"/>
      <c r="F55" s="100"/>
      <c r="G55" s="103"/>
      <c r="H55" s="186"/>
      <c r="I55" s="195">
        <v>0.51</v>
      </c>
      <c r="J55" s="107">
        <v>0.49</v>
      </c>
      <c r="K55" s="107"/>
      <c r="L55" s="107"/>
      <c r="M55" s="187"/>
      <c r="N55" s="169">
        <f t="shared" si="14"/>
        <v>1</v>
      </c>
      <c r="O55" s="144">
        <v>1</v>
      </c>
      <c r="P55" s="145">
        <v>15</v>
      </c>
      <c r="Q55" s="113">
        <v>15</v>
      </c>
      <c r="R55" s="113"/>
      <c r="S55" s="113"/>
      <c r="T55" s="146"/>
      <c r="U55" s="148">
        <f t="shared" si="1"/>
        <v>15</v>
      </c>
      <c r="V55" s="149">
        <f t="shared" si="2"/>
        <v>15</v>
      </c>
      <c r="W55" s="189"/>
      <c r="X55" s="199"/>
      <c r="Y55" s="151"/>
      <c r="Z55" s="190"/>
      <c r="AA55" s="153"/>
      <c r="AB55" s="154">
        <f t="shared" si="3"/>
        <v>0</v>
      </c>
      <c r="AC55" s="149">
        <f t="shared" si="4"/>
        <v>0</v>
      </c>
      <c r="AD55" s="125">
        <v>2</v>
      </c>
      <c r="AE55" s="148">
        <f t="shared" si="5"/>
        <v>2</v>
      </c>
      <c r="AF55" s="156"/>
      <c r="AG55" s="156"/>
      <c r="AH55" s="113">
        <f t="shared" si="6"/>
        <v>17</v>
      </c>
      <c r="AI55" s="157">
        <v>65</v>
      </c>
      <c r="AJ55" s="113">
        <f t="shared" si="7"/>
        <v>82</v>
      </c>
      <c r="AK55" s="113">
        <f t="shared" si="8"/>
        <v>82</v>
      </c>
      <c r="AL55" s="158">
        <f t="shared" si="9"/>
        <v>1.02</v>
      </c>
      <c r="AM55" s="159"/>
      <c r="AN55" s="160">
        <f t="shared" si="15"/>
        <v>1</v>
      </c>
      <c r="AO55" s="160">
        <f t="shared" si="15"/>
        <v>2</v>
      </c>
      <c r="AP55" s="133"/>
      <c r="AQ55" s="134"/>
      <c r="AR55" s="161"/>
      <c r="AS55" s="161"/>
      <c r="AT55" s="161"/>
      <c r="AU55" s="161"/>
      <c r="AV55" s="162"/>
      <c r="AW55" s="137">
        <f t="shared" si="11"/>
        <v>0</v>
      </c>
      <c r="AX55" s="137">
        <f t="shared" si="12"/>
        <v>0</v>
      </c>
    </row>
    <row r="56" ht="46.5" customHeight="1" spans="1:50" s="97" customFormat="1" x14ac:dyDescent="0.25">
      <c r="A56" s="100"/>
      <c r="B56" s="100"/>
      <c r="C56" s="100"/>
      <c r="D56" s="100"/>
      <c r="E56" s="100"/>
      <c r="F56" s="100"/>
      <c r="G56" s="103"/>
      <c r="H56" s="186"/>
      <c r="I56" s="195">
        <v>0.51</v>
      </c>
      <c r="J56" s="107">
        <v>0.49</v>
      </c>
      <c r="K56" s="107"/>
      <c r="L56" s="107"/>
      <c r="M56" s="187"/>
      <c r="N56" s="169">
        <f t="shared" si="14"/>
        <v>1</v>
      </c>
      <c r="O56" s="144">
        <v>1</v>
      </c>
      <c r="P56" s="145">
        <v>15</v>
      </c>
      <c r="Q56" s="113">
        <v>15</v>
      </c>
      <c r="R56" s="113"/>
      <c r="S56" s="113"/>
      <c r="T56" s="146"/>
      <c r="U56" s="148">
        <f t="shared" si="1"/>
        <v>15</v>
      </c>
      <c r="V56" s="149">
        <f t="shared" si="2"/>
        <v>15</v>
      </c>
      <c r="W56" s="189"/>
      <c r="X56" s="199"/>
      <c r="Y56" s="151"/>
      <c r="Z56" s="190"/>
      <c r="AA56" s="153"/>
      <c r="AB56" s="154">
        <f t="shared" si="3"/>
        <v>0</v>
      </c>
      <c r="AC56" s="149">
        <f t="shared" si="4"/>
        <v>0</v>
      </c>
      <c r="AD56" s="125">
        <v>2</v>
      </c>
      <c r="AE56" s="148">
        <f t="shared" si="5"/>
        <v>2</v>
      </c>
      <c r="AF56" s="156"/>
      <c r="AG56" s="156"/>
      <c r="AH56" s="113">
        <f t="shared" si="6"/>
        <v>17</v>
      </c>
      <c r="AI56" s="157">
        <v>65</v>
      </c>
      <c r="AJ56" s="113">
        <f t="shared" si="7"/>
        <v>82</v>
      </c>
      <c r="AK56" s="113">
        <f t="shared" si="8"/>
        <v>82</v>
      </c>
      <c r="AL56" s="158">
        <f t="shared" si="9"/>
        <v>1.02</v>
      </c>
      <c r="AM56" s="159"/>
      <c r="AN56" s="160">
        <f t="shared" si="15"/>
        <v>1</v>
      </c>
      <c r="AO56" s="160">
        <f t="shared" si="15"/>
        <v>2</v>
      </c>
      <c r="AP56" s="133"/>
      <c r="AQ56" s="134"/>
      <c r="AR56" s="161"/>
      <c r="AS56" s="161"/>
      <c r="AT56" s="161"/>
      <c r="AU56" s="161"/>
      <c r="AV56" s="162"/>
      <c r="AW56" s="137">
        <f t="shared" si="11"/>
        <v>0</v>
      </c>
      <c r="AX56" s="137">
        <f t="shared" si="12"/>
        <v>0</v>
      </c>
    </row>
    <row r="57" ht="46.5" customHeight="1" spans="1:50" s="97" customFormat="1" x14ac:dyDescent="0.25">
      <c r="A57" s="100"/>
      <c r="B57" s="100"/>
      <c r="C57" s="100"/>
      <c r="D57" s="100"/>
      <c r="E57" s="100"/>
      <c r="F57" s="100"/>
      <c r="G57" s="103"/>
      <c r="H57" s="186"/>
      <c r="I57" s="195">
        <v>0.51</v>
      </c>
      <c r="J57" s="107">
        <v>0.49</v>
      </c>
      <c r="K57" s="107"/>
      <c r="L57" s="107"/>
      <c r="M57" s="187"/>
      <c r="N57" s="169">
        <f t="shared" si="14"/>
        <v>1</v>
      </c>
      <c r="O57" s="144">
        <v>1</v>
      </c>
      <c r="P57" s="145">
        <v>15</v>
      </c>
      <c r="Q57" s="113">
        <v>15</v>
      </c>
      <c r="R57" s="113"/>
      <c r="S57" s="113"/>
      <c r="T57" s="146"/>
      <c r="U57" s="148">
        <f t="shared" si="1"/>
        <v>15</v>
      </c>
      <c r="V57" s="149">
        <f t="shared" si="2"/>
        <v>15</v>
      </c>
      <c r="W57" s="189"/>
      <c r="X57" s="199"/>
      <c r="Y57" s="151"/>
      <c r="Z57" s="190"/>
      <c r="AA57" s="153"/>
      <c r="AB57" s="154">
        <f t="shared" si="3"/>
        <v>0</v>
      </c>
      <c r="AC57" s="149">
        <f t="shared" si="4"/>
        <v>0</v>
      </c>
      <c r="AD57" s="125">
        <v>2</v>
      </c>
      <c r="AE57" s="148">
        <f t="shared" si="5"/>
        <v>2</v>
      </c>
      <c r="AF57" s="156"/>
      <c r="AG57" s="156"/>
      <c r="AH57" s="113">
        <f t="shared" si="6"/>
        <v>17</v>
      </c>
      <c r="AI57" s="157">
        <v>65</v>
      </c>
      <c r="AJ57" s="113">
        <f t="shared" si="7"/>
        <v>82</v>
      </c>
      <c r="AK57" s="113">
        <f t="shared" si="8"/>
        <v>82</v>
      </c>
      <c r="AL57" s="158">
        <f t="shared" si="9"/>
        <v>1.02</v>
      </c>
      <c r="AM57" s="159"/>
      <c r="AN57" s="160">
        <f t="shared" si="15"/>
        <v>1</v>
      </c>
      <c r="AO57" s="160">
        <f t="shared" si="15"/>
        <v>2</v>
      </c>
      <c r="AP57" s="133"/>
      <c r="AQ57" s="134"/>
      <c r="AR57" s="161"/>
      <c r="AS57" s="161"/>
      <c r="AT57" s="161"/>
      <c r="AU57" s="161"/>
      <c r="AV57" s="162"/>
      <c r="AW57" s="137">
        <f t="shared" si="11"/>
        <v>0</v>
      </c>
      <c r="AX57" s="137">
        <f t="shared" si="12"/>
        <v>0</v>
      </c>
    </row>
    <row r="58" ht="46.5" customHeight="1" spans="1:50" s="97" customFormat="1" x14ac:dyDescent="0.25">
      <c r="A58" s="100"/>
      <c r="B58" s="100"/>
      <c r="C58" s="100"/>
      <c r="D58" s="100"/>
      <c r="E58" s="100"/>
      <c r="F58" s="100"/>
      <c r="G58" s="103"/>
      <c r="H58" s="186"/>
      <c r="I58" s="195">
        <v>0.51</v>
      </c>
      <c r="J58" s="107">
        <v>0.49</v>
      </c>
      <c r="K58" s="107"/>
      <c r="L58" s="107"/>
      <c r="M58" s="187"/>
      <c r="N58" s="169">
        <f t="shared" si="14"/>
        <v>1</v>
      </c>
      <c r="O58" s="144">
        <v>1</v>
      </c>
      <c r="P58" s="145">
        <v>15</v>
      </c>
      <c r="Q58" s="113">
        <v>15</v>
      </c>
      <c r="R58" s="113"/>
      <c r="S58" s="113"/>
      <c r="T58" s="146"/>
      <c r="U58" s="148">
        <f t="shared" si="1"/>
        <v>15</v>
      </c>
      <c r="V58" s="149">
        <f t="shared" si="2"/>
        <v>15</v>
      </c>
      <c r="W58" s="189"/>
      <c r="X58" s="199"/>
      <c r="Y58" s="151"/>
      <c r="Z58" s="190"/>
      <c r="AA58" s="153"/>
      <c r="AB58" s="154">
        <f t="shared" si="3"/>
        <v>0</v>
      </c>
      <c r="AC58" s="149">
        <f t="shared" si="4"/>
        <v>0</v>
      </c>
      <c r="AD58" s="125">
        <v>2</v>
      </c>
      <c r="AE58" s="148">
        <f t="shared" si="5"/>
        <v>2</v>
      </c>
      <c r="AF58" s="156"/>
      <c r="AG58" s="156"/>
      <c r="AH58" s="113">
        <f t="shared" si="6"/>
        <v>17</v>
      </c>
      <c r="AI58" s="157">
        <v>65</v>
      </c>
      <c r="AJ58" s="113">
        <f t="shared" si="7"/>
        <v>82</v>
      </c>
      <c r="AK58" s="113">
        <f t="shared" si="8"/>
        <v>82</v>
      </c>
      <c r="AL58" s="158">
        <f t="shared" si="9"/>
        <v>1.02</v>
      </c>
      <c r="AM58" s="159"/>
      <c r="AN58" s="160">
        <f t="shared" si="15"/>
        <v>1</v>
      </c>
      <c r="AO58" s="160">
        <f t="shared" si="15"/>
        <v>2</v>
      </c>
      <c r="AP58" s="133"/>
      <c r="AQ58" s="134"/>
      <c r="AR58" s="161"/>
      <c r="AS58" s="161"/>
      <c r="AT58" s="161"/>
      <c r="AU58" s="161"/>
      <c r="AV58" s="162"/>
      <c r="AW58" s="137">
        <f t="shared" si="11"/>
        <v>0</v>
      </c>
      <c r="AX58" s="137">
        <f t="shared" si="12"/>
        <v>0</v>
      </c>
    </row>
    <row r="59" ht="46.5" customHeight="1" spans="1:50" s="97" customFormat="1" x14ac:dyDescent="0.25">
      <c r="A59" s="100"/>
      <c r="B59" s="100"/>
      <c r="C59" s="100"/>
      <c r="D59" s="100"/>
      <c r="E59" s="100"/>
      <c r="F59" s="100"/>
      <c r="G59" s="103"/>
      <c r="H59" s="186"/>
      <c r="I59" s="195">
        <v>0.51</v>
      </c>
      <c r="J59" s="107">
        <v>0.49</v>
      </c>
      <c r="K59" s="107"/>
      <c r="L59" s="107"/>
      <c r="M59" s="187"/>
      <c r="N59" s="169">
        <f t="shared" si="14"/>
        <v>1</v>
      </c>
      <c r="O59" s="144">
        <v>1</v>
      </c>
      <c r="P59" s="145">
        <v>15</v>
      </c>
      <c r="Q59" s="113">
        <v>15</v>
      </c>
      <c r="R59" s="113"/>
      <c r="S59" s="113"/>
      <c r="T59" s="146"/>
      <c r="U59" s="148">
        <f t="shared" si="1"/>
        <v>15</v>
      </c>
      <c r="V59" s="149">
        <f t="shared" si="2"/>
        <v>15</v>
      </c>
      <c r="W59" s="189"/>
      <c r="X59" s="199"/>
      <c r="Y59" s="151"/>
      <c r="Z59" s="190"/>
      <c r="AA59" s="153"/>
      <c r="AB59" s="154">
        <f t="shared" si="3"/>
        <v>0</v>
      </c>
      <c r="AC59" s="149">
        <f t="shared" si="4"/>
        <v>0</v>
      </c>
      <c r="AD59" s="125">
        <v>2</v>
      </c>
      <c r="AE59" s="148">
        <f t="shared" si="5"/>
        <v>2</v>
      </c>
      <c r="AF59" s="156"/>
      <c r="AG59" s="156"/>
      <c r="AH59" s="113">
        <f t="shared" si="6"/>
        <v>17</v>
      </c>
      <c r="AI59" s="157">
        <v>65</v>
      </c>
      <c r="AJ59" s="113">
        <f t="shared" si="7"/>
        <v>82</v>
      </c>
      <c r="AK59" s="113">
        <f t="shared" si="8"/>
        <v>82</v>
      </c>
      <c r="AL59" s="158">
        <f t="shared" si="9"/>
        <v>1.02</v>
      </c>
      <c r="AM59" s="159"/>
      <c r="AN59" s="160">
        <f t="shared" si="15"/>
        <v>1</v>
      </c>
      <c r="AO59" s="160">
        <f t="shared" si="15"/>
        <v>2</v>
      </c>
      <c r="AP59" s="133"/>
      <c r="AQ59" s="134"/>
      <c r="AR59" s="161"/>
      <c r="AS59" s="161"/>
      <c r="AT59" s="161"/>
      <c r="AU59" s="161"/>
      <c r="AV59" s="162"/>
      <c r="AW59" s="137">
        <f t="shared" si="11"/>
        <v>0</v>
      </c>
      <c r="AX59" s="137">
        <f t="shared" si="12"/>
        <v>0</v>
      </c>
    </row>
    <row r="60" ht="46.5" customHeight="1" spans="1:50" s="97" customFormat="1" x14ac:dyDescent="0.25">
      <c r="A60" s="100"/>
      <c r="B60" s="100"/>
      <c r="C60" s="100"/>
      <c r="D60" s="100"/>
      <c r="E60" s="100"/>
      <c r="F60" s="100"/>
      <c r="G60" s="103"/>
      <c r="H60" s="186"/>
      <c r="I60" s="195">
        <v>0.51</v>
      </c>
      <c r="J60" s="107">
        <v>0.49</v>
      </c>
      <c r="K60" s="107"/>
      <c r="L60" s="107"/>
      <c r="M60" s="187"/>
      <c r="N60" s="169">
        <f t="shared" si="14"/>
        <v>1</v>
      </c>
      <c r="O60" s="144">
        <v>1</v>
      </c>
      <c r="P60" s="145">
        <v>15</v>
      </c>
      <c r="Q60" s="113">
        <v>15</v>
      </c>
      <c r="R60" s="113"/>
      <c r="S60" s="113"/>
      <c r="T60" s="146"/>
      <c r="U60" s="148">
        <f t="shared" si="1"/>
        <v>15</v>
      </c>
      <c r="V60" s="149">
        <f t="shared" si="2"/>
        <v>15</v>
      </c>
      <c r="W60" s="189"/>
      <c r="X60" s="199"/>
      <c r="Y60" s="151"/>
      <c r="Z60" s="190"/>
      <c r="AA60" s="153"/>
      <c r="AB60" s="154">
        <f t="shared" si="3"/>
        <v>0</v>
      </c>
      <c r="AC60" s="149">
        <f t="shared" si="4"/>
        <v>0</v>
      </c>
      <c r="AD60" s="125">
        <v>2</v>
      </c>
      <c r="AE60" s="148">
        <f t="shared" si="5"/>
        <v>2</v>
      </c>
      <c r="AF60" s="156"/>
      <c r="AG60" s="156"/>
      <c r="AH60" s="113">
        <f t="shared" si="6"/>
        <v>17</v>
      </c>
      <c r="AI60" s="157">
        <v>65</v>
      </c>
      <c r="AJ60" s="113">
        <f t="shared" si="7"/>
        <v>82</v>
      </c>
      <c r="AK60" s="113">
        <f t="shared" si="8"/>
        <v>82</v>
      </c>
      <c r="AL60" s="158">
        <f t="shared" si="9"/>
        <v>1.02</v>
      </c>
      <c r="AM60" s="159"/>
      <c r="AN60" s="160">
        <f t="shared" si="15"/>
        <v>1</v>
      </c>
      <c r="AO60" s="160">
        <f t="shared" si="15"/>
        <v>2</v>
      </c>
      <c r="AP60" s="133"/>
      <c r="AQ60" s="134"/>
      <c r="AR60" s="161"/>
      <c r="AS60" s="161"/>
      <c r="AT60" s="161"/>
      <c r="AU60" s="161"/>
      <c r="AV60" s="162"/>
      <c r="AW60" s="137">
        <f t="shared" si="11"/>
        <v>0</v>
      </c>
      <c r="AX60" s="137">
        <f t="shared" si="12"/>
        <v>0</v>
      </c>
    </row>
    <row r="61" ht="46.5" customHeight="1" spans="1:50" s="97" customFormat="1" x14ac:dyDescent="0.25">
      <c r="A61" s="100"/>
      <c r="B61" s="100"/>
      <c r="C61" s="100"/>
      <c r="D61" s="100"/>
      <c r="E61" s="100"/>
      <c r="F61" s="100"/>
      <c r="G61" s="103"/>
      <c r="H61" s="186"/>
      <c r="I61" s="195">
        <v>0.51</v>
      </c>
      <c r="J61" s="107">
        <v>0.49</v>
      </c>
      <c r="K61" s="107"/>
      <c r="L61" s="107"/>
      <c r="M61" s="187"/>
      <c r="N61" s="169">
        <f t="shared" si="14"/>
        <v>1</v>
      </c>
      <c r="O61" s="144">
        <v>1</v>
      </c>
      <c r="P61" s="145">
        <v>15</v>
      </c>
      <c r="Q61" s="113">
        <v>15</v>
      </c>
      <c r="R61" s="113"/>
      <c r="S61" s="113"/>
      <c r="T61" s="146"/>
      <c r="U61" s="148">
        <f t="shared" si="1"/>
        <v>15</v>
      </c>
      <c r="V61" s="149">
        <f t="shared" si="2"/>
        <v>15</v>
      </c>
      <c r="W61" s="189"/>
      <c r="X61" s="199"/>
      <c r="Y61" s="151"/>
      <c r="Z61" s="190"/>
      <c r="AA61" s="153"/>
      <c r="AB61" s="154">
        <f t="shared" si="3"/>
        <v>0</v>
      </c>
      <c r="AC61" s="149">
        <f t="shared" si="4"/>
        <v>0</v>
      </c>
      <c r="AD61" s="125">
        <v>2</v>
      </c>
      <c r="AE61" s="148">
        <f t="shared" si="5"/>
        <v>2</v>
      </c>
      <c r="AF61" s="156"/>
      <c r="AG61" s="156"/>
      <c r="AH61" s="113">
        <f t="shared" si="6"/>
        <v>17</v>
      </c>
      <c r="AI61" s="157">
        <v>65</v>
      </c>
      <c r="AJ61" s="113">
        <f t="shared" si="7"/>
        <v>82</v>
      </c>
      <c r="AK61" s="113">
        <f t="shared" si="8"/>
        <v>82</v>
      </c>
      <c r="AL61" s="158">
        <f t="shared" si="9"/>
        <v>1.02</v>
      </c>
      <c r="AM61" s="159"/>
      <c r="AN61" s="160">
        <f t="shared" si="15"/>
        <v>1</v>
      </c>
      <c r="AO61" s="160">
        <f t="shared" si="15"/>
        <v>2</v>
      </c>
      <c r="AP61" s="133"/>
      <c r="AQ61" s="134"/>
      <c r="AR61" s="161"/>
      <c r="AS61" s="161"/>
      <c r="AT61" s="161"/>
      <c r="AU61" s="161"/>
      <c r="AV61" s="162"/>
      <c r="AW61" s="137">
        <f t="shared" si="11"/>
        <v>0</v>
      </c>
      <c r="AX61" s="137">
        <f t="shared" si="12"/>
        <v>0</v>
      </c>
    </row>
    <row r="62" ht="46.5" customHeight="1" spans="1:50" s="97" customFormat="1" x14ac:dyDescent="0.25">
      <c r="A62" s="100"/>
      <c r="B62" s="100"/>
      <c r="C62" s="100"/>
      <c r="D62" s="100"/>
      <c r="E62" s="100"/>
      <c r="F62" s="100"/>
      <c r="G62" s="103"/>
      <c r="H62" s="186"/>
      <c r="I62" s="195">
        <v>0.51</v>
      </c>
      <c r="J62" s="107">
        <v>0.49</v>
      </c>
      <c r="K62" s="107"/>
      <c r="L62" s="107"/>
      <c r="M62" s="187"/>
      <c r="N62" s="169">
        <f t="shared" si="14"/>
        <v>1</v>
      </c>
      <c r="O62" s="144">
        <v>1</v>
      </c>
      <c r="P62" s="145">
        <v>15</v>
      </c>
      <c r="Q62" s="113">
        <v>15</v>
      </c>
      <c r="R62" s="113"/>
      <c r="S62" s="113"/>
      <c r="T62" s="146"/>
      <c r="U62" s="148">
        <f t="shared" si="1"/>
        <v>15</v>
      </c>
      <c r="V62" s="149">
        <f t="shared" si="2"/>
        <v>15</v>
      </c>
      <c r="W62" s="189"/>
      <c r="X62" s="199"/>
      <c r="Y62" s="151"/>
      <c r="Z62" s="190"/>
      <c r="AA62" s="153"/>
      <c r="AB62" s="154">
        <f t="shared" si="3"/>
        <v>0</v>
      </c>
      <c r="AC62" s="149">
        <f t="shared" si="4"/>
        <v>0</v>
      </c>
      <c r="AD62" s="125">
        <v>2</v>
      </c>
      <c r="AE62" s="148">
        <f t="shared" si="5"/>
        <v>2</v>
      </c>
      <c r="AF62" s="156"/>
      <c r="AG62" s="156"/>
      <c r="AH62" s="113">
        <f t="shared" si="6"/>
        <v>17</v>
      </c>
      <c r="AI62" s="157">
        <v>65</v>
      </c>
      <c r="AJ62" s="113">
        <f t="shared" si="7"/>
        <v>82</v>
      </c>
      <c r="AK62" s="113">
        <f t="shared" si="8"/>
        <v>82</v>
      </c>
      <c r="AL62" s="158">
        <f t="shared" si="9"/>
        <v>1.02</v>
      </c>
      <c r="AM62" s="159"/>
      <c r="AN62" s="160">
        <f t="shared" si="15"/>
        <v>1</v>
      </c>
      <c r="AO62" s="160">
        <f t="shared" si="15"/>
        <v>2</v>
      </c>
      <c r="AP62" s="133"/>
      <c r="AQ62" s="134"/>
      <c r="AR62" s="161"/>
      <c r="AS62" s="161"/>
      <c r="AT62" s="161"/>
      <c r="AU62" s="161"/>
      <c r="AV62" s="162"/>
      <c r="AW62" s="137">
        <f t="shared" si="11"/>
        <v>0</v>
      </c>
      <c r="AX62" s="137">
        <f t="shared" si="12"/>
        <v>0</v>
      </c>
    </row>
    <row r="63" ht="46.5" customHeight="1" spans="1:50" s="97" customFormat="1" x14ac:dyDescent="0.25">
      <c r="A63" s="100"/>
      <c r="B63" s="100"/>
      <c r="C63" s="100"/>
      <c r="D63" s="100"/>
      <c r="E63" s="100"/>
      <c r="F63" s="100"/>
      <c r="G63" s="103"/>
      <c r="H63" s="186"/>
      <c r="I63" s="195">
        <v>0.51</v>
      </c>
      <c r="J63" s="107">
        <v>0.49</v>
      </c>
      <c r="K63" s="107"/>
      <c r="L63" s="107"/>
      <c r="M63" s="187"/>
      <c r="N63" s="169">
        <f t="shared" si="14"/>
        <v>1</v>
      </c>
      <c r="O63" s="144">
        <v>1</v>
      </c>
      <c r="P63" s="145">
        <v>15</v>
      </c>
      <c r="Q63" s="113">
        <v>15</v>
      </c>
      <c r="R63" s="113"/>
      <c r="S63" s="113"/>
      <c r="T63" s="146"/>
      <c r="U63" s="148">
        <f t="shared" si="1"/>
        <v>15</v>
      </c>
      <c r="V63" s="149">
        <f t="shared" si="2"/>
        <v>15</v>
      </c>
      <c r="W63" s="189"/>
      <c r="X63" s="199"/>
      <c r="Y63" s="151"/>
      <c r="Z63" s="190"/>
      <c r="AA63" s="153"/>
      <c r="AB63" s="154">
        <f t="shared" si="3"/>
        <v>0</v>
      </c>
      <c r="AC63" s="149">
        <f t="shared" si="4"/>
        <v>0</v>
      </c>
      <c r="AD63" s="125">
        <v>2</v>
      </c>
      <c r="AE63" s="148">
        <f t="shared" si="5"/>
        <v>2</v>
      </c>
      <c r="AF63" s="156"/>
      <c r="AG63" s="156"/>
      <c r="AH63" s="113">
        <f t="shared" si="6"/>
        <v>17</v>
      </c>
      <c r="AI63" s="157">
        <v>65</v>
      </c>
      <c r="AJ63" s="113">
        <f t="shared" si="7"/>
        <v>82</v>
      </c>
      <c r="AK63" s="113">
        <f t="shared" si="8"/>
        <v>82</v>
      </c>
      <c r="AL63" s="158">
        <f t="shared" si="9"/>
        <v>1.02</v>
      </c>
      <c r="AM63" s="159"/>
      <c r="AN63" s="160">
        <f t="shared" si="15"/>
        <v>1</v>
      </c>
      <c r="AO63" s="160">
        <f t="shared" si="15"/>
        <v>2</v>
      </c>
      <c r="AP63" s="133"/>
      <c r="AQ63" s="134"/>
      <c r="AR63" s="161"/>
      <c r="AS63" s="161"/>
      <c r="AT63" s="161"/>
      <c r="AU63" s="161"/>
      <c r="AV63" s="162"/>
      <c r="AW63" s="137">
        <f t="shared" si="11"/>
        <v>0</v>
      </c>
      <c r="AX63" s="137">
        <f t="shared" si="12"/>
        <v>0</v>
      </c>
    </row>
    <row r="64" ht="46.5" customHeight="1" spans="1:50" s="97" customFormat="1" x14ac:dyDescent="0.25">
      <c r="A64" s="100"/>
      <c r="B64" s="100"/>
      <c r="C64" s="100"/>
      <c r="D64" s="100"/>
      <c r="E64" s="100"/>
      <c r="F64" s="100"/>
      <c r="G64" s="103"/>
      <c r="H64" s="186"/>
      <c r="I64" s="195">
        <v>0.51</v>
      </c>
      <c r="J64" s="107">
        <v>0.49</v>
      </c>
      <c r="K64" s="107"/>
      <c r="L64" s="107"/>
      <c r="M64" s="187"/>
      <c r="N64" s="169">
        <f t="shared" si="14"/>
        <v>1</v>
      </c>
      <c r="O64" s="144">
        <v>1</v>
      </c>
      <c r="P64" s="145">
        <v>15</v>
      </c>
      <c r="Q64" s="113">
        <v>15</v>
      </c>
      <c r="R64" s="113"/>
      <c r="S64" s="113"/>
      <c r="T64" s="146"/>
      <c r="U64" s="148">
        <f t="shared" si="1"/>
        <v>15</v>
      </c>
      <c r="V64" s="149">
        <f t="shared" si="2"/>
        <v>15</v>
      </c>
      <c r="W64" s="189"/>
      <c r="X64" s="199"/>
      <c r="Y64" s="151"/>
      <c r="Z64" s="190"/>
      <c r="AA64" s="153"/>
      <c r="AB64" s="154">
        <f t="shared" si="3"/>
        <v>0</v>
      </c>
      <c r="AC64" s="149">
        <f t="shared" si="4"/>
        <v>0</v>
      </c>
      <c r="AD64" s="125">
        <v>2</v>
      </c>
      <c r="AE64" s="148">
        <f t="shared" si="5"/>
        <v>2</v>
      </c>
      <c r="AF64" s="156"/>
      <c r="AG64" s="156"/>
      <c r="AH64" s="113">
        <f t="shared" si="6"/>
        <v>17</v>
      </c>
      <c r="AI64" s="157">
        <v>65</v>
      </c>
      <c r="AJ64" s="113">
        <f t="shared" si="7"/>
        <v>82</v>
      </c>
      <c r="AK64" s="113">
        <f t="shared" si="8"/>
        <v>82</v>
      </c>
      <c r="AL64" s="158">
        <f t="shared" si="9"/>
        <v>1.02</v>
      </c>
      <c r="AM64" s="159"/>
      <c r="AN64" s="160">
        <f t="shared" si="15"/>
        <v>1</v>
      </c>
      <c r="AO64" s="160">
        <f t="shared" si="15"/>
        <v>2</v>
      </c>
      <c r="AP64" s="133"/>
      <c r="AQ64" s="134"/>
      <c r="AR64" s="161"/>
      <c r="AS64" s="161"/>
      <c r="AT64" s="161"/>
      <c r="AU64" s="161"/>
      <c r="AV64" s="162"/>
      <c r="AW64" s="137">
        <f t="shared" si="11"/>
        <v>0</v>
      </c>
      <c r="AX64" s="137">
        <f t="shared" si="12"/>
        <v>0</v>
      </c>
    </row>
    <row r="65" ht="46.5" customHeight="1" spans="1:50" s="97" customFormat="1" x14ac:dyDescent="0.25">
      <c r="A65" s="100"/>
      <c r="B65" s="100"/>
      <c r="C65" s="100"/>
      <c r="D65" s="100"/>
      <c r="E65" s="100"/>
      <c r="F65" s="100"/>
      <c r="G65" s="103"/>
      <c r="H65" s="186"/>
      <c r="I65" s="195">
        <v>0.51</v>
      </c>
      <c r="J65" s="107">
        <v>0.49</v>
      </c>
      <c r="K65" s="107"/>
      <c r="L65" s="107"/>
      <c r="M65" s="187"/>
      <c r="N65" s="169">
        <f t="shared" si="14"/>
        <v>1</v>
      </c>
      <c r="O65" s="144">
        <v>1</v>
      </c>
      <c r="P65" s="145">
        <v>15</v>
      </c>
      <c r="Q65" s="113">
        <v>15</v>
      </c>
      <c r="R65" s="113"/>
      <c r="S65" s="113"/>
      <c r="T65" s="146"/>
      <c r="U65" s="148">
        <f t="shared" si="1"/>
        <v>15</v>
      </c>
      <c r="V65" s="149">
        <f t="shared" si="2"/>
        <v>15</v>
      </c>
      <c r="W65" s="189"/>
      <c r="X65" s="199"/>
      <c r="Y65" s="151"/>
      <c r="Z65" s="190"/>
      <c r="AA65" s="153"/>
      <c r="AB65" s="154">
        <f t="shared" si="3"/>
        <v>0</v>
      </c>
      <c r="AC65" s="149">
        <f t="shared" si="4"/>
        <v>0</v>
      </c>
      <c r="AD65" s="125">
        <v>2</v>
      </c>
      <c r="AE65" s="148">
        <f t="shared" si="5"/>
        <v>2</v>
      </c>
      <c r="AF65" s="156"/>
      <c r="AG65" s="156"/>
      <c r="AH65" s="113">
        <f t="shared" si="6"/>
        <v>17</v>
      </c>
      <c r="AI65" s="157">
        <v>65</v>
      </c>
      <c r="AJ65" s="113">
        <f t="shared" si="7"/>
        <v>82</v>
      </c>
      <c r="AK65" s="113">
        <f t="shared" si="8"/>
        <v>82</v>
      </c>
      <c r="AL65" s="158">
        <f t="shared" si="9"/>
        <v>1.02</v>
      </c>
      <c r="AM65" s="159"/>
      <c r="AN65" s="160">
        <f t="shared" si="15"/>
        <v>1</v>
      </c>
      <c r="AO65" s="160">
        <f t="shared" si="15"/>
        <v>2</v>
      </c>
      <c r="AP65" s="133"/>
      <c r="AQ65" s="134"/>
      <c r="AR65" s="161"/>
      <c r="AS65" s="161"/>
      <c r="AT65" s="161"/>
      <c r="AU65" s="161"/>
      <c r="AV65" s="162"/>
      <c r="AW65" s="137">
        <f t="shared" si="11"/>
        <v>0</v>
      </c>
      <c r="AX65" s="137">
        <f t="shared" si="12"/>
        <v>0</v>
      </c>
    </row>
    <row r="66" ht="46.5" customHeight="1" spans="1:50" s="97" customFormat="1" x14ac:dyDescent="0.25">
      <c r="A66" s="100"/>
      <c r="B66" s="100"/>
      <c r="C66" s="100"/>
      <c r="D66" s="100"/>
      <c r="E66" s="100"/>
      <c r="F66" s="100"/>
      <c r="G66" s="103"/>
      <c r="H66" s="186"/>
      <c r="I66" s="195">
        <v>0.51</v>
      </c>
      <c r="J66" s="107">
        <v>0.49</v>
      </c>
      <c r="K66" s="107"/>
      <c r="L66" s="107"/>
      <c r="M66" s="187"/>
      <c r="N66" s="169">
        <f t="shared" si="14"/>
        <v>1</v>
      </c>
      <c r="O66" s="144">
        <v>1</v>
      </c>
      <c r="P66" s="145">
        <v>15</v>
      </c>
      <c r="Q66" s="113">
        <v>15</v>
      </c>
      <c r="R66" s="113"/>
      <c r="S66" s="113"/>
      <c r="T66" s="146"/>
      <c r="U66" s="148">
        <f t="shared" si="1"/>
        <v>15</v>
      </c>
      <c r="V66" s="149">
        <f t="shared" si="2"/>
        <v>15</v>
      </c>
      <c r="W66" s="189"/>
      <c r="X66" s="199"/>
      <c r="Y66" s="151"/>
      <c r="Z66" s="190"/>
      <c r="AA66" s="153"/>
      <c r="AB66" s="154">
        <f t="shared" si="3"/>
        <v>0</v>
      </c>
      <c r="AC66" s="149">
        <f t="shared" si="4"/>
        <v>0</v>
      </c>
      <c r="AD66" s="125">
        <v>2</v>
      </c>
      <c r="AE66" s="148">
        <f t="shared" si="5"/>
        <v>2</v>
      </c>
      <c r="AF66" s="156"/>
      <c r="AG66" s="156"/>
      <c r="AH66" s="113">
        <f t="shared" si="6"/>
        <v>17</v>
      </c>
      <c r="AI66" s="157">
        <v>65</v>
      </c>
      <c r="AJ66" s="113">
        <f t="shared" si="7"/>
        <v>82</v>
      </c>
      <c r="AK66" s="113">
        <f t="shared" si="8"/>
        <v>82</v>
      </c>
      <c r="AL66" s="158">
        <f t="shared" si="9"/>
        <v>1.02</v>
      </c>
      <c r="AM66" s="159"/>
      <c r="AN66" s="160">
        <f t="shared" si="15"/>
        <v>1</v>
      </c>
      <c r="AO66" s="160">
        <f t="shared" si="15"/>
        <v>2</v>
      </c>
      <c r="AP66" s="133"/>
      <c r="AQ66" s="134"/>
      <c r="AR66" s="161"/>
      <c r="AS66" s="161"/>
      <c r="AT66" s="161"/>
      <c r="AU66" s="161"/>
      <c r="AV66" s="162"/>
      <c r="AW66" s="137">
        <f t="shared" si="11"/>
        <v>0</v>
      </c>
      <c r="AX66" s="137">
        <f t="shared" si="12"/>
        <v>0</v>
      </c>
    </row>
    <row r="67" ht="46.5" customHeight="1" spans="1:50" s="97" customFormat="1" x14ac:dyDescent="0.25">
      <c r="A67" s="100"/>
      <c r="B67" s="100"/>
      <c r="C67" s="100"/>
      <c r="D67" s="100"/>
      <c r="E67" s="100"/>
      <c r="F67" s="100"/>
      <c r="G67" s="103"/>
      <c r="H67" s="186"/>
      <c r="I67" s="195">
        <v>0.51</v>
      </c>
      <c r="J67" s="107">
        <v>0.49</v>
      </c>
      <c r="K67" s="107"/>
      <c r="L67" s="107"/>
      <c r="M67" s="187"/>
      <c r="N67" s="169">
        <f t="shared" si="14"/>
        <v>1</v>
      </c>
      <c r="O67" s="144">
        <v>1</v>
      </c>
      <c r="P67" s="145">
        <v>15</v>
      </c>
      <c r="Q67" s="113">
        <v>15</v>
      </c>
      <c r="R67" s="113"/>
      <c r="S67" s="113"/>
      <c r="T67" s="146"/>
      <c r="U67" s="148">
        <f t="shared" si="1"/>
        <v>15</v>
      </c>
      <c r="V67" s="149">
        <f t="shared" si="2"/>
        <v>15</v>
      </c>
      <c r="W67" s="189"/>
      <c r="X67" s="199"/>
      <c r="Y67" s="151"/>
      <c r="Z67" s="190"/>
      <c r="AA67" s="153"/>
      <c r="AB67" s="154">
        <f t="shared" si="3"/>
        <v>0</v>
      </c>
      <c r="AC67" s="149">
        <f t="shared" si="4"/>
        <v>0</v>
      </c>
      <c r="AD67" s="125">
        <v>2</v>
      </c>
      <c r="AE67" s="148">
        <f t="shared" si="5"/>
        <v>2</v>
      </c>
      <c r="AF67" s="156"/>
      <c r="AG67" s="156"/>
      <c r="AH67" s="113">
        <f t="shared" si="6"/>
        <v>17</v>
      </c>
      <c r="AI67" s="157">
        <v>65</v>
      </c>
      <c r="AJ67" s="113">
        <f t="shared" si="7"/>
        <v>82</v>
      </c>
      <c r="AK67" s="113">
        <f t="shared" si="8"/>
        <v>82</v>
      </c>
      <c r="AL67" s="158">
        <f t="shared" si="9"/>
        <v>1.02</v>
      </c>
      <c r="AM67" s="159"/>
      <c r="AN67" s="160">
        <f t="shared" si="15"/>
        <v>1</v>
      </c>
      <c r="AO67" s="160">
        <f t="shared" si="15"/>
        <v>2</v>
      </c>
      <c r="AP67" s="133"/>
      <c r="AQ67" s="134"/>
      <c r="AR67" s="161"/>
      <c r="AS67" s="161"/>
      <c r="AT67" s="161"/>
      <c r="AU67" s="161"/>
      <c r="AV67" s="162"/>
      <c r="AW67" s="137">
        <f t="shared" si="11"/>
        <v>0</v>
      </c>
      <c r="AX67" s="137">
        <f t="shared" si="12"/>
        <v>0</v>
      </c>
    </row>
    <row r="68" ht="46.5" customHeight="1" spans="1:50" s="97" customFormat="1" x14ac:dyDescent="0.25">
      <c r="A68" s="100"/>
      <c r="B68" s="100"/>
      <c r="C68" s="100"/>
      <c r="D68" s="100"/>
      <c r="E68" s="100"/>
      <c r="F68" s="100"/>
      <c r="G68" s="103"/>
      <c r="H68" s="186"/>
      <c r="I68" s="195">
        <v>0.51</v>
      </c>
      <c r="J68" s="107">
        <v>0.49</v>
      </c>
      <c r="K68" s="107"/>
      <c r="L68" s="107"/>
      <c r="M68" s="187"/>
      <c r="N68" s="169">
        <f t="shared" si="14"/>
        <v>1</v>
      </c>
      <c r="O68" s="144">
        <v>1</v>
      </c>
      <c r="P68" s="145">
        <v>15</v>
      </c>
      <c r="Q68" s="113">
        <v>15</v>
      </c>
      <c r="R68" s="113"/>
      <c r="S68" s="113"/>
      <c r="T68" s="146"/>
      <c r="U68" s="148">
        <f t="shared" si="1"/>
        <v>15</v>
      </c>
      <c r="V68" s="149">
        <f t="shared" si="2"/>
        <v>15</v>
      </c>
      <c r="W68" s="189"/>
      <c r="X68" s="199"/>
      <c r="Y68" s="151"/>
      <c r="Z68" s="190"/>
      <c r="AA68" s="153"/>
      <c r="AB68" s="154">
        <f t="shared" si="3"/>
        <v>0</v>
      </c>
      <c r="AC68" s="149">
        <f t="shared" si="4"/>
        <v>0</v>
      </c>
      <c r="AD68" s="125">
        <v>2</v>
      </c>
      <c r="AE68" s="148">
        <f t="shared" si="5"/>
        <v>2</v>
      </c>
      <c r="AF68" s="156"/>
      <c r="AG68" s="156"/>
      <c r="AH68" s="113">
        <f t="shared" si="6"/>
        <v>17</v>
      </c>
      <c r="AI68" s="157">
        <v>65</v>
      </c>
      <c r="AJ68" s="113">
        <f t="shared" si="7"/>
        <v>82</v>
      </c>
      <c r="AK68" s="113">
        <f t="shared" si="8"/>
        <v>82</v>
      </c>
      <c r="AL68" s="158">
        <f t="shared" si="9"/>
        <v>1.02</v>
      </c>
      <c r="AM68" s="159"/>
      <c r="AN68" s="160">
        <f t="shared" ref="AN68:AO87" si="16">100%+AM68</f>
        <v>1</v>
      </c>
      <c r="AO68" s="160">
        <f t="shared" si="16"/>
        <v>2</v>
      </c>
      <c r="AP68" s="133"/>
      <c r="AQ68" s="134"/>
      <c r="AR68" s="161"/>
      <c r="AS68" s="161"/>
      <c r="AT68" s="161"/>
      <c r="AU68" s="161"/>
      <c r="AV68" s="162"/>
      <c r="AW68" s="137">
        <f t="shared" si="11"/>
        <v>0</v>
      </c>
      <c r="AX68" s="137">
        <f t="shared" si="12"/>
        <v>0</v>
      </c>
    </row>
    <row r="69" ht="46.5" customHeight="1" spans="1:50" s="97" customFormat="1" x14ac:dyDescent="0.25">
      <c r="A69" s="100"/>
      <c r="B69" s="100"/>
      <c r="C69" s="100"/>
      <c r="D69" s="100"/>
      <c r="E69" s="100"/>
      <c r="F69" s="100"/>
      <c r="G69" s="103"/>
      <c r="H69" s="186"/>
      <c r="I69" s="195">
        <v>0.51</v>
      </c>
      <c r="J69" s="107">
        <v>0.49</v>
      </c>
      <c r="K69" s="107"/>
      <c r="L69" s="107"/>
      <c r="M69" s="187"/>
      <c r="N69" s="169">
        <f t="shared" si="14"/>
        <v>1</v>
      </c>
      <c r="O69" s="144">
        <v>1</v>
      </c>
      <c r="P69" s="145">
        <v>15</v>
      </c>
      <c r="Q69" s="113">
        <v>15</v>
      </c>
      <c r="R69" s="113"/>
      <c r="S69" s="113"/>
      <c r="T69" s="146"/>
      <c r="U69" s="148">
        <f t="shared" si="1"/>
        <v>15</v>
      </c>
      <c r="V69" s="149">
        <f t="shared" si="2"/>
        <v>15</v>
      </c>
      <c r="W69" s="189"/>
      <c r="X69" s="199"/>
      <c r="Y69" s="151"/>
      <c r="Z69" s="190"/>
      <c r="AA69" s="153"/>
      <c r="AB69" s="154">
        <f t="shared" si="3"/>
        <v>0</v>
      </c>
      <c r="AC69" s="149">
        <f t="shared" si="4"/>
        <v>0</v>
      </c>
      <c r="AD69" s="125">
        <v>2</v>
      </c>
      <c r="AE69" s="148">
        <f t="shared" si="5"/>
        <v>2</v>
      </c>
      <c r="AF69" s="156"/>
      <c r="AG69" s="156"/>
      <c r="AH69" s="113">
        <f t="shared" si="6"/>
        <v>17</v>
      </c>
      <c r="AI69" s="157">
        <v>65</v>
      </c>
      <c r="AJ69" s="113">
        <f t="shared" si="7"/>
        <v>82</v>
      </c>
      <c r="AK69" s="113">
        <f t="shared" si="8"/>
        <v>82</v>
      </c>
      <c r="AL69" s="158">
        <f t="shared" si="9"/>
        <v>1.02</v>
      </c>
      <c r="AM69" s="159"/>
      <c r="AN69" s="160">
        <f t="shared" si="16"/>
        <v>1</v>
      </c>
      <c r="AO69" s="160">
        <f t="shared" si="16"/>
        <v>2</v>
      </c>
      <c r="AP69" s="133"/>
      <c r="AQ69" s="134"/>
      <c r="AR69" s="161"/>
      <c r="AS69" s="161"/>
      <c r="AT69" s="161"/>
      <c r="AU69" s="161"/>
      <c r="AV69" s="162"/>
      <c r="AW69" s="137">
        <f t="shared" si="11"/>
        <v>0</v>
      </c>
      <c r="AX69" s="137">
        <f t="shared" si="12"/>
        <v>0</v>
      </c>
    </row>
    <row r="70" ht="46.5" customHeight="1" spans="1:50" s="97" customFormat="1" x14ac:dyDescent="0.25">
      <c r="A70" s="100"/>
      <c r="B70" s="100"/>
      <c r="C70" s="100"/>
      <c r="D70" s="100"/>
      <c r="E70" s="100"/>
      <c r="F70" s="100"/>
      <c r="G70" s="103"/>
      <c r="H70" s="186"/>
      <c r="I70" s="195">
        <v>0.51</v>
      </c>
      <c r="J70" s="107">
        <v>0.49</v>
      </c>
      <c r="K70" s="107"/>
      <c r="L70" s="107"/>
      <c r="M70" s="187"/>
      <c r="N70" s="169">
        <f t="shared" si="14"/>
        <v>1</v>
      </c>
      <c r="O70" s="144">
        <v>1</v>
      </c>
      <c r="P70" s="145">
        <v>15</v>
      </c>
      <c r="Q70" s="113">
        <v>15</v>
      </c>
      <c r="R70" s="113"/>
      <c r="S70" s="113"/>
      <c r="T70" s="146"/>
      <c r="U70" s="148">
        <f t="shared" si="1"/>
        <v>15</v>
      </c>
      <c r="V70" s="149">
        <f t="shared" si="2"/>
        <v>15</v>
      </c>
      <c r="W70" s="189"/>
      <c r="X70" s="199"/>
      <c r="Y70" s="151"/>
      <c r="Z70" s="190"/>
      <c r="AA70" s="153"/>
      <c r="AB70" s="154">
        <f t="shared" si="3"/>
        <v>0</v>
      </c>
      <c r="AC70" s="149">
        <f t="shared" si="4"/>
        <v>0</v>
      </c>
      <c r="AD70" s="125">
        <v>2</v>
      </c>
      <c r="AE70" s="148">
        <f t="shared" si="5"/>
        <v>2</v>
      </c>
      <c r="AF70" s="156"/>
      <c r="AG70" s="156"/>
      <c r="AH70" s="113">
        <f t="shared" si="6"/>
        <v>17</v>
      </c>
      <c r="AI70" s="157">
        <v>65</v>
      </c>
      <c r="AJ70" s="113">
        <f t="shared" si="7"/>
        <v>82</v>
      </c>
      <c r="AK70" s="113">
        <f t="shared" si="8"/>
        <v>82</v>
      </c>
      <c r="AL70" s="158">
        <f t="shared" si="9"/>
        <v>1.02</v>
      </c>
      <c r="AM70" s="159"/>
      <c r="AN70" s="160">
        <f t="shared" si="16"/>
        <v>1</v>
      </c>
      <c r="AO70" s="160">
        <f t="shared" si="16"/>
        <v>2</v>
      </c>
      <c r="AP70" s="133"/>
      <c r="AQ70" s="134"/>
      <c r="AR70" s="161"/>
      <c r="AS70" s="161"/>
      <c r="AT70" s="161"/>
      <c r="AU70" s="161"/>
      <c r="AV70" s="162"/>
      <c r="AW70" s="137">
        <f t="shared" si="11"/>
        <v>0</v>
      </c>
      <c r="AX70" s="137">
        <f t="shared" si="12"/>
        <v>0</v>
      </c>
    </row>
    <row r="71" ht="46.5" customHeight="1" spans="1:50" s="97" customFormat="1" x14ac:dyDescent="0.25">
      <c r="A71" s="100"/>
      <c r="B71" s="100"/>
      <c r="C71" s="100"/>
      <c r="D71" s="100"/>
      <c r="E71" s="100"/>
      <c r="F71" s="100"/>
      <c r="G71" s="103"/>
      <c r="H71" s="186"/>
      <c r="I71" s="195">
        <v>0.51</v>
      </c>
      <c r="J71" s="107">
        <v>0.49</v>
      </c>
      <c r="K71" s="107"/>
      <c r="L71" s="107"/>
      <c r="M71" s="187"/>
      <c r="N71" s="169">
        <f t="shared" si="14"/>
        <v>1</v>
      </c>
      <c r="O71" s="144">
        <v>1</v>
      </c>
      <c r="P71" s="145">
        <v>15</v>
      </c>
      <c r="Q71" s="113">
        <v>15</v>
      </c>
      <c r="R71" s="113"/>
      <c r="S71" s="113"/>
      <c r="T71" s="146"/>
      <c r="U71" s="148">
        <f t="shared" si="1"/>
        <v>15</v>
      </c>
      <c r="V71" s="149">
        <f t="shared" si="2"/>
        <v>15</v>
      </c>
      <c r="W71" s="189"/>
      <c r="X71" s="199"/>
      <c r="Y71" s="151"/>
      <c r="Z71" s="190"/>
      <c r="AA71" s="153"/>
      <c r="AB71" s="154">
        <f t="shared" si="3"/>
        <v>0</v>
      </c>
      <c r="AC71" s="149">
        <f t="shared" si="4"/>
        <v>0</v>
      </c>
      <c r="AD71" s="125">
        <v>2</v>
      </c>
      <c r="AE71" s="148">
        <f t="shared" si="5"/>
        <v>2</v>
      </c>
      <c r="AF71" s="156"/>
      <c r="AG71" s="156"/>
      <c r="AH71" s="113">
        <f t="shared" si="6"/>
        <v>17</v>
      </c>
      <c r="AI71" s="157">
        <v>65</v>
      </c>
      <c r="AJ71" s="113">
        <f t="shared" si="7"/>
        <v>82</v>
      </c>
      <c r="AK71" s="113">
        <f t="shared" si="8"/>
        <v>82</v>
      </c>
      <c r="AL71" s="158">
        <f t="shared" si="9"/>
        <v>1.02</v>
      </c>
      <c r="AM71" s="159"/>
      <c r="AN71" s="160">
        <f t="shared" si="16"/>
        <v>1</v>
      </c>
      <c r="AO71" s="160">
        <f t="shared" si="16"/>
        <v>2</v>
      </c>
      <c r="AP71" s="133"/>
      <c r="AQ71" s="134"/>
      <c r="AR71" s="161"/>
      <c r="AS71" s="161"/>
      <c r="AT71" s="161"/>
      <c r="AU71" s="161"/>
      <c r="AV71" s="162"/>
      <c r="AW71" s="137">
        <f t="shared" si="11"/>
        <v>0</v>
      </c>
      <c r="AX71" s="137">
        <f t="shared" si="12"/>
        <v>0</v>
      </c>
    </row>
    <row r="72" ht="46.5" customHeight="1" spans="1:50" s="97" customFormat="1" x14ac:dyDescent="0.25">
      <c r="A72" s="100"/>
      <c r="B72" s="100"/>
      <c r="C72" s="100"/>
      <c r="D72" s="100"/>
      <c r="E72" s="100"/>
      <c r="F72" s="100"/>
      <c r="G72" s="103"/>
      <c r="H72" s="186"/>
      <c r="I72" s="195">
        <v>0.51</v>
      </c>
      <c r="J72" s="107">
        <v>0.49</v>
      </c>
      <c r="K72" s="107"/>
      <c r="L72" s="107"/>
      <c r="M72" s="187"/>
      <c r="N72" s="169">
        <f t="shared" si="14"/>
        <v>1</v>
      </c>
      <c r="O72" s="144">
        <v>1</v>
      </c>
      <c r="P72" s="145">
        <v>15</v>
      </c>
      <c r="Q72" s="113">
        <v>15</v>
      </c>
      <c r="R72" s="113"/>
      <c r="S72" s="113"/>
      <c r="T72" s="146"/>
      <c r="U72" s="148">
        <f t="shared" ref="U72:U133" si="17">ROUND(((P72*I72)+(Q72*J72)+(R72*K72)+(S72*L72)+(T72*M72))*O72,2)</f>
        <v>15</v>
      </c>
      <c r="V72" s="149">
        <f t="shared" ref="V72:V133" si="18">IF(U72&gt;=15,15,U72)</f>
        <v>15</v>
      </c>
      <c r="W72" s="189"/>
      <c r="X72" s="199"/>
      <c r="Y72" s="151"/>
      <c r="Z72" s="190"/>
      <c r="AA72" s="153"/>
      <c r="AB72" s="154">
        <f t="shared" ref="AB72:AB133" si="19">ROUND((((W72*I72)+(X72*J72)+(Y72*K72)+(Z72*L72)+(AA72*M72))/$I$2),2)*13</f>
        <v>0</v>
      </c>
      <c r="AC72" s="149">
        <f t="shared" ref="AC72:AC133" si="20">IF(AB72&gt;=13,13,AB72)</f>
        <v>0</v>
      </c>
      <c r="AD72" s="125">
        <v>2</v>
      </c>
      <c r="AE72" s="148">
        <f t="shared" ref="AE72:AE133" si="21">IF((AC72+AD72)&gt;=15,15,(AC72+AD72))</f>
        <v>2</v>
      </c>
      <c r="AF72" s="156"/>
      <c r="AG72" s="156"/>
      <c r="AH72" s="113">
        <f t="shared" ref="AH72:AH133" si="22">IF((V72+AE72+AF72)&gt;=30,30,(V72+AE72+AF72))</f>
        <v>17</v>
      </c>
      <c r="AI72" s="157">
        <v>65</v>
      </c>
      <c r="AJ72" s="113">
        <f t="shared" ref="AJ72:AJ133" si="23">V72+AE72+AF72+AI72+AG72</f>
        <v>82</v>
      </c>
      <c r="AK72" s="113">
        <f t="shared" ref="AK72:AK133" si="24">IF(AH72+AI72+AG72&gt;=95,95,AH72+AI72+AG72)</f>
        <v>82</v>
      </c>
      <c r="AL72" s="158">
        <f t="shared" ref="AL72:AL133" si="25">-((50-((176+(45+(50-AH72)))))/200)</f>
        <v>1.02</v>
      </c>
      <c r="AM72" s="159"/>
      <c r="AN72" s="160">
        <f t="shared" si="16"/>
        <v>1</v>
      </c>
      <c r="AO72" s="160">
        <f t="shared" si="16"/>
        <v>2</v>
      </c>
      <c r="AP72" s="133"/>
      <c r="AQ72" s="134"/>
      <c r="AR72" s="161"/>
      <c r="AS72" s="161"/>
      <c r="AT72" s="161"/>
      <c r="AU72" s="161"/>
      <c r="AV72" s="162"/>
      <c r="AW72" s="137">
        <f t="shared" ref="AW72:AW133" si="26">AR72+AS72+AT72+AU72+AV72</f>
        <v>0</v>
      </c>
      <c r="AX72" s="137">
        <f t="shared" ref="AX72:AX133" si="27">(AR72*I72)+(AS72*J72)+(AT72*K72)+(AU72*L72)+(AV72*M72)</f>
        <v>0</v>
      </c>
    </row>
    <row r="73" ht="46.5" customHeight="1" spans="1:50" s="97" customFormat="1" x14ac:dyDescent="0.25">
      <c r="A73" s="100"/>
      <c r="B73" s="100"/>
      <c r="C73" s="100"/>
      <c r="D73" s="100"/>
      <c r="E73" s="100"/>
      <c r="F73" s="100"/>
      <c r="G73" s="103"/>
      <c r="H73" s="186"/>
      <c r="I73" s="195">
        <v>0.51</v>
      </c>
      <c r="J73" s="107">
        <v>0.49</v>
      </c>
      <c r="K73" s="107"/>
      <c r="L73" s="107"/>
      <c r="M73" s="187"/>
      <c r="N73" s="169">
        <f t="shared" si="14"/>
        <v>1</v>
      </c>
      <c r="O73" s="144">
        <v>1</v>
      </c>
      <c r="P73" s="145">
        <v>15</v>
      </c>
      <c r="Q73" s="113">
        <v>15</v>
      </c>
      <c r="R73" s="113"/>
      <c r="S73" s="113"/>
      <c r="T73" s="146"/>
      <c r="U73" s="148">
        <f t="shared" si="17"/>
        <v>15</v>
      </c>
      <c r="V73" s="149">
        <f t="shared" si="18"/>
        <v>15</v>
      </c>
      <c r="W73" s="189"/>
      <c r="X73" s="199"/>
      <c r="Y73" s="151"/>
      <c r="Z73" s="190"/>
      <c r="AA73" s="153"/>
      <c r="AB73" s="154">
        <f t="shared" si="19"/>
        <v>0</v>
      </c>
      <c r="AC73" s="149">
        <f t="shared" si="20"/>
        <v>0</v>
      </c>
      <c r="AD73" s="125">
        <v>2</v>
      </c>
      <c r="AE73" s="148">
        <f t="shared" si="21"/>
        <v>2</v>
      </c>
      <c r="AF73" s="156"/>
      <c r="AG73" s="156"/>
      <c r="AH73" s="113">
        <f t="shared" si="22"/>
        <v>17</v>
      </c>
      <c r="AI73" s="157">
        <v>65</v>
      </c>
      <c r="AJ73" s="113">
        <f t="shared" si="23"/>
        <v>82</v>
      </c>
      <c r="AK73" s="113">
        <f t="shared" si="24"/>
        <v>82</v>
      </c>
      <c r="AL73" s="158">
        <f t="shared" si="25"/>
        <v>1.02</v>
      </c>
      <c r="AM73" s="159"/>
      <c r="AN73" s="160">
        <f t="shared" si="16"/>
        <v>1</v>
      </c>
      <c r="AO73" s="160">
        <f t="shared" si="16"/>
        <v>2</v>
      </c>
      <c r="AP73" s="133"/>
      <c r="AQ73" s="134"/>
      <c r="AR73" s="161"/>
      <c r="AS73" s="161"/>
      <c r="AT73" s="161"/>
      <c r="AU73" s="161"/>
      <c r="AV73" s="162"/>
      <c r="AW73" s="137">
        <f t="shared" si="26"/>
        <v>0</v>
      </c>
      <c r="AX73" s="137">
        <f t="shared" si="27"/>
        <v>0</v>
      </c>
    </row>
    <row r="74" ht="46.5" customHeight="1" spans="1:50" s="97" customFormat="1" x14ac:dyDescent="0.25">
      <c r="A74" s="100"/>
      <c r="B74" s="100"/>
      <c r="C74" s="100"/>
      <c r="D74" s="100"/>
      <c r="E74" s="100"/>
      <c r="F74" s="100"/>
      <c r="G74" s="103"/>
      <c r="H74" s="186"/>
      <c r="I74" s="195">
        <v>0.51</v>
      </c>
      <c r="J74" s="107">
        <v>0.49</v>
      </c>
      <c r="K74" s="107"/>
      <c r="L74" s="107"/>
      <c r="M74" s="187"/>
      <c r="N74" s="169">
        <f t="shared" si="14"/>
        <v>1</v>
      </c>
      <c r="O74" s="144">
        <v>1</v>
      </c>
      <c r="P74" s="145">
        <v>15</v>
      </c>
      <c r="Q74" s="113">
        <v>15</v>
      </c>
      <c r="R74" s="113"/>
      <c r="S74" s="113"/>
      <c r="T74" s="146"/>
      <c r="U74" s="148">
        <f t="shared" si="17"/>
        <v>15</v>
      </c>
      <c r="V74" s="149">
        <f t="shared" si="18"/>
        <v>15</v>
      </c>
      <c r="W74" s="189"/>
      <c r="X74" s="199"/>
      <c r="Y74" s="151"/>
      <c r="Z74" s="190"/>
      <c r="AA74" s="153"/>
      <c r="AB74" s="154">
        <f t="shared" si="19"/>
        <v>0</v>
      </c>
      <c r="AC74" s="149">
        <f t="shared" si="20"/>
        <v>0</v>
      </c>
      <c r="AD74" s="125">
        <v>2</v>
      </c>
      <c r="AE74" s="148">
        <f t="shared" si="21"/>
        <v>2</v>
      </c>
      <c r="AF74" s="156"/>
      <c r="AG74" s="156"/>
      <c r="AH74" s="113">
        <f t="shared" si="22"/>
        <v>17</v>
      </c>
      <c r="AI74" s="157">
        <v>65</v>
      </c>
      <c r="AJ74" s="113">
        <f t="shared" si="23"/>
        <v>82</v>
      </c>
      <c r="AK74" s="113">
        <f t="shared" si="24"/>
        <v>82</v>
      </c>
      <c r="AL74" s="158">
        <f t="shared" si="25"/>
        <v>1.02</v>
      </c>
      <c r="AM74" s="159"/>
      <c r="AN74" s="160">
        <f t="shared" si="16"/>
        <v>1</v>
      </c>
      <c r="AO74" s="160">
        <f t="shared" si="16"/>
        <v>2</v>
      </c>
      <c r="AP74" s="133"/>
      <c r="AQ74" s="134"/>
      <c r="AR74" s="161"/>
      <c r="AS74" s="161"/>
      <c r="AT74" s="161"/>
      <c r="AU74" s="161"/>
      <c r="AV74" s="162"/>
      <c r="AW74" s="137">
        <f t="shared" si="26"/>
        <v>0</v>
      </c>
      <c r="AX74" s="137">
        <f t="shared" si="27"/>
        <v>0</v>
      </c>
    </row>
    <row r="75" ht="46.5" customHeight="1" spans="1:50" s="97" customFormat="1" x14ac:dyDescent="0.25">
      <c r="A75" s="100"/>
      <c r="B75" s="100"/>
      <c r="C75" s="100"/>
      <c r="D75" s="100"/>
      <c r="E75" s="100"/>
      <c r="F75" s="100"/>
      <c r="G75" s="103"/>
      <c r="H75" s="186"/>
      <c r="I75" s="195">
        <v>0.51</v>
      </c>
      <c r="J75" s="107">
        <v>0.49</v>
      </c>
      <c r="K75" s="107"/>
      <c r="L75" s="107"/>
      <c r="M75" s="187"/>
      <c r="N75" s="169">
        <f t="shared" si="14"/>
        <v>1</v>
      </c>
      <c r="O75" s="144">
        <v>1</v>
      </c>
      <c r="P75" s="145">
        <v>15</v>
      </c>
      <c r="Q75" s="113">
        <v>15</v>
      </c>
      <c r="R75" s="113"/>
      <c r="S75" s="113"/>
      <c r="T75" s="146"/>
      <c r="U75" s="148">
        <f t="shared" si="17"/>
        <v>15</v>
      </c>
      <c r="V75" s="149">
        <f t="shared" si="18"/>
        <v>15</v>
      </c>
      <c r="W75" s="189"/>
      <c r="X75" s="199"/>
      <c r="Y75" s="151"/>
      <c r="Z75" s="190"/>
      <c r="AA75" s="153"/>
      <c r="AB75" s="154">
        <f t="shared" si="19"/>
        <v>0</v>
      </c>
      <c r="AC75" s="149">
        <f t="shared" si="20"/>
        <v>0</v>
      </c>
      <c r="AD75" s="125">
        <v>2</v>
      </c>
      <c r="AE75" s="148">
        <f t="shared" si="21"/>
        <v>2</v>
      </c>
      <c r="AF75" s="156"/>
      <c r="AG75" s="156"/>
      <c r="AH75" s="113">
        <f t="shared" si="22"/>
        <v>17</v>
      </c>
      <c r="AI75" s="157">
        <v>65</v>
      </c>
      <c r="AJ75" s="113">
        <f t="shared" si="23"/>
        <v>82</v>
      </c>
      <c r="AK75" s="113">
        <f t="shared" si="24"/>
        <v>82</v>
      </c>
      <c r="AL75" s="158">
        <f t="shared" si="25"/>
        <v>1.02</v>
      </c>
      <c r="AM75" s="159"/>
      <c r="AN75" s="160">
        <f t="shared" si="16"/>
        <v>1</v>
      </c>
      <c r="AO75" s="160">
        <f t="shared" si="16"/>
        <v>2</v>
      </c>
      <c r="AP75" s="133"/>
      <c r="AQ75" s="134"/>
      <c r="AR75" s="161"/>
      <c r="AS75" s="161"/>
      <c r="AT75" s="161"/>
      <c r="AU75" s="161"/>
      <c r="AV75" s="162"/>
      <c r="AW75" s="137">
        <f t="shared" si="26"/>
        <v>0</v>
      </c>
      <c r="AX75" s="137">
        <f t="shared" si="27"/>
        <v>0</v>
      </c>
    </row>
    <row r="76" ht="46.5" customHeight="1" spans="1:50" s="97" customFormat="1" x14ac:dyDescent="0.25">
      <c r="A76" s="100"/>
      <c r="B76" s="100"/>
      <c r="C76" s="100"/>
      <c r="D76" s="100"/>
      <c r="E76" s="100"/>
      <c r="F76" s="100"/>
      <c r="G76" s="103"/>
      <c r="H76" s="186"/>
      <c r="I76" s="195">
        <v>0.51</v>
      </c>
      <c r="J76" s="107">
        <v>0.49</v>
      </c>
      <c r="K76" s="107"/>
      <c r="L76" s="107"/>
      <c r="M76" s="187"/>
      <c r="N76" s="169">
        <f t="shared" si="14"/>
        <v>1</v>
      </c>
      <c r="O76" s="144">
        <v>1</v>
      </c>
      <c r="P76" s="145">
        <v>15</v>
      </c>
      <c r="Q76" s="113">
        <v>15</v>
      </c>
      <c r="R76" s="113"/>
      <c r="S76" s="113"/>
      <c r="T76" s="146"/>
      <c r="U76" s="148">
        <f t="shared" si="17"/>
        <v>15</v>
      </c>
      <c r="V76" s="149">
        <f t="shared" si="18"/>
        <v>15</v>
      </c>
      <c r="W76" s="189"/>
      <c r="X76" s="199"/>
      <c r="Y76" s="151"/>
      <c r="Z76" s="190"/>
      <c r="AA76" s="153"/>
      <c r="AB76" s="154">
        <f t="shared" si="19"/>
        <v>0</v>
      </c>
      <c r="AC76" s="149">
        <f t="shared" si="20"/>
        <v>0</v>
      </c>
      <c r="AD76" s="125">
        <v>2</v>
      </c>
      <c r="AE76" s="148">
        <f t="shared" si="21"/>
        <v>2</v>
      </c>
      <c r="AF76" s="156"/>
      <c r="AG76" s="156"/>
      <c r="AH76" s="113">
        <f t="shared" si="22"/>
        <v>17</v>
      </c>
      <c r="AI76" s="157">
        <v>65</v>
      </c>
      <c r="AJ76" s="113">
        <f t="shared" si="23"/>
        <v>82</v>
      </c>
      <c r="AK76" s="113">
        <f t="shared" si="24"/>
        <v>82</v>
      </c>
      <c r="AL76" s="158">
        <f t="shared" si="25"/>
        <v>1.02</v>
      </c>
      <c r="AM76" s="159"/>
      <c r="AN76" s="160">
        <f t="shared" si="16"/>
        <v>1</v>
      </c>
      <c r="AO76" s="160">
        <f t="shared" si="16"/>
        <v>2</v>
      </c>
      <c r="AP76" s="133"/>
      <c r="AQ76" s="134"/>
      <c r="AR76" s="161"/>
      <c r="AS76" s="161"/>
      <c r="AT76" s="161"/>
      <c r="AU76" s="161"/>
      <c r="AV76" s="162"/>
      <c r="AW76" s="137">
        <f t="shared" si="26"/>
        <v>0</v>
      </c>
      <c r="AX76" s="137">
        <f t="shared" si="27"/>
        <v>0</v>
      </c>
    </row>
    <row r="77" ht="46.5" customHeight="1" spans="1:50" s="97" customFormat="1" x14ac:dyDescent="0.25">
      <c r="A77" s="100"/>
      <c r="B77" s="100"/>
      <c r="C77" s="100"/>
      <c r="D77" s="100"/>
      <c r="E77" s="100"/>
      <c r="F77" s="100"/>
      <c r="G77" s="103"/>
      <c r="H77" s="186"/>
      <c r="I77" s="195">
        <v>0.51</v>
      </c>
      <c r="J77" s="107">
        <v>0.49</v>
      </c>
      <c r="K77" s="107"/>
      <c r="L77" s="107"/>
      <c r="M77" s="187"/>
      <c r="N77" s="169">
        <f t="shared" si="14"/>
        <v>1</v>
      </c>
      <c r="O77" s="144">
        <v>1</v>
      </c>
      <c r="P77" s="145">
        <v>15</v>
      </c>
      <c r="Q77" s="113">
        <v>15</v>
      </c>
      <c r="R77" s="113"/>
      <c r="S77" s="113"/>
      <c r="T77" s="146"/>
      <c r="U77" s="148">
        <f t="shared" si="17"/>
        <v>15</v>
      </c>
      <c r="V77" s="149">
        <f t="shared" si="18"/>
        <v>15</v>
      </c>
      <c r="W77" s="189"/>
      <c r="X77" s="199"/>
      <c r="Y77" s="151"/>
      <c r="Z77" s="190"/>
      <c r="AA77" s="153"/>
      <c r="AB77" s="154">
        <f t="shared" si="19"/>
        <v>0</v>
      </c>
      <c r="AC77" s="149">
        <f t="shared" si="20"/>
        <v>0</v>
      </c>
      <c r="AD77" s="125">
        <v>2</v>
      </c>
      <c r="AE77" s="148">
        <f t="shared" si="21"/>
        <v>2</v>
      </c>
      <c r="AF77" s="156"/>
      <c r="AG77" s="156"/>
      <c r="AH77" s="113">
        <f t="shared" si="22"/>
        <v>17</v>
      </c>
      <c r="AI77" s="157">
        <v>65</v>
      </c>
      <c r="AJ77" s="113">
        <f t="shared" si="23"/>
        <v>82</v>
      </c>
      <c r="AK77" s="113">
        <f t="shared" si="24"/>
        <v>82</v>
      </c>
      <c r="AL77" s="158">
        <f t="shared" si="25"/>
        <v>1.02</v>
      </c>
      <c r="AM77" s="159"/>
      <c r="AN77" s="160">
        <f t="shared" si="16"/>
        <v>1</v>
      </c>
      <c r="AO77" s="160">
        <f t="shared" si="16"/>
        <v>2</v>
      </c>
      <c r="AP77" s="133"/>
      <c r="AQ77" s="134"/>
      <c r="AR77" s="161"/>
      <c r="AS77" s="161"/>
      <c r="AT77" s="161"/>
      <c r="AU77" s="161"/>
      <c r="AV77" s="162"/>
      <c r="AW77" s="137">
        <f t="shared" si="26"/>
        <v>0</v>
      </c>
      <c r="AX77" s="137">
        <f t="shared" si="27"/>
        <v>0</v>
      </c>
    </row>
    <row r="78" ht="46.5" customHeight="1" spans="1:50" s="97" customFormat="1" x14ac:dyDescent="0.25">
      <c r="A78" s="100"/>
      <c r="B78" s="100"/>
      <c r="C78" s="100"/>
      <c r="D78" s="100"/>
      <c r="E78" s="100"/>
      <c r="F78" s="100"/>
      <c r="G78" s="103"/>
      <c r="H78" s="186"/>
      <c r="I78" s="195">
        <v>0.51</v>
      </c>
      <c r="J78" s="107">
        <v>0.49</v>
      </c>
      <c r="K78" s="107"/>
      <c r="L78" s="107"/>
      <c r="M78" s="187"/>
      <c r="N78" s="169">
        <f t="shared" si="14"/>
        <v>1</v>
      </c>
      <c r="O78" s="144">
        <v>1</v>
      </c>
      <c r="P78" s="145">
        <v>15</v>
      </c>
      <c r="Q78" s="113">
        <v>15</v>
      </c>
      <c r="R78" s="113"/>
      <c r="S78" s="113"/>
      <c r="T78" s="146"/>
      <c r="U78" s="148">
        <f t="shared" si="17"/>
        <v>15</v>
      </c>
      <c r="V78" s="149">
        <f t="shared" si="18"/>
        <v>15</v>
      </c>
      <c r="W78" s="189"/>
      <c r="X78" s="199"/>
      <c r="Y78" s="151"/>
      <c r="Z78" s="190"/>
      <c r="AA78" s="153"/>
      <c r="AB78" s="154">
        <f t="shared" si="19"/>
        <v>0</v>
      </c>
      <c r="AC78" s="149">
        <f t="shared" si="20"/>
        <v>0</v>
      </c>
      <c r="AD78" s="125">
        <v>2</v>
      </c>
      <c r="AE78" s="148">
        <f t="shared" si="21"/>
        <v>2</v>
      </c>
      <c r="AF78" s="156"/>
      <c r="AG78" s="156"/>
      <c r="AH78" s="113">
        <f t="shared" si="22"/>
        <v>17</v>
      </c>
      <c r="AI78" s="157">
        <v>65</v>
      </c>
      <c r="AJ78" s="113">
        <f t="shared" si="23"/>
        <v>82</v>
      </c>
      <c r="AK78" s="113">
        <f t="shared" si="24"/>
        <v>82</v>
      </c>
      <c r="AL78" s="158">
        <f t="shared" si="25"/>
        <v>1.02</v>
      </c>
      <c r="AM78" s="159"/>
      <c r="AN78" s="160">
        <f t="shared" si="16"/>
        <v>1</v>
      </c>
      <c r="AO78" s="160">
        <f t="shared" si="16"/>
        <v>2</v>
      </c>
      <c r="AP78" s="133"/>
      <c r="AQ78" s="134"/>
      <c r="AR78" s="161"/>
      <c r="AS78" s="161"/>
      <c r="AT78" s="161"/>
      <c r="AU78" s="161"/>
      <c r="AV78" s="162"/>
      <c r="AW78" s="137">
        <f t="shared" si="26"/>
        <v>0</v>
      </c>
      <c r="AX78" s="137">
        <f t="shared" si="27"/>
        <v>0</v>
      </c>
    </row>
    <row r="79" ht="46.5" customHeight="1" spans="1:50" s="97" customFormat="1" x14ac:dyDescent="0.25">
      <c r="A79" s="100"/>
      <c r="B79" s="100"/>
      <c r="C79" s="100"/>
      <c r="D79" s="100"/>
      <c r="E79" s="100"/>
      <c r="F79" s="100"/>
      <c r="G79" s="103"/>
      <c r="H79" s="186"/>
      <c r="I79" s="195">
        <v>0.51</v>
      </c>
      <c r="J79" s="107">
        <v>0.49</v>
      </c>
      <c r="K79" s="107"/>
      <c r="L79" s="107"/>
      <c r="M79" s="187"/>
      <c r="N79" s="169">
        <f t="shared" si="14"/>
        <v>1</v>
      </c>
      <c r="O79" s="144">
        <v>1</v>
      </c>
      <c r="P79" s="145">
        <v>15</v>
      </c>
      <c r="Q79" s="113">
        <v>15</v>
      </c>
      <c r="R79" s="113"/>
      <c r="S79" s="113"/>
      <c r="T79" s="146"/>
      <c r="U79" s="148">
        <f t="shared" si="17"/>
        <v>15</v>
      </c>
      <c r="V79" s="149">
        <f t="shared" si="18"/>
        <v>15</v>
      </c>
      <c r="W79" s="189"/>
      <c r="X79" s="199"/>
      <c r="Y79" s="151"/>
      <c r="Z79" s="190"/>
      <c r="AA79" s="153"/>
      <c r="AB79" s="154">
        <f t="shared" si="19"/>
        <v>0</v>
      </c>
      <c r="AC79" s="149">
        <f t="shared" si="20"/>
        <v>0</v>
      </c>
      <c r="AD79" s="125">
        <v>2</v>
      </c>
      <c r="AE79" s="148">
        <f t="shared" si="21"/>
        <v>2</v>
      </c>
      <c r="AF79" s="156"/>
      <c r="AG79" s="156"/>
      <c r="AH79" s="113">
        <f t="shared" si="22"/>
        <v>17</v>
      </c>
      <c r="AI79" s="157">
        <v>65</v>
      </c>
      <c r="AJ79" s="113">
        <f t="shared" si="23"/>
        <v>82</v>
      </c>
      <c r="AK79" s="113">
        <f t="shared" si="24"/>
        <v>82</v>
      </c>
      <c r="AL79" s="158">
        <f t="shared" si="25"/>
        <v>1.02</v>
      </c>
      <c r="AM79" s="159"/>
      <c r="AN79" s="160">
        <f t="shared" si="16"/>
        <v>1</v>
      </c>
      <c r="AO79" s="160">
        <f t="shared" si="16"/>
        <v>2</v>
      </c>
      <c r="AP79" s="133"/>
      <c r="AQ79" s="134"/>
      <c r="AR79" s="161"/>
      <c r="AS79" s="161"/>
      <c r="AT79" s="161"/>
      <c r="AU79" s="161"/>
      <c r="AV79" s="162"/>
      <c r="AW79" s="137">
        <f t="shared" si="26"/>
        <v>0</v>
      </c>
      <c r="AX79" s="137">
        <f t="shared" si="27"/>
        <v>0</v>
      </c>
    </row>
    <row r="80" ht="46.5" customHeight="1" spans="1:50" s="97" customFormat="1" x14ac:dyDescent="0.25">
      <c r="A80" s="100"/>
      <c r="B80" s="100"/>
      <c r="C80" s="100"/>
      <c r="D80" s="100"/>
      <c r="E80" s="100"/>
      <c r="F80" s="100"/>
      <c r="G80" s="103"/>
      <c r="H80" s="186"/>
      <c r="I80" s="195">
        <v>0.51</v>
      </c>
      <c r="J80" s="107">
        <v>0.49</v>
      </c>
      <c r="K80" s="107"/>
      <c r="L80" s="107"/>
      <c r="M80" s="187"/>
      <c r="N80" s="169">
        <f t="shared" si="14"/>
        <v>1</v>
      </c>
      <c r="O80" s="144">
        <v>1</v>
      </c>
      <c r="P80" s="145">
        <v>15</v>
      </c>
      <c r="Q80" s="113">
        <v>15</v>
      </c>
      <c r="R80" s="113"/>
      <c r="S80" s="113"/>
      <c r="T80" s="146"/>
      <c r="U80" s="148">
        <f t="shared" si="17"/>
        <v>15</v>
      </c>
      <c r="V80" s="149">
        <f t="shared" si="18"/>
        <v>15</v>
      </c>
      <c r="W80" s="189"/>
      <c r="X80" s="199"/>
      <c r="Y80" s="151"/>
      <c r="Z80" s="190"/>
      <c r="AA80" s="153"/>
      <c r="AB80" s="154">
        <f t="shared" si="19"/>
        <v>0</v>
      </c>
      <c r="AC80" s="149">
        <f t="shared" si="20"/>
        <v>0</v>
      </c>
      <c r="AD80" s="125">
        <v>2</v>
      </c>
      <c r="AE80" s="148">
        <f t="shared" si="21"/>
        <v>2</v>
      </c>
      <c r="AF80" s="156"/>
      <c r="AG80" s="156"/>
      <c r="AH80" s="113">
        <f t="shared" si="22"/>
        <v>17</v>
      </c>
      <c r="AI80" s="157">
        <v>65</v>
      </c>
      <c r="AJ80" s="113">
        <f t="shared" si="23"/>
        <v>82</v>
      </c>
      <c r="AK80" s="113">
        <f t="shared" si="24"/>
        <v>82</v>
      </c>
      <c r="AL80" s="158">
        <f t="shared" si="25"/>
        <v>1.02</v>
      </c>
      <c r="AM80" s="159"/>
      <c r="AN80" s="160">
        <f t="shared" si="16"/>
        <v>1</v>
      </c>
      <c r="AO80" s="160">
        <f t="shared" si="16"/>
        <v>2</v>
      </c>
      <c r="AP80" s="133"/>
      <c r="AQ80" s="134"/>
      <c r="AR80" s="161"/>
      <c r="AS80" s="161"/>
      <c r="AT80" s="161"/>
      <c r="AU80" s="161"/>
      <c r="AV80" s="162"/>
      <c r="AW80" s="137">
        <f t="shared" si="26"/>
        <v>0</v>
      </c>
      <c r="AX80" s="137">
        <f t="shared" si="27"/>
        <v>0</v>
      </c>
    </row>
    <row r="81" ht="46.5" customHeight="1" spans="1:50" s="97" customFormat="1" x14ac:dyDescent="0.25">
      <c r="A81" s="100"/>
      <c r="B81" s="100"/>
      <c r="C81" s="100"/>
      <c r="D81" s="100"/>
      <c r="E81" s="100"/>
      <c r="F81" s="100"/>
      <c r="G81" s="103"/>
      <c r="H81" s="186"/>
      <c r="I81" s="195">
        <v>0.51</v>
      </c>
      <c r="J81" s="107">
        <v>0.49</v>
      </c>
      <c r="K81" s="107"/>
      <c r="L81" s="107"/>
      <c r="M81" s="187"/>
      <c r="N81" s="169">
        <f t="shared" si="14"/>
        <v>1</v>
      </c>
      <c r="O81" s="144">
        <v>1</v>
      </c>
      <c r="P81" s="145">
        <v>15</v>
      </c>
      <c r="Q81" s="113">
        <v>15</v>
      </c>
      <c r="R81" s="113"/>
      <c r="S81" s="113"/>
      <c r="T81" s="146"/>
      <c r="U81" s="148">
        <f t="shared" si="17"/>
        <v>15</v>
      </c>
      <c r="V81" s="149">
        <f t="shared" si="18"/>
        <v>15</v>
      </c>
      <c r="W81" s="189"/>
      <c r="X81" s="199"/>
      <c r="Y81" s="151"/>
      <c r="Z81" s="190"/>
      <c r="AA81" s="153"/>
      <c r="AB81" s="154">
        <f t="shared" si="19"/>
        <v>0</v>
      </c>
      <c r="AC81" s="149">
        <f t="shared" si="20"/>
        <v>0</v>
      </c>
      <c r="AD81" s="125">
        <v>2</v>
      </c>
      <c r="AE81" s="148">
        <f t="shared" si="21"/>
        <v>2</v>
      </c>
      <c r="AF81" s="156"/>
      <c r="AG81" s="156"/>
      <c r="AH81" s="113">
        <f t="shared" si="22"/>
        <v>17</v>
      </c>
      <c r="AI81" s="157">
        <v>65</v>
      </c>
      <c r="AJ81" s="113">
        <f t="shared" si="23"/>
        <v>82</v>
      </c>
      <c r="AK81" s="113">
        <f t="shared" si="24"/>
        <v>82</v>
      </c>
      <c r="AL81" s="158">
        <f t="shared" si="25"/>
        <v>1.02</v>
      </c>
      <c r="AM81" s="159"/>
      <c r="AN81" s="160">
        <f t="shared" si="16"/>
        <v>1</v>
      </c>
      <c r="AO81" s="160">
        <f t="shared" si="16"/>
        <v>2</v>
      </c>
      <c r="AP81" s="133"/>
      <c r="AQ81" s="134"/>
      <c r="AR81" s="161"/>
      <c r="AS81" s="161"/>
      <c r="AT81" s="161"/>
      <c r="AU81" s="161"/>
      <c r="AV81" s="162"/>
      <c r="AW81" s="137">
        <f t="shared" si="26"/>
        <v>0</v>
      </c>
      <c r="AX81" s="137">
        <f t="shared" si="27"/>
        <v>0</v>
      </c>
    </row>
    <row r="82" ht="46.5" customHeight="1" spans="1:50" s="97" customFormat="1" x14ac:dyDescent="0.25">
      <c r="A82" s="100"/>
      <c r="B82" s="100"/>
      <c r="C82" s="100"/>
      <c r="D82" s="100"/>
      <c r="E82" s="100"/>
      <c r="F82" s="100"/>
      <c r="G82" s="103"/>
      <c r="H82" s="186"/>
      <c r="I82" s="195">
        <v>0.51</v>
      </c>
      <c r="J82" s="107">
        <v>0.49</v>
      </c>
      <c r="K82" s="107"/>
      <c r="L82" s="107"/>
      <c r="M82" s="187"/>
      <c r="N82" s="169">
        <f t="shared" si="14"/>
        <v>1</v>
      </c>
      <c r="O82" s="144">
        <v>1</v>
      </c>
      <c r="P82" s="145">
        <v>15</v>
      </c>
      <c r="Q82" s="113">
        <v>15</v>
      </c>
      <c r="R82" s="113"/>
      <c r="S82" s="113"/>
      <c r="T82" s="146"/>
      <c r="U82" s="148">
        <f t="shared" si="17"/>
        <v>15</v>
      </c>
      <c r="V82" s="149">
        <f t="shared" si="18"/>
        <v>15</v>
      </c>
      <c r="W82" s="189"/>
      <c r="X82" s="199"/>
      <c r="Y82" s="151"/>
      <c r="Z82" s="190"/>
      <c r="AA82" s="153"/>
      <c r="AB82" s="154">
        <f t="shared" si="19"/>
        <v>0</v>
      </c>
      <c r="AC82" s="149">
        <f t="shared" si="20"/>
        <v>0</v>
      </c>
      <c r="AD82" s="125">
        <v>2</v>
      </c>
      <c r="AE82" s="148">
        <f t="shared" si="21"/>
        <v>2</v>
      </c>
      <c r="AF82" s="156"/>
      <c r="AG82" s="156"/>
      <c r="AH82" s="113">
        <f t="shared" si="22"/>
        <v>17</v>
      </c>
      <c r="AI82" s="157">
        <v>65</v>
      </c>
      <c r="AJ82" s="113">
        <f t="shared" si="23"/>
        <v>82</v>
      </c>
      <c r="AK82" s="113">
        <f t="shared" si="24"/>
        <v>82</v>
      </c>
      <c r="AL82" s="158">
        <f t="shared" si="25"/>
        <v>1.02</v>
      </c>
      <c r="AM82" s="159"/>
      <c r="AN82" s="160">
        <f t="shared" si="16"/>
        <v>1</v>
      </c>
      <c r="AO82" s="160">
        <f t="shared" si="16"/>
        <v>2</v>
      </c>
      <c r="AP82" s="133"/>
      <c r="AQ82" s="134"/>
      <c r="AR82" s="161"/>
      <c r="AS82" s="161"/>
      <c r="AT82" s="161"/>
      <c r="AU82" s="161"/>
      <c r="AV82" s="162"/>
      <c r="AW82" s="137">
        <f t="shared" si="26"/>
        <v>0</v>
      </c>
      <c r="AX82" s="137">
        <f t="shared" si="27"/>
        <v>0</v>
      </c>
    </row>
    <row r="83" ht="46.5" customHeight="1" spans="1:50" s="97" customFormat="1" x14ac:dyDescent="0.25">
      <c r="A83" s="100"/>
      <c r="B83" s="100"/>
      <c r="C83" s="100"/>
      <c r="D83" s="100"/>
      <c r="E83" s="100"/>
      <c r="F83" s="100"/>
      <c r="G83" s="103"/>
      <c r="H83" s="186"/>
      <c r="I83" s="195">
        <v>0.51</v>
      </c>
      <c r="J83" s="107">
        <v>0.49</v>
      </c>
      <c r="K83" s="107"/>
      <c r="L83" s="107"/>
      <c r="M83" s="187"/>
      <c r="N83" s="169">
        <f t="shared" si="14"/>
        <v>1</v>
      </c>
      <c r="O83" s="144">
        <v>1</v>
      </c>
      <c r="P83" s="145">
        <v>15</v>
      </c>
      <c r="Q83" s="113">
        <v>15</v>
      </c>
      <c r="R83" s="113"/>
      <c r="S83" s="113"/>
      <c r="T83" s="146"/>
      <c r="U83" s="148">
        <f t="shared" si="17"/>
        <v>15</v>
      </c>
      <c r="V83" s="149">
        <f t="shared" si="18"/>
        <v>15</v>
      </c>
      <c r="W83" s="189"/>
      <c r="X83" s="199"/>
      <c r="Y83" s="151"/>
      <c r="Z83" s="190"/>
      <c r="AA83" s="153"/>
      <c r="AB83" s="154">
        <f t="shared" si="19"/>
        <v>0</v>
      </c>
      <c r="AC83" s="149">
        <f t="shared" si="20"/>
        <v>0</v>
      </c>
      <c r="AD83" s="125">
        <v>2</v>
      </c>
      <c r="AE83" s="148">
        <f t="shared" si="21"/>
        <v>2</v>
      </c>
      <c r="AF83" s="156"/>
      <c r="AG83" s="156"/>
      <c r="AH83" s="113">
        <f t="shared" si="22"/>
        <v>17</v>
      </c>
      <c r="AI83" s="157">
        <v>65</v>
      </c>
      <c r="AJ83" s="113">
        <f t="shared" si="23"/>
        <v>82</v>
      </c>
      <c r="AK83" s="113">
        <f t="shared" si="24"/>
        <v>82</v>
      </c>
      <c r="AL83" s="158">
        <f t="shared" si="25"/>
        <v>1.02</v>
      </c>
      <c r="AM83" s="159"/>
      <c r="AN83" s="160">
        <f t="shared" si="16"/>
        <v>1</v>
      </c>
      <c r="AO83" s="160">
        <f t="shared" si="16"/>
        <v>2</v>
      </c>
      <c r="AP83" s="133"/>
      <c r="AQ83" s="134"/>
      <c r="AR83" s="161"/>
      <c r="AS83" s="161"/>
      <c r="AT83" s="161"/>
      <c r="AU83" s="161"/>
      <c r="AV83" s="162"/>
      <c r="AW83" s="137">
        <f t="shared" si="26"/>
        <v>0</v>
      </c>
      <c r="AX83" s="137">
        <f t="shared" si="27"/>
        <v>0</v>
      </c>
    </row>
    <row r="84" ht="46.5" customHeight="1" spans="1:50" s="97" customFormat="1" x14ac:dyDescent="0.25">
      <c r="A84" s="100"/>
      <c r="B84" s="100"/>
      <c r="C84" s="100"/>
      <c r="D84" s="100"/>
      <c r="E84" s="100"/>
      <c r="F84" s="100"/>
      <c r="G84" s="103"/>
      <c r="H84" s="186"/>
      <c r="I84" s="195">
        <v>0.51</v>
      </c>
      <c r="J84" s="107">
        <v>0.49</v>
      </c>
      <c r="K84" s="107"/>
      <c r="L84" s="107"/>
      <c r="M84" s="187"/>
      <c r="N84" s="169">
        <f t="shared" si="14"/>
        <v>1</v>
      </c>
      <c r="O84" s="144">
        <v>1</v>
      </c>
      <c r="P84" s="145">
        <v>15</v>
      </c>
      <c r="Q84" s="113">
        <v>15</v>
      </c>
      <c r="R84" s="113"/>
      <c r="S84" s="113"/>
      <c r="T84" s="146"/>
      <c r="U84" s="148">
        <f t="shared" si="17"/>
        <v>15</v>
      </c>
      <c r="V84" s="149">
        <f t="shared" si="18"/>
        <v>15</v>
      </c>
      <c r="W84" s="189"/>
      <c r="X84" s="199"/>
      <c r="Y84" s="151"/>
      <c r="Z84" s="190"/>
      <c r="AA84" s="153"/>
      <c r="AB84" s="154">
        <f t="shared" si="19"/>
        <v>0</v>
      </c>
      <c r="AC84" s="149">
        <f t="shared" si="20"/>
        <v>0</v>
      </c>
      <c r="AD84" s="125">
        <v>2</v>
      </c>
      <c r="AE84" s="148">
        <f t="shared" si="21"/>
        <v>2</v>
      </c>
      <c r="AF84" s="156"/>
      <c r="AG84" s="156"/>
      <c r="AH84" s="113">
        <f t="shared" si="22"/>
        <v>17</v>
      </c>
      <c r="AI84" s="157">
        <v>65</v>
      </c>
      <c r="AJ84" s="113">
        <f t="shared" si="23"/>
        <v>82</v>
      </c>
      <c r="AK84" s="113">
        <f t="shared" si="24"/>
        <v>82</v>
      </c>
      <c r="AL84" s="158">
        <f t="shared" si="25"/>
        <v>1.02</v>
      </c>
      <c r="AM84" s="159"/>
      <c r="AN84" s="160">
        <f t="shared" si="16"/>
        <v>1</v>
      </c>
      <c r="AO84" s="160">
        <f t="shared" si="16"/>
        <v>2</v>
      </c>
      <c r="AP84" s="133"/>
      <c r="AQ84" s="134"/>
      <c r="AR84" s="161"/>
      <c r="AS84" s="161"/>
      <c r="AT84" s="161"/>
      <c r="AU84" s="161"/>
      <c r="AV84" s="162"/>
      <c r="AW84" s="137">
        <f t="shared" si="26"/>
        <v>0</v>
      </c>
      <c r="AX84" s="137">
        <f t="shared" si="27"/>
        <v>0</v>
      </c>
    </row>
    <row r="85" ht="46.5" customHeight="1" spans="1:50" s="97" customFormat="1" x14ac:dyDescent="0.25">
      <c r="A85" s="100"/>
      <c r="B85" s="100"/>
      <c r="C85" s="100"/>
      <c r="D85" s="100"/>
      <c r="E85" s="100"/>
      <c r="F85" s="100"/>
      <c r="G85" s="103"/>
      <c r="H85" s="186"/>
      <c r="I85" s="195">
        <v>0.51</v>
      </c>
      <c r="J85" s="107">
        <v>0.49</v>
      </c>
      <c r="K85" s="107"/>
      <c r="L85" s="107"/>
      <c r="M85" s="187"/>
      <c r="N85" s="169">
        <f t="shared" si="14"/>
        <v>1</v>
      </c>
      <c r="O85" s="144">
        <v>1</v>
      </c>
      <c r="P85" s="145">
        <v>15</v>
      </c>
      <c r="Q85" s="113">
        <v>15</v>
      </c>
      <c r="R85" s="113"/>
      <c r="S85" s="113"/>
      <c r="T85" s="146"/>
      <c r="U85" s="148">
        <f t="shared" si="17"/>
        <v>15</v>
      </c>
      <c r="V85" s="149">
        <f t="shared" si="18"/>
        <v>15</v>
      </c>
      <c r="W85" s="189"/>
      <c r="X85" s="199"/>
      <c r="Y85" s="151"/>
      <c r="Z85" s="190"/>
      <c r="AA85" s="153"/>
      <c r="AB85" s="154">
        <f t="shared" si="19"/>
        <v>0</v>
      </c>
      <c r="AC85" s="149">
        <f t="shared" si="20"/>
        <v>0</v>
      </c>
      <c r="AD85" s="125">
        <v>2</v>
      </c>
      <c r="AE85" s="148">
        <f t="shared" si="21"/>
        <v>2</v>
      </c>
      <c r="AF85" s="156"/>
      <c r="AG85" s="156"/>
      <c r="AH85" s="113">
        <f t="shared" si="22"/>
        <v>17</v>
      </c>
      <c r="AI85" s="157">
        <v>65</v>
      </c>
      <c r="AJ85" s="113">
        <f t="shared" si="23"/>
        <v>82</v>
      </c>
      <c r="AK85" s="113">
        <f t="shared" si="24"/>
        <v>82</v>
      </c>
      <c r="AL85" s="158">
        <f t="shared" si="25"/>
        <v>1.02</v>
      </c>
      <c r="AM85" s="159"/>
      <c r="AN85" s="160">
        <f t="shared" si="16"/>
        <v>1</v>
      </c>
      <c r="AO85" s="160">
        <f t="shared" si="16"/>
        <v>2</v>
      </c>
      <c r="AP85" s="133"/>
      <c r="AQ85" s="134"/>
      <c r="AR85" s="161"/>
      <c r="AS85" s="161"/>
      <c r="AT85" s="161"/>
      <c r="AU85" s="161"/>
      <c r="AV85" s="162"/>
      <c r="AW85" s="137">
        <f t="shared" si="26"/>
        <v>0</v>
      </c>
      <c r="AX85" s="137">
        <f t="shared" si="27"/>
        <v>0</v>
      </c>
    </row>
    <row r="86" ht="46.5" customHeight="1" spans="1:50" s="97" customFormat="1" x14ac:dyDescent="0.25">
      <c r="A86" s="100"/>
      <c r="B86" s="100"/>
      <c r="C86" s="100"/>
      <c r="D86" s="100"/>
      <c r="E86" s="100"/>
      <c r="F86" s="100"/>
      <c r="G86" s="103"/>
      <c r="H86" s="186"/>
      <c r="I86" s="195">
        <v>0.51</v>
      </c>
      <c r="J86" s="107">
        <v>0.49</v>
      </c>
      <c r="K86" s="107"/>
      <c r="L86" s="107"/>
      <c r="M86" s="187"/>
      <c r="N86" s="169">
        <f t="shared" si="14"/>
        <v>1</v>
      </c>
      <c r="O86" s="144">
        <v>1</v>
      </c>
      <c r="P86" s="145">
        <v>15</v>
      </c>
      <c r="Q86" s="113">
        <v>15</v>
      </c>
      <c r="R86" s="113"/>
      <c r="S86" s="113"/>
      <c r="T86" s="146"/>
      <c r="U86" s="148">
        <f t="shared" si="17"/>
        <v>15</v>
      </c>
      <c r="V86" s="149">
        <f t="shared" si="18"/>
        <v>15</v>
      </c>
      <c r="W86" s="189"/>
      <c r="X86" s="199"/>
      <c r="Y86" s="151"/>
      <c r="Z86" s="190"/>
      <c r="AA86" s="153"/>
      <c r="AB86" s="154">
        <f t="shared" si="19"/>
        <v>0</v>
      </c>
      <c r="AC86" s="149">
        <f t="shared" si="20"/>
        <v>0</v>
      </c>
      <c r="AD86" s="125">
        <v>2</v>
      </c>
      <c r="AE86" s="148">
        <f t="shared" si="21"/>
        <v>2</v>
      </c>
      <c r="AF86" s="156"/>
      <c r="AG86" s="156"/>
      <c r="AH86" s="113">
        <f t="shared" si="22"/>
        <v>17</v>
      </c>
      <c r="AI86" s="157">
        <v>65</v>
      </c>
      <c r="AJ86" s="113">
        <f t="shared" si="23"/>
        <v>82</v>
      </c>
      <c r="AK86" s="113">
        <f t="shared" si="24"/>
        <v>82</v>
      </c>
      <c r="AL86" s="158">
        <f t="shared" si="25"/>
        <v>1.02</v>
      </c>
      <c r="AM86" s="159"/>
      <c r="AN86" s="160">
        <f t="shared" si="16"/>
        <v>1</v>
      </c>
      <c r="AO86" s="160">
        <f t="shared" si="16"/>
        <v>2</v>
      </c>
      <c r="AP86" s="133"/>
      <c r="AQ86" s="134"/>
      <c r="AR86" s="161"/>
      <c r="AS86" s="161"/>
      <c r="AT86" s="161"/>
      <c r="AU86" s="161"/>
      <c r="AV86" s="162"/>
      <c r="AW86" s="137">
        <f t="shared" si="26"/>
        <v>0</v>
      </c>
      <c r="AX86" s="137">
        <f t="shared" si="27"/>
        <v>0</v>
      </c>
    </row>
    <row r="87" ht="46.5" customHeight="1" spans="1:50" s="97" customFormat="1" x14ac:dyDescent="0.25">
      <c r="A87" s="100"/>
      <c r="B87" s="100"/>
      <c r="C87" s="100"/>
      <c r="D87" s="100"/>
      <c r="E87" s="100"/>
      <c r="F87" s="100"/>
      <c r="G87" s="103"/>
      <c r="H87" s="186"/>
      <c r="I87" s="195">
        <v>0.51</v>
      </c>
      <c r="J87" s="107">
        <v>0.49</v>
      </c>
      <c r="K87" s="107"/>
      <c r="L87" s="107"/>
      <c r="M87" s="187"/>
      <c r="N87" s="169">
        <f t="shared" si="14"/>
        <v>1</v>
      </c>
      <c r="O87" s="144">
        <v>1</v>
      </c>
      <c r="P87" s="145">
        <v>15</v>
      </c>
      <c r="Q87" s="113">
        <v>15</v>
      </c>
      <c r="R87" s="113"/>
      <c r="S87" s="113"/>
      <c r="T87" s="146"/>
      <c r="U87" s="148">
        <f t="shared" si="17"/>
        <v>15</v>
      </c>
      <c r="V87" s="149">
        <f t="shared" si="18"/>
        <v>15</v>
      </c>
      <c r="W87" s="189"/>
      <c r="X87" s="199"/>
      <c r="Y87" s="151"/>
      <c r="Z87" s="190"/>
      <c r="AA87" s="153"/>
      <c r="AB87" s="154">
        <f t="shared" si="19"/>
        <v>0</v>
      </c>
      <c r="AC87" s="149">
        <f t="shared" si="20"/>
        <v>0</v>
      </c>
      <c r="AD87" s="125">
        <v>2</v>
      </c>
      <c r="AE87" s="148">
        <f t="shared" si="21"/>
        <v>2</v>
      </c>
      <c r="AF87" s="156"/>
      <c r="AG87" s="156"/>
      <c r="AH87" s="113">
        <f t="shared" si="22"/>
        <v>17</v>
      </c>
      <c r="AI87" s="157">
        <v>65</v>
      </c>
      <c r="AJ87" s="113">
        <f t="shared" si="23"/>
        <v>82</v>
      </c>
      <c r="AK87" s="113">
        <f t="shared" si="24"/>
        <v>82</v>
      </c>
      <c r="AL87" s="158">
        <f t="shared" si="25"/>
        <v>1.02</v>
      </c>
      <c r="AM87" s="159"/>
      <c r="AN87" s="160">
        <f t="shared" si="16"/>
        <v>1</v>
      </c>
      <c r="AO87" s="160">
        <f t="shared" si="16"/>
        <v>2</v>
      </c>
      <c r="AP87" s="133"/>
      <c r="AQ87" s="134"/>
      <c r="AR87" s="161"/>
      <c r="AS87" s="161"/>
      <c r="AT87" s="161"/>
      <c r="AU87" s="161"/>
      <c r="AV87" s="162"/>
      <c r="AW87" s="137">
        <f t="shared" si="26"/>
        <v>0</v>
      </c>
      <c r="AX87" s="137">
        <f t="shared" si="27"/>
        <v>0</v>
      </c>
    </row>
    <row r="88" ht="46.5" customHeight="1" spans="1:50" s="97" customFormat="1" x14ac:dyDescent="0.25">
      <c r="A88" s="100"/>
      <c r="B88" s="100"/>
      <c r="C88" s="100"/>
      <c r="D88" s="100"/>
      <c r="E88" s="100"/>
      <c r="F88" s="100"/>
      <c r="G88" s="103"/>
      <c r="H88" s="186"/>
      <c r="I88" s="195">
        <v>0.51</v>
      </c>
      <c r="J88" s="107">
        <v>0.49</v>
      </c>
      <c r="K88" s="107"/>
      <c r="L88" s="107"/>
      <c r="M88" s="187"/>
      <c r="N88" s="169">
        <f t="shared" si="14"/>
        <v>1</v>
      </c>
      <c r="O88" s="144">
        <v>1</v>
      </c>
      <c r="P88" s="145">
        <v>15</v>
      </c>
      <c r="Q88" s="113">
        <v>15</v>
      </c>
      <c r="R88" s="113"/>
      <c r="S88" s="113"/>
      <c r="T88" s="146"/>
      <c r="U88" s="148">
        <f t="shared" si="17"/>
        <v>15</v>
      </c>
      <c r="V88" s="149">
        <f t="shared" si="18"/>
        <v>15</v>
      </c>
      <c r="W88" s="189"/>
      <c r="X88" s="199"/>
      <c r="Y88" s="151"/>
      <c r="Z88" s="190"/>
      <c r="AA88" s="153"/>
      <c r="AB88" s="154">
        <f t="shared" si="19"/>
        <v>0</v>
      </c>
      <c r="AC88" s="149">
        <f t="shared" si="20"/>
        <v>0</v>
      </c>
      <c r="AD88" s="125">
        <v>2</v>
      </c>
      <c r="AE88" s="148">
        <f t="shared" si="21"/>
        <v>2</v>
      </c>
      <c r="AF88" s="156"/>
      <c r="AG88" s="156"/>
      <c r="AH88" s="113">
        <f t="shared" si="22"/>
        <v>17</v>
      </c>
      <c r="AI88" s="157">
        <v>65</v>
      </c>
      <c r="AJ88" s="113">
        <f t="shared" si="23"/>
        <v>82</v>
      </c>
      <c r="AK88" s="113">
        <f t="shared" si="24"/>
        <v>82</v>
      </c>
      <c r="AL88" s="158">
        <f t="shared" si="25"/>
        <v>1.02</v>
      </c>
      <c r="AM88" s="159"/>
      <c r="AN88" s="160">
        <f t="shared" ref="AN88:AO107" si="28">100%+AM88</f>
        <v>1</v>
      </c>
      <c r="AO88" s="160">
        <f t="shared" si="28"/>
        <v>2</v>
      </c>
      <c r="AP88" s="133"/>
      <c r="AQ88" s="134"/>
      <c r="AR88" s="161"/>
      <c r="AS88" s="161"/>
      <c r="AT88" s="161"/>
      <c r="AU88" s="161"/>
      <c r="AV88" s="162"/>
      <c r="AW88" s="137">
        <f t="shared" si="26"/>
        <v>0</v>
      </c>
      <c r="AX88" s="137">
        <f t="shared" si="27"/>
        <v>0</v>
      </c>
    </row>
    <row r="89" ht="46.5" customHeight="1" spans="1:50" s="97" customFormat="1" x14ac:dyDescent="0.25">
      <c r="A89" s="100"/>
      <c r="B89" s="100"/>
      <c r="C89" s="100"/>
      <c r="D89" s="100"/>
      <c r="E89" s="100"/>
      <c r="F89" s="100"/>
      <c r="G89" s="103"/>
      <c r="H89" s="186"/>
      <c r="I89" s="195">
        <v>0.51</v>
      </c>
      <c r="J89" s="107">
        <v>0.49</v>
      </c>
      <c r="K89" s="107"/>
      <c r="L89" s="107"/>
      <c r="M89" s="187"/>
      <c r="N89" s="169">
        <f t="shared" si="14"/>
        <v>1</v>
      </c>
      <c r="O89" s="144">
        <v>1</v>
      </c>
      <c r="P89" s="145">
        <v>15</v>
      </c>
      <c r="Q89" s="113">
        <v>15</v>
      </c>
      <c r="R89" s="113"/>
      <c r="S89" s="113"/>
      <c r="T89" s="146"/>
      <c r="U89" s="148">
        <f t="shared" si="17"/>
        <v>15</v>
      </c>
      <c r="V89" s="149">
        <f t="shared" si="18"/>
        <v>15</v>
      </c>
      <c r="W89" s="189"/>
      <c r="X89" s="199"/>
      <c r="Y89" s="151"/>
      <c r="Z89" s="190"/>
      <c r="AA89" s="153"/>
      <c r="AB89" s="154">
        <f t="shared" si="19"/>
        <v>0</v>
      </c>
      <c r="AC89" s="149">
        <f t="shared" si="20"/>
        <v>0</v>
      </c>
      <c r="AD89" s="125">
        <v>2</v>
      </c>
      <c r="AE89" s="148">
        <f t="shared" si="21"/>
        <v>2</v>
      </c>
      <c r="AF89" s="156"/>
      <c r="AG89" s="156"/>
      <c r="AH89" s="113">
        <f t="shared" si="22"/>
        <v>17</v>
      </c>
      <c r="AI89" s="157">
        <v>65</v>
      </c>
      <c r="AJ89" s="113">
        <f t="shared" si="23"/>
        <v>82</v>
      </c>
      <c r="AK89" s="113">
        <f t="shared" si="24"/>
        <v>82</v>
      </c>
      <c r="AL89" s="158">
        <f t="shared" si="25"/>
        <v>1.02</v>
      </c>
      <c r="AM89" s="159"/>
      <c r="AN89" s="160">
        <f t="shared" si="28"/>
        <v>1</v>
      </c>
      <c r="AO89" s="160">
        <f t="shared" si="28"/>
        <v>2</v>
      </c>
      <c r="AP89" s="133"/>
      <c r="AQ89" s="134"/>
      <c r="AR89" s="161"/>
      <c r="AS89" s="161"/>
      <c r="AT89" s="161"/>
      <c r="AU89" s="161"/>
      <c r="AV89" s="162"/>
      <c r="AW89" s="137">
        <f t="shared" si="26"/>
        <v>0</v>
      </c>
      <c r="AX89" s="137">
        <f t="shared" si="27"/>
        <v>0</v>
      </c>
    </row>
    <row r="90" ht="46.5" customHeight="1" spans="1:50" s="97" customFormat="1" x14ac:dyDescent="0.25">
      <c r="A90" s="100"/>
      <c r="B90" s="100"/>
      <c r="C90" s="100"/>
      <c r="D90" s="100"/>
      <c r="E90" s="100"/>
      <c r="F90" s="100"/>
      <c r="G90" s="103"/>
      <c r="H90" s="186"/>
      <c r="I90" s="195">
        <v>0.51</v>
      </c>
      <c r="J90" s="107">
        <v>0.49</v>
      </c>
      <c r="K90" s="107"/>
      <c r="L90" s="107"/>
      <c r="M90" s="187"/>
      <c r="N90" s="169">
        <f t="shared" si="14"/>
        <v>1</v>
      </c>
      <c r="O90" s="144">
        <v>1</v>
      </c>
      <c r="P90" s="145">
        <v>15</v>
      </c>
      <c r="Q90" s="113">
        <v>15</v>
      </c>
      <c r="R90" s="113"/>
      <c r="S90" s="113"/>
      <c r="T90" s="146"/>
      <c r="U90" s="148">
        <f t="shared" si="17"/>
        <v>15</v>
      </c>
      <c r="V90" s="149">
        <f t="shared" si="18"/>
        <v>15</v>
      </c>
      <c r="W90" s="189"/>
      <c r="X90" s="199"/>
      <c r="Y90" s="151"/>
      <c r="Z90" s="190"/>
      <c r="AA90" s="153"/>
      <c r="AB90" s="154">
        <f t="shared" si="19"/>
        <v>0</v>
      </c>
      <c r="AC90" s="149">
        <f t="shared" si="20"/>
        <v>0</v>
      </c>
      <c r="AD90" s="125">
        <v>2</v>
      </c>
      <c r="AE90" s="148">
        <f t="shared" si="21"/>
        <v>2</v>
      </c>
      <c r="AF90" s="156"/>
      <c r="AG90" s="156"/>
      <c r="AH90" s="113">
        <f t="shared" si="22"/>
        <v>17</v>
      </c>
      <c r="AI90" s="157">
        <v>65</v>
      </c>
      <c r="AJ90" s="113">
        <f t="shared" si="23"/>
        <v>82</v>
      </c>
      <c r="AK90" s="113">
        <f t="shared" si="24"/>
        <v>82</v>
      </c>
      <c r="AL90" s="158">
        <f t="shared" si="25"/>
        <v>1.02</v>
      </c>
      <c r="AM90" s="159"/>
      <c r="AN90" s="160">
        <f t="shared" si="28"/>
        <v>1</v>
      </c>
      <c r="AO90" s="160">
        <f t="shared" si="28"/>
        <v>2</v>
      </c>
      <c r="AP90" s="133"/>
      <c r="AQ90" s="134"/>
      <c r="AR90" s="161"/>
      <c r="AS90" s="161"/>
      <c r="AT90" s="161"/>
      <c r="AU90" s="161"/>
      <c r="AV90" s="162"/>
      <c r="AW90" s="137">
        <f t="shared" si="26"/>
        <v>0</v>
      </c>
      <c r="AX90" s="137">
        <f t="shared" si="27"/>
        <v>0</v>
      </c>
    </row>
    <row r="91" ht="46.5" customHeight="1" spans="1:50" s="97" customFormat="1" x14ac:dyDescent="0.25">
      <c r="A91" s="100"/>
      <c r="B91" s="100"/>
      <c r="C91" s="100"/>
      <c r="D91" s="100"/>
      <c r="E91" s="100"/>
      <c r="F91" s="100"/>
      <c r="G91" s="103"/>
      <c r="H91" s="186"/>
      <c r="I91" s="195">
        <v>0.51</v>
      </c>
      <c r="J91" s="107">
        <v>0.49</v>
      </c>
      <c r="K91" s="107"/>
      <c r="L91" s="107"/>
      <c r="M91" s="187"/>
      <c r="N91" s="169">
        <f t="shared" si="14"/>
        <v>1</v>
      </c>
      <c r="O91" s="144">
        <v>1</v>
      </c>
      <c r="P91" s="145">
        <v>15</v>
      </c>
      <c r="Q91" s="113">
        <v>15</v>
      </c>
      <c r="R91" s="113"/>
      <c r="S91" s="113"/>
      <c r="T91" s="146"/>
      <c r="U91" s="148">
        <f t="shared" si="17"/>
        <v>15</v>
      </c>
      <c r="V91" s="149">
        <f t="shared" si="18"/>
        <v>15</v>
      </c>
      <c r="W91" s="189"/>
      <c r="X91" s="199"/>
      <c r="Y91" s="151"/>
      <c r="Z91" s="190"/>
      <c r="AA91" s="153"/>
      <c r="AB91" s="154">
        <f t="shared" si="19"/>
        <v>0</v>
      </c>
      <c r="AC91" s="149">
        <f t="shared" si="20"/>
        <v>0</v>
      </c>
      <c r="AD91" s="125">
        <v>2</v>
      </c>
      <c r="AE91" s="148">
        <f t="shared" si="21"/>
        <v>2</v>
      </c>
      <c r="AF91" s="156"/>
      <c r="AG91" s="156"/>
      <c r="AH91" s="113">
        <f t="shared" si="22"/>
        <v>17</v>
      </c>
      <c r="AI91" s="157">
        <v>65</v>
      </c>
      <c r="AJ91" s="113">
        <f t="shared" si="23"/>
        <v>82</v>
      </c>
      <c r="AK91" s="113">
        <f t="shared" si="24"/>
        <v>82</v>
      </c>
      <c r="AL91" s="158">
        <f t="shared" si="25"/>
        <v>1.02</v>
      </c>
      <c r="AM91" s="159"/>
      <c r="AN91" s="160">
        <f t="shared" si="28"/>
        <v>1</v>
      </c>
      <c r="AO91" s="160">
        <f t="shared" si="28"/>
        <v>2</v>
      </c>
      <c r="AP91" s="133"/>
      <c r="AQ91" s="134"/>
      <c r="AR91" s="161"/>
      <c r="AS91" s="161"/>
      <c r="AT91" s="161"/>
      <c r="AU91" s="161"/>
      <c r="AV91" s="162"/>
      <c r="AW91" s="137">
        <f t="shared" si="26"/>
        <v>0</v>
      </c>
      <c r="AX91" s="137">
        <f t="shared" si="27"/>
        <v>0</v>
      </c>
    </row>
    <row r="92" ht="46.5" customHeight="1" spans="1:50" s="97" customFormat="1" x14ac:dyDescent="0.25">
      <c r="A92" s="100"/>
      <c r="B92" s="100"/>
      <c r="C92" s="100"/>
      <c r="D92" s="100"/>
      <c r="E92" s="100"/>
      <c r="F92" s="100"/>
      <c r="G92" s="103"/>
      <c r="H92" s="186"/>
      <c r="I92" s="195">
        <v>0.51</v>
      </c>
      <c r="J92" s="107">
        <v>0.49</v>
      </c>
      <c r="K92" s="107"/>
      <c r="L92" s="107"/>
      <c r="M92" s="187"/>
      <c r="N92" s="169">
        <f t="shared" si="14"/>
        <v>1</v>
      </c>
      <c r="O92" s="144">
        <v>1</v>
      </c>
      <c r="P92" s="145">
        <v>15</v>
      </c>
      <c r="Q92" s="113">
        <v>15</v>
      </c>
      <c r="R92" s="113"/>
      <c r="S92" s="113"/>
      <c r="T92" s="146"/>
      <c r="U92" s="148">
        <f t="shared" si="17"/>
        <v>15</v>
      </c>
      <c r="V92" s="149">
        <f t="shared" si="18"/>
        <v>15</v>
      </c>
      <c r="W92" s="189"/>
      <c r="X92" s="199"/>
      <c r="Y92" s="151"/>
      <c r="Z92" s="190"/>
      <c r="AA92" s="153"/>
      <c r="AB92" s="154">
        <f t="shared" si="19"/>
        <v>0</v>
      </c>
      <c r="AC92" s="149">
        <f t="shared" si="20"/>
        <v>0</v>
      </c>
      <c r="AD92" s="125">
        <v>2</v>
      </c>
      <c r="AE92" s="148">
        <f t="shared" si="21"/>
        <v>2</v>
      </c>
      <c r="AF92" s="156"/>
      <c r="AG92" s="156"/>
      <c r="AH92" s="113">
        <f t="shared" si="22"/>
        <v>17</v>
      </c>
      <c r="AI92" s="157">
        <v>65</v>
      </c>
      <c r="AJ92" s="113">
        <f t="shared" si="23"/>
        <v>82</v>
      </c>
      <c r="AK92" s="113">
        <f t="shared" si="24"/>
        <v>82</v>
      </c>
      <c r="AL92" s="158">
        <f t="shared" si="25"/>
        <v>1.02</v>
      </c>
      <c r="AM92" s="159"/>
      <c r="AN92" s="160">
        <f t="shared" si="28"/>
        <v>1</v>
      </c>
      <c r="AO92" s="160">
        <f t="shared" si="28"/>
        <v>2</v>
      </c>
      <c r="AP92" s="133"/>
      <c r="AQ92" s="134"/>
      <c r="AR92" s="161"/>
      <c r="AS92" s="161"/>
      <c r="AT92" s="161"/>
      <c r="AU92" s="161"/>
      <c r="AV92" s="162"/>
      <c r="AW92" s="137">
        <f t="shared" si="26"/>
        <v>0</v>
      </c>
      <c r="AX92" s="137">
        <f t="shared" si="27"/>
        <v>0</v>
      </c>
    </row>
    <row r="93" ht="46.5" customHeight="1" spans="1:50" s="97" customFormat="1" x14ac:dyDescent="0.25">
      <c r="A93" s="100"/>
      <c r="B93" s="100"/>
      <c r="C93" s="100"/>
      <c r="D93" s="100"/>
      <c r="E93" s="100"/>
      <c r="F93" s="100"/>
      <c r="G93" s="103"/>
      <c r="H93" s="186"/>
      <c r="I93" s="195">
        <v>0.51</v>
      </c>
      <c r="J93" s="107">
        <v>0.49</v>
      </c>
      <c r="K93" s="107"/>
      <c r="L93" s="107"/>
      <c r="M93" s="187"/>
      <c r="N93" s="169">
        <f t="shared" si="14"/>
        <v>1</v>
      </c>
      <c r="O93" s="144">
        <v>1</v>
      </c>
      <c r="P93" s="145">
        <v>15</v>
      </c>
      <c r="Q93" s="113">
        <v>15</v>
      </c>
      <c r="R93" s="113"/>
      <c r="S93" s="113"/>
      <c r="T93" s="146"/>
      <c r="U93" s="148">
        <f t="shared" si="17"/>
        <v>15</v>
      </c>
      <c r="V93" s="149">
        <f t="shared" si="18"/>
        <v>15</v>
      </c>
      <c r="W93" s="189"/>
      <c r="X93" s="199"/>
      <c r="Y93" s="151"/>
      <c r="Z93" s="190"/>
      <c r="AA93" s="153"/>
      <c r="AB93" s="154">
        <f t="shared" si="19"/>
        <v>0</v>
      </c>
      <c r="AC93" s="149">
        <f t="shared" si="20"/>
        <v>0</v>
      </c>
      <c r="AD93" s="125">
        <v>2</v>
      </c>
      <c r="AE93" s="148">
        <f t="shared" si="21"/>
        <v>2</v>
      </c>
      <c r="AF93" s="156"/>
      <c r="AG93" s="156"/>
      <c r="AH93" s="113">
        <f t="shared" si="22"/>
        <v>17</v>
      </c>
      <c r="AI93" s="157">
        <v>65</v>
      </c>
      <c r="AJ93" s="113">
        <f t="shared" si="23"/>
        <v>82</v>
      </c>
      <c r="AK93" s="113">
        <f t="shared" si="24"/>
        <v>82</v>
      </c>
      <c r="AL93" s="158">
        <f t="shared" si="25"/>
        <v>1.02</v>
      </c>
      <c r="AM93" s="159"/>
      <c r="AN93" s="160">
        <f t="shared" si="28"/>
        <v>1</v>
      </c>
      <c r="AO93" s="160">
        <f t="shared" si="28"/>
        <v>2</v>
      </c>
      <c r="AP93" s="133"/>
      <c r="AQ93" s="134"/>
      <c r="AR93" s="161"/>
      <c r="AS93" s="161"/>
      <c r="AT93" s="161"/>
      <c r="AU93" s="161"/>
      <c r="AV93" s="162"/>
      <c r="AW93" s="137">
        <f t="shared" si="26"/>
        <v>0</v>
      </c>
      <c r="AX93" s="137">
        <f t="shared" si="27"/>
        <v>0</v>
      </c>
    </row>
    <row r="94" ht="46.5" customHeight="1" spans="1:50" s="97" customFormat="1" x14ac:dyDescent="0.25">
      <c r="A94" s="100"/>
      <c r="B94" s="100"/>
      <c r="C94" s="100"/>
      <c r="D94" s="100"/>
      <c r="E94" s="100"/>
      <c r="F94" s="100"/>
      <c r="G94" s="103"/>
      <c r="H94" s="186"/>
      <c r="I94" s="195">
        <v>0.51</v>
      </c>
      <c r="J94" s="107">
        <v>0.49</v>
      </c>
      <c r="K94" s="107"/>
      <c r="L94" s="107"/>
      <c r="M94" s="187"/>
      <c r="N94" s="169">
        <f t="shared" si="14"/>
        <v>1</v>
      </c>
      <c r="O94" s="144">
        <v>1</v>
      </c>
      <c r="P94" s="145">
        <v>15</v>
      </c>
      <c r="Q94" s="113">
        <v>15</v>
      </c>
      <c r="R94" s="113"/>
      <c r="S94" s="113"/>
      <c r="T94" s="146"/>
      <c r="U94" s="148">
        <f t="shared" si="17"/>
        <v>15</v>
      </c>
      <c r="V94" s="149">
        <f t="shared" si="18"/>
        <v>15</v>
      </c>
      <c r="W94" s="189"/>
      <c r="X94" s="199"/>
      <c r="Y94" s="151"/>
      <c r="Z94" s="190"/>
      <c r="AA94" s="153"/>
      <c r="AB94" s="154">
        <f t="shared" si="19"/>
        <v>0</v>
      </c>
      <c r="AC94" s="149">
        <f t="shared" si="20"/>
        <v>0</v>
      </c>
      <c r="AD94" s="125">
        <v>2</v>
      </c>
      <c r="AE94" s="148">
        <f t="shared" si="21"/>
        <v>2</v>
      </c>
      <c r="AF94" s="156"/>
      <c r="AG94" s="156"/>
      <c r="AH94" s="113">
        <f t="shared" si="22"/>
        <v>17</v>
      </c>
      <c r="AI94" s="157">
        <v>65</v>
      </c>
      <c r="AJ94" s="113">
        <f t="shared" si="23"/>
        <v>82</v>
      </c>
      <c r="AK94" s="113">
        <f t="shared" si="24"/>
        <v>82</v>
      </c>
      <c r="AL94" s="158">
        <f t="shared" si="25"/>
        <v>1.02</v>
      </c>
      <c r="AM94" s="159"/>
      <c r="AN94" s="160">
        <f t="shared" si="28"/>
        <v>1</v>
      </c>
      <c r="AO94" s="160">
        <f t="shared" si="28"/>
        <v>2</v>
      </c>
      <c r="AP94" s="133"/>
      <c r="AQ94" s="134"/>
      <c r="AR94" s="161"/>
      <c r="AS94" s="161"/>
      <c r="AT94" s="161"/>
      <c r="AU94" s="161"/>
      <c r="AV94" s="162"/>
      <c r="AW94" s="137">
        <f t="shared" si="26"/>
        <v>0</v>
      </c>
      <c r="AX94" s="137">
        <f t="shared" si="27"/>
        <v>0</v>
      </c>
    </row>
    <row r="95" ht="64.5" customHeight="1" spans="1:50" s="56" customFormat="1" x14ac:dyDescent="0.25">
      <c r="A95" s="100"/>
      <c r="B95" s="100"/>
      <c r="C95" s="100"/>
      <c r="D95" s="100"/>
      <c r="E95" s="100"/>
      <c r="F95" s="100"/>
      <c r="G95" s="103"/>
      <c r="H95" s="186"/>
      <c r="I95" s="195">
        <v>0.51</v>
      </c>
      <c r="J95" s="107">
        <v>0.49</v>
      </c>
      <c r="K95" s="107"/>
      <c r="L95" s="107"/>
      <c r="M95" s="187"/>
      <c r="N95" s="169">
        <f t="shared" si="14"/>
        <v>1</v>
      </c>
      <c r="O95" s="144">
        <v>1</v>
      </c>
      <c r="P95" s="145">
        <v>15</v>
      </c>
      <c r="Q95" s="113">
        <v>15</v>
      </c>
      <c r="R95" s="113"/>
      <c r="S95" s="113"/>
      <c r="T95" s="146"/>
      <c r="U95" s="148">
        <f t="shared" si="17"/>
        <v>15</v>
      </c>
      <c r="V95" s="149">
        <f t="shared" si="18"/>
        <v>15</v>
      </c>
      <c r="W95" s="189"/>
      <c r="X95" s="199"/>
      <c r="Y95" s="151"/>
      <c r="Z95" s="190"/>
      <c r="AA95" s="153"/>
      <c r="AB95" s="154">
        <f t="shared" si="19"/>
        <v>0</v>
      </c>
      <c r="AC95" s="149">
        <f t="shared" si="20"/>
        <v>0</v>
      </c>
      <c r="AD95" s="125">
        <v>2</v>
      </c>
      <c r="AE95" s="148">
        <f t="shared" si="21"/>
        <v>2</v>
      </c>
      <c r="AF95" s="156"/>
      <c r="AG95" s="156"/>
      <c r="AH95" s="113">
        <f t="shared" si="22"/>
        <v>17</v>
      </c>
      <c r="AI95" s="157">
        <v>65</v>
      </c>
      <c r="AJ95" s="113">
        <f t="shared" si="23"/>
        <v>82</v>
      </c>
      <c r="AK95" s="113">
        <f t="shared" si="24"/>
        <v>82</v>
      </c>
      <c r="AL95" s="158">
        <f t="shared" si="25"/>
        <v>1.02</v>
      </c>
      <c r="AM95" s="159"/>
      <c r="AN95" s="160">
        <f t="shared" si="28"/>
        <v>1</v>
      </c>
      <c r="AO95" s="160">
        <f t="shared" si="28"/>
        <v>2</v>
      </c>
      <c r="AP95" s="133"/>
      <c r="AQ95" s="134"/>
      <c r="AR95" s="161"/>
      <c r="AS95" s="161"/>
      <c r="AT95" s="161"/>
      <c r="AU95" s="161"/>
      <c r="AV95" s="162"/>
      <c r="AW95" s="137">
        <f t="shared" si="26"/>
        <v>0</v>
      </c>
      <c r="AX95" s="137">
        <f t="shared" si="27"/>
        <v>0</v>
      </c>
    </row>
    <row r="96" ht="46.5" customHeight="1" spans="1:50" s="97" customFormat="1" x14ac:dyDescent="0.25">
      <c r="A96" s="100"/>
      <c r="B96" s="100"/>
      <c r="C96" s="100"/>
      <c r="D96" s="100"/>
      <c r="E96" s="100"/>
      <c r="F96" s="100"/>
      <c r="G96" s="103"/>
      <c r="H96" s="186"/>
      <c r="I96" s="195">
        <v>0.51</v>
      </c>
      <c r="J96" s="107">
        <v>0.49</v>
      </c>
      <c r="K96" s="107"/>
      <c r="L96" s="107"/>
      <c r="M96" s="187"/>
      <c r="N96" s="169">
        <f t="shared" si="14"/>
        <v>1</v>
      </c>
      <c r="O96" s="144">
        <v>1</v>
      </c>
      <c r="P96" s="145">
        <v>15</v>
      </c>
      <c r="Q96" s="113">
        <v>15</v>
      </c>
      <c r="R96" s="113"/>
      <c r="S96" s="113"/>
      <c r="T96" s="146"/>
      <c r="U96" s="148">
        <f t="shared" si="17"/>
        <v>15</v>
      </c>
      <c r="V96" s="149">
        <f t="shared" si="18"/>
        <v>15</v>
      </c>
      <c r="W96" s="189"/>
      <c r="X96" s="199"/>
      <c r="Y96" s="151"/>
      <c r="Z96" s="190"/>
      <c r="AA96" s="153"/>
      <c r="AB96" s="154">
        <f t="shared" si="19"/>
        <v>0</v>
      </c>
      <c r="AC96" s="149">
        <f t="shared" si="20"/>
        <v>0</v>
      </c>
      <c r="AD96" s="125">
        <v>2</v>
      </c>
      <c r="AE96" s="148">
        <f t="shared" si="21"/>
        <v>2</v>
      </c>
      <c r="AF96" s="156"/>
      <c r="AG96" s="156"/>
      <c r="AH96" s="113">
        <f t="shared" si="22"/>
        <v>17</v>
      </c>
      <c r="AI96" s="157">
        <v>65</v>
      </c>
      <c r="AJ96" s="113">
        <f t="shared" si="23"/>
        <v>82</v>
      </c>
      <c r="AK96" s="113">
        <f t="shared" si="24"/>
        <v>82</v>
      </c>
      <c r="AL96" s="158">
        <f t="shared" si="25"/>
        <v>1.02</v>
      </c>
      <c r="AM96" s="159"/>
      <c r="AN96" s="160">
        <f t="shared" si="28"/>
        <v>1</v>
      </c>
      <c r="AO96" s="160">
        <f t="shared" si="28"/>
        <v>2</v>
      </c>
      <c r="AP96" s="133"/>
      <c r="AQ96" s="134"/>
      <c r="AR96" s="161"/>
      <c r="AS96" s="161"/>
      <c r="AT96" s="161"/>
      <c r="AU96" s="161"/>
      <c r="AV96" s="162"/>
      <c r="AW96" s="137">
        <f t="shared" si="26"/>
        <v>0</v>
      </c>
      <c r="AX96" s="137">
        <f t="shared" si="27"/>
        <v>0</v>
      </c>
    </row>
    <row r="97" ht="46.5" customHeight="1" spans="1:50" s="97" customFormat="1" x14ac:dyDescent="0.25">
      <c r="A97" s="100"/>
      <c r="B97" s="100"/>
      <c r="C97" s="100"/>
      <c r="D97" s="100"/>
      <c r="E97" s="100"/>
      <c r="F97" s="100"/>
      <c r="G97" s="103"/>
      <c r="H97" s="186"/>
      <c r="I97" s="195">
        <v>0.51</v>
      </c>
      <c r="J97" s="107">
        <v>0.49</v>
      </c>
      <c r="K97" s="107"/>
      <c r="L97" s="107"/>
      <c r="M97" s="187"/>
      <c r="N97" s="169">
        <f t="shared" si="14"/>
        <v>1</v>
      </c>
      <c r="O97" s="144">
        <v>1</v>
      </c>
      <c r="P97" s="145">
        <v>15</v>
      </c>
      <c r="Q97" s="113">
        <v>15</v>
      </c>
      <c r="R97" s="113"/>
      <c r="S97" s="113"/>
      <c r="T97" s="146"/>
      <c r="U97" s="148">
        <f t="shared" si="17"/>
        <v>15</v>
      </c>
      <c r="V97" s="149">
        <f t="shared" si="18"/>
        <v>15</v>
      </c>
      <c r="W97" s="189"/>
      <c r="X97" s="199"/>
      <c r="Y97" s="151"/>
      <c r="Z97" s="190"/>
      <c r="AA97" s="153"/>
      <c r="AB97" s="154">
        <f t="shared" si="19"/>
        <v>0</v>
      </c>
      <c r="AC97" s="149">
        <f t="shared" si="20"/>
        <v>0</v>
      </c>
      <c r="AD97" s="125">
        <v>2</v>
      </c>
      <c r="AE97" s="148">
        <f t="shared" si="21"/>
        <v>2</v>
      </c>
      <c r="AF97" s="156"/>
      <c r="AG97" s="156"/>
      <c r="AH97" s="113">
        <f t="shared" si="22"/>
        <v>17</v>
      </c>
      <c r="AI97" s="157">
        <v>65</v>
      </c>
      <c r="AJ97" s="113">
        <f t="shared" si="23"/>
        <v>82</v>
      </c>
      <c r="AK97" s="113">
        <f t="shared" si="24"/>
        <v>82</v>
      </c>
      <c r="AL97" s="158">
        <f t="shared" si="25"/>
        <v>1.02</v>
      </c>
      <c r="AM97" s="159"/>
      <c r="AN97" s="160">
        <f t="shared" si="28"/>
        <v>1</v>
      </c>
      <c r="AO97" s="160">
        <f t="shared" si="28"/>
        <v>2</v>
      </c>
      <c r="AP97" s="133"/>
      <c r="AQ97" s="134"/>
      <c r="AR97" s="161"/>
      <c r="AS97" s="161"/>
      <c r="AT97" s="161"/>
      <c r="AU97" s="161"/>
      <c r="AV97" s="162"/>
      <c r="AW97" s="137">
        <f t="shared" si="26"/>
        <v>0</v>
      </c>
      <c r="AX97" s="137">
        <f t="shared" si="27"/>
        <v>0</v>
      </c>
    </row>
    <row r="98" ht="46.5" customHeight="1" spans="1:50" s="97" customFormat="1" x14ac:dyDescent="0.25">
      <c r="A98" s="100"/>
      <c r="B98" s="100"/>
      <c r="C98" s="100"/>
      <c r="D98" s="100"/>
      <c r="E98" s="100"/>
      <c r="F98" s="100"/>
      <c r="G98" s="103"/>
      <c r="H98" s="186"/>
      <c r="I98" s="195">
        <v>0.51</v>
      </c>
      <c r="J98" s="107">
        <v>0.49</v>
      </c>
      <c r="K98" s="107"/>
      <c r="L98" s="107"/>
      <c r="M98" s="187"/>
      <c r="N98" s="169">
        <f t="shared" si="14"/>
        <v>1</v>
      </c>
      <c r="O98" s="144">
        <v>1</v>
      </c>
      <c r="P98" s="145">
        <v>15</v>
      </c>
      <c r="Q98" s="113">
        <v>15</v>
      </c>
      <c r="R98" s="113"/>
      <c r="S98" s="113"/>
      <c r="T98" s="146"/>
      <c r="U98" s="148">
        <f t="shared" si="17"/>
        <v>15</v>
      </c>
      <c r="V98" s="149">
        <f t="shared" si="18"/>
        <v>15</v>
      </c>
      <c r="W98" s="189"/>
      <c r="X98" s="199"/>
      <c r="Y98" s="151"/>
      <c r="Z98" s="190"/>
      <c r="AA98" s="153"/>
      <c r="AB98" s="154">
        <f t="shared" si="19"/>
        <v>0</v>
      </c>
      <c r="AC98" s="149">
        <f t="shared" si="20"/>
        <v>0</v>
      </c>
      <c r="AD98" s="125">
        <v>2</v>
      </c>
      <c r="AE98" s="148">
        <f t="shared" si="21"/>
        <v>2</v>
      </c>
      <c r="AF98" s="156"/>
      <c r="AG98" s="156"/>
      <c r="AH98" s="113">
        <f t="shared" si="22"/>
        <v>17</v>
      </c>
      <c r="AI98" s="157">
        <v>65</v>
      </c>
      <c r="AJ98" s="113">
        <f t="shared" si="23"/>
        <v>82</v>
      </c>
      <c r="AK98" s="113">
        <f t="shared" si="24"/>
        <v>82</v>
      </c>
      <c r="AL98" s="158">
        <f t="shared" si="25"/>
        <v>1.02</v>
      </c>
      <c r="AM98" s="159"/>
      <c r="AN98" s="160">
        <f t="shared" si="28"/>
        <v>1</v>
      </c>
      <c r="AO98" s="160">
        <f t="shared" si="28"/>
        <v>2</v>
      </c>
      <c r="AP98" s="133"/>
      <c r="AQ98" s="134"/>
      <c r="AR98" s="161"/>
      <c r="AS98" s="161"/>
      <c r="AT98" s="161"/>
      <c r="AU98" s="161"/>
      <c r="AV98" s="162"/>
      <c r="AW98" s="137">
        <f t="shared" si="26"/>
        <v>0</v>
      </c>
      <c r="AX98" s="137">
        <f t="shared" si="27"/>
        <v>0</v>
      </c>
    </row>
    <row r="99" ht="47.25" customHeight="1" spans="1:50" s="97" customFormat="1" x14ac:dyDescent="0.25">
      <c r="A99" s="100"/>
      <c r="B99" s="100"/>
      <c r="C99" s="100"/>
      <c r="D99" s="100"/>
      <c r="E99" s="100"/>
      <c r="F99" s="100"/>
      <c r="G99" s="103"/>
      <c r="H99" s="186"/>
      <c r="I99" s="195">
        <v>0.51</v>
      </c>
      <c r="J99" s="107">
        <v>0.49</v>
      </c>
      <c r="K99" s="107"/>
      <c r="L99" s="107"/>
      <c r="M99" s="187"/>
      <c r="N99" s="169">
        <f t="shared" si="14"/>
        <v>1</v>
      </c>
      <c r="O99" s="144">
        <v>1</v>
      </c>
      <c r="P99" s="145">
        <v>15</v>
      </c>
      <c r="Q99" s="113">
        <v>15</v>
      </c>
      <c r="R99" s="113"/>
      <c r="S99" s="113"/>
      <c r="T99" s="146"/>
      <c r="U99" s="148">
        <f t="shared" si="17"/>
        <v>15</v>
      </c>
      <c r="V99" s="149">
        <f t="shared" si="18"/>
        <v>15</v>
      </c>
      <c r="W99" s="189"/>
      <c r="X99" s="199"/>
      <c r="Y99" s="151"/>
      <c r="Z99" s="190"/>
      <c r="AA99" s="153"/>
      <c r="AB99" s="154">
        <f t="shared" si="19"/>
        <v>0</v>
      </c>
      <c r="AC99" s="149">
        <f t="shared" si="20"/>
        <v>0</v>
      </c>
      <c r="AD99" s="125">
        <v>2</v>
      </c>
      <c r="AE99" s="148">
        <f t="shared" si="21"/>
        <v>2</v>
      </c>
      <c r="AF99" s="156"/>
      <c r="AG99" s="156"/>
      <c r="AH99" s="113">
        <f t="shared" si="22"/>
        <v>17</v>
      </c>
      <c r="AI99" s="157">
        <v>65</v>
      </c>
      <c r="AJ99" s="113">
        <f t="shared" si="23"/>
        <v>82</v>
      </c>
      <c r="AK99" s="113">
        <f t="shared" si="24"/>
        <v>82</v>
      </c>
      <c r="AL99" s="158">
        <f t="shared" si="25"/>
        <v>1.02</v>
      </c>
      <c r="AM99" s="159"/>
      <c r="AN99" s="160">
        <f t="shared" si="28"/>
        <v>1</v>
      </c>
      <c r="AO99" s="160">
        <f t="shared" si="28"/>
        <v>2</v>
      </c>
      <c r="AP99" s="133"/>
      <c r="AQ99" s="134"/>
      <c r="AR99" s="161"/>
      <c r="AS99" s="161"/>
      <c r="AT99" s="161"/>
      <c r="AU99" s="161"/>
      <c r="AV99" s="162"/>
      <c r="AW99" s="137">
        <f t="shared" si="26"/>
        <v>0</v>
      </c>
      <c r="AX99" s="137">
        <f t="shared" si="27"/>
        <v>0</v>
      </c>
    </row>
    <row r="100" ht="46.5" customHeight="1" spans="1:50" s="97" customFormat="1" x14ac:dyDescent="0.25">
      <c r="A100" s="100"/>
      <c r="B100" s="100"/>
      <c r="C100" s="100"/>
      <c r="D100" s="100"/>
      <c r="E100" s="100"/>
      <c r="F100" s="100"/>
      <c r="G100" s="103"/>
      <c r="H100" s="186"/>
      <c r="I100" s="195">
        <v>0.51</v>
      </c>
      <c r="J100" s="107">
        <v>0.49</v>
      </c>
      <c r="K100" s="107"/>
      <c r="L100" s="107"/>
      <c r="M100" s="187"/>
      <c r="N100" s="169">
        <f t="shared" si="14"/>
        <v>1</v>
      </c>
      <c r="O100" s="144">
        <v>1</v>
      </c>
      <c r="P100" s="145">
        <v>15</v>
      </c>
      <c r="Q100" s="113">
        <v>15</v>
      </c>
      <c r="R100" s="113"/>
      <c r="S100" s="113"/>
      <c r="T100" s="146"/>
      <c r="U100" s="148">
        <f t="shared" si="17"/>
        <v>15</v>
      </c>
      <c r="V100" s="149">
        <f t="shared" si="18"/>
        <v>15</v>
      </c>
      <c r="W100" s="189"/>
      <c r="X100" s="199"/>
      <c r="Y100" s="151"/>
      <c r="Z100" s="190"/>
      <c r="AA100" s="153"/>
      <c r="AB100" s="154">
        <f t="shared" si="19"/>
        <v>0</v>
      </c>
      <c r="AC100" s="149">
        <f t="shared" si="20"/>
        <v>0</v>
      </c>
      <c r="AD100" s="125">
        <v>2</v>
      </c>
      <c r="AE100" s="148">
        <f t="shared" si="21"/>
        <v>2</v>
      </c>
      <c r="AF100" s="156"/>
      <c r="AG100" s="156"/>
      <c r="AH100" s="113">
        <f t="shared" si="22"/>
        <v>17</v>
      </c>
      <c r="AI100" s="157">
        <v>65</v>
      </c>
      <c r="AJ100" s="113">
        <f t="shared" si="23"/>
        <v>82</v>
      </c>
      <c r="AK100" s="113">
        <f t="shared" si="24"/>
        <v>82</v>
      </c>
      <c r="AL100" s="158">
        <f t="shared" si="25"/>
        <v>1.02</v>
      </c>
      <c r="AM100" s="159"/>
      <c r="AN100" s="160">
        <f t="shared" si="28"/>
        <v>1</v>
      </c>
      <c r="AO100" s="160">
        <f t="shared" si="28"/>
        <v>2</v>
      </c>
      <c r="AP100" s="133"/>
      <c r="AQ100" s="134"/>
      <c r="AR100" s="161"/>
      <c r="AS100" s="161"/>
      <c r="AT100" s="161"/>
      <c r="AU100" s="161"/>
      <c r="AV100" s="162"/>
      <c r="AW100" s="137">
        <f t="shared" si="26"/>
        <v>0</v>
      </c>
      <c r="AX100" s="137">
        <f t="shared" si="27"/>
        <v>0</v>
      </c>
    </row>
    <row r="101" ht="46.5" customHeight="1" spans="1:50" s="97" customFormat="1" x14ac:dyDescent="0.25">
      <c r="A101" s="100"/>
      <c r="B101" s="100"/>
      <c r="C101" s="100"/>
      <c r="D101" s="100"/>
      <c r="E101" s="100"/>
      <c r="F101" s="100"/>
      <c r="G101" s="103"/>
      <c r="H101" s="186"/>
      <c r="I101" s="195">
        <v>0.51</v>
      </c>
      <c r="J101" s="107">
        <v>0.49</v>
      </c>
      <c r="K101" s="107"/>
      <c r="L101" s="107"/>
      <c r="M101" s="187"/>
      <c r="N101" s="169">
        <f t="shared" si="14"/>
        <v>1</v>
      </c>
      <c r="O101" s="144">
        <v>1</v>
      </c>
      <c r="P101" s="145">
        <v>15</v>
      </c>
      <c r="Q101" s="113">
        <v>15</v>
      </c>
      <c r="R101" s="113"/>
      <c r="S101" s="113"/>
      <c r="T101" s="146"/>
      <c r="U101" s="148">
        <f t="shared" si="17"/>
        <v>15</v>
      </c>
      <c r="V101" s="149">
        <f t="shared" si="18"/>
        <v>15</v>
      </c>
      <c r="W101" s="189"/>
      <c r="X101" s="199"/>
      <c r="Y101" s="151"/>
      <c r="Z101" s="190"/>
      <c r="AA101" s="153"/>
      <c r="AB101" s="154">
        <f t="shared" si="19"/>
        <v>0</v>
      </c>
      <c r="AC101" s="149">
        <f t="shared" si="20"/>
        <v>0</v>
      </c>
      <c r="AD101" s="125">
        <v>2</v>
      </c>
      <c r="AE101" s="148">
        <f t="shared" si="21"/>
        <v>2</v>
      </c>
      <c r="AF101" s="156"/>
      <c r="AG101" s="156"/>
      <c r="AH101" s="113">
        <f t="shared" si="22"/>
        <v>17</v>
      </c>
      <c r="AI101" s="157">
        <v>65</v>
      </c>
      <c r="AJ101" s="113">
        <f t="shared" si="23"/>
        <v>82</v>
      </c>
      <c r="AK101" s="113">
        <f t="shared" si="24"/>
        <v>82</v>
      </c>
      <c r="AL101" s="158">
        <f t="shared" si="25"/>
        <v>1.02</v>
      </c>
      <c r="AM101" s="159"/>
      <c r="AN101" s="160">
        <f t="shared" si="28"/>
        <v>1</v>
      </c>
      <c r="AO101" s="160">
        <f t="shared" si="28"/>
        <v>2</v>
      </c>
      <c r="AP101" s="133"/>
      <c r="AQ101" s="134"/>
      <c r="AR101" s="161"/>
      <c r="AS101" s="161"/>
      <c r="AT101" s="161"/>
      <c r="AU101" s="161"/>
      <c r="AV101" s="162"/>
      <c r="AW101" s="137">
        <f t="shared" si="26"/>
        <v>0</v>
      </c>
      <c r="AX101" s="137">
        <f t="shared" si="27"/>
        <v>0</v>
      </c>
    </row>
    <row r="102" ht="46.5" customHeight="1" spans="1:50" s="97" customFormat="1" x14ac:dyDescent="0.25">
      <c r="A102" s="100"/>
      <c r="B102" s="100"/>
      <c r="C102" s="100"/>
      <c r="D102" s="100"/>
      <c r="E102" s="100"/>
      <c r="F102" s="100"/>
      <c r="G102" s="103"/>
      <c r="H102" s="186"/>
      <c r="I102" s="195">
        <v>0.51</v>
      </c>
      <c r="J102" s="107">
        <v>0.49</v>
      </c>
      <c r="K102" s="107"/>
      <c r="L102" s="107"/>
      <c r="M102" s="187"/>
      <c r="N102" s="169">
        <f t="shared" si="14"/>
        <v>1</v>
      </c>
      <c r="O102" s="144">
        <v>1</v>
      </c>
      <c r="P102" s="145">
        <v>15</v>
      </c>
      <c r="Q102" s="113">
        <v>15</v>
      </c>
      <c r="R102" s="113"/>
      <c r="S102" s="113"/>
      <c r="T102" s="146"/>
      <c r="U102" s="148">
        <f t="shared" si="17"/>
        <v>15</v>
      </c>
      <c r="V102" s="149">
        <f t="shared" si="18"/>
        <v>15</v>
      </c>
      <c r="W102" s="189"/>
      <c r="X102" s="199"/>
      <c r="Y102" s="151"/>
      <c r="Z102" s="190"/>
      <c r="AA102" s="153"/>
      <c r="AB102" s="154">
        <f t="shared" si="19"/>
        <v>0</v>
      </c>
      <c r="AC102" s="149">
        <f t="shared" si="20"/>
        <v>0</v>
      </c>
      <c r="AD102" s="125">
        <v>2</v>
      </c>
      <c r="AE102" s="148">
        <f t="shared" si="21"/>
        <v>2</v>
      </c>
      <c r="AF102" s="156"/>
      <c r="AG102" s="156"/>
      <c r="AH102" s="113">
        <f t="shared" si="22"/>
        <v>17</v>
      </c>
      <c r="AI102" s="157">
        <v>65</v>
      </c>
      <c r="AJ102" s="113">
        <f t="shared" si="23"/>
        <v>82</v>
      </c>
      <c r="AK102" s="113">
        <f t="shared" si="24"/>
        <v>82</v>
      </c>
      <c r="AL102" s="158">
        <f t="shared" si="25"/>
        <v>1.02</v>
      </c>
      <c r="AM102" s="159"/>
      <c r="AN102" s="160">
        <f t="shared" si="28"/>
        <v>1</v>
      </c>
      <c r="AO102" s="160">
        <f t="shared" si="28"/>
        <v>2</v>
      </c>
      <c r="AP102" s="133"/>
      <c r="AQ102" s="134"/>
      <c r="AR102" s="161"/>
      <c r="AS102" s="161"/>
      <c r="AT102" s="161"/>
      <c r="AU102" s="161"/>
      <c r="AV102" s="162"/>
      <c r="AW102" s="137">
        <f t="shared" si="26"/>
        <v>0</v>
      </c>
      <c r="AX102" s="137">
        <f t="shared" si="27"/>
        <v>0</v>
      </c>
    </row>
    <row r="103" ht="46.5" customHeight="1" spans="1:50" s="97" customFormat="1" x14ac:dyDescent="0.25">
      <c r="A103" s="100"/>
      <c r="B103" s="100"/>
      <c r="C103" s="100"/>
      <c r="D103" s="100"/>
      <c r="E103" s="100"/>
      <c r="F103" s="100"/>
      <c r="G103" s="103"/>
      <c r="H103" s="186"/>
      <c r="I103" s="195">
        <v>0.51</v>
      </c>
      <c r="J103" s="107">
        <v>0.49</v>
      </c>
      <c r="K103" s="107"/>
      <c r="L103" s="107"/>
      <c r="M103" s="187"/>
      <c r="N103" s="169">
        <f t="shared" si="14"/>
        <v>1</v>
      </c>
      <c r="O103" s="144">
        <v>1</v>
      </c>
      <c r="P103" s="145">
        <v>15</v>
      </c>
      <c r="Q103" s="113">
        <v>15</v>
      </c>
      <c r="R103" s="113"/>
      <c r="S103" s="113"/>
      <c r="T103" s="146"/>
      <c r="U103" s="148">
        <f t="shared" si="17"/>
        <v>15</v>
      </c>
      <c r="V103" s="149">
        <f t="shared" si="18"/>
        <v>15</v>
      </c>
      <c r="W103" s="189"/>
      <c r="X103" s="199"/>
      <c r="Y103" s="151"/>
      <c r="Z103" s="190"/>
      <c r="AA103" s="153"/>
      <c r="AB103" s="154">
        <f t="shared" si="19"/>
        <v>0</v>
      </c>
      <c r="AC103" s="149">
        <f t="shared" si="20"/>
        <v>0</v>
      </c>
      <c r="AD103" s="125">
        <v>2</v>
      </c>
      <c r="AE103" s="148">
        <f t="shared" si="21"/>
        <v>2</v>
      </c>
      <c r="AF103" s="156"/>
      <c r="AG103" s="156"/>
      <c r="AH103" s="113">
        <f t="shared" si="22"/>
        <v>17</v>
      </c>
      <c r="AI103" s="157">
        <v>65</v>
      </c>
      <c r="AJ103" s="113">
        <f t="shared" si="23"/>
        <v>82</v>
      </c>
      <c r="AK103" s="113">
        <f t="shared" si="24"/>
        <v>82</v>
      </c>
      <c r="AL103" s="158">
        <f t="shared" si="25"/>
        <v>1.02</v>
      </c>
      <c r="AM103" s="159"/>
      <c r="AN103" s="160">
        <f t="shared" si="28"/>
        <v>1</v>
      </c>
      <c r="AO103" s="160">
        <f t="shared" si="28"/>
        <v>2</v>
      </c>
      <c r="AP103" s="133"/>
      <c r="AQ103" s="134"/>
      <c r="AR103" s="161"/>
      <c r="AS103" s="161"/>
      <c r="AT103" s="161"/>
      <c r="AU103" s="161"/>
      <c r="AV103" s="162"/>
      <c r="AW103" s="137">
        <f t="shared" si="26"/>
        <v>0</v>
      </c>
      <c r="AX103" s="137">
        <f t="shared" si="27"/>
        <v>0</v>
      </c>
    </row>
    <row r="104" ht="47.25" customHeight="1" spans="1:50" s="56" customFormat="1" x14ac:dyDescent="0.25">
      <c r="A104" s="100"/>
      <c r="B104" s="100"/>
      <c r="C104" s="100"/>
      <c r="D104" s="100"/>
      <c r="E104" s="100"/>
      <c r="F104" s="100"/>
      <c r="G104" s="103"/>
      <c r="H104" s="186"/>
      <c r="I104" s="195">
        <v>0.51</v>
      </c>
      <c r="J104" s="107">
        <v>0.49</v>
      </c>
      <c r="K104" s="107"/>
      <c r="L104" s="107"/>
      <c r="M104" s="187"/>
      <c r="N104" s="169">
        <f t="shared" ref="N104:N133" si="29">SUM(I104:M104)</f>
        <v>1</v>
      </c>
      <c r="O104" s="144">
        <v>1</v>
      </c>
      <c r="P104" s="145">
        <v>15</v>
      </c>
      <c r="Q104" s="113">
        <v>15</v>
      </c>
      <c r="R104" s="113"/>
      <c r="S104" s="113"/>
      <c r="T104" s="146"/>
      <c r="U104" s="148">
        <f t="shared" si="17"/>
        <v>15</v>
      </c>
      <c r="V104" s="149">
        <f t="shared" si="18"/>
        <v>15</v>
      </c>
      <c r="W104" s="189"/>
      <c r="X104" s="199"/>
      <c r="Y104" s="151"/>
      <c r="Z104" s="190"/>
      <c r="AA104" s="153"/>
      <c r="AB104" s="154">
        <f t="shared" si="19"/>
        <v>0</v>
      </c>
      <c r="AC104" s="149">
        <f t="shared" si="20"/>
        <v>0</v>
      </c>
      <c r="AD104" s="125">
        <v>2</v>
      </c>
      <c r="AE104" s="148">
        <f t="shared" si="21"/>
        <v>2</v>
      </c>
      <c r="AF104" s="156"/>
      <c r="AG104" s="156"/>
      <c r="AH104" s="113">
        <f t="shared" si="22"/>
        <v>17</v>
      </c>
      <c r="AI104" s="157">
        <v>65</v>
      </c>
      <c r="AJ104" s="113">
        <f t="shared" si="23"/>
        <v>82</v>
      </c>
      <c r="AK104" s="113">
        <f t="shared" si="24"/>
        <v>82</v>
      </c>
      <c r="AL104" s="158">
        <f t="shared" si="25"/>
        <v>1.02</v>
      </c>
      <c r="AM104" s="159"/>
      <c r="AN104" s="160">
        <f t="shared" si="28"/>
        <v>1</v>
      </c>
      <c r="AO104" s="160">
        <f t="shared" si="28"/>
        <v>2</v>
      </c>
      <c r="AP104" s="133"/>
      <c r="AQ104" s="134"/>
      <c r="AR104" s="161"/>
      <c r="AS104" s="161"/>
      <c r="AT104" s="161"/>
      <c r="AU104" s="161"/>
      <c r="AV104" s="162"/>
      <c r="AW104" s="137">
        <f t="shared" si="26"/>
        <v>0</v>
      </c>
      <c r="AX104" s="137">
        <f t="shared" si="27"/>
        <v>0</v>
      </c>
    </row>
    <row r="105" ht="57" customHeight="1" spans="1:50" s="97" customFormat="1" x14ac:dyDescent="0.25">
      <c r="A105" s="100"/>
      <c r="B105" s="100"/>
      <c r="C105" s="100"/>
      <c r="D105" s="100"/>
      <c r="E105" s="100"/>
      <c r="F105" s="100"/>
      <c r="G105" s="103"/>
      <c r="H105" s="186"/>
      <c r="I105" s="195">
        <v>0.51</v>
      </c>
      <c r="J105" s="107">
        <v>0.49</v>
      </c>
      <c r="K105" s="107"/>
      <c r="L105" s="107"/>
      <c r="M105" s="187"/>
      <c r="N105" s="169">
        <f t="shared" si="29"/>
        <v>1</v>
      </c>
      <c r="O105" s="144">
        <v>1</v>
      </c>
      <c r="P105" s="145">
        <v>15</v>
      </c>
      <c r="Q105" s="113">
        <v>15</v>
      </c>
      <c r="R105" s="113"/>
      <c r="S105" s="113"/>
      <c r="T105" s="146"/>
      <c r="U105" s="148">
        <f t="shared" si="17"/>
        <v>15</v>
      </c>
      <c r="V105" s="149">
        <f t="shared" si="18"/>
        <v>15</v>
      </c>
      <c r="W105" s="189"/>
      <c r="X105" s="199"/>
      <c r="Y105" s="151"/>
      <c r="Z105" s="190"/>
      <c r="AA105" s="153"/>
      <c r="AB105" s="154">
        <f t="shared" si="19"/>
        <v>0</v>
      </c>
      <c r="AC105" s="149">
        <f t="shared" si="20"/>
        <v>0</v>
      </c>
      <c r="AD105" s="125">
        <v>2</v>
      </c>
      <c r="AE105" s="148">
        <f t="shared" si="21"/>
        <v>2</v>
      </c>
      <c r="AF105" s="156"/>
      <c r="AG105" s="156"/>
      <c r="AH105" s="113">
        <f t="shared" si="22"/>
        <v>17</v>
      </c>
      <c r="AI105" s="157">
        <v>65</v>
      </c>
      <c r="AJ105" s="113">
        <f t="shared" si="23"/>
        <v>82</v>
      </c>
      <c r="AK105" s="113">
        <f t="shared" si="24"/>
        <v>82</v>
      </c>
      <c r="AL105" s="158">
        <f t="shared" si="25"/>
        <v>1.02</v>
      </c>
      <c r="AM105" s="159"/>
      <c r="AN105" s="160">
        <f t="shared" si="28"/>
        <v>1</v>
      </c>
      <c r="AO105" s="160">
        <f t="shared" si="28"/>
        <v>2</v>
      </c>
      <c r="AP105" s="133"/>
      <c r="AQ105" s="134"/>
      <c r="AR105" s="161"/>
      <c r="AS105" s="161"/>
      <c r="AT105" s="161"/>
      <c r="AU105" s="161"/>
      <c r="AV105" s="162"/>
      <c r="AW105" s="137">
        <f t="shared" si="26"/>
        <v>0</v>
      </c>
      <c r="AX105" s="137">
        <f t="shared" si="27"/>
        <v>0</v>
      </c>
    </row>
    <row r="106" ht="46.5" customHeight="1" spans="1:50" s="97" customFormat="1" x14ac:dyDescent="0.25">
      <c r="A106" s="100"/>
      <c r="B106" s="100"/>
      <c r="C106" s="100"/>
      <c r="D106" s="100"/>
      <c r="E106" s="100"/>
      <c r="F106" s="100"/>
      <c r="G106" s="103"/>
      <c r="H106" s="186"/>
      <c r="I106" s="195">
        <v>0.51</v>
      </c>
      <c r="J106" s="107">
        <v>0.49</v>
      </c>
      <c r="K106" s="107"/>
      <c r="L106" s="107"/>
      <c r="M106" s="187"/>
      <c r="N106" s="169">
        <f t="shared" si="29"/>
        <v>1</v>
      </c>
      <c r="O106" s="144">
        <v>1</v>
      </c>
      <c r="P106" s="145">
        <v>15</v>
      </c>
      <c r="Q106" s="113">
        <v>15</v>
      </c>
      <c r="R106" s="113"/>
      <c r="S106" s="113"/>
      <c r="T106" s="146"/>
      <c r="U106" s="148">
        <f t="shared" si="17"/>
        <v>15</v>
      </c>
      <c r="V106" s="149">
        <f t="shared" si="18"/>
        <v>15</v>
      </c>
      <c r="W106" s="189"/>
      <c r="X106" s="199"/>
      <c r="Y106" s="151"/>
      <c r="Z106" s="190"/>
      <c r="AA106" s="153"/>
      <c r="AB106" s="154">
        <f t="shared" si="19"/>
        <v>0</v>
      </c>
      <c r="AC106" s="149">
        <f t="shared" si="20"/>
        <v>0</v>
      </c>
      <c r="AD106" s="125">
        <v>2</v>
      </c>
      <c r="AE106" s="148">
        <f t="shared" si="21"/>
        <v>2</v>
      </c>
      <c r="AF106" s="156"/>
      <c r="AG106" s="156"/>
      <c r="AH106" s="113">
        <f t="shared" si="22"/>
        <v>17</v>
      </c>
      <c r="AI106" s="157">
        <v>65</v>
      </c>
      <c r="AJ106" s="113">
        <f t="shared" si="23"/>
        <v>82</v>
      </c>
      <c r="AK106" s="113">
        <f t="shared" si="24"/>
        <v>82</v>
      </c>
      <c r="AL106" s="158">
        <f t="shared" si="25"/>
        <v>1.02</v>
      </c>
      <c r="AM106" s="159"/>
      <c r="AN106" s="160">
        <f t="shared" si="28"/>
        <v>1</v>
      </c>
      <c r="AO106" s="160">
        <f t="shared" si="28"/>
        <v>2</v>
      </c>
      <c r="AP106" s="133"/>
      <c r="AQ106" s="134"/>
      <c r="AR106" s="161"/>
      <c r="AS106" s="161"/>
      <c r="AT106" s="161"/>
      <c r="AU106" s="161"/>
      <c r="AV106" s="162"/>
      <c r="AW106" s="137">
        <f t="shared" si="26"/>
        <v>0</v>
      </c>
      <c r="AX106" s="137">
        <f t="shared" si="27"/>
        <v>0</v>
      </c>
    </row>
    <row r="107" ht="47.25" customHeight="1" spans="1:50" s="56" customFormat="1" x14ac:dyDescent="0.25">
      <c r="A107" s="100"/>
      <c r="B107" s="100"/>
      <c r="C107" s="100"/>
      <c r="D107" s="100"/>
      <c r="E107" s="100"/>
      <c r="F107" s="100"/>
      <c r="G107" s="103"/>
      <c r="H107" s="186"/>
      <c r="I107" s="195">
        <v>0.51</v>
      </c>
      <c r="J107" s="107">
        <v>0.49</v>
      </c>
      <c r="K107" s="107"/>
      <c r="L107" s="107"/>
      <c r="M107" s="187"/>
      <c r="N107" s="169">
        <f t="shared" si="29"/>
        <v>1</v>
      </c>
      <c r="O107" s="144">
        <v>1</v>
      </c>
      <c r="P107" s="145">
        <v>15</v>
      </c>
      <c r="Q107" s="113">
        <v>15</v>
      </c>
      <c r="R107" s="113"/>
      <c r="S107" s="113"/>
      <c r="T107" s="146"/>
      <c r="U107" s="148">
        <f t="shared" si="17"/>
        <v>15</v>
      </c>
      <c r="V107" s="149">
        <f t="shared" si="18"/>
        <v>15</v>
      </c>
      <c r="W107" s="189"/>
      <c r="X107" s="199"/>
      <c r="Y107" s="151"/>
      <c r="Z107" s="190"/>
      <c r="AA107" s="153"/>
      <c r="AB107" s="154">
        <f t="shared" si="19"/>
        <v>0</v>
      </c>
      <c r="AC107" s="149">
        <f t="shared" si="20"/>
        <v>0</v>
      </c>
      <c r="AD107" s="125">
        <v>2</v>
      </c>
      <c r="AE107" s="148">
        <f t="shared" si="21"/>
        <v>2</v>
      </c>
      <c r="AF107" s="156"/>
      <c r="AG107" s="156"/>
      <c r="AH107" s="113">
        <f t="shared" si="22"/>
        <v>17</v>
      </c>
      <c r="AI107" s="157">
        <v>65</v>
      </c>
      <c r="AJ107" s="113">
        <f t="shared" si="23"/>
        <v>82</v>
      </c>
      <c r="AK107" s="113">
        <f t="shared" si="24"/>
        <v>82</v>
      </c>
      <c r="AL107" s="158">
        <f t="shared" si="25"/>
        <v>1.02</v>
      </c>
      <c r="AM107" s="159"/>
      <c r="AN107" s="160">
        <f t="shared" si="28"/>
        <v>1</v>
      </c>
      <c r="AO107" s="160">
        <f t="shared" si="28"/>
        <v>2</v>
      </c>
      <c r="AP107" s="133"/>
      <c r="AQ107" s="134"/>
      <c r="AR107" s="161"/>
      <c r="AS107" s="161"/>
      <c r="AT107" s="161"/>
      <c r="AU107" s="161"/>
      <c r="AV107" s="162"/>
      <c r="AW107" s="137">
        <f t="shared" si="26"/>
        <v>0</v>
      </c>
      <c r="AX107" s="137">
        <f t="shared" si="27"/>
        <v>0</v>
      </c>
    </row>
    <row r="108" ht="46.5" customHeight="1" spans="1:50" s="97" customFormat="1" x14ac:dyDescent="0.25">
      <c r="A108" s="100"/>
      <c r="B108" s="100"/>
      <c r="C108" s="100"/>
      <c r="D108" s="100"/>
      <c r="E108" s="100"/>
      <c r="F108" s="100"/>
      <c r="G108" s="103"/>
      <c r="H108" s="186"/>
      <c r="I108" s="195">
        <v>0.51</v>
      </c>
      <c r="J108" s="107">
        <v>0.49</v>
      </c>
      <c r="K108" s="107"/>
      <c r="L108" s="107"/>
      <c r="M108" s="187"/>
      <c r="N108" s="169">
        <f t="shared" si="29"/>
        <v>1</v>
      </c>
      <c r="O108" s="144">
        <v>1</v>
      </c>
      <c r="P108" s="145">
        <v>15</v>
      </c>
      <c r="Q108" s="113">
        <v>15</v>
      </c>
      <c r="R108" s="113"/>
      <c r="S108" s="113"/>
      <c r="T108" s="146"/>
      <c r="U108" s="148">
        <f t="shared" si="17"/>
        <v>15</v>
      </c>
      <c r="V108" s="149">
        <f t="shared" si="18"/>
        <v>15</v>
      </c>
      <c r="W108" s="189"/>
      <c r="X108" s="199"/>
      <c r="Y108" s="151"/>
      <c r="Z108" s="190"/>
      <c r="AA108" s="153"/>
      <c r="AB108" s="154">
        <f t="shared" si="19"/>
        <v>0</v>
      </c>
      <c r="AC108" s="149">
        <f t="shared" si="20"/>
        <v>0</v>
      </c>
      <c r="AD108" s="125">
        <v>2</v>
      </c>
      <c r="AE108" s="148">
        <f t="shared" si="21"/>
        <v>2</v>
      </c>
      <c r="AF108" s="156"/>
      <c r="AG108" s="156"/>
      <c r="AH108" s="113">
        <f t="shared" si="22"/>
        <v>17</v>
      </c>
      <c r="AI108" s="157">
        <v>65</v>
      </c>
      <c r="AJ108" s="113">
        <f t="shared" si="23"/>
        <v>82</v>
      </c>
      <c r="AK108" s="113">
        <f t="shared" si="24"/>
        <v>82</v>
      </c>
      <c r="AL108" s="158">
        <f t="shared" si="25"/>
        <v>1.02</v>
      </c>
      <c r="AM108" s="159"/>
      <c r="AN108" s="160">
        <f t="shared" ref="AN108:AO127" si="30">100%+AM108</f>
        <v>1</v>
      </c>
      <c r="AO108" s="160">
        <f t="shared" si="30"/>
        <v>2</v>
      </c>
      <c r="AP108" s="133"/>
      <c r="AQ108" s="134"/>
      <c r="AR108" s="161"/>
      <c r="AS108" s="161"/>
      <c r="AT108" s="161"/>
      <c r="AU108" s="161"/>
      <c r="AV108" s="162"/>
      <c r="AW108" s="137">
        <f t="shared" si="26"/>
        <v>0</v>
      </c>
      <c r="AX108" s="137">
        <f t="shared" si="27"/>
        <v>0</v>
      </c>
    </row>
    <row r="109" ht="46.5" customHeight="1" spans="1:50" s="97" customFormat="1" x14ac:dyDescent="0.25">
      <c r="A109" s="100"/>
      <c r="B109" s="100"/>
      <c r="C109" s="100"/>
      <c r="D109" s="100"/>
      <c r="E109" s="100"/>
      <c r="F109" s="100"/>
      <c r="G109" s="103"/>
      <c r="H109" s="186"/>
      <c r="I109" s="195">
        <v>0.51</v>
      </c>
      <c r="J109" s="107">
        <v>0.49</v>
      </c>
      <c r="K109" s="107"/>
      <c r="L109" s="107"/>
      <c r="M109" s="187"/>
      <c r="N109" s="169">
        <f t="shared" si="29"/>
        <v>1</v>
      </c>
      <c r="O109" s="144">
        <v>1</v>
      </c>
      <c r="P109" s="145">
        <v>15</v>
      </c>
      <c r="Q109" s="113">
        <v>15</v>
      </c>
      <c r="R109" s="113"/>
      <c r="S109" s="113"/>
      <c r="T109" s="146"/>
      <c r="U109" s="148">
        <f t="shared" si="17"/>
        <v>15</v>
      </c>
      <c r="V109" s="149">
        <f t="shared" si="18"/>
        <v>15</v>
      </c>
      <c r="W109" s="189"/>
      <c r="X109" s="199"/>
      <c r="Y109" s="151"/>
      <c r="Z109" s="190"/>
      <c r="AA109" s="153"/>
      <c r="AB109" s="154">
        <f t="shared" si="19"/>
        <v>0</v>
      </c>
      <c r="AC109" s="149">
        <f t="shared" si="20"/>
        <v>0</v>
      </c>
      <c r="AD109" s="125">
        <v>2</v>
      </c>
      <c r="AE109" s="148">
        <f t="shared" si="21"/>
        <v>2</v>
      </c>
      <c r="AF109" s="156"/>
      <c r="AG109" s="156"/>
      <c r="AH109" s="113">
        <f t="shared" si="22"/>
        <v>17</v>
      </c>
      <c r="AI109" s="157">
        <v>65</v>
      </c>
      <c r="AJ109" s="113">
        <f t="shared" si="23"/>
        <v>82</v>
      </c>
      <c r="AK109" s="113">
        <f t="shared" si="24"/>
        <v>82</v>
      </c>
      <c r="AL109" s="158">
        <f t="shared" si="25"/>
        <v>1.02</v>
      </c>
      <c r="AM109" s="159"/>
      <c r="AN109" s="160">
        <f t="shared" si="30"/>
        <v>1</v>
      </c>
      <c r="AO109" s="160">
        <f t="shared" si="30"/>
        <v>2</v>
      </c>
      <c r="AP109" s="133"/>
      <c r="AQ109" s="134"/>
      <c r="AR109" s="161"/>
      <c r="AS109" s="161"/>
      <c r="AT109" s="161"/>
      <c r="AU109" s="161"/>
      <c r="AV109" s="162"/>
      <c r="AW109" s="137">
        <f t="shared" si="26"/>
        <v>0</v>
      </c>
      <c r="AX109" s="137">
        <f t="shared" si="27"/>
        <v>0</v>
      </c>
    </row>
    <row r="110" ht="46.5" customHeight="1" spans="1:50" s="97" customFormat="1" x14ac:dyDescent="0.25">
      <c r="A110" s="100"/>
      <c r="B110" s="100"/>
      <c r="C110" s="100"/>
      <c r="D110" s="100"/>
      <c r="E110" s="100"/>
      <c r="F110" s="100"/>
      <c r="G110" s="103"/>
      <c r="H110" s="186"/>
      <c r="I110" s="195">
        <v>0.51</v>
      </c>
      <c r="J110" s="107">
        <v>0.49</v>
      </c>
      <c r="K110" s="107"/>
      <c r="L110" s="107"/>
      <c r="M110" s="187"/>
      <c r="N110" s="169">
        <f t="shared" si="29"/>
        <v>1</v>
      </c>
      <c r="O110" s="144">
        <v>1</v>
      </c>
      <c r="P110" s="145">
        <v>15</v>
      </c>
      <c r="Q110" s="113">
        <v>15</v>
      </c>
      <c r="R110" s="113"/>
      <c r="S110" s="113"/>
      <c r="T110" s="146"/>
      <c r="U110" s="148">
        <f t="shared" si="17"/>
        <v>15</v>
      </c>
      <c r="V110" s="149">
        <f t="shared" si="18"/>
        <v>15</v>
      </c>
      <c r="W110" s="189"/>
      <c r="X110" s="199"/>
      <c r="Y110" s="151"/>
      <c r="Z110" s="190"/>
      <c r="AA110" s="153"/>
      <c r="AB110" s="154">
        <f t="shared" si="19"/>
        <v>0</v>
      </c>
      <c r="AC110" s="149">
        <f t="shared" si="20"/>
        <v>0</v>
      </c>
      <c r="AD110" s="125">
        <v>2</v>
      </c>
      <c r="AE110" s="148">
        <f t="shared" si="21"/>
        <v>2</v>
      </c>
      <c r="AF110" s="156"/>
      <c r="AG110" s="156"/>
      <c r="AH110" s="113">
        <f t="shared" si="22"/>
        <v>17</v>
      </c>
      <c r="AI110" s="157">
        <v>65</v>
      </c>
      <c r="AJ110" s="113">
        <f t="shared" si="23"/>
        <v>82</v>
      </c>
      <c r="AK110" s="113">
        <f t="shared" si="24"/>
        <v>82</v>
      </c>
      <c r="AL110" s="158">
        <f t="shared" si="25"/>
        <v>1.02</v>
      </c>
      <c r="AM110" s="159"/>
      <c r="AN110" s="160">
        <f t="shared" si="30"/>
        <v>1</v>
      </c>
      <c r="AO110" s="160">
        <f t="shared" si="30"/>
        <v>2</v>
      </c>
      <c r="AP110" s="133"/>
      <c r="AQ110" s="134"/>
      <c r="AR110" s="161"/>
      <c r="AS110" s="161"/>
      <c r="AT110" s="161"/>
      <c r="AU110" s="161"/>
      <c r="AV110" s="162"/>
      <c r="AW110" s="137">
        <f t="shared" si="26"/>
        <v>0</v>
      </c>
      <c r="AX110" s="137">
        <f t="shared" si="27"/>
        <v>0</v>
      </c>
    </row>
    <row r="111" ht="53.25" customHeight="1" spans="1:50" s="97" customFormat="1" x14ac:dyDescent="0.25">
      <c r="A111" s="100"/>
      <c r="B111" s="100"/>
      <c r="C111" s="100"/>
      <c r="D111" s="100"/>
      <c r="E111" s="100"/>
      <c r="F111" s="100"/>
      <c r="G111" s="103"/>
      <c r="H111" s="186"/>
      <c r="I111" s="195">
        <v>0.51</v>
      </c>
      <c r="J111" s="107">
        <v>0.49</v>
      </c>
      <c r="K111" s="107"/>
      <c r="L111" s="107"/>
      <c r="M111" s="187"/>
      <c r="N111" s="169">
        <f t="shared" si="29"/>
        <v>1</v>
      </c>
      <c r="O111" s="144">
        <v>1</v>
      </c>
      <c r="P111" s="145">
        <v>15</v>
      </c>
      <c r="Q111" s="113">
        <v>15</v>
      </c>
      <c r="R111" s="113"/>
      <c r="S111" s="113"/>
      <c r="T111" s="146"/>
      <c r="U111" s="148">
        <f t="shared" si="17"/>
        <v>15</v>
      </c>
      <c r="V111" s="149">
        <f t="shared" si="18"/>
        <v>15</v>
      </c>
      <c r="W111" s="189"/>
      <c r="X111" s="199"/>
      <c r="Y111" s="151"/>
      <c r="Z111" s="190"/>
      <c r="AA111" s="153"/>
      <c r="AB111" s="154">
        <f t="shared" si="19"/>
        <v>0</v>
      </c>
      <c r="AC111" s="149">
        <f t="shared" si="20"/>
        <v>0</v>
      </c>
      <c r="AD111" s="125">
        <v>2</v>
      </c>
      <c r="AE111" s="148">
        <f t="shared" si="21"/>
        <v>2</v>
      </c>
      <c r="AF111" s="156"/>
      <c r="AG111" s="156"/>
      <c r="AH111" s="113">
        <f t="shared" si="22"/>
        <v>17</v>
      </c>
      <c r="AI111" s="157">
        <v>65</v>
      </c>
      <c r="AJ111" s="113">
        <f t="shared" si="23"/>
        <v>82</v>
      </c>
      <c r="AK111" s="113">
        <f t="shared" si="24"/>
        <v>82</v>
      </c>
      <c r="AL111" s="158">
        <f t="shared" si="25"/>
        <v>1.02</v>
      </c>
      <c r="AM111" s="159"/>
      <c r="AN111" s="160">
        <f t="shared" si="30"/>
        <v>1</v>
      </c>
      <c r="AO111" s="160">
        <f t="shared" si="30"/>
        <v>2</v>
      </c>
      <c r="AP111" s="133"/>
      <c r="AQ111" s="134"/>
      <c r="AR111" s="161"/>
      <c r="AS111" s="161"/>
      <c r="AT111" s="161"/>
      <c r="AU111" s="161"/>
      <c r="AV111" s="162"/>
      <c r="AW111" s="137">
        <f t="shared" si="26"/>
        <v>0</v>
      </c>
      <c r="AX111" s="137">
        <f t="shared" si="27"/>
        <v>0</v>
      </c>
    </row>
    <row r="112" ht="46.5" customHeight="1" spans="1:50" s="97" customFormat="1" x14ac:dyDescent="0.25">
      <c r="A112" s="100"/>
      <c r="B112" s="100"/>
      <c r="C112" s="100"/>
      <c r="D112" s="100"/>
      <c r="E112" s="100"/>
      <c r="F112" s="100"/>
      <c r="G112" s="103"/>
      <c r="H112" s="186"/>
      <c r="I112" s="195">
        <v>0.51</v>
      </c>
      <c r="J112" s="107">
        <v>0.49</v>
      </c>
      <c r="K112" s="107"/>
      <c r="L112" s="107"/>
      <c r="M112" s="187"/>
      <c r="N112" s="169">
        <f t="shared" si="29"/>
        <v>1</v>
      </c>
      <c r="O112" s="144">
        <v>1</v>
      </c>
      <c r="P112" s="145">
        <v>15</v>
      </c>
      <c r="Q112" s="113">
        <v>15</v>
      </c>
      <c r="R112" s="113"/>
      <c r="S112" s="113"/>
      <c r="T112" s="146"/>
      <c r="U112" s="148">
        <f t="shared" si="17"/>
        <v>15</v>
      </c>
      <c r="V112" s="149">
        <f t="shared" si="18"/>
        <v>15</v>
      </c>
      <c r="W112" s="189"/>
      <c r="X112" s="199"/>
      <c r="Y112" s="151"/>
      <c r="Z112" s="190"/>
      <c r="AA112" s="153"/>
      <c r="AB112" s="154">
        <f t="shared" si="19"/>
        <v>0</v>
      </c>
      <c r="AC112" s="149">
        <f t="shared" si="20"/>
        <v>0</v>
      </c>
      <c r="AD112" s="125">
        <v>2</v>
      </c>
      <c r="AE112" s="148">
        <f t="shared" si="21"/>
        <v>2</v>
      </c>
      <c r="AF112" s="156"/>
      <c r="AG112" s="156"/>
      <c r="AH112" s="113">
        <f t="shared" si="22"/>
        <v>17</v>
      </c>
      <c r="AI112" s="157">
        <v>65</v>
      </c>
      <c r="AJ112" s="113">
        <f t="shared" si="23"/>
        <v>82</v>
      </c>
      <c r="AK112" s="113">
        <f t="shared" si="24"/>
        <v>82</v>
      </c>
      <c r="AL112" s="158">
        <f t="shared" si="25"/>
        <v>1.02</v>
      </c>
      <c r="AM112" s="159"/>
      <c r="AN112" s="160">
        <f t="shared" si="30"/>
        <v>1</v>
      </c>
      <c r="AO112" s="160">
        <f t="shared" si="30"/>
        <v>2</v>
      </c>
      <c r="AP112" s="133"/>
      <c r="AQ112" s="134"/>
      <c r="AR112" s="161"/>
      <c r="AS112" s="161"/>
      <c r="AT112" s="161"/>
      <c r="AU112" s="161"/>
      <c r="AV112" s="162"/>
      <c r="AW112" s="137">
        <f t="shared" si="26"/>
        <v>0</v>
      </c>
      <c r="AX112" s="137">
        <f t="shared" si="27"/>
        <v>0</v>
      </c>
    </row>
    <row r="113" ht="46.5" customHeight="1" spans="1:50" s="97" customFormat="1" x14ac:dyDescent="0.25">
      <c r="A113" s="100"/>
      <c r="B113" s="100"/>
      <c r="C113" s="100"/>
      <c r="D113" s="100"/>
      <c r="E113" s="100"/>
      <c r="F113" s="100"/>
      <c r="G113" s="103"/>
      <c r="H113" s="186"/>
      <c r="I113" s="195">
        <v>0.51</v>
      </c>
      <c r="J113" s="107">
        <v>0.49</v>
      </c>
      <c r="K113" s="107"/>
      <c r="L113" s="107"/>
      <c r="M113" s="187"/>
      <c r="N113" s="169">
        <f t="shared" si="29"/>
        <v>1</v>
      </c>
      <c r="O113" s="144">
        <v>1</v>
      </c>
      <c r="P113" s="145">
        <v>15</v>
      </c>
      <c r="Q113" s="113">
        <v>15</v>
      </c>
      <c r="R113" s="113"/>
      <c r="S113" s="113"/>
      <c r="T113" s="146"/>
      <c r="U113" s="148">
        <f t="shared" si="17"/>
        <v>15</v>
      </c>
      <c r="V113" s="149">
        <f t="shared" si="18"/>
        <v>15</v>
      </c>
      <c r="W113" s="189"/>
      <c r="X113" s="199"/>
      <c r="Y113" s="151"/>
      <c r="Z113" s="190"/>
      <c r="AA113" s="153"/>
      <c r="AB113" s="154">
        <f t="shared" si="19"/>
        <v>0</v>
      </c>
      <c r="AC113" s="149">
        <f t="shared" si="20"/>
        <v>0</v>
      </c>
      <c r="AD113" s="125">
        <v>2</v>
      </c>
      <c r="AE113" s="148">
        <f t="shared" si="21"/>
        <v>2</v>
      </c>
      <c r="AF113" s="156"/>
      <c r="AG113" s="156"/>
      <c r="AH113" s="113">
        <f t="shared" si="22"/>
        <v>17</v>
      </c>
      <c r="AI113" s="157">
        <v>65</v>
      </c>
      <c r="AJ113" s="113">
        <f t="shared" si="23"/>
        <v>82</v>
      </c>
      <c r="AK113" s="113">
        <f t="shared" si="24"/>
        <v>82</v>
      </c>
      <c r="AL113" s="158">
        <f t="shared" si="25"/>
        <v>1.02</v>
      </c>
      <c r="AM113" s="159"/>
      <c r="AN113" s="160">
        <f t="shared" si="30"/>
        <v>1</v>
      </c>
      <c r="AO113" s="160">
        <f t="shared" si="30"/>
        <v>2</v>
      </c>
      <c r="AP113" s="133"/>
      <c r="AQ113" s="134"/>
      <c r="AR113" s="161"/>
      <c r="AS113" s="161"/>
      <c r="AT113" s="161"/>
      <c r="AU113" s="161"/>
      <c r="AV113" s="162"/>
      <c r="AW113" s="137">
        <f t="shared" si="26"/>
        <v>0</v>
      </c>
      <c r="AX113" s="137">
        <f t="shared" si="27"/>
        <v>0</v>
      </c>
    </row>
    <row r="114" ht="46.5" customHeight="1" spans="1:50" s="97" customFormat="1" x14ac:dyDescent="0.25">
      <c r="A114" s="100"/>
      <c r="B114" s="100"/>
      <c r="C114" s="100"/>
      <c r="D114" s="100"/>
      <c r="E114" s="100"/>
      <c r="F114" s="100"/>
      <c r="G114" s="103"/>
      <c r="H114" s="186"/>
      <c r="I114" s="195">
        <v>0.51</v>
      </c>
      <c r="J114" s="107">
        <v>0.49</v>
      </c>
      <c r="K114" s="107"/>
      <c r="L114" s="107"/>
      <c r="M114" s="187"/>
      <c r="N114" s="169">
        <f t="shared" si="29"/>
        <v>1</v>
      </c>
      <c r="O114" s="144">
        <v>1</v>
      </c>
      <c r="P114" s="145">
        <v>15</v>
      </c>
      <c r="Q114" s="113">
        <v>15</v>
      </c>
      <c r="R114" s="113"/>
      <c r="S114" s="113"/>
      <c r="T114" s="146"/>
      <c r="U114" s="148">
        <f t="shared" si="17"/>
        <v>15</v>
      </c>
      <c r="V114" s="149">
        <f t="shared" si="18"/>
        <v>15</v>
      </c>
      <c r="W114" s="189"/>
      <c r="X114" s="199"/>
      <c r="Y114" s="151"/>
      <c r="Z114" s="190"/>
      <c r="AA114" s="153"/>
      <c r="AB114" s="154">
        <f t="shared" si="19"/>
        <v>0</v>
      </c>
      <c r="AC114" s="149">
        <f t="shared" si="20"/>
        <v>0</v>
      </c>
      <c r="AD114" s="125">
        <v>2</v>
      </c>
      <c r="AE114" s="148">
        <f t="shared" si="21"/>
        <v>2</v>
      </c>
      <c r="AF114" s="156"/>
      <c r="AG114" s="156"/>
      <c r="AH114" s="113">
        <f t="shared" si="22"/>
        <v>17</v>
      </c>
      <c r="AI114" s="157">
        <v>65</v>
      </c>
      <c r="AJ114" s="113">
        <f t="shared" si="23"/>
        <v>82</v>
      </c>
      <c r="AK114" s="113">
        <f t="shared" si="24"/>
        <v>82</v>
      </c>
      <c r="AL114" s="158">
        <f t="shared" si="25"/>
        <v>1.02</v>
      </c>
      <c r="AM114" s="159"/>
      <c r="AN114" s="160">
        <f t="shared" si="30"/>
        <v>1</v>
      </c>
      <c r="AO114" s="160">
        <f t="shared" si="30"/>
        <v>2</v>
      </c>
      <c r="AP114" s="133"/>
      <c r="AQ114" s="134"/>
      <c r="AR114" s="161"/>
      <c r="AS114" s="161"/>
      <c r="AT114" s="161"/>
      <c r="AU114" s="161"/>
      <c r="AV114" s="162"/>
      <c r="AW114" s="137">
        <f t="shared" si="26"/>
        <v>0</v>
      </c>
      <c r="AX114" s="137">
        <f t="shared" si="27"/>
        <v>0</v>
      </c>
    </row>
    <row r="115" ht="47.25" customHeight="1" spans="1:50" s="56" customFormat="1" x14ac:dyDescent="0.25">
      <c r="A115" s="100"/>
      <c r="B115" s="100"/>
      <c r="C115" s="100"/>
      <c r="D115" s="100"/>
      <c r="E115" s="100"/>
      <c r="F115" s="100"/>
      <c r="G115" s="103"/>
      <c r="H115" s="186"/>
      <c r="I115" s="195">
        <v>0.51</v>
      </c>
      <c r="J115" s="107">
        <v>0.49</v>
      </c>
      <c r="K115" s="107"/>
      <c r="L115" s="107"/>
      <c r="M115" s="187"/>
      <c r="N115" s="169">
        <f t="shared" si="29"/>
        <v>1</v>
      </c>
      <c r="O115" s="144">
        <v>1</v>
      </c>
      <c r="P115" s="145">
        <v>15</v>
      </c>
      <c r="Q115" s="113">
        <v>15</v>
      </c>
      <c r="R115" s="113"/>
      <c r="S115" s="113"/>
      <c r="T115" s="146"/>
      <c r="U115" s="148">
        <f t="shared" si="17"/>
        <v>15</v>
      </c>
      <c r="V115" s="149">
        <f t="shared" si="18"/>
        <v>15</v>
      </c>
      <c r="W115" s="189"/>
      <c r="X115" s="199"/>
      <c r="Y115" s="151"/>
      <c r="Z115" s="190"/>
      <c r="AA115" s="153"/>
      <c r="AB115" s="154">
        <f t="shared" si="19"/>
        <v>0</v>
      </c>
      <c r="AC115" s="149">
        <f t="shared" si="20"/>
        <v>0</v>
      </c>
      <c r="AD115" s="125">
        <v>2</v>
      </c>
      <c r="AE115" s="148">
        <f t="shared" si="21"/>
        <v>2</v>
      </c>
      <c r="AF115" s="156"/>
      <c r="AG115" s="156"/>
      <c r="AH115" s="113">
        <f t="shared" si="22"/>
        <v>17</v>
      </c>
      <c r="AI115" s="157">
        <v>65</v>
      </c>
      <c r="AJ115" s="113">
        <f t="shared" si="23"/>
        <v>82</v>
      </c>
      <c r="AK115" s="113">
        <f t="shared" si="24"/>
        <v>82</v>
      </c>
      <c r="AL115" s="158">
        <f t="shared" si="25"/>
        <v>1.02</v>
      </c>
      <c r="AM115" s="159"/>
      <c r="AN115" s="160">
        <f t="shared" si="30"/>
        <v>1</v>
      </c>
      <c r="AO115" s="160">
        <f t="shared" si="30"/>
        <v>2</v>
      </c>
      <c r="AP115" s="133"/>
      <c r="AQ115" s="134"/>
      <c r="AR115" s="161"/>
      <c r="AS115" s="161"/>
      <c r="AT115" s="161"/>
      <c r="AU115" s="161"/>
      <c r="AV115" s="162"/>
      <c r="AW115" s="137">
        <f t="shared" si="26"/>
        <v>0</v>
      </c>
      <c r="AX115" s="137">
        <f t="shared" si="27"/>
        <v>0</v>
      </c>
    </row>
    <row r="116" ht="47.25" customHeight="1" spans="1:50" s="56" customFormat="1" x14ac:dyDescent="0.25">
      <c r="A116" s="100"/>
      <c r="B116" s="100"/>
      <c r="C116" s="100"/>
      <c r="D116" s="100"/>
      <c r="E116" s="100"/>
      <c r="F116" s="100"/>
      <c r="G116" s="103"/>
      <c r="H116" s="186"/>
      <c r="I116" s="195">
        <v>0.51</v>
      </c>
      <c r="J116" s="107">
        <v>0.49</v>
      </c>
      <c r="K116" s="107"/>
      <c r="L116" s="107"/>
      <c r="M116" s="187"/>
      <c r="N116" s="169">
        <f t="shared" si="29"/>
        <v>1</v>
      </c>
      <c r="O116" s="144">
        <v>1</v>
      </c>
      <c r="P116" s="145">
        <v>15</v>
      </c>
      <c r="Q116" s="113">
        <v>15</v>
      </c>
      <c r="R116" s="113"/>
      <c r="S116" s="113"/>
      <c r="T116" s="146"/>
      <c r="U116" s="148">
        <f t="shared" si="17"/>
        <v>15</v>
      </c>
      <c r="V116" s="149">
        <f t="shared" si="18"/>
        <v>15</v>
      </c>
      <c r="W116" s="189"/>
      <c r="X116" s="199"/>
      <c r="Y116" s="151"/>
      <c r="Z116" s="190"/>
      <c r="AA116" s="153"/>
      <c r="AB116" s="154">
        <f t="shared" si="19"/>
        <v>0</v>
      </c>
      <c r="AC116" s="149">
        <f t="shared" si="20"/>
        <v>0</v>
      </c>
      <c r="AD116" s="125">
        <v>2</v>
      </c>
      <c r="AE116" s="148">
        <f t="shared" si="21"/>
        <v>2</v>
      </c>
      <c r="AF116" s="156"/>
      <c r="AG116" s="156"/>
      <c r="AH116" s="113">
        <f t="shared" si="22"/>
        <v>17</v>
      </c>
      <c r="AI116" s="157">
        <v>65</v>
      </c>
      <c r="AJ116" s="113">
        <f t="shared" si="23"/>
        <v>82</v>
      </c>
      <c r="AK116" s="113">
        <f t="shared" si="24"/>
        <v>82</v>
      </c>
      <c r="AL116" s="158">
        <f t="shared" si="25"/>
        <v>1.02</v>
      </c>
      <c r="AM116" s="159"/>
      <c r="AN116" s="160">
        <f t="shared" si="30"/>
        <v>1</v>
      </c>
      <c r="AO116" s="160">
        <f t="shared" si="30"/>
        <v>2</v>
      </c>
      <c r="AP116" s="133"/>
      <c r="AQ116" s="134"/>
      <c r="AR116" s="161"/>
      <c r="AS116" s="161"/>
      <c r="AT116" s="161"/>
      <c r="AU116" s="161"/>
      <c r="AV116" s="162"/>
      <c r="AW116" s="137">
        <f t="shared" si="26"/>
        <v>0</v>
      </c>
      <c r="AX116" s="137">
        <f t="shared" si="27"/>
        <v>0</v>
      </c>
    </row>
    <row r="117" ht="46.5" customHeight="1" spans="1:50" s="97" customFormat="1" x14ac:dyDescent="0.25">
      <c r="A117" s="100"/>
      <c r="B117" s="100"/>
      <c r="C117" s="100"/>
      <c r="D117" s="100"/>
      <c r="E117" s="100"/>
      <c r="F117" s="100"/>
      <c r="G117" s="103"/>
      <c r="H117" s="186"/>
      <c r="I117" s="195">
        <v>0.51</v>
      </c>
      <c r="J117" s="107">
        <v>0.49</v>
      </c>
      <c r="K117" s="107"/>
      <c r="L117" s="107"/>
      <c r="M117" s="187"/>
      <c r="N117" s="169">
        <f t="shared" si="29"/>
        <v>1</v>
      </c>
      <c r="O117" s="144">
        <v>1</v>
      </c>
      <c r="P117" s="145">
        <v>15</v>
      </c>
      <c r="Q117" s="113">
        <v>15</v>
      </c>
      <c r="R117" s="113"/>
      <c r="S117" s="113"/>
      <c r="T117" s="146"/>
      <c r="U117" s="148">
        <f t="shared" si="17"/>
        <v>15</v>
      </c>
      <c r="V117" s="149">
        <f t="shared" si="18"/>
        <v>15</v>
      </c>
      <c r="W117" s="189"/>
      <c r="X117" s="199"/>
      <c r="Y117" s="151"/>
      <c r="Z117" s="190"/>
      <c r="AA117" s="153"/>
      <c r="AB117" s="154">
        <f t="shared" si="19"/>
        <v>0</v>
      </c>
      <c r="AC117" s="149">
        <f t="shared" si="20"/>
        <v>0</v>
      </c>
      <c r="AD117" s="125">
        <v>2</v>
      </c>
      <c r="AE117" s="148">
        <f t="shared" si="21"/>
        <v>2</v>
      </c>
      <c r="AF117" s="156"/>
      <c r="AG117" s="156"/>
      <c r="AH117" s="113">
        <f t="shared" si="22"/>
        <v>17</v>
      </c>
      <c r="AI117" s="157">
        <v>65</v>
      </c>
      <c r="AJ117" s="113">
        <f t="shared" si="23"/>
        <v>82</v>
      </c>
      <c r="AK117" s="113">
        <f t="shared" si="24"/>
        <v>82</v>
      </c>
      <c r="AL117" s="158">
        <f t="shared" si="25"/>
        <v>1.02</v>
      </c>
      <c r="AM117" s="159"/>
      <c r="AN117" s="160">
        <f t="shared" si="30"/>
        <v>1</v>
      </c>
      <c r="AO117" s="160">
        <f t="shared" si="30"/>
        <v>2</v>
      </c>
      <c r="AP117" s="133"/>
      <c r="AQ117" s="134"/>
      <c r="AR117" s="161"/>
      <c r="AS117" s="161"/>
      <c r="AT117" s="161"/>
      <c r="AU117" s="161"/>
      <c r="AV117" s="162"/>
      <c r="AW117" s="137">
        <f t="shared" si="26"/>
        <v>0</v>
      </c>
      <c r="AX117" s="137">
        <f t="shared" si="27"/>
        <v>0</v>
      </c>
    </row>
    <row r="118" ht="47.25" customHeight="1" spans="1:50" s="56" customFormat="1" x14ac:dyDescent="0.25">
      <c r="A118" s="100"/>
      <c r="B118" s="100"/>
      <c r="C118" s="100"/>
      <c r="D118" s="100"/>
      <c r="E118" s="100"/>
      <c r="F118" s="100"/>
      <c r="G118" s="103"/>
      <c r="H118" s="186"/>
      <c r="I118" s="195">
        <v>0.51</v>
      </c>
      <c r="J118" s="107">
        <v>0.49</v>
      </c>
      <c r="K118" s="107"/>
      <c r="L118" s="107"/>
      <c r="M118" s="187"/>
      <c r="N118" s="169">
        <f t="shared" si="29"/>
        <v>1</v>
      </c>
      <c r="O118" s="144">
        <v>1</v>
      </c>
      <c r="P118" s="145">
        <v>15</v>
      </c>
      <c r="Q118" s="113">
        <v>15</v>
      </c>
      <c r="R118" s="113"/>
      <c r="S118" s="113"/>
      <c r="T118" s="146"/>
      <c r="U118" s="148">
        <f t="shared" si="17"/>
        <v>15</v>
      </c>
      <c r="V118" s="149">
        <f t="shared" si="18"/>
        <v>15</v>
      </c>
      <c r="W118" s="189"/>
      <c r="X118" s="199"/>
      <c r="Y118" s="151"/>
      <c r="Z118" s="190"/>
      <c r="AA118" s="153"/>
      <c r="AB118" s="154">
        <f t="shared" si="19"/>
        <v>0</v>
      </c>
      <c r="AC118" s="149">
        <f t="shared" si="20"/>
        <v>0</v>
      </c>
      <c r="AD118" s="125">
        <v>2</v>
      </c>
      <c r="AE118" s="148">
        <f t="shared" si="21"/>
        <v>2</v>
      </c>
      <c r="AF118" s="156"/>
      <c r="AG118" s="156"/>
      <c r="AH118" s="113">
        <f t="shared" si="22"/>
        <v>17</v>
      </c>
      <c r="AI118" s="157">
        <v>65</v>
      </c>
      <c r="AJ118" s="113">
        <f t="shared" si="23"/>
        <v>82</v>
      </c>
      <c r="AK118" s="113">
        <f t="shared" si="24"/>
        <v>82</v>
      </c>
      <c r="AL118" s="158">
        <f t="shared" si="25"/>
        <v>1.02</v>
      </c>
      <c r="AM118" s="159"/>
      <c r="AN118" s="160">
        <f t="shared" si="30"/>
        <v>1</v>
      </c>
      <c r="AO118" s="160">
        <f t="shared" si="30"/>
        <v>2</v>
      </c>
      <c r="AP118" s="133"/>
      <c r="AQ118" s="134"/>
      <c r="AR118" s="161"/>
      <c r="AS118" s="161"/>
      <c r="AT118" s="161"/>
      <c r="AU118" s="161"/>
      <c r="AV118" s="162"/>
      <c r="AW118" s="137">
        <f t="shared" si="26"/>
        <v>0</v>
      </c>
      <c r="AX118" s="137">
        <f t="shared" si="27"/>
        <v>0</v>
      </c>
    </row>
    <row r="119" ht="47.25" customHeight="1" spans="1:50" s="97" customFormat="1" x14ac:dyDescent="0.25">
      <c r="A119" s="100"/>
      <c r="B119" s="100"/>
      <c r="C119" s="100"/>
      <c r="D119" s="100"/>
      <c r="E119" s="100"/>
      <c r="F119" s="100"/>
      <c r="G119" s="103"/>
      <c r="H119" s="186"/>
      <c r="I119" s="195">
        <v>0.51</v>
      </c>
      <c r="J119" s="107">
        <v>0.49</v>
      </c>
      <c r="K119" s="107"/>
      <c r="L119" s="107"/>
      <c r="M119" s="187"/>
      <c r="N119" s="169">
        <f t="shared" si="29"/>
        <v>1</v>
      </c>
      <c r="O119" s="144">
        <v>1</v>
      </c>
      <c r="P119" s="145">
        <v>15</v>
      </c>
      <c r="Q119" s="113">
        <v>15</v>
      </c>
      <c r="R119" s="113"/>
      <c r="S119" s="113"/>
      <c r="T119" s="146"/>
      <c r="U119" s="148">
        <f t="shared" si="17"/>
        <v>15</v>
      </c>
      <c r="V119" s="149">
        <f t="shared" si="18"/>
        <v>15</v>
      </c>
      <c r="W119" s="189"/>
      <c r="X119" s="199"/>
      <c r="Y119" s="151"/>
      <c r="Z119" s="190"/>
      <c r="AA119" s="153"/>
      <c r="AB119" s="154">
        <f t="shared" si="19"/>
        <v>0</v>
      </c>
      <c r="AC119" s="149">
        <f t="shared" si="20"/>
        <v>0</v>
      </c>
      <c r="AD119" s="125">
        <v>2</v>
      </c>
      <c r="AE119" s="148">
        <f t="shared" si="21"/>
        <v>2</v>
      </c>
      <c r="AF119" s="156"/>
      <c r="AG119" s="156"/>
      <c r="AH119" s="113">
        <f t="shared" si="22"/>
        <v>17</v>
      </c>
      <c r="AI119" s="157">
        <v>65</v>
      </c>
      <c r="AJ119" s="113">
        <f t="shared" si="23"/>
        <v>82</v>
      </c>
      <c r="AK119" s="113">
        <f t="shared" si="24"/>
        <v>82</v>
      </c>
      <c r="AL119" s="158">
        <f t="shared" si="25"/>
        <v>1.02</v>
      </c>
      <c r="AM119" s="159"/>
      <c r="AN119" s="160">
        <f t="shared" si="30"/>
        <v>1</v>
      </c>
      <c r="AO119" s="160">
        <f t="shared" si="30"/>
        <v>2</v>
      </c>
      <c r="AP119" s="133"/>
      <c r="AQ119" s="134"/>
      <c r="AR119" s="161"/>
      <c r="AS119" s="161"/>
      <c r="AT119" s="161"/>
      <c r="AU119" s="161"/>
      <c r="AV119" s="162"/>
      <c r="AW119" s="137">
        <f t="shared" si="26"/>
        <v>0</v>
      </c>
      <c r="AX119" s="137">
        <f t="shared" si="27"/>
        <v>0</v>
      </c>
    </row>
    <row r="120" ht="47.25" customHeight="1" spans="1:50" s="97" customFormat="1" x14ac:dyDescent="0.25">
      <c r="A120" s="100"/>
      <c r="B120" s="100"/>
      <c r="C120" s="100"/>
      <c r="D120" s="100"/>
      <c r="E120" s="100"/>
      <c r="F120" s="100"/>
      <c r="G120" s="103"/>
      <c r="H120" s="186"/>
      <c r="I120" s="195">
        <v>0.51</v>
      </c>
      <c r="J120" s="107">
        <v>0.49</v>
      </c>
      <c r="K120" s="107"/>
      <c r="L120" s="107"/>
      <c r="M120" s="187"/>
      <c r="N120" s="169">
        <f t="shared" si="29"/>
        <v>1</v>
      </c>
      <c r="O120" s="144">
        <v>1</v>
      </c>
      <c r="P120" s="145">
        <v>15</v>
      </c>
      <c r="Q120" s="113">
        <v>15</v>
      </c>
      <c r="R120" s="113"/>
      <c r="S120" s="113"/>
      <c r="T120" s="146"/>
      <c r="U120" s="148">
        <f t="shared" si="17"/>
        <v>15</v>
      </c>
      <c r="V120" s="149">
        <f t="shared" si="18"/>
        <v>15</v>
      </c>
      <c r="W120" s="189"/>
      <c r="X120" s="199"/>
      <c r="Y120" s="151"/>
      <c r="Z120" s="190"/>
      <c r="AA120" s="153"/>
      <c r="AB120" s="154">
        <f t="shared" si="19"/>
        <v>0</v>
      </c>
      <c r="AC120" s="149">
        <f t="shared" si="20"/>
        <v>0</v>
      </c>
      <c r="AD120" s="125">
        <v>2</v>
      </c>
      <c r="AE120" s="148">
        <f t="shared" si="21"/>
        <v>2</v>
      </c>
      <c r="AF120" s="156"/>
      <c r="AG120" s="156"/>
      <c r="AH120" s="113">
        <f t="shared" si="22"/>
        <v>17</v>
      </c>
      <c r="AI120" s="157">
        <v>65</v>
      </c>
      <c r="AJ120" s="113">
        <f t="shared" si="23"/>
        <v>82</v>
      </c>
      <c r="AK120" s="113">
        <f t="shared" si="24"/>
        <v>82</v>
      </c>
      <c r="AL120" s="158">
        <f t="shared" si="25"/>
        <v>1.02</v>
      </c>
      <c r="AM120" s="159"/>
      <c r="AN120" s="160">
        <f t="shared" si="30"/>
        <v>1</v>
      </c>
      <c r="AO120" s="160">
        <f t="shared" si="30"/>
        <v>2</v>
      </c>
      <c r="AP120" s="133"/>
      <c r="AQ120" s="134"/>
      <c r="AR120" s="161"/>
      <c r="AS120" s="161"/>
      <c r="AT120" s="161"/>
      <c r="AU120" s="161"/>
      <c r="AV120" s="162"/>
      <c r="AW120" s="137">
        <f t="shared" si="26"/>
        <v>0</v>
      </c>
      <c r="AX120" s="137">
        <f t="shared" si="27"/>
        <v>0</v>
      </c>
    </row>
    <row r="121" ht="46.5" customHeight="1" spans="1:50" s="97" customFormat="1" x14ac:dyDescent="0.25">
      <c r="A121" s="100"/>
      <c r="B121" s="100"/>
      <c r="C121" s="100"/>
      <c r="D121" s="100"/>
      <c r="E121" s="100"/>
      <c r="F121" s="100"/>
      <c r="G121" s="103"/>
      <c r="H121" s="186"/>
      <c r="I121" s="195">
        <v>0.51</v>
      </c>
      <c r="J121" s="107">
        <v>0.49</v>
      </c>
      <c r="K121" s="107"/>
      <c r="L121" s="107"/>
      <c r="M121" s="187"/>
      <c r="N121" s="169">
        <f t="shared" si="29"/>
        <v>1</v>
      </c>
      <c r="O121" s="144">
        <v>1</v>
      </c>
      <c r="P121" s="145">
        <v>15</v>
      </c>
      <c r="Q121" s="113">
        <v>15</v>
      </c>
      <c r="R121" s="113"/>
      <c r="S121" s="113"/>
      <c r="T121" s="146"/>
      <c r="U121" s="148">
        <f t="shared" si="17"/>
        <v>15</v>
      </c>
      <c r="V121" s="149">
        <f t="shared" si="18"/>
        <v>15</v>
      </c>
      <c r="W121" s="189"/>
      <c r="X121" s="199"/>
      <c r="Y121" s="151"/>
      <c r="Z121" s="190"/>
      <c r="AA121" s="153"/>
      <c r="AB121" s="154">
        <f t="shared" si="19"/>
        <v>0</v>
      </c>
      <c r="AC121" s="149">
        <f t="shared" si="20"/>
        <v>0</v>
      </c>
      <c r="AD121" s="125">
        <v>2</v>
      </c>
      <c r="AE121" s="148">
        <f t="shared" si="21"/>
        <v>2</v>
      </c>
      <c r="AF121" s="156"/>
      <c r="AG121" s="156"/>
      <c r="AH121" s="113">
        <f t="shared" si="22"/>
        <v>17</v>
      </c>
      <c r="AI121" s="157">
        <v>65</v>
      </c>
      <c r="AJ121" s="113">
        <f t="shared" si="23"/>
        <v>82</v>
      </c>
      <c r="AK121" s="113">
        <f t="shared" si="24"/>
        <v>82</v>
      </c>
      <c r="AL121" s="158">
        <f t="shared" si="25"/>
        <v>1.02</v>
      </c>
      <c r="AM121" s="159"/>
      <c r="AN121" s="160">
        <f t="shared" si="30"/>
        <v>1</v>
      </c>
      <c r="AO121" s="160">
        <f t="shared" si="30"/>
        <v>2</v>
      </c>
      <c r="AP121" s="133"/>
      <c r="AQ121" s="134"/>
      <c r="AR121" s="161"/>
      <c r="AS121" s="161"/>
      <c r="AT121" s="161"/>
      <c r="AU121" s="161"/>
      <c r="AV121" s="162"/>
      <c r="AW121" s="137">
        <f t="shared" si="26"/>
        <v>0</v>
      </c>
      <c r="AX121" s="137">
        <f t="shared" si="27"/>
        <v>0</v>
      </c>
    </row>
    <row r="122" ht="46.5" customHeight="1" spans="1:50" s="97" customFormat="1" x14ac:dyDescent="0.25">
      <c r="A122" s="100"/>
      <c r="B122" s="100"/>
      <c r="C122" s="100"/>
      <c r="D122" s="100"/>
      <c r="E122" s="100"/>
      <c r="F122" s="100"/>
      <c r="G122" s="103"/>
      <c r="H122" s="186"/>
      <c r="I122" s="195">
        <v>0.51</v>
      </c>
      <c r="J122" s="107">
        <v>0.49</v>
      </c>
      <c r="K122" s="107"/>
      <c r="L122" s="107"/>
      <c r="M122" s="187"/>
      <c r="N122" s="169">
        <f t="shared" si="29"/>
        <v>1</v>
      </c>
      <c r="O122" s="144">
        <v>1</v>
      </c>
      <c r="P122" s="145">
        <v>15</v>
      </c>
      <c r="Q122" s="113">
        <v>15</v>
      </c>
      <c r="R122" s="113"/>
      <c r="S122" s="113"/>
      <c r="T122" s="146"/>
      <c r="U122" s="148">
        <f t="shared" si="17"/>
        <v>15</v>
      </c>
      <c r="V122" s="149">
        <f t="shared" si="18"/>
        <v>15</v>
      </c>
      <c r="W122" s="189"/>
      <c r="X122" s="199"/>
      <c r="Y122" s="151"/>
      <c r="Z122" s="190"/>
      <c r="AA122" s="153"/>
      <c r="AB122" s="154">
        <f t="shared" si="19"/>
        <v>0</v>
      </c>
      <c r="AC122" s="149">
        <f t="shared" si="20"/>
        <v>0</v>
      </c>
      <c r="AD122" s="125">
        <v>2</v>
      </c>
      <c r="AE122" s="148">
        <f t="shared" si="21"/>
        <v>2</v>
      </c>
      <c r="AF122" s="156"/>
      <c r="AG122" s="156"/>
      <c r="AH122" s="113">
        <f t="shared" si="22"/>
        <v>17</v>
      </c>
      <c r="AI122" s="157">
        <v>65</v>
      </c>
      <c r="AJ122" s="113">
        <f t="shared" si="23"/>
        <v>82</v>
      </c>
      <c r="AK122" s="113">
        <f t="shared" si="24"/>
        <v>82</v>
      </c>
      <c r="AL122" s="158">
        <f t="shared" si="25"/>
        <v>1.02</v>
      </c>
      <c r="AM122" s="159"/>
      <c r="AN122" s="160">
        <f t="shared" si="30"/>
        <v>1</v>
      </c>
      <c r="AO122" s="160">
        <f t="shared" si="30"/>
        <v>2</v>
      </c>
      <c r="AP122" s="133"/>
      <c r="AQ122" s="134"/>
      <c r="AR122" s="161"/>
      <c r="AS122" s="161"/>
      <c r="AT122" s="161"/>
      <c r="AU122" s="161"/>
      <c r="AV122" s="162"/>
      <c r="AW122" s="137">
        <f t="shared" si="26"/>
        <v>0</v>
      </c>
      <c r="AX122" s="137">
        <f t="shared" si="27"/>
        <v>0</v>
      </c>
    </row>
    <row r="123" ht="47.25" customHeight="1" spans="1:50" s="56" customFormat="1" x14ac:dyDescent="0.25">
      <c r="A123" s="100"/>
      <c r="B123" s="100"/>
      <c r="C123" s="100"/>
      <c r="D123" s="100"/>
      <c r="E123" s="100"/>
      <c r="F123" s="100"/>
      <c r="G123" s="103"/>
      <c r="H123" s="186"/>
      <c r="I123" s="195">
        <v>0.51</v>
      </c>
      <c r="J123" s="107">
        <v>0.49</v>
      </c>
      <c r="K123" s="107"/>
      <c r="L123" s="107"/>
      <c r="M123" s="187"/>
      <c r="N123" s="169">
        <f t="shared" si="29"/>
        <v>1</v>
      </c>
      <c r="O123" s="144">
        <v>1</v>
      </c>
      <c r="P123" s="145">
        <v>15</v>
      </c>
      <c r="Q123" s="113">
        <v>15</v>
      </c>
      <c r="R123" s="113"/>
      <c r="S123" s="113"/>
      <c r="T123" s="146"/>
      <c r="U123" s="148">
        <f t="shared" si="17"/>
        <v>15</v>
      </c>
      <c r="V123" s="149">
        <f t="shared" si="18"/>
        <v>15</v>
      </c>
      <c r="W123" s="189"/>
      <c r="X123" s="199"/>
      <c r="Y123" s="151"/>
      <c r="Z123" s="190"/>
      <c r="AA123" s="153"/>
      <c r="AB123" s="154">
        <f t="shared" si="19"/>
        <v>0</v>
      </c>
      <c r="AC123" s="149">
        <f t="shared" si="20"/>
        <v>0</v>
      </c>
      <c r="AD123" s="125">
        <v>2</v>
      </c>
      <c r="AE123" s="148">
        <f t="shared" si="21"/>
        <v>2</v>
      </c>
      <c r="AF123" s="156"/>
      <c r="AG123" s="156"/>
      <c r="AH123" s="113">
        <f t="shared" si="22"/>
        <v>17</v>
      </c>
      <c r="AI123" s="157">
        <v>65</v>
      </c>
      <c r="AJ123" s="113">
        <f t="shared" si="23"/>
        <v>82</v>
      </c>
      <c r="AK123" s="113">
        <f t="shared" si="24"/>
        <v>82</v>
      </c>
      <c r="AL123" s="158">
        <f t="shared" si="25"/>
        <v>1.02</v>
      </c>
      <c r="AM123" s="159"/>
      <c r="AN123" s="160">
        <f t="shared" si="30"/>
        <v>1</v>
      </c>
      <c r="AO123" s="160">
        <f t="shared" si="30"/>
        <v>2</v>
      </c>
      <c r="AP123" s="133"/>
      <c r="AQ123" s="134"/>
      <c r="AR123" s="161"/>
      <c r="AS123" s="161"/>
      <c r="AT123" s="161"/>
      <c r="AU123" s="161"/>
      <c r="AV123" s="162"/>
      <c r="AW123" s="137">
        <f t="shared" si="26"/>
        <v>0</v>
      </c>
      <c r="AX123" s="137">
        <f t="shared" si="27"/>
        <v>0</v>
      </c>
    </row>
    <row r="124" ht="46.5" customHeight="1" spans="1:50" s="97" customFormat="1" x14ac:dyDescent="0.25">
      <c r="A124" s="100"/>
      <c r="B124" s="100"/>
      <c r="C124" s="100"/>
      <c r="D124" s="100"/>
      <c r="E124" s="100"/>
      <c r="F124" s="100"/>
      <c r="G124" s="103"/>
      <c r="H124" s="186"/>
      <c r="I124" s="195">
        <v>0.51</v>
      </c>
      <c r="J124" s="107">
        <v>0.49</v>
      </c>
      <c r="K124" s="107"/>
      <c r="L124" s="107"/>
      <c r="M124" s="187"/>
      <c r="N124" s="169">
        <f t="shared" si="29"/>
        <v>1</v>
      </c>
      <c r="O124" s="144">
        <v>1</v>
      </c>
      <c r="P124" s="145">
        <v>15</v>
      </c>
      <c r="Q124" s="113">
        <v>15</v>
      </c>
      <c r="R124" s="113"/>
      <c r="S124" s="113"/>
      <c r="T124" s="146"/>
      <c r="U124" s="148">
        <f t="shared" si="17"/>
        <v>15</v>
      </c>
      <c r="V124" s="149">
        <f t="shared" si="18"/>
        <v>15</v>
      </c>
      <c r="W124" s="189"/>
      <c r="X124" s="199"/>
      <c r="Y124" s="151"/>
      <c r="Z124" s="190"/>
      <c r="AA124" s="153"/>
      <c r="AB124" s="154">
        <f t="shared" si="19"/>
        <v>0</v>
      </c>
      <c r="AC124" s="149">
        <f t="shared" si="20"/>
        <v>0</v>
      </c>
      <c r="AD124" s="125">
        <v>2</v>
      </c>
      <c r="AE124" s="148">
        <f t="shared" si="21"/>
        <v>2</v>
      </c>
      <c r="AF124" s="156"/>
      <c r="AG124" s="156"/>
      <c r="AH124" s="113">
        <f t="shared" si="22"/>
        <v>17</v>
      </c>
      <c r="AI124" s="157">
        <v>65</v>
      </c>
      <c r="AJ124" s="113">
        <f t="shared" si="23"/>
        <v>82</v>
      </c>
      <c r="AK124" s="113">
        <f t="shared" si="24"/>
        <v>82</v>
      </c>
      <c r="AL124" s="158">
        <f t="shared" si="25"/>
        <v>1.02</v>
      </c>
      <c r="AM124" s="159"/>
      <c r="AN124" s="160">
        <f t="shared" si="30"/>
        <v>1</v>
      </c>
      <c r="AO124" s="160">
        <f t="shared" si="30"/>
        <v>2</v>
      </c>
      <c r="AP124" s="133"/>
      <c r="AQ124" s="134"/>
      <c r="AR124" s="161"/>
      <c r="AS124" s="161"/>
      <c r="AT124" s="161"/>
      <c r="AU124" s="161"/>
      <c r="AV124" s="162"/>
      <c r="AW124" s="137">
        <f t="shared" si="26"/>
        <v>0</v>
      </c>
      <c r="AX124" s="137">
        <f t="shared" si="27"/>
        <v>0</v>
      </c>
    </row>
    <row r="125" ht="47.25" customHeight="1" spans="1:50" s="56" customFormat="1" x14ac:dyDescent="0.25">
      <c r="A125" s="100"/>
      <c r="B125" s="100"/>
      <c r="C125" s="100"/>
      <c r="D125" s="100"/>
      <c r="E125" s="100"/>
      <c r="F125" s="100"/>
      <c r="G125" s="103"/>
      <c r="H125" s="186"/>
      <c r="I125" s="195">
        <v>0.51</v>
      </c>
      <c r="J125" s="107">
        <v>0.49</v>
      </c>
      <c r="K125" s="107"/>
      <c r="L125" s="107"/>
      <c r="M125" s="187"/>
      <c r="N125" s="169">
        <f t="shared" si="29"/>
        <v>1</v>
      </c>
      <c r="O125" s="144">
        <v>1</v>
      </c>
      <c r="P125" s="145">
        <v>15</v>
      </c>
      <c r="Q125" s="113">
        <v>15</v>
      </c>
      <c r="R125" s="113"/>
      <c r="S125" s="113"/>
      <c r="T125" s="146"/>
      <c r="U125" s="148">
        <f t="shared" si="17"/>
        <v>15</v>
      </c>
      <c r="V125" s="149">
        <f t="shared" si="18"/>
        <v>15</v>
      </c>
      <c r="W125" s="189"/>
      <c r="X125" s="199"/>
      <c r="Y125" s="151"/>
      <c r="Z125" s="190"/>
      <c r="AA125" s="153"/>
      <c r="AB125" s="154">
        <f t="shared" si="19"/>
        <v>0</v>
      </c>
      <c r="AC125" s="149">
        <f t="shared" si="20"/>
        <v>0</v>
      </c>
      <c r="AD125" s="125">
        <v>2</v>
      </c>
      <c r="AE125" s="148">
        <f t="shared" si="21"/>
        <v>2</v>
      </c>
      <c r="AF125" s="156"/>
      <c r="AG125" s="156"/>
      <c r="AH125" s="113">
        <f t="shared" si="22"/>
        <v>17</v>
      </c>
      <c r="AI125" s="157">
        <v>65</v>
      </c>
      <c r="AJ125" s="113">
        <f t="shared" si="23"/>
        <v>82</v>
      </c>
      <c r="AK125" s="113">
        <f t="shared" si="24"/>
        <v>82</v>
      </c>
      <c r="AL125" s="158">
        <f t="shared" si="25"/>
        <v>1.02</v>
      </c>
      <c r="AM125" s="159"/>
      <c r="AN125" s="160">
        <f t="shared" si="30"/>
        <v>1</v>
      </c>
      <c r="AO125" s="160">
        <f t="shared" si="30"/>
        <v>2</v>
      </c>
      <c r="AP125" s="133"/>
      <c r="AQ125" s="134"/>
      <c r="AR125" s="161"/>
      <c r="AS125" s="161"/>
      <c r="AT125" s="161"/>
      <c r="AU125" s="161"/>
      <c r="AV125" s="162"/>
      <c r="AW125" s="137">
        <f t="shared" si="26"/>
        <v>0</v>
      </c>
      <c r="AX125" s="137">
        <f t="shared" si="27"/>
        <v>0</v>
      </c>
    </row>
    <row r="126" ht="46.5" customHeight="1" spans="1:50" s="97" customFormat="1" x14ac:dyDescent="0.25">
      <c r="A126" s="100"/>
      <c r="B126" s="100"/>
      <c r="C126" s="100"/>
      <c r="D126" s="100"/>
      <c r="E126" s="100"/>
      <c r="F126" s="100"/>
      <c r="G126" s="103"/>
      <c r="H126" s="186"/>
      <c r="I126" s="195">
        <v>0.51</v>
      </c>
      <c r="J126" s="107">
        <v>0.49</v>
      </c>
      <c r="K126" s="107"/>
      <c r="L126" s="107"/>
      <c r="M126" s="187"/>
      <c r="N126" s="169">
        <f t="shared" si="29"/>
        <v>1</v>
      </c>
      <c r="O126" s="144">
        <v>1</v>
      </c>
      <c r="P126" s="145">
        <v>15</v>
      </c>
      <c r="Q126" s="113">
        <v>15</v>
      </c>
      <c r="R126" s="113"/>
      <c r="S126" s="113"/>
      <c r="T126" s="146"/>
      <c r="U126" s="148">
        <f t="shared" si="17"/>
        <v>15</v>
      </c>
      <c r="V126" s="149">
        <f t="shared" si="18"/>
        <v>15</v>
      </c>
      <c r="W126" s="189"/>
      <c r="X126" s="199"/>
      <c r="Y126" s="151"/>
      <c r="Z126" s="190"/>
      <c r="AA126" s="153"/>
      <c r="AB126" s="154">
        <f t="shared" si="19"/>
        <v>0</v>
      </c>
      <c r="AC126" s="149">
        <f t="shared" si="20"/>
        <v>0</v>
      </c>
      <c r="AD126" s="125">
        <v>2</v>
      </c>
      <c r="AE126" s="148">
        <f t="shared" si="21"/>
        <v>2</v>
      </c>
      <c r="AF126" s="156"/>
      <c r="AG126" s="156"/>
      <c r="AH126" s="113">
        <f t="shared" si="22"/>
        <v>17</v>
      </c>
      <c r="AI126" s="157">
        <v>65</v>
      </c>
      <c r="AJ126" s="113">
        <f t="shared" si="23"/>
        <v>82</v>
      </c>
      <c r="AK126" s="113">
        <f t="shared" si="24"/>
        <v>82</v>
      </c>
      <c r="AL126" s="158">
        <f t="shared" si="25"/>
        <v>1.02</v>
      </c>
      <c r="AM126" s="159"/>
      <c r="AN126" s="160">
        <f t="shared" si="30"/>
        <v>1</v>
      </c>
      <c r="AO126" s="160">
        <f t="shared" si="30"/>
        <v>2</v>
      </c>
      <c r="AP126" s="133"/>
      <c r="AQ126" s="134"/>
      <c r="AR126" s="161"/>
      <c r="AS126" s="161"/>
      <c r="AT126" s="161"/>
      <c r="AU126" s="161"/>
      <c r="AV126" s="162"/>
      <c r="AW126" s="137">
        <f t="shared" si="26"/>
        <v>0</v>
      </c>
      <c r="AX126" s="137">
        <f t="shared" si="27"/>
        <v>0</v>
      </c>
    </row>
    <row r="127" ht="46.5" customHeight="1" spans="1:50" s="97" customFormat="1" x14ac:dyDescent="0.25">
      <c r="A127" s="100"/>
      <c r="B127" s="100"/>
      <c r="C127" s="100"/>
      <c r="D127" s="100"/>
      <c r="E127" s="100"/>
      <c r="F127" s="100"/>
      <c r="G127" s="103"/>
      <c r="H127" s="186"/>
      <c r="I127" s="195">
        <v>0.51</v>
      </c>
      <c r="J127" s="107">
        <v>0.49</v>
      </c>
      <c r="K127" s="107"/>
      <c r="L127" s="107"/>
      <c r="M127" s="187"/>
      <c r="N127" s="169">
        <f t="shared" si="29"/>
        <v>1</v>
      </c>
      <c r="O127" s="144">
        <v>1</v>
      </c>
      <c r="P127" s="145">
        <v>15</v>
      </c>
      <c r="Q127" s="113">
        <v>15</v>
      </c>
      <c r="R127" s="113"/>
      <c r="S127" s="113"/>
      <c r="T127" s="146"/>
      <c r="U127" s="148">
        <f t="shared" si="17"/>
        <v>15</v>
      </c>
      <c r="V127" s="149">
        <f t="shared" si="18"/>
        <v>15</v>
      </c>
      <c r="W127" s="189"/>
      <c r="X127" s="199"/>
      <c r="Y127" s="151"/>
      <c r="Z127" s="190"/>
      <c r="AA127" s="153"/>
      <c r="AB127" s="154">
        <f t="shared" si="19"/>
        <v>0</v>
      </c>
      <c r="AC127" s="149">
        <f t="shared" si="20"/>
        <v>0</v>
      </c>
      <c r="AD127" s="125">
        <v>2</v>
      </c>
      <c r="AE127" s="148">
        <f t="shared" si="21"/>
        <v>2</v>
      </c>
      <c r="AF127" s="156"/>
      <c r="AG127" s="156"/>
      <c r="AH127" s="113">
        <f t="shared" si="22"/>
        <v>17</v>
      </c>
      <c r="AI127" s="157">
        <v>65</v>
      </c>
      <c r="AJ127" s="113">
        <f t="shared" si="23"/>
        <v>82</v>
      </c>
      <c r="AK127" s="113">
        <f t="shared" si="24"/>
        <v>82</v>
      </c>
      <c r="AL127" s="158">
        <f t="shared" si="25"/>
        <v>1.02</v>
      </c>
      <c r="AM127" s="159"/>
      <c r="AN127" s="160">
        <f t="shared" si="30"/>
        <v>1</v>
      </c>
      <c r="AO127" s="160">
        <f t="shared" si="30"/>
        <v>2</v>
      </c>
      <c r="AP127" s="133"/>
      <c r="AQ127" s="134"/>
      <c r="AR127" s="161"/>
      <c r="AS127" s="161"/>
      <c r="AT127" s="161"/>
      <c r="AU127" s="161"/>
      <c r="AV127" s="162"/>
      <c r="AW127" s="137">
        <f t="shared" si="26"/>
        <v>0</v>
      </c>
      <c r="AX127" s="137">
        <f t="shared" si="27"/>
        <v>0</v>
      </c>
    </row>
    <row r="128" ht="47.25" customHeight="1" spans="1:50" s="97" customFormat="1" x14ac:dyDescent="0.25">
      <c r="A128" s="100"/>
      <c r="B128" s="100"/>
      <c r="C128" s="100"/>
      <c r="D128" s="100"/>
      <c r="E128" s="100"/>
      <c r="F128" s="100"/>
      <c r="G128" s="103"/>
      <c r="H128" s="186"/>
      <c r="I128" s="195">
        <v>0.51</v>
      </c>
      <c r="J128" s="107">
        <v>0.49</v>
      </c>
      <c r="K128" s="107"/>
      <c r="L128" s="107"/>
      <c r="M128" s="187"/>
      <c r="N128" s="169">
        <f t="shared" si="29"/>
        <v>1</v>
      </c>
      <c r="O128" s="144">
        <v>1</v>
      </c>
      <c r="P128" s="145">
        <v>15</v>
      </c>
      <c r="Q128" s="113">
        <v>15</v>
      </c>
      <c r="R128" s="113"/>
      <c r="S128" s="113"/>
      <c r="T128" s="146"/>
      <c r="U128" s="148">
        <f t="shared" si="17"/>
        <v>15</v>
      </c>
      <c r="V128" s="149">
        <f t="shared" si="18"/>
        <v>15</v>
      </c>
      <c r="W128" s="189"/>
      <c r="X128" s="199"/>
      <c r="Y128" s="151"/>
      <c r="Z128" s="190"/>
      <c r="AA128" s="153"/>
      <c r="AB128" s="154">
        <f t="shared" si="19"/>
        <v>0</v>
      </c>
      <c r="AC128" s="149">
        <f t="shared" si="20"/>
        <v>0</v>
      </c>
      <c r="AD128" s="125">
        <v>2</v>
      </c>
      <c r="AE128" s="148">
        <f t="shared" si="21"/>
        <v>2</v>
      </c>
      <c r="AF128" s="156"/>
      <c r="AG128" s="156"/>
      <c r="AH128" s="113">
        <f t="shared" si="22"/>
        <v>17</v>
      </c>
      <c r="AI128" s="157">
        <v>65</v>
      </c>
      <c r="AJ128" s="113">
        <f t="shared" si="23"/>
        <v>82</v>
      </c>
      <c r="AK128" s="113">
        <f t="shared" si="24"/>
        <v>82</v>
      </c>
      <c r="AL128" s="158">
        <f t="shared" si="25"/>
        <v>1.02</v>
      </c>
      <c r="AM128" s="159"/>
      <c r="AN128" s="160">
        <f t="shared" ref="AN128:AO133" si="31">100%+AM128</f>
        <v>1</v>
      </c>
      <c r="AO128" s="160">
        <f t="shared" si="31"/>
        <v>2</v>
      </c>
      <c r="AP128" s="133"/>
      <c r="AQ128" s="134"/>
      <c r="AR128" s="161"/>
      <c r="AS128" s="161"/>
      <c r="AT128" s="161"/>
      <c r="AU128" s="161"/>
      <c r="AV128" s="162"/>
      <c r="AW128" s="137">
        <f t="shared" si="26"/>
        <v>0</v>
      </c>
      <c r="AX128" s="137">
        <f t="shared" si="27"/>
        <v>0</v>
      </c>
    </row>
    <row r="129" ht="47.25" customHeight="1" spans="1:50" s="56" customFormat="1" x14ac:dyDescent="0.25">
      <c r="A129" s="100"/>
      <c r="B129" s="100"/>
      <c r="C129" s="100"/>
      <c r="D129" s="100"/>
      <c r="E129" s="100"/>
      <c r="F129" s="100"/>
      <c r="G129" s="103"/>
      <c r="H129" s="186"/>
      <c r="I129" s="195">
        <v>0.51</v>
      </c>
      <c r="J129" s="107">
        <v>0.49</v>
      </c>
      <c r="K129" s="107"/>
      <c r="L129" s="107"/>
      <c r="M129" s="187"/>
      <c r="N129" s="169">
        <f t="shared" si="29"/>
        <v>1</v>
      </c>
      <c r="O129" s="144">
        <v>1</v>
      </c>
      <c r="P129" s="145">
        <v>15</v>
      </c>
      <c r="Q129" s="113">
        <v>15</v>
      </c>
      <c r="R129" s="113"/>
      <c r="S129" s="113"/>
      <c r="T129" s="146"/>
      <c r="U129" s="148">
        <f t="shared" si="17"/>
        <v>15</v>
      </c>
      <c r="V129" s="149">
        <f t="shared" si="18"/>
        <v>15</v>
      </c>
      <c r="W129" s="189"/>
      <c r="X129" s="199"/>
      <c r="Y129" s="151"/>
      <c r="Z129" s="190"/>
      <c r="AA129" s="153"/>
      <c r="AB129" s="154">
        <f t="shared" si="19"/>
        <v>0</v>
      </c>
      <c r="AC129" s="149">
        <f t="shared" si="20"/>
        <v>0</v>
      </c>
      <c r="AD129" s="125">
        <v>2</v>
      </c>
      <c r="AE129" s="148">
        <f t="shared" si="21"/>
        <v>2</v>
      </c>
      <c r="AF129" s="156"/>
      <c r="AG129" s="156"/>
      <c r="AH129" s="113">
        <f t="shared" si="22"/>
        <v>17</v>
      </c>
      <c r="AI129" s="157">
        <v>65</v>
      </c>
      <c r="AJ129" s="113">
        <f t="shared" si="23"/>
        <v>82</v>
      </c>
      <c r="AK129" s="113">
        <f t="shared" si="24"/>
        <v>82</v>
      </c>
      <c r="AL129" s="158">
        <f t="shared" si="25"/>
        <v>1.02</v>
      </c>
      <c r="AM129" s="159"/>
      <c r="AN129" s="160">
        <f t="shared" si="31"/>
        <v>1</v>
      </c>
      <c r="AO129" s="160">
        <f t="shared" si="31"/>
        <v>2</v>
      </c>
      <c r="AP129" s="133"/>
      <c r="AQ129" s="134"/>
      <c r="AR129" s="161"/>
      <c r="AS129" s="161"/>
      <c r="AT129" s="161"/>
      <c r="AU129" s="161"/>
      <c r="AV129" s="162"/>
      <c r="AW129" s="137">
        <f t="shared" si="26"/>
        <v>0</v>
      </c>
      <c r="AX129" s="137">
        <f t="shared" si="27"/>
        <v>0</v>
      </c>
    </row>
    <row r="130" ht="46.5" customHeight="1" spans="1:50" s="97" customFormat="1" x14ac:dyDescent="0.25">
      <c r="A130" s="100"/>
      <c r="B130" s="100"/>
      <c r="C130" s="100"/>
      <c r="D130" s="100"/>
      <c r="E130" s="100"/>
      <c r="F130" s="100"/>
      <c r="G130" s="103"/>
      <c r="H130" s="186"/>
      <c r="I130" s="195">
        <v>0.51</v>
      </c>
      <c r="J130" s="107">
        <v>0.49</v>
      </c>
      <c r="K130" s="107"/>
      <c r="L130" s="107"/>
      <c r="M130" s="187"/>
      <c r="N130" s="169">
        <f t="shared" si="29"/>
        <v>1</v>
      </c>
      <c r="O130" s="144">
        <v>1</v>
      </c>
      <c r="P130" s="145">
        <v>15</v>
      </c>
      <c r="Q130" s="113">
        <v>15</v>
      </c>
      <c r="R130" s="113"/>
      <c r="S130" s="113"/>
      <c r="T130" s="146"/>
      <c r="U130" s="148">
        <f t="shared" si="17"/>
        <v>15</v>
      </c>
      <c r="V130" s="149">
        <f t="shared" si="18"/>
        <v>15</v>
      </c>
      <c r="W130" s="189"/>
      <c r="X130" s="199"/>
      <c r="Y130" s="151"/>
      <c r="Z130" s="190"/>
      <c r="AA130" s="153"/>
      <c r="AB130" s="154">
        <f t="shared" si="19"/>
        <v>0</v>
      </c>
      <c r="AC130" s="149">
        <f t="shared" si="20"/>
        <v>0</v>
      </c>
      <c r="AD130" s="125">
        <v>2</v>
      </c>
      <c r="AE130" s="148">
        <f t="shared" si="21"/>
        <v>2</v>
      </c>
      <c r="AF130" s="156"/>
      <c r="AG130" s="156"/>
      <c r="AH130" s="113">
        <f t="shared" si="22"/>
        <v>17</v>
      </c>
      <c r="AI130" s="157">
        <v>65</v>
      </c>
      <c r="AJ130" s="113">
        <f t="shared" si="23"/>
        <v>82</v>
      </c>
      <c r="AK130" s="113">
        <f t="shared" si="24"/>
        <v>82</v>
      </c>
      <c r="AL130" s="158">
        <f t="shared" si="25"/>
        <v>1.02</v>
      </c>
      <c r="AM130" s="159"/>
      <c r="AN130" s="160">
        <f t="shared" si="31"/>
        <v>1</v>
      </c>
      <c r="AO130" s="160">
        <f t="shared" si="31"/>
        <v>2</v>
      </c>
      <c r="AP130" s="133"/>
      <c r="AQ130" s="134"/>
      <c r="AR130" s="161"/>
      <c r="AS130" s="161"/>
      <c r="AT130" s="161"/>
      <c r="AU130" s="161"/>
      <c r="AV130" s="162"/>
      <c r="AW130" s="137">
        <f t="shared" si="26"/>
        <v>0</v>
      </c>
      <c r="AX130" s="137">
        <f t="shared" si="27"/>
        <v>0</v>
      </c>
    </row>
    <row r="131" ht="47.25" customHeight="1" spans="1:50" s="56" customFormat="1" x14ac:dyDescent="0.25">
      <c r="A131" s="100"/>
      <c r="B131" s="100"/>
      <c r="C131" s="100"/>
      <c r="D131" s="100"/>
      <c r="E131" s="100"/>
      <c r="F131" s="100"/>
      <c r="G131" s="103"/>
      <c r="H131" s="186"/>
      <c r="I131" s="195">
        <v>0.51</v>
      </c>
      <c r="J131" s="107">
        <v>0.49</v>
      </c>
      <c r="K131" s="107"/>
      <c r="L131" s="107"/>
      <c r="M131" s="187"/>
      <c r="N131" s="169">
        <f t="shared" si="29"/>
        <v>1</v>
      </c>
      <c r="O131" s="144">
        <v>1</v>
      </c>
      <c r="P131" s="145">
        <v>15</v>
      </c>
      <c r="Q131" s="113">
        <v>15</v>
      </c>
      <c r="R131" s="113"/>
      <c r="S131" s="113"/>
      <c r="T131" s="146"/>
      <c r="U131" s="148">
        <f t="shared" si="17"/>
        <v>15</v>
      </c>
      <c r="V131" s="149">
        <f t="shared" si="18"/>
        <v>15</v>
      </c>
      <c r="W131" s="189"/>
      <c r="X131" s="199"/>
      <c r="Y131" s="151"/>
      <c r="Z131" s="190"/>
      <c r="AA131" s="153"/>
      <c r="AB131" s="154">
        <f t="shared" si="19"/>
        <v>0</v>
      </c>
      <c r="AC131" s="149">
        <f t="shared" si="20"/>
        <v>0</v>
      </c>
      <c r="AD131" s="125">
        <v>2</v>
      </c>
      <c r="AE131" s="148">
        <f t="shared" si="21"/>
        <v>2</v>
      </c>
      <c r="AF131" s="156"/>
      <c r="AG131" s="156"/>
      <c r="AH131" s="113">
        <f t="shared" si="22"/>
        <v>17</v>
      </c>
      <c r="AI131" s="157">
        <v>65</v>
      </c>
      <c r="AJ131" s="113">
        <f t="shared" si="23"/>
        <v>82</v>
      </c>
      <c r="AK131" s="113">
        <f t="shared" si="24"/>
        <v>82</v>
      </c>
      <c r="AL131" s="158">
        <f t="shared" si="25"/>
        <v>1.02</v>
      </c>
      <c r="AM131" s="159"/>
      <c r="AN131" s="160">
        <f t="shared" si="31"/>
        <v>1</v>
      </c>
      <c r="AO131" s="160">
        <f t="shared" si="31"/>
        <v>2</v>
      </c>
      <c r="AP131" s="133"/>
      <c r="AQ131" s="134"/>
      <c r="AR131" s="161"/>
      <c r="AS131" s="161"/>
      <c r="AT131" s="161"/>
      <c r="AU131" s="161"/>
      <c r="AV131" s="162"/>
      <c r="AW131" s="137">
        <f t="shared" si="26"/>
        <v>0</v>
      </c>
      <c r="AX131" s="137">
        <f t="shared" si="27"/>
        <v>0</v>
      </c>
    </row>
    <row r="132" ht="47.25" customHeight="1" spans="1:50" s="97" customFormat="1" x14ac:dyDescent="0.25">
      <c r="A132" s="100"/>
      <c r="B132" s="100"/>
      <c r="C132" s="100"/>
      <c r="D132" s="100"/>
      <c r="E132" s="100"/>
      <c r="F132" s="100"/>
      <c r="G132" s="103"/>
      <c r="H132" s="186"/>
      <c r="I132" s="195">
        <v>0.51</v>
      </c>
      <c r="J132" s="107">
        <v>0.49</v>
      </c>
      <c r="K132" s="107"/>
      <c r="L132" s="107"/>
      <c r="M132" s="187"/>
      <c r="N132" s="169">
        <f t="shared" si="29"/>
        <v>1</v>
      </c>
      <c r="O132" s="144">
        <v>1</v>
      </c>
      <c r="P132" s="145">
        <v>15</v>
      </c>
      <c r="Q132" s="113">
        <v>15</v>
      </c>
      <c r="R132" s="113"/>
      <c r="S132" s="113"/>
      <c r="T132" s="146"/>
      <c r="U132" s="148">
        <f t="shared" si="17"/>
        <v>15</v>
      </c>
      <c r="V132" s="149">
        <f t="shared" si="18"/>
        <v>15</v>
      </c>
      <c r="W132" s="189"/>
      <c r="X132" s="199"/>
      <c r="Y132" s="151"/>
      <c r="Z132" s="190"/>
      <c r="AA132" s="153"/>
      <c r="AB132" s="154">
        <f t="shared" si="19"/>
        <v>0</v>
      </c>
      <c r="AC132" s="149">
        <f t="shared" si="20"/>
        <v>0</v>
      </c>
      <c r="AD132" s="125">
        <v>2</v>
      </c>
      <c r="AE132" s="148">
        <f t="shared" si="21"/>
        <v>2</v>
      </c>
      <c r="AF132" s="156"/>
      <c r="AG132" s="156"/>
      <c r="AH132" s="113">
        <f t="shared" si="22"/>
        <v>17</v>
      </c>
      <c r="AI132" s="157">
        <v>65</v>
      </c>
      <c r="AJ132" s="113">
        <f t="shared" si="23"/>
        <v>82</v>
      </c>
      <c r="AK132" s="113">
        <f t="shared" si="24"/>
        <v>82</v>
      </c>
      <c r="AL132" s="158">
        <f t="shared" si="25"/>
        <v>1.02</v>
      </c>
      <c r="AM132" s="159"/>
      <c r="AN132" s="160">
        <f t="shared" si="31"/>
        <v>1</v>
      </c>
      <c r="AO132" s="160">
        <f t="shared" si="31"/>
        <v>2</v>
      </c>
      <c r="AP132" s="133"/>
      <c r="AQ132" s="134"/>
      <c r="AR132" s="161"/>
      <c r="AS132" s="161"/>
      <c r="AT132" s="161"/>
      <c r="AU132" s="161"/>
      <c r="AV132" s="162"/>
      <c r="AW132" s="137">
        <f t="shared" si="26"/>
        <v>0</v>
      </c>
      <c r="AX132" s="137">
        <f t="shared" si="27"/>
        <v>0</v>
      </c>
    </row>
    <row r="133" ht="46.5" customHeight="1" spans="1:50" s="97" customFormat="1" x14ac:dyDescent="0.25">
      <c r="A133" s="100"/>
      <c r="B133" s="100"/>
      <c r="C133" s="100"/>
      <c r="D133" s="100"/>
      <c r="E133" s="100"/>
      <c r="F133" s="100"/>
      <c r="G133" s="103"/>
      <c r="H133" s="186"/>
      <c r="I133" s="195">
        <v>0.51</v>
      </c>
      <c r="J133" s="107">
        <v>0.49</v>
      </c>
      <c r="K133" s="107"/>
      <c r="L133" s="107"/>
      <c r="M133" s="187"/>
      <c r="N133" s="169">
        <f t="shared" si="29"/>
        <v>1</v>
      </c>
      <c r="O133" s="144">
        <v>1</v>
      </c>
      <c r="P133" s="145">
        <v>15</v>
      </c>
      <c r="Q133" s="113">
        <v>15</v>
      </c>
      <c r="R133" s="113"/>
      <c r="S133" s="113"/>
      <c r="T133" s="146"/>
      <c r="U133" s="148">
        <f t="shared" si="17"/>
        <v>15</v>
      </c>
      <c r="V133" s="149">
        <f t="shared" si="18"/>
        <v>15</v>
      </c>
      <c r="W133" s="189"/>
      <c r="X133" s="199"/>
      <c r="Y133" s="151"/>
      <c r="Z133" s="190"/>
      <c r="AA133" s="153"/>
      <c r="AB133" s="154">
        <f t="shared" si="19"/>
        <v>0</v>
      </c>
      <c r="AC133" s="149">
        <f t="shared" si="20"/>
        <v>0</v>
      </c>
      <c r="AD133" s="125">
        <v>2</v>
      </c>
      <c r="AE133" s="148">
        <f t="shared" si="21"/>
        <v>2</v>
      </c>
      <c r="AF133" s="156"/>
      <c r="AG133" s="156"/>
      <c r="AH133" s="113">
        <f t="shared" si="22"/>
        <v>17</v>
      </c>
      <c r="AI133" s="157">
        <v>65</v>
      </c>
      <c r="AJ133" s="113">
        <f t="shared" si="23"/>
        <v>82</v>
      </c>
      <c r="AK133" s="113">
        <f t="shared" si="24"/>
        <v>82</v>
      </c>
      <c r="AL133" s="158">
        <f t="shared" si="25"/>
        <v>1.02</v>
      </c>
      <c r="AM133" s="159"/>
      <c r="AN133" s="160">
        <f t="shared" si="31"/>
        <v>1</v>
      </c>
      <c r="AO133" s="160">
        <f t="shared" si="31"/>
        <v>2</v>
      </c>
      <c r="AP133" s="133"/>
      <c r="AQ133" s="134"/>
      <c r="AR133" s="161"/>
      <c r="AS133" s="161"/>
      <c r="AT133" s="161"/>
      <c r="AU133" s="161"/>
      <c r="AV133" s="162"/>
      <c r="AW133" s="137">
        <f t="shared" si="26"/>
        <v>0</v>
      </c>
      <c r="AX133" s="137">
        <f t="shared" si="27"/>
        <v>0</v>
      </c>
    </row>
  </sheetData>
  <mergeCells count="56">
    <mergeCell ref="D1:E1"/>
    <mergeCell ref="F1:G1"/>
    <mergeCell ref="I1:J1"/>
    <mergeCell ref="Y1:Z1"/>
    <mergeCell ref="AA1:AC1"/>
    <mergeCell ref="AD1:AE1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AS2:AT2"/>
    <mergeCell ref="C3:H3"/>
    <mergeCell ref="I3:M3"/>
    <mergeCell ref="P3:U3"/>
    <mergeCell ref="W3:AE3"/>
    <mergeCell ref="A3:A4"/>
    <mergeCell ref="B3:B4"/>
    <mergeCell ref="N3:N4"/>
    <mergeCell ref="O3:O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6:H6"/>
    <mergeCell ref="A8:H8"/>
    <mergeCell ref="A10:H10"/>
    <mergeCell ref="A12:H12"/>
    <mergeCell ref="A14:H14"/>
    <mergeCell ref="A16:H16"/>
    <mergeCell ref="A18:H18"/>
    <mergeCell ref="A20:H20"/>
    <mergeCell ref="A22:H22"/>
    <mergeCell ref="A24:H24"/>
    <mergeCell ref="A26:H26"/>
    <mergeCell ref="A28:H28"/>
    <mergeCell ref="A30:H30"/>
    <mergeCell ref="A32:H32"/>
    <mergeCell ref="A34:H34"/>
    <mergeCell ref="A36:H36"/>
    <mergeCell ref="A38:H38"/>
    <mergeCell ref="A40:H40"/>
  </mergeCells>
  <pageMargins left="0.7" right="0.7" top="0.75" bottom="0.75" header="0.3" footer="0.3"/>
  <pageSetup paperSize="9" orientation="portrait" horizontalDpi="4294967295" verticalDpi="4294967295" scale="40" fitToWidth="1" fitToHeight="1" firstPageNumber="1" useFirstPageNumber="1" copies="1"/>
</worksheet>
</file>

<file path=xl/worksheets/sheet8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X142"/>
  <sheetViews>
    <sheetView workbookViewId="0" zoomScale="85" zoomScaleNormal="85">
      <selection activeCell="J16" sqref="J16"/>
    </sheetView>
  </sheetViews>
  <sheetFormatPr defaultRowHeight="13.5" outlineLevelRow="0" outlineLevelCol="0" x14ac:dyDescent="0.15" defaultColWidth="8.88671875" customHeight="1"/>
  <cols>
    <col min="1" max="1" width="5.33203125" style="1" customWidth="1"/>
    <col min="2" max="2" width="5.109375" style="2" customWidth="1"/>
    <col min="3" max="3" width="8.33203125" style="3" customWidth="1"/>
    <col min="4" max="7" width="8.33203125" style="1" customWidth="1"/>
    <col min="8" max="13" width="8.109375" style="1" customWidth="1"/>
    <col min="14" max="14" width="8.33203125" style="1" customWidth="1"/>
    <col min="15" max="15" width="5.88671875" style="1" customWidth="1"/>
    <col min="16" max="21" width="7.5546875" style="1" customWidth="1"/>
    <col min="22" max="22" width="7.6640625" style="4" hidden="1" customWidth="1"/>
    <col min="23" max="27" width="8.33203125" style="1" customWidth="1"/>
    <col min="28" max="28" width="7.6640625" style="1" customWidth="1"/>
    <col min="29" max="29" width="7.6640625" style="4" hidden="1" customWidth="1"/>
    <col min="30" max="31" width="7.6640625" style="4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 customWidth="1"/>
    <col min="49" max="50" width="15.109375" style="1" customWidth="1"/>
    <col min="51" max="16384" width="8.88671875" style="1" customWidth="1"/>
  </cols>
  <sheetData>
    <row r="1" ht="32.25" customHeight="1" spans="3:42" x14ac:dyDescent="0.25">
      <c r="C1" s="5" t="s">
        <v>0</v>
      </c>
      <c r="D1" s="6">
        <v>3822489000</v>
      </c>
      <c r="E1" s="7"/>
      <c r="F1" s="6"/>
      <c r="G1" s="7"/>
      <c r="H1" s="8" t="s">
        <v>1</v>
      </c>
      <c r="I1" s="9">
        <v>4190997000</v>
      </c>
      <c r="J1" s="9"/>
      <c r="K1" s="10" t="s">
        <v>356</v>
      </c>
      <c r="L1" s="11"/>
      <c r="M1" s="11"/>
      <c r="N1" s="12"/>
      <c r="O1" s="12"/>
      <c r="P1" s="12"/>
      <c r="Q1" s="12"/>
      <c r="R1" s="12"/>
      <c r="S1" s="12"/>
      <c r="T1" s="12"/>
      <c r="U1" s="12"/>
      <c r="V1" s="12"/>
      <c r="W1" s="12"/>
      <c r="X1" s="13"/>
      <c r="Y1" s="14" t="s">
        <v>3</v>
      </c>
      <c r="Z1" s="14"/>
      <c r="AA1" s="15" t="s">
        <v>4</v>
      </c>
      <c r="AB1" s="16"/>
      <c r="AC1" s="17"/>
      <c r="AD1" s="18" t="s">
        <v>5</v>
      </c>
      <c r="AE1" s="19"/>
      <c r="AF1" s="20"/>
      <c r="AG1" s="21" t="s">
        <v>6</v>
      </c>
      <c r="AH1" s="22"/>
      <c r="AI1" s="23"/>
      <c r="AJ1" s="24"/>
      <c r="AK1" s="24"/>
      <c r="AL1" s="25" t="s">
        <v>7</v>
      </c>
      <c r="AM1" s="26"/>
      <c r="AN1" s="26"/>
      <c r="AO1" s="26"/>
      <c r="AP1" s="12"/>
    </row>
    <row r="2" ht="29.25" customHeight="1" spans="1:49" s="27" customFormat="1" x14ac:dyDescent="0.25">
      <c r="A2" s="20"/>
      <c r="B2" s="28"/>
      <c r="C2" s="29" t="s">
        <v>8</v>
      </c>
      <c r="D2" s="30">
        <v>3930657000</v>
      </c>
      <c r="E2" s="31"/>
      <c r="F2" s="32"/>
      <c r="G2" s="33"/>
      <c r="H2" s="5" t="s">
        <v>9</v>
      </c>
      <c r="I2" s="34">
        <f>D2*1</f>
        <v>3930657000</v>
      </c>
      <c r="J2" s="32"/>
      <c r="K2" s="35" t="s">
        <v>10</v>
      </c>
      <c r="L2" s="36" t="s">
        <v>11</v>
      </c>
      <c r="M2" s="37">
        <v>45966.625</v>
      </c>
      <c r="N2" s="37"/>
      <c r="O2" s="37"/>
      <c r="P2" s="37"/>
      <c r="Q2" s="38" t="s">
        <v>84</v>
      </c>
      <c r="R2" s="38"/>
      <c r="S2" s="38"/>
      <c r="T2" s="39"/>
      <c r="U2" s="40"/>
      <c r="V2" s="40"/>
      <c r="W2" s="41"/>
      <c r="X2" s="42"/>
      <c r="Y2" s="202">
        <v>8940300000</v>
      </c>
      <c r="Z2" s="202"/>
      <c r="AA2" s="44">
        <f>I1</f>
        <v>4190997000</v>
      </c>
      <c r="AB2" s="45"/>
      <c r="AC2" s="46"/>
      <c r="AD2" s="47">
        <f>TRUNC(Y2/AA2,4)</f>
        <v>2.1332</v>
      </c>
      <c r="AE2" s="48"/>
      <c r="AF2" s="49"/>
      <c r="AG2" s="21" t="s">
        <v>13</v>
      </c>
      <c r="AH2" s="22"/>
      <c r="AI2" s="23">
        <v>3822489000</v>
      </c>
      <c r="AJ2" s="24"/>
      <c r="AK2" s="24"/>
      <c r="AL2" s="50"/>
      <c r="AM2" s="50"/>
      <c r="AN2" s="51" t="s">
        <v>14</v>
      </c>
      <c r="AP2" s="1"/>
      <c r="AQ2" s="1"/>
      <c r="AR2" s="52" t="s">
        <v>15</v>
      </c>
      <c r="AS2" s="53">
        <f>AI1</f>
        <v>0</v>
      </c>
      <c r="AT2" s="54"/>
      <c r="AW2" s="55"/>
    </row>
    <row r="3" ht="24.95" customHeight="1" spans="1:50" s="56" customFormat="1" x14ac:dyDescent="0.25">
      <c r="A3" s="57" t="s">
        <v>16</v>
      </c>
      <c r="B3" s="58" t="s">
        <v>17</v>
      </c>
      <c r="C3" s="59" t="s">
        <v>18</v>
      </c>
      <c r="D3" s="60"/>
      <c r="E3" s="60"/>
      <c r="F3" s="60"/>
      <c r="G3" s="60"/>
      <c r="H3" s="61"/>
      <c r="I3" s="59" t="s">
        <v>19</v>
      </c>
      <c r="J3" s="60"/>
      <c r="K3" s="60"/>
      <c r="L3" s="60"/>
      <c r="M3" s="61"/>
      <c r="N3" s="62" t="s">
        <v>20</v>
      </c>
      <c r="O3" s="63" t="s">
        <v>21</v>
      </c>
      <c r="P3" s="59" t="s">
        <v>22</v>
      </c>
      <c r="Q3" s="60"/>
      <c r="R3" s="64"/>
      <c r="S3" s="64"/>
      <c r="T3" s="60"/>
      <c r="U3" s="61"/>
      <c r="V3" s="65"/>
      <c r="W3" s="59" t="s">
        <v>23</v>
      </c>
      <c r="X3" s="60"/>
      <c r="Y3" s="60"/>
      <c r="Z3" s="60"/>
      <c r="AA3" s="60"/>
      <c r="AB3" s="60"/>
      <c r="AC3" s="60"/>
      <c r="AD3" s="60"/>
      <c r="AE3" s="61"/>
      <c r="AF3" s="60"/>
      <c r="AG3" s="60"/>
      <c r="AH3" s="60"/>
      <c r="AI3" s="60"/>
      <c r="AJ3" s="60"/>
      <c r="AK3" s="61"/>
      <c r="AL3" s="66" t="s">
        <v>24</v>
      </c>
      <c r="AM3" s="67" t="s">
        <v>25</v>
      </c>
      <c r="AN3" s="68" t="s">
        <v>26</v>
      </c>
      <c r="AO3" s="69" t="s">
        <v>27</v>
      </c>
      <c r="AP3" s="70" t="s">
        <v>28</v>
      </c>
      <c r="AQ3" s="65" t="s">
        <v>29</v>
      </c>
      <c r="AR3" s="67" t="s">
        <v>30</v>
      </c>
      <c r="AS3" s="65" t="s">
        <v>31</v>
      </c>
      <c r="AT3" s="65" t="s">
        <v>32</v>
      </c>
      <c r="AU3" s="65" t="s">
        <v>33</v>
      </c>
      <c r="AV3" s="71" t="s">
        <v>34</v>
      </c>
      <c r="AW3" s="65" t="s">
        <v>35</v>
      </c>
      <c r="AX3" s="65" t="s">
        <v>36</v>
      </c>
    </row>
    <row r="4" ht="39.75" customHeight="1" spans="1:50" s="56" customFormat="1" x14ac:dyDescent="0.25">
      <c r="A4" s="72"/>
      <c r="B4" s="73"/>
      <c r="C4" s="74" t="s">
        <v>37</v>
      </c>
      <c r="D4" s="75" t="s">
        <v>38</v>
      </c>
      <c r="E4" s="76" t="s">
        <v>39</v>
      </c>
      <c r="F4" s="76" t="s">
        <v>40</v>
      </c>
      <c r="G4" s="77" t="s">
        <v>41</v>
      </c>
      <c r="H4" s="65"/>
      <c r="I4" s="78" t="s">
        <v>37</v>
      </c>
      <c r="J4" s="79" t="s">
        <v>38</v>
      </c>
      <c r="K4" s="75" t="s">
        <v>39</v>
      </c>
      <c r="L4" s="75" t="s">
        <v>40</v>
      </c>
      <c r="M4" s="80" t="s">
        <v>41</v>
      </c>
      <c r="N4" s="81"/>
      <c r="O4" s="82"/>
      <c r="P4" s="78" t="s">
        <v>37</v>
      </c>
      <c r="Q4" s="79" t="s">
        <v>38</v>
      </c>
      <c r="R4" s="75" t="s">
        <v>39</v>
      </c>
      <c r="S4" s="75" t="s">
        <v>40</v>
      </c>
      <c r="T4" s="80" t="s">
        <v>41</v>
      </c>
      <c r="U4" s="83" t="s">
        <v>42</v>
      </c>
      <c r="V4" s="84" t="s">
        <v>43</v>
      </c>
      <c r="W4" s="85" t="s">
        <v>37</v>
      </c>
      <c r="X4" s="79" t="s">
        <v>38</v>
      </c>
      <c r="Y4" s="79" t="s">
        <v>39</v>
      </c>
      <c r="Z4" s="79" t="s">
        <v>40</v>
      </c>
      <c r="AA4" s="80" t="s">
        <v>41</v>
      </c>
      <c r="AB4" s="86" t="s">
        <v>44</v>
      </c>
      <c r="AC4" s="87" t="s">
        <v>45</v>
      </c>
      <c r="AD4" s="88" t="s">
        <v>46</v>
      </c>
      <c r="AE4" s="88" t="s">
        <v>47</v>
      </c>
      <c r="AF4" s="89" t="s">
        <v>48</v>
      </c>
      <c r="AG4" s="89" t="s">
        <v>49</v>
      </c>
      <c r="AH4" s="90" t="s">
        <v>50</v>
      </c>
      <c r="AI4" s="91" t="s">
        <v>51</v>
      </c>
      <c r="AJ4" s="91"/>
      <c r="AK4" s="91" t="s">
        <v>52</v>
      </c>
      <c r="AL4" s="92"/>
      <c r="AM4" s="93"/>
      <c r="AN4" s="94"/>
      <c r="AO4" s="95"/>
      <c r="AP4" s="70"/>
      <c r="AQ4" s="65"/>
      <c r="AR4" s="93"/>
      <c r="AS4" s="65"/>
      <c r="AT4" s="65"/>
      <c r="AU4" s="65"/>
      <c r="AV4" s="96"/>
      <c r="AW4" s="65"/>
      <c r="AX4" s="65"/>
    </row>
    <row r="5" ht="46.5" customHeight="1" spans="1:50" s="97" customFormat="1" x14ac:dyDescent="0.25">
      <c r="A5" s="98">
        <v>1</v>
      </c>
      <c r="B5" s="99"/>
      <c r="C5" s="203" t="s">
        <v>54</v>
      </c>
      <c r="D5" s="102"/>
      <c r="E5" s="102"/>
      <c r="F5" s="102"/>
      <c r="G5" s="103"/>
      <c r="H5" s="104"/>
      <c r="I5" s="105">
        <v>1</v>
      </c>
      <c r="J5" s="106"/>
      <c r="K5" s="107"/>
      <c r="L5" s="108"/>
      <c r="M5" s="109"/>
      <c r="N5" s="110">
        <f>SUM(I5:M5)</f>
        <v>1</v>
      </c>
      <c r="O5" s="111">
        <v>1</v>
      </c>
      <c r="P5" s="112">
        <v>15</v>
      </c>
      <c r="Q5" s="113"/>
      <c r="R5" s="112"/>
      <c r="S5" s="114"/>
      <c r="T5" s="115"/>
      <c r="U5" s="116">
        <f>ROUND(((P5*I5)+(Q5*J5)+(R5*K5)+(S5*L5)+(T5*M5))*O5,2)</f>
        <v>15</v>
      </c>
      <c r="V5" s="117">
        <f>IF(U5&gt;=15,15,U5)</f>
        <v>15</v>
      </c>
      <c r="W5" s="204">
        <v>21672377000</v>
      </c>
      <c r="X5" s="119"/>
      <c r="Y5" s="120"/>
      <c r="Z5" s="121"/>
      <c r="AA5" s="122"/>
      <c r="AB5" s="123">
        <f>ROUND((((W5*I5)+(X5*J5)+(Y5*K5)+(Z5*L5)+(AA5*M5))/$I$2),2)*13</f>
        <v>71.63</v>
      </c>
      <c r="AC5" s="124">
        <f>IF(AB5&gt;=13,13,AB5)</f>
        <v>13</v>
      </c>
      <c r="AD5" s="125">
        <v>2</v>
      </c>
      <c r="AE5" s="116">
        <f>IF((AC5+AD5)&gt;=15,15,(AC5+AD5))</f>
        <v>15</v>
      </c>
      <c r="AF5" s="126"/>
      <c r="AG5" s="127">
        <v>4.96</v>
      </c>
      <c r="AH5" s="128">
        <f>IF((V5+AE5+AF5)&gt;=30,30,(V5+AE5+AF5))</f>
        <v>30</v>
      </c>
      <c r="AI5" s="129">
        <v>65</v>
      </c>
      <c r="AJ5" s="128">
        <f>V5+AE5+AF5+AI5+AG5</f>
        <v>99.96</v>
      </c>
      <c r="AK5" s="128">
        <f>IF(AH5+AI5+AG5&gt;=95,95,AH5+AI5+AG5)</f>
        <v>95</v>
      </c>
      <c r="AL5" s="130">
        <f>-((50-((176+(45+(50-AH5)))))/200)</f>
        <v>0.955</v>
      </c>
      <c r="AM5" s="131"/>
      <c r="AN5" s="132">
        <f>100%+AM5</f>
        <v>1</v>
      </c>
      <c r="AO5" s="132">
        <f>100%+AN5</f>
        <v>2</v>
      </c>
      <c r="AP5" s="133"/>
      <c r="AQ5" s="134"/>
      <c r="AR5" s="135"/>
      <c r="AS5" s="135"/>
      <c r="AT5" s="135"/>
      <c r="AU5" s="135"/>
      <c r="AV5" s="136"/>
      <c r="AW5" s="137">
        <f>AR5+AS5+AT5+AU5+AV5</f>
        <v>0</v>
      </c>
      <c r="AX5" s="137">
        <f>(AR5*I5)+(AS5*J5)+(AT5*K5)+(AU5*L5)+(AV5*M5)</f>
        <v>0</v>
      </c>
    </row>
    <row r="6" ht="21.95" customHeight="1" spans="1:50" s="97" customFormat="1" x14ac:dyDescent="0.25">
      <c r="A6" s="138" t="s">
        <v>56</v>
      </c>
      <c r="B6" s="139"/>
      <c r="C6" s="139"/>
      <c r="D6" s="139"/>
      <c r="E6" s="139"/>
      <c r="F6" s="139"/>
      <c r="G6" s="139"/>
      <c r="H6" s="140"/>
      <c r="I6" s="142">
        <v>85</v>
      </c>
      <c r="J6" s="142"/>
      <c r="K6" s="142"/>
      <c r="L6" s="142"/>
      <c r="M6" s="142"/>
      <c r="N6" s="143">
        <f>I6*I5+J6*J5+K6*K5+L6*L5+M6*M5</f>
        <v>85</v>
      </c>
      <c r="O6" s="144"/>
      <c r="P6" s="145"/>
      <c r="Q6" s="113"/>
      <c r="R6" s="113"/>
      <c r="S6" s="146"/>
      <c r="T6" s="147"/>
      <c r="U6" s="148"/>
      <c r="V6" s="149"/>
      <c r="W6" s="150"/>
      <c r="X6" s="151"/>
      <c r="Y6" s="152"/>
      <c r="Z6" s="151"/>
      <c r="AA6" s="153"/>
      <c r="AB6" s="154"/>
      <c r="AC6" s="149"/>
      <c r="AD6" s="148"/>
      <c r="AE6" s="148"/>
      <c r="AF6" s="155"/>
      <c r="AG6" s="156"/>
      <c r="AH6" s="113"/>
      <c r="AI6" s="157"/>
      <c r="AJ6" s="113"/>
      <c r="AK6" s="113"/>
      <c r="AL6" s="158"/>
      <c r="AM6" s="159"/>
      <c r="AN6" s="160"/>
      <c r="AO6" s="160"/>
      <c r="AP6" s="133"/>
      <c r="AQ6" s="134"/>
      <c r="AR6" s="161"/>
      <c r="AS6" s="161"/>
      <c r="AT6" s="161"/>
      <c r="AU6" s="161"/>
      <c r="AV6" s="162"/>
      <c r="AW6" s="137"/>
      <c r="AX6" s="137"/>
    </row>
    <row r="7" ht="46.5" customHeight="1" spans="1:50" s="97" customFormat="1" x14ac:dyDescent="0.25">
      <c r="A7" s="98">
        <v>2</v>
      </c>
      <c r="B7" s="99"/>
      <c r="C7" s="285" t="s">
        <v>357</v>
      </c>
      <c r="D7" s="286" t="s">
        <v>125</v>
      </c>
      <c r="E7" s="253" t="s">
        <v>358</v>
      </c>
      <c r="F7" s="163"/>
      <c r="G7" s="164"/>
      <c r="H7" s="165" t="s">
        <v>127</v>
      </c>
      <c r="I7" s="287">
        <v>0.2686</v>
      </c>
      <c r="J7" s="250">
        <v>0.3</v>
      </c>
      <c r="K7" s="250">
        <v>0.3</v>
      </c>
      <c r="L7" s="167"/>
      <c r="M7" s="168"/>
      <c r="N7" s="230">
        <f>SUM(I7:M7)</f>
        <v>0.8686</v>
      </c>
      <c r="O7" s="111">
        <v>1</v>
      </c>
      <c r="P7" s="263">
        <v>15</v>
      </c>
      <c r="Q7" s="268">
        <v>15</v>
      </c>
      <c r="R7" s="268">
        <v>15</v>
      </c>
      <c r="S7" s="113"/>
      <c r="T7" s="147"/>
      <c r="U7" s="148">
        <f>ROUND(((P7*I7)+(Q7*J7)+(R7*K7)+(S7*L7)+(T7*M7))*O7,2)</f>
        <v>13.03</v>
      </c>
      <c r="V7" s="149">
        <f>IF(U7&gt;=15,15,U7)</f>
        <v>13.03</v>
      </c>
      <c r="W7" s="264">
        <v>1555486000</v>
      </c>
      <c r="X7" s="264">
        <v>14338094000</v>
      </c>
      <c r="Y7" s="264">
        <v>3270462000</v>
      </c>
      <c r="Z7" s="151"/>
      <c r="AA7" s="153"/>
      <c r="AB7" s="154">
        <f>ROUND((((W7*I7)+(X7*J7)+(Y7*K7)+(Z7*L7)+(AA7*M7))/$I$2),2)*13</f>
        <v>18.849999999999998</v>
      </c>
      <c r="AC7" s="149">
        <f>IF(AB7&gt;=13,13,AB7)</f>
        <v>13</v>
      </c>
      <c r="AD7" s="125">
        <v>0</v>
      </c>
      <c r="AE7" s="148">
        <f>IF((AC7+AD7)&gt;=15,15,(AC7+AD7))</f>
        <v>13</v>
      </c>
      <c r="AF7" s="155"/>
      <c r="AG7" s="127">
        <v>4.96</v>
      </c>
      <c r="AH7" s="113">
        <f>IF((V7+AE7+AF7)&gt;=30,30,(V7+AE7+AF7))</f>
        <v>26.03</v>
      </c>
      <c r="AI7" s="157">
        <v>65</v>
      </c>
      <c r="AJ7" s="113">
        <f>V7+AE7+AF7+AI7+AG7</f>
        <v>95.99</v>
      </c>
      <c r="AK7" s="113">
        <f>IF(AH7+AI7+AG7&gt;=95,95,AH7+AI7+AG7)</f>
        <v>95</v>
      </c>
      <c r="AL7" s="158">
        <f>-((50-((176+(45+(50-AH7)))))/200)</f>
        <v>0.97485</v>
      </c>
      <c r="AM7" s="159"/>
      <c r="AN7" s="160">
        <f>100%+AM7</f>
        <v>1</v>
      </c>
      <c r="AO7" s="160">
        <f>100%+AN7</f>
        <v>2</v>
      </c>
      <c r="AP7" s="133"/>
      <c r="AQ7" s="134"/>
      <c r="AR7" s="161"/>
      <c r="AS7" s="161"/>
      <c r="AT7" s="161"/>
      <c r="AU7" s="161"/>
      <c r="AV7" s="162"/>
      <c r="AW7" s="137">
        <f>AR7+AS7+AT7+AU7+AV7</f>
        <v>0</v>
      </c>
      <c r="AX7" s="137">
        <f>(AR7*I7)+(AS7*J7)+(AT7*K7)+(AU7*L7)+(AV7*M7)</f>
        <v>0</v>
      </c>
    </row>
    <row r="8" ht="21.95" customHeight="1" spans="1:50" s="97" customFormat="1" x14ac:dyDescent="0.25">
      <c r="A8" s="138" t="s">
        <v>56</v>
      </c>
      <c r="B8" s="139"/>
      <c r="C8" s="139"/>
      <c r="D8" s="139"/>
      <c r="E8" s="139"/>
      <c r="F8" s="139"/>
      <c r="G8" s="139"/>
      <c r="H8" s="140"/>
      <c r="I8" s="142">
        <v>85</v>
      </c>
      <c r="J8" s="142">
        <v>85</v>
      </c>
      <c r="K8" s="142">
        <v>85</v>
      </c>
      <c r="L8" s="142"/>
      <c r="M8" s="142"/>
      <c r="N8" s="170">
        <f>I8*I7+J8*J7+K8*K7+L8*L7+M8*M7</f>
        <v>73.831</v>
      </c>
      <c r="O8" s="144"/>
      <c r="P8" s="145"/>
      <c r="Q8" s="113"/>
      <c r="R8" s="113"/>
      <c r="S8" s="146"/>
      <c r="T8" s="147"/>
      <c r="U8" s="148"/>
      <c r="V8" s="149"/>
      <c r="W8" s="150"/>
      <c r="X8" s="151"/>
      <c r="Y8" s="152"/>
      <c r="Z8" s="151"/>
      <c r="AA8" s="153"/>
      <c r="AB8" s="154"/>
      <c r="AC8" s="149"/>
      <c r="AD8" s="148"/>
      <c r="AE8" s="148"/>
      <c r="AF8" s="155"/>
      <c r="AG8" s="156"/>
      <c r="AH8" s="113"/>
      <c r="AI8" s="157"/>
      <c r="AJ8" s="113"/>
      <c r="AK8" s="113"/>
      <c r="AL8" s="158"/>
      <c r="AM8" s="159"/>
      <c r="AN8" s="160"/>
      <c r="AO8" s="160"/>
      <c r="AP8" s="133"/>
      <c r="AQ8" s="134"/>
      <c r="AR8" s="161"/>
      <c r="AS8" s="161"/>
      <c r="AT8" s="161"/>
      <c r="AU8" s="161"/>
      <c r="AV8" s="162"/>
      <c r="AW8" s="137"/>
      <c r="AX8" s="137"/>
    </row>
    <row r="9" ht="46.5" customHeight="1" spans="1:50" s="97" customFormat="1" x14ac:dyDescent="0.25">
      <c r="A9" s="98">
        <v>3</v>
      </c>
      <c r="B9" s="99"/>
      <c r="C9" s="205" t="s">
        <v>59</v>
      </c>
      <c r="D9" s="102"/>
      <c r="E9" s="102"/>
      <c r="F9" s="163"/>
      <c r="G9" s="103"/>
      <c r="H9" s="171"/>
      <c r="I9" s="166">
        <v>1</v>
      </c>
      <c r="J9" s="107"/>
      <c r="K9" s="107"/>
      <c r="L9" s="167"/>
      <c r="M9" s="168"/>
      <c r="N9" s="169">
        <f>SUM(I9:M9)</f>
        <v>1</v>
      </c>
      <c r="O9" s="144">
        <v>1</v>
      </c>
      <c r="P9" s="112">
        <v>15</v>
      </c>
      <c r="Q9" s="112"/>
      <c r="R9" s="112"/>
      <c r="S9" s="146"/>
      <c r="T9" s="147"/>
      <c r="U9" s="148">
        <f>ROUND(((P9*I9)+(Q9*J9)+(R9*K9)+(S9*L9)+(T9*M9))*O9,2)</f>
        <v>15</v>
      </c>
      <c r="V9" s="149">
        <f>IF(U9&gt;=15,15,U9)</f>
        <v>15</v>
      </c>
      <c r="W9" s="206">
        <v>7038779000</v>
      </c>
      <c r="X9" s="120"/>
      <c r="Y9" s="120"/>
      <c r="Z9" s="151"/>
      <c r="AA9" s="153"/>
      <c r="AB9" s="154">
        <f>ROUND((((W9*I9)+(X9*J9)+(Y9*K9)+(Z9*L9)+(AA9*M9))/$I$2),2)*13</f>
        <v>23.27</v>
      </c>
      <c r="AC9" s="149">
        <f>IF(AB9&gt;=13,13,AB9)</f>
        <v>13</v>
      </c>
      <c r="AD9" s="125">
        <v>2</v>
      </c>
      <c r="AE9" s="148">
        <f>IF((AC9+AD9)&gt;=15,15,(AC9+AD9))</f>
        <v>15</v>
      </c>
      <c r="AF9" s="155"/>
      <c r="AG9" s="127">
        <v>4.96</v>
      </c>
      <c r="AH9" s="113">
        <f>IF((V9+AE9+AF9)&gt;=30,30,(V9+AE9+AF9))</f>
        <v>30</v>
      </c>
      <c r="AI9" s="157">
        <v>65</v>
      </c>
      <c r="AJ9" s="113">
        <f>V9+AE9+AF9+AI9+AG9</f>
        <v>99.96</v>
      </c>
      <c r="AK9" s="113">
        <f>IF(AH9+AI9+AG9&gt;=95,95,AH9+AI9+AG9)</f>
        <v>95</v>
      </c>
      <c r="AL9" s="158">
        <f>-((50-((176+(45+(50-AH9)))))/200)</f>
        <v>0.955</v>
      </c>
      <c r="AM9" s="159"/>
      <c r="AN9" s="160">
        <f>100%+AM9</f>
        <v>1</v>
      </c>
      <c r="AO9" s="160">
        <f>100%+AN9</f>
        <v>2</v>
      </c>
      <c r="AP9" s="133"/>
      <c r="AQ9" s="134"/>
      <c r="AR9" s="161"/>
      <c r="AS9" s="161"/>
      <c r="AT9" s="161"/>
      <c r="AU9" s="161"/>
      <c r="AV9" s="162"/>
      <c r="AW9" s="172">
        <f>AR9+AS9+AT9+AU9+AV9</f>
        <v>0</v>
      </c>
      <c r="AX9" s="172">
        <f>(AR9*I9)+(AS9*J9)+(AT9*K9)+(AU9*L9)+(AV9*M9)</f>
        <v>0</v>
      </c>
    </row>
    <row r="10" ht="21.95" customHeight="1" spans="1:50" s="97" customFormat="1" x14ac:dyDescent="0.25">
      <c r="A10" s="138" t="s">
        <v>56</v>
      </c>
      <c r="B10" s="139"/>
      <c r="C10" s="139"/>
      <c r="D10" s="139"/>
      <c r="E10" s="139"/>
      <c r="F10" s="139"/>
      <c r="G10" s="139"/>
      <c r="H10" s="140"/>
      <c r="I10" s="142">
        <v>85</v>
      </c>
      <c r="J10" s="142"/>
      <c r="K10" s="142"/>
      <c r="L10" s="142"/>
      <c r="M10" s="142"/>
      <c r="N10" s="170">
        <f>I10*I9+J10*J9+K10*K9+L10*L9+M10*M9</f>
        <v>85</v>
      </c>
      <c r="O10" s="144"/>
      <c r="P10" s="145"/>
      <c r="Q10" s="113"/>
      <c r="R10" s="113"/>
      <c r="S10" s="146"/>
      <c r="T10" s="147"/>
      <c r="U10" s="148"/>
      <c r="V10" s="149"/>
      <c r="W10" s="150"/>
      <c r="X10" s="151"/>
      <c r="Y10" s="152"/>
      <c r="Z10" s="151"/>
      <c r="AA10" s="153"/>
      <c r="AB10" s="154"/>
      <c r="AC10" s="149"/>
      <c r="AD10" s="148"/>
      <c r="AE10" s="148"/>
      <c r="AF10" s="155"/>
      <c r="AG10" s="156"/>
      <c r="AH10" s="113"/>
      <c r="AI10" s="157"/>
      <c r="AJ10" s="113"/>
      <c r="AK10" s="113"/>
      <c r="AL10" s="158"/>
      <c r="AM10" s="159"/>
      <c r="AN10" s="160"/>
      <c r="AO10" s="160"/>
      <c r="AP10" s="133"/>
      <c r="AQ10" s="134"/>
      <c r="AR10" s="161"/>
      <c r="AS10" s="161"/>
      <c r="AT10" s="161"/>
      <c r="AU10" s="161"/>
      <c r="AV10" s="162"/>
      <c r="AW10" s="137"/>
      <c r="AX10" s="137"/>
    </row>
    <row r="11" ht="46.5" customHeight="1" spans="1:50" s="97" customFormat="1" x14ac:dyDescent="0.25">
      <c r="A11" s="98">
        <v>4</v>
      </c>
      <c r="B11" s="99"/>
      <c r="C11" s="205" t="s">
        <v>57</v>
      </c>
      <c r="D11" s="102"/>
      <c r="E11" s="100"/>
      <c r="F11" s="163"/>
      <c r="G11" s="103"/>
      <c r="H11" s="171"/>
      <c r="I11" s="166">
        <v>1</v>
      </c>
      <c r="J11" s="175"/>
      <c r="K11" s="107"/>
      <c r="L11" s="176"/>
      <c r="M11" s="168"/>
      <c r="N11" s="169">
        <f>SUM(I11:M11)</f>
        <v>1</v>
      </c>
      <c r="O11" s="144">
        <v>1</v>
      </c>
      <c r="P11" s="112">
        <v>15</v>
      </c>
      <c r="Q11" s="178"/>
      <c r="R11" s="178"/>
      <c r="S11" s="113"/>
      <c r="T11" s="147"/>
      <c r="U11" s="148">
        <f>ROUND(((P11*I11)+(Q11*J11)+(R11*K11)+(S11*L11)+(T11*M11))*O11,2)</f>
        <v>15</v>
      </c>
      <c r="V11" s="149">
        <f>IF(U11&gt;=15,15,U11)</f>
        <v>15</v>
      </c>
      <c r="W11" s="206">
        <v>15563060000</v>
      </c>
      <c r="X11" s="120"/>
      <c r="Y11" s="120"/>
      <c r="Z11" s="151"/>
      <c r="AA11" s="153"/>
      <c r="AB11" s="154">
        <f>ROUND((((W11*I11)+(X11*J11)+(Y11*K11)+(Z11*L11)+(AA11*M11))/$I$2),2)*13</f>
        <v>51.48</v>
      </c>
      <c r="AC11" s="149">
        <f>IF(AB11&gt;=13,13,AB11)</f>
        <v>13</v>
      </c>
      <c r="AD11" s="125">
        <v>2</v>
      </c>
      <c r="AE11" s="148">
        <f>IF((AC11+AD11)&gt;=15,15,(AC11+AD11))</f>
        <v>15</v>
      </c>
      <c r="AF11" s="207"/>
      <c r="AG11" s="127">
        <v>4.96</v>
      </c>
      <c r="AH11" s="113">
        <f>IF((V11+AE11+AF11)&gt;=30,30,(V11+AE11+AF11))</f>
        <v>30</v>
      </c>
      <c r="AI11" s="157">
        <v>65</v>
      </c>
      <c r="AJ11" s="113">
        <f>V11+AE11+AF11+AI11+AG11</f>
        <v>99.96</v>
      </c>
      <c r="AK11" s="113">
        <f>IF(AH11+AI11+AG11&gt;=95,95,AH11+AI11+AG11)</f>
        <v>95</v>
      </c>
      <c r="AL11" s="158">
        <f>-((50-((176+(45+(50-AH11)))))/200)</f>
        <v>0.955</v>
      </c>
      <c r="AM11" s="159"/>
      <c r="AN11" s="160">
        <f>100%+AM11</f>
        <v>1</v>
      </c>
      <c r="AO11" s="160">
        <f>100%+AN11</f>
        <v>2</v>
      </c>
      <c r="AP11" s="133"/>
      <c r="AQ11" s="134"/>
      <c r="AR11" s="161"/>
      <c r="AS11" s="161"/>
      <c r="AT11" s="161"/>
      <c r="AU11" s="161"/>
      <c r="AV11" s="162"/>
      <c r="AW11" s="137">
        <f>AR11+AS11+AT11+AU11+AV11</f>
        <v>0</v>
      </c>
      <c r="AX11" s="137">
        <f>(AR11*I11)+(AS11*J11)+(AT11*K11)+(AU11*L11)+(AV11*M11)</f>
        <v>0</v>
      </c>
    </row>
    <row r="12" ht="21.95" customHeight="1" spans="1:50" s="97" customFormat="1" x14ac:dyDescent="0.25">
      <c r="A12" s="138" t="s">
        <v>56</v>
      </c>
      <c r="B12" s="139"/>
      <c r="C12" s="139"/>
      <c r="D12" s="139"/>
      <c r="E12" s="139"/>
      <c r="F12" s="139"/>
      <c r="G12" s="139"/>
      <c r="H12" s="140"/>
      <c r="I12" s="181">
        <v>85</v>
      </c>
      <c r="J12" s="142"/>
      <c r="K12" s="142"/>
      <c r="L12" s="142"/>
      <c r="M12" s="142"/>
      <c r="N12" s="170">
        <f>I12*I11+J12*J11+K12*K11+L12*L11+M12*M11</f>
        <v>85</v>
      </c>
      <c r="O12" s="144"/>
      <c r="P12" s="145"/>
      <c r="Q12" s="113"/>
      <c r="R12" s="113"/>
      <c r="S12" s="146"/>
      <c r="T12" s="147"/>
      <c r="U12" s="148"/>
      <c r="V12" s="149"/>
      <c r="W12" s="150"/>
      <c r="X12" s="151"/>
      <c r="Y12" s="152"/>
      <c r="Z12" s="151"/>
      <c r="AA12" s="153"/>
      <c r="AB12" s="154"/>
      <c r="AC12" s="149"/>
      <c r="AD12" s="148"/>
      <c r="AE12" s="148"/>
      <c r="AF12" s="155"/>
      <c r="AG12" s="156"/>
      <c r="AH12" s="113"/>
      <c r="AI12" s="157"/>
      <c r="AJ12" s="113"/>
      <c r="AK12" s="113"/>
      <c r="AL12" s="158"/>
      <c r="AM12" s="159"/>
      <c r="AN12" s="160"/>
      <c r="AO12" s="160"/>
      <c r="AP12" s="133"/>
      <c r="AQ12" s="134"/>
      <c r="AR12" s="161"/>
      <c r="AS12" s="161"/>
      <c r="AT12" s="161"/>
      <c r="AU12" s="161"/>
      <c r="AV12" s="162"/>
      <c r="AW12" s="137"/>
      <c r="AX12" s="137"/>
    </row>
    <row r="13" ht="46.5" customHeight="1" spans="1:50" s="97" customFormat="1" x14ac:dyDescent="0.25">
      <c r="A13" s="98">
        <v>5</v>
      </c>
      <c r="B13" s="99"/>
      <c r="C13" s="205" t="s">
        <v>63</v>
      </c>
      <c r="D13" s="100"/>
      <c r="E13" s="100"/>
      <c r="F13" s="163"/>
      <c r="G13" s="103"/>
      <c r="H13" s="182"/>
      <c r="I13" s="166">
        <v>1</v>
      </c>
      <c r="J13" s="107"/>
      <c r="K13" s="107"/>
      <c r="L13" s="167"/>
      <c r="M13" s="168"/>
      <c r="N13" s="169">
        <f>SUM(I13:M13)</f>
        <v>1</v>
      </c>
      <c r="O13" s="144">
        <v>1</v>
      </c>
      <c r="P13" s="112">
        <v>15</v>
      </c>
      <c r="Q13" s="178"/>
      <c r="R13" s="112"/>
      <c r="S13" s="146"/>
      <c r="T13" s="120"/>
      <c r="U13" s="148">
        <f>ROUND(((P13*I13)+(Q13*J13)+(R13*K13)+(S13*L13)+(T13*M13))*O13,2)</f>
        <v>15</v>
      </c>
      <c r="V13" s="149">
        <f>IF(U13&gt;=15,15,U13)</f>
        <v>15</v>
      </c>
      <c r="W13" s="206">
        <v>11716746000</v>
      </c>
      <c r="X13" s="120"/>
      <c r="Y13" s="183"/>
      <c r="Z13" s="151"/>
      <c r="AA13" s="153"/>
      <c r="AB13" s="154">
        <f>ROUND((((W13*I13)+(X13*J13)+(Y13*K13)+(Z13*L13)+(AA13*M13))/$I$2),2)*13</f>
        <v>38.74</v>
      </c>
      <c r="AC13" s="149">
        <f>IF(AB13&gt;=13,13,AB13)</f>
        <v>13</v>
      </c>
      <c r="AD13" s="125">
        <v>2</v>
      </c>
      <c r="AE13" s="148">
        <f>IF((AC13+AD13)&gt;=15,15,(AC13+AD13))</f>
        <v>15</v>
      </c>
      <c r="AF13" s="207"/>
      <c r="AG13" s="127">
        <v>4.96</v>
      </c>
      <c r="AH13" s="113">
        <f>IF((V13+AE13+AF13)&gt;=30,30,(V13+AE13+AF13))</f>
        <v>30</v>
      </c>
      <c r="AI13" s="157">
        <v>65</v>
      </c>
      <c r="AJ13" s="113">
        <f>V13+AE13+AF13+AI13+AG13</f>
        <v>99.96</v>
      </c>
      <c r="AK13" s="113">
        <f>IF(AH13+AI13+AG13&gt;=95,95,AH13+AI13+AG13)</f>
        <v>95</v>
      </c>
      <c r="AL13" s="158">
        <f>-((50-((176+(45+(50-AH13)))))/200)</f>
        <v>0.955</v>
      </c>
      <c r="AM13" s="159"/>
      <c r="AN13" s="160">
        <f>100%+AM13</f>
        <v>1</v>
      </c>
      <c r="AO13" s="160">
        <f>100%+AN13</f>
        <v>2</v>
      </c>
      <c r="AP13" s="133"/>
      <c r="AQ13" s="134"/>
      <c r="AR13" s="161"/>
      <c r="AS13" s="161"/>
      <c r="AT13" s="161"/>
      <c r="AU13" s="161"/>
      <c r="AV13" s="162"/>
      <c r="AW13" s="137">
        <f>AR13+AS13+AT13+AU13+AV13</f>
        <v>0</v>
      </c>
      <c r="AX13" s="137">
        <f>(AR13*I13)+(AS13*J13)+(AT13*K13)+(AU13*L13)+(AV13*M13)</f>
        <v>0</v>
      </c>
    </row>
    <row r="14" ht="21.95" customHeight="1" spans="1:50" s="97" customFormat="1" x14ac:dyDescent="0.25">
      <c r="A14" s="138" t="s">
        <v>56</v>
      </c>
      <c r="B14" s="139"/>
      <c r="C14" s="139"/>
      <c r="D14" s="139"/>
      <c r="E14" s="139"/>
      <c r="F14" s="139"/>
      <c r="G14" s="139"/>
      <c r="H14" s="140"/>
      <c r="I14" s="142">
        <v>85</v>
      </c>
      <c r="J14" s="142"/>
      <c r="K14" s="142"/>
      <c r="L14" s="142"/>
      <c r="M14" s="142"/>
      <c r="N14" s="170">
        <f>I14*I13+J14*J13+K14*K13+L14*L13+M14*M13</f>
        <v>85</v>
      </c>
      <c r="O14" s="144"/>
      <c r="P14" s="145"/>
      <c r="Q14" s="113"/>
      <c r="R14" s="113"/>
      <c r="S14" s="146"/>
      <c r="T14" s="147"/>
      <c r="U14" s="148"/>
      <c r="V14" s="149"/>
      <c r="W14" s="150"/>
      <c r="X14" s="151"/>
      <c r="Y14" s="152"/>
      <c r="Z14" s="151"/>
      <c r="AA14" s="153"/>
      <c r="AB14" s="154"/>
      <c r="AC14" s="149"/>
      <c r="AD14" s="148"/>
      <c r="AE14" s="148"/>
      <c r="AF14" s="155"/>
      <c r="AG14" s="156"/>
      <c r="AH14" s="113"/>
      <c r="AI14" s="157"/>
      <c r="AJ14" s="113"/>
      <c r="AK14" s="113"/>
      <c r="AL14" s="158"/>
      <c r="AM14" s="159"/>
      <c r="AN14" s="160"/>
      <c r="AO14" s="160"/>
      <c r="AP14" s="133"/>
      <c r="AQ14" s="134"/>
      <c r="AR14" s="161"/>
      <c r="AS14" s="161"/>
      <c r="AT14" s="161"/>
      <c r="AU14" s="161"/>
      <c r="AV14" s="162"/>
      <c r="AW14" s="137"/>
      <c r="AX14" s="137"/>
    </row>
    <row r="15" ht="46.5" customHeight="1" spans="1:50" s="97" customFormat="1" x14ac:dyDescent="0.25">
      <c r="A15" s="98">
        <v>6</v>
      </c>
      <c r="B15" s="99"/>
      <c r="C15" s="209" t="s">
        <v>359</v>
      </c>
      <c r="D15" s="249" t="s">
        <v>360</v>
      </c>
      <c r="E15" s="100"/>
      <c r="F15" s="100"/>
      <c r="G15" s="103"/>
      <c r="H15" s="231" t="s">
        <v>361</v>
      </c>
      <c r="I15" s="232">
        <v>0.655</v>
      </c>
      <c r="J15" s="250">
        <v>0.3</v>
      </c>
      <c r="K15" s="107"/>
      <c r="L15" s="167"/>
      <c r="M15" s="168"/>
      <c r="N15" s="230">
        <f>SUM(I15:M15)</f>
        <v>0.9550000000000001</v>
      </c>
      <c r="O15" s="144">
        <v>1</v>
      </c>
      <c r="P15" s="112">
        <v>15</v>
      </c>
      <c r="Q15" s="263">
        <v>15</v>
      </c>
      <c r="R15" s="184"/>
      <c r="S15" s="146"/>
      <c r="T15" s="147"/>
      <c r="U15" s="148">
        <f>ROUND(((P15*I15)+(Q15*J15)+(R15*K15)+(S15*L15)+(T15*M15))*O15,2)</f>
        <v>14.33</v>
      </c>
      <c r="V15" s="149">
        <f>IF(U15&gt;=15,15,U15)</f>
        <v>14.33</v>
      </c>
      <c r="W15" s="211">
        <v>7643696000</v>
      </c>
      <c r="X15" s="288">
        <v>2164716000</v>
      </c>
      <c r="Y15" s="120"/>
      <c r="Z15" s="151"/>
      <c r="AA15" s="153"/>
      <c r="AB15" s="154">
        <f>ROUND((((W15*I15)+(X15*J15)+(Y15*K15)+(Z15*L15)+(AA15*M15))/$I$2),2)*13</f>
        <v>18.72</v>
      </c>
      <c r="AC15" s="149">
        <f>IF(AB15&gt;=13,13,AB15)</f>
        <v>13</v>
      </c>
      <c r="AD15" s="125">
        <v>1</v>
      </c>
      <c r="AE15" s="148">
        <f>IF((AC15+AD15)&gt;=15,15,(AC15+AD15))</f>
        <v>14</v>
      </c>
      <c r="AF15" s="155"/>
      <c r="AG15" s="127">
        <v>4.96</v>
      </c>
      <c r="AH15" s="113">
        <f>IF((V15+AE15+AF15)&gt;=30,30,(V15+AE15+AF15))</f>
        <v>28.33</v>
      </c>
      <c r="AI15" s="157">
        <v>65</v>
      </c>
      <c r="AJ15" s="113">
        <f>V15+AE15+AF15+AI15+AG15</f>
        <v>98.28999999999999</v>
      </c>
      <c r="AK15" s="113">
        <f>IF(AH15+AI15+AG15&gt;=95,95,AH15+AI15+AG15)</f>
        <v>95</v>
      </c>
      <c r="AL15" s="158">
        <f>-((50-((176+(45+(50-AH15)))))/200)</f>
        <v>0.96335</v>
      </c>
      <c r="AM15" s="159"/>
      <c r="AN15" s="160">
        <f>100%+AM15</f>
        <v>1</v>
      </c>
      <c r="AO15" s="160">
        <f>100%+AN15</f>
        <v>2</v>
      </c>
      <c r="AP15" s="133"/>
      <c r="AQ15" s="134"/>
      <c r="AR15" s="161"/>
      <c r="AS15" s="161"/>
      <c r="AT15" s="161"/>
      <c r="AU15" s="161"/>
      <c r="AV15" s="162"/>
      <c r="AW15" s="137">
        <f>AR15+AS15+AT15+AU15+AV15</f>
        <v>0</v>
      </c>
      <c r="AX15" s="137">
        <f>(AR15*I15)+(AS15*J15)+(AT15*K15)+(AU15*L15)+(AV15*M15)</f>
        <v>0</v>
      </c>
    </row>
    <row r="16" ht="21.95" customHeight="1" spans="1:50" s="97" customFormat="1" x14ac:dyDescent="0.25">
      <c r="A16" s="138" t="s">
        <v>56</v>
      </c>
      <c r="B16" s="139"/>
      <c r="C16" s="139"/>
      <c r="D16" s="139"/>
      <c r="E16" s="139"/>
      <c r="F16" s="139"/>
      <c r="G16" s="139"/>
      <c r="H16" s="140"/>
      <c r="I16" s="181">
        <v>85</v>
      </c>
      <c r="J16" s="142">
        <v>85</v>
      </c>
      <c r="K16" s="142"/>
      <c r="L16" s="142"/>
      <c r="M16" s="142"/>
      <c r="N16" s="170">
        <f>I16*I15+J16*J15+K16*K15+L16*L15+M16*M15</f>
        <v>81.17500000000001</v>
      </c>
      <c r="O16" s="144"/>
      <c r="P16" s="145"/>
      <c r="Q16" s="113"/>
      <c r="R16" s="113"/>
      <c r="S16" s="146"/>
      <c r="T16" s="147"/>
      <c r="U16" s="148"/>
      <c r="V16" s="149"/>
      <c r="W16" s="150"/>
      <c r="X16" s="151"/>
      <c r="Y16" s="152"/>
      <c r="Z16" s="151"/>
      <c r="AA16" s="153"/>
      <c r="AB16" s="154"/>
      <c r="AC16" s="149"/>
      <c r="AD16" s="148"/>
      <c r="AE16" s="148"/>
      <c r="AF16" s="155"/>
      <c r="AG16" s="156"/>
      <c r="AH16" s="113"/>
      <c r="AI16" s="157"/>
      <c r="AJ16" s="113"/>
      <c r="AK16" s="113"/>
      <c r="AL16" s="158"/>
      <c r="AM16" s="159"/>
      <c r="AN16" s="160"/>
      <c r="AO16" s="160"/>
      <c r="AP16" s="133"/>
      <c r="AQ16" s="134"/>
      <c r="AR16" s="161"/>
      <c r="AS16" s="161"/>
      <c r="AT16" s="161"/>
      <c r="AU16" s="161"/>
      <c r="AV16" s="162"/>
      <c r="AW16" s="137"/>
      <c r="AX16" s="137"/>
    </row>
    <row r="17" ht="46.5" customHeight="1" spans="1:50" s="97" customFormat="1" x14ac:dyDescent="0.25">
      <c r="A17" s="98">
        <v>7</v>
      </c>
      <c r="B17" s="99"/>
      <c r="C17" s="100" t="s">
        <v>130</v>
      </c>
      <c r="D17" s="174" t="s">
        <v>131</v>
      </c>
      <c r="E17" s="100"/>
      <c r="F17" s="100"/>
      <c r="G17" s="103"/>
      <c r="H17" s="171" t="s">
        <v>132</v>
      </c>
      <c r="I17" s="166">
        <v>0.6</v>
      </c>
      <c r="J17" s="226">
        <v>0.3058</v>
      </c>
      <c r="K17" s="107"/>
      <c r="L17" s="167"/>
      <c r="M17" s="168"/>
      <c r="N17" s="230">
        <f>SUM(I17:M17)</f>
        <v>0.9057999999999999</v>
      </c>
      <c r="O17" s="144">
        <v>1</v>
      </c>
      <c r="P17" s="112">
        <v>15</v>
      </c>
      <c r="Q17" s="112">
        <v>15</v>
      </c>
      <c r="R17" s="113"/>
      <c r="S17" s="146"/>
      <c r="T17" s="147"/>
      <c r="U17" s="148">
        <f>ROUND(((P17*I17)+(Q17*J17)+(R17*K17)+(S17*L17)+(T17*M17))*O17,2)</f>
        <v>13.59</v>
      </c>
      <c r="V17" s="149">
        <f>IF(U17&gt;=15,15,U17)</f>
        <v>13.59</v>
      </c>
      <c r="W17" s="211">
        <v>129427822000</v>
      </c>
      <c r="X17" s="211">
        <v>2682494000</v>
      </c>
      <c r="Y17" s="120"/>
      <c r="Z17" s="151"/>
      <c r="AA17" s="153"/>
      <c r="AB17" s="154">
        <f>ROUND((((W17*I17)+(X17*J17)+(Y17*K17)+(Z17*L17)+(AA17*M17))/$I$2),2)*13</f>
        <v>259.61</v>
      </c>
      <c r="AC17" s="149">
        <f>IF(AB17&gt;=13,13,AB17)</f>
        <v>13</v>
      </c>
      <c r="AD17" s="125">
        <v>2</v>
      </c>
      <c r="AE17" s="148">
        <f>IF((AC17+AD17)&gt;=15,15,(AC17+AD17))</f>
        <v>15</v>
      </c>
      <c r="AF17" s="156"/>
      <c r="AG17" s="127">
        <v>4.96</v>
      </c>
      <c r="AH17" s="113">
        <f>IF((V17+AE17+AF17)&gt;=30,30,(V17+AE17+AF17))</f>
        <v>28.59</v>
      </c>
      <c r="AI17" s="157">
        <v>65</v>
      </c>
      <c r="AJ17" s="113">
        <f>V17+AE17+AF17+AI17+AG17</f>
        <v>98.55</v>
      </c>
      <c r="AK17" s="113">
        <f>IF(AH17+AI17+AG17&gt;=95,95,AH17+AI17+AG17)</f>
        <v>95</v>
      </c>
      <c r="AL17" s="158">
        <f>-((50-((176+(45+(50-AH17)))))/200)</f>
        <v>0.96205</v>
      </c>
      <c r="AM17" s="159"/>
      <c r="AN17" s="160">
        <f>100%+AM17</f>
        <v>1</v>
      </c>
      <c r="AO17" s="160">
        <f>100%+AN17</f>
        <v>2</v>
      </c>
      <c r="AP17" s="133"/>
      <c r="AQ17" s="134"/>
      <c r="AR17" s="161"/>
      <c r="AS17" s="161"/>
      <c r="AT17" s="161"/>
      <c r="AU17" s="161"/>
      <c r="AV17" s="162"/>
      <c r="AW17" s="137">
        <f>AR17+AS17+AT17+AU17+AV17</f>
        <v>0</v>
      </c>
      <c r="AX17" s="137">
        <f>(AR17*I17)+(AS17*J17)+(AT17*K17)+(AU17*L17)+(AV17*M17)</f>
        <v>0</v>
      </c>
    </row>
    <row r="18" ht="21.95" customHeight="1" spans="1:50" s="97" customFormat="1" x14ac:dyDescent="0.25">
      <c r="A18" s="138" t="s">
        <v>56</v>
      </c>
      <c r="B18" s="139"/>
      <c r="C18" s="139"/>
      <c r="D18" s="139"/>
      <c r="E18" s="139"/>
      <c r="F18" s="139"/>
      <c r="G18" s="139"/>
      <c r="H18" s="140"/>
      <c r="I18" s="181">
        <v>85</v>
      </c>
      <c r="J18" s="142">
        <v>85</v>
      </c>
      <c r="K18" s="142"/>
      <c r="L18" s="142"/>
      <c r="M18" s="142"/>
      <c r="N18" s="170">
        <f>I18*I17+J18*J17+K18*K17+L18*L17+M18*M17</f>
        <v>76.993</v>
      </c>
      <c r="O18" s="144"/>
      <c r="P18" s="145"/>
      <c r="Q18" s="113"/>
      <c r="R18" s="113"/>
      <c r="S18" s="146"/>
      <c r="T18" s="147"/>
      <c r="U18" s="148"/>
      <c r="V18" s="149"/>
      <c r="W18" s="150">
        <v>0</v>
      </c>
      <c r="X18" s="151"/>
      <c r="Y18" s="152"/>
      <c r="Z18" s="151"/>
      <c r="AA18" s="153"/>
      <c r="AB18" s="154"/>
      <c r="AC18" s="149"/>
      <c r="AD18" s="148"/>
      <c r="AE18" s="148"/>
      <c r="AF18" s="155"/>
      <c r="AG18" s="156"/>
      <c r="AH18" s="113"/>
      <c r="AI18" s="157"/>
      <c r="AJ18" s="113"/>
      <c r="AK18" s="113"/>
      <c r="AL18" s="158"/>
      <c r="AM18" s="159"/>
      <c r="AN18" s="160"/>
      <c r="AO18" s="160"/>
      <c r="AP18" s="133"/>
      <c r="AQ18" s="134"/>
      <c r="AR18" s="161"/>
      <c r="AS18" s="161"/>
      <c r="AT18" s="161"/>
      <c r="AU18" s="161"/>
      <c r="AV18" s="162"/>
      <c r="AW18" s="137"/>
      <c r="AX18" s="137"/>
    </row>
    <row r="19" ht="46.5" customHeight="1" spans="1:50" s="97" customFormat="1" x14ac:dyDescent="0.25">
      <c r="A19" s="98">
        <v>8</v>
      </c>
      <c r="B19" s="99"/>
      <c r="C19" s="212" t="s">
        <v>133</v>
      </c>
      <c r="D19" s="174" t="s">
        <v>362</v>
      </c>
      <c r="E19" s="100"/>
      <c r="F19" s="100"/>
      <c r="G19" s="103"/>
      <c r="H19" s="233" t="s">
        <v>135</v>
      </c>
      <c r="I19" s="166">
        <v>0.7</v>
      </c>
      <c r="J19" s="226">
        <v>0.2519</v>
      </c>
      <c r="K19" s="107"/>
      <c r="L19" s="167"/>
      <c r="M19" s="168"/>
      <c r="N19" s="230">
        <f>SUM(I19:M19)</f>
        <v>0.9519</v>
      </c>
      <c r="O19" s="144">
        <v>1</v>
      </c>
      <c r="P19" s="112">
        <v>15</v>
      </c>
      <c r="Q19" s="112">
        <v>15</v>
      </c>
      <c r="R19" s="184"/>
      <c r="S19" s="146"/>
      <c r="T19" s="147"/>
      <c r="U19" s="148">
        <f>ROUND(((P19*I19)+(Q19*J19)+(R19*K19)+(S19*L19)+(T19*M19))*O19,2)</f>
        <v>14.28</v>
      </c>
      <c r="V19" s="149">
        <f>IF(U19&gt;=15,15,U19)</f>
        <v>14.28</v>
      </c>
      <c r="W19" s="211">
        <v>109829864000</v>
      </c>
      <c r="X19" s="211">
        <v>483084000</v>
      </c>
      <c r="Y19" s="120"/>
      <c r="Z19" s="151"/>
      <c r="AA19" s="153"/>
      <c r="AB19" s="154">
        <f>ROUND((((W19*I19)+(X19*J19)+(Y19*K19)+(Z19*L19)+(AA19*M19))/$I$2),2)*13</f>
        <v>254.67</v>
      </c>
      <c r="AC19" s="149">
        <f>IF(AB19&gt;=13,13,AB19)</f>
        <v>13</v>
      </c>
      <c r="AD19" s="125">
        <v>1</v>
      </c>
      <c r="AE19" s="148">
        <f>IF((AC19+AD19)&gt;=15,15,(AC19+AD19))</f>
        <v>14</v>
      </c>
      <c r="AF19" s="156"/>
      <c r="AG19" s="127">
        <v>4.96</v>
      </c>
      <c r="AH19" s="113">
        <f>IF((V19+AE19+AF19)&gt;=30,30,(V19+AE19+AF19))</f>
        <v>28.28</v>
      </c>
      <c r="AI19" s="157">
        <v>65</v>
      </c>
      <c r="AJ19" s="113">
        <f>V19+AE19+AF19+AI19+AG19</f>
        <v>98.24</v>
      </c>
      <c r="AK19" s="113">
        <f>IF(AH19+AI19+AG19&gt;=95,95,AH19+AI19+AG19)</f>
        <v>95</v>
      </c>
      <c r="AL19" s="158">
        <f>-((50-((176+(45+(50-AH19)))))/200)</f>
        <v>0.9636</v>
      </c>
      <c r="AM19" s="159"/>
      <c r="AN19" s="160">
        <f>100%+AM19</f>
        <v>1</v>
      </c>
      <c r="AO19" s="160">
        <f>100%+AN19</f>
        <v>2</v>
      </c>
      <c r="AP19" s="133"/>
      <c r="AQ19" s="134"/>
      <c r="AR19" s="161"/>
      <c r="AS19" s="161"/>
      <c r="AT19" s="161"/>
      <c r="AU19" s="161"/>
      <c r="AV19" s="162"/>
      <c r="AW19" s="137">
        <f>AR19+AS19+AT19+AU19+AV19</f>
        <v>0</v>
      </c>
      <c r="AX19" s="137">
        <f>(AR19*I19)+(AS19*J19)+(AT19*K19)+(AU19*L19)+(AV19*M19)</f>
        <v>0</v>
      </c>
    </row>
    <row r="20" ht="21.95" customHeight="1" spans="1:50" s="97" customFormat="1" x14ac:dyDescent="0.25">
      <c r="A20" s="138" t="s">
        <v>56</v>
      </c>
      <c r="B20" s="139"/>
      <c r="C20" s="139"/>
      <c r="D20" s="139"/>
      <c r="E20" s="139"/>
      <c r="F20" s="139"/>
      <c r="G20" s="139"/>
      <c r="H20" s="140"/>
      <c r="I20" s="142">
        <v>85</v>
      </c>
      <c r="J20" s="142">
        <v>85</v>
      </c>
      <c r="K20" s="142"/>
      <c r="L20" s="142"/>
      <c r="M20" s="142"/>
      <c r="N20" s="170">
        <f>I20*I19+J20*J19+K20*K19+L20*L19+M20*M19</f>
        <v>80.91149999999999</v>
      </c>
      <c r="O20" s="144"/>
      <c r="P20" s="145"/>
      <c r="Q20" s="113"/>
      <c r="R20" s="113"/>
      <c r="S20" s="146"/>
      <c r="T20" s="147"/>
      <c r="U20" s="148"/>
      <c r="V20" s="149"/>
      <c r="W20" s="150"/>
      <c r="X20" s="151"/>
      <c r="Y20" s="152"/>
      <c r="Z20" s="151"/>
      <c r="AA20" s="153"/>
      <c r="AB20" s="154"/>
      <c r="AC20" s="149"/>
      <c r="AD20" s="148"/>
      <c r="AE20" s="148"/>
      <c r="AF20" s="155"/>
      <c r="AG20" s="156"/>
      <c r="AH20" s="113"/>
      <c r="AI20" s="157"/>
      <c r="AJ20" s="113"/>
      <c r="AK20" s="113"/>
      <c r="AL20" s="158"/>
      <c r="AM20" s="159"/>
      <c r="AN20" s="160"/>
      <c r="AO20" s="160"/>
      <c r="AP20" s="133"/>
      <c r="AQ20" s="134"/>
      <c r="AR20" s="161"/>
      <c r="AS20" s="161"/>
      <c r="AT20" s="161"/>
      <c r="AU20" s="161"/>
      <c r="AV20" s="162"/>
      <c r="AW20" s="137"/>
      <c r="AX20" s="137"/>
    </row>
    <row r="21" ht="46.5" customHeight="1" spans="1:50" s="97" customFormat="1" x14ac:dyDescent="0.25">
      <c r="A21" s="98">
        <v>9</v>
      </c>
      <c r="B21" s="99"/>
      <c r="C21" s="209" t="s">
        <v>136</v>
      </c>
      <c r="D21" s="289" t="s">
        <v>363</v>
      </c>
      <c r="E21" s="253"/>
      <c r="F21" s="100"/>
      <c r="G21" s="103"/>
      <c r="H21" s="233"/>
      <c r="I21" s="166">
        <v>0.7</v>
      </c>
      <c r="J21" s="250">
        <v>0.3</v>
      </c>
      <c r="K21" s="250"/>
      <c r="L21" s="107"/>
      <c r="M21" s="187"/>
      <c r="N21" s="169">
        <f>SUM(I21:M21)</f>
        <v>1</v>
      </c>
      <c r="O21" s="144">
        <v>1</v>
      </c>
      <c r="P21" s="112">
        <v>15</v>
      </c>
      <c r="Q21" s="263">
        <v>15</v>
      </c>
      <c r="R21" s="268"/>
      <c r="S21" s="113"/>
      <c r="T21" s="146"/>
      <c r="U21" s="148">
        <f>ROUND(((P21*I21)+(Q21*J21)+(R21*K21)+(S21*L21)+(T21*M21))*O21,2)</f>
        <v>15</v>
      </c>
      <c r="V21" s="149">
        <f>IF(U21&gt;=15,15,U21)</f>
        <v>15</v>
      </c>
      <c r="W21" s="235">
        <v>14559047000</v>
      </c>
      <c r="X21" s="290">
        <v>6158057000</v>
      </c>
      <c r="Y21" s="288"/>
      <c r="Z21" s="211"/>
      <c r="AA21" s="153"/>
      <c r="AB21" s="154">
        <f>ROUND((((W21*I21)+(X21*J21)+(Y21*K21)+(Z21*L21)+(AA21*M21))/$I$2),2)*13</f>
        <v>39.78</v>
      </c>
      <c r="AC21" s="149">
        <f>IF(AB21&gt;=13,13,AB21)</f>
        <v>13</v>
      </c>
      <c r="AD21" s="125">
        <v>2</v>
      </c>
      <c r="AE21" s="148">
        <f>IF((AC21+AD21)&gt;=15,15,(AC21+AD21))</f>
        <v>15</v>
      </c>
      <c r="AF21" s="156"/>
      <c r="AG21" s="127">
        <v>4.96</v>
      </c>
      <c r="AH21" s="113">
        <f>IF((V21+AE21+AF21)&gt;=30,30,(V21+AE21+AF21))</f>
        <v>30</v>
      </c>
      <c r="AI21" s="157">
        <v>65</v>
      </c>
      <c r="AJ21" s="113">
        <f>V21+AE21+AF21+AI21+AG21</f>
        <v>99.96</v>
      </c>
      <c r="AK21" s="113">
        <f>IF(AH21+AI21+AG21&gt;=95,95,AH21+AI21+AG21)</f>
        <v>95</v>
      </c>
      <c r="AL21" s="158">
        <f>-((50-((176+(45+(50-AH21)))))/200)</f>
        <v>0.955</v>
      </c>
      <c r="AM21" s="159"/>
      <c r="AN21" s="160">
        <f>100%+AM21</f>
        <v>1</v>
      </c>
      <c r="AO21" s="160">
        <f>100%+AN21</f>
        <v>2</v>
      </c>
      <c r="AP21" s="133"/>
      <c r="AQ21" s="134"/>
      <c r="AR21" s="161"/>
      <c r="AS21" s="161"/>
      <c r="AT21" s="161"/>
      <c r="AU21" s="161"/>
      <c r="AV21" s="162"/>
      <c r="AW21" s="137">
        <f>AR21+AS21+AT21+AU21+AV21</f>
        <v>0</v>
      </c>
      <c r="AX21" s="137">
        <f>(AR21*I21)+(AS21*J21)+(AT21*K21)+(AU21*L21)+(AV21*M21)</f>
        <v>0</v>
      </c>
    </row>
    <row r="22" ht="21.95" customHeight="1" spans="1:50" s="97" customFormat="1" x14ac:dyDescent="0.25">
      <c r="A22" s="138" t="s">
        <v>56</v>
      </c>
      <c r="B22" s="139"/>
      <c r="C22" s="139"/>
      <c r="D22" s="139"/>
      <c r="E22" s="139"/>
      <c r="F22" s="139"/>
      <c r="G22" s="139"/>
      <c r="H22" s="140"/>
      <c r="I22" s="142">
        <v>85</v>
      </c>
      <c r="J22" s="142">
        <v>85</v>
      </c>
      <c r="K22" s="142"/>
      <c r="L22" s="142"/>
      <c r="M22" s="142"/>
      <c r="N22" s="170">
        <f>I22*I21+J22*J21+K22*K21+L22*L21+M22*M21</f>
        <v>85</v>
      </c>
      <c r="O22" s="144"/>
      <c r="P22" s="145"/>
      <c r="Q22" s="113"/>
      <c r="R22" s="113"/>
      <c r="S22" s="146"/>
      <c r="T22" s="147"/>
      <c r="U22" s="148"/>
      <c r="V22" s="149"/>
      <c r="W22" s="150"/>
      <c r="X22" s="151"/>
      <c r="Y22" s="152"/>
      <c r="Z22" s="151"/>
      <c r="AA22" s="153"/>
      <c r="AB22" s="154"/>
      <c r="AC22" s="149"/>
      <c r="AD22" s="148"/>
      <c r="AE22" s="148"/>
      <c r="AF22" s="155"/>
      <c r="AG22" s="156"/>
      <c r="AH22" s="113"/>
      <c r="AI22" s="157"/>
      <c r="AJ22" s="113"/>
      <c r="AK22" s="113"/>
      <c r="AL22" s="158"/>
      <c r="AM22" s="159"/>
      <c r="AN22" s="160"/>
      <c r="AO22" s="160"/>
      <c r="AP22" s="133"/>
      <c r="AQ22" s="134"/>
      <c r="AR22" s="161"/>
      <c r="AS22" s="161"/>
      <c r="AT22" s="161"/>
      <c r="AU22" s="161"/>
      <c r="AV22" s="162"/>
      <c r="AW22" s="137"/>
      <c r="AX22" s="137"/>
    </row>
    <row r="23" ht="46.5" customHeight="1" spans="1:50" s="97" customFormat="1" x14ac:dyDescent="0.25">
      <c r="A23" s="98">
        <v>10</v>
      </c>
      <c r="B23" s="99"/>
      <c r="C23" s="279" t="s">
        <v>150</v>
      </c>
      <c r="D23" s="101" t="s">
        <v>364</v>
      </c>
      <c r="E23" s="100" t="s">
        <v>365</v>
      </c>
      <c r="F23" s="100"/>
      <c r="G23" s="103"/>
      <c r="H23" s="233" t="s">
        <v>366</v>
      </c>
      <c r="I23" s="291">
        <v>0.5</v>
      </c>
      <c r="J23" s="226">
        <v>0.2466</v>
      </c>
      <c r="K23" s="191">
        <v>0.2</v>
      </c>
      <c r="L23" s="107"/>
      <c r="M23" s="187"/>
      <c r="N23" s="230">
        <f>SUM(I23:M23)</f>
        <v>0.9466000000000001</v>
      </c>
      <c r="O23" s="144">
        <v>1</v>
      </c>
      <c r="P23" s="263">
        <v>15</v>
      </c>
      <c r="Q23" s="112">
        <v>15</v>
      </c>
      <c r="R23" s="113">
        <v>15</v>
      </c>
      <c r="S23" s="113"/>
      <c r="T23" s="146"/>
      <c r="U23" s="148">
        <f>ROUND(((P23*I23)+(Q23*J23)+(R23*K23)+(S23*L23)+(T23*M23))*O23,2)</f>
        <v>14.2</v>
      </c>
      <c r="V23" s="149">
        <f>IF(U23&gt;=15,15,U23)</f>
        <v>14.2</v>
      </c>
      <c r="W23" s="288">
        <v>60895199000</v>
      </c>
      <c r="X23" s="236">
        <v>222174000</v>
      </c>
      <c r="Y23" s="211">
        <v>2063973000</v>
      </c>
      <c r="Z23" s="190"/>
      <c r="AA23" s="153"/>
      <c r="AB23" s="154">
        <f>ROUND((((W23*I23)+(X23*J23)+(Y23*K23)+(Z23*L23)+(AA23*M23))/$I$2),2)*13</f>
        <v>102.31</v>
      </c>
      <c r="AC23" s="149">
        <f>IF(AB23&gt;=13,13,AB23)</f>
        <v>13</v>
      </c>
      <c r="AD23" s="125">
        <v>1</v>
      </c>
      <c r="AE23" s="148">
        <f>IF((AC23+AD23)&gt;=15,15,(AC23+AD23))</f>
        <v>14</v>
      </c>
      <c r="AF23" s="156"/>
      <c r="AG23" s="127">
        <v>4.96</v>
      </c>
      <c r="AH23" s="113">
        <f>IF((V23+AE23+AF23)&gt;=30,30,(V23+AE23+AF23))</f>
        <v>28.2</v>
      </c>
      <c r="AI23" s="157">
        <v>65</v>
      </c>
      <c r="AJ23" s="113">
        <f>V23+AE23+AF23+AI23+AG23</f>
        <v>98.16</v>
      </c>
      <c r="AK23" s="113">
        <f>IF(AH23+AI23+AG23&gt;=95,95,AH23+AI23+AG23)</f>
        <v>95</v>
      </c>
      <c r="AL23" s="158">
        <f>-((50-((176+(45+(50-AH23)))))/200)</f>
        <v>0.9640000000000001</v>
      </c>
      <c r="AM23" s="159"/>
      <c r="AN23" s="160">
        <f>100%+AM23</f>
        <v>1</v>
      </c>
      <c r="AO23" s="160">
        <f>100%+AN23</f>
        <v>2</v>
      </c>
      <c r="AP23" s="133"/>
      <c r="AQ23" s="134"/>
      <c r="AR23" s="161"/>
      <c r="AS23" s="161"/>
      <c r="AT23" s="161"/>
      <c r="AU23" s="161"/>
      <c r="AV23" s="162"/>
      <c r="AW23" s="137">
        <f>AR23+AS23+AT23+AU23+AV23</f>
        <v>0</v>
      </c>
      <c r="AX23" s="137">
        <f>(AR23*I23)+(AS23*J23)+(AT23*K23)+(AU23*L23)+(AV23*M23)</f>
        <v>0</v>
      </c>
    </row>
    <row r="24" ht="21.95" customHeight="1" spans="1:50" s="97" customFormat="1" x14ac:dyDescent="0.25">
      <c r="A24" s="138" t="s">
        <v>56</v>
      </c>
      <c r="B24" s="139"/>
      <c r="C24" s="139"/>
      <c r="D24" s="139"/>
      <c r="E24" s="139"/>
      <c r="F24" s="139"/>
      <c r="G24" s="139"/>
      <c r="H24" s="140"/>
      <c r="I24" s="142">
        <v>85</v>
      </c>
      <c r="J24" s="142">
        <v>85</v>
      </c>
      <c r="K24" s="142">
        <v>85</v>
      </c>
      <c r="L24" s="142"/>
      <c r="M24" s="142"/>
      <c r="N24" s="170">
        <f>I24*I23+J24*J23+K24*K23+L24*L23+M24*M23</f>
        <v>80.461</v>
      </c>
      <c r="O24" s="144"/>
      <c r="P24" s="145"/>
      <c r="Q24" s="113"/>
      <c r="R24" s="113"/>
      <c r="S24" s="146"/>
      <c r="T24" s="147"/>
      <c r="U24" s="148"/>
      <c r="V24" s="149"/>
      <c r="W24" s="150"/>
      <c r="X24" s="151"/>
      <c r="Y24" s="152"/>
      <c r="Z24" s="151"/>
      <c r="AA24" s="153"/>
      <c r="AB24" s="154"/>
      <c r="AC24" s="149"/>
      <c r="AD24" s="148"/>
      <c r="AE24" s="148"/>
      <c r="AF24" s="155"/>
      <c r="AG24" s="156"/>
      <c r="AH24" s="113"/>
      <c r="AI24" s="157"/>
      <c r="AJ24" s="113"/>
      <c r="AK24" s="113"/>
      <c r="AL24" s="158"/>
      <c r="AM24" s="159"/>
      <c r="AN24" s="160"/>
      <c r="AO24" s="160"/>
      <c r="AP24" s="133"/>
      <c r="AQ24" s="134"/>
      <c r="AR24" s="161"/>
      <c r="AS24" s="161"/>
      <c r="AT24" s="161"/>
      <c r="AU24" s="161"/>
      <c r="AV24" s="162"/>
      <c r="AW24" s="137"/>
      <c r="AX24" s="137"/>
    </row>
    <row r="25" ht="46.5" customHeight="1" spans="1:50" s="97" customFormat="1" x14ac:dyDescent="0.25">
      <c r="A25" s="98">
        <v>11</v>
      </c>
      <c r="B25" s="102"/>
      <c r="C25" s="269" t="s">
        <v>367</v>
      </c>
      <c r="D25" s="249" t="s">
        <v>368</v>
      </c>
      <c r="E25" s="238"/>
      <c r="F25" s="100"/>
      <c r="G25" s="103"/>
      <c r="H25" s="233"/>
      <c r="I25" s="291">
        <v>0.6</v>
      </c>
      <c r="J25" s="250">
        <v>0.4</v>
      </c>
      <c r="K25" s="107"/>
      <c r="L25" s="107"/>
      <c r="M25" s="187"/>
      <c r="N25" s="230">
        <f>SUM(I25:M25)</f>
        <v>1</v>
      </c>
      <c r="O25" s="144">
        <v>1</v>
      </c>
      <c r="P25" s="255">
        <v>15</v>
      </c>
      <c r="Q25" s="268">
        <v>15</v>
      </c>
      <c r="R25" s="217"/>
      <c r="S25" s="113"/>
      <c r="T25" s="146"/>
      <c r="U25" s="148">
        <f>ROUND(((P25*I25)+(Q25*J25)+(R25*K25)+(S25*L25)+(T25*M25))*O25,2)</f>
        <v>15</v>
      </c>
      <c r="V25" s="149">
        <f>IF(U25&gt;=15,15,U25)</f>
        <v>15</v>
      </c>
      <c r="W25" s="270">
        <v>4268287000</v>
      </c>
      <c r="X25" s="264">
        <v>2073378000</v>
      </c>
      <c r="Y25" s="211"/>
      <c r="Z25" s="190"/>
      <c r="AA25" s="153"/>
      <c r="AB25" s="154">
        <f>ROUND((((W25*I25)+(X25*J25)+(Y25*K25)+(Z25*L25)+(AA25*M25))/$I$2),2)*13</f>
        <v>11.18</v>
      </c>
      <c r="AC25" s="149">
        <f>IF(AB25&gt;=13,13,AB25)</f>
        <v>11.18</v>
      </c>
      <c r="AD25" s="125">
        <v>2</v>
      </c>
      <c r="AE25" s="148">
        <f>IF((AC25+AD25)&gt;=15,15,(AC25+AD25))</f>
        <v>13.18</v>
      </c>
      <c r="AF25" s="184"/>
      <c r="AG25" s="127">
        <v>4.96</v>
      </c>
      <c r="AH25" s="113">
        <f>IF((V25+AE25+AF25)&gt;=30,30,(V25+AE25+AF25))</f>
        <v>28.18</v>
      </c>
      <c r="AI25" s="157">
        <v>65</v>
      </c>
      <c r="AJ25" s="113">
        <f>V25+AE25+AF25+AI25+AG25</f>
        <v>98.14</v>
      </c>
      <c r="AK25" s="113">
        <f>IF(AH25+AI25+AG25&gt;=95,95,AH25+AI25+AG25)</f>
        <v>95</v>
      </c>
      <c r="AL25" s="158">
        <f>-((50-((176+(45+(50-AH25)))))/200)</f>
        <v>0.9641</v>
      </c>
      <c r="AM25" s="159"/>
      <c r="AN25" s="160">
        <f>100%+AM25</f>
        <v>1</v>
      </c>
      <c r="AO25" s="160">
        <f>100%+AN25</f>
        <v>2</v>
      </c>
      <c r="AP25" s="133"/>
      <c r="AQ25" s="134"/>
      <c r="AR25" s="161"/>
      <c r="AS25" s="161"/>
      <c r="AT25" s="161"/>
      <c r="AU25" s="161"/>
      <c r="AV25" s="162"/>
      <c r="AW25" s="137">
        <f>AR25+AS25+AT25+AU25+AV25</f>
        <v>0</v>
      </c>
      <c r="AX25" s="137">
        <f>(AR25*I25)+(AS25*J25)+(AT25*K25)+(AU25*L25)+(AV25*M25)</f>
        <v>0</v>
      </c>
    </row>
    <row r="26" ht="21.95" customHeight="1" spans="1:50" s="97" customFormat="1" x14ac:dyDescent="0.25">
      <c r="A26" s="138" t="s">
        <v>56</v>
      </c>
      <c r="B26" s="139"/>
      <c r="C26" s="139"/>
      <c r="D26" s="139"/>
      <c r="E26" s="139"/>
      <c r="F26" s="139"/>
      <c r="G26" s="139"/>
      <c r="H26" s="140"/>
      <c r="I26" s="142">
        <v>85</v>
      </c>
      <c r="J26" s="142">
        <v>85</v>
      </c>
      <c r="K26" s="142"/>
      <c r="L26" s="142"/>
      <c r="M26" s="142"/>
      <c r="N26" s="170">
        <f>I26*I25+J26*J25+K26*K25+L26*L25+M26*M25</f>
        <v>85</v>
      </c>
      <c r="O26" s="144"/>
      <c r="P26" s="145"/>
      <c r="Q26" s="113"/>
      <c r="R26" s="113"/>
      <c r="S26" s="146"/>
      <c r="T26" s="147"/>
      <c r="U26" s="148"/>
      <c r="V26" s="149"/>
      <c r="W26" s="150"/>
      <c r="X26" s="151"/>
      <c r="Y26" s="152"/>
      <c r="Z26" s="151"/>
      <c r="AA26" s="153"/>
      <c r="AB26" s="154"/>
      <c r="AC26" s="149"/>
      <c r="AD26" s="148"/>
      <c r="AE26" s="148"/>
      <c r="AF26" s="155"/>
      <c r="AG26" s="156"/>
      <c r="AH26" s="113"/>
      <c r="AI26" s="157"/>
      <c r="AJ26" s="113"/>
      <c r="AK26" s="113"/>
      <c r="AL26" s="158"/>
      <c r="AM26" s="159"/>
      <c r="AN26" s="160"/>
      <c r="AO26" s="160"/>
      <c r="AP26" s="133"/>
      <c r="AQ26" s="134"/>
      <c r="AR26" s="161"/>
      <c r="AS26" s="161"/>
      <c r="AT26" s="161"/>
      <c r="AU26" s="161"/>
      <c r="AV26" s="162"/>
      <c r="AW26" s="137"/>
      <c r="AX26" s="137"/>
    </row>
    <row r="27" ht="46.5" customHeight="1" spans="1:50" s="97" customFormat="1" x14ac:dyDescent="0.25">
      <c r="A27" s="98">
        <v>12</v>
      </c>
      <c r="B27" s="196"/>
      <c r="C27" s="209" t="s">
        <v>146</v>
      </c>
      <c r="D27" s="249" t="s">
        <v>369</v>
      </c>
      <c r="E27" s="100"/>
      <c r="F27" s="100"/>
      <c r="G27" s="103"/>
      <c r="H27" s="233" t="s">
        <v>370</v>
      </c>
      <c r="I27" s="195">
        <v>0.6</v>
      </c>
      <c r="J27" s="276">
        <v>0.2544</v>
      </c>
      <c r="K27" s="107"/>
      <c r="L27" s="107"/>
      <c r="M27" s="187"/>
      <c r="N27" s="230">
        <f>SUM(I27:M27)</f>
        <v>0.8544</v>
      </c>
      <c r="O27" s="144">
        <v>1</v>
      </c>
      <c r="P27" s="145">
        <v>15</v>
      </c>
      <c r="Q27" s="268">
        <v>15</v>
      </c>
      <c r="R27" s="156"/>
      <c r="S27" s="113"/>
      <c r="T27" s="146"/>
      <c r="U27" s="148">
        <f>ROUND(((P27*I27)+(Q27*J27)+(R27*K27)+(S27*L27)+(T27*M27))*O27,2)</f>
        <v>12.82</v>
      </c>
      <c r="V27" s="149">
        <f>IF(U27&gt;=15,15,U27)</f>
        <v>12.82</v>
      </c>
      <c r="W27" s="192">
        <v>56126180000</v>
      </c>
      <c r="X27" s="288">
        <v>1466594000</v>
      </c>
      <c r="Y27" s="120"/>
      <c r="Z27" s="190"/>
      <c r="AA27" s="153"/>
      <c r="AB27" s="154">
        <f>ROUND((((W27*I27)+(X27*J27)+(Y27*K27)+(Z27*L27)+(AA27*M27))/$I$2),2)*13</f>
        <v>112.58</v>
      </c>
      <c r="AC27" s="149">
        <f>IF(AB27&gt;=13,13,AB27)</f>
        <v>13</v>
      </c>
      <c r="AD27" s="125">
        <v>0</v>
      </c>
      <c r="AE27" s="148">
        <f>IF((AC27+AD27)&gt;=15,15,(AC27+AD27))</f>
        <v>13</v>
      </c>
      <c r="AF27" s="156"/>
      <c r="AG27" s="127">
        <v>4.96</v>
      </c>
      <c r="AH27" s="113">
        <f>IF((V27+AE27+AF27)&gt;=30,30,(V27+AE27+AF27))</f>
        <v>25.82</v>
      </c>
      <c r="AI27" s="157">
        <v>65</v>
      </c>
      <c r="AJ27" s="113">
        <f>V27+AE27+AF27+AI27+AG27</f>
        <v>95.77999999999999</v>
      </c>
      <c r="AK27" s="113">
        <f>IF(AH27+AI27+AG27&gt;=95,95,AH27+AI27+AG27)</f>
        <v>95</v>
      </c>
      <c r="AL27" s="158">
        <f>-((50-((176+(45+(50-AH27)))))/200)</f>
        <v>0.9759</v>
      </c>
      <c r="AM27" s="159"/>
      <c r="AN27" s="160">
        <f>100%+AM27</f>
        <v>1</v>
      </c>
      <c r="AO27" s="160">
        <f>100%+AN27</f>
        <v>2</v>
      </c>
      <c r="AP27" s="133"/>
      <c r="AQ27" s="134"/>
      <c r="AR27" s="161"/>
      <c r="AS27" s="161"/>
      <c r="AT27" s="161"/>
      <c r="AU27" s="161"/>
      <c r="AV27" s="162"/>
      <c r="AW27" s="137">
        <f>AR27+AS27+AT27+AU27+AV27</f>
        <v>0</v>
      </c>
      <c r="AX27" s="137">
        <f>(AR27*I27)+(AS27*J27)+(AT27*K27)+(AU27*L27)+(AV27*M27)</f>
        <v>0</v>
      </c>
    </row>
    <row r="28" ht="21.95" customHeight="1" spans="1:50" s="97" customFormat="1" x14ac:dyDescent="0.25">
      <c r="A28" s="138" t="s">
        <v>56</v>
      </c>
      <c r="B28" s="139"/>
      <c r="C28" s="139"/>
      <c r="D28" s="139"/>
      <c r="E28" s="139"/>
      <c r="F28" s="139"/>
      <c r="G28" s="139"/>
      <c r="H28" s="140"/>
      <c r="I28" s="142">
        <v>85</v>
      </c>
      <c r="J28" s="142">
        <v>85</v>
      </c>
      <c r="K28" s="142"/>
      <c r="L28" s="142"/>
      <c r="M28" s="142"/>
      <c r="N28" s="170">
        <f>I28*I27+J28*J27+K28*K27+L28*L27+M28*M27</f>
        <v>72.624</v>
      </c>
      <c r="O28" s="144"/>
      <c r="P28" s="145"/>
      <c r="Q28" s="113"/>
      <c r="R28" s="113"/>
      <c r="S28" s="146"/>
      <c r="T28" s="147"/>
      <c r="U28" s="148"/>
      <c r="V28" s="149"/>
      <c r="W28" s="150"/>
      <c r="X28" s="151"/>
      <c r="Y28" s="152"/>
      <c r="Z28" s="151"/>
      <c r="AA28" s="153"/>
      <c r="AB28" s="154"/>
      <c r="AC28" s="149"/>
      <c r="AD28" s="148"/>
      <c r="AE28" s="148"/>
      <c r="AF28" s="155"/>
      <c r="AG28" s="156"/>
      <c r="AH28" s="113"/>
      <c r="AI28" s="157"/>
      <c r="AJ28" s="113"/>
      <c r="AK28" s="113"/>
      <c r="AL28" s="158"/>
      <c r="AM28" s="159"/>
      <c r="AN28" s="160"/>
      <c r="AO28" s="160"/>
      <c r="AP28" s="133"/>
      <c r="AQ28" s="134"/>
      <c r="AR28" s="161"/>
      <c r="AS28" s="161"/>
      <c r="AT28" s="161"/>
      <c r="AU28" s="161"/>
      <c r="AV28" s="162"/>
      <c r="AW28" s="137"/>
      <c r="AX28" s="137"/>
    </row>
    <row r="29" ht="46.5" customHeight="1" spans="1:50" s="97" customFormat="1" x14ac:dyDescent="0.25">
      <c r="A29" s="239">
        <v>13</v>
      </c>
      <c r="B29" s="100"/>
      <c r="C29" s="174" t="s">
        <v>149</v>
      </c>
      <c r="D29" s="100" t="s">
        <v>71</v>
      </c>
      <c r="E29" s="100"/>
      <c r="F29" s="100"/>
      <c r="G29" s="103"/>
      <c r="H29" s="186"/>
      <c r="I29" s="195">
        <v>0.51</v>
      </c>
      <c r="J29" s="107">
        <v>0.49</v>
      </c>
      <c r="K29" s="107"/>
      <c r="L29" s="107"/>
      <c r="M29" s="187"/>
      <c r="N29" s="169">
        <f>SUM(I29:M29)</f>
        <v>1</v>
      </c>
      <c r="O29" s="144">
        <v>1</v>
      </c>
      <c r="P29" s="145">
        <v>15</v>
      </c>
      <c r="Q29" s="113">
        <v>15</v>
      </c>
      <c r="R29" s="113"/>
      <c r="S29" s="113"/>
      <c r="T29" s="146"/>
      <c r="U29" s="148">
        <f>ROUND(((P29*I29)+(Q29*J29)+(R29*K29)+(S29*L29)+(T29*M29))*O29,2)</f>
        <v>15</v>
      </c>
      <c r="V29" s="149">
        <f>IF(U29&gt;=15,15,U29)</f>
        <v>15</v>
      </c>
      <c r="W29" s="189">
        <v>4518360000</v>
      </c>
      <c r="X29" s="211">
        <v>63305526000</v>
      </c>
      <c r="Y29" s="151"/>
      <c r="Z29" s="190"/>
      <c r="AA29" s="153"/>
      <c r="AB29" s="154">
        <f>ROUND((((W29*I29)+(X29*J29)+(Y29*K29)+(Z29*L29)+(AA29*M29))/$I$2),2)*13</f>
        <v>110.24000000000001</v>
      </c>
      <c r="AC29" s="149">
        <f>IF(AB29&gt;=13,13,AB29)</f>
        <v>13</v>
      </c>
      <c r="AD29" s="125">
        <v>2</v>
      </c>
      <c r="AE29" s="148">
        <f>IF((AC29+AD29)&gt;=15,15,(AC29+AD29))</f>
        <v>15</v>
      </c>
      <c r="AF29" s="156"/>
      <c r="AG29" s="127">
        <v>4.96</v>
      </c>
      <c r="AH29" s="113">
        <f>IF((V29+AE29+AF29)&gt;=30,30,(V29+AE29+AF29))</f>
        <v>30</v>
      </c>
      <c r="AI29" s="157">
        <v>65</v>
      </c>
      <c r="AJ29" s="113">
        <f>V29+AE29+AF29+AI29+AG29</f>
        <v>99.96</v>
      </c>
      <c r="AK29" s="113">
        <f>IF(AH29+AI29+AG29&gt;=95,95,AH29+AI29+AG29)</f>
        <v>95</v>
      </c>
      <c r="AL29" s="158">
        <f>-((50-((176+(45+(50-AH29)))))/200)</f>
        <v>0.955</v>
      </c>
      <c r="AM29" s="159"/>
      <c r="AN29" s="160">
        <f>100%+AM29</f>
        <v>1</v>
      </c>
      <c r="AO29" s="160">
        <f>100%+AN29</f>
        <v>2</v>
      </c>
      <c r="AP29" s="133"/>
      <c r="AQ29" s="134"/>
      <c r="AR29" s="161"/>
      <c r="AS29" s="161"/>
      <c r="AT29" s="161"/>
      <c r="AU29" s="161"/>
      <c r="AV29" s="162"/>
      <c r="AW29" s="137">
        <f>AR29+AS29+AT29+AU29+AV29</f>
        <v>0</v>
      </c>
      <c r="AX29" s="137">
        <f>(AR29*I29)+(AS29*J29)+(AT29*K29)+(AU29*L29)+(AV29*M29)</f>
        <v>0</v>
      </c>
    </row>
    <row r="30" ht="21.95" customHeight="1" spans="1:50" s="97" customFormat="1" x14ac:dyDescent="0.25">
      <c r="A30" s="138" t="s">
        <v>56</v>
      </c>
      <c r="B30" s="139"/>
      <c r="C30" s="139"/>
      <c r="D30" s="139"/>
      <c r="E30" s="139"/>
      <c r="F30" s="139"/>
      <c r="G30" s="139"/>
      <c r="H30" s="140"/>
      <c r="I30" s="142">
        <v>85</v>
      </c>
      <c r="J30" s="142">
        <v>85</v>
      </c>
      <c r="K30" s="142"/>
      <c r="L30" s="142"/>
      <c r="M30" s="142"/>
      <c r="N30" s="170">
        <f>I30*I29+J30*J29+K30*K29+L30*L29+M30*M29</f>
        <v>85</v>
      </c>
      <c r="O30" s="144"/>
      <c r="P30" s="145"/>
      <c r="Q30" s="113"/>
      <c r="R30" s="113"/>
      <c r="S30" s="146"/>
      <c r="T30" s="147"/>
      <c r="U30" s="148"/>
      <c r="V30" s="149"/>
      <c r="W30" s="150"/>
      <c r="X30" s="151"/>
      <c r="Y30" s="152"/>
      <c r="Z30" s="151"/>
      <c r="AA30" s="153"/>
      <c r="AB30" s="154"/>
      <c r="AC30" s="149"/>
      <c r="AD30" s="148"/>
      <c r="AE30" s="148"/>
      <c r="AF30" s="155"/>
      <c r="AG30" s="156"/>
      <c r="AH30" s="113"/>
      <c r="AI30" s="157"/>
      <c r="AJ30" s="113"/>
      <c r="AK30" s="113"/>
      <c r="AL30" s="158"/>
      <c r="AM30" s="159"/>
      <c r="AN30" s="160"/>
      <c r="AO30" s="160"/>
      <c r="AP30" s="133"/>
      <c r="AQ30" s="134"/>
      <c r="AR30" s="161"/>
      <c r="AS30" s="161"/>
      <c r="AT30" s="161"/>
      <c r="AU30" s="161"/>
      <c r="AV30" s="162"/>
      <c r="AW30" s="137"/>
      <c r="AX30" s="137"/>
    </row>
    <row r="31" ht="46.5" customHeight="1" spans="1:50" s="97" customFormat="1" x14ac:dyDescent="0.25">
      <c r="A31" s="239">
        <v>14</v>
      </c>
      <c r="B31" s="100" t="s">
        <v>62</v>
      </c>
      <c r="C31" s="253" t="s">
        <v>157</v>
      </c>
      <c r="D31" s="249" t="s">
        <v>371</v>
      </c>
      <c r="E31" s="100"/>
      <c r="F31" s="100"/>
      <c r="G31" s="103"/>
      <c r="H31" s="233" t="s">
        <v>372</v>
      </c>
      <c r="I31" s="254">
        <v>0.7</v>
      </c>
      <c r="J31" s="276">
        <v>0.1401</v>
      </c>
      <c r="K31" s="107"/>
      <c r="L31" s="107"/>
      <c r="M31" s="187"/>
      <c r="N31" s="230">
        <f>SUM(I31:M31)</f>
        <v>0.8401</v>
      </c>
      <c r="O31" s="144">
        <v>1</v>
      </c>
      <c r="P31" s="255">
        <v>15</v>
      </c>
      <c r="Q31" s="268">
        <v>15</v>
      </c>
      <c r="R31" s="113"/>
      <c r="S31" s="113"/>
      <c r="T31" s="146"/>
      <c r="U31" s="148">
        <f>ROUND(((P31*I31)+(Q31*J31)+(R31*K31)+(S31*L31)+(T31*M31))*O31,2)</f>
        <v>12.6</v>
      </c>
      <c r="V31" s="149">
        <f>IF(U31&gt;=15,15,U31)</f>
        <v>12.6</v>
      </c>
      <c r="W31" s="280">
        <v>15442996000</v>
      </c>
      <c r="X31" s="252">
        <v>517643000</v>
      </c>
      <c r="Y31" s="120"/>
      <c r="Z31" s="189"/>
      <c r="AA31" s="153"/>
      <c r="AB31" s="154">
        <f>ROUND((((W31*I31)+(X31*J31)+(Y31*K31)+(Z31*L31)+(AA31*M31))/$I$2),2)*13</f>
        <v>36.01</v>
      </c>
      <c r="AC31" s="149">
        <f>IF(AB31&gt;=13,13,AB31)</f>
        <v>13</v>
      </c>
      <c r="AD31" s="125">
        <v>0</v>
      </c>
      <c r="AE31" s="148">
        <f>IF((AC31+AD31)&gt;=15,15,(AC31+AD31))</f>
        <v>13</v>
      </c>
      <c r="AF31" s="156"/>
      <c r="AG31" s="127">
        <v>4.96</v>
      </c>
      <c r="AH31" s="113">
        <f>IF((V31+AE31+AF31)&gt;=30,30,(V31+AE31+AF31))</f>
        <v>25.6</v>
      </c>
      <c r="AI31" s="157">
        <v>65</v>
      </c>
      <c r="AJ31" s="113">
        <f>V31+AE31+AF31+AI31+AG31</f>
        <v>95.55999999999999</v>
      </c>
      <c r="AK31" s="113">
        <f>IF(AH31+AI31+AG31&gt;=95,95,AH31+AI31+AG31)</f>
        <v>95</v>
      </c>
      <c r="AL31" s="158">
        <f>-((50-((176+(45+(50-AH31)))))/200)</f>
        <v>0.977</v>
      </c>
      <c r="AM31" s="159"/>
      <c r="AN31" s="160">
        <f>100%+AM31</f>
        <v>1</v>
      </c>
      <c r="AO31" s="160">
        <f>100%+AN31</f>
        <v>2</v>
      </c>
      <c r="AP31" s="133"/>
      <c r="AQ31" s="134"/>
      <c r="AR31" s="161"/>
      <c r="AS31" s="161"/>
      <c r="AT31" s="161"/>
      <c r="AU31" s="161"/>
      <c r="AV31" s="162"/>
      <c r="AW31" s="137">
        <f>AR31+AS31+AT31+AU31+AV31</f>
        <v>0</v>
      </c>
      <c r="AX31" s="137">
        <f>(AR31*I31)+(AS31*J31)+(AT31*K31)+(AU31*L31)+(AV31*M31)</f>
        <v>0</v>
      </c>
    </row>
    <row r="32" ht="21.95" customHeight="1" spans="1:50" s="97" customFormat="1" x14ac:dyDescent="0.25">
      <c r="A32" s="138" t="s">
        <v>56</v>
      </c>
      <c r="B32" s="139"/>
      <c r="C32" s="139"/>
      <c r="D32" s="139"/>
      <c r="E32" s="139"/>
      <c r="F32" s="139"/>
      <c r="G32" s="139"/>
      <c r="H32" s="140"/>
      <c r="I32" s="142">
        <v>85</v>
      </c>
      <c r="J32" s="142">
        <v>85</v>
      </c>
      <c r="K32" s="142"/>
      <c r="L32" s="142"/>
      <c r="M32" s="142"/>
      <c r="N32" s="170">
        <f>I32*I31+J32*J31+K32*K31+L32*L31+M32*M31</f>
        <v>71.40849999999999</v>
      </c>
      <c r="O32" s="144"/>
      <c r="P32" s="145"/>
      <c r="Q32" s="113"/>
      <c r="R32" s="113"/>
      <c r="S32" s="146"/>
      <c r="T32" s="147"/>
      <c r="U32" s="148"/>
      <c r="V32" s="149"/>
      <c r="W32" s="150"/>
      <c r="X32" s="151"/>
      <c r="Y32" s="152"/>
      <c r="Z32" s="151"/>
      <c r="AA32" s="153"/>
      <c r="AB32" s="154"/>
      <c r="AC32" s="149"/>
      <c r="AD32" s="148"/>
      <c r="AE32" s="148"/>
      <c r="AF32" s="155"/>
      <c r="AG32" s="156"/>
      <c r="AH32" s="113"/>
      <c r="AI32" s="157"/>
      <c r="AJ32" s="113"/>
      <c r="AK32" s="113"/>
      <c r="AL32" s="158"/>
      <c r="AM32" s="159"/>
      <c r="AN32" s="160"/>
      <c r="AO32" s="160"/>
      <c r="AP32" s="133"/>
      <c r="AQ32" s="134"/>
      <c r="AR32" s="161"/>
      <c r="AS32" s="161"/>
      <c r="AT32" s="161"/>
      <c r="AU32" s="161"/>
      <c r="AV32" s="162"/>
      <c r="AW32" s="137"/>
      <c r="AX32" s="137"/>
    </row>
    <row r="33" ht="46.5" customHeight="1" spans="1:50" s="97" customFormat="1" x14ac:dyDescent="0.25">
      <c r="A33" s="239">
        <v>15</v>
      </c>
      <c r="B33" s="100"/>
      <c r="C33" s="286" t="s">
        <v>373</v>
      </c>
      <c r="D33" s="210" t="s">
        <v>374</v>
      </c>
      <c r="E33" s="100"/>
      <c r="F33" s="100"/>
      <c r="G33" s="103"/>
      <c r="H33" s="233"/>
      <c r="I33" s="254">
        <v>0.51</v>
      </c>
      <c r="J33" s="106">
        <v>0.49</v>
      </c>
      <c r="K33" s="107"/>
      <c r="L33" s="107"/>
      <c r="M33" s="187"/>
      <c r="N33" s="241">
        <f>SUM(I33:M33)</f>
        <v>1</v>
      </c>
      <c r="O33" s="144">
        <v>1</v>
      </c>
      <c r="P33" s="255">
        <v>15</v>
      </c>
      <c r="Q33" s="113">
        <v>15</v>
      </c>
      <c r="R33" s="113"/>
      <c r="S33" s="113"/>
      <c r="T33" s="146"/>
      <c r="U33" s="148">
        <f>ROUND(((P33*I33)+(Q33*J33)+(R33*K33)+(S33*L33)+(T33*M33))*O33,2)</f>
        <v>15</v>
      </c>
      <c r="V33" s="149">
        <f>IF(U33&gt;=15,15,U33)</f>
        <v>15</v>
      </c>
      <c r="W33" s="256">
        <v>3636972000</v>
      </c>
      <c r="X33" s="199">
        <v>2705226000</v>
      </c>
      <c r="Y33" s="151"/>
      <c r="Z33" s="190"/>
      <c r="AA33" s="153"/>
      <c r="AB33" s="154">
        <f>ROUND((((W33*I33)+(X33*J33)+(Y33*K33)+(Z33*L33)+(AA33*M33))/$I$2),2)*13</f>
        <v>10.530000000000001</v>
      </c>
      <c r="AC33" s="149">
        <f>IF(AB33&gt;=13,13,AB33)</f>
        <v>10.530000000000001</v>
      </c>
      <c r="AD33" s="125">
        <v>2</v>
      </c>
      <c r="AE33" s="148">
        <f>IF((AC33+AD33)&gt;=15,15,(AC33+AD33))</f>
        <v>12.530000000000001</v>
      </c>
      <c r="AF33" s="156"/>
      <c r="AG33" s="127">
        <v>4.96</v>
      </c>
      <c r="AH33" s="113">
        <f>IF((V33+AE33+AF33)&gt;=30,30,(V33+AE33+AF33))</f>
        <v>27.53</v>
      </c>
      <c r="AI33" s="157">
        <v>65</v>
      </c>
      <c r="AJ33" s="113">
        <f>V33+AE33+AF33+AI33+AG33</f>
        <v>97.49</v>
      </c>
      <c r="AK33" s="113">
        <f>IF(AH33+AI33+AG33&gt;=95,95,AH33+AI33+AG33)</f>
        <v>95</v>
      </c>
      <c r="AL33" s="158">
        <f>-((50-((176+(45+(50-AH33)))))/200)</f>
        <v>0.96735</v>
      </c>
      <c r="AM33" s="159"/>
      <c r="AN33" s="160">
        <f>100%+AM33</f>
        <v>1</v>
      </c>
      <c r="AO33" s="160">
        <f>100%+AN33</f>
        <v>2</v>
      </c>
      <c r="AP33" s="133"/>
      <c r="AQ33" s="134"/>
      <c r="AR33" s="161"/>
      <c r="AS33" s="161"/>
      <c r="AT33" s="161"/>
      <c r="AU33" s="161"/>
      <c r="AV33" s="162"/>
      <c r="AW33" s="137">
        <f>AR33+AS33+AT33+AU33+AV33</f>
        <v>0</v>
      </c>
      <c r="AX33" s="137">
        <f>(AR33*I33)+(AS33*J33)+(AT33*K33)+(AU33*L33)+(AV33*M33)</f>
        <v>0</v>
      </c>
    </row>
    <row r="34" ht="21.95" customHeight="1" spans="1:50" s="97" customFormat="1" x14ac:dyDescent="0.25">
      <c r="A34" s="138" t="s">
        <v>56</v>
      </c>
      <c r="B34" s="139"/>
      <c r="C34" s="139"/>
      <c r="D34" s="139"/>
      <c r="E34" s="139"/>
      <c r="F34" s="139"/>
      <c r="G34" s="139"/>
      <c r="H34" s="140"/>
      <c r="I34" s="142">
        <v>85</v>
      </c>
      <c r="J34" s="142">
        <v>85</v>
      </c>
      <c r="K34" s="142"/>
      <c r="L34" s="142"/>
      <c r="M34" s="142"/>
      <c r="N34" s="170">
        <f>I34*I33+J34*J33+K34*K33+L34*L33+M34*M33</f>
        <v>85</v>
      </c>
      <c r="O34" s="144"/>
      <c r="P34" s="145"/>
      <c r="Q34" s="113"/>
      <c r="R34" s="113"/>
      <c r="S34" s="146"/>
      <c r="T34" s="147"/>
      <c r="U34" s="148"/>
      <c r="V34" s="149"/>
      <c r="W34" s="150"/>
      <c r="X34" s="151"/>
      <c r="Y34" s="152"/>
      <c r="Z34" s="151"/>
      <c r="AA34" s="153"/>
      <c r="AB34" s="154"/>
      <c r="AC34" s="149"/>
      <c r="AD34" s="148"/>
      <c r="AE34" s="148"/>
      <c r="AF34" s="155"/>
      <c r="AG34" s="156"/>
      <c r="AH34" s="113"/>
      <c r="AI34" s="157"/>
      <c r="AJ34" s="113"/>
      <c r="AK34" s="113"/>
      <c r="AL34" s="158"/>
      <c r="AM34" s="159"/>
      <c r="AN34" s="160"/>
      <c r="AO34" s="160"/>
      <c r="AP34" s="133"/>
      <c r="AQ34" s="134"/>
      <c r="AR34" s="161"/>
      <c r="AS34" s="161"/>
      <c r="AT34" s="161"/>
      <c r="AU34" s="161"/>
      <c r="AV34" s="162"/>
      <c r="AW34" s="137"/>
      <c r="AX34" s="137"/>
    </row>
    <row r="35" ht="46.5" customHeight="1" spans="1:50" s="97" customFormat="1" x14ac:dyDescent="0.25">
      <c r="A35" s="239">
        <v>16</v>
      </c>
      <c r="B35" s="100"/>
      <c r="C35" s="174" t="s">
        <v>375</v>
      </c>
      <c r="D35" s="100" t="s">
        <v>156</v>
      </c>
      <c r="E35" s="100"/>
      <c r="F35" s="100"/>
      <c r="G35" s="103"/>
      <c r="H35" s="186"/>
      <c r="I35" s="195">
        <v>0.6</v>
      </c>
      <c r="J35" s="107">
        <v>0.4</v>
      </c>
      <c r="K35" s="107"/>
      <c r="L35" s="107"/>
      <c r="M35" s="187"/>
      <c r="N35" s="169">
        <f>SUM(I35:M35)</f>
        <v>1</v>
      </c>
      <c r="O35" s="144">
        <v>1</v>
      </c>
      <c r="P35" s="145">
        <v>15</v>
      </c>
      <c r="Q35" s="217">
        <v>15</v>
      </c>
      <c r="R35" s="113"/>
      <c r="S35" s="113"/>
      <c r="T35" s="146"/>
      <c r="U35" s="148">
        <f>ROUND(((P35*I35)+(Q35*J35)+(R35*K35)+(S35*L35)+(T35*M35))*O35,2)</f>
        <v>15</v>
      </c>
      <c r="V35" s="149">
        <f>IF(U35&gt;=15,15,U35)</f>
        <v>15</v>
      </c>
      <c r="W35" s="189">
        <v>3639634000</v>
      </c>
      <c r="X35" s="199">
        <v>0</v>
      </c>
      <c r="Y35" s="120"/>
      <c r="Z35" s="199"/>
      <c r="AA35" s="153"/>
      <c r="AB35" s="154">
        <f>ROUND((((W35*I35)+(X35*J35)+(Y35*K35)+(Z35*L35)+(AA35*M35))/$I$2),2)*13</f>
        <v>7.280000000000001</v>
      </c>
      <c r="AC35" s="149">
        <f>IF(AB35&gt;=13,13,AB35)</f>
        <v>7.280000000000001</v>
      </c>
      <c r="AD35" s="125">
        <v>2</v>
      </c>
      <c r="AE35" s="148">
        <f>IF((AC35+AD35)&gt;=15,15,(AC35+AD35))</f>
        <v>9.280000000000001</v>
      </c>
      <c r="AF35" s="156"/>
      <c r="AG35" s="127">
        <v>4.96</v>
      </c>
      <c r="AH35" s="113">
        <f>IF((V35+AE35+AF35)&gt;=30,30,(V35+AE35+AF35))</f>
        <v>24.28</v>
      </c>
      <c r="AI35" s="157">
        <v>65</v>
      </c>
      <c r="AJ35" s="113">
        <f>V35+AE35+AF35+AI35+AG35</f>
        <v>94.24</v>
      </c>
      <c r="AK35" s="113">
        <f>IF(AH35+AI35+AG35&gt;=95,95,AH35+AI35+AG35)</f>
        <v>94.24</v>
      </c>
      <c r="AL35" s="158">
        <f>-((50-((176+(45+(50-AH35)))))/200)</f>
        <v>0.9836</v>
      </c>
      <c r="AM35" s="159"/>
      <c r="AN35" s="160">
        <f>100%+AM35</f>
        <v>1</v>
      </c>
      <c r="AO35" s="160">
        <f>100%+AN35</f>
        <v>2</v>
      </c>
      <c r="AP35" s="133"/>
      <c r="AQ35" s="134"/>
      <c r="AR35" s="161"/>
      <c r="AS35" s="161"/>
      <c r="AT35" s="161"/>
      <c r="AU35" s="161"/>
      <c r="AV35" s="162"/>
      <c r="AW35" s="137">
        <f>AR35+AS35+AT35+AU35+AV35</f>
        <v>0</v>
      </c>
      <c r="AX35" s="137">
        <f>(AR35*I35)+(AS35*J35)+(AT35*K35)+(AU35*L35)+(AV35*M35)</f>
        <v>0</v>
      </c>
    </row>
    <row r="36" ht="21.95" customHeight="1" spans="1:50" s="97" customFormat="1" x14ac:dyDescent="0.25">
      <c r="A36" s="138" t="s">
        <v>56</v>
      </c>
      <c r="B36" s="139"/>
      <c r="C36" s="139"/>
      <c r="D36" s="139"/>
      <c r="E36" s="139"/>
      <c r="F36" s="139"/>
      <c r="G36" s="139"/>
      <c r="H36" s="140"/>
      <c r="I36" s="142">
        <v>85</v>
      </c>
      <c r="J36" s="142">
        <v>85</v>
      </c>
      <c r="K36" s="142"/>
      <c r="L36" s="142"/>
      <c r="M36" s="142"/>
      <c r="N36" s="170">
        <f>I36*I35+J36*J35+K36*K35+L36*L35+M36*M35</f>
        <v>85</v>
      </c>
      <c r="O36" s="144"/>
      <c r="P36" s="145"/>
      <c r="Q36" s="113"/>
      <c r="R36" s="113"/>
      <c r="S36" s="146"/>
      <c r="T36" s="147"/>
      <c r="U36" s="148"/>
      <c r="V36" s="149"/>
      <c r="W36" s="150"/>
      <c r="X36" s="151"/>
      <c r="Y36" s="152"/>
      <c r="Z36" s="151"/>
      <c r="AA36" s="153"/>
      <c r="AB36" s="154"/>
      <c r="AC36" s="149"/>
      <c r="AD36" s="148"/>
      <c r="AE36" s="148"/>
      <c r="AF36" s="155"/>
      <c r="AG36" s="156"/>
      <c r="AH36" s="113"/>
      <c r="AI36" s="157"/>
      <c r="AJ36" s="113"/>
      <c r="AK36" s="113"/>
      <c r="AL36" s="158"/>
      <c r="AM36" s="159"/>
      <c r="AN36" s="160"/>
      <c r="AO36" s="160"/>
      <c r="AP36" s="133"/>
      <c r="AQ36" s="134"/>
      <c r="AR36" s="161"/>
      <c r="AS36" s="161"/>
      <c r="AT36" s="161"/>
      <c r="AU36" s="161"/>
      <c r="AV36" s="162"/>
      <c r="AW36" s="137"/>
      <c r="AX36" s="137"/>
    </row>
    <row r="37" ht="46.5" customHeight="1" spans="1:50" s="97" customFormat="1" x14ac:dyDescent="0.25">
      <c r="A37" s="239">
        <v>17</v>
      </c>
      <c r="B37" s="100"/>
      <c r="C37" s="286" t="s">
        <v>376</v>
      </c>
      <c r="D37" s="174" t="s">
        <v>377</v>
      </c>
      <c r="E37" s="100"/>
      <c r="F37" s="100"/>
      <c r="G37" s="103"/>
      <c r="H37" s="233"/>
      <c r="I37" s="254">
        <v>0.51</v>
      </c>
      <c r="J37" s="107">
        <v>0.49</v>
      </c>
      <c r="K37" s="107"/>
      <c r="L37" s="107"/>
      <c r="M37" s="187"/>
      <c r="N37" s="169">
        <f>SUM(I37:M37)</f>
        <v>1</v>
      </c>
      <c r="O37" s="144">
        <v>1</v>
      </c>
      <c r="P37" s="255">
        <v>15</v>
      </c>
      <c r="Q37" s="113">
        <v>15</v>
      </c>
      <c r="R37" s="113"/>
      <c r="S37" s="113"/>
      <c r="T37" s="146"/>
      <c r="U37" s="148">
        <f>ROUND(((P37*I37)+(Q37*J37)+(R37*K37)+(S37*L37)+(T37*M37))*O37,2)</f>
        <v>15</v>
      </c>
      <c r="V37" s="149">
        <f>IF(U37&gt;=15,15,U37)</f>
        <v>15</v>
      </c>
      <c r="W37" s="256">
        <v>3966791000</v>
      </c>
      <c r="X37" s="199">
        <v>3143872000</v>
      </c>
      <c r="Y37" s="151"/>
      <c r="Z37" s="190"/>
      <c r="AA37" s="153"/>
      <c r="AB37" s="154">
        <f>ROUND((((W37*I37)+(X37*J37)+(Y37*K37)+(Z37*L37)+(AA37*M37))/$I$2),2)*13</f>
        <v>11.83</v>
      </c>
      <c r="AC37" s="149">
        <f>IF(AB37&gt;=13,13,AB37)</f>
        <v>11.83</v>
      </c>
      <c r="AD37" s="125">
        <v>2</v>
      </c>
      <c r="AE37" s="148">
        <f>IF((AC37+AD37)&gt;=15,15,(AC37+AD37))</f>
        <v>13.83</v>
      </c>
      <c r="AF37" s="156"/>
      <c r="AG37" s="127">
        <v>4.96</v>
      </c>
      <c r="AH37" s="113">
        <f>IF((V37+AE37+AF37)&gt;=30,30,(V37+AE37+AF37))</f>
        <v>28.83</v>
      </c>
      <c r="AI37" s="157">
        <v>65</v>
      </c>
      <c r="AJ37" s="113">
        <f>V37+AE37+AF37+AI37+AG37</f>
        <v>98.78999999999999</v>
      </c>
      <c r="AK37" s="113">
        <f>IF(AH37+AI37+AG37&gt;=95,95,AH37+AI37+AG37)</f>
        <v>95</v>
      </c>
      <c r="AL37" s="158">
        <f>-((50-((176+(45+(50-AH37)))))/200)</f>
        <v>0.9608500000000001</v>
      </c>
      <c r="AM37" s="159"/>
      <c r="AN37" s="160">
        <f>100%+AM37</f>
        <v>1</v>
      </c>
      <c r="AO37" s="160">
        <f>100%+AN37</f>
        <v>2</v>
      </c>
      <c r="AP37" s="133"/>
      <c r="AQ37" s="134"/>
      <c r="AR37" s="161"/>
      <c r="AS37" s="161"/>
      <c r="AT37" s="161"/>
      <c r="AU37" s="161"/>
      <c r="AV37" s="162"/>
      <c r="AW37" s="137">
        <f>AR37+AS37+AT37+AU37+AV37</f>
        <v>0</v>
      </c>
      <c r="AX37" s="137">
        <f>(AR37*I37)+(AS37*J37)+(AT37*K37)+(AU37*L37)+(AV37*M37)</f>
        <v>0</v>
      </c>
    </row>
    <row r="38" ht="21.95" customHeight="1" spans="1:50" s="97" customFormat="1" x14ac:dyDescent="0.25">
      <c r="A38" s="138" t="s">
        <v>56</v>
      </c>
      <c r="B38" s="139"/>
      <c r="C38" s="139"/>
      <c r="D38" s="139"/>
      <c r="E38" s="139"/>
      <c r="F38" s="139"/>
      <c r="G38" s="139"/>
      <c r="H38" s="140"/>
      <c r="I38" s="142">
        <v>85</v>
      </c>
      <c r="J38" s="142">
        <v>85</v>
      </c>
      <c r="K38" s="142"/>
      <c r="L38" s="142"/>
      <c r="M38" s="142"/>
      <c r="N38" s="170">
        <f>I38*I37+J38*J37+K38*K37+L38*L37+M38*M37</f>
        <v>85</v>
      </c>
      <c r="O38" s="144"/>
      <c r="P38" s="145"/>
      <c r="Q38" s="113"/>
      <c r="R38" s="113"/>
      <c r="S38" s="146"/>
      <c r="T38" s="147"/>
      <c r="U38" s="148"/>
      <c r="V38" s="149"/>
      <c r="W38" s="150"/>
      <c r="X38" s="151"/>
      <c r="Y38" s="152"/>
      <c r="Z38" s="151"/>
      <c r="AA38" s="153"/>
      <c r="AB38" s="154"/>
      <c r="AC38" s="149"/>
      <c r="AD38" s="148"/>
      <c r="AE38" s="148"/>
      <c r="AF38" s="155"/>
      <c r="AG38" s="156"/>
      <c r="AH38" s="113"/>
      <c r="AI38" s="157"/>
      <c r="AJ38" s="113"/>
      <c r="AK38" s="113"/>
      <c r="AL38" s="158"/>
      <c r="AM38" s="159"/>
      <c r="AN38" s="160"/>
      <c r="AO38" s="160"/>
      <c r="AP38" s="133"/>
      <c r="AQ38" s="134"/>
      <c r="AR38" s="161"/>
      <c r="AS38" s="161"/>
      <c r="AT38" s="161"/>
      <c r="AU38" s="161"/>
      <c r="AV38" s="162"/>
      <c r="AW38" s="137"/>
      <c r="AX38" s="137"/>
    </row>
    <row r="39" ht="46.5" customHeight="1" spans="1:50" s="97" customFormat="1" x14ac:dyDescent="0.25">
      <c r="A39" s="239">
        <v>18</v>
      </c>
      <c r="B39" s="100"/>
      <c r="C39" s="279" t="s">
        <v>378</v>
      </c>
      <c r="D39" s="249" t="s">
        <v>379</v>
      </c>
      <c r="E39" s="286"/>
      <c r="F39" s="100"/>
      <c r="G39" s="103"/>
      <c r="H39" s="233"/>
      <c r="I39" s="254">
        <v>0.51</v>
      </c>
      <c r="J39" s="250">
        <v>0.49</v>
      </c>
      <c r="K39" s="250"/>
      <c r="L39" s="107"/>
      <c r="M39" s="187"/>
      <c r="N39" s="241">
        <f>SUM(I39:M39)</f>
        <v>1</v>
      </c>
      <c r="O39" s="144">
        <v>1</v>
      </c>
      <c r="P39" s="255">
        <v>15</v>
      </c>
      <c r="Q39" s="268">
        <v>15</v>
      </c>
      <c r="R39" s="268"/>
      <c r="S39" s="113"/>
      <c r="T39" s="146"/>
      <c r="U39" s="148">
        <f>ROUND(((P39*I39)+(Q39*J39)+(R39*K39)+(S39*L39)+(T39*M39))*O39,2)</f>
        <v>15</v>
      </c>
      <c r="V39" s="149">
        <f>IF(U39&gt;=15,15,U39)</f>
        <v>15</v>
      </c>
      <c r="W39" s="256">
        <v>3747396000</v>
      </c>
      <c r="X39" s="264">
        <v>2747180000</v>
      </c>
      <c r="Y39" s="274"/>
      <c r="Z39" s="190"/>
      <c r="AA39" s="153"/>
      <c r="AB39" s="154">
        <f>ROUND((((W39*I39)+(X39*J39)+(Y39*K39)+(Z39*L39)+(AA39*M39))/$I$2),2)*13</f>
        <v>10.79</v>
      </c>
      <c r="AC39" s="149">
        <f>IF(AB39&gt;=13,13,AB39)</f>
        <v>10.79</v>
      </c>
      <c r="AD39" s="125">
        <v>2</v>
      </c>
      <c r="AE39" s="148">
        <f>IF((AC39+AD39)&gt;=15,15,(AC39+AD39))</f>
        <v>12.79</v>
      </c>
      <c r="AF39" s="156"/>
      <c r="AG39" s="127">
        <v>4.96</v>
      </c>
      <c r="AH39" s="113">
        <f>IF((V39+AE39+AF39)&gt;=30,30,(V39+AE39+AF39))</f>
        <v>27.79</v>
      </c>
      <c r="AI39" s="157">
        <v>65</v>
      </c>
      <c r="AJ39" s="113">
        <f>V39+AE39+AF39+AI39+AG39</f>
        <v>97.74999999999999</v>
      </c>
      <c r="AK39" s="113">
        <f>IF(AH39+AI39+AG39&gt;=95,95,AH39+AI39+AG39)</f>
        <v>95</v>
      </c>
      <c r="AL39" s="158">
        <f>-((50-((176+(45+(50-AH39)))))/200)</f>
        <v>0.9660500000000001</v>
      </c>
      <c r="AM39" s="159"/>
      <c r="AN39" s="160">
        <f>100%+AM39</f>
        <v>1</v>
      </c>
      <c r="AO39" s="160">
        <f>100%+AN39</f>
        <v>2</v>
      </c>
      <c r="AP39" s="133"/>
      <c r="AQ39" s="134"/>
      <c r="AR39" s="161"/>
      <c r="AS39" s="161"/>
      <c r="AT39" s="161"/>
      <c r="AU39" s="161"/>
      <c r="AV39" s="162"/>
      <c r="AW39" s="137">
        <f>AR39+AS39+AT39+AU39+AV39</f>
        <v>0</v>
      </c>
      <c r="AX39" s="137">
        <f>(AR39*I39)+(AS39*J39)+(AT39*K39)+(AU39*L39)+(AV39*M39)</f>
        <v>0</v>
      </c>
    </row>
    <row r="40" ht="21.95" customHeight="1" spans="1:50" s="97" customFormat="1" x14ac:dyDescent="0.25">
      <c r="A40" s="138" t="s">
        <v>56</v>
      </c>
      <c r="B40" s="139"/>
      <c r="C40" s="139"/>
      <c r="D40" s="139"/>
      <c r="E40" s="139"/>
      <c r="F40" s="139"/>
      <c r="G40" s="139"/>
      <c r="H40" s="140"/>
      <c r="I40" s="142">
        <v>85</v>
      </c>
      <c r="J40" s="142">
        <v>85</v>
      </c>
      <c r="K40" s="142"/>
      <c r="L40" s="142"/>
      <c r="M40" s="142"/>
      <c r="N40" s="170">
        <f>I40*I39+J40*J39+K40*K39+L40*L39+M40*M39</f>
        <v>85</v>
      </c>
      <c r="O40" s="144"/>
      <c r="P40" s="145"/>
      <c r="Q40" s="113"/>
      <c r="R40" s="113"/>
      <c r="S40" s="146"/>
      <c r="T40" s="147"/>
      <c r="U40" s="148"/>
      <c r="V40" s="149"/>
      <c r="W40" s="150"/>
      <c r="X40" s="151"/>
      <c r="Y40" s="152"/>
      <c r="Z40" s="151"/>
      <c r="AA40" s="153"/>
      <c r="AB40" s="154"/>
      <c r="AC40" s="149"/>
      <c r="AD40" s="148"/>
      <c r="AE40" s="148"/>
      <c r="AF40" s="155"/>
      <c r="AG40" s="156"/>
      <c r="AH40" s="113"/>
      <c r="AI40" s="157"/>
      <c r="AJ40" s="113"/>
      <c r="AK40" s="113"/>
      <c r="AL40" s="158"/>
      <c r="AM40" s="159"/>
      <c r="AN40" s="160"/>
      <c r="AO40" s="160"/>
      <c r="AP40" s="133"/>
      <c r="AQ40" s="134"/>
      <c r="AR40" s="161"/>
      <c r="AS40" s="161"/>
      <c r="AT40" s="161"/>
      <c r="AU40" s="161"/>
      <c r="AV40" s="162"/>
      <c r="AW40" s="137"/>
      <c r="AX40" s="137"/>
    </row>
    <row r="41" ht="46.5" customHeight="1" spans="1:50" s="97" customFormat="1" x14ac:dyDescent="0.25">
      <c r="A41" s="239">
        <v>19</v>
      </c>
      <c r="B41" s="100"/>
      <c r="C41" s="174" t="s">
        <v>380</v>
      </c>
      <c r="D41" s="253" t="s">
        <v>78</v>
      </c>
      <c r="E41" s="100"/>
      <c r="F41" s="100"/>
      <c r="G41" s="103"/>
      <c r="H41" s="186"/>
      <c r="I41" s="195">
        <v>0.51</v>
      </c>
      <c r="J41" s="250">
        <v>0.49</v>
      </c>
      <c r="K41" s="107"/>
      <c r="L41" s="107"/>
      <c r="M41" s="187"/>
      <c r="N41" s="169">
        <f>SUM(I41:M41)</f>
        <v>1</v>
      </c>
      <c r="O41" s="144">
        <v>1</v>
      </c>
      <c r="P41" s="145">
        <v>15</v>
      </c>
      <c r="Q41" s="268">
        <v>15</v>
      </c>
      <c r="R41" s="113"/>
      <c r="S41" s="113"/>
      <c r="T41" s="146"/>
      <c r="U41" s="148">
        <f>ROUND(((P41*I41)+(Q41*J41)+(R41*K41)+(S41*L41)+(T41*M41))*O41,2)</f>
        <v>15</v>
      </c>
      <c r="V41" s="149">
        <f>IF(U41&gt;=15,15,U41)</f>
        <v>15</v>
      </c>
      <c r="W41" s="189">
        <v>3157334000</v>
      </c>
      <c r="X41" s="277">
        <v>21720797000</v>
      </c>
      <c r="Y41" s="199"/>
      <c r="Z41" s="190"/>
      <c r="AA41" s="153"/>
      <c r="AB41" s="154">
        <f>ROUND((((W41*I41)+(X41*J41)+(Y41*K41)+(Z41*L41)+(AA41*M41))/$I$2),2)*13</f>
        <v>40.56</v>
      </c>
      <c r="AC41" s="149">
        <f>IF(AB41&gt;=13,13,AB41)</f>
        <v>13</v>
      </c>
      <c r="AD41" s="125">
        <v>2</v>
      </c>
      <c r="AE41" s="148">
        <f>IF((AC41+AD41)&gt;=15,15,(AC41+AD41))</f>
        <v>15</v>
      </c>
      <c r="AF41" s="156"/>
      <c r="AG41" s="127">
        <v>4.96</v>
      </c>
      <c r="AH41" s="113">
        <f>IF((V41+AE41+AF41)&gt;=30,30,(V41+AE41+AF41))</f>
        <v>30</v>
      </c>
      <c r="AI41" s="157">
        <v>65</v>
      </c>
      <c r="AJ41" s="113">
        <f>V41+AE41+AF41+AI41+AG41</f>
        <v>99.96</v>
      </c>
      <c r="AK41" s="113">
        <f>IF(AH41+AI41+AG41&gt;=95,95,AH41+AI41+AG41)</f>
        <v>95</v>
      </c>
      <c r="AL41" s="158">
        <f>-((50-((176+(45+(50-AH41)))))/200)</f>
        <v>0.955</v>
      </c>
      <c r="AM41" s="159"/>
      <c r="AN41" s="160">
        <f>100%+AM41</f>
        <v>1</v>
      </c>
      <c r="AO41" s="160">
        <f>100%+AN41</f>
        <v>2</v>
      </c>
      <c r="AP41" s="133"/>
      <c r="AQ41" s="134"/>
      <c r="AR41" s="161"/>
      <c r="AS41" s="161"/>
      <c r="AT41" s="161"/>
      <c r="AU41" s="161"/>
      <c r="AV41" s="162"/>
      <c r="AW41" s="137">
        <f>AR41+AS41+AT41+AU41+AV41</f>
        <v>0</v>
      </c>
      <c r="AX41" s="137">
        <f>(AR41*I41)+(AS41*J41)+(AT41*K41)+(AU41*L41)+(AV41*M41)</f>
        <v>0</v>
      </c>
    </row>
    <row r="42" ht="21.95" customHeight="1" spans="1:50" s="97" customFormat="1" x14ac:dyDescent="0.25">
      <c r="A42" s="138" t="s">
        <v>56</v>
      </c>
      <c r="B42" s="139"/>
      <c r="C42" s="139"/>
      <c r="D42" s="139"/>
      <c r="E42" s="139"/>
      <c r="F42" s="139"/>
      <c r="G42" s="139"/>
      <c r="H42" s="140"/>
      <c r="I42" s="142">
        <v>85</v>
      </c>
      <c r="J42" s="142">
        <v>85</v>
      </c>
      <c r="K42" s="142"/>
      <c r="L42" s="142"/>
      <c r="M42" s="142"/>
      <c r="N42" s="170">
        <f>I42*I41+J42*J41+K42*K41+L42*L41+M42*M41</f>
        <v>85</v>
      </c>
      <c r="O42" s="144"/>
      <c r="P42" s="145"/>
      <c r="Q42" s="113"/>
      <c r="R42" s="113"/>
      <c r="S42" s="146"/>
      <c r="T42" s="147"/>
      <c r="U42" s="148"/>
      <c r="V42" s="149"/>
      <c r="W42" s="150"/>
      <c r="X42" s="151"/>
      <c r="Y42" s="152"/>
      <c r="Z42" s="151"/>
      <c r="AA42" s="153"/>
      <c r="AB42" s="154"/>
      <c r="AC42" s="149"/>
      <c r="AD42" s="148"/>
      <c r="AE42" s="148"/>
      <c r="AF42" s="155"/>
      <c r="AG42" s="156"/>
      <c r="AH42" s="113"/>
      <c r="AI42" s="157"/>
      <c r="AJ42" s="113"/>
      <c r="AK42" s="113"/>
      <c r="AL42" s="158"/>
      <c r="AM42" s="159"/>
      <c r="AN42" s="160"/>
      <c r="AO42" s="160"/>
      <c r="AP42" s="133"/>
      <c r="AQ42" s="134"/>
      <c r="AR42" s="161"/>
      <c r="AS42" s="161"/>
      <c r="AT42" s="161"/>
      <c r="AU42" s="161"/>
      <c r="AV42" s="162"/>
      <c r="AW42" s="137"/>
      <c r="AX42" s="137"/>
    </row>
    <row r="43" ht="46.5" customHeight="1" spans="1:50" s="97" customFormat="1" x14ac:dyDescent="0.25">
      <c r="A43" s="239">
        <v>20</v>
      </c>
      <c r="B43" s="100"/>
      <c r="C43" s="286" t="s">
        <v>381</v>
      </c>
      <c r="D43" s="249" t="s">
        <v>94</v>
      </c>
      <c r="E43" s="212"/>
      <c r="F43" s="238"/>
      <c r="G43" s="103"/>
      <c r="H43" s="186"/>
      <c r="I43" s="254">
        <v>0.51</v>
      </c>
      <c r="J43" s="250">
        <v>0.49</v>
      </c>
      <c r="K43" s="107"/>
      <c r="L43" s="107"/>
      <c r="M43" s="187"/>
      <c r="N43" s="169">
        <f t="shared" ref="N43:N74" si="0">SUM(I43:M43)</f>
        <v>1</v>
      </c>
      <c r="O43" s="144">
        <v>1</v>
      </c>
      <c r="P43" s="255">
        <v>15</v>
      </c>
      <c r="Q43" s="268">
        <v>15</v>
      </c>
      <c r="R43" s="113"/>
      <c r="S43" s="113"/>
      <c r="T43" s="146"/>
      <c r="U43" s="148">
        <f t="shared" ref="U43:U106" si="1">ROUND(((P43*I43)+(Q43*J43)+(R43*K43)+(S43*L43)+(T43*M43))*O43,2)</f>
        <v>15</v>
      </c>
      <c r="V43" s="149">
        <f t="shared" ref="V43:V106" si="2">IF(U43&gt;=15,15,U43)</f>
        <v>15</v>
      </c>
      <c r="W43" s="256">
        <v>36613423000</v>
      </c>
      <c r="X43" s="252">
        <v>14294711000</v>
      </c>
      <c r="Y43" s="151"/>
      <c r="Z43" s="190"/>
      <c r="AA43" s="153"/>
      <c r="AB43" s="154">
        <f t="shared" ref="AB43:AB106" si="3">ROUND((((W43*I43)+(X43*J43)+(Y43*K43)+(Z43*L43)+(AA43*M43))/$I$2),2)*13</f>
        <v>84.89</v>
      </c>
      <c r="AC43" s="149">
        <f t="shared" ref="AC43:AC106" si="4">IF(AB43&gt;=13,13,AB43)</f>
        <v>13</v>
      </c>
      <c r="AD43" s="125">
        <v>0</v>
      </c>
      <c r="AE43" s="148">
        <f t="shared" ref="AE43:AE106" si="5">IF((AC43+AD43)&gt;=15,15,(AC43+AD43))</f>
        <v>13</v>
      </c>
      <c r="AF43" s="156"/>
      <c r="AG43" s="127">
        <v>4.96</v>
      </c>
      <c r="AH43" s="113">
        <f t="shared" ref="AH43:AH106" si="6">IF((V43+AE43+AF43)&gt;=30,30,(V43+AE43+AF43))</f>
        <v>28</v>
      </c>
      <c r="AI43" s="157">
        <v>65</v>
      </c>
      <c r="AJ43" s="113">
        <f t="shared" ref="AJ43:AJ106" si="7">V43+AE43+AF43+AI43+AG43</f>
        <v>97.96</v>
      </c>
      <c r="AK43" s="113">
        <f t="shared" ref="AK43:AK106" si="8">IF(AH43+AI43+AG43&gt;=95,95,AH43+AI43+AG43)</f>
        <v>95</v>
      </c>
      <c r="AL43" s="158">
        <f t="shared" ref="AL43:AL106" si="9">-((50-((176+(45+(50-AH43)))))/200)</f>
        <v>0.965</v>
      </c>
      <c r="AM43" s="159"/>
      <c r="AN43" s="160">
        <f t="shared" ref="AN43:AO62" si="10">100%+AM43</f>
        <v>1</v>
      </c>
      <c r="AO43" s="160">
        <f t="shared" si="10"/>
        <v>2</v>
      </c>
      <c r="AP43" s="133"/>
      <c r="AQ43" s="134"/>
      <c r="AR43" s="161"/>
      <c r="AS43" s="161"/>
      <c r="AT43" s="161"/>
      <c r="AU43" s="161"/>
      <c r="AV43" s="162"/>
      <c r="AW43" s="137">
        <f t="shared" ref="AW43:AW106" si="11">AR43+AS43+AT43+AU43+AV43</f>
        <v>0</v>
      </c>
      <c r="AX43" s="137">
        <f t="shared" ref="AX43:AX106" si="12">(AR43*I43)+(AS43*J43)+(AT43*K43)+(AU43*L43)+(AV43*M43)</f>
        <v>0</v>
      </c>
    </row>
    <row r="44" ht="21.95" customHeight="1" spans="1:50" s="97" customFormat="1" x14ac:dyDescent="0.25">
      <c r="A44" s="138" t="s">
        <v>56</v>
      </c>
      <c r="B44" s="139"/>
      <c r="C44" s="139"/>
      <c r="D44" s="139"/>
      <c r="E44" s="139"/>
      <c r="F44" s="139"/>
      <c r="G44" s="139"/>
      <c r="H44" s="140"/>
      <c r="I44" s="142">
        <v>85</v>
      </c>
      <c r="J44" s="142">
        <v>85</v>
      </c>
      <c r="K44" s="142"/>
      <c r="L44" s="142"/>
      <c r="M44" s="142"/>
      <c r="N44" s="170">
        <f>I44*I43+J44*J43+K44*K43+L44*L43+M44*M43</f>
        <v>85</v>
      </c>
      <c r="O44" s="144"/>
      <c r="P44" s="145"/>
      <c r="Q44" s="113"/>
      <c r="R44" s="113"/>
      <c r="S44" s="146"/>
      <c r="T44" s="147"/>
      <c r="U44" s="148"/>
      <c r="V44" s="149"/>
      <c r="W44" s="150"/>
      <c r="X44" s="151"/>
      <c r="Y44" s="152"/>
      <c r="Z44" s="151"/>
      <c r="AA44" s="153"/>
      <c r="AB44" s="154"/>
      <c r="AC44" s="149"/>
      <c r="AD44" s="148"/>
      <c r="AE44" s="148"/>
      <c r="AF44" s="155"/>
      <c r="AG44" s="156"/>
      <c r="AH44" s="113"/>
      <c r="AI44" s="157"/>
      <c r="AJ44" s="113"/>
      <c r="AK44" s="113"/>
      <c r="AL44" s="158"/>
      <c r="AM44" s="159"/>
      <c r="AN44" s="160"/>
      <c r="AO44" s="160"/>
      <c r="AP44" s="133"/>
      <c r="AQ44" s="134"/>
      <c r="AR44" s="161"/>
      <c r="AS44" s="161"/>
      <c r="AT44" s="161"/>
      <c r="AU44" s="161"/>
      <c r="AV44" s="162"/>
      <c r="AW44" s="137"/>
      <c r="AX44" s="137"/>
    </row>
    <row r="45" ht="46.5" customHeight="1" spans="1:50" s="97" customFormat="1" x14ac:dyDescent="0.25">
      <c r="A45" s="100"/>
      <c r="B45" s="100"/>
      <c r="C45" s="253"/>
      <c r="D45" s="253"/>
      <c r="E45" s="100"/>
      <c r="F45" s="100"/>
      <c r="G45" s="103"/>
      <c r="H45" s="186"/>
      <c r="I45" s="254">
        <v>0.51</v>
      </c>
      <c r="J45" s="250">
        <v>0.51</v>
      </c>
      <c r="K45" s="107"/>
      <c r="L45" s="107"/>
      <c r="M45" s="187"/>
      <c r="N45" s="169">
        <f t="shared" si="0"/>
        <v>1.02</v>
      </c>
      <c r="O45" s="144">
        <v>1</v>
      </c>
      <c r="P45" s="255">
        <v>15</v>
      </c>
      <c r="Q45" s="268">
        <v>15</v>
      </c>
      <c r="R45" s="113"/>
      <c r="S45" s="113"/>
      <c r="T45" s="146"/>
      <c r="U45" s="148">
        <f t="shared" si="1"/>
        <v>15.3</v>
      </c>
      <c r="V45" s="149">
        <f t="shared" si="2"/>
        <v>15</v>
      </c>
      <c r="W45" s="256"/>
      <c r="X45" s="252"/>
      <c r="Y45" s="151"/>
      <c r="Z45" s="190"/>
      <c r="AA45" s="153"/>
      <c r="AB45" s="154">
        <f t="shared" si="3"/>
        <v>0</v>
      </c>
      <c r="AC45" s="149">
        <f t="shared" si="4"/>
        <v>0</v>
      </c>
      <c r="AD45" s="125">
        <v>0</v>
      </c>
      <c r="AE45" s="148">
        <f t="shared" si="5"/>
        <v>0</v>
      </c>
      <c r="AF45" s="156"/>
      <c r="AG45" s="127">
        <v>4.96</v>
      </c>
      <c r="AH45" s="113">
        <f t="shared" si="6"/>
        <v>15</v>
      </c>
      <c r="AI45" s="157">
        <v>65</v>
      </c>
      <c r="AJ45" s="113">
        <f t="shared" si="7"/>
        <v>84.96</v>
      </c>
      <c r="AK45" s="113">
        <f t="shared" si="8"/>
        <v>84.96</v>
      </c>
      <c r="AL45" s="158">
        <f t="shared" si="9"/>
        <v>1.03</v>
      </c>
      <c r="AM45" s="159"/>
      <c r="AN45" s="160">
        <f t="shared" si="10"/>
        <v>1</v>
      </c>
      <c r="AO45" s="160">
        <f t="shared" si="10"/>
        <v>2</v>
      </c>
      <c r="AP45" s="133"/>
      <c r="AQ45" s="134"/>
      <c r="AR45" s="161"/>
      <c r="AS45" s="161"/>
      <c r="AT45" s="161"/>
      <c r="AU45" s="161"/>
      <c r="AV45" s="162"/>
      <c r="AW45" s="137">
        <f t="shared" si="11"/>
        <v>0</v>
      </c>
      <c r="AX45" s="137">
        <f t="shared" si="12"/>
        <v>0</v>
      </c>
    </row>
    <row r="46" ht="21.95" customHeight="1" spans="1:50" s="97" customFormat="1" x14ac:dyDescent="0.25">
      <c r="A46" s="138" t="s">
        <v>56</v>
      </c>
      <c r="B46" s="139"/>
      <c r="C46" s="139"/>
      <c r="D46" s="139"/>
      <c r="E46" s="139"/>
      <c r="F46" s="139"/>
      <c r="G46" s="139"/>
      <c r="H46" s="140"/>
      <c r="I46" s="142">
        <v>85</v>
      </c>
      <c r="J46" s="142">
        <v>85</v>
      </c>
      <c r="K46" s="142"/>
      <c r="L46" s="142"/>
      <c r="M46" s="142"/>
      <c r="N46" s="170">
        <f>I46*I45+J46*J45+K46*K45+L46*L45+M46*M45</f>
        <v>86.7</v>
      </c>
      <c r="O46" s="144"/>
      <c r="P46" s="145"/>
      <c r="Q46" s="113"/>
      <c r="R46" s="113"/>
      <c r="S46" s="146"/>
      <c r="T46" s="147"/>
      <c r="U46" s="148"/>
      <c r="V46" s="149"/>
      <c r="W46" s="150"/>
      <c r="X46" s="151"/>
      <c r="Y46" s="152"/>
      <c r="Z46" s="151"/>
      <c r="AA46" s="153"/>
      <c r="AB46" s="154"/>
      <c r="AC46" s="149"/>
      <c r="AD46" s="148"/>
      <c r="AE46" s="148"/>
      <c r="AF46" s="155"/>
      <c r="AG46" s="156"/>
      <c r="AH46" s="113"/>
      <c r="AI46" s="157"/>
      <c r="AJ46" s="113"/>
      <c r="AK46" s="113"/>
      <c r="AL46" s="158"/>
      <c r="AM46" s="159"/>
      <c r="AN46" s="160"/>
      <c r="AO46" s="160"/>
      <c r="AP46" s="133"/>
      <c r="AQ46" s="134"/>
      <c r="AR46" s="161"/>
      <c r="AS46" s="161"/>
      <c r="AT46" s="161"/>
      <c r="AU46" s="161"/>
      <c r="AV46" s="162"/>
      <c r="AW46" s="137"/>
      <c r="AX46" s="137"/>
    </row>
    <row r="47" ht="46.5" customHeight="1" spans="1:50" s="97" customFormat="1" x14ac:dyDescent="0.25">
      <c r="A47" s="100"/>
      <c r="B47" s="100"/>
      <c r="C47" s="286" t="s">
        <v>382</v>
      </c>
      <c r="D47" s="253"/>
      <c r="E47" s="292"/>
      <c r="F47" s="293"/>
      <c r="G47" s="103"/>
      <c r="H47" s="186"/>
      <c r="I47" s="254">
        <v>0.51</v>
      </c>
      <c r="J47" s="250">
        <v>0.49</v>
      </c>
      <c r="K47" s="107"/>
      <c r="L47" s="107"/>
      <c r="M47" s="187"/>
      <c r="N47" s="169">
        <f t="shared" si="0"/>
        <v>1</v>
      </c>
      <c r="O47" s="144">
        <v>1</v>
      </c>
      <c r="P47" s="255">
        <v>15</v>
      </c>
      <c r="Q47" s="268">
        <v>15</v>
      </c>
      <c r="R47" s="113"/>
      <c r="S47" s="113"/>
      <c r="T47" s="146"/>
      <c r="U47" s="148">
        <f t="shared" si="1"/>
        <v>15</v>
      </c>
      <c r="V47" s="149">
        <f t="shared" si="2"/>
        <v>15</v>
      </c>
      <c r="W47" s="256">
        <v>2643643000</v>
      </c>
      <c r="X47" s="252"/>
      <c r="Y47" s="151"/>
      <c r="Z47" s="190"/>
      <c r="AA47" s="153"/>
      <c r="AB47" s="154">
        <f t="shared" si="3"/>
        <v>4.42</v>
      </c>
      <c r="AC47" s="149">
        <f t="shared" si="4"/>
        <v>4.42</v>
      </c>
      <c r="AD47" s="125">
        <v>2</v>
      </c>
      <c r="AE47" s="148">
        <f t="shared" si="5"/>
        <v>6.42</v>
      </c>
      <c r="AF47" s="156"/>
      <c r="AG47" s="156">
        <v>4.96</v>
      </c>
      <c r="AH47" s="113">
        <f t="shared" si="6"/>
        <v>21.42</v>
      </c>
      <c r="AI47" s="157">
        <v>65</v>
      </c>
      <c r="AJ47" s="113">
        <f t="shared" si="7"/>
        <v>91.38</v>
      </c>
      <c r="AK47" s="113">
        <f t="shared" si="8"/>
        <v>91.38</v>
      </c>
      <c r="AL47" s="158">
        <f t="shared" si="9"/>
        <v>0.9978999999999999</v>
      </c>
      <c r="AM47" s="159"/>
      <c r="AN47" s="160">
        <f t="shared" si="10"/>
        <v>1</v>
      </c>
      <c r="AO47" s="160">
        <f t="shared" si="10"/>
        <v>2</v>
      </c>
      <c r="AP47" s="133"/>
      <c r="AQ47" s="134"/>
      <c r="AR47" s="161"/>
      <c r="AS47" s="161"/>
      <c r="AT47" s="161"/>
      <c r="AU47" s="161"/>
      <c r="AV47" s="162"/>
      <c r="AW47" s="137">
        <f t="shared" si="11"/>
        <v>0</v>
      </c>
      <c r="AX47" s="137">
        <f t="shared" si="12"/>
        <v>0</v>
      </c>
    </row>
    <row r="48" ht="21.95" customHeight="1" spans="1:50" s="97" customFormat="1" x14ac:dyDescent="0.25">
      <c r="A48" s="138" t="s">
        <v>56</v>
      </c>
      <c r="B48" s="139"/>
      <c r="C48" s="139"/>
      <c r="D48" s="139"/>
      <c r="E48" s="139"/>
      <c r="F48" s="139"/>
      <c r="G48" s="139"/>
      <c r="H48" s="140"/>
      <c r="I48" s="142">
        <v>85</v>
      </c>
      <c r="J48" s="142">
        <v>85</v>
      </c>
      <c r="K48" s="142"/>
      <c r="L48" s="142"/>
      <c r="M48" s="142"/>
      <c r="N48" s="170">
        <f>I48*I47+J48*J47+K48*K47+L48*L47+M48*M47</f>
        <v>85</v>
      </c>
      <c r="O48" s="144"/>
      <c r="P48" s="145"/>
      <c r="Q48" s="113"/>
      <c r="R48" s="113"/>
      <c r="S48" s="146"/>
      <c r="T48" s="147"/>
      <c r="U48" s="148"/>
      <c r="V48" s="149"/>
      <c r="W48" s="150"/>
      <c r="X48" s="151"/>
      <c r="Y48" s="152"/>
      <c r="Z48" s="151"/>
      <c r="AA48" s="153"/>
      <c r="AB48" s="154"/>
      <c r="AC48" s="149"/>
      <c r="AD48" s="148"/>
      <c r="AE48" s="148"/>
      <c r="AF48" s="155"/>
      <c r="AG48" s="156"/>
      <c r="AH48" s="113"/>
      <c r="AI48" s="157"/>
      <c r="AJ48" s="113"/>
      <c r="AK48" s="113"/>
      <c r="AL48" s="158"/>
      <c r="AM48" s="159"/>
      <c r="AN48" s="160"/>
      <c r="AO48" s="160"/>
      <c r="AP48" s="133"/>
      <c r="AQ48" s="134"/>
      <c r="AR48" s="161"/>
      <c r="AS48" s="161"/>
      <c r="AT48" s="161"/>
      <c r="AU48" s="161"/>
      <c r="AV48" s="162"/>
      <c r="AW48" s="137"/>
      <c r="AX48" s="137"/>
    </row>
    <row r="49" ht="46.5" customHeight="1" spans="1:50" s="97" customFormat="1" x14ac:dyDescent="0.25">
      <c r="A49" s="100"/>
      <c r="B49" s="100"/>
      <c r="C49" s="100"/>
      <c r="D49" s="253"/>
      <c r="E49" s="100"/>
      <c r="F49" s="100"/>
      <c r="G49" s="103"/>
      <c r="H49" s="186"/>
      <c r="I49" s="195">
        <v>0.51</v>
      </c>
      <c r="J49" s="250">
        <v>0.51</v>
      </c>
      <c r="K49" s="107"/>
      <c r="L49" s="107"/>
      <c r="M49" s="187"/>
      <c r="N49" s="169">
        <f t="shared" si="0"/>
        <v>1.02</v>
      </c>
      <c r="O49" s="144">
        <v>1</v>
      </c>
      <c r="P49" s="145">
        <v>15</v>
      </c>
      <c r="Q49" s="268">
        <v>15</v>
      </c>
      <c r="R49" s="113"/>
      <c r="S49" s="113"/>
      <c r="T49" s="146"/>
      <c r="U49" s="148">
        <f t="shared" si="1"/>
        <v>15.3</v>
      </c>
      <c r="V49" s="149">
        <f t="shared" si="2"/>
        <v>15</v>
      </c>
      <c r="W49" s="189"/>
      <c r="X49" s="252"/>
      <c r="Y49" s="151"/>
      <c r="Z49" s="190"/>
      <c r="AA49" s="153"/>
      <c r="AB49" s="154">
        <f t="shared" si="3"/>
        <v>0</v>
      </c>
      <c r="AC49" s="149">
        <f t="shared" si="4"/>
        <v>0</v>
      </c>
      <c r="AD49" s="125">
        <v>2</v>
      </c>
      <c r="AE49" s="148">
        <f t="shared" si="5"/>
        <v>2</v>
      </c>
      <c r="AF49" s="156"/>
      <c r="AG49" s="156"/>
      <c r="AH49" s="113">
        <f t="shared" si="6"/>
        <v>17</v>
      </c>
      <c r="AI49" s="157">
        <v>65</v>
      </c>
      <c r="AJ49" s="113">
        <f t="shared" si="7"/>
        <v>82</v>
      </c>
      <c r="AK49" s="113">
        <f t="shared" si="8"/>
        <v>82</v>
      </c>
      <c r="AL49" s="158">
        <f t="shared" si="9"/>
        <v>1.02</v>
      </c>
      <c r="AM49" s="159"/>
      <c r="AN49" s="160">
        <f t="shared" si="10"/>
        <v>1</v>
      </c>
      <c r="AO49" s="160">
        <f t="shared" si="10"/>
        <v>2</v>
      </c>
      <c r="AP49" s="133"/>
      <c r="AQ49" s="134"/>
      <c r="AR49" s="161"/>
      <c r="AS49" s="161"/>
      <c r="AT49" s="161"/>
      <c r="AU49" s="161"/>
      <c r="AV49" s="162"/>
      <c r="AW49" s="137">
        <f t="shared" si="11"/>
        <v>0</v>
      </c>
      <c r="AX49" s="137">
        <f t="shared" si="12"/>
        <v>0</v>
      </c>
    </row>
    <row r="50" ht="21.95" customHeight="1" spans="1:50" s="97" customFormat="1" x14ac:dyDescent="0.25">
      <c r="A50" s="138" t="s">
        <v>56</v>
      </c>
      <c r="B50" s="139"/>
      <c r="C50" s="139"/>
      <c r="D50" s="139"/>
      <c r="E50" s="139"/>
      <c r="F50" s="139"/>
      <c r="G50" s="139"/>
      <c r="H50" s="140"/>
      <c r="I50" s="142">
        <v>85</v>
      </c>
      <c r="J50" s="142">
        <v>85</v>
      </c>
      <c r="K50" s="142"/>
      <c r="L50" s="142"/>
      <c r="M50" s="142"/>
      <c r="N50" s="170">
        <f>I50*I49+J50*J49+K50*K49+L50*L49+M50*M49</f>
        <v>86.7</v>
      </c>
      <c r="O50" s="144"/>
      <c r="P50" s="145"/>
      <c r="Q50" s="113"/>
      <c r="R50" s="113"/>
      <c r="S50" s="146"/>
      <c r="T50" s="147"/>
      <c r="U50" s="148"/>
      <c r="V50" s="149"/>
      <c r="W50" s="150"/>
      <c r="X50" s="151"/>
      <c r="Y50" s="152"/>
      <c r="Z50" s="151"/>
      <c r="AA50" s="153"/>
      <c r="AB50" s="154"/>
      <c r="AC50" s="149"/>
      <c r="AD50" s="148"/>
      <c r="AE50" s="148"/>
      <c r="AF50" s="155"/>
      <c r="AG50" s="156"/>
      <c r="AH50" s="113"/>
      <c r="AI50" s="157"/>
      <c r="AJ50" s="113"/>
      <c r="AK50" s="113"/>
      <c r="AL50" s="158"/>
      <c r="AM50" s="159"/>
      <c r="AN50" s="160"/>
      <c r="AO50" s="160"/>
      <c r="AP50" s="133"/>
      <c r="AQ50" s="134"/>
      <c r="AR50" s="161"/>
      <c r="AS50" s="161"/>
      <c r="AT50" s="161"/>
      <c r="AU50" s="161"/>
      <c r="AV50" s="162"/>
      <c r="AW50" s="137"/>
      <c r="AX50" s="137"/>
    </row>
    <row r="51" ht="46.5" customHeight="1" spans="1:50" s="97" customFormat="1" x14ac:dyDescent="0.25">
      <c r="A51" s="100"/>
      <c r="B51" s="100"/>
      <c r="C51" s="100"/>
      <c r="D51" s="253"/>
      <c r="E51" s="100"/>
      <c r="F51" s="100"/>
      <c r="G51" s="103"/>
      <c r="H51" s="186"/>
      <c r="I51" s="195">
        <v>0.51</v>
      </c>
      <c r="J51" s="250">
        <v>0.49</v>
      </c>
      <c r="K51" s="107"/>
      <c r="L51" s="107"/>
      <c r="M51" s="187"/>
      <c r="N51" s="169">
        <f t="shared" si="0"/>
        <v>1</v>
      </c>
      <c r="O51" s="144">
        <v>1</v>
      </c>
      <c r="P51" s="145">
        <v>15</v>
      </c>
      <c r="Q51" s="268">
        <v>15</v>
      </c>
      <c r="R51" s="113"/>
      <c r="S51" s="113"/>
      <c r="T51" s="146"/>
      <c r="U51" s="148">
        <f t="shared" si="1"/>
        <v>15</v>
      </c>
      <c r="V51" s="149">
        <f t="shared" si="2"/>
        <v>15</v>
      </c>
      <c r="W51" s="189"/>
      <c r="X51" s="252"/>
      <c r="Y51" s="151"/>
      <c r="Z51" s="190"/>
      <c r="AA51" s="153"/>
      <c r="AB51" s="154">
        <f t="shared" si="3"/>
        <v>0</v>
      </c>
      <c r="AC51" s="149">
        <f t="shared" si="4"/>
        <v>0</v>
      </c>
      <c r="AD51" s="125">
        <v>2</v>
      </c>
      <c r="AE51" s="148">
        <f t="shared" si="5"/>
        <v>2</v>
      </c>
      <c r="AF51" s="156"/>
      <c r="AG51" s="156"/>
      <c r="AH51" s="113">
        <f t="shared" si="6"/>
        <v>17</v>
      </c>
      <c r="AI51" s="157">
        <v>65</v>
      </c>
      <c r="AJ51" s="113">
        <f t="shared" si="7"/>
        <v>82</v>
      </c>
      <c r="AK51" s="113">
        <f t="shared" si="8"/>
        <v>82</v>
      </c>
      <c r="AL51" s="158">
        <f t="shared" si="9"/>
        <v>1.02</v>
      </c>
      <c r="AM51" s="159"/>
      <c r="AN51" s="160">
        <f t="shared" si="10"/>
        <v>1</v>
      </c>
      <c r="AO51" s="160">
        <f t="shared" si="10"/>
        <v>2</v>
      </c>
      <c r="AP51" s="133"/>
      <c r="AQ51" s="134"/>
      <c r="AR51" s="161"/>
      <c r="AS51" s="161"/>
      <c r="AT51" s="161"/>
      <c r="AU51" s="161"/>
      <c r="AV51" s="162"/>
      <c r="AW51" s="137">
        <f t="shared" si="11"/>
        <v>0</v>
      </c>
      <c r="AX51" s="137">
        <f t="shared" si="12"/>
        <v>0</v>
      </c>
    </row>
    <row r="52" ht="46.5" customHeight="1" spans="1:50" s="97" customFormat="1" x14ac:dyDescent="0.25">
      <c r="A52" s="100"/>
      <c r="B52" s="100"/>
      <c r="C52" s="253" t="s">
        <v>157</v>
      </c>
      <c r="D52" s="100"/>
      <c r="E52" s="100"/>
      <c r="F52" s="100"/>
      <c r="G52" s="103"/>
      <c r="H52" s="186"/>
      <c r="I52" s="254">
        <v>0.6</v>
      </c>
      <c r="J52" s="107">
        <v>0.49</v>
      </c>
      <c r="K52" s="107"/>
      <c r="L52" s="107"/>
      <c r="M52" s="187"/>
      <c r="N52" s="169">
        <f t="shared" si="0"/>
        <v>1.0899999999999999</v>
      </c>
      <c r="O52" s="144">
        <v>1</v>
      </c>
      <c r="P52" s="255">
        <v>15</v>
      </c>
      <c r="Q52" s="113">
        <v>15</v>
      </c>
      <c r="R52" s="113"/>
      <c r="S52" s="113"/>
      <c r="T52" s="146"/>
      <c r="U52" s="148">
        <f t="shared" si="1"/>
        <v>16.35</v>
      </c>
      <c r="V52" s="149">
        <f t="shared" si="2"/>
        <v>15</v>
      </c>
      <c r="W52" s="256">
        <v>15442996000</v>
      </c>
      <c r="X52" s="199"/>
      <c r="Y52" s="151"/>
      <c r="Z52" s="190"/>
      <c r="AA52" s="153"/>
      <c r="AB52" s="154">
        <f t="shared" si="3"/>
        <v>30.68</v>
      </c>
      <c r="AC52" s="149">
        <f t="shared" si="4"/>
        <v>13</v>
      </c>
      <c r="AD52" s="125">
        <v>2</v>
      </c>
      <c r="AE52" s="148">
        <f t="shared" si="5"/>
        <v>15</v>
      </c>
      <c r="AF52" s="156"/>
      <c r="AG52" s="156"/>
      <c r="AH52" s="113">
        <f t="shared" si="6"/>
        <v>30</v>
      </c>
      <c r="AI52" s="157">
        <v>65</v>
      </c>
      <c r="AJ52" s="113">
        <f t="shared" si="7"/>
        <v>95</v>
      </c>
      <c r="AK52" s="113">
        <f t="shared" si="8"/>
        <v>95</v>
      </c>
      <c r="AL52" s="158">
        <f t="shared" si="9"/>
        <v>0.955</v>
      </c>
      <c r="AM52" s="159"/>
      <c r="AN52" s="160">
        <f t="shared" si="10"/>
        <v>1</v>
      </c>
      <c r="AO52" s="160">
        <f t="shared" si="10"/>
        <v>2</v>
      </c>
      <c r="AP52" s="133"/>
      <c r="AQ52" s="134"/>
      <c r="AR52" s="161"/>
      <c r="AS52" s="161"/>
      <c r="AT52" s="161"/>
      <c r="AU52" s="161"/>
      <c r="AV52" s="162"/>
      <c r="AW52" s="137">
        <f t="shared" si="11"/>
        <v>0</v>
      </c>
      <c r="AX52" s="137">
        <f t="shared" si="12"/>
        <v>0</v>
      </c>
    </row>
    <row r="53" ht="46.5" customHeight="1" spans="1:50" s="97" customFormat="1" x14ac:dyDescent="0.25">
      <c r="A53" s="100"/>
      <c r="B53" s="100"/>
      <c r="C53" s="286" t="s">
        <v>153</v>
      </c>
      <c r="D53" s="249" t="s">
        <v>383</v>
      </c>
      <c r="E53" s="212"/>
      <c r="F53" s="238"/>
      <c r="G53" s="103"/>
      <c r="H53" s="186"/>
      <c r="I53" s="254">
        <v>0.55</v>
      </c>
      <c r="J53" s="276">
        <v>0.2663</v>
      </c>
      <c r="K53" s="107"/>
      <c r="L53" s="107"/>
      <c r="M53" s="187"/>
      <c r="N53" s="169">
        <f t="shared" si="0"/>
        <v>0.8163</v>
      </c>
      <c r="O53" s="144">
        <v>1</v>
      </c>
      <c r="P53" s="255">
        <v>15</v>
      </c>
      <c r="Q53" s="268">
        <v>15</v>
      </c>
      <c r="R53" s="113"/>
      <c r="S53" s="113"/>
      <c r="T53" s="146"/>
      <c r="U53" s="148">
        <f t="shared" si="1"/>
        <v>12.24</v>
      </c>
      <c r="V53" s="149">
        <f t="shared" si="2"/>
        <v>12.24</v>
      </c>
      <c r="W53" s="256">
        <v>17785414000</v>
      </c>
      <c r="X53" s="252">
        <v>772030000</v>
      </c>
      <c r="Y53" s="151"/>
      <c r="Z53" s="190"/>
      <c r="AA53" s="153"/>
      <c r="AB53" s="154">
        <f t="shared" si="3"/>
        <v>33.02</v>
      </c>
      <c r="AC53" s="149">
        <f t="shared" si="4"/>
        <v>13</v>
      </c>
      <c r="AD53" s="125">
        <v>2</v>
      </c>
      <c r="AE53" s="148">
        <f t="shared" si="5"/>
        <v>15</v>
      </c>
      <c r="AF53" s="156"/>
      <c r="AG53" s="156"/>
      <c r="AH53" s="113">
        <f t="shared" si="6"/>
        <v>27.240000000000002</v>
      </c>
      <c r="AI53" s="157">
        <v>65</v>
      </c>
      <c r="AJ53" s="113">
        <f t="shared" si="7"/>
        <v>92.24000000000001</v>
      </c>
      <c r="AK53" s="113">
        <f t="shared" si="8"/>
        <v>92.24000000000001</v>
      </c>
      <c r="AL53" s="158">
        <f t="shared" si="9"/>
        <v>0.9688</v>
      </c>
      <c r="AM53" s="159"/>
      <c r="AN53" s="160">
        <f t="shared" si="10"/>
        <v>1</v>
      </c>
      <c r="AO53" s="160">
        <f t="shared" si="10"/>
        <v>2</v>
      </c>
      <c r="AP53" s="133"/>
      <c r="AQ53" s="134"/>
      <c r="AR53" s="161"/>
      <c r="AS53" s="161"/>
      <c r="AT53" s="161"/>
      <c r="AU53" s="161"/>
      <c r="AV53" s="162"/>
      <c r="AW53" s="137">
        <f t="shared" si="11"/>
        <v>0</v>
      </c>
      <c r="AX53" s="137">
        <f t="shared" si="12"/>
        <v>0</v>
      </c>
    </row>
    <row r="54" ht="46.5" customHeight="1" spans="1:50" s="97" customFormat="1" x14ac:dyDescent="0.25">
      <c r="A54" s="100"/>
      <c r="B54" s="100"/>
      <c r="C54" s="249" t="s">
        <v>384</v>
      </c>
      <c r="D54" s="253" t="s">
        <v>164</v>
      </c>
      <c r="E54" s="100"/>
      <c r="F54" s="100"/>
      <c r="G54" s="103"/>
      <c r="H54" s="186"/>
      <c r="I54" s="294">
        <v>0.212</v>
      </c>
      <c r="J54" s="250">
        <v>0.49</v>
      </c>
      <c r="K54" s="107"/>
      <c r="L54" s="107"/>
      <c r="M54" s="187"/>
      <c r="N54" s="169">
        <f t="shared" si="0"/>
        <v>0.702</v>
      </c>
      <c r="O54" s="144">
        <v>1</v>
      </c>
      <c r="P54" s="255">
        <v>15</v>
      </c>
      <c r="Q54" s="268">
        <v>15</v>
      </c>
      <c r="R54" s="113"/>
      <c r="S54" s="113"/>
      <c r="T54" s="146"/>
      <c r="U54" s="148">
        <f t="shared" si="1"/>
        <v>10.53</v>
      </c>
      <c r="V54" s="149">
        <f t="shared" si="2"/>
        <v>10.53</v>
      </c>
      <c r="W54" s="256">
        <v>3119959000</v>
      </c>
      <c r="X54" s="252">
        <v>36613423000</v>
      </c>
      <c r="Y54" s="151"/>
      <c r="Z54" s="190"/>
      <c r="AA54" s="153"/>
      <c r="AB54" s="154">
        <f t="shared" si="3"/>
        <v>61.49000000000001</v>
      </c>
      <c r="AC54" s="149">
        <f t="shared" si="4"/>
        <v>13</v>
      </c>
      <c r="AD54" s="125">
        <v>2</v>
      </c>
      <c r="AE54" s="148">
        <f t="shared" si="5"/>
        <v>15</v>
      </c>
      <c r="AF54" s="156"/>
      <c r="AG54" s="156"/>
      <c r="AH54" s="113">
        <f t="shared" si="6"/>
        <v>25.53</v>
      </c>
      <c r="AI54" s="157">
        <v>65</v>
      </c>
      <c r="AJ54" s="113">
        <f t="shared" si="7"/>
        <v>90.53</v>
      </c>
      <c r="AK54" s="113">
        <f t="shared" si="8"/>
        <v>90.53</v>
      </c>
      <c r="AL54" s="158">
        <f t="shared" si="9"/>
        <v>0.9773499999999999</v>
      </c>
      <c r="AM54" s="159"/>
      <c r="AN54" s="160">
        <f t="shared" si="10"/>
        <v>1</v>
      </c>
      <c r="AO54" s="160">
        <f t="shared" si="10"/>
        <v>2</v>
      </c>
      <c r="AP54" s="133"/>
      <c r="AQ54" s="134"/>
      <c r="AR54" s="161"/>
      <c r="AS54" s="161"/>
      <c r="AT54" s="161"/>
      <c r="AU54" s="161"/>
      <c r="AV54" s="162"/>
      <c r="AW54" s="137">
        <f t="shared" si="11"/>
        <v>0</v>
      </c>
      <c r="AX54" s="137">
        <f t="shared" si="12"/>
        <v>0</v>
      </c>
    </row>
    <row r="55" ht="46.5" customHeight="1" spans="1:50" s="97" customFormat="1" x14ac:dyDescent="0.25">
      <c r="A55" s="100"/>
      <c r="B55" s="100"/>
      <c r="C55" s="249" t="s">
        <v>385</v>
      </c>
      <c r="D55" s="253"/>
      <c r="E55" s="100"/>
      <c r="F55" s="100"/>
      <c r="G55" s="103"/>
      <c r="H55" s="186"/>
      <c r="I55" s="254">
        <v>0.49</v>
      </c>
      <c r="J55" s="250">
        <v>0.49</v>
      </c>
      <c r="K55" s="107"/>
      <c r="L55" s="107"/>
      <c r="M55" s="187"/>
      <c r="N55" s="169">
        <f t="shared" si="0"/>
        <v>0.98</v>
      </c>
      <c r="O55" s="144">
        <v>1</v>
      </c>
      <c r="P55" s="255">
        <v>15</v>
      </c>
      <c r="Q55" s="268">
        <v>15</v>
      </c>
      <c r="R55" s="113"/>
      <c r="S55" s="113"/>
      <c r="T55" s="146"/>
      <c r="U55" s="148">
        <f t="shared" si="1"/>
        <v>14.7</v>
      </c>
      <c r="V55" s="149">
        <f t="shared" si="2"/>
        <v>14.7</v>
      </c>
      <c r="W55" s="256">
        <v>7741832000</v>
      </c>
      <c r="X55" s="252"/>
      <c r="Y55" s="151"/>
      <c r="Z55" s="190"/>
      <c r="AA55" s="153"/>
      <c r="AB55" s="154">
        <f t="shared" si="3"/>
        <v>12.61</v>
      </c>
      <c r="AC55" s="149">
        <f t="shared" si="4"/>
        <v>12.61</v>
      </c>
      <c r="AD55" s="125">
        <v>2</v>
      </c>
      <c r="AE55" s="148">
        <f t="shared" si="5"/>
        <v>14.61</v>
      </c>
      <c r="AF55" s="156"/>
      <c r="AG55" s="156"/>
      <c r="AH55" s="113">
        <f t="shared" si="6"/>
        <v>29.31</v>
      </c>
      <c r="AI55" s="157">
        <v>65</v>
      </c>
      <c r="AJ55" s="113">
        <f t="shared" si="7"/>
        <v>94.31</v>
      </c>
      <c r="AK55" s="113">
        <f t="shared" si="8"/>
        <v>94.31</v>
      </c>
      <c r="AL55" s="158">
        <f t="shared" si="9"/>
        <v>0.95845</v>
      </c>
      <c r="AM55" s="159"/>
      <c r="AN55" s="160">
        <f t="shared" si="10"/>
        <v>1</v>
      </c>
      <c r="AO55" s="160">
        <f t="shared" si="10"/>
        <v>2</v>
      </c>
      <c r="AP55" s="133"/>
      <c r="AQ55" s="134"/>
      <c r="AR55" s="161"/>
      <c r="AS55" s="161"/>
      <c r="AT55" s="161"/>
      <c r="AU55" s="161"/>
      <c r="AV55" s="162"/>
      <c r="AW55" s="137">
        <f t="shared" si="11"/>
        <v>0</v>
      </c>
      <c r="AX55" s="137">
        <f t="shared" si="12"/>
        <v>0</v>
      </c>
    </row>
    <row r="56" ht="46.5" customHeight="1" spans="1:50" s="97" customFormat="1" x14ac:dyDescent="0.25">
      <c r="A56" s="100"/>
      <c r="B56" s="100"/>
      <c r="C56" s="100"/>
      <c r="D56" s="249" t="s">
        <v>386</v>
      </c>
      <c r="E56" s="100"/>
      <c r="F56" s="100"/>
      <c r="G56" s="103"/>
      <c r="H56" s="186"/>
      <c r="I56" s="195">
        <v>0.51</v>
      </c>
      <c r="J56" s="250">
        <v>0.49</v>
      </c>
      <c r="K56" s="107"/>
      <c r="L56" s="107"/>
      <c r="M56" s="187"/>
      <c r="N56" s="169">
        <f t="shared" si="0"/>
        <v>1</v>
      </c>
      <c r="O56" s="144">
        <v>1</v>
      </c>
      <c r="P56" s="145">
        <v>15</v>
      </c>
      <c r="Q56" s="268">
        <v>15</v>
      </c>
      <c r="R56" s="113"/>
      <c r="S56" s="113"/>
      <c r="T56" s="146"/>
      <c r="U56" s="148">
        <f t="shared" si="1"/>
        <v>15</v>
      </c>
      <c r="V56" s="149">
        <f t="shared" si="2"/>
        <v>15</v>
      </c>
      <c r="W56" s="189"/>
      <c r="X56" s="252">
        <v>2041280000</v>
      </c>
      <c r="Y56" s="151"/>
      <c r="Z56" s="190"/>
      <c r="AA56" s="153"/>
      <c r="AB56" s="154">
        <f t="shared" si="3"/>
        <v>3.25</v>
      </c>
      <c r="AC56" s="149">
        <f t="shared" si="4"/>
        <v>3.25</v>
      </c>
      <c r="AD56" s="125">
        <v>2</v>
      </c>
      <c r="AE56" s="148">
        <f t="shared" si="5"/>
        <v>5.25</v>
      </c>
      <c r="AF56" s="156"/>
      <c r="AG56" s="156"/>
      <c r="AH56" s="113">
        <f t="shared" si="6"/>
        <v>20.25</v>
      </c>
      <c r="AI56" s="157">
        <v>65</v>
      </c>
      <c r="AJ56" s="113">
        <f t="shared" si="7"/>
        <v>85.25</v>
      </c>
      <c r="AK56" s="113">
        <f t="shared" si="8"/>
        <v>85.25</v>
      </c>
      <c r="AL56" s="158">
        <f t="shared" si="9"/>
        <v>1.00375</v>
      </c>
      <c r="AM56" s="159"/>
      <c r="AN56" s="160">
        <f t="shared" si="10"/>
        <v>1</v>
      </c>
      <c r="AO56" s="160">
        <f t="shared" si="10"/>
        <v>2</v>
      </c>
      <c r="AP56" s="133"/>
      <c r="AQ56" s="134"/>
      <c r="AR56" s="161"/>
      <c r="AS56" s="161"/>
      <c r="AT56" s="161"/>
      <c r="AU56" s="161"/>
      <c r="AV56" s="162"/>
      <c r="AW56" s="137">
        <f t="shared" si="11"/>
        <v>0</v>
      </c>
      <c r="AX56" s="137">
        <f t="shared" si="12"/>
        <v>0</v>
      </c>
    </row>
    <row r="57" ht="46.5" customHeight="1" spans="1:50" s="97" customFormat="1" x14ac:dyDescent="0.25">
      <c r="A57" s="100"/>
      <c r="B57" s="100"/>
      <c r="C57" s="100" t="s">
        <v>58</v>
      </c>
      <c r="D57" s="100" t="s">
        <v>165</v>
      </c>
      <c r="E57" s="174" t="s">
        <v>166</v>
      </c>
      <c r="F57" s="174" t="s">
        <v>167</v>
      </c>
      <c r="G57" s="103"/>
      <c r="H57" s="186"/>
      <c r="I57" s="195">
        <v>0.51</v>
      </c>
      <c r="J57" s="107">
        <v>0.49</v>
      </c>
      <c r="K57" s="107"/>
      <c r="L57" s="107"/>
      <c r="M57" s="187"/>
      <c r="N57" s="169">
        <f t="shared" si="0"/>
        <v>1</v>
      </c>
      <c r="O57" s="144">
        <v>1</v>
      </c>
      <c r="P57" s="145">
        <v>15</v>
      </c>
      <c r="Q57" s="113">
        <v>15</v>
      </c>
      <c r="R57" s="113"/>
      <c r="S57" s="113"/>
      <c r="T57" s="146"/>
      <c r="U57" s="148">
        <f t="shared" si="1"/>
        <v>15</v>
      </c>
      <c r="V57" s="149">
        <f t="shared" si="2"/>
        <v>15</v>
      </c>
      <c r="W57" s="189"/>
      <c r="X57" s="199"/>
      <c r="Y57" s="151"/>
      <c r="Z57" s="190"/>
      <c r="AA57" s="153"/>
      <c r="AB57" s="154">
        <f t="shared" si="3"/>
        <v>0</v>
      </c>
      <c r="AC57" s="149">
        <f t="shared" si="4"/>
        <v>0</v>
      </c>
      <c r="AD57" s="125">
        <v>2</v>
      </c>
      <c r="AE57" s="148">
        <f t="shared" si="5"/>
        <v>2</v>
      </c>
      <c r="AF57" s="156"/>
      <c r="AG57" s="156"/>
      <c r="AH57" s="113">
        <f t="shared" si="6"/>
        <v>17</v>
      </c>
      <c r="AI57" s="157">
        <v>65</v>
      </c>
      <c r="AJ57" s="113">
        <f t="shared" si="7"/>
        <v>82</v>
      </c>
      <c r="AK57" s="113">
        <f t="shared" si="8"/>
        <v>82</v>
      </c>
      <c r="AL57" s="158">
        <f t="shared" si="9"/>
        <v>1.02</v>
      </c>
      <c r="AM57" s="159"/>
      <c r="AN57" s="160">
        <f t="shared" si="10"/>
        <v>1</v>
      </c>
      <c r="AO57" s="160">
        <f t="shared" si="10"/>
        <v>2</v>
      </c>
      <c r="AP57" s="133"/>
      <c r="AQ57" s="134"/>
      <c r="AR57" s="161"/>
      <c r="AS57" s="161"/>
      <c r="AT57" s="161"/>
      <c r="AU57" s="161"/>
      <c r="AV57" s="162"/>
      <c r="AW57" s="137">
        <f t="shared" si="11"/>
        <v>0</v>
      </c>
      <c r="AX57" s="137">
        <f t="shared" si="12"/>
        <v>0</v>
      </c>
    </row>
    <row r="58" ht="46.5" customHeight="1" spans="1:50" s="97" customFormat="1" x14ac:dyDescent="0.25">
      <c r="A58" s="100"/>
      <c r="B58" s="100"/>
      <c r="C58" s="102" t="s">
        <v>55</v>
      </c>
      <c r="D58" s="100" t="s">
        <v>168</v>
      </c>
      <c r="E58" s="212" t="s">
        <v>160</v>
      </c>
      <c r="F58" s="210" t="s">
        <v>169</v>
      </c>
      <c r="G58" s="103"/>
      <c r="H58" s="186"/>
      <c r="I58" s="195">
        <v>0.51</v>
      </c>
      <c r="J58" s="107">
        <v>0.49</v>
      </c>
      <c r="K58" s="107"/>
      <c r="L58" s="107"/>
      <c r="M58" s="187"/>
      <c r="N58" s="169">
        <f t="shared" si="0"/>
        <v>1</v>
      </c>
      <c r="O58" s="144">
        <v>1</v>
      </c>
      <c r="P58" s="145">
        <v>15</v>
      </c>
      <c r="Q58" s="113">
        <v>15</v>
      </c>
      <c r="R58" s="113"/>
      <c r="S58" s="113"/>
      <c r="T58" s="146"/>
      <c r="U58" s="148">
        <f t="shared" si="1"/>
        <v>15</v>
      </c>
      <c r="V58" s="149">
        <f t="shared" si="2"/>
        <v>15</v>
      </c>
      <c r="W58" s="189"/>
      <c r="X58" s="199"/>
      <c r="Y58" s="151"/>
      <c r="Z58" s="190"/>
      <c r="AA58" s="153"/>
      <c r="AB58" s="154">
        <f t="shared" si="3"/>
        <v>0</v>
      </c>
      <c r="AC58" s="149">
        <f t="shared" si="4"/>
        <v>0</v>
      </c>
      <c r="AD58" s="125">
        <v>2</v>
      </c>
      <c r="AE58" s="148">
        <f t="shared" si="5"/>
        <v>2</v>
      </c>
      <c r="AF58" s="156"/>
      <c r="AG58" s="156"/>
      <c r="AH58" s="113">
        <f t="shared" si="6"/>
        <v>17</v>
      </c>
      <c r="AI58" s="157">
        <v>65</v>
      </c>
      <c r="AJ58" s="113">
        <f t="shared" si="7"/>
        <v>82</v>
      </c>
      <c r="AK58" s="113">
        <f t="shared" si="8"/>
        <v>82</v>
      </c>
      <c r="AL58" s="158">
        <f t="shared" si="9"/>
        <v>1.02</v>
      </c>
      <c r="AM58" s="159"/>
      <c r="AN58" s="160">
        <f t="shared" si="10"/>
        <v>1</v>
      </c>
      <c r="AO58" s="160">
        <f t="shared" si="10"/>
        <v>2</v>
      </c>
      <c r="AP58" s="133"/>
      <c r="AQ58" s="134"/>
      <c r="AR58" s="161"/>
      <c r="AS58" s="161"/>
      <c r="AT58" s="161"/>
      <c r="AU58" s="161"/>
      <c r="AV58" s="162"/>
      <c r="AW58" s="137">
        <f t="shared" si="11"/>
        <v>0</v>
      </c>
      <c r="AX58" s="137">
        <f t="shared" si="12"/>
        <v>0</v>
      </c>
    </row>
    <row r="59" ht="46.5" customHeight="1" spans="1:50" s="97" customFormat="1" x14ac:dyDescent="0.25">
      <c r="A59" s="100"/>
      <c r="B59" s="100"/>
      <c r="C59" s="100"/>
      <c r="D59" s="100"/>
      <c r="E59" s="100"/>
      <c r="F59" s="100"/>
      <c r="G59" s="103"/>
      <c r="H59" s="186"/>
      <c r="I59" s="195">
        <v>0.51</v>
      </c>
      <c r="J59" s="107">
        <v>0.49</v>
      </c>
      <c r="K59" s="107"/>
      <c r="L59" s="107"/>
      <c r="M59" s="187"/>
      <c r="N59" s="169">
        <f t="shared" si="0"/>
        <v>1</v>
      </c>
      <c r="O59" s="144">
        <v>1</v>
      </c>
      <c r="P59" s="145">
        <v>15</v>
      </c>
      <c r="Q59" s="113">
        <v>15</v>
      </c>
      <c r="R59" s="113"/>
      <c r="S59" s="113"/>
      <c r="T59" s="146"/>
      <c r="U59" s="148">
        <f t="shared" si="1"/>
        <v>15</v>
      </c>
      <c r="V59" s="149">
        <f t="shared" si="2"/>
        <v>15</v>
      </c>
      <c r="W59" s="189"/>
      <c r="X59" s="199"/>
      <c r="Y59" s="151"/>
      <c r="Z59" s="190"/>
      <c r="AA59" s="153"/>
      <c r="AB59" s="154">
        <f t="shared" si="3"/>
        <v>0</v>
      </c>
      <c r="AC59" s="149">
        <f t="shared" si="4"/>
        <v>0</v>
      </c>
      <c r="AD59" s="125">
        <v>2</v>
      </c>
      <c r="AE59" s="148">
        <f t="shared" si="5"/>
        <v>2</v>
      </c>
      <c r="AF59" s="156"/>
      <c r="AG59" s="156"/>
      <c r="AH59" s="113">
        <f t="shared" si="6"/>
        <v>17</v>
      </c>
      <c r="AI59" s="157">
        <v>65</v>
      </c>
      <c r="AJ59" s="113">
        <f t="shared" si="7"/>
        <v>82</v>
      </c>
      <c r="AK59" s="113">
        <f t="shared" si="8"/>
        <v>82</v>
      </c>
      <c r="AL59" s="158">
        <f t="shared" si="9"/>
        <v>1.02</v>
      </c>
      <c r="AM59" s="159"/>
      <c r="AN59" s="160">
        <f t="shared" si="10"/>
        <v>1</v>
      </c>
      <c r="AO59" s="160">
        <f t="shared" si="10"/>
        <v>2</v>
      </c>
      <c r="AP59" s="133"/>
      <c r="AQ59" s="134"/>
      <c r="AR59" s="161"/>
      <c r="AS59" s="161"/>
      <c r="AT59" s="161"/>
      <c r="AU59" s="161"/>
      <c r="AV59" s="162"/>
      <c r="AW59" s="137">
        <f t="shared" si="11"/>
        <v>0</v>
      </c>
      <c r="AX59" s="137">
        <f t="shared" si="12"/>
        <v>0</v>
      </c>
    </row>
    <row r="60" ht="46.5" customHeight="1" spans="1:50" s="97" customFormat="1" x14ac:dyDescent="0.25">
      <c r="A60" s="100"/>
      <c r="B60" s="100"/>
      <c r="C60" s="100"/>
      <c r="D60" s="100"/>
      <c r="E60" s="100"/>
      <c r="F60" s="100"/>
      <c r="G60" s="103"/>
      <c r="H60" s="186"/>
      <c r="I60" s="195">
        <v>0.51</v>
      </c>
      <c r="J60" s="107">
        <v>0.49</v>
      </c>
      <c r="K60" s="107"/>
      <c r="L60" s="107"/>
      <c r="M60" s="187"/>
      <c r="N60" s="169">
        <f t="shared" si="0"/>
        <v>1</v>
      </c>
      <c r="O60" s="144">
        <v>1</v>
      </c>
      <c r="P60" s="145">
        <v>15</v>
      </c>
      <c r="Q60" s="113">
        <v>15</v>
      </c>
      <c r="R60" s="113"/>
      <c r="S60" s="113"/>
      <c r="T60" s="146"/>
      <c r="U60" s="148">
        <f t="shared" si="1"/>
        <v>15</v>
      </c>
      <c r="V60" s="149">
        <f t="shared" si="2"/>
        <v>15</v>
      </c>
      <c r="W60" s="189"/>
      <c r="X60" s="199"/>
      <c r="Y60" s="151"/>
      <c r="Z60" s="190"/>
      <c r="AA60" s="153"/>
      <c r="AB60" s="154">
        <f t="shared" si="3"/>
        <v>0</v>
      </c>
      <c r="AC60" s="149">
        <f t="shared" si="4"/>
        <v>0</v>
      </c>
      <c r="AD60" s="125">
        <v>2</v>
      </c>
      <c r="AE60" s="148">
        <f t="shared" si="5"/>
        <v>2</v>
      </c>
      <c r="AF60" s="156"/>
      <c r="AG60" s="156"/>
      <c r="AH60" s="113">
        <f t="shared" si="6"/>
        <v>17</v>
      </c>
      <c r="AI60" s="157">
        <v>65</v>
      </c>
      <c r="AJ60" s="113">
        <f t="shared" si="7"/>
        <v>82</v>
      </c>
      <c r="AK60" s="113">
        <f t="shared" si="8"/>
        <v>82</v>
      </c>
      <c r="AL60" s="158">
        <f t="shared" si="9"/>
        <v>1.02</v>
      </c>
      <c r="AM60" s="159"/>
      <c r="AN60" s="160">
        <f t="shared" si="10"/>
        <v>1</v>
      </c>
      <c r="AO60" s="160">
        <f t="shared" si="10"/>
        <v>2</v>
      </c>
      <c r="AP60" s="133"/>
      <c r="AQ60" s="134"/>
      <c r="AR60" s="161"/>
      <c r="AS60" s="161"/>
      <c r="AT60" s="161"/>
      <c r="AU60" s="161"/>
      <c r="AV60" s="162"/>
      <c r="AW60" s="137">
        <f t="shared" si="11"/>
        <v>0</v>
      </c>
      <c r="AX60" s="137">
        <f t="shared" si="12"/>
        <v>0</v>
      </c>
    </row>
    <row r="61" ht="46.5" customHeight="1" spans="1:50" s="97" customFormat="1" x14ac:dyDescent="0.25">
      <c r="A61" s="100"/>
      <c r="B61" s="100"/>
      <c r="C61" s="100"/>
      <c r="D61" s="100"/>
      <c r="E61" s="100"/>
      <c r="F61" s="100"/>
      <c r="G61" s="103"/>
      <c r="H61" s="186"/>
      <c r="I61" s="195">
        <v>0.51</v>
      </c>
      <c r="J61" s="107">
        <v>0.49</v>
      </c>
      <c r="K61" s="107"/>
      <c r="L61" s="107"/>
      <c r="M61" s="187"/>
      <c r="N61" s="169">
        <f t="shared" si="0"/>
        <v>1</v>
      </c>
      <c r="O61" s="144">
        <v>1</v>
      </c>
      <c r="P61" s="145">
        <v>15</v>
      </c>
      <c r="Q61" s="113">
        <v>15</v>
      </c>
      <c r="R61" s="113"/>
      <c r="S61" s="113"/>
      <c r="T61" s="146"/>
      <c r="U61" s="148">
        <f t="shared" si="1"/>
        <v>15</v>
      </c>
      <c r="V61" s="149">
        <f t="shared" si="2"/>
        <v>15</v>
      </c>
      <c r="W61" s="189"/>
      <c r="X61" s="199"/>
      <c r="Y61" s="151"/>
      <c r="Z61" s="190"/>
      <c r="AA61" s="153"/>
      <c r="AB61" s="154">
        <f t="shared" si="3"/>
        <v>0</v>
      </c>
      <c r="AC61" s="149">
        <f t="shared" si="4"/>
        <v>0</v>
      </c>
      <c r="AD61" s="125">
        <v>2</v>
      </c>
      <c r="AE61" s="148">
        <f t="shared" si="5"/>
        <v>2</v>
      </c>
      <c r="AF61" s="156"/>
      <c r="AG61" s="156"/>
      <c r="AH61" s="113">
        <f t="shared" si="6"/>
        <v>17</v>
      </c>
      <c r="AI61" s="157">
        <v>65</v>
      </c>
      <c r="AJ61" s="113">
        <f t="shared" si="7"/>
        <v>82</v>
      </c>
      <c r="AK61" s="113">
        <f t="shared" si="8"/>
        <v>82</v>
      </c>
      <c r="AL61" s="158">
        <f t="shared" si="9"/>
        <v>1.02</v>
      </c>
      <c r="AM61" s="159"/>
      <c r="AN61" s="160">
        <f t="shared" si="10"/>
        <v>1</v>
      </c>
      <c r="AO61" s="160">
        <f t="shared" si="10"/>
        <v>2</v>
      </c>
      <c r="AP61" s="133"/>
      <c r="AQ61" s="134"/>
      <c r="AR61" s="161"/>
      <c r="AS61" s="161"/>
      <c r="AT61" s="161"/>
      <c r="AU61" s="161"/>
      <c r="AV61" s="162"/>
      <c r="AW61" s="137">
        <f t="shared" si="11"/>
        <v>0</v>
      </c>
      <c r="AX61" s="137">
        <f t="shared" si="12"/>
        <v>0</v>
      </c>
    </row>
    <row r="62" ht="46.5" customHeight="1" spans="1:50" s="97" customFormat="1" x14ac:dyDescent="0.25">
      <c r="A62" s="100"/>
      <c r="B62" s="100"/>
      <c r="C62" s="100"/>
      <c r="D62" s="100"/>
      <c r="E62" s="100"/>
      <c r="F62" s="100"/>
      <c r="G62" s="103"/>
      <c r="H62" s="186"/>
      <c r="I62" s="195">
        <v>0.51</v>
      </c>
      <c r="J62" s="107">
        <v>0.49</v>
      </c>
      <c r="K62" s="107"/>
      <c r="L62" s="107"/>
      <c r="M62" s="187"/>
      <c r="N62" s="169">
        <f t="shared" si="0"/>
        <v>1</v>
      </c>
      <c r="O62" s="144">
        <v>1</v>
      </c>
      <c r="P62" s="145">
        <v>15</v>
      </c>
      <c r="Q62" s="113">
        <v>15</v>
      </c>
      <c r="R62" s="113"/>
      <c r="S62" s="113"/>
      <c r="T62" s="146"/>
      <c r="U62" s="148">
        <f t="shared" si="1"/>
        <v>15</v>
      </c>
      <c r="V62" s="149">
        <f t="shared" si="2"/>
        <v>15</v>
      </c>
      <c r="W62" s="189"/>
      <c r="X62" s="199"/>
      <c r="Y62" s="151"/>
      <c r="Z62" s="190"/>
      <c r="AA62" s="153"/>
      <c r="AB62" s="154">
        <f t="shared" si="3"/>
        <v>0</v>
      </c>
      <c r="AC62" s="149">
        <f t="shared" si="4"/>
        <v>0</v>
      </c>
      <c r="AD62" s="125">
        <v>2</v>
      </c>
      <c r="AE62" s="148">
        <f t="shared" si="5"/>
        <v>2</v>
      </c>
      <c r="AF62" s="156"/>
      <c r="AG62" s="156"/>
      <c r="AH62" s="113">
        <f t="shared" si="6"/>
        <v>17</v>
      </c>
      <c r="AI62" s="157">
        <v>65</v>
      </c>
      <c r="AJ62" s="113">
        <f t="shared" si="7"/>
        <v>82</v>
      </c>
      <c r="AK62" s="113">
        <f t="shared" si="8"/>
        <v>82</v>
      </c>
      <c r="AL62" s="158">
        <f t="shared" si="9"/>
        <v>1.02</v>
      </c>
      <c r="AM62" s="159"/>
      <c r="AN62" s="160">
        <f t="shared" si="10"/>
        <v>1</v>
      </c>
      <c r="AO62" s="160">
        <f t="shared" si="10"/>
        <v>2</v>
      </c>
      <c r="AP62" s="133"/>
      <c r="AQ62" s="134"/>
      <c r="AR62" s="161"/>
      <c r="AS62" s="161"/>
      <c r="AT62" s="161"/>
      <c r="AU62" s="161"/>
      <c r="AV62" s="162"/>
      <c r="AW62" s="137">
        <f t="shared" si="11"/>
        <v>0</v>
      </c>
      <c r="AX62" s="137">
        <f t="shared" si="12"/>
        <v>0</v>
      </c>
    </row>
    <row r="63" ht="46.5" customHeight="1" spans="1:50" s="97" customFormat="1" x14ac:dyDescent="0.25">
      <c r="A63" s="100"/>
      <c r="B63" s="100"/>
      <c r="C63" s="100"/>
      <c r="D63" s="100"/>
      <c r="E63" s="100"/>
      <c r="F63" s="100"/>
      <c r="G63" s="103"/>
      <c r="H63" s="186"/>
      <c r="I63" s="195">
        <v>0.51</v>
      </c>
      <c r="J63" s="107">
        <v>0.49</v>
      </c>
      <c r="K63" s="107"/>
      <c r="L63" s="107"/>
      <c r="M63" s="187"/>
      <c r="N63" s="169">
        <f t="shared" si="0"/>
        <v>1</v>
      </c>
      <c r="O63" s="144">
        <v>1</v>
      </c>
      <c r="P63" s="145">
        <v>15</v>
      </c>
      <c r="Q63" s="113">
        <v>15</v>
      </c>
      <c r="R63" s="113"/>
      <c r="S63" s="113"/>
      <c r="T63" s="146"/>
      <c r="U63" s="148">
        <f t="shared" si="1"/>
        <v>15</v>
      </c>
      <c r="V63" s="149">
        <f t="shared" si="2"/>
        <v>15</v>
      </c>
      <c r="W63" s="189"/>
      <c r="X63" s="199"/>
      <c r="Y63" s="151"/>
      <c r="Z63" s="190"/>
      <c r="AA63" s="153"/>
      <c r="AB63" s="154">
        <f t="shared" si="3"/>
        <v>0</v>
      </c>
      <c r="AC63" s="149">
        <f t="shared" si="4"/>
        <v>0</v>
      </c>
      <c r="AD63" s="125">
        <v>2</v>
      </c>
      <c r="AE63" s="148">
        <f t="shared" si="5"/>
        <v>2</v>
      </c>
      <c r="AF63" s="156"/>
      <c r="AG63" s="156"/>
      <c r="AH63" s="113">
        <f t="shared" si="6"/>
        <v>17</v>
      </c>
      <c r="AI63" s="157">
        <v>65</v>
      </c>
      <c r="AJ63" s="113">
        <f t="shared" si="7"/>
        <v>82</v>
      </c>
      <c r="AK63" s="113">
        <f t="shared" si="8"/>
        <v>82</v>
      </c>
      <c r="AL63" s="158">
        <f t="shared" si="9"/>
        <v>1.02</v>
      </c>
      <c r="AM63" s="159"/>
      <c r="AN63" s="160">
        <f t="shared" ref="AN63:AO82" si="13">100%+AM63</f>
        <v>1</v>
      </c>
      <c r="AO63" s="160">
        <f t="shared" si="13"/>
        <v>2</v>
      </c>
      <c r="AP63" s="133"/>
      <c r="AQ63" s="134"/>
      <c r="AR63" s="161"/>
      <c r="AS63" s="161"/>
      <c r="AT63" s="161"/>
      <c r="AU63" s="161"/>
      <c r="AV63" s="162"/>
      <c r="AW63" s="137">
        <f t="shared" si="11"/>
        <v>0</v>
      </c>
      <c r="AX63" s="137">
        <f t="shared" si="12"/>
        <v>0</v>
      </c>
    </row>
    <row r="64" ht="46.5" customHeight="1" spans="1:50" s="97" customFormat="1" x14ac:dyDescent="0.25">
      <c r="A64" s="100"/>
      <c r="B64" s="100"/>
      <c r="C64" s="100"/>
      <c r="D64" s="100"/>
      <c r="E64" s="100"/>
      <c r="F64" s="100"/>
      <c r="G64" s="103"/>
      <c r="H64" s="186"/>
      <c r="I64" s="195">
        <v>0.51</v>
      </c>
      <c r="J64" s="107">
        <v>0.49</v>
      </c>
      <c r="K64" s="107"/>
      <c r="L64" s="107"/>
      <c r="M64" s="187"/>
      <c r="N64" s="169">
        <f t="shared" si="0"/>
        <v>1</v>
      </c>
      <c r="O64" s="144">
        <v>1</v>
      </c>
      <c r="P64" s="145">
        <v>15</v>
      </c>
      <c r="Q64" s="113">
        <v>15</v>
      </c>
      <c r="R64" s="113"/>
      <c r="S64" s="113"/>
      <c r="T64" s="146"/>
      <c r="U64" s="148">
        <f t="shared" si="1"/>
        <v>15</v>
      </c>
      <c r="V64" s="149">
        <f t="shared" si="2"/>
        <v>15</v>
      </c>
      <c r="W64" s="189"/>
      <c r="X64" s="199"/>
      <c r="Y64" s="151"/>
      <c r="Z64" s="190"/>
      <c r="AA64" s="153"/>
      <c r="AB64" s="154">
        <f t="shared" si="3"/>
        <v>0</v>
      </c>
      <c r="AC64" s="149">
        <f t="shared" si="4"/>
        <v>0</v>
      </c>
      <c r="AD64" s="125">
        <v>2</v>
      </c>
      <c r="AE64" s="148">
        <f t="shared" si="5"/>
        <v>2</v>
      </c>
      <c r="AF64" s="156"/>
      <c r="AG64" s="156"/>
      <c r="AH64" s="113">
        <f t="shared" si="6"/>
        <v>17</v>
      </c>
      <c r="AI64" s="157">
        <v>65</v>
      </c>
      <c r="AJ64" s="113">
        <f t="shared" si="7"/>
        <v>82</v>
      </c>
      <c r="AK64" s="113">
        <f t="shared" si="8"/>
        <v>82</v>
      </c>
      <c r="AL64" s="158">
        <f t="shared" si="9"/>
        <v>1.02</v>
      </c>
      <c r="AM64" s="159"/>
      <c r="AN64" s="160">
        <f t="shared" si="13"/>
        <v>1</v>
      </c>
      <c r="AO64" s="160">
        <f t="shared" si="13"/>
        <v>2</v>
      </c>
      <c r="AP64" s="133"/>
      <c r="AQ64" s="134"/>
      <c r="AR64" s="161"/>
      <c r="AS64" s="161"/>
      <c r="AT64" s="161"/>
      <c r="AU64" s="161"/>
      <c r="AV64" s="162"/>
      <c r="AW64" s="137">
        <f t="shared" si="11"/>
        <v>0</v>
      </c>
      <c r="AX64" s="137">
        <f t="shared" si="12"/>
        <v>0</v>
      </c>
    </row>
    <row r="65" ht="46.5" customHeight="1" spans="1:50" s="97" customFormat="1" x14ac:dyDescent="0.25">
      <c r="A65" s="100"/>
      <c r="B65" s="100"/>
      <c r="C65" s="100"/>
      <c r="D65" s="100"/>
      <c r="E65" s="100"/>
      <c r="F65" s="100"/>
      <c r="G65" s="103"/>
      <c r="H65" s="186"/>
      <c r="I65" s="195">
        <v>0.51</v>
      </c>
      <c r="J65" s="107">
        <v>0.49</v>
      </c>
      <c r="K65" s="107"/>
      <c r="L65" s="107"/>
      <c r="M65" s="187"/>
      <c r="N65" s="169">
        <f t="shared" si="0"/>
        <v>1</v>
      </c>
      <c r="O65" s="144">
        <v>1</v>
      </c>
      <c r="P65" s="145">
        <v>15</v>
      </c>
      <c r="Q65" s="113">
        <v>15</v>
      </c>
      <c r="R65" s="113"/>
      <c r="S65" s="113"/>
      <c r="T65" s="146"/>
      <c r="U65" s="148">
        <f t="shared" si="1"/>
        <v>15</v>
      </c>
      <c r="V65" s="149">
        <f t="shared" si="2"/>
        <v>15</v>
      </c>
      <c r="W65" s="189"/>
      <c r="X65" s="199"/>
      <c r="Y65" s="151"/>
      <c r="Z65" s="190"/>
      <c r="AA65" s="153"/>
      <c r="AB65" s="154">
        <f t="shared" si="3"/>
        <v>0</v>
      </c>
      <c r="AC65" s="149">
        <f t="shared" si="4"/>
        <v>0</v>
      </c>
      <c r="AD65" s="125">
        <v>2</v>
      </c>
      <c r="AE65" s="148">
        <f t="shared" si="5"/>
        <v>2</v>
      </c>
      <c r="AF65" s="156"/>
      <c r="AG65" s="156"/>
      <c r="AH65" s="113">
        <f t="shared" si="6"/>
        <v>17</v>
      </c>
      <c r="AI65" s="157">
        <v>65</v>
      </c>
      <c r="AJ65" s="113">
        <f t="shared" si="7"/>
        <v>82</v>
      </c>
      <c r="AK65" s="113">
        <f t="shared" si="8"/>
        <v>82</v>
      </c>
      <c r="AL65" s="158">
        <f t="shared" si="9"/>
        <v>1.02</v>
      </c>
      <c r="AM65" s="159"/>
      <c r="AN65" s="160">
        <f t="shared" si="13"/>
        <v>1</v>
      </c>
      <c r="AO65" s="160">
        <f t="shared" si="13"/>
        <v>2</v>
      </c>
      <c r="AP65" s="133"/>
      <c r="AQ65" s="134"/>
      <c r="AR65" s="161"/>
      <c r="AS65" s="161"/>
      <c r="AT65" s="161"/>
      <c r="AU65" s="161"/>
      <c r="AV65" s="162"/>
      <c r="AW65" s="137">
        <f t="shared" si="11"/>
        <v>0</v>
      </c>
      <c r="AX65" s="137">
        <f t="shared" si="12"/>
        <v>0</v>
      </c>
    </row>
    <row r="66" ht="46.5" customHeight="1" spans="1:50" s="97" customFormat="1" x14ac:dyDescent="0.25">
      <c r="A66" s="100"/>
      <c r="B66" s="100"/>
      <c r="C66" s="100"/>
      <c r="D66" s="100"/>
      <c r="E66" s="100"/>
      <c r="F66" s="100"/>
      <c r="G66" s="103"/>
      <c r="H66" s="186"/>
      <c r="I66" s="195">
        <v>0.51</v>
      </c>
      <c r="J66" s="107">
        <v>0.49</v>
      </c>
      <c r="K66" s="107"/>
      <c r="L66" s="107"/>
      <c r="M66" s="187"/>
      <c r="N66" s="169">
        <f t="shared" si="0"/>
        <v>1</v>
      </c>
      <c r="O66" s="144">
        <v>1</v>
      </c>
      <c r="P66" s="145">
        <v>15</v>
      </c>
      <c r="Q66" s="113">
        <v>15</v>
      </c>
      <c r="R66" s="113"/>
      <c r="S66" s="113"/>
      <c r="T66" s="146"/>
      <c r="U66" s="148">
        <f t="shared" si="1"/>
        <v>15</v>
      </c>
      <c r="V66" s="149">
        <f t="shared" si="2"/>
        <v>15</v>
      </c>
      <c r="W66" s="189"/>
      <c r="X66" s="199"/>
      <c r="Y66" s="151"/>
      <c r="Z66" s="190"/>
      <c r="AA66" s="153"/>
      <c r="AB66" s="154">
        <f t="shared" si="3"/>
        <v>0</v>
      </c>
      <c r="AC66" s="149">
        <f t="shared" si="4"/>
        <v>0</v>
      </c>
      <c r="AD66" s="125">
        <v>2</v>
      </c>
      <c r="AE66" s="148">
        <f t="shared" si="5"/>
        <v>2</v>
      </c>
      <c r="AF66" s="156"/>
      <c r="AG66" s="156"/>
      <c r="AH66" s="113">
        <f t="shared" si="6"/>
        <v>17</v>
      </c>
      <c r="AI66" s="157">
        <v>65</v>
      </c>
      <c r="AJ66" s="113">
        <f t="shared" si="7"/>
        <v>82</v>
      </c>
      <c r="AK66" s="113">
        <f t="shared" si="8"/>
        <v>82</v>
      </c>
      <c r="AL66" s="158">
        <f t="shared" si="9"/>
        <v>1.02</v>
      </c>
      <c r="AM66" s="159"/>
      <c r="AN66" s="160">
        <f t="shared" si="13"/>
        <v>1</v>
      </c>
      <c r="AO66" s="160">
        <f t="shared" si="13"/>
        <v>2</v>
      </c>
      <c r="AP66" s="133"/>
      <c r="AQ66" s="134"/>
      <c r="AR66" s="161"/>
      <c r="AS66" s="161"/>
      <c r="AT66" s="161"/>
      <c r="AU66" s="161"/>
      <c r="AV66" s="162"/>
      <c r="AW66" s="137">
        <f t="shared" si="11"/>
        <v>0</v>
      </c>
      <c r="AX66" s="137">
        <f t="shared" si="12"/>
        <v>0</v>
      </c>
    </row>
    <row r="67" ht="46.5" customHeight="1" spans="1:50" s="97" customFormat="1" x14ac:dyDescent="0.25">
      <c r="A67" s="100"/>
      <c r="B67" s="100"/>
      <c r="C67" s="100"/>
      <c r="D67" s="100"/>
      <c r="E67" s="100"/>
      <c r="F67" s="100"/>
      <c r="G67" s="103"/>
      <c r="H67" s="186"/>
      <c r="I67" s="195">
        <v>0.51</v>
      </c>
      <c r="J67" s="107">
        <v>0.49</v>
      </c>
      <c r="K67" s="107"/>
      <c r="L67" s="107"/>
      <c r="M67" s="187"/>
      <c r="N67" s="169">
        <f t="shared" si="0"/>
        <v>1</v>
      </c>
      <c r="O67" s="144">
        <v>1</v>
      </c>
      <c r="P67" s="145">
        <v>15</v>
      </c>
      <c r="Q67" s="113">
        <v>15</v>
      </c>
      <c r="R67" s="113"/>
      <c r="S67" s="113"/>
      <c r="T67" s="146"/>
      <c r="U67" s="148">
        <f t="shared" si="1"/>
        <v>15</v>
      </c>
      <c r="V67" s="149">
        <f t="shared" si="2"/>
        <v>15</v>
      </c>
      <c r="W67" s="189"/>
      <c r="X67" s="199"/>
      <c r="Y67" s="151"/>
      <c r="Z67" s="190"/>
      <c r="AA67" s="153"/>
      <c r="AB67" s="154">
        <f t="shared" si="3"/>
        <v>0</v>
      </c>
      <c r="AC67" s="149">
        <f t="shared" si="4"/>
        <v>0</v>
      </c>
      <c r="AD67" s="125">
        <v>2</v>
      </c>
      <c r="AE67" s="148">
        <f t="shared" si="5"/>
        <v>2</v>
      </c>
      <c r="AF67" s="156"/>
      <c r="AG67" s="156"/>
      <c r="AH67" s="113">
        <f t="shared" si="6"/>
        <v>17</v>
      </c>
      <c r="AI67" s="157">
        <v>65</v>
      </c>
      <c r="AJ67" s="113">
        <f t="shared" si="7"/>
        <v>82</v>
      </c>
      <c r="AK67" s="113">
        <f t="shared" si="8"/>
        <v>82</v>
      </c>
      <c r="AL67" s="158">
        <f t="shared" si="9"/>
        <v>1.02</v>
      </c>
      <c r="AM67" s="159"/>
      <c r="AN67" s="160">
        <f t="shared" si="13"/>
        <v>1</v>
      </c>
      <c r="AO67" s="160">
        <f t="shared" si="13"/>
        <v>2</v>
      </c>
      <c r="AP67" s="133"/>
      <c r="AQ67" s="134"/>
      <c r="AR67" s="161"/>
      <c r="AS67" s="161"/>
      <c r="AT67" s="161"/>
      <c r="AU67" s="161"/>
      <c r="AV67" s="162"/>
      <c r="AW67" s="137">
        <f t="shared" si="11"/>
        <v>0</v>
      </c>
      <c r="AX67" s="137">
        <f t="shared" si="12"/>
        <v>0</v>
      </c>
    </row>
    <row r="68" ht="46.5" customHeight="1" spans="1:50" s="97" customFormat="1" x14ac:dyDescent="0.25">
      <c r="A68" s="100"/>
      <c r="B68" s="100"/>
      <c r="C68" s="100"/>
      <c r="D68" s="100"/>
      <c r="E68" s="100"/>
      <c r="F68" s="100"/>
      <c r="G68" s="103"/>
      <c r="H68" s="186"/>
      <c r="I68" s="195">
        <v>0.51</v>
      </c>
      <c r="J68" s="107">
        <v>0.49</v>
      </c>
      <c r="K68" s="107"/>
      <c r="L68" s="107"/>
      <c r="M68" s="187"/>
      <c r="N68" s="169">
        <f t="shared" si="0"/>
        <v>1</v>
      </c>
      <c r="O68" s="144">
        <v>1</v>
      </c>
      <c r="P68" s="145">
        <v>15</v>
      </c>
      <c r="Q68" s="113">
        <v>15</v>
      </c>
      <c r="R68" s="113"/>
      <c r="S68" s="113"/>
      <c r="T68" s="146"/>
      <c r="U68" s="148">
        <f t="shared" si="1"/>
        <v>15</v>
      </c>
      <c r="V68" s="149">
        <f t="shared" si="2"/>
        <v>15</v>
      </c>
      <c r="W68" s="189"/>
      <c r="X68" s="199"/>
      <c r="Y68" s="151"/>
      <c r="Z68" s="190"/>
      <c r="AA68" s="153"/>
      <c r="AB68" s="154">
        <f t="shared" si="3"/>
        <v>0</v>
      </c>
      <c r="AC68" s="149">
        <f t="shared" si="4"/>
        <v>0</v>
      </c>
      <c r="AD68" s="125">
        <v>2</v>
      </c>
      <c r="AE68" s="148">
        <f t="shared" si="5"/>
        <v>2</v>
      </c>
      <c r="AF68" s="156"/>
      <c r="AG68" s="156"/>
      <c r="AH68" s="113">
        <f t="shared" si="6"/>
        <v>17</v>
      </c>
      <c r="AI68" s="157">
        <v>65</v>
      </c>
      <c r="AJ68" s="113">
        <f t="shared" si="7"/>
        <v>82</v>
      </c>
      <c r="AK68" s="113">
        <f t="shared" si="8"/>
        <v>82</v>
      </c>
      <c r="AL68" s="158">
        <f t="shared" si="9"/>
        <v>1.02</v>
      </c>
      <c r="AM68" s="159"/>
      <c r="AN68" s="160">
        <f t="shared" si="13"/>
        <v>1</v>
      </c>
      <c r="AO68" s="160">
        <f t="shared" si="13"/>
        <v>2</v>
      </c>
      <c r="AP68" s="133"/>
      <c r="AQ68" s="134"/>
      <c r="AR68" s="161"/>
      <c r="AS68" s="161"/>
      <c r="AT68" s="161"/>
      <c r="AU68" s="161"/>
      <c r="AV68" s="162"/>
      <c r="AW68" s="137">
        <f t="shared" si="11"/>
        <v>0</v>
      </c>
      <c r="AX68" s="137">
        <f t="shared" si="12"/>
        <v>0</v>
      </c>
    </row>
    <row r="69" ht="46.5" customHeight="1" spans="1:50" s="97" customFormat="1" x14ac:dyDescent="0.25">
      <c r="A69" s="100"/>
      <c r="B69" s="100"/>
      <c r="C69" s="100"/>
      <c r="D69" s="100"/>
      <c r="E69" s="100"/>
      <c r="F69" s="100"/>
      <c r="G69" s="103"/>
      <c r="H69" s="186"/>
      <c r="I69" s="195">
        <v>0.51</v>
      </c>
      <c r="J69" s="107">
        <v>0.49</v>
      </c>
      <c r="K69" s="107"/>
      <c r="L69" s="107"/>
      <c r="M69" s="187"/>
      <c r="N69" s="169">
        <f t="shared" si="0"/>
        <v>1</v>
      </c>
      <c r="O69" s="144">
        <v>1</v>
      </c>
      <c r="P69" s="145">
        <v>15</v>
      </c>
      <c r="Q69" s="113">
        <v>15</v>
      </c>
      <c r="R69" s="113"/>
      <c r="S69" s="113"/>
      <c r="T69" s="146"/>
      <c r="U69" s="148">
        <f t="shared" si="1"/>
        <v>15</v>
      </c>
      <c r="V69" s="149">
        <f t="shared" si="2"/>
        <v>15</v>
      </c>
      <c r="W69" s="189"/>
      <c r="X69" s="199"/>
      <c r="Y69" s="151"/>
      <c r="Z69" s="190"/>
      <c r="AA69" s="153"/>
      <c r="AB69" s="154">
        <f t="shared" si="3"/>
        <v>0</v>
      </c>
      <c r="AC69" s="149">
        <f t="shared" si="4"/>
        <v>0</v>
      </c>
      <c r="AD69" s="125">
        <v>2</v>
      </c>
      <c r="AE69" s="148">
        <f t="shared" si="5"/>
        <v>2</v>
      </c>
      <c r="AF69" s="156"/>
      <c r="AG69" s="156"/>
      <c r="AH69" s="113">
        <f t="shared" si="6"/>
        <v>17</v>
      </c>
      <c r="AI69" s="157">
        <v>65</v>
      </c>
      <c r="AJ69" s="113">
        <f t="shared" si="7"/>
        <v>82</v>
      </c>
      <c r="AK69" s="113">
        <f t="shared" si="8"/>
        <v>82</v>
      </c>
      <c r="AL69" s="158">
        <f t="shared" si="9"/>
        <v>1.02</v>
      </c>
      <c r="AM69" s="159"/>
      <c r="AN69" s="160">
        <f t="shared" si="13"/>
        <v>1</v>
      </c>
      <c r="AO69" s="160">
        <f t="shared" si="13"/>
        <v>2</v>
      </c>
      <c r="AP69" s="133"/>
      <c r="AQ69" s="134"/>
      <c r="AR69" s="161"/>
      <c r="AS69" s="161"/>
      <c r="AT69" s="161"/>
      <c r="AU69" s="161"/>
      <c r="AV69" s="162"/>
      <c r="AW69" s="137">
        <f t="shared" si="11"/>
        <v>0</v>
      </c>
      <c r="AX69" s="137">
        <f t="shared" si="12"/>
        <v>0</v>
      </c>
    </row>
    <row r="70" ht="46.5" customHeight="1" spans="1:50" s="97" customFormat="1" x14ac:dyDescent="0.25">
      <c r="A70" s="100"/>
      <c r="B70" s="100"/>
      <c r="C70" s="100"/>
      <c r="D70" s="100"/>
      <c r="E70" s="100"/>
      <c r="F70" s="100"/>
      <c r="G70" s="103"/>
      <c r="H70" s="186"/>
      <c r="I70" s="195">
        <v>0.51</v>
      </c>
      <c r="J70" s="107">
        <v>0.49</v>
      </c>
      <c r="K70" s="107"/>
      <c r="L70" s="107"/>
      <c r="M70" s="187"/>
      <c r="N70" s="169">
        <f t="shared" si="0"/>
        <v>1</v>
      </c>
      <c r="O70" s="144">
        <v>1</v>
      </c>
      <c r="P70" s="145">
        <v>15</v>
      </c>
      <c r="Q70" s="113">
        <v>15</v>
      </c>
      <c r="R70" s="113"/>
      <c r="S70" s="113"/>
      <c r="T70" s="146"/>
      <c r="U70" s="148">
        <f t="shared" si="1"/>
        <v>15</v>
      </c>
      <c r="V70" s="149">
        <f t="shared" si="2"/>
        <v>15</v>
      </c>
      <c r="W70" s="189"/>
      <c r="X70" s="199"/>
      <c r="Y70" s="151"/>
      <c r="Z70" s="190"/>
      <c r="AA70" s="153"/>
      <c r="AB70" s="154">
        <f t="shared" si="3"/>
        <v>0</v>
      </c>
      <c r="AC70" s="149">
        <f t="shared" si="4"/>
        <v>0</v>
      </c>
      <c r="AD70" s="125">
        <v>2</v>
      </c>
      <c r="AE70" s="148">
        <f t="shared" si="5"/>
        <v>2</v>
      </c>
      <c r="AF70" s="156"/>
      <c r="AG70" s="156"/>
      <c r="AH70" s="113">
        <f t="shared" si="6"/>
        <v>17</v>
      </c>
      <c r="AI70" s="157">
        <v>65</v>
      </c>
      <c r="AJ70" s="113">
        <f t="shared" si="7"/>
        <v>82</v>
      </c>
      <c r="AK70" s="113">
        <f t="shared" si="8"/>
        <v>82</v>
      </c>
      <c r="AL70" s="158">
        <f t="shared" si="9"/>
        <v>1.02</v>
      </c>
      <c r="AM70" s="159"/>
      <c r="AN70" s="160">
        <f t="shared" si="13"/>
        <v>1</v>
      </c>
      <c r="AO70" s="160">
        <f t="shared" si="13"/>
        <v>2</v>
      </c>
      <c r="AP70" s="133"/>
      <c r="AQ70" s="134"/>
      <c r="AR70" s="161"/>
      <c r="AS70" s="161"/>
      <c r="AT70" s="161"/>
      <c r="AU70" s="161"/>
      <c r="AV70" s="162"/>
      <c r="AW70" s="137">
        <f t="shared" si="11"/>
        <v>0</v>
      </c>
      <c r="AX70" s="137">
        <f t="shared" si="12"/>
        <v>0</v>
      </c>
    </row>
    <row r="71" ht="46.5" customHeight="1" spans="1:50" s="97" customFormat="1" x14ac:dyDescent="0.25">
      <c r="A71" s="100"/>
      <c r="B71" s="100"/>
      <c r="C71" s="100"/>
      <c r="D71" s="100"/>
      <c r="E71" s="100"/>
      <c r="F71" s="100"/>
      <c r="G71" s="103"/>
      <c r="H71" s="186"/>
      <c r="I71" s="195">
        <v>0.51</v>
      </c>
      <c r="J71" s="107">
        <v>0.49</v>
      </c>
      <c r="K71" s="107"/>
      <c r="L71" s="107"/>
      <c r="M71" s="187"/>
      <c r="N71" s="169">
        <f t="shared" si="0"/>
        <v>1</v>
      </c>
      <c r="O71" s="144">
        <v>1</v>
      </c>
      <c r="P71" s="145">
        <v>15</v>
      </c>
      <c r="Q71" s="113">
        <v>15</v>
      </c>
      <c r="R71" s="113"/>
      <c r="S71" s="113"/>
      <c r="T71" s="146"/>
      <c r="U71" s="148">
        <f t="shared" si="1"/>
        <v>15</v>
      </c>
      <c r="V71" s="149">
        <f t="shared" si="2"/>
        <v>15</v>
      </c>
      <c r="W71" s="189"/>
      <c r="X71" s="199"/>
      <c r="Y71" s="151"/>
      <c r="Z71" s="190"/>
      <c r="AA71" s="153"/>
      <c r="AB71" s="154">
        <f t="shared" si="3"/>
        <v>0</v>
      </c>
      <c r="AC71" s="149">
        <f t="shared" si="4"/>
        <v>0</v>
      </c>
      <c r="AD71" s="125">
        <v>2</v>
      </c>
      <c r="AE71" s="148">
        <f t="shared" si="5"/>
        <v>2</v>
      </c>
      <c r="AF71" s="156"/>
      <c r="AG71" s="156"/>
      <c r="AH71" s="113">
        <f t="shared" si="6"/>
        <v>17</v>
      </c>
      <c r="AI71" s="157">
        <v>65</v>
      </c>
      <c r="AJ71" s="113">
        <f t="shared" si="7"/>
        <v>82</v>
      </c>
      <c r="AK71" s="113">
        <f t="shared" si="8"/>
        <v>82</v>
      </c>
      <c r="AL71" s="158">
        <f t="shared" si="9"/>
        <v>1.02</v>
      </c>
      <c r="AM71" s="159"/>
      <c r="AN71" s="160">
        <f t="shared" si="13"/>
        <v>1</v>
      </c>
      <c r="AO71" s="160">
        <f t="shared" si="13"/>
        <v>2</v>
      </c>
      <c r="AP71" s="133"/>
      <c r="AQ71" s="134"/>
      <c r="AR71" s="161"/>
      <c r="AS71" s="161"/>
      <c r="AT71" s="161"/>
      <c r="AU71" s="161"/>
      <c r="AV71" s="162"/>
      <c r="AW71" s="137">
        <f t="shared" si="11"/>
        <v>0</v>
      </c>
      <c r="AX71" s="137">
        <f t="shared" si="12"/>
        <v>0</v>
      </c>
    </row>
    <row r="72" ht="46.5" customHeight="1" spans="1:50" s="97" customFormat="1" x14ac:dyDescent="0.25">
      <c r="A72" s="100"/>
      <c r="B72" s="100"/>
      <c r="C72" s="100"/>
      <c r="D72" s="100"/>
      <c r="E72" s="100"/>
      <c r="F72" s="100"/>
      <c r="G72" s="103"/>
      <c r="H72" s="186"/>
      <c r="I72" s="195">
        <v>0.51</v>
      </c>
      <c r="J72" s="107">
        <v>0.49</v>
      </c>
      <c r="K72" s="107"/>
      <c r="L72" s="107"/>
      <c r="M72" s="187"/>
      <c r="N72" s="169">
        <f t="shared" si="0"/>
        <v>1</v>
      </c>
      <c r="O72" s="144">
        <v>1</v>
      </c>
      <c r="P72" s="145">
        <v>15</v>
      </c>
      <c r="Q72" s="113">
        <v>15</v>
      </c>
      <c r="R72" s="113"/>
      <c r="S72" s="113"/>
      <c r="T72" s="146"/>
      <c r="U72" s="148">
        <f t="shared" si="1"/>
        <v>15</v>
      </c>
      <c r="V72" s="149">
        <f t="shared" si="2"/>
        <v>15</v>
      </c>
      <c r="W72" s="189"/>
      <c r="X72" s="199"/>
      <c r="Y72" s="151"/>
      <c r="Z72" s="190"/>
      <c r="AA72" s="153"/>
      <c r="AB72" s="154">
        <f t="shared" si="3"/>
        <v>0</v>
      </c>
      <c r="AC72" s="149">
        <f t="shared" si="4"/>
        <v>0</v>
      </c>
      <c r="AD72" s="125">
        <v>2</v>
      </c>
      <c r="AE72" s="148">
        <f t="shared" si="5"/>
        <v>2</v>
      </c>
      <c r="AF72" s="156"/>
      <c r="AG72" s="156"/>
      <c r="AH72" s="113">
        <f t="shared" si="6"/>
        <v>17</v>
      </c>
      <c r="AI72" s="157">
        <v>65</v>
      </c>
      <c r="AJ72" s="113">
        <f t="shared" si="7"/>
        <v>82</v>
      </c>
      <c r="AK72" s="113">
        <f t="shared" si="8"/>
        <v>82</v>
      </c>
      <c r="AL72" s="158">
        <f t="shared" si="9"/>
        <v>1.02</v>
      </c>
      <c r="AM72" s="159"/>
      <c r="AN72" s="160">
        <f t="shared" si="13"/>
        <v>1</v>
      </c>
      <c r="AO72" s="160">
        <f t="shared" si="13"/>
        <v>2</v>
      </c>
      <c r="AP72" s="133"/>
      <c r="AQ72" s="134"/>
      <c r="AR72" s="161"/>
      <c r="AS72" s="161"/>
      <c r="AT72" s="161"/>
      <c r="AU72" s="161"/>
      <c r="AV72" s="162"/>
      <c r="AW72" s="137">
        <f t="shared" si="11"/>
        <v>0</v>
      </c>
      <c r="AX72" s="137">
        <f t="shared" si="12"/>
        <v>0</v>
      </c>
    </row>
    <row r="73" ht="46.5" customHeight="1" spans="1:50" s="97" customFormat="1" x14ac:dyDescent="0.25">
      <c r="A73" s="100"/>
      <c r="B73" s="100"/>
      <c r="C73" s="100"/>
      <c r="D73" s="100"/>
      <c r="E73" s="100"/>
      <c r="F73" s="100"/>
      <c r="G73" s="103"/>
      <c r="H73" s="186"/>
      <c r="I73" s="195">
        <v>0.51</v>
      </c>
      <c r="J73" s="107">
        <v>0.49</v>
      </c>
      <c r="K73" s="107"/>
      <c r="L73" s="107"/>
      <c r="M73" s="187"/>
      <c r="N73" s="169">
        <f t="shared" si="0"/>
        <v>1</v>
      </c>
      <c r="O73" s="144">
        <v>1</v>
      </c>
      <c r="P73" s="145">
        <v>15</v>
      </c>
      <c r="Q73" s="113">
        <v>15</v>
      </c>
      <c r="R73" s="113"/>
      <c r="S73" s="113"/>
      <c r="T73" s="146"/>
      <c r="U73" s="148">
        <f t="shared" si="1"/>
        <v>15</v>
      </c>
      <c r="V73" s="149">
        <f t="shared" si="2"/>
        <v>15</v>
      </c>
      <c r="W73" s="189"/>
      <c r="X73" s="199"/>
      <c r="Y73" s="151"/>
      <c r="Z73" s="190"/>
      <c r="AA73" s="153"/>
      <c r="AB73" s="154">
        <f t="shared" si="3"/>
        <v>0</v>
      </c>
      <c r="AC73" s="149">
        <f t="shared" si="4"/>
        <v>0</v>
      </c>
      <c r="AD73" s="125">
        <v>2</v>
      </c>
      <c r="AE73" s="148">
        <f t="shared" si="5"/>
        <v>2</v>
      </c>
      <c r="AF73" s="156"/>
      <c r="AG73" s="156"/>
      <c r="AH73" s="113">
        <f t="shared" si="6"/>
        <v>17</v>
      </c>
      <c r="AI73" s="157">
        <v>65</v>
      </c>
      <c r="AJ73" s="113">
        <f t="shared" si="7"/>
        <v>82</v>
      </c>
      <c r="AK73" s="113">
        <f t="shared" si="8"/>
        <v>82</v>
      </c>
      <c r="AL73" s="158">
        <f t="shared" si="9"/>
        <v>1.02</v>
      </c>
      <c r="AM73" s="159"/>
      <c r="AN73" s="160">
        <f t="shared" si="13"/>
        <v>1</v>
      </c>
      <c r="AO73" s="160">
        <f t="shared" si="13"/>
        <v>2</v>
      </c>
      <c r="AP73" s="133"/>
      <c r="AQ73" s="134"/>
      <c r="AR73" s="161"/>
      <c r="AS73" s="161"/>
      <c r="AT73" s="161"/>
      <c r="AU73" s="161"/>
      <c r="AV73" s="162"/>
      <c r="AW73" s="137">
        <f t="shared" si="11"/>
        <v>0</v>
      </c>
      <c r="AX73" s="137">
        <f t="shared" si="12"/>
        <v>0</v>
      </c>
    </row>
    <row r="74" ht="46.5" customHeight="1" spans="1:50" s="97" customFormat="1" x14ac:dyDescent="0.25">
      <c r="A74" s="100"/>
      <c r="B74" s="100"/>
      <c r="C74" s="100"/>
      <c r="D74" s="100"/>
      <c r="E74" s="100"/>
      <c r="F74" s="100"/>
      <c r="G74" s="103"/>
      <c r="H74" s="186"/>
      <c r="I74" s="195">
        <v>0.51</v>
      </c>
      <c r="J74" s="107">
        <v>0.49</v>
      </c>
      <c r="K74" s="107"/>
      <c r="L74" s="107"/>
      <c r="M74" s="187"/>
      <c r="N74" s="169">
        <f t="shared" si="0"/>
        <v>1</v>
      </c>
      <c r="O74" s="144">
        <v>1</v>
      </c>
      <c r="P74" s="145">
        <v>15</v>
      </c>
      <c r="Q74" s="113">
        <v>15</v>
      </c>
      <c r="R74" s="113"/>
      <c r="S74" s="113"/>
      <c r="T74" s="146"/>
      <c r="U74" s="148">
        <f t="shared" si="1"/>
        <v>15</v>
      </c>
      <c r="V74" s="149">
        <f t="shared" si="2"/>
        <v>15</v>
      </c>
      <c r="W74" s="189"/>
      <c r="X74" s="199"/>
      <c r="Y74" s="151"/>
      <c r="Z74" s="190"/>
      <c r="AA74" s="153"/>
      <c r="AB74" s="154">
        <f t="shared" si="3"/>
        <v>0</v>
      </c>
      <c r="AC74" s="149">
        <f t="shared" si="4"/>
        <v>0</v>
      </c>
      <c r="AD74" s="125">
        <v>2</v>
      </c>
      <c r="AE74" s="148">
        <f t="shared" si="5"/>
        <v>2</v>
      </c>
      <c r="AF74" s="156"/>
      <c r="AG74" s="156"/>
      <c r="AH74" s="113">
        <f t="shared" si="6"/>
        <v>17</v>
      </c>
      <c r="AI74" s="157">
        <v>65</v>
      </c>
      <c r="AJ74" s="113">
        <f t="shared" si="7"/>
        <v>82</v>
      </c>
      <c r="AK74" s="113">
        <f t="shared" si="8"/>
        <v>82</v>
      </c>
      <c r="AL74" s="158">
        <f t="shared" si="9"/>
        <v>1.02</v>
      </c>
      <c r="AM74" s="159"/>
      <c r="AN74" s="160">
        <f t="shared" si="13"/>
        <v>1</v>
      </c>
      <c r="AO74" s="160">
        <f t="shared" si="13"/>
        <v>2</v>
      </c>
      <c r="AP74" s="133"/>
      <c r="AQ74" s="134"/>
      <c r="AR74" s="161"/>
      <c r="AS74" s="161"/>
      <c r="AT74" s="161"/>
      <c r="AU74" s="161"/>
      <c r="AV74" s="162"/>
      <c r="AW74" s="137">
        <f t="shared" si="11"/>
        <v>0</v>
      </c>
      <c r="AX74" s="137">
        <f t="shared" si="12"/>
        <v>0</v>
      </c>
    </row>
    <row r="75" ht="46.5" customHeight="1" spans="1:50" s="97" customFormat="1" x14ac:dyDescent="0.25">
      <c r="A75" s="100"/>
      <c r="B75" s="100"/>
      <c r="C75" s="100"/>
      <c r="D75" s="100"/>
      <c r="E75" s="100"/>
      <c r="F75" s="100"/>
      <c r="G75" s="103"/>
      <c r="H75" s="186"/>
      <c r="I75" s="195">
        <v>0.51</v>
      </c>
      <c r="J75" s="107">
        <v>0.49</v>
      </c>
      <c r="K75" s="107"/>
      <c r="L75" s="107"/>
      <c r="M75" s="187"/>
      <c r="N75" s="169">
        <f t="shared" ref="N75:N106" si="14">SUM(I75:M75)</f>
        <v>1</v>
      </c>
      <c r="O75" s="144">
        <v>1</v>
      </c>
      <c r="P75" s="145">
        <v>15</v>
      </c>
      <c r="Q75" s="113">
        <v>15</v>
      </c>
      <c r="R75" s="113"/>
      <c r="S75" s="113"/>
      <c r="T75" s="146"/>
      <c r="U75" s="148">
        <f t="shared" si="1"/>
        <v>15</v>
      </c>
      <c r="V75" s="149">
        <f t="shared" si="2"/>
        <v>15</v>
      </c>
      <c r="W75" s="189"/>
      <c r="X75" s="199"/>
      <c r="Y75" s="151"/>
      <c r="Z75" s="190"/>
      <c r="AA75" s="153"/>
      <c r="AB75" s="154">
        <f t="shared" si="3"/>
        <v>0</v>
      </c>
      <c r="AC75" s="149">
        <f t="shared" si="4"/>
        <v>0</v>
      </c>
      <c r="AD75" s="125">
        <v>2</v>
      </c>
      <c r="AE75" s="148">
        <f t="shared" si="5"/>
        <v>2</v>
      </c>
      <c r="AF75" s="156"/>
      <c r="AG75" s="156"/>
      <c r="AH75" s="113">
        <f t="shared" si="6"/>
        <v>17</v>
      </c>
      <c r="AI75" s="157">
        <v>65</v>
      </c>
      <c r="AJ75" s="113">
        <f t="shared" si="7"/>
        <v>82</v>
      </c>
      <c r="AK75" s="113">
        <f t="shared" si="8"/>
        <v>82</v>
      </c>
      <c r="AL75" s="158">
        <f t="shared" si="9"/>
        <v>1.02</v>
      </c>
      <c r="AM75" s="159"/>
      <c r="AN75" s="160">
        <f t="shared" si="13"/>
        <v>1</v>
      </c>
      <c r="AO75" s="160">
        <f t="shared" si="13"/>
        <v>2</v>
      </c>
      <c r="AP75" s="133"/>
      <c r="AQ75" s="134"/>
      <c r="AR75" s="161"/>
      <c r="AS75" s="161"/>
      <c r="AT75" s="161"/>
      <c r="AU75" s="161"/>
      <c r="AV75" s="162"/>
      <c r="AW75" s="137">
        <f t="shared" si="11"/>
        <v>0</v>
      </c>
      <c r="AX75" s="137">
        <f t="shared" si="12"/>
        <v>0</v>
      </c>
    </row>
    <row r="76" ht="46.5" customHeight="1" spans="1:50" s="97" customFormat="1" x14ac:dyDescent="0.25">
      <c r="A76" s="100"/>
      <c r="B76" s="100"/>
      <c r="C76" s="100"/>
      <c r="D76" s="100"/>
      <c r="E76" s="100"/>
      <c r="F76" s="100"/>
      <c r="G76" s="103"/>
      <c r="H76" s="186"/>
      <c r="I76" s="195">
        <v>0.51</v>
      </c>
      <c r="J76" s="107">
        <v>0.49</v>
      </c>
      <c r="K76" s="107"/>
      <c r="L76" s="107"/>
      <c r="M76" s="187"/>
      <c r="N76" s="169">
        <f t="shared" si="14"/>
        <v>1</v>
      </c>
      <c r="O76" s="144">
        <v>1</v>
      </c>
      <c r="P76" s="145">
        <v>15</v>
      </c>
      <c r="Q76" s="113">
        <v>15</v>
      </c>
      <c r="R76" s="113"/>
      <c r="S76" s="113"/>
      <c r="T76" s="146"/>
      <c r="U76" s="148">
        <f t="shared" si="1"/>
        <v>15</v>
      </c>
      <c r="V76" s="149">
        <f t="shared" si="2"/>
        <v>15</v>
      </c>
      <c r="W76" s="189"/>
      <c r="X76" s="199"/>
      <c r="Y76" s="151"/>
      <c r="Z76" s="190"/>
      <c r="AA76" s="153"/>
      <c r="AB76" s="154">
        <f t="shared" si="3"/>
        <v>0</v>
      </c>
      <c r="AC76" s="149">
        <f t="shared" si="4"/>
        <v>0</v>
      </c>
      <c r="AD76" s="125">
        <v>2</v>
      </c>
      <c r="AE76" s="148">
        <f t="shared" si="5"/>
        <v>2</v>
      </c>
      <c r="AF76" s="156"/>
      <c r="AG76" s="156"/>
      <c r="AH76" s="113">
        <f t="shared" si="6"/>
        <v>17</v>
      </c>
      <c r="AI76" s="157">
        <v>65</v>
      </c>
      <c r="AJ76" s="113">
        <f t="shared" si="7"/>
        <v>82</v>
      </c>
      <c r="AK76" s="113">
        <f t="shared" si="8"/>
        <v>82</v>
      </c>
      <c r="AL76" s="158">
        <f t="shared" si="9"/>
        <v>1.02</v>
      </c>
      <c r="AM76" s="159"/>
      <c r="AN76" s="160">
        <f t="shared" si="13"/>
        <v>1</v>
      </c>
      <c r="AO76" s="160">
        <f t="shared" si="13"/>
        <v>2</v>
      </c>
      <c r="AP76" s="133"/>
      <c r="AQ76" s="134"/>
      <c r="AR76" s="161"/>
      <c r="AS76" s="161"/>
      <c r="AT76" s="161"/>
      <c r="AU76" s="161"/>
      <c r="AV76" s="162"/>
      <c r="AW76" s="137">
        <f t="shared" si="11"/>
        <v>0</v>
      </c>
      <c r="AX76" s="137">
        <f t="shared" si="12"/>
        <v>0</v>
      </c>
    </row>
    <row r="77" ht="46.5" customHeight="1" spans="1:50" s="97" customFormat="1" x14ac:dyDescent="0.25">
      <c r="A77" s="100"/>
      <c r="B77" s="100"/>
      <c r="C77" s="100"/>
      <c r="D77" s="100"/>
      <c r="E77" s="100"/>
      <c r="F77" s="100"/>
      <c r="G77" s="103"/>
      <c r="H77" s="186"/>
      <c r="I77" s="195">
        <v>0.51</v>
      </c>
      <c r="J77" s="107">
        <v>0.49</v>
      </c>
      <c r="K77" s="107"/>
      <c r="L77" s="107"/>
      <c r="M77" s="187"/>
      <c r="N77" s="169">
        <f t="shared" si="14"/>
        <v>1</v>
      </c>
      <c r="O77" s="144">
        <v>1</v>
      </c>
      <c r="P77" s="145">
        <v>15</v>
      </c>
      <c r="Q77" s="113">
        <v>15</v>
      </c>
      <c r="R77" s="113"/>
      <c r="S77" s="113"/>
      <c r="T77" s="146"/>
      <c r="U77" s="148">
        <f t="shared" si="1"/>
        <v>15</v>
      </c>
      <c r="V77" s="149">
        <f t="shared" si="2"/>
        <v>15</v>
      </c>
      <c r="W77" s="189"/>
      <c r="X77" s="199"/>
      <c r="Y77" s="151"/>
      <c r="Z77" s="190"/>
      <c r="AA77" s="153"/>
      <c r="AB77" s="154">
        <f t="shared" si="3"/>
        <v>0</v>
      </c>
      <c r="AC77" s="149">
        <f t="shared" si="4"/>
        <v>0</v>
      </c>
      <c r="AD77" s="125">
        <v>2</v>
      </c>
      <c r="AE77" s="148">
        <f t="shared" si="5"/>
        <v>2</v>
      </c>
      <c r="AF77" s="156"/>
      <c r="AG77" s="156"/>
      <c r="AH77" s="113">
        <f t="shared" si="6"/>
        <v>17</v>
      </c>
      <c r="AI77" s="157">
        <v>65</v>
      </c>
      <c r="AJ77" s="113">
        <f t="shared" si="7"/>
        <v>82</v>
      </c>
      <c r="AK77" s="113">
        <f t="shared" si="8"/>
        <v>82</v>
      </c>
      <c r="AL77" s="158">
        <f t="shared" si="9"/>
        <v>1.02</v>
      </c>
      <c r="AM77" s="159"/>
      <c r="AN77" s="160">
        <f t="shared" si="13"/>
        <v>1</v>
      </c>
      <c r="AO77" s="160">
        <f t="shared" si="13"/>
        <v>2</v>
      </c>
      <c r="AP77" s="133"/>
      <c r="AQ77" s="134"/>
      <c r="AR77" s="161"/>
      <c r="AS77" s="161"/>
      <c r="AT77" s="161"/>
      <c r="AU77" s="161"/>
      <c r="AV77" s="162"/>
      <c r="AW77" s="137">
        <f t="shared" si="11"/>
        <v>0</v>
      </c>
      <c r="AX77" s="137">
        <f t="shared" si="12"/>
        <v>0</v>
      </c>
    </row>
    <row r="78" ht="46.5" customHeight="1" spans="1:50" s="97" customFormat="1" x14ac:dyDescent="0.25">
      <c r="A78" s="100"/>
      <c r="B78" s="100"/>
      <c r="C78" s="100"/>
      <c r="D78" s="100"/>
      <c r="E78" s="100"/>
      <c r="F78" s="100"/>
      <c r="G78" s="103"/>
      <c r="H78" s="186"/>
      <c r="I78" s="195">
        <v>0.51</v>
      </c>
      <c r="J78" s="107">
        <v>0.49</v>
      </c>
      <c r="K78" s="107"/>
      <c r="L78" s="107"/>
      <c r="M78" s="187"/>
      <c r="N78" s="169">
        <f t="shared" si="14"/>
        <v>1</v>
      </c>
      <c r="O78" s="144">
        <v>1</v>
      </c>
      <c r="P78" s="145">
        <v>15</v>
      </c>
      <c r="Q78" s="113">
        <v>15</v>
      </c>
      <c r="R78" s="113"/>
      <c r="S78" s="113"/>
      <c r="T78" s="146"/>
      <c r="U78" s="148">
        <f t="shared" si="1"/>
        <v>15</v>
      </c>
      <c r="V78" s="149">
        <f t="shared" si="2"/>
        <v>15</v>
      </c>
      <c r="W78" s="189"/>
      <c r="X78" s="199"/>
      <c r="Y78" s="151"/>
      <c r="Z78" s="190"/>
      <c r="AA78" s="153"/>
      <c r="AB78" s="154">
        <f t="shared" si="3"/>
        <v>0</v>
      </c>
      <c r="AC78" s="149">
        <f t="shared" si="4"/>
        <v>0</v>
      </c>
      <c r="AD78" s="125">
        <v>2</v>
      </c>
      <c r="AE78" s="148">
        <f t="shared" si="5"/>
        <v>2</v>
      </c>
      <c r="AF78" s="156"/>
      <c r="AG78" s="156"/>
      <c r="AH78" s="113">
        <f t="shared" si="6"/>
        <v>17</v>
      </c>
      <c r="AI78" s="157">
        <v>65</v>
      </c>
      <c r="AJ78" s="113">
        <f t="shared" si="7"/>
        <v>82</v>
      </c>
      <c r="AK78" s="113">
        <f t="shared" si="8"/>
        <v>82</v>
      </c>
      <c r="AL78" s="158">
        <f t="shared" si="9"/>
        <v>1.02</v>
      </c>
      <c r="AM78" s="159"/>
      <c r="AN78" s="160">
        <f t="shared" si="13"/>
        <v>1</v>
      </c>
      <c r="AO78" s="160">
        <f t="shared" si="13"/>
        <v>2</v>
      </c>
      <c r="AP78" s="133"/>
      <c r="AQ78" s="134"/>
      <c r="AR78" s="161"/>
      <c r="AS78" s="161"/>
      <c r="AT78" s="161"/>
      <c r="AU78" s="161"/>
      <c r="AV78" s="162"/>
      <c r="AW78" s="137">
        <f t="shared" si="11"/>
        <v>0</v>
      </c>
      <c r="AX78" s="137">
        <f t="shared" si="12"/>
        <v>0</v>
      </c>
    </row>
    <row r="79" ht="46.5" customHeight="1" spans="1:50" s="97" customFormat="1" x14ac:dyDescent="0.25">
      <c r="A79" s="100"/>
      <c r="B79" s="100"/>
      <c r="C79" s="100"/>
      <c r="D79" s="100"/>
      <c r="E79" s="100"/>
      <c r="F79" s="100"/>
      <c r="G79" s="103"/>
      <c r="H79" s="186"/>
      <c r="I79" s="195">
        <v>0.51</v>
      </c>
      <c r="J79" s="107">
        <v>0.49</v>
      </c>
      <c r="K79" s="107"/>
      <c r="L79" s="107"/>
      <c r="M79" s="187"/>
      <c r="N79" s="169">
        <f t="shared" si="14"/>
        <v>1</v>
      </c>
      <c r="O79" s="144">
        <v>1</v>
      </c>
      <c r="P79" s="145">
        <v>15</v>
      </c>
      <c r="Q79" s="113">
        <v>15</v>
      </c>
      <c r="R79" s="113"/>
      <c r="S79" s="113"/>
      <c r="T79" s="146"/>
      <c r="U79" s="148">
        <f t="shared" si="1"/>
        <v>15</v>
      </c>
      <c r="V79" s="149">
        <f t="shared" si="2"/>
        <v>15</v>
      </c>
      <c r="W79" s="189"/>
      <c r="X79" s="199"/>
      <c r="Y79" s="151"/>
      <c r="Z79" s="190"/>
      <c r="AA79" s="153"/>
      <c r="AB79" s="154">
        <f t="shared" si="3"/>
        <v>0</v>
      </c>
      <c r="AC79" s="149">
        <f t="shared" si="4"/>
        <v>0</v>
      </c>
      <c r="AD79" s="125">
        <v>2</v>
      </c>
      <c r="AE79" s="148">
        <f t="shared" si="5"/>
        <v>2</v>
      </c>
      <c r="AF79" s="156"/>
      <c r="AG79" s="156"/>
      <c r="AH79" s="113">
        <f t="shared" si="6"/>
        <v>17</v>
      </c>
      <c r="AI79" s="157">
        <v>65</v>
      </c>
      <c r="AJ79" s="113">
        <f t="shared" si="7"/>
        <v>82</v>
      </c>
      <c r="AK79" s="113">
        <f t="shared" si="8"/>
        <v>82</v>
      </c>
      <c r="AL79" s="158">
        <f t="shared" si="9"/>
        <v>1.02</v>
      </c>
      <c r="AM79" s="159"/>
      <c r="AN79" s="160">
        <f t="shared" si="13"/>
        <v>1</v>
      </c>
      <c r="AO79" s="160">
        <f t="shared" si="13"/>
        <v>2</v>
      </c>
      <c r="AP79" s="133"/>
      <c r="AQ79" s="134"/>
      <c r="AR79" s="161"/>
      <c r="AS79" s="161"/>
      <c r="AT79" s="161"/>
      <c r="AU79" s="161"/>
      <c r="AV79" s="162"/>
      <c r="AW79" s="137">
        <f t="shared" si="11"/>
        <v>0</v>
      </c>
      <c r="AX79" s="137">
        <f t="shared" si="12"/>
        <v>0</v>
      </c>
    </row>
    <row r="80" ht="46.5" customHeight="1" spans="1:50" s="97" customFormat="1" x14ac:dyDescent="0.25">
      <c r="A80" s="100"/>
      <c r="B80" s="100"/>
      <c r="C80" s="100"/>
      <c r="D80" s="100"/>
      <c r="E80" s="100"/>
      <c r="F80" s="100"/>
      <c r="G80" s="103"/>
      <c r="H80" s="186"/>
      <c r="I80" s="195">
        <v>0.51</v>
      </c>
      <c r="J80" s="107">
        <v>0.49</v>
      </c>
      <c r="K80" s="107"/>
      <c r="L80" s="107"/>
      <c r="M80" s="187"/>
      <c r="N80" s="169">
        <f t="shared" si="14"/>
        <v>1</v>
      </c>
      <c r="O80" s="144">
        <v>1</v>
      </c>
      <c r="P80" s="145">
        <v>15</v>
      </c>
      <c r="Q80" s="113">
        <v>15</v>
      </c>
      <c r="R80" s="113"/>
      <c r="S80" s="113"/>
      <c r="T80" s="146"/>
      <c r="U80" s="148">
        <f t="shared" si="1"/>
        <v>15</v>
      </c>
      <c r="V80" s="149">
        <f t="shared" si="2"/>
        <v>15</v>
      </c>
      <c r="W80" s="189"/>
      <c r="X80" s="199"/>
      <c r="Y80" s="151"/>
      <c r="Z80" s="190"/>
      <c r="AA80" s="153"/>
      <c r="AB80" s="154">
        <f t="shared" si="3"/>
        <v>0</v>
      </c>
      <c r="AC80" s="149">
        <f t="shared" si="4"/>
        <v>0</v>
      </c>
      <c r="AD80" s="125">
        <v>2</v>
      </c>
      <c r="AE80" s="148">
        <f t="shared" si="5"/>
        <v>2</v>
      </c>
      <c r="AF80" s="156"/>
      <c r="AG80" s="156"/>
      <c r="AH80" s="113">
        <f t="shared" si="6"/>
        <v>17</v>
      </c>
      <c r="AI80" s="157">
        <v>65</v>
      </c>
      <c r="AJ80" s="113">
        <f t="shared" si="7"/>
        <v>82</v>
      </c>
      <c r="AK80" s="113">
        <f t="shared" si="8"/>
        <v>82</v>
      </c>
      <c r="AL80" s="158">
        <f t="shared" si="9"/>
        <v>1.02</v>
      </c>
      <c r="AM80" s="159"/>
      <c r="AN80" s="160">
        <f t="shared" si="13"/>
        <v>1</v>
      </c>
      <c r="AO80" s="160">
        <f t="shared" si="13"/>
        <v>2</v>
      </c>
      <c r="AP80" s="133"/>
      <c r="AQ80" s="134"/>
      <c r="AR80" s="161"/>
      <c r="AS80" s="161"/>
      <c r="AT80" s="161"/>
      <c r="AU80" s="161"/>
      <c r="AV80" s="162"/>
      <c r="AW80" s="137">
        <f t="shared" si="11"/>
        <v>0</v>
      </c>
      <c r="AX80" s="137">
        <f t="shared" si="12"/>
        <v>0</v>
      </c>
    </row>
    <row r="81" ht="46.5" customHeight="1" spans="1:50" s="97" customFormat="1" x14ac:dyDescent="0.25">
      <c r="A81" s="100"/>
      <c r="B81" s="100"/>
      <c r="C81" s="100"/>
      <c r="D81" s="100"/>
      <c r="E81" s="100"/>
      <c r="F81" s="100"/>
      <c r="G81" s="103"/>
      <c r="H81" s="186"/>
      <c r="I81" s="195">
        <v>0.51</v>
      </c>
      <c r="J81" s="107">
        <v>0.49</v>
      </c>
      <c r="K81" s="107"/>
      <c r="L81" s="107"/>
      <c r="M81" s="187"/>
      <c r="N81" s="169">
        <f t="shared" si="14"/>
        <v>1</v>
      </c>
      <c r="O81" s="144">
        <v>1</v>
      </c>
      <c r="P81" s="145">
        <v>15</v>
      </c>
      <c r="Q81" s="113">
        <v>15</v>
      </c>
      <c r="R81" s="113"/>
      <c r="S81" s="113"/>
      <c r="T81" s="146"/>
      <c r="U81" s="148">
        <f t="shared" si="1"/>
        <v>15</v>
      </c>
      <c r="V81" s="149">
        <f t="shared" si="2"/>
        <v>15</v>
      </c>
      <c r="W81" s="189"/>
      <c r="X81" s="199"/>
      <c r="Y81" s="151"/>
      <c r="Z81" s="190"/>
      <c r="AA81" s="153"/>
      <c r="AB81" s="154">
        <f t="shared" si="3"/>
        <v>0</v>
      </c>
      <c r="AC81" s="149">
        <f t="shared" si="4"/>
        <v>0</v>
      </c>
      <c r="AD81" s="125">
        <v>2</v>
      </c>
      <c r="AE81" s="148">
        <f t="shared" si="5"/>
        <v>2</v>
      </c>
      <c r="AF81" s="156"/>
      <c r="AG81" s="156"/>
      <c r="AH81" s="113">
        <f t="shared" si="6"/>
        <v>17</v>
      </c>
      <c r="AI81" s="157">
        <v>65</v>
      </c>
      <c r="AJ81" s="113">
        <f t="shared" si="7"/>
        <v>82</v>
      </c>
      <c r="AK81" s="113">
        <f t="shared" si="8"/>
        <v>82</v>
      </c>
      <c r="AL81" s="158">
        <f t="shared" si="9"/>
        <v>1.02</v>
      </c>
      <c r="AM81" s="159"/>
      <c r="AN81" s="160">
        <f t="shared" si="13"/>
        <v>1</v>
      </c>
      <c r="AO81" s="160">
        <f t="shared" si="13"/>
        <v>2</v>
      </c>
      <c r="AP81" s="133"/>
      <c r="AQ81" s="134"/>
      <c r="AR81" s="161"/>
      <c r="AS81" s="161"/>
      <c r="AT81" s="161"/>
      <c r="AU81" s="161"/>
      <c r="AV81" s="162"/>
      <c r="AW81" s="137">
        <f t="shared" si="11"/>
        <v>0</v>
      </c>
      <c r="AX81" s="137">
        <f t="shared" si="12"/>
        <v>0</v>
      </c>
    </row>
    <row r="82" ht="46.5" customHeight="1" spans="1:50" s="97" customFormat="1" x14ac:dyDescent="0.25">
      <c r="A82" s="100"/>
      <c r="B82" s="100"/>
      <c r="C82" s="100"/>
      <c r="D82" s="100"/>
      <c r="E82" s="100"/>
      <c r="F82" s="100"/>
      <c r="G82" s="103"/>
      <c r="H82" s="186"/>
      <c r="I82" s="195">
        <v>0.51</v>
      </c>
      <c r="J82" s="107">
        <v>0.49</v>
      </c>
      <c r="K82" s="107"/>
      <c r="L82" s="107"/>
      <c r="M82" s="187"/>
      <c r="N82" s="169">
        <f t="shared" si="14"/>
        <v>1</v>
      </c>
      <c r="O82" s="144">
        <v>1</v>
      </c>
      <c r="P82" s="145">
        <v>15</v>
      </c>
      <c r="Q82" s="113">
        <v>15</v>
      </c>
      <c r="R82" s="113"/>
      <c r="S82" s="113"/>
      <c r="T82" s="146"/>
      <c r="U82" s="148">
        <f t="shared" si="1"/>
        <v>15</v>
      </c>
      <c r="V82" s="149">
        <f t="shared" si="2"/>
        <v>15</v>
      </c>
      <c r="W82" s="189"/>
      <c r="X82" s="199"/>
      <c r="Y82" s="151"/>
      <c r="Z82" s="190"/>
      <c r="AA82" s="153"/>
      <c r="AB82" s="154">
        <f t="shared" si="3"/>
        <v>0</v>
      </c>
      <c r="AC82" s="149">
        <f t="shared" si="4"/>
        <v>0</v>
      </c>
      <c r="AD82" s="125">
        <v>2</v>
      </c>
      <c r="AE82" s="148">
        <f t="shared" si="5"/>
        <v>2</v>
      </c>
      <c r="AF82" s="156"/>
      <c r="AG82" s="156"/>
      <c r="AH82" s="113">
        <f t="shared" si="6"/>
        <v>17</v>
      </c>
      <c r="AI82" s="157">
        <v>65</v>
      </c>
      <c r="AJ82" s="113">
        <f t="shared" si="7"/>
        <v>82</v>
      </c>
      <c r="AK82" s="113">
        <f t="shared" si="8"/>
        <v>82</v>
      </c>
      <c r="AL82" s="158">
        <f t="shared" si="9"/>
        <v>1.02</v>
      </c>
      <c r="AM82" s="159"/>
      <c r="AN82" s="160">
        <f t="shared" si="13"/>
        <v>1</v>
      </c>
      <c r="AO82" s="160">
        <f t="shared" si="13"/>
        <v>2</v>
      </c>
      <c r="AP82" s="133"/>
      <c r="AQ82" s="134"/>
      <c r="AR82" s="161"/>
      <c r="AS82" s="161"/>
      <c r="AT82" s="161"/>
      <c r="AU82" s="161"/>
      <c r="AV82" s="162"/>
      <c r="AW82" s="137">
        <f t="shared" si="11"/>
        <v>0</v>
      </c>
      <c r="AX82" s="137">
        <f t="shared" si="12"/>
        <v>0</v>
      </c>
    </row>
    <row r="83" ht="46.5" customHeight="1" spans="1:50" s="97" customFormat="1" x14ac:dyDescent="0.25">
      <c r="A83" s="100"/>
      <c r="B83" s="100"/>
      <c r="C83" s="100"/>
      <c r="D83" s="100"/>
      <c r="E83" s="100"/>
      <c r="F83" s="100"/>
      <c r="G83" s="103"/>
      <c r="H83" s="186"/>
      <c r="I83" s="195">
        <v>0.51</v>
      </c>
      <c r="J83" s="107">
        <v>0.49</v>
      </c>
      <c r="K83" s="107"/>
      <c r="L83" s="107"/>
      <c r="M83" s="187"/>
      <c r="N83" s="169">
        <f t="shared" si="14"/>
        <v>1</v>
      </c>
      <c r="O83" s="144">
        <v>1</v>
      </c>
      <c r="P83" s="145">
        <v>15</v>
      </c>
      <c r="Q83" s="113">
        <v>15</v>
      </c>
      <c r="R83" s="113"/>
      <c r="S83" s="113"/>
      <c r="T83" s="146"/>
      <c r="U83" s="148">
        <f t="shared" si="1"/>
        <v>15</v>
      </c>
      <c r="V83" s="149">
        <f t="shared" si="2"/>
        <v>15</v>
      </c>
      <c r="W83" s="189"/>
      <c r="X83" s="199"/>
      <c r="Y83" s="151"/>
      <c r="Z83" s="190"/>
      <c r="AA83" s="153"/>
      <c r="AB83" s="154">
        <f t="shared" si="3"/>
        <v>0</v>
      </c>
      <c r="AC83" s="149">
        <f t="shared" si="4"/>
        <v>0</v>
      </c>
      <c r="AD83" s="125">
        <v>2</v>
      </c>
      <c r="AE83" s="148">
        <f t="shared" si="5"/>
        <v>2</v>
      </c>
      <c r="AF83" s="156"/>
      <c r="AG83" s="156"/>
      <c r="AH83" s="113">
        <f t="shared" si="6"/>
        <v>17</v>
      </c>
      <c r="AI83" s="157">
        <v>65</v>
      </c>
      <c r="AJ83" s="113">
        <f t="shared" si="7"/>
        <v>82</v>
      </c>
      <c r="AK83" s="113">
        <f t="shared" si="8"/>
        <v>82</v>
      </c>
      <c r="AL83" s="158">
        <f t="shared" si="9"/>
        <v>1.02</v>
      </c>
      <c r="AM83" s="159"/>
      <c r="AN83" s="160">
        <f t="shared" ref="AN83:AO102" si="15">100%+AM83</f>
        <v>1</v>
      </c>
      <c r="AO83" s="160">
        <f t="shared" si="15"/>
        <v>2</v>
      </c>
      <c r="AP83" s="133"/>
      <c r="AQ83" s="134"/>
      <c r="AR83" s="161"/>
      <c r="AS83" s="161"/>
      <c r="AT83" s="161"/>
      <c r="AU83" s="161"/>
      <c r="AV83" s="162"/>
      <c r="AW83" s="137">
        <f t="shared" si="11"/>
        <v>0</v>
      </c>
      <c r="AX83" s="137">
        <f t="shared" si="12"/>
        <v>0</v>
      </c>
    </row>
    <row r="84" ht="46.5" customHeight="1" spans="1:50" s="97" customFormat="1" x14ac:dyDescent="0.25">
      <c r="A84" s="100"/>
      <c r="B84" s="100"/>
      <c r="C84" s="100"/>
      <c r="D84" s="100"/>
      <c r="E84" s="100"/>
      <c r="F84" s="100"/>
      <c r="G84" s="103"/>
      <c r="H84" s="186"/>
      <c r="I84" s="195">
        <v>0.51</v>
      </c>
      <c r="J84" s="107">
        <v>0.49</v>
      </c>
      <c r="K84" s="107"/>
      <c r="L84" s="107"/>
      <c r="M84" s="187"/>
      <c r="N84" s="169">
        <f t="shared" si="14"/>
        <v>1</v>
      </c>
      <c r="O84" s="144">
        <v>1</v>
      </c>
      <c r="P84" s="145">
        <v>15</v>
      </c>
      <c r="Q84" s="113">
        <v>15</v>
      </c>
      <c r="R84" s="113"/>
      <c r="S84" s="113"/>
      <c r="T84" s="146"/>
      <c r="U84" s="148">
        <f t="shared" si="1"/>
        <v>15</v>
      </c>
      <c r="V84" s="149">
        <f t="shared" si="2"/>
        <v>15</v>
      </c>
      <c r="W84" s="189"/>
      <c r="X84" s="199"/>
      <c r="Y84" s="151"/>
      <c r="Z84" s="190"/>
      <c r="AA84" s="153"/>
      <c r="AB84" s="154">
        <f t="shared" si="3"/>
        <v>0</v>
      </c>
      <c r="AC84" s="149">
        <f t="shared" si="4"/>
        <v>0</v>
      </c>
      <c r="AD84" s="125">
        <v>2</v>
      </c>
      <c r="AE84" s="148">
        <f t="shared" si="5"/>
        <v>2</v>
      </c>
      <c r="AF84" s="156"/>
      <c r="AG84" s="156"/>
      <c r="AH84" s="113">
        <f t="shared" si="6"/>
        <v>17</v>
      </c>
      <c r="AI84" s="157">
        <v>65</v>
      </c>
      <c r="AJ84" s="113">
        <f t="shared" si="7"/>
        <v>82</v>
      </c>
      <c r="AK84" s="113">
        <f t="shared" si="8"/>
        <v>82</v>
      </c>
      <c r="AL84" s="158">
        <f t="shared" si="9"/>
        <v>1.02</v>
      </c>
      <c r="AM84" s="159"/>
      <c r="AN84" s="160">
        <f t="shared" si="15"/>
        <v>1</v>
      </c>
      <c r="AO84" s="160">
        <f t="shared" si="15"/>
        <v>2</v>
      </c>
      <c r="AP84" s="133"/>
      <c r="AQ84" s="134"/>
      <c r="AR84" s="161"/>
      <c r="AS84" s="161"/>
      <c r="AT84" s="161"/>
      <c r="AU84" s="161"/>
      <c r="AV84" s="162"/>
      <c r="AW84" s="137">
        <f t="shared" si="11"/>
        <v>0</v>
      </c>
      <c r="AX84" s="137">
        <f t="shared" si="12"/>
        <v>0</v>
      </c>
    </row>
    <row r="85" ht="46.5" customHeight="1" spans="1:50" s="97" customFormat="1" x14ac:dyDescent="0.25">
      <c r="A85" s="100"/>
      <c r="B85" s="100"/>
      <c r="C85" s="100"/>
      <c r="D85" s="100"/>
      <c r="E85" s="100"/>
      <c r="F85" s="100"/>
      <c r="G85" s="103"/>
      <c r="H85" s="186"/>
      <c r="I85" s="195">
        <v>0.51</v>
      </c>
      <c r="J85" s="107">
        <v>0.49</v>
      </c>
      <c r="K85" s="107"/>
      <c r="L85" s="107"/>
      <c r="M85" s="187"/>
      <c r="N85" s="169">
        <f t="shared" si="14"/>
        <v>1</v>
      </c>
      <c r="O85" s="144">
        <v>1</v>
      </c>
      <c r="P85" s="145">
        <v>15</v>
      </c>
      <c r="Q85" s="113">
        <v>15</v>
      </c>
      <c r="R85" s="113"/>
      <c r="S85" s="113"/>
      <c r="T85" s="146"/>
      <c r="U85" s="148">
        <f t="shared" si="1"/>
        <v>15</v>
      </c>
      <c r="V85" s="149">
        <f t="shared" si="2"/>
        <v>15</v>
      </c>
      <c r="W85" s="189"/>
      <c r="X85" s="199"/>
      <c r="Y85" s="151"/>
      <c r="Z85" s="190"/>
      <c r="AA85" s="153"/>
      <c r="AB85" s="154">
        <f t="shared" si="3"/>
        <v>0</v>
      </c>
      <c r="AC85" s="149">
        <f t="shared" si="4"/>
        <v>0</v>
      </c>
      <c r="AD85" s="125">
        <v>2</v>
      </c>
      <c r="AE85" s="148">
        <f t="shared" si="5"/>
        <v>2</v>
      </c>
      <c r="AF85" s="156"/>
      <c r="AG85" s="156"/>
      <c r="AH85" s="113">
        <f t="shared" si="6"/>
        <v>17</v>
      </c>
      <c r="AI85" s="157">
        <v>65</v>
      </c>
      <c r="AJ85" s="113">
        <f t="shared" si="7"/>
        <v>82</v>
      </c>
      <c r="AK85" s="113">
        <f t="shared" si="8"/>
        <v>82</v>
      </c>
      <c r="AL85" s="158">
        <f t="shared" si="9"/>
        <v>1.02</v>
      </c>
      <c r="AM85" s="159"/>
      <c r="AN85" s="160">
        <f t="shared" si="15"/>
        <v>1</v>
      </c>
      <c r="AO85" s="160">
        <f t="shared" si="15"/>
        <v>2</v>
      </c>
      <c r="AP85" s="133"/>
      <c r="AQ85" s="134"/>
      <c r="AR85" s="161"/>
      <c r="AS85" s="161"/>
      <c r="AT85" s="161"/>
      <c r="AU85" s="161"/>
      <c r="AV85" s="162"/>
      <c r="AW85" s="137">
        <f t="shared" si="11"/>
        <v>0</v>
      </c>
      <c r="AX85" s="137">
        <f t="shared" si="12"/>
        <v>0</v>
      </c>
    </row>
    <row r="86" ht="46.5" customHeight="1" spans="1:50" s="97" customFormat="1" x14ac:dyDescent="0.25">
      <c r="A86" s="100"/>
      <c r="B86" s="100"/>
      <c r="C86" s="100"/>
      <c r="D86" s="100"/>
      <c r="E86" s="100"/>
      <c r="F86" s="100"/>
      <c r="G86" s="103"/>
      <c r="H86" s="186"/>
      <c r="I86" s="195">
        <v>0.51</v>
      </c>
      <c r="J86" s="107">
        <v>0.49</v>
      </c>
      <c r="K86" s="107"/>
      <c r="L86" s="107"/>
      <c r="M86" s="187"/>
      <c r="N86" s="169">
        <f t="shared" si="14"/>
        <v>1</v>
      </c>
      <c r="O86" s="144">
        <v>1</v>
      </c>
      <c r="P86" s="145">
        <v>15</v>
      </c>
      <c r="Q86" s="113">
        <v>15</v>
      </c>
      <c r="R86" s="113"/>
      <c r="S86" s="113"/>
      <c r="T86" s="146"/>
      <c r="U86" s="148">
        <f t="shared" si="1"/>
        <v>15</v>
      </c>
      <c r="V86" s="149">
        <f t="shared" si="2"/>
        <v>15</v>
      </c>
      <c r="W86" s="189"/>
      <c r="X86" s="199"/>
      <c r="Y86" s="151"/>
      <c r="Z86" s="190"/>
      <c r="AA86" s="153"/>
      <c r="AB86" s="154">
        <f t="shared" si="3"/>
        <v>0</v>
      </c>
      <c r="AC86" s="149">
        <f t="shared" si="4"/>
        <v>0</v>
      </c>
      <c r="AD86" s="125">
        <v>2</v>
      </c>
      <c r="AE86" s="148">
        <f t="shared" si="5"/>
        <v>2</v>
      </c>
      <c r="AF86" s="156"/>
      <c r="AG86" s="156"/>
      <c r="AH86" s="113">
        <f t="shared" si="6"/>
        <v>17</v>
      </c>
      <c r="AI86" s="157">
        <v>65</v>
      </c>
      <c r="AJ86" s="113">
        <f t="shared" si="7"/>
        <v>82</v>
      </c>
      <c r="AK86" s="113">
        <f t="shared" si="8"/>
        <v>82</v>
      </c>
      <c r="AL86" s="158">
        <f t="shared" si="9"/>
        <v>1.02</v>
      </c>
      <c r="AM86" s="159"/>
      <c r="AN86" s="160">
        <f t="shared" si="15"/>
        <v>1</v>
      </c>
      <c r="AO86" s="160">
        <f t="shared" si="15"/>
        <v>2</v>
      </c>
      <c r="AP86" s="133"/>
      <c r="AQ86" s="134"/>
      <c r="AR86" s="161"/>
      <c r="AS86" s="161"/>
      <c r="AT86" s="161"/>
      <c r="AU86" s="161"/>
      <c r="AV86" s="162"/>
      <c r="AW86" s="137">
        <f t="shared" si="11"/>
        <v>0</v>
      </c>
      <c r="AX86" s="137">
        <f t="shared" si="12"/>
        <v>0</v>
      </c>
    </row>
    <row r="87" ht="46.5" customHeight="1" spans="1:50" s="97" customFormat="1" x14ac:dyDescent="0.25">
      <c r="A87" s="100"/>
      <c r="B87" s="100"/>
      <c r="C87" s="100"/>
      <c r="D87" s="100"/>
      <c r="E87" s="100"/>
      <c r="F87" s="100"/>
      <c r="G87" s="103"/>
      <c r="H87" s="186"/>
      <c r="I87" s="195">
        <v>0.51</v>
      </c>
      <c r="J87" s="107">
        <v>0.49</v>
      </c>
      <c r="K87" s="107"/>
      <c r="L87" s="107"/>
      <c r="M87" s="187"/>
      <c r="N87" s="169">
        <f t="shared" si="14"/>
        <v>1</v>
      </c>
      <c r="O87" s="144">
        <v>1</v>
      </c>
      <c r="P87" s="145">
        <v>15</v>
      </c>
      <c r="Q87" s="113">
        <v>15</v>
      </c>
      <c r="R87" s="113"/>
      <c r="S87" s="113"/>
      <c r="T87" s="146"/>
      <c r="U87" s="148">
        <f t="shared" si="1"/>
        <v>15</v>
      </c>
      <c r="V87" s="149">
        <f t="shared" si="2"/>
        <v>15</v>
      </c>
      <c r="W87" s="189"/>
      <c r="X87" s="199"/>
      <c r="Y87" s="151"/>
      <c r="Z87" s="190"/>
      <c r="AA87" s="153"/>
      <c r="AB87" s="154">
        <f t="shared" si="3"/>
        <v>0</v>
      </c>
      <c r="AC87" s="149">
        <f t="shared" si="4"/>
        <v>0</v>
      </c>
      <c r="AD87" s="125">
        <v>2</v>
      </c>
      <c r="AE87" s="148">
        <f t="shared" si="5"/>
        <v>2</v>
      </c>
      <c r="AF87" s="156"/>
      <c r="AG87" s="156"/>
      <c r="AH87" s="113">
        <f t="shared" si="6"/>
        <v>17</v>
      </c>
      <c r="AI87" s="157">
        <v>65</v>
      </c>
      <c r="AJ87" s="113">
        <f t="shared" si="7"/>
        <v>82</v>
      </c>
      <c r="AK87" s="113">
        <f t="shared" si="8"/>
        <v>82</v>
      </c>
      <c r="AL87" s="158">
        <f t="shared" si="9"/>
        <v>1.02</v>
      </c>
      <c r="AM87" s="159"/>
      <c r="AN87" s="160">
        <f t="shared" si="15"/>
        <v>1</v>
      </c>
      <c r="AO87" s="160">
        <f t="shared" si="15"/>
        <v>2</v>
      </c>
      <c r="AP87" s="133"/>
      <c r="AQ87" s="134"/>
      <c r="AR87" s="161"/>
      <c r="AS87" s="161"/>
      <c r="AT87" s="161"/>
      <c r="AU87" s="161"/>
      <c r="AV87" s="162"/>
      <c r="AW87" s="137">
        <f t="shared" si="11"/>
        <v>0</v>
      </c>
      <c r="AX87" s="137">
        <f t="shared" si="12"/>
        <v>0</v>
      </c>
    </row>
    <row r="88" ht="46.5" customHeight="1" spans="1:50" s="97" customFormat="1" x14ac:dyDescent="0.25">
      <c r="A88" s="100"/>
      <c r="B88" s="100"/>
      <c r="C88" s="100"/>
      <c r="D88" s="100"/>
      <c r="E88" s="100"/>
      <c r="F88" s="100"/>
      <c r="G88" s="103"/>
      <c r="H88" s="186"/>
      <c r="I88" s="195">
        <v>0.51</v>
      </c>
      <c r="J88" s="107">
        <v>0.49</v>
      </c>
      <c r="K88" s="107"/>
      <c r="L88" s="107"/>
      <c r="M88" s="187"/>
      <c r="N88" s="169">
        <f t="shared" si="14"/>
        <v>1</v>
      </c>
      <c r="O88" s="144">
        <v>1</v>
      </c>
      <c r="P88" s="145">
        <v>15</v>
      </c>
      <c r="Q88" s="113">
        <v>15</v>
      </c>
      <c r="R88" s="113"/>
      <c r="S88" s="113"/>
      <c r="T88" s="146"/>
      <c r="U88" s="148">
        <f t="shared" si="1"/>
        <v>15</v>
      </c>
      <c r="V88" s="149">
        <f t="shared" si="2"/>
        <v>15</v>
      </c>
      <c r="W88" s="189"/>
      <c r="X88" s="199"/>
      <c r="Y88" s="151"/>
      <c r="Z88" s="190"/>
      <c r="AA88" s="153"/>
      <c r="AB88" s="154">
        <f t="shared" si="3"/>
        <v>0</v>
      </c>
      <c r="AC88" s="149">
        <f t="shared" si="4"/>
        <v>0</v>
      </c>
      <c r="AD88" s="125">
        <v>2</v>
      </c>
      <c r="AE88" s="148">
        <f t="shared" si="5"/>
        <v>2</v>
      </c>
      <c r="AF88" s="156"/>
      <c r="AG88" s="156"/>
      <c r="AH88" s="113">
        <f t="shared" si="6"/>
        <v>17</v>
      </c>
      <c r="AI88" s="157">
        <v>65</v>
      </c>
      <c r="AJ88" s="113">
        <f t="shared" si="7"/>
        <v>82</v>
      </c>
      <c r="AK88" s="113">
        <f t="shared" si="8"/>
        <v>82</v>
      </c>
      <c r="AL88" s="158">
        <f t="shared" si="9"/>
        <v>1.02</v>
      </c>
      <c r="AM88" s="159"/>
      <c r="AN88" s="160">
        <f t="shared" si="15"/>
        <v>1</v>
      </c>
      <c r="AO88" s="160">
        <f t="shared" si="15"/>
        <v>2</v>
      </c>
      <c r="AP88" s="133"/>
      <c r="AQ88" s="134"/>
      <c r="AR88" s="161"/>
      <c r="AS88" s="161"/>
      <c r="AT88" s="161"/>
      <c r="AU88" s="161"/>
      <c r="AV88" s="162"/>
      <c r="AW88" s="137">
        <f t="shared" si="11"/>
        <v>0</v>
      </c>
      <c r="AX88" s="137">
        <f t="shared" si="12"/>
        <v>0</v>
      </c>
    </row>
    <row r="89" ht="46.5" customHeight="1" spans="1:50" s="97" customFormat="1" x14ac:dyDescent="0.25">
      <c r="A89" s="100"/>
      <c r="B89" s="100"/>
      <c r="C89" s="100"/>
      <c r="D89" s="100"/>
      <c r="E89" s="100"/>
      <c r="F89" s="100"/>
      <c r="G89" s="103"/>
      <c r="H89" s="186"/>
      <c r="I89" s="195">
        <v>0.51</v>
      </c>
      <c r="J89" s="107">
        <v>0.49</v>
      </c>
      <c r="K89" s="107"/>
      <c r="L89" s="107"/>
      <c r="M89" s="187"/>
      <c r="N89" s="169">
        <f t="shared" si="14"/>
        <v>1</v>
      </c>
      <c r="O89" s="144">
        <v>1</v>
      </c>
      <c r="P89" s="145">
        <v>15</v>
      </c>
      <c r="Q89" s="113">
        <v>15</v>
      </c>
      <c r="R89" s="113"/>
      <c r="S89" s="113"/>
      <c r="T89" s="146"/>
      <c r="U89" s="148">
        <f t="shared" si="1"/>
        <v>15</v>
      </c>
      <c r="V89" s="149">
        <f t="shared" si="2"/>
        <v>15</v>
      </c>
      <c r="W89" s="189"/>
      <c r="X89" s="199"/>
      <c r="Y89" s="151"/>
      <c r="Z89" s="190"/>
      <c r="AA89" s="153"/>
      <c r="AB89" s="154">
        <f t="shared" si="3"/>
        <v>0</v>
      </c>
      <c r="AC89" s="149">
        <f t="shared" si="4"/>
        <v>0</v>
      </c>
      <c r="AD89" s="125">
        <v>2</v>
      </c>
      <c r="AE89" s="148">
        <f t="shared" si="5"/>
        <v>2</v>
      </c>
      <c r="AF89" s="156"/>
      <c r="AG89" s="156"/>
      <c r="AH89" s="113">
        <f t="shared" si="6"/>
        <v>17</v>
      </c>
      <c r="AI89" s="157">
        <v>65</v>
      </c>
      <c r="AJ89" s="113">
        <f t="shared" si="7"/>
        <v>82</v>
      </c>
      <c r="AK89" s="113">
        <f t="shared" si="8"/>
        <v>82</v>
      </c>
      <c r="AL89" s="158">
        <f t="shared" si="9"/>
        <v>1.02</v>
      </c>
      <c r="AM89" s="159"/>
      <c r="AN89" s="160">
        <f t="shared" si="15"/>
        <v>1</v>
      </c>
      <c r="AO89" s="160">
        <f t="shared" si="15"/>
        <v>2</v>
      </c>
      <c r="AP89" s="133"/>
      <c r="AQ89" s="134"/>
      <c r="AR89" s="161"/>
      <c r="AS89" s="161"/>
      <c r="AT89" s="161"/>
      <c r="AU89" s="161"/>
      <c r="AV89" s="162"/>
      <c r="AW89" s="137">
        <f t="shared" si="11"/>
        <v>0</v>
      </c>
      <c r="AX89" s="137">
        <f t="shared" si="12"/>
        <v>0</v>
      </c>
    </row>
    <row r="90" ht="46.5" customHeight="1" spans="1:50" s="97" customFormat="1" x14ac:dyDescent="0.25">
      <c r="A90" s="100"/>
      <c r="B90" s="100"/>
      <c r="C90" s="100"/>
      <c r="D90" s="100"/>
      <c r="E90" s="100"/>
      <c r="F90" s="100"/>
      <c r="G90" s="103"/>
      <c r="H90" s="186"/>
      <c r="I90" s="195">
        <v>0.51</v>
      </c>
      <c r="J90" s="107">
        <v>0.49</v>
      </c>
      <c r="K90" s="107"/>
      <c r="L90" s="107"/>
      <c r="M90" s="187"/>
      <c r="N90" s="169">
        <f t="shared" si="14"/>
        <v>1</v>
      </c>
      <c r="O90" s="144">
        <v>1</v>
      </c>
      <c r="P90" s="145">
        <v>15</v>
      </c>
      <c r="Q90" s="113">
        <v>15</v>
      </c>
      <c r="R90" s="113"/>
      <c r="S90" s="113"/>
      <c r="T90" s="146"/>
      <c r="U90" s="148">
        <f t="shared" si="1"/>
        <v>15</v>
      </c>
      <c r="V90" s="149">
        <f t="shared" si="2"/>
        <v>15</v>
      </c>
      <c r="W90" s="189"/>
      <c r="X90" s="199"/>
      <c r="Y90" s="151"/>
      <c r="Z90" s="190"/>
      <c r="AA90" s="153"/>
      <c r="AB90" s="154">
        <f t="shared" si="3"/>
        <v>0</v>
      </c>
      <c r="AC90" s="149">
        <f t="shared" si="4"/>
        <v>0</v>
      </c>
      <c r="AD90" s="125">
        <v>2</v>
      </c>
      <c r="AE90" s="148">
        <f t="shared" si="5"/>
        <v>2</v>
      </c>
      <c r="AF90" s="156"/>
      <c r="AG90" s="156"/>
      <c r="AH90" s="113">
        <f t="shared" si="6"/>
        <v>17</v>
      </c>
      <c r="AI90" s="157">
        <v>65</v>
      </c>
      <c r="AJ90" s="113">
        <f t="shared" si="7"/>
        <v>82</v>
      </c>
      <c r="AK90" s="113">
        <f t="shared" si="8"/>
        <v>82</v>
      </c>
      <c r="AL90" s="158">
        <f t="shared" si="9"/>
        <v>1.02</v>
      </c>
      <c r="AM90" s="159"/>
      <c r="AN90" s="160">
        <f t="shared" si="15"/>
        <v>1</v>
      </c>
      <c r="AO90" s="160">
        <f t="shared" si="15"/>
        <v>2</v>
      </c>
      <c r="AP90" s="133"/>
      <c r="AQ90" s="134"/>
      <c r="AR90" s="161"/>
      <c r="AS90" s="161"/>
      <c r="AT90" s="161"/>
      <c r="AU90" s="161"/>
      <c r="AV90" s="162"/>
      <c r="AW90" s="137">
        <f t="shared" si="11"/>
        <v>0</v>
      </c>
      <c r="AX90" s="137">
        <f t="shared" si="12"/>
        <v>0</v>
      </c>
    </row>
    <row r="91" ht="46.5" customHeight="1" spans="1:50" s="97" customFormat="1" x14ac:dyDescent="0.25">
      <c r="A91" s="100"/>
      <c r="B91" s="100"/>
      <c r="C91" s="100"/>
      <c r="D91" s="100"/>
      <c r="E91" s="100"/>
      <c r="F91" s="100"/>
      <c r="G91" s="103"/>
      <c r="H91" s="186"/>
      <c r="I91" s="195">
        <v>0.51</v>
      </c>
      <c r="J91" s="107">
        <v>0.49</v>
      </c>
      <c r="K91" s="107"/>
      <c r="L91" s="107"/>
      <c r="M91" s="187"/>
      <c r="N91" s="169">
        <f t="shared" si="14"/>
        <v>1</v>
      </c>
      <c r="O91" s="144">
        <v>1</v>
      </c>
      <c r="P91" s="145">
        <v>15</v>
      </c>
      <c r="Q91" s="113">
        <v>15</v>
      </c>
      <c r="R91" s="113"/>
      <c r="S91" s="113"/>
      <c r="T91" s="146"/>
      <c r="U91" s="148">
        <f t="shared" si="1"/>
        <v>15</v>
      </c>
      <c r="V91" s="149">
        <f t="shared" si="2"/>
        <v>15</v>
      </c>
      <c r="W91" s="189"/>
      <c r="X91" s="199"/>
      <c r="Y91" s="151"/>
      <c r="Z91" s="190"/>
      <c r="AA91" s="153"/>
      <c r="AB91" s="154">
        <f t="shared" si="3"/>
        <v>0</v>
      </c>
      <c r="AC91" s="149">
        <f t="shared" si="4"/>
        <v>0</v>
      </c>
      <c r="AD91" s="125">
        <v>2</v>
      </c>
      <c r="AE91" s="148">
        <f t="shared" si="5"/>
        <v>2</v>
      </c>
      <c r="AF91" s="156"/>
      <c r="AG91" s="156"/>
      <c r="AH91" s="113">
        <f t="shared" si="6"/>
        <v>17</v>
      </c>
      <c r="AI91" s="157">
        <v>65</v>
      </c>
      <c r="AJ91" s="113">
        <f t="shared" si="7"/>
        <v>82</v>
      </c>
      <c r="AK91" s="113">
        <f t="shared" si="8"/>
        <v>82</v>
      </c>
      <c r="AL91" s="158">
        <f t="shared" si="9"/>
        <v>1.02</v>
      </c>
      <c r="AM91" s="159"/>
      <c r="AN91" s="160">
        <f t="shared" si="15"/>
        <v>1</v>
      </c>
      <c r="AO91" s="160">
        <f t="shared" si="15"/>
        <v>2</v>
      </c>
      <c r="AP91" s="133"/>
      <c r="AQ91" s="134"/>
      <c r="AR91" s="161"/>
      <c r="AS91" s="161"/>
      <c r="AT91" s="161"/>
      <c r="AU91" s="161"/>
      <c r="AV91" s="162"/>
      <c r="AW91" s="137">
        <f t="shared" si="11"/>
        <v>0</v>
      </c>
      <c r="AX91" s="137">
        <f t="shared" si="12"/>
        <v>0</v>
      </c>
    </row>
    <row r="92" ht="46.5" customHeight="1" spans="1:50" s="97" customFormat="1" x14ac:dyDescent="0.25">
      <c r="A92" s="100"/>
      <c r="B92" s="100"/>
      <c r="C92" s="100"/>
      <c r="D92" s="100"/>
      <c r="E92" s="100"/>
      <c r="F92" s="100"/>
      <c r="G92" s="103"/>
      <c r="H92" s="186"/>
      <c r="I92" s="195">
        <v>0.51</v>
      </c>
      <c r="J92" s="107">
        <v>0.49</v>
      </c>
      <c r="K92" s="107"/>
      <c r="L92" s="107"/>
      <c r="M92" s="187"/>
      <c r="N92" s="169">
        <f t="shared" si="14"/>
        <v>1</v>
      </c>
      <c r="O92" s="144">
        <v>1</v>
      </c>
      <c r="P92" s="145">
        <v>15</v>
      </c>
      <c r="Q92" s="113">
        <v>15</v>
      </c>
      <c r="R92" s="113"/>
      <c r="S92" s="113"/>
      <c r="T92" s="146"/>
      <c r="U92" s="148">
        <f t="shared" si="1"/>
        <v>15</v>
      </c>
      <c r="V92" s="149">
        <f t="shared" si="2"/>
        <v>15</v>
      </c>
      <c r="W92" s="189"/>
      <c r="X92" s="199"/>
      <c r="Y92" s="151"/>
      <c r="Z92" s="190"/>
      <c r="AA92" s="153"/>
      <c r="AB92" s="154">
        <f t="shared" si="3"/>
        <v>0</v>
      </c>
      <c r="AC92" s="149">
        <f t="shared" si="4"/>
        <v>0</v>
      </c>
      <c r="AD92" s="125">
        <v>2</v>
      </c>
      <c r="AE92" s="148">
        <f t="shared" si="5"/>
        <v>2</v>
      </c>
      <c r="AF92" s="156"/>
      <c r="AG92" s="156"/>
      <c r="AH92" s="113">
        <f t="shared" si="6"/>
        <v>17</v>
      </c>
      <c r="AI92" s="157">
        <v>65</v>
      </c>
      <c r="AJ92" s="113">
        <f t="shared" si="7"/>
        <v>82</v>
      </c>
      <c r="AK92" s="113">
        <f t="shared" si="8"/>
        <v>82</v>
      </c>
      <c r="AL92" s="158">
        <f t="shared" si="9"/>
        <v>1.02</v>
      </c>
      <c r="AM92" s="159"/>
      <c r="AN92" s="160">
        <f t="shared" si="15"/>
        <v>1</v>
      </c>
      <c r="AO92" s="160">
        <f t="shared" si="15"/>
        <v>2</v>
      </c>
      <c r="AP92" s="133"/>
      <c r="AQ92" s="134"/>
      <c r="AR92" s="161"/>
      <c r="AS92" s="161"/>
      <c r="AT92" s="161"/>
      <c r="AU92" s="161"/>
      <c r="AV92" s="162"/>
      <c r="AW92" s="137">
        <f t="shared" si="11"/>
        <v>0</v>
      </c>
      <c r="AX92" s="137">
        <f t="shared" si="12"/>
        <v>0</v>
      </c>
    </row>
    <row r="93" ht="46.5" customHeight="1" spans="1:50" s="97" customFormat="1" x14ac:dyDescent="0.25">
      <c r="A93" s="100"/>
      <c r="B93" s="100"/>
      <c r="C93" s="100"/>
      <c r="D93" s="100"/>
      <c r="E93" s="100"/>
      <c r="F93" s="100"/>
      <c r="G93" s="103"/>
      <c r="H93" s="186"/>
      <c r="I93" s="195">
        <v>0.51</v>
      </c>
      <c r="J93" s="107">
        <v>0.49</v>
      </c>
      <c r="K93" s="107"/>
      <c r="L93" s="107"/>
      <c r="M93" s="187"/>
      <c r="N93" s="169">
        <f t="shared" si="14"/>
        <v>1</v>
      </c>
      <c r="O93" s="144">
        <v>1</v>
      </c>
      <c r="P93" s="145">
        <v>15</v>
      </c>
      <c r="Q93" s="113">
        <v>15</v>
      </c>
      <c r="R93" s="113"/>
      <c r="S93" s="113"/>
      <c r="T93" s="146"/>
      <c r="U93" s="148">
        <f t="shared" si="1"/>
        <v>15</v>
      </c>
      <c r="V93" s="149">
        <f t="shared" si="2"/>
        <v>15</v>
      </c>
      <c r="W93" s="189"/>
      <c r="X93" s="199"/>
      <c r="Y93" s="151"/>
      <c r="Z93" s="190"/>
      <c r="AA93" s="153"/>
      <c r="AB93" s="154">
        <f t="shared" si="3"/>
        <v>0</v>
      </c>
      <c r="AC93" s="149">
        <f t="shared" si="4"/>
        <v>0</v>
      </c>
      <c r="AD93" s="125">
        <v>2</v>
      </c>
      <c r="AE93" s="148">
        <f t="shared" si="5"/>
        <v>2</v>
      </c>
      <c r="AF93" s="156"/>
      <c r="AG93" s="156"/>
      <c r="AH93" s="113">
        <f t="shared" si="6"/>
        <v>17</v>
      </c>
      <c r="AI93" s="157">
        <v>65</v>
      </c>
      <c r="AJ93" s="113">
        <f t="shared" si="7"/>
        <v>82</v>
      </c>
      <c r="AK93" s="113">
        <f t="shared" si="8"/>
        <v>82</v>
      </c>
      <c r="AL93" s="158">
        <f t="shared" si="9"/>
        <v>1.02</v>
      </c>
      <c r="AM93" s="159"/>
      <c r="AN93" s="160">
        <f t="shared" si="15"/>
        <v>1</v>
      </c>
      <c r="AO93" s="160">
        <f t="shared" si="15"/>
        <v>2</v>
      </c>
      <c r="AP93" s="133"/>
      <c r="AQ93" s="134"/>
      <c r="AR93" s="161"/>
      <c r="AS93" s="161"/>
      <c r="AT93" s="161"/>
      <c r="AU93" s="161"/>
      <c r="AV93" s="162"/>
      <c r="AW93" s="137">
        <f t="shared" si="11"/>
        <v>0</v>
      </c>
      <c r="AX93" s="137">
        <f t="shared" si="12"/>
        <v>0</v>
      </c>
    </row>
    <row r="94" ht="46.5" customHeight="1" spans="1:50" s="97" customFormat="1" x14ac:dyDescent="0.25">
      <c r="A94" s="100"/>
      <c r="B94" s="100"/>
      <c r="C94" s="100"/>
      <c r="D94" s="100"/>
      <c r="E94" s="100"/>
      <c r="F94" s="100"/>
      <c r="G94" s="103"/>
      <c r="H94" s="186"/>
      <c r="I94" s="195">
        <v>0.51</v>
      </c>
      <c r="J94" s="107">
        <v>0.49</v>
      </c>
      <c r="K94" s="107"/>
      <c r="L94" s="107"/>
      <c r="M94" s="187"/>
      <c r="N94" s="169">
        <f t="shared" si="14"/>
        <v>1</v>
      </c>
      <c r="O94" s="144">
        <v>1</v>
      </c>
      <c r="P94" s="145">
        <v>15</v>
      </c>
      <c r="Q94" s="113">
        <v>15</v>
      </c>
      <c r="R94" s="113"/>
      <c r="S94" s="113"/>
      <c r="T94" s="146"/>
      <c r="U94" s="148">
        <f t="shared" si="1"/>
        <v>15</v>
      </c>
      <c r="V94" s="149">
        <f t="shared" si="2"/>
        <v>15</v>
      </c>
      <c r="W94" s="189"/>
      <c r="X94" s="199"/>
      <c r="Y94" s="151"/>
      <c r="Z94" s="190"/>
      <c r="AA94" s="153"/>
      <c r="AB94" s="154">
        <f t="shared" si="3"/>
        <v>0</v>
      </c>
      <c r="AC94" s="149">
        <f t="shared" si="4"/>
        <v>0</v>
      </c>
      <c r="AD94" s="125">
        <v>2</v>
      </c>
      <c r="AE94" s="148">
        <f t="shared" si="5"/>
        <v>2</v>
      </c>
      <c r="AF94" s="156"/>
      <c r="AG94" s="156"/>
      <c r="AH94" s="113">
        <f t="shared" si="6"/>
        <v>17</v>
      </c>
      <c r="AI94" s="157">
        <v>65</v>
      </c>
      <c r="AJ94" s="113">
        <f t="shared" si="7"/>
        <v>82</v>
      </c>
      <c r="AK94" s="113">
        <f t="shared" si="8"/>
        <v>82</v>
      </c>
      <c r="AL94" s="158">
        <f t="shared" si="9"/>
        <v>1.02</v>
      </c>
      <c r="AM94" s="159"/>
      <c r="AN94" s="160">
        <f t="shared" si="15"/>
        <v>1</v>
      </c>
      <c r="AO94" s="160">
        <f t="shared" si="15"/>
        <v>2</v>
      </c>
      <c r="AP94" s="133"/>
      <c r="AQ94" s="134"/>
      <c r="AR94" s="161"/>
      <c r="AS94" s="161"/>
      <c r="AT94" s="161"/>
      <c r="AU94" s="161"/>
      <c r="AV94" s="162"/>
      <c r="AW94" s="137">
        <f t="shared" si="11"/>
        <v>0</v>
      </c>
      <c r="AX94" s="137">
        <f t="shared" si="12"/>
        <v>0</v>
      </c>
    </row>
    <row r="95" ht="46.5" customHeight="1" spans="1:50" s="97" customFormat="1" x14ac:dyDescent="0.25">
      <c r="A95" s="100"/>
      <c r="B95" s="100"/>
      <c r="C95" s="100"/>
      <c r="D95" s="100"/>
      <c r="E95" s="100"/>
      <c r="F95" s="100"/>
      <c r="G95" s="103"/>
      <c r="H95" s="186"/>
      <c r="I95" s="195">
        <v>0.51</v>
      </c>
      <c r="J95" s="107">
        <v>0.49</v>
      </c>
      <c r="K95" s="107"/>
      <c r="L95" s="107"/>
      <c r="M95" s="187"/>
      <c r="N95" s="169">
        <f t="shared" si="14"/>
        <v>1</v>
      </c>
      <c r="O95" s="144">
        <v>1</v>
      </c>
      <c r="P95" s="145">
        <v>15</v>
      </c>
      <c r="Q95" s="113">
        <v>15</v>
      </c>
      <c r="R95" s="113"/>
      <c r="S95" s="113"/>
      <c r="T95" s="146"/>
      <c r="U95" s="148">
        <f t="shared" si="1"/>
        <v>15</v>
      </c>
      <c r="V95" s="149">
        <f t="shared" si="2"/>
        <v>15</v>
      </c>
      <c r="W95" s="189"/>
      <c r="X95" s="199"/>
      <c r="Y95" s="151"/>
      <c r="Z95" s="190"/>
      <c r="AA95" s="153"/>
      <c r="AB95" s="154">
        <f t="shared" si="3"/>
        <v>0</v>
      </c>
      <c r="AC95" s="149">
        <f t="shared" si="4"/>
        <v>0</v>
      </c>
      <c r="AD95" s="125">
        <v>2</v>
      </c>
      <c r="AE95" s="148">
        <f t="shared" si="5"/>
        <v>2</v>
      </c>
      <c r="AF95" s="156"/>
      <c r="AG95" s="156"/>
      <c r="AH95" s="113">
        <f t="shared" si="6"/>
        <v>17</v>
      </c>
      <c r="AI95" s="157">
        <v>65</v>
      </c>
      <c r="AJ95" s="113">
        <f t="shared" si="7"/>
        <v>82</v>
      </c>
      <c r="AK95" s="113">
        <f t="shared" si="8"/>
        <v>82</v>
      </c>
      <c r="AL95" s="158">
        <f t="shared" si="9"/>
        <v>1.02</v>
      </c>
      <c r="AM95" s="159"/>
      <c r="AN95" s="160">
        <f t="shared" si="15"/>
        <v>1</v>
      </c>
      <c r="AO95" s="160">
        <f t="shared" si="15"/>
        <v>2</v>
      </c>
      <c r="AP95" s="133"/>
      <c r="AQ95" s="134"/>
      <c r="AR95" s="161"/>
      <c r="AS95" s="161"/>
      <c r="AT95" s="161"/>
      <c r="AU95" s="161"/>
      <c r="AV95" s="162"/>
      <c r="AW95" s="137">
        <f t="shared" si="11"/>
        <v>0</v>
      </c>
      <c r="AX95" s="137">
        <f t="shared" si="12"/>
        <v>0</v>
      </c>
    </row>
    <row r="96" ht="46.5" customHeight="1" spans="1:50" s="97" customFormat="1" x14ac:dyDescent="0.25">
      <c r="A96" s="100"/>
      <c r="B96" s="100"/>
      <c r="C96" s="100"/>
      <c r="D96" s="100"/>
      <c r="E96" s="100"/>
      <c r="F96" s="100"/>
      <c r="G96" s="103"/>
      <c r="H96" s="186"/>
      <c r="I96" s="195">
        <v>0.51</v>
      </c>
      <c r="J96" s="107">
        <v>0.49</v>
      </c>
      <c r="K96" s="107"/>
      <c r="L96" s="107"/>
      <c r="M96" s="187"/>
      <c r="N96" s="169">
        <f t="shared" si="14"/>
        <v>1</v>
      </c>
      <c r="O96" s="144">
        <v>1</v>
      </c>
      <c r="P96" s="145">
        <v>15</v>
      </c>
      <c r="Q96" s="113">
        <v>15</v>
      </c>
      <c r="R96" s="113"/>
      <c r="S96" s="113"/>
      <c r="T96" s="146"/>
      <c r="U96" s="148">
        <f t="shared" si="1"/>
        <v>15</v>
      </c>
      <c r="V96" s="149">
        <f t="shared" si="2"/>
        <v>15</v>
      </c>
      <c r="W96" s="189"/>
      <c r="X96" s="199"/>
      <c r="Y96" s="151"/>
      <c r="Z96" s="190"/>
      <c r="AA96" s="153"/>
      <c r="AB96" s="154">
        <f t="shared" si="3"/>
        <v>0</v>
      </c>
      <c r="AC96" s="149">
        <f t="shared" si="4"/>
        <v>0</v>
      </c>
      <c r="AD96" s="125">
        <v>2</v>
      </c>
      <c r="AE96" s="148">
        <f t="shared" si="5"/>
        <v>2</v>
      </c>
      <c r="AF96" s="156"/>
      <c r="AG96" s="156"/>
      <c r="AH96" s="113">
        <f t="shared" si="6"/>
        <v>17</v>
      </c>
      <c r="AI96" s="157">
        <v>65</v>
      </c>
      <c r="AJ96" s="113">
        <f t="shared" si="7"/>
        <v>82</v>
      </c>
      <c r="AK96" s="113">
        <f t="shared" si="8"/>
        <v>82</v>
      </c>
      <c r="AL96" s="158">
        <f t="shared" si="9"/>
        <v>1.02</v>
      </c>
      <c r="AM96" s="159"/>
      <c r="AN96" s="160">
        <f t="shared" si="15"/>
        <v>1</v>
      </c>
      <c r="AO96" s="160">
        <f t="shared" si="15"/>
        <v>2</v>
      </c>
      <c r="AP96" s="133"/>
      <c r="AQ96" s="134"/>
      <c r="AR96" s="161"/>
      <c r="AS96" s="161"/>
      <c r="AT96" s="161"/>
      <c r="AU96" s="161"/>
      <c r="AV96" s="162"/>
      <c r="AW96" s="137">
        <f t="shared" si="11"/>
        <v>0</v>
      </c>
      <c r="AX96" s="137">
        <f t="shared" si="12"/>
        <v>0</v>
      </c>
    </row>
    <row r="97" ht="46.5" customHeight="1" spans="1:50" s="97" customFormat="1" x14ac:dyDescent="0.25">
      <c r="A97" s="100"/>
      <c r="B97" s="100"/>
      <c r="C97" s="100"/>
      <c r="D97" s="100"/>
      <c r="E97" s="100"/>
      <c r="F97" s="100"/>
      <c r="G97" s="103"/>
      <c r="H97" s="186"/>
      <c r="I97" s="195">
        <v>0.51</v>
      </c>
      <c r="J97" s="107">
        <v>0.49</v>
      </c>
      <c r="K97" s="107"/>
      <c r="L97" s="107"/>
      <c r="M97" s="187"/>
      <c r="N97" s="169">
        <f t="shared" si="14"/>
        <v>1</v>
      </c>
      <c r="O97" s="144">
        <v>1</v>
      </c>
      <c r="P97" s="145">
        <v>15</v>
      </c>
      <c r="Q97" s="113">
        <v>15</v>
      </c>
      <c r="R97" s="113"/>
      <c r="S97" s="113"/>
      <c r="T97" s="146"/>
      <c r="U97" s="148">
        <f t="shared" si="1"/>
        <v>15</v>
      </c>
      <c r="V97" s="149">
        <f t="shared" si="2"/>
        <v>15</v>
      </c>
      <c r="W97" s="189"/>
      <c r="X97" s="199"/>
      <c r="Y97" s="151"/>
      <c r="Z97" s="190"/>
      <c r="AA97" s="153"/>
      <c r="AB97" s="154">
        <f t="shared" si="3"/>
        <v>0</v>
      </c>
      <c r="AC97" s="149">
        <f t="shared" si="4"/>
        <v>0</v>
      </c>
      <c r="AD97" s="125">
        <v>2</v>
      </c>
      <c r="AE97" s="148">
        <f t="shared" si="5"/>
        <v>2</v>
      </c>
      <c r="AF97" s="156"/>
      <c r="AG97" s="156"/>
      <c r="AH97" s="113">
        <f t="shared" si="6"/>
        <v>17</v>
      </c>
      <c r="AI97" s="157">
        <v>65</v>
      </c>
      <c r="AJ97" s="113">
        <f t="shared" si="7"/>
        <v>82</v>
      </c>
      <c r="AK97" s="113">
        <f t="shared" si="8"/>
        <v>82</v>
      </c>
      <c r="AL97" s="158">
        <f t="shared" si="9"/>
        <v>1.02</v>
      </c>
      <c r="AM97" s="159"/>
      <c r="AN97" s="160">
        <f t="shared" si="15"/>
        <v>1</v>
      </c>
      <c r="AO97" s="160">
        <f t="shared" si="15"/>
        <v>2</v>
      </c>
      <c r="AP97" s="133"/>
      <c r="AQ97" s="134"/>
      <c r="AR97" s="161"/>
      <c r="AS97" s="161"/>
      <c r="AT97" s="161"/>
      <c r="AU97" s="161"/>
      <c r="AV97" s="162"/>
      <c r="AW97" s="137">
        <f t="shared" si="11"/>
        <v>0</v>
      </c>
      <c r="AX97" s="137">
        <f t="shared" si="12"/>
        <v>0</v>
      </c>
    </row>
    <row r="98" ht="46.5" customHeight="1" spans="1:50" s="97" customFormat="1" x14ac:dyDescent="0.25">
      <c r="A98" s="100"/>
      <c r="B98" s="100"/>
      <c r="C98" s="100"/>
      <c r="D98" s="100"/>
      <c r="E98" s="100"/>
      <c r="F98" s="100"/>
      <c r="G98" s="103"/>
      <c r="H98" s="186"/>
      <c r="I98" s="195">
        <v>0.51</v>
      </c>
      <c r="J98" s="107">
        <v>0.49</v>
      </c>
      <c r="K98" s="107"/>
      <c r="L98" s="107"/>
      <c r="M98" s="187"/>
      <c r="N98" s="169">
        <f t="shared" si="14"/>
        <v>1</v>
      </c>
      <c r="O98" s="144">
        <v>1</v>
      </c>
      <c r="P98" s="145">
        <v>15</v>
      </c>
      <c r="Q98" s="113">
        <v>15</v>
      </c>
      <c r="R98" s="113"/>
      <c r="S98" s="113"/>
      <c r="T98" s="146"/>
      <c r="U98" s="148">
        <f t="shared" si="1"/>
        <v>15</v>
      </c>
      <c r="V98" s="149">
        <f t="shared" si="2"/>
        <v>15</v>
      </c>
      <c r="W98" s="189"/>
      <c r="X98" s="199"/>
      <c r="Y98" s="151"/>
      <c r="Z98" s="190"/>
      <c r="AA98" s="153"/>
      <c r="AB98" s="154">
        <f t="shared" si="3"/>
        <v>0</v>
      </c>
      <c r="AC98" s="149">
        <f t="shared" si="4"/>
        <v>0</v>
      </c>
      <c r="AD98" s="125">
        <v>2</v>
      </c>
      <c r="AE98" s="148">
        <f t="shared" si="5"/>
        <v>2</v>
      </c>
      <c r="AF98" s="156"/>
      <c r="AG98" s="156"/>
      <c r="AH98" s="113">
        <f t="shared" si="6"/>
        <v>17</v>
      </c>
      <c r="AI98" s="157">
        <v>65</v>
      </c>
      <c r="AJ98" s="113">
        <f t="shared" si="7"/>
        <v>82</v>
      </c>
      <c r="AK98" s="113">
        <f t="shared" si="8"/>
        <v>82</v>
      </c>
      <c r="AL98" s="158">
        <f t="shared" si="9"/>
        <v>1.02</v>
      </c>
      <c r="AM98" s="159"/>
      <c r="AN98" s="160">
        <f t="shared" si="15"/>
        <v>1</v>
      </c>
      <c r="AO98" s="160">
        <f t="shared" si="15"/>
        <v>2</v>
      </c>
      <c r="AP98" s="133"/>
      <c r="AQ98" s="134"/>
      <c r="AR98" s="161"/>
      <c r="AS98" s="161"/>
      <c r="AT98" s="161"/>
      <c r="AU98" s="161"/>
      <c r="AV98" s="162"/>
      <c r="AW98" s="137">
        <f t="shared" si="11"/>
        <v>0</v>
      </c>
      <c r="AX98" s="137">
        <f t="shared" si="12"/>
        <v>0</v>
      </c>
    </row>
    <row r="99" ht="46.5" customHeight="1" spans="1:50" s="97" customFormat="1" x14ac:dyDescent="0.25">
      <c r="A99" s="100"/>
      <c r="B99" s="100"/>
      <c r="C99" s="100"/>
      <c r="D99" s="100"/>
      <c r="E99" s="100"/>
      <c r="F99" s="100"/>
      <c r="G99" s="103"/>
      <c r="H99" s="186"/>
      <c r="I99" s="195">
        <v>0.51</v>
      </c>
      <c r="J99" s="107">
        <v>0.49</v>
      </c>
      <c r="K99" s="107"/>
      <c r="L99" s="107"/>
      <c r="M99" s="187"/>
      <c r="N99" s="169">
        <f t="shared" si="14"/>
        <v>1</v>
      </c>
      <c r="O99" s="144">
        <v>1</v>
      </c>
      <c r="P99" s="145">
        <v>15</v>
      </c>
      <c r="Q99" s="113">
        <v>15</v>
      </c>
      <c r="R99" s="113"/>
      <c r="S99" s="113"/>
      <c r="T99" s="146"/>
      <c r="U99" s="148">
        <f t="shared" si="1"/>
        <v>15</v>
      </c>
      <c r="V99" s="149">
        <f t="shared" si="2"/>
        <v>15</v>
      </c>
      <c r="W99" s="189"/>
      <c r="X99" s="199"/>
      <c r="Y99" s="151"/>
      <c r="Z99" s="190"/>
      <c r="AA99" s="153"/>
      <c r="AB99" s="154">
        <f t="shared" si="3"/>
        <v>0</v>
      </c>
      <c r="AC99" s="149">
        <f t="shared" si="4"/>
        <v>0</v>
      </c>
      <c r="AD99" s="125">
        <v>2</v>
      </c>
      <c r="AE99" s="148">
        <f t="shared" si="5"/>
        <v>2</v>
      </c>
      <c r="AF99" s="156"/>
      <c r="AG99" s="156"/>
      <c r="AH99" s="113">
        <f t="shared" si="6"/>
        <v>17</v>
      </c>
      <c r="AI99" s="157">
        <v>65</v>
      </c>
      <c r="AJ99" s="113">
        <f t="shared" si="7"/>
        <v>82</v>
      </c>
      <c r="AK99" s="113">
        <f t="shared" si="8"/>
        <v>82</v>
      </c>
      <c r="AL99" s="158">
        <f t="shared" si="9"/>
        <v>1.02</v>
      </c>
      <c r="AM99" s="159"/>
      <c r="AN99" s="160">
        <f t="shared" si="15"/>
        <v>1</v>
      </c>
      <c r="AO99" s="160">
        <f t="shared" si="15"/>
        <v>2</v>
      </c>
      <c r="AP99" s="133"/>
      <c r="AQ99" s="134"/>
      <c r="AR99" s="161"/>
      <c r="AS99" s="161"/>
      <c r="AT99" s="161"/>
      <c r="AU99" s="161"/>
      <c r="AV99" s="162"/>
      <c r="AW99" s="137">
        <f t="shared" si="11"/>
        <v>0</v>
      </c>
      <c r="AX99" s="137">
        <f t="shared" si="12"/>
        <v>0</v>
      </c>
    </row>
    <row r="100" ht="46.5" customHeight="1" spans="1:50" s="97" customFormat="1" x14ac:dyDescent="0.25">
      <c r="A100" s="100"/>
      <c r="B100" s="100"/>
      <c r="C100" s="100"/>
      <c r="D100" s="100"/>
      <c r="E100" s="100"/>
      <c r="F100" s="100"/>
      <c r="G100" s="103"/>
      <c r="H100" s="186"/>
      <c r="I100" s="195">
        <v>0.51</v>
      </c>
      <c r="J100" s="107">
        <v>0.49</v>
      </c>
      <c r="K100" s="107"/>
      <c r="L100" s="107"/>
      <c r="M100" s="187"/>
      <c r="N100" s="169">
        <f t="shared" si="14"/>
        <v>1</v>
      </c>
      <c r="O100" s="144">
        <v>1</v>
      </c>
      <c r="P100" s="145">
        <v>15</v>
      </c>
      <c r="Q100" s="113">
        <v>15</v>
      </c>
      <c r="R100" s="113"/>
      <c r="S100" s="113"/>
      <c r="T100" s="146"/>
      <c r="U100" s="148">
        <f t="shared" si="1"/>
        <v>15</v>
      </c>
      <c r="V100" s="149">
        <f t="shared" si="2"/>
        <v>15</v>
      </c>
      <c r="W100" s="189"/>
      <c r="X100" s="199"/>
      <c r="Y100" s="151"/>
      <c r="Z100" s="190"/>
      <c r="AA100" s="153"/>
      <c r="AB100" s="154">
        <f t="shared" si="3"/>
        <v>0</v>
      </c>
      <c r="AC100" s="149">
        <f t="shared" si="4"/>
        <v>0</v>
      </c>
      <c r="AD100" s="125">
        <v>2</v>
      </c>
      <c r="AE100" s="148">
        <f t="shared" si="5"/>
        <v>2</v>
      </c>
      <c r="AF100" s="156"/>
      <c r="AG100" s="156"/>
      <c r="AH100" s="113">
        <f t="shared" si="6"/>
        <v>17</v>
      </c>
      <c r="AI100" s="157">
        <v>65</v>
      </c>
      <c r="AJ100" s="113">
        <f t="shared" si="7"/>
        <v>82</v>
      </c>
      <c r="AK100" s="113">
        <f t="shared" si="8"/>
        <v>82</v>
      </c>
      <c r="AL100" s="158">
        <f t="shared" si="9"/>
        <v>1.02</v>
      </c>
      <c r="AM100" s="159"/>
      <c r="AN100" s="160">
        <f t="shared" si="15"/>
        <v>1</v>
      </c>
      <c r="AO100" s="160">
        <f t="shared" si="15"/>
        <v>2</v>
      </c>
      <c r="AP100" s="133"/>
      <c r="AQ100" s="134"/>
      <c r="AR100" s="161"/>
      <c r="AS100" s="161"/>
      <c r="AT100" s="161"/>
      <c r="AU100" s="161"/>
      <c r="AV100" s="162"/>
      <c r="AW100" s="137">
        <f t="shared" si="11"/>
        <v>0</v>
      </c>
      <c r="AX100" s="137">
        <f t="shared" si="12"/>
        <v>0</v>
      </c>
    </row>
    <row r="101" ht="46.5" customHeight="1" spans="1:50" s="97" customFormat="1" x14ac:dyDescent="0.25">
      <c r="A101" s="100"/>
      <c r="B101" s="100"/>
      <c r="C101" s="100"/>
      <c r="D101" s="100"/>
      <c r="E101" s="100"/>
      <c r="F101" s="100"/>
      <c r="G101" s="103"/>
      <c r="H101" s="186"/>
      <c r="I101" s="195">
        <v>0.51</v>
      </c>
      <c r="J101" s="107">
        <v>0.49</v>
      </c>
      <c r="K101" s="107"/>
      <c r="L101" s="107"/>
      <c r="M101" s="187"/>
      <c r="N101" s="169">
        <f t="shared" si="14"/>
        <v>1</v>
      </c>
      <c r="O101" s="144">
        <v>1</v>
      </c>
      <c r="P101" s="145">
        <v>15</v>
      </c>
      <c r="Q101" s="113">
        <v>15</v>
      </c>
      <c r="R101" s="113"/>
      <c r="S101" s="113"/>
      <c r="T101" s="146"/>
      <c r="U101" s="148">
        <f t="shared" si="1"/>
        <v>15</v>
      </c>
      <c r="V101" s="149">
        <f t="shared" si="2"/>
        <v>15</v>
      </c>
      <c r="W101" s="189"/>
      <c r="X101" s="199"/>
      <c r="Y101" s="151"/>
      <c r="Z101" s="190"/>
      <c r="AA101" s="153"/>
      <c r="AB101" s="154">
        <f t="shared" si="3"/>
        <v>0</v>
      </c>
      <c r="AC101" s="149">
        <f t="shared" si="4"/>
        <v>0</v>
      </c>
      <c r="AD101" s="125">
        <v>2</v>
      </c>
      <c r="AE101" s="148">
        <f t="shared" si="5"/>
        <v>2</v>
      </c>
      <c r="AF101" s="156"/>
      <c r="AG101" s="156"/>
      <c r="AH101" s="113">
        <f t="shared" si="6"/>
        <v>17</v>
      </c>
      <c r="AI101" s="157">
        <v>65</v>
      </c>
      <c r="AJ101" s="113">
        <f t="shared" si="7"/>
        <v>82</v>
      </c>
      <c r="AK101" s="113">
        <f t="shared" si="8"/>
        <v>82</v>
      </c>
      <c r="AL101" s="158">
        <f t="shared" si="9"/>
        <v>1.02</v>
      </c>
      <c r="AM101" s="159"/>
      <c r="AN101" s="160">
        <f t="shared" si="15"/>
        <v>1</v>
      </c>
      <c r="AO101" s="160">
        <f t="shared" si="15"/>
        <v>2</v>
      </c>
      <c r="AP101" s="133"/>
      <c r="AQ101" s="134"/>
      <c r="AR101" s="161"/>
      <c r="AS101" s="161"/>
      <c r="AT101" s="161"/>
      <c r="AU101" s="161"/>
      <c r="AV101" s="162"/>
      <c r="AW101" s="137">
        <f t="shared" si="11"/>
        <v>0</v>
      </c>
      <c r="AX101" s="137">
        <f t="shared" si="12"/>
        <v>0</v>
      </c>
    </row>
    <row r="102" ht="46.5" customHeight="1" spans="1:50" s="97" customFormat="1" x14ac:dyDescent="0.25">
      <c r="A102" s="100"/>
      <c r="B102" s="100"/>
      <c r="C102" s="100"/>
      <c r="D102" s="100"/>
      <c r="E102" s="100"/>
      <c r="F102" s="100"/>
      <c r="G102" s="103"/>
      <c r="H102" s="186"/>
      <c r="I102" s="195">
        <v>0.51</v>
      </c>
      <c r="J102" s="107">
        <v>0.49</v>
      </c>
      <c r="K102" s="107"/>
      <c r="L102" s="107"/>
      <c r="M102" s="187"/>
      <c r="N102" s="169">
        <f t="shared" si="14"/>
        <v>1</v>
      </c>
      <c r="O102" s="144">
        <v>1</v>
      </c>
      <c r="P102" s="145">
        <v>15</v>
      </c>
      <c r="Q102" s="113">
        <v>15</v>
      </c>
      <c r="R102" s="113"/>
      <c r="S102" s="113"/>
      <c r="T102" s="146"/>
      <c r="U102" s="148">
        <f t="shared" si="1"/>
        <v>15</v>
      </c>
      <c r="V102" s="149">
        <f t="shared" si="2"/>
        <v>15</v>
      </c>
      <c r="W102" s="189"/>
      <c r="X102" s="199"/>
      <c r="Y102" s="151"/>
      <c r="Z102" s="190"/>
      <c r="AA102" s="153"/>
      <c r="AB102" s="154">
        <f t="shared" si="3"/>
        <v>0</v>
      </c>
      <c r="AC102" s="149">
        <f t="shared" si="4"/>
        <v>0</v>
      </c>
      <c r="AD102" s="125">
        <v>2</v>
      </c>
      <c r="AE102" s="148">
        <f t="shared" si="5"/>
        <v>2</v>
      </c>
      <c r="AF102" s="156"/>
      <c r="AG102" s="156"/>
      <c r="AH102" s="113">
        <f t="shared" si="6"/>
        <v>17</v>
      </c>
      <c r="AI102" s="157">
        <v>65</v>
      </c>
      <c r="AJ102" s="113">
        <f t="shared" si="7"/>
        <v>82</v>
      </c>
      <c r="AK102" s="113">
        <f t="shared" si="8"/>
        <v>82</v>
      </c>
      <c r="AL102" s="158">
        <f t="shared" si="9"/>
        <v>1.02</v>
      </c>
      <c r="AM102" s="159"/>
      <c r="AN102" s="160">
        <f t="shared" si="15"/>
        <v>1</v>
      </c>
      <c r="AO102" s="160">
        <f t="shared" si="15"/>
        <v>2</v>
      </c>
      <c r="AP102" s="133"/>
      <c r="AQ102" s="134"/>
      <c r="AR102" s="161"/>
      <c r="AS102" s="161"/>
      <c r="AT102" s="161"/>
      <c r="AU102" s="161"/>
      <c r="AV102" s="162"/>
      <c r="AW102" s="137">
        <f t="shared" si="11"/>
        <v>0</v>
      </c>
      <c r="AX102" s="137">
        <f t="shared" si="12"/>
        <v>0</v>
      </c>
    </row>
    <row r="103" ht="46.5" customHeight="1" spans="1:50" s="97" customFormat="1" x14ac:dyDescent="0.25">
      <c r="A103" s="100"/>
      <c r="B103" s="100"/>
      <c r="C103" s="100"/>
      <c r="D103" s="100"/>
      <c r="E103" s="100"/>
      <c r="F103" s="100"/>
      <c r="G103" s="103"/>
      <c r="H103" s="186"/>
      <c r="I103" s="195">
        <v>0.51</v>
      </c>
      <c r="J103" s="107">
        <v>0.49</v>
      </c>
      <c r="K103" s="107"/>
      <c r="L103" s="107"/>
      <c r="M103" s="187"/>
      <c r="N103" s="169">
        <f t="shared" si="14"/>
        <v>1</v>
      </c>
      <c r="O103" s="144">
        <v>1</v>
      </c>
      <c r="P103" s="145">
        <v>15</v>
      </c>
      <c r="Q103" s="113">
        <v>15</v>
      </c>
      <c r="R103" s="113"/>
      <c r="S103" s="113"/>
      <c r="T103" s="146"/>
      <c r="U103" s="148">
        <f t="shared" si="1"/>
        <v>15</v>
      </c>
      <c r="V103" s="149">
        <f t="shared" si="2"/>
        <v>15</v>
      </c>
      <c r="W103" s="189"/>
      <c r="X103" s="199"/>
      <c r="Y103" s="151"/>
      <c r="Z103" s="190"/>
      <c r="AA103" s="153"/>
      <c r="AB103" s="154">
        <f t="shared" si="3"/>
        <v>0</v>
      </c>
      <c r="AC103" s="149">
        <f t="shared" si="4"/>
        <v>0</v>
      </c>
      <c r="AD103" s="125">
        <v>2</v>
      </c>
      <c r="AE103" s="148">
        <f t="shared" si="5"/>
        <v>2</v>
      </c>
      <c r="AF103" s="156"/>
      <c r="AG103" s="156"/>
      <c r="AH103" s="113">
        <f t="shared" si="6"/>
        <v>17</v>
      </c>
      <c r="AI103" s="157">
        <v>65</v>
      </c>
      <c r="AJ103" s="113">
        <f t="shared" si="7"/>
        <v>82</v>
      </c>
      <c r="AK103" s="113">
        <f t="shared" si="8"/>
        <v>82</v>
      </c>
      <c r="AL103" s="158">
        <f t="shared" si="9"/>
        <v>1.02</v>
      </c>
      <c r="AM103" s="159"/>
      <c r="AN103" s="160">
        <f t="shared" ref="AN103:AO122" si="16">100%+AM103</f>
        <v>1</v>
      </c>
      <c r="AO103" s="160">
        <f t="shared" si="16"/>
        <v>2</v>
      </c>
      <c r="AP103" s="133"/>
      <c r="AQ103" s="134"/>
      <c r="AR103" s="161"/>
      <c r="AS103" s="161"/>
      <c r="AT103" s="161"/>
      <c r="AU103" s="161"/>
      <c r="AV103" s="162"/>
      <c r="AW103" s="137">
        <f t="shared" si="11"/>
        <v>0</v>
      </c>
      <c r="AX103" s="137">
        <f t="shared" si="12"/>
        <v>0</v>
      </c>
    </row>
    <row r="104" ht="64.5" customHeight="1" spans="1:50" s="56" customFormat="1" x14ac:dyDescent="0.25">
      <c r="A104" s="100"/>
      <c r="B104" s="100"/>
      <c r="C104" s="100"/>
      <c r="D104" s="100"/>
      <c r="E104" s="100"/>
      <c r="F104" s="100"/>
      <c r="G104" s="103"/>
      <c r="H104" s="186"/>
      <c r="I104" s="195">
        <v>0.51</v>
      </c>
      <c r="J104" s="107">
        <v>0.49</v>
      </c>
      <c r="K104" s="107"/>
      <c r="L104" s="107"/>
      <c r="M104" s="187"/>
      <c r="N104" s="169">
        <f t="shared" si="14"/>
        <v>1</v>
      </c>
      <c r="O104" s="144">
        <v>1</v>
      </c>
      <c r="P104" s="145">
        <v>15</v>
      </c>
      <c r="Q104" s="113">
        <v>15</v>
      </c>
      <c r="R104" s="113"/>
      <c r="S104" s="113"/>
      <c r="T104" s="146"/>
      <c r="U104" s="148">
        <f t="shared" si="1"/>
        <v>15</v>
      </c>
      <c r="V104" s="149">
        <f t="shared" si="2"/>
        <v>15</v>
      </c>
      <c r="W104" s="189"/>
      <c r="X104" s="199"/>
      <c r="Y104" s="151"/>
      <c r="Z104" s="190"/>
      <c r="AA104" s="153"/>
      <c r="AB104" s="154">
        <f t="shared" si="3"/>
        <v>0</v>
      </c>
      <c r="AC104" s="149">
        <f t="shared" si="4"/>
        <v>0</v>
      </c>
      <c r="AD104" s="125">
        <v>2</v>
      </c>
      <c r="AE104" s="148">
        <f t="shared" si="5"/>
        <v>2</v>
      </c>
      <c r="AF104" s="156"/>
      <c r="AG104" s="156"/>
      <c r="AH104" s="113">
        <f t="shared" si="6"/>
        <v>17</v>
      </c>
      <c r="AI104" s="157">
        <v>65</v>
      </c>
      <c r="AJ104" s="113">
        <f t="shared" si="7"/>
        <v>82</v>
      </c>
      <c r="AK104" s="113">
        <f t="shared" si="8"/>
        <v>82</v>
      </c>
      <c r="AL104" s="158">
        <f t="shared" si="9"/>
        <v>1.02</v>
      </c>
      <c r="AM104" s="159"/>
      <c r="AN104" s="160">
        <f t="shared" si="16"/>
        <v>1</v>
      </c>
      <c r="AO104" s="160">
        <f t="shared" si="16"/>
        <v>2</v>
      </c>
      <c r="AP104" s="133"/>
      <c r="AQ104" s="134"/>
      <c r="AR104" s="161"/>
      <c r="AS104" s="161"/>
      <c r="AT104" s="161"/>
      <c r="AU104" s="161"/>
      <c r="AV104" s="162"/>
      <c r="AW104" s="137">
        <f t="shared" si="11"/>
        <v>0</v>
      </c>
      <c r="AX104" s="137">
        <f t="shared" si="12"/>
        <v>0</v>
      </c>
    </row>
    <row r="105" ht="46.5" customHeight="1" spans="1:50" s="97" customFormat="1" x14ac:dyDescent="0.25">
      <c r="A105" s="100"/>
      <c r="B105" s="100"/>
      <c r="C105" s="100"/>
      <c r="D105" s="100"/>
      <c r="E105" s="100"/>
      <c r="F105" s="100"/>
      <c r="G105" s="103"/>
      <c r="H105" s="186"/>
      <c r="I105" s="195">
        <v>0.51</v>
      </c>
      <c r="J105" s="107">
        <v>0.49</v>
      </c>
      <c r="K105" s="107"/>
      <c r="L105" s="107"/>
      <c r="M105" s="187"/>
      <c r="N105" s="169">
        <f t="shared" si="14"/>
        <v>1</v>
      </c>
      <c r="O105" s="144">
        <v>1</v>
      </c>
      <c r="P105" s="145">
        <v>15</v>
      </c>
      <c r="Q105" s="113">
        <v>15</v>
      </c>
      <c r="R105" s="113"/>
      <c r="S105" s="113"/>
      <c r="T105" s="146"/>
      <c r="U105" s="148">
        <f t="shared" si="1"/>
        <v>15</v>
      </c>
      <c r="V105" s="149">
        <f t="shared" si="2"/>
        <v>15</v>
      </c>
      <c r="W105" s="189"/>
      <c r="X105" s="199"/>
      <c r="Y105" s="151"/>
      <c r="Z105" s="190"/>
      <c r="AA105" s="153"/>
      <c r="AB105" s="154">
        <f t="shared" si="3"/>
        <v>0</v>
      </c>
      <c r="AC105" s="149">
        <f t="shared" si="4"/>
        <v>0</v>
      </c>
      <c r="AD105" s="125">
        <v>2</v>
      </c>
      <c r="AE105" s="148">
        <f t="shared" si="5"/>
        <v>2</v>
      </c>
      <c r="AF105" s="156"/>
      <c r="AG105" s="156"/>
      <c r="AH105" s="113">
        <f t="shared" si="6"/>
        <v>17</v>
      </c>
      <c r="AI105" s="157">
        <v>65</v>
      </c>
      <c r="AJ105" s="113">
        <f t="shared" si="7"/>
        <v>82</v>
      </c>
      <c r="AK105" s="113">
        <f t="shared" si="8"/>
        <v>82</v>
      </c>
      <c r="AL105" s="158">
        <f t="shared" si="9"/>
        <v>1.02</v>
      </c>
      <c r="AM105" s="159"/>
      <c r="AN105" s="160">
        <f t="shared" si="16"/>
        <v>1</v>
      </c>
      <c r="AO105" s="160">
        <f t="shared" si="16"/>
        <v>2</v>
      </c>
      <c r="AP105" s="133"/>
      <c r="AQ105" s="134"/>
      <c r="AR105" s="161"/>
      <c r="AS105" s="161"/>
      <c r="AT105" s="161"/>
      <c r="AU105" s="161"/>
      <c r="AV105" s="162"/>
      <c r="AW105" s="137">
        <f t="shared" si="11"/>
        <v>0</v>
      </c>
      <c r="AX105" s="137">
        <f t="shared" si="12"/>
        <v>0</v>
      </c>
    </row>
    <row r="106" ht="46.5" customHeight="1" spans="1:50" s="97" customFormat="1" x14ac:dyDescent="0.25">
      <c r="A106" s="100"/>
      <c r="B106" s="100"/>
      <c r="C106" s="100"/>
      <c r="D106" s="100"/>
      <c r="E106" s="100"/>
      <c r="F106" s="100"/>
      <c r="G106" s="103"/>
      <c r="H106" s="186"/>
      <c r="I106" s="195">
        <v>0.51</v>
      </c>
      <c r="J106" s="107">
        <v>0.49</v>
      </c>
      <c r="K106" s="107"/>
      <c r="L106" s="107"/>
      <c r="M106" s="187"/>
      <c r="N106" s="169">
        <f t="shared" si="14"/>
        <v>1</v>
      </c>
      <c r="O106" s="144">
        <v>1</v>
      </c>
      <c r="P106" s="145">
        <v>15</v>
      </c>
      <c r="Q106" s="113">
        <v>15</v>
      </c>
      <c r="R106" s="113"/>
      <c r="S106" s="113"/>
      <c r="T106" s="146"/>
      <c r="U106" s="148">
        <f t="shared" si="1"/>
        <v>15</v>
      </c>
      <c r="V106" s="149">
        <f t="shared" si="2"/>
        <v>15</v>
      </c>
      <c r="W106" s="189"/>
      <c r="X106" s="199"/>
      <c r="Y106" s="151"/>
      <c r="Z106" s="190"/>
      <c r="AA106" s="153"/>
      <c r="AB106" s="154">
        <f t="shared" si="3"/>
        <v>0</v>
      </c>
      <c r="AC106" s="149">
        <f t="shared" si="4"/>
        <v>0</v>
      </c>
      <c r="AD106" s="125">
        <v>2</v>
      </c>
      <c r="AE106" s="148">
        <f t="shared" si="5"/>
        <v>2</v>
      </c>
      <c r="AF106" s="156"/>
      <c r="AG106" s="156"/>
      <c r="AH106" s="113">
        <f t="shared" si="6"/>
        <v>17</v>
      </c>
      <c r="AI106" s="157">
        <v>65</v>
      </c>
      <c r="AJ106" s="113">
        <f t="shared" si="7"/>
        <v>82</v>
      </c>
      <c r="AK106" s="113">
        <f t="shared" si="8"/>
        <v>82</v>
      </c>
      <c r="AL106" s="158">
        <f t="shared" si="9"/>
        <v>1.02</v>
      </c>
      <c r="AM106" s="159"/>
      <c r="AN106" s="160">
        <f t="shared" si="16"/>
        <v>1</v>
      </c>
      <c r="AO106" s="160">
        <f t="shared" si="16"/>
        <v>2</v>
      </c>
      <c r="AP106" s="133"/>
      <c r="AQ106" s="134"/>
      <c r="AR106" s="161"/>
      <c r="AS106" s="161"/>
      <c r="AT106" s="161"/>
      <c r="AU106" s="161"/>
      <c r="AV106" s="162"/>
      <c r="AW106" s="137">
        <f t="shared" si="11"/>
        <v>0</v>
      </c>
      <c r="AX106" s="137">
        <f t="shared" si="12"/>
        <v>0</v>
      </c>
    </row>
    <row r="107" ht="46.5" customHeight="1" spans="1:50" s="97" customFormat="1" x14ac:dyDescent="0.25">
      <c r="A107" s="100"/>
      <c r="B107" s="100"/>
      <c r="C107" s="100"/>
      <c r="D107" s="100"/>
      <c r="E107" s="100"/>
      <c r="F107" s="100"/>
      <c r="G107" s="103"/>
      <c r="H107" s="186"/>
      <c r="I107" s="195">
        <v>0.51</v>
      </c>
      <c r="J107" s="107">
        <v>0.49</v>
      </c>
      <c r="K107" s="107"/>
      <c r="L107" s="107"/>
      <c r="M107" s="187"/>
      <c r="N107" s="169">
        <f t="shared" ref="N107:N138" si="17">SUM(I107:M107)</f>
        <v>1</v>
      </c>
      <c r="O107" s="144">
        <v>1</v>
      </c>
      <c r="P107" s="145">
        <v>15</v>
      </c>
      <c r="Q107" s="113">
        <v>15</v>
      </c>
      <c r="R107" s="113"/>
      <c r="S107" s="113"/>
      <c r="T107" s="146"/>
      <c r="U107" s="148">
        <f t="shared" ref="U107:U142" si="18">ROUND(((P107*I107)+(Q107*J107)+(R107*K107)+(S107*L107)+(T107*M107))*O107,2)</f>
        <v>15</v>
      </c>
      <c r="V107" s="149">
        <f t="shared" ref="V107:V142" si="19">IF(U107&gt;=15,15,U107)</f>
        <v>15</v>
      </c>
      <c r="W107" s="189"/>
      <c r="X107" s="199"/>
      <c r="Y107" s="151"/>
      <c r="Z107" s="190"/>
      <c r="AA107" s="153"/>
      <c r="AB107" s="154">
        <f t="shared" ref="AB107:AB142" si="20">ROUND((((W107*I107)+(X107*J107)+(Y107*K107)+(Z107*L107)+(AA107*M107))/$I$2),2)*13</f>
        <v>0</v>
      </c>
      <c r="AC107" s="149">
        <f t="shared" ref="AC107:AC142" si="21">IF(AB107&gt;=13,13,AB107)</f>
        <v>0</v>
      </c>
      <c r="AD107" s="125">
        <v>2</v>
      </c>
      <c r="AE107" s="148">
        <f t="shared" ref="AE107:AE142" si="22">IF((AC107+AD107)&gt;=15,15,(AC107+AD107))</f>
        <v>2</v>
      </c>
      <c r="AF107" s="156"/>
      <c r="AG107" s="156"/>
      <c r="AH107" s="113">
        <f t="shared" ref="AH107:AH142" si="23">IF((V107+AE107+AF107)&gt;=30,30,(V107+AE107+AF107))</f>
        <v>17</v>
      </c>
      <c r="AI107" s="157">
        <v>65</v>
      </c>
      <c r="AJ107" s="113">
        <f t="shared" ref="AJ107:AJ142" si="24">V107+AE107+AF107+AI107+AG107</f>
        <v>82</v>
      </c>
      <c r="AK107" s="113">
        <f t="shared" ref="AK107:AK142" si="25">IF(AH107+AI107+AG107&gt;=95,95,AH107+AI107+AG107)</f>
        <v>82</v>
      </c>
      <c r="AL107" s="158">
        <f t="shared" ref="AL107:AL142" si="26">-((50-((176+(45+(50-AH107)))))/200)</f>
        <v>1.02</v>
      </c>
      <c r="AM107" s="159"/>
      <c r="AN107" s="160">
        <f t="shared" si="16"/>
        <v>1</v>
      </c>
      <c r="AO107" s="160">
        <f t="shared" si="16"/>
        <v>2</v>
      </c>
      <c r="AP107" s="133"/>
      <c r="AQ107" s="134"/>
      <c r="AR107" s="161"/>
      <c r="AS107" s="161"/>
      <c r="AT107" s="161"/>
      <c r="AU107" s="161"/>
      <c r="AV107" s="162"/>
      <c r="AW107" s="137">
        <f t="shared" ref="AW107:AW142" si="27">AR107+AS107+AT107+AU107+AV107</f>
        <v>0</v>
      </c>
      <c r="AX107" s="137">
        <f t="shared" ref="AX107:AX142" si="28">(AR107*I107)+(AS107*J107)+(AT107*K107)+(AU107*L107)+(AV107*M107)</f>
        <v>0</v>
      </c>
    </row>
    <row r="108" ht="47.25" customHeight="1" spans="1:50" s="97" customFormat="1" x14ac:dyDescent="0.25">
      <c r="A108" s="100"/>
      <c r="B108" s="100"/>
      <c r="C108" s="100"/>
      <c r="D108" s="100"/>
      <c r="E108" s="100"/>
      <c r="F108" s="100"/>
      <c r="G108" s="103"/>
      <c r="H108" s="186"/>
      <c r="I108" s="195">
        <v>0.51</v>
      </c>
      <c r="J108" s="107">
        <v>0.49</v>
      </c>
      <c r="K108" s="107"/>
      <c r="L108" s="107"/>
      <c r="M108" s="187"/>
      <c r="N108" s="169">
        <f t="shared" si="17"/>
        <v>1</v>
      </c>
      <c r="O108" s="144">
        <v>1</v>
      </c>
      <c r="P108" s="145">
        <v>15</v>
      </c>
      <c r="Q108" s="113">
        <v>15</v>
      </c>
      <c r="R108" s="113"/>
      <c r="S108" s="113"/>
      <c r="T108" s="146"/>
      <c r="U108" s="148">
        <f t="shared" si="18"/>
        <v>15</v>
      </c>
      <c r="V108" s="149">
        <f t="shared" si="19"/>
        <v>15</v>
      </c>
      <c r="W108" s="189"/>
      <c r="X108" s="199"/>
      <c r="Y108" s="151"/>
      <c r="Z108" s="190"/>
      <c r="AA108" s="153"/>
      <c r="AB108" s="154">
        <f t="shared" si="20"/>
        <v>0</v>
      </c>
      <c r="AC108" s="149">
        <f t="shared" si="21"/>
        <v>0</v>
      </c>
      <c r="AD108" s="125">
        <v>2</v>
      </c>
      <c r="AE108" s="148">
        <f t="shared" si="22"/>
        <v>2</v>
      </c>
      <c r="AF108" s="156"/>
      <c r="AG108" s="156"/>
      <c r="AH108" s="113">
        <f t="shared" si="23"/>
        <v>17</v>
      </c>
      <c r="AI108" s="157">
        <v>65</v>
      </c>
      <c r="AJ108" s="113">
        <f t="shared" si="24"/>
        <v>82</v>
      </c>
      <c r="AK108" s="113">
        <f t="shared" si="25"/>
        <v>82</v>
      </c>
      <c r="AL108" s="158">
        <f t="shared" si="26"/>
        <v>1.02</v>
      </c>
      <c r="AM108" s="159"/>
      <c r="AN108" s="160">
        <f t="shared" si="16"/>
        <v>1</v>
      </c>
      <c r="AO108" s="160">
        <f t="shared" si="16"/>
        <v>2</v>
      </c>
      <c r="AP108" s="133"/>
      <c r="AQ108" s="134"/>
      <c r="AR108" s="161"/>
      <c r="AS108" s="161"/>
      <c r="AT108" s="161"/>
      <c r="AU108" s="161"/>
      <c r="AV108" s="162"/>
      <c r="AW108" s="137">
        <f t="shared" si="27"/>
        <v>0</v>
      </c>
      <c r="AX108" s="137">
        <f t="shared" si="28"/>
        <v>0</v>
      </c>
    </row>
    <row r="109" ht="46.5" customHeight="1" spans="1:50" s="97" customFormat="1" x14ac:dyDescent="0.25">
      <c r="A109" s="100"/>
      <c r="B109" s="100"/>
      <c r="C109" s="100"/>
      <c r="D109" s="100"/>
      <c r="E109" s="100"/>
      <c r="F109" s="100"/>
      <c r="G109" s="103"/>
      <c r="H109" s="186"/>
      <c r="I109" s="195">
        <v>0.51</v>
      </c>
      <c r="J109" s="107">
        <v>0.49</v>
      </c>
      <c r="K109" s="107"/>
      <c r="L109" s="107"/>
      <c r="M109" s="187"/>
      <c r="N109" s="169">
        <f t="shared" si="17"/>
        <v>1</v>
      </c>
      <c r="O109" s="144">
        <v>1</v>
      </c>
      <c r="P109" s="145">
        <v>15</v>
      </c>
      <c r="Q109" s="113">
        <v>15</v>
      </c>
      <c r="R109" s="113"/>
      <c r="S109" s="113"/>
      <c r="T109" s="146"/>
      <c r="U109" s="148">
        <f t="shared" si="18"/>
        <v>15</v>
      </c>
      <c r="V109" s="149">
        <f t="shared" si="19"/>
        <v>15</v>
      </c>
      <c r="W109" s="189"/>
      <c r="X109" s="199"/>
      <c r="Y109" s="151"/>
      <c r="Z109" s="190"/>
      <c r="AA109" s="153"/>
      <c r="AB109" s="154">
        <f t="shared" si="20"/>
        <v>0</v>
      </c>
      <c r="AC109" s="149">
        <f t="shared" si="21"/>
        <v>0</v>
      </c>
      <c r="AD109" s="125">
        <v>2</v>
      </c>
      <c r="AE109" s="148">
        <f t="shared" si="22"/>
        <v>2</v>
      </c>
      <c r="AF109" s="156"/>
      <c r="AG109" s="156"/>
      <c r="AH109" s="113">
        <f t="shared" si="23"/>
        <v>17</v>
      </c>
      <c r="AI109" s="157">
        <v>65</v>
      </c>
      <c r="AJ109" s="113">
        <f t="shared" si="24"/>
        <v>82</v>
      </c>
      <c r="AK109" s="113">
        <f t="shared" si="25"/>
        <v>82</v>
      </c>
      <c r="AL109" s="158">
        <f t="shared" si="26"/>
        <v>1.02</v>
      </c>
      <c r="AM109" s="159"/>
      <c r="AN109" s="160">
        <f t="shared" si="16"/>
        <v>1</v>
      </c>
      <c r="AO109" s="160">
        <f t="shared" si="16"/>
        <v>2</v>
      </c>
      <c r="AP109" s="133"/>
      <c r="AQ109" s="134"/>
      <c r="AR109" s="161"/>
      <c r="AS109" s="161"/>
      <c r="AT109" s="161"/>
      <c r="AU109" s="161"/>
      <c r="AV109" s="162"/>
      <c r="AW109" s="137">
        <f t="shared" si="27"/>
        <v>0</v>
      </c>
      <c r="AX109" s="137">
        <f t="shared" si="28"/>
        <v>0</v>
      </c>
    </row>
    <row r="110" ht="46.5" customHeight="1" spans="1:50" s="97" customFormat="1" x14ac:dyDescent="0.25">
      <c r="A110" s="100"/>
      <c r="B110" s="100"/>
      <c r="C110" s="100"/>
      <c r="D110" s="100"/>
      <c r="E110" s="100"/>
      <c r="F110" s="100"/>
      <c r="G110" s="103"/>
      <c r="H110" s="186"/>
      <c r="I110" s="195">
        <v>0.51</v>
      </c>
      <c r="J110" s="107">
        <v>0.49</v>
      </c>
      <c r="K110" s="107"/>
      <c r="L110" s="107"/>
      <c r="M110" s="187"/>
      <c r="N110" s="169">
        <f t="shared" si="17"/>
        <v>1</v>
      </c>
      <c r="O110" s="144">
        <v>1</v>
      </c>
      <c r="P110" s="145">
        <v>15</v>
      </c>
      <c r="Q110" s="113">
        <v>15</v>
      </c>
      <c r="R110" s="113"/>
      <c r="S110" s="113"/>
      <c r="T110" s="146"/>
      <c r="U110" s="148">
        <f t="shared" si="18"/>
        <v>15</v>
      </c>
      <c r="V110" s="149">
        <f t="shared" si="19"/>
        <v>15</v>
      </c>
      <c r="W110" s="189"/>
      <c r="X110" s="199"/>
      <c r="Y110" s="151"/>
      <c r="Z110" s="190"/>
      <c r="AA110" s="153"/>
      <c r="AB110" s="154">
        <f t="shared" si="20"/>
        <v>0</v>
      </c>
      <c r="AC110" s="149">
        <f t="shared" si="21"/>
        <v>0</v>
      </c>
      <c r="AD110" s="125">
        <v>2</v>
      </c>
      <c r="AE110" s="148">
        <f t="shared" si="22"/>
        <v>2</v>
      </c>
      <c r="AF110" s="156"/>
      <c r="AG110" s="156"/>
      <c r="AH110" s="113">
        <f t="shared" si="23"/>
        <v>17</v>
      </c>
      <c r="AI110" s="157">
        <v>65</v>
      </c>
      <c r="AJ110" s="113">
        <f t="shared" si="24"/>
        <v>82</v>
      </c>
      <c r="AK110" s="113">
        <f t="shared" si="25"/>
        <v>82</v>
      </c>
      <c r="AL110" s="158">
        <f t="shared" si="26"/>
        <v>1.02</v>
      </c>
      <c r="AM110" s="159"/>
      <c r="AN110" s="160">
        <f t="shared" si="16"/>
        <v>1</v>
      </c>
      <c r="AO110" s="160">
        <f t="shared" si="16"/>
        <v>2</v>
      </c>
      <c r="AP110" s="133"/>
      <c r="AQ110" s="134"/>
      <c r="AR110" s="161"/>
      <c r="AS110" s="161"/>
      <c r="AT110" s="161"/>
      <c r="AU110" s="161"/>
      <c r="AV110" s="162"/>
      <c r="AW110" s="137">
        <f t="shared" si="27"/>
        <v>0</v>
      </c>
      <c r="AX110" s="137">
        <f t="shared" si="28"/>
        <v>0</v>
      </c>
    </row>
    <row r="111" ht="46.5" customHeight="1" spans="1:50" s="97" customFormat="1" x14ac:dyDescent="0.25">
      <c r="A111" s="100"/>
      <c r="B111" s="100"/>
      <c r="C111" s="100"/>
      <c r="D111" s="100"/>
      <c r="E111" s="100"/>
      <c r="F111" s="100"/>
      <c r="G111" s="103"/>
      <c r="H111" s="186"/>
      <c r="I111" s="195">
        <v>0.51</v>
      </c>
      <c r="J111" s="107">
        <v>0.49</v>
      </c>
      <c r="K111" s="107"/>
      <c r="L111" s="107"/>
      <c r="M111" s="187"/>
      <c r="N111" s="169">
        <f t="shared" si="17"/>
        <v>1</v>
      </c>
      <c r="O111" s="144">
        <v>1</v>
      </c>
      <c r="P111" s="145">
        <v>15</v>
      </c>
      <c r="Q111" s="113">
        <v>15</v>
      </c>
      <c r="R111" s="113"/>
      <c r="S111" s="113"/>
      <c r="T111" s="146"/>
      <c r="U111" s="148">
        <f t="shared" si="18"/>
        <v>15</v>
      </c>
      <c r="V111" s="149">
        <f t="shared" si="19"/>
        <v>15</v>
      </c>
      <c r="W111" s="189"/>
      <c r="X111" s="199"/>
      <c r="Y111" s="151"/>
      <c r="Z111" s="190"/>
      <c r="AA111" s="153"/>
      <c r="AB111" s="154">
        <f t="shared" si="20"/>
        <v>0</v>
      </c>
      <c r="AC111" s="149">
        <f t="shared" si="21"/>
        <v>0</v>
      </c>
      <c r="AD111" s="125">
        <v>2</v>
      </c>
      <c r="AE111" s="148">
        <f t="shared" si="22"/>
        <v>2</v>
      </c>
      <c r="AF111" s="156"/>
      <c r="AG111" s="156"/>
      <c r="AH111" s="113">
        <f t="shared" si="23"/>
        <v>17</v>
      </c>
      <c r="AI111" s="157">
        <v>65</v>
      </c>
      <c r="AJ111" s="113">
        <f t="shared" si="24"/>
        <v>82</v>
      </c>
      <c r="AK111" s="113">
        <f t="shared" si="25"/>
        <v>82</v>
      </c>
      <c r="AL111" s="158">
        <f t="shared" si="26"/>
        <v>1.02</v>
      </c>
      <c r="AM111" s="159"/>
      <c r="AN111" s="160">
        <f t="shared" si="16"/>
        <v>1</v>
      </c>
      <c r="AO111" s="160">
        <f t="shared" si="16"/>
        <v>2</v>
      </c>
      <c r="AP111" s="133"/>
      <c r="AQ111" s="134"/>
      <c r="AR111" s="161"/>
      <c r="AS111" s="161"/>
      <c r="AT111" s="161"/>
      <c r="AU111" s="161"/>
      <c r="AV111" s="162"/>
      <c r="AW111" s="137">
        <f t="shared" si="27"/>
        <v>0</v>
      </c>
      <c r="AX111" s="137">
        <f t="shared" si="28"/>
        <v>0</v>
      </c>
    </row>
    <row r="112" ht="46.5" customHeight="1" spans="1:50" s="97" customFormat="1" x14ac:dyDescent="0.25">
      <c r="A112" s="100"/>
      <c r="B112" s="100"/>
      <c r="C112" s="100"/>
      <c r="D112" s="100"/>
      <c r="E112" s="100"/>
      <c r="F112" s="100"/>
      <c r="G112" s="103"/>
      <c r="H112" s="186"/>
      <c r="I112" s="195">
        <v>0.51</v>
      </c>
      <c r="J112" s="107">
        <v>0.49</v>
      </c>
      <c r="K112" s="107"/>
      <c r="L112" s="107"/>
      <c r="M112" s="187"/>
      <c r="N112" s="169">
        <f t="shared" si="17"/>
        <v>1</v>
      </c>
      <c r="O112" s="144">
        <v>1</v>
      </c>
      <c r="P112" s="145">
        <v>15</v>
      </c>
      <c r="Q112" s="113">
        <v>15</v>
      </c>
      <c r="R112" s="113"/>
      <c r="S112" s="113"/>
      <c r="T112" s="146"/>
      <c r="U112" s="148">
        <f t="shared" si="18"/>
        <v>15</v>
      </c>
      <c r="V112" s="149">
        <f t="shared" si="19"/>
        <v>15</v>
      </c>
      <c r="W112" s="189"/>
      <c r="X112" s="199"/>
      <c r="Y112" s="151"/>
      <c r="Z112" s="190"/>
      <c r="AA112" s="153"/>
      <c r="AB112" s="154">
        <f t="shared" si="20"/>
        <v>0</v>
      </c>
      <c r="AC112" s="149">
        <f t="shared" si="21"/>
        <v>0</v>
      </c>
      <c r="AD112" s="125">
        <v>2</v>
      </c>
      <c r="AE112" s="148">
        <f t="shared" si="22"/>
        <v>2</v>
      </c>
      <c r="AF112" s="156"/>
      <c r="AG112" s="156"/>
      <c r="AH112" s="113">
        <f t="shared" si="23"/>
        <v>17</v>
      </c>
      <c r="AI112" s="157">
        <v>65</v>
      </c>
      <c r="AJ112" s="113">
        <f t="shared" si="24"/>
        <v>82</v>
      </c>
      <c r="AK112" s="113">
        <f t="shared" si="25"/>
        <v>82</v>
      </c>
      <c r="AL112" s="158">
        <f t="shared" si="26"/>
        <v>1.02</v>
      </c>
      <c r="AM112" s="159"/>
      <c r="AN112" s="160">
        <f t="shared" si="16"/>
        <v>1</v>
      </c>
      <c r="AO112" s="160">
        <f t="shared" si="16"/>
        <v>2</v>
      </c>
      <c r="AP112" s="133"/>
      <c r="AQ112" s="134"/>
      <c r="AR112" s="161"/>
      <c r="AS112" s="161"/>
      <c r="AT112" s="161"/>
      <c r="AU112" s="161"/>
      <c r="AV112" s="162"/>
      <c r="AW112" s="137">
        <f t="shared" si="27"/>
        <v>0</v>
      </c>
      <c r="AX112" s="137">
        <f t="shared" si="28"/>
        <v>0</v>
      </c>
    </row>
    <row r="113" ht="47.25" customHeight="1" spans="1:50" s="56" customFormat="1" x14ac:dyDescent="0.25">
      <c r="A113" s="100"/>
      <c r="B113" s="100"/>
      <c r="C113" s="100"/>
      <c r="D113" s="100"/>
      <c r="E113" s="100"/>
      <c r="F113" s="100"/>
      <c r="G113" s="103"/>
      <c r="H113" s="186"/>
      <c r="I113" s="195">
        <v>0.51</v>
      </c>
      <c r="J113" s="107">
        <v>0.49</v>
      </c>
      <c r="K113" s="107"/>
      <c r="L113" s="107"/>
      <c r="M113" s="187"/>
      <c r="N113" s="169">
        <f t="shared" si="17"/>
        <v>1</v>
      </c>
      <c r="O113" s="144">
        <v>1</v>
      </c>
      <c r="P113" s="145">
        <v>15</v>
      </c>
      <c r="Q113" s="113">
        <v>15</v>
      </c>
      <c r="R113" s="113"/>
      <c r="S113" s="113"/>
      <c r="T113" s="146"/>
      <c r="U113" s="148">
        <f t="shared" si="18"/>
        <v>15</v>
      </c>
      <c r="V113" s="149">
        <f t="shared" si="19"/>
        <v>15</v>
      </c>
      <c r="W113" s="189"/>
      <c r="X113" s="199"/>
      <c r="Y113" s="151"/>
      <c r="Z113" s="190"/>
      <c r="AA113" s="153"/>
      <c r="AB113" s="154">
        <f t="shared" si="20"/>
        <v>0</v>
      </c>
      <c r="AC113" s="149">
        <f t="shared" si="21"/>
        <v>0</v>
      </c>
      <c r="AD113" s="125">
        <v>2</v>
      </c>
      <c r="AE113" s="148">
        <f t="shared" si="22"/>
        <v>2</v>
      </c>
      <c r="AF113" s="156"/>
      <c r="AG113" s="156"/>
      <c r="AH113" s="113">
        <f t="shared" si="23"/>
        <v>17</v>
      </c>
      <c r="AI113" s="157">
        <v>65</v>
      </c>
      <c r="AJ113" s="113">
        <f t="shared" si="24"/>
        <v>82</v>
      </c>
      <c r="AK113" s="113">
        <f t="shared" si="25"/>
        <v>82</v>
      </c>
      <c r="AL113" s="158">
        <f t="shared" si="26"/>
        <v>1.02</v>
      </c>
      <c r="AM113" s="159"/>
      <c r="AN113" s="160">
        <f t="shared" si="16"/>
        <v>1</v>
      </c>
      <c r="AO113" s="160">
        <f t="shared" si="16"/>
        <v>2</v>
      </c>
      <c r="AP113" s="133"/>
      <c r="AQ113" s="134"/>
      <c r="AR113" s="161"/>
      <c r="AS113" s="161"/>
      <c r="AT113" s="161"/>
      <c r="AU113" s="161"/>
      <c r="AV113" s="162"/>
      <c r="AW113" s="137">
        <f t="shared" si="27"/>
        <v>0</v>
      </c>
      <c r="AX113" s="137">
        <f t="shared" si="28"/>
        <v>0</v>
      </c>
    </row>
    <row r="114" ht="57" customHeight="1" spans="1:50" s="97" customFormat="1" x14ac:dyDescent="0.25">
      <c r="A114" s="100"/>
      <c r="B114" s="100"/>
      <c r="C114" s="100"/>
      <c r="D114" s="100"/>
      <c r="E114" s="100"/>
      <c r="F114" s="100"/>
      <c r="G114" s="103"/>
      <c r="H114" s="186"/>
      <c r="I114" s="195">
        <v>0.51</v>
      </c>
      <c r="J114" s="107">
        <v>0.49</v>
      </c>
      <c r="K114" s="107"/>
      <c r="L114" s="107"/>
      <c r="M114" s="187"/>
      <c r="N114" s="169">
        <f t="shared" si="17"/>
        <v>1</v>
      </c>
      <c r="O114" s="144">
        <v>1</v>
      </c>
      <c r="P114" s="145">
        <v>15</v>
      </c>
      <c r="Q114" s="113">
        <v>15</v>
      </c>
      <c r="R114" s="113"/>
      <c r="S114" s="113"/>
      <c r="T114" s="146"/>
      <c r="U114" s="148">
        <f t="shared" si="18"/>
        <v>15</v>
      </c>
      <c r="V114" s="149">
        <f t="shared" si="19"/>
        <v>15</v>
      </c>
      <c r="W114" s="189"/>
      <c r="X114" s="199"/>
      <c r="Y114" s="151"/>
      <c r="Z114" s="190"/>
      <c r="AA114" s="153"/>
      <c r="AB114" s="154">
        <f t="shared" si="20"/>
        <v>0</v>
      </c>
      <c r="AC114" s="149">
        <f t="shared" si="21"/>
        <v>0</v>
      </c>
      <c r="AD114" s="125">
        <v>2</v>
      </c>
      <c r="AE114" s="148">
        <f t="shared" si="22"/>
        <v>2</v>
      </c>
      <c r="AF114" s="156"/>
      <c r="AG114" s="156"/>
      <c r="AH114" s="113">
        <f t="shared" si="23"/>
        <v>17</v>
      </c>
      <c r="AI114" s="157">
        <v>65</v>
      </c>
      <c r="AJ114" s="113">
        <f t="shared" si="24"/>
        <v>82</v>
      </c>
      <c r="AK114" s="113">
        <f t="shared" si="25"/>
        <v>82</v>
      </c>
      <c r="AL114" s="158">
        <f t="shared" si="26"/>
        <v>1.02</v>
      </c>
      <c r="AM114" s="159"/>
      <c r="AN114" s="160">
        <f t="shared" si="16"/>
        <v>1</v>
      </c>
      <c r="AO114" s="160">
        <f t="shared" si="16"/>
        <v>2</v>
      </c>
      <c r="AP114" s="133"/>
      <c r="AQ114" s="134"/>
      <c r="AR114" s="161"/>
      <c r="AS114" s="161"/>
      <c r="AT114" s="161"/>
      <c r="AU114" s="161"/>
      <c r="AV114" s="162"/>
      <c r="AW114" s="137">
        <f t="shared" si="27"/>
        <v>0</v>
      </c>
      <c r="AX114" s="137">
        <f t="shared" si="28"/>
        <v>0</v>
      </c>
    </row>
    <row r="115" ht="46.5" customHeight="1" spans="1:50" s="97" customFormat="1" x14ac:dyDescent="0.25">
      <c r="A115" s="100"/>
      <c r="B115" s="100"/>
      <c r="C115" s="100"/>
      <c r="D115" s="100"/>
      <c r="E115" s="100"/>
      <c r="F115" s="100"/>
      <c r="G115" s="103"/>
      <c r="H115" s="186"/>
      <c r="I115" s="195">
        <v>0.51</v>
      </c>
      <c r="J115" s="107">
        <v>0.49</v>
      </c>
      <c r="K115" s="107"/>
      <c r="L115" s="107"/>
      <c r="M115" s="187"/>
      <c r="N115" s="169">
        <f t="shared" si="17"/>
        <v>1</v>
      </c>
      <c r="O115" s="144">
        <v>1</v>
      </c>
      <c r="P115" s="145">
        <v>15</v>
      </c>
      <c r="Q115" s="113">
        <v>15</v>
      </c>
      <c r="R115" s="113"/>
      <c r="S115" s="113"/>
      <c r="T115" s="146"/>
      <c r="U115" s="148">
        <f t="shared" si="18"/>
        <v>15</v>
      </c>
      <c r="V115" s="149">
        <f t="shared" si="19"/>
        <v>15</v>
      </c>
      <c r="W115" s="189"/>
      <c r="X115" s="199"/>
      <c r="Y115" s="151"/>
      <c r="Z115" s="190"/>
      <c r="AA115" s="153"/>
      <c r="AB115" s="154">
        <f t="shared" si="20"/>
        <v>0</v>
      </c>
      <c r="AC115" s="149">
        <f t="shared" si="21"/>
        <v>0</v>
      </c>
      <c r="AD115" s="125">
        <v>2</v>
      </c>
      <c r="AE115" s="148">
        <f t="shared" si="22"/>
        <v>2</v>
      </c>
      <c r="AF115" s="156"/>
      <c r="AG115" s="156"/>
      <c r="AH115" s="113">
        <f t="shared" si="23"/>
        <v>17</v>
      </c>
      <c r="AI115" s="157">
        <v>65</v>
      </c>
      <c r="AJ115" s="113">
        <f t="shared" si="24"/>
        <v>82</v>
      </c>
      <c r="AK115" s="113">
        <f t="shared" si="25"/>
        <v>82</v>
      </c>
      <c r="AL115" s="158">
        <f t="shared" si="26"/>
        <v>1.02</v>
      </c>
      <c r="AM115" s="159"/>
      <c r="AN115" s="160">
        <f t="shared" si="16"/>
        <v>1</v>
      </c>
      <c r="AO115" s="160">
        <f t="shared" si="16"/>
        <v>2</v>
      </c>
      <c r="AP115" s="133"/>
      <c r="AQ115" s="134"/>
      <c r="AR115" s="161"/>
      <c r="AS115" s="161"/>
      <c r="AT115" s="161"/>
      <c r="AU115" s="161"/>
      <c r="AV115" s="162"/>
      <c r="AW115" s="137">
        <f t="shared" si="27"/>
        <v>0</v>
      </c>
      <c r="AX115" s="137">
        <f t="shared" si="28"/>
        <v>0</v>
      </c>
    </row>
    <row r="116" ht="47.25" customHeight="1" spans="1:50" s="56" customFormat="1" x14ac:dyDescent="0.25">
      <c r="A116" s="100"/>
      <c r="B116" s="100"/>
      <c r="C116" s="100"/>
      <c r="D116" s="100"/>
      <c r="E116" s="100"/>
      <c r="F116" s="100"/>
      <c r="G116" s="103"/>
      <c r="H116" s="186"/>
      <c r="I116" s="195">
        <v>0.51</v>
      </c>
      <c r="J116" s="107">
        <v>0.49</v>
      </c>
      <c r="K116" s="107"/>
      <c r="L116" s="107"/>
      <c r="M116" s="187"/>
      <c r="N116" s="169">
        <f t="shared" si="17"/>
        <v>1</v>
      </c>
      <c r="O116" s="144">
        <v>1</v>
      </c>
      <c r="P116" s="145">
        <v>15</v>
      </c>
      <c r="Q116" s="113">
        <v>15</v>
      </c>
      <c r="R116" s="113"/>
      <c r="S116" s="113"/>
      <c r="T116" s="146"/>
      <c r="U116" s="148">
        <f t="shared" si="18"/>
        <v>15</v>
      </c>
      <c r="V116" s="149">
        <f t="shared" si="19"/>
        <v>15</v>
      </c>
      <c r="W116" s="189"/>
      <c r="X116" s="199"/>
      <c r="Y116" s="151"/>
      <c r="Z116" s="190"/>
      <c r="AA116" s="153"/>
      <c r="AB116" s="154">
        <f t="shared" si="20"/>
        <v>0</v>
      </c>
      <c r="AC116" s="149">
        <f t="shared" si="21"/>
        <v>0</v>
      </c>
      <c r="AD116" s="125">
        <v>2</v>
      </c>
      <c r="AE116" s="148">
        <f t="shared" si="22"/>
        <v>2</v>
      </c>
      <c r="AF116" s="156"/>
      <c r="AG116" s="156"/>
      <c r="AH116" s="113">
        <f t="shared" si="23"/>
        <v>17</v>
      </c>
      <c r="AI116" s="157">
        <v>65</v>
      </c>
      <c r="AJ116" s="113">
        <f t="shared" si="24"/>
        <v>82</v>
      </c>
      <c r="AK116" s="113">
        <f t="shared" si="25"/>
        <v>82</v>
      </c>
      <c r="AL116" s="158">
        <f t="shared" si="26"/>
        <v>1.02</v>
      </c>
      <c r="AM116" s="159"/>
      <c r="AN116" s="160">
        <f t="shared" si="16"/>
        <v>1</v>
      </c>
      <c r="AO116" s="160">
        <f t="shared" si="16"/>
        <v>2</v>
      </c>
      <c r="AP116" s="133"/>
      <c r="AQ116" s="134"/>
      <c r="AR116" s="161"/>
      <c r="AS116" s="161"/>
      <c r="AT116" s="161"/>
      <c r="AU116" s="161"/>
      <c r="AV116" s="162"/>
      <c r="AW116" s="137">
        <f t="shared" si="27"/>
        <v>0</v>
      </c>
      <c r="AX116" s="137">
        <f t="shared" si="28"/>
        <v>0</v>
      </c>
    </row>
    <row r="117" ht="46.5" customHeight="1" spans="1:50" s="97" customFormat="1" x14ac:dyDescent="0.25">
      <c r="A117" s="100"/>
      <c r="B117" s="100"/>
      <c r="C117" s="100"/>
      <c r="D117" s="100"/>
      <c r="E117" s="100"/>
      <c r="F117" s="100"/>
      <c r="G117" s="103"/>
      <c r="H117" s="186"/>
      <c r="I117" s="195">
        <v>0.51</v>
      </c>
      <c r="J117" s="107">
        <v>0.49</v>
      </c>
      <c r="K117" s="107"/>
      <c r="L117" s="107"/>
      <c r="M117" s="187"/>
      <c r="N117" s="169">
        <f t="shared" si="17"/>
        <v>1</v>
      </c>
      <c r="O117" s="144">
        <v>1</v>
      </c>
      <c r="P117" s="145">
        <v>15</v>
      </c>
      <c r="Q117" s="113">
        <v>15</v>
      </c>
      <c r="R117" s="113"/>
      <c r="S117" s="113"/>
      <c r="T117" s="146"/>
      <c r="U117" s="148">
        <f t="shared" si="18"/>
        <v>15</v>
      </c>
      <c r="V117" s="149">
        <f t="shared" si="19"/>
        <v>15</v>
      </c>
      <c r="W117" s="189"/>
      <c r="X117" s="199"/>
      <c r="Y117" s="151"/>
      <c r="Z117" s="190"/>
      <c r="AA117" s="153"/>
      <c r="AB117" s="154">
        <f t="shared" si="20"/>
        <v>0</v>
      </c>
      <c r="AC117" s="149">
        <f t="shared" si="21"/>
        <v>0</v>
      </c>
      <c r="AD117" s="125">
        <v>2</v>
      </c>
      <c r="AE117" s="148">
        <f t="shared" si="22"/>
        <v>2</v>
      </c>
      <c r="AF117" s="156"/>
      <c r="AG117" s="156"/>
      <c r="AH117" s="113">
        <f t="shared" si="23"/>
        <v>17</v>
      </c>
      <c r="AI117" s="157">
        <v>65</v>
      </c>
      <c r="AJ117" s="113">
        <f t="shared" si="24"/>
        <v>82</v>
      </c>
      <c r="AK117" s="113">
        <f t="shared" si="25"/>
        <v>82</v>
      </c>
      <c r="AL117" s="158">
        <f t="shared" si="26"/>
        <v>1.02</v>
      </c>
      <c r="AM117" s="159"/>
      <c r="AN117" s="160">
        <f t="shared" si="16"/>
        <v>1</v>
      </c>
      <c r="AO117" s="160">
        <f t="shared" si="16"/>
        <v>2</v>
      </c>
      <c r="AP117" s="133"/>
      <c r="AQ117" s="134"/>
      <c r="AR117" s="161"/>
      <c r="AS117" s="161"/>
      <c r="AT117" s="161"/>
      <c r="AU117" s="161"/>
      <c r="AV117" s="162"/>
      <c r="AW117" s="137">
        <f t="shared" si="27"/>
        <v>0</v>
      </c>
      <c r="AX117" s="137">
        <f t="shared" si="28"/>
        <v>0</v>
      </c>
    </row>
    <row r="118" ht="46.5" customHeight="1" spans="1:50" s="97" customFormat="1" x14ac:dyDescent="0.25">
      <c r="A118" s="100"/>
      <c r="B118" s="100"/>
      <c r="C118" s="100"/>
      <c r="D118" s="100"/>
      <c r="E118" s="100"/>
      <c r="F118" s="100"/>
      <c r="G118" s="103"/>
      <c r="H118" s="186"/>
      <c r="I118" s="195">
        <v>0.51</v>
      </c>
      <c r="J118" s="107">
        <v>0.49</v>
      </c>
      <c r="K118" s="107"/>
      <c r="L118" s="107"/>
      <c r="M118" s="187"/>
      <c r="N118" s="169">
        <f t="shared" si="17"/>
        <v>1</v>
      </c>
      <c r="O118" s="144">
        <v>1</v>
      </c>
      <c r="P118" s="145">
        <v>15</v>
      </c>
      <c r="Q118" s="113">
        <v>15</v>
      </c>
      <c r="R118" s="113"/>
      <c r="S118" s="113"/>
      <c r="T118" s="146"/>
      <c r="U118" s="148">
        <f t="shared" si="18"/>
        <v>15</v>
      </c>
      <c r="V118" s="149">
        <f t="shared" si="19"/>
        <v>15</v>
      </c>
      <c r="W118" s="189"/>
      <c r="X118" s="199"/>
      <c r="Y118" s="151"/>
      <c r="Z118" s="190"/>
      <c r="AA118" s="153"/>
      <c r="AB118" s="154">
        <f t="shared" si="20"/>
        <v>0</v>
      </c>
      <c r="AC118" s="149">
        <f t="shared" si="21"/>
        <v>0</v>
      </c>
      <c r="AD118" s="125">
        <v>2</v>
      </c>
      <c r="AE118" s="148">
        <f t="shared" si="22"/>
        <v>2</v>
      </c>
      <c r="AF118" s="156"/>
      <c r="AG118" s="156"/>
      <c r="AH118" s="113">
        <f t="shared" si="23"/>
        <v>17</v>
      </c>
      <c r="AI118" s="157">
        <v>65</v>
      </c>
      <c r="AJ118" s="113">
        <f t="shared" si="24"/>
        <v>82</v>
      </c>
      <c r="AK118" s="113">
        <f t="shared" si="25"/>
        <v>82</v>
      </c>
      <c r="AL118" s="158">
        <f t="shared" si="26"/>
        <v>1.02</v>
      </c>
      <c r="AM118" s="159"/>
      <c r="AN118" s="160">
        <f t="shared" si="16"/>
        <v>1</v>
      </c>
      <c r="AO118" s="160">
        <f t="shared" si="16"/>
        <v>2</v>
      </c>
      <c r="AP118" s="133"/>
      <c r="AQ118" s="134"/>
      <c r="AR118" s="161"/>
      <c r="AS118" s="161"/>
      <c r="AT118" s="161"/>
      <c r="AU118" s="161"/>
      <c r="AV118" s="162"/>
      <c r="AW118" s="137">
        <f t="shared" si="27"/>
        <v>0</v>
      </c>
      <c r="AX118" s="137">
        <f t="shared" si="28"/>
        <v>0</v>
      </c>
    </row>
    <row r="119" ht="46.5" customHeight="1" spans="1:50" s="97" customFormat="1" x14ac:dyDescent="0.25">
      <c r="A119" s="100"/>
      <c r="B119" s="100"/>
      <c r="C119" s="100"/>
      <c r="D119" s="100"/>
      <c r="E119" s="100"/>
      <c r="F119" s="100"/>
      <c r="G119" s="103"/>
      <c r="H119" s="186"/>
      <c r="I119" s="195">
        <v>0.51</v>
      </c>
      <c r="J119" s="107">
        <v>0.49</v>
      </c>
      <c r="K119" s="107"/>
      <c r="L119" s="107"/>
      <c r="M119" s="187"/>
      <c r="N119" s="169">
        <f t="shared" si="17"/>
        <v>1</v>
      </c>
      <c r="O119" s="144">
        <v>1</v>
      </c>
      <c r="P119" s="145">
        <v>15</v>
      </c>
      <c r="Q119" s="113">
        <v>15</v>
      </c>
      <c r="R119" s="113"/>
      <c r="S119" s="113"/>
      <c r="T119" s="146"/>
      <c r="U119" s="148">
        <f t="shared" si="18"/>
        <v>15</v>
      </c>
      <c r="V119" s="149">
        <f t="shared" si="19"/>
        <v>15</v>
      </c>
      <c r="W119" s="189"/>
      <c r="X119" s="199"/>
      <c r="Y119" s="151"/>
      <c r="Z119" s="190"/>
      <c r="AA119" s="153"/>
      <c r="AB119" s="154">
        <f t="shared" si="20"/>
        <v>0</v>
      </c>
      <c r="AC119" s="149">
        <f t="shared" si="21"/>
        <v>0</v>
      </c>
      <c r="AD119" s="125">
        <v>2</v>
      </c>
      <c r="AE119" s="148">
        <f t="shared" si="22"/>
        <v>2</v>
      </c>
      <c r="AF119" s="156"/>
      <c r="AG119" s="156"/>
      <c r="AH119" s="113">
        <f t="shared" si="23"/>
        <v>17</v>
      </c>
      <c r="AI119" s="157">
        <v>65</v>
      </c>
      <c r="AJ119" s="113">
        <f t="shared" si="24"/>
        <v>82</v>
      </c>
      <c r="AK119" s="113">
        <f t="shared" si="25"/>
        <v>82</v>
      </c>
      <c r="AL119" s="158">
        <f t="shared" si="26"/>
        <v>1.02</v>
      </c>
      <c r="AM119" s="159"/>
      <c r="AN119" s="160">
        <f t="shared" si="16"/>
        <v>1</v>
      </c>
      <c r="AO119" s="160">
        <f t="shared" si="16"/>
        <v>2</v>
      </c>
      <c r="AP119" s="133"/>
      <c r="AQ119" s="134"/>
      <c r="AR119" s="161"/>
      <c r="AS119" s="161"/>
      <c r="AT119" s="161"/>
      <c r="AU119" s="161"/>
      <c r="AV119" s="162"/>
      <c r="AW119" s="137">
        <f t="shared" si="27"/>
        <v>0</v>
      </c>
      <c r="AX119" s="137">
        <f t="shared" si="28"/>
        <v>0</v>
      </c>
    </row>
    <row r="120" ht="53.25" customHeight="1" spans="1:50" s="97" customFormat="1" x14ac:dyDescent="0.25">
      <c r="A120" s="100"/>
      <c r="B120" s="100"/>
      <c r="C120" s="100"/>
      <c r="D120" s="100"/>
      <c r="E120" s="100"/>
      <c r="F120" s="100"/>
      <c r="G120" s="103"/>
      <c r="H120" s="186"/>
      <c r="I120" s="195">
        <v>0.51</v>
      </c>
      <c r="J120" s="107">
        <v>0.49</v>
      </c>
      <c r="K120" s="107"/>
      <c r="L120" s="107"/>
      <c r="M120" s="187"/>
      <c r="N120" s="169">
        <f t="shared" si="17"/>
        <v>1</v>
      </c>
      <c r="O120" s="144">
        <v>1</v>
      </c>
      <c r="P120" s="145">
        <v>15</v>
      </c>
      <c r="Q120" s="113">
        <v>15</v>
      </c>
      <c r="R120" s="113"/>
      <c r="S120" s="113"/>
      <c r="T120" s="146"/>
      <c r="U120" s="148">
        <f t="shared" si="18"/>
        <v>15</v>
      </c>
      <c r="V120" s="149">
        <f t="shared" si="19"/>
        <v>15</v>
      </c>
      <c r="W120" s="189"/>
      <c r="X120" s="199"/>
      <c r="Y120" s="151"/>
      <c r="Z120" s="190"/>
      <c r="AA120" s="153"/>
      <c r="AB120" s="154">
        <f t="shared" si="20"/>
        <v>0</v>
      </c>
      <c r="AC120" s="149">
        <f t="shared" si="21"/>
        <v>0</v>
      </c>
      <c r="AD120" s="125">
        <v>2</v>
      </c>
      <c r="AE120" s="148">
        <f t="shared" si="22"/>
        <v>2</v>
      </c>
      <c r="AF120" s="156"/>
      <c r="AG120" s="156"/>
      <c r="AH120" s="113">
        <f t="shared" si="23"/>
        <v>17</v>
      </c>
      <c r="AI120" s="157">
        <v>65</v>
      </c>
      <c r="AJ120" s="113">
        <f t="shared" si="24"/>
        <v>82</v>
      </c>
      <c r="AK120" s="113">
        <f t="shared" si="25"/>
        <v>82</v>
      </c>
      <c r="AL120" s="158">
        <f t="shared" si="26"/>
        <v>1.02</v>
      </c>
      <c r="AM120" s="159"/>
      <c r="AN120" s="160">
        <f t="shared" si="16"/>
        <v>1</v>
      </c>
      <c r="AO120" s="160">
        <f t="shared" si="16"/>
        <v>2</v>
      </c>
      <c r="AP120" s="133"/>
      <c r="AQ120" s="134"/>
      <c r="AR120" s="161"/>
      <c r="AS120" s="161"/>
      <c r="AT120" s="161"/>
      <c r="AU120" s="161"/>
      <c r="AV120" s="162"/>
      <c r="AW120" s="137">
        <f t="shared" si="27"/>
        <v>0</v>
      </c>
      <c r="AX120" s="137">
        <f t="shared" si="28"/>
        <v>0</v>
      </c>
    </row>
    <row r="121" ht="46.5" customHeight="1" spans="1:50" s="97" customFormat="1" x14ac:dyDescent="0.25">
      <c r="A121" s="100"/>
      <c r="B121" s="100"/>
      <c r="C121" s="100"/>
      <c r="D121" s="100"/>
      <c r="E121" s="100"/>
      <c r="F121" s="100"/>
      <c r="G121" s="103"/>
      <c r="H121" s="186"/>
      <c r="I121" s="195">
        <v>0.51</v>
      </c>
      <c r="J121" s="107">
        <v>0.49</v>
      </c>
      <c r="K121" s="107"/>
      <c r="L121" s="107"/>
      <c r="M121" s="187"/>
      <c r="N121" s="169">
        <f t="shared" si="17"/>
        <v>1</v>
      </c>
      <c r="O121" s="144">
        <v>1</v>
      </c>
      <c r="P121" s="145">
        <v>15</v>
      </c>
      <c r="Q121" s="113">
        <v>15</v>
      </c>
      <c r="R121" s="113"/>
      <c r="S121" s="113"/>
      <c r="T121" s="146"/>
      <c r="U121" s="148">
        <f t="shared" si="18"/>
        <v>15</v>
      </c>
      <c r="V121" s="149">
        <f t="shared" si="19"/>
        <v>15</v>
      </c>
      <c r="W121" s="189"/>
      <c r="X121" s="199"/>
      <c r="Y121" s="151"/>
      <c r="Z121" s="190"/>
      <c r="AA121" s="153"/>
      <c r="AB121" s="154">
        <f t="shared" si="20"/>
        <v>0</v>
      </c>
      <c r="AC121" s="149">
        <f t="shared" si="21"/>
        <v>0</v>
      </c>
      <c r="AD121" s="125">
        <v>2</v>
      </c>
      <c r="AE121" s="148">
        <f t="shared" si="22"/>
        <v>2</v>
      </c>
      <c r="AF121" s="156"/>
      <c r="AG121" s="156"/>
      <c r="AH121" s="113">
        <f t="shared" si="23"/>
        <v>17</v>
      </c>
      <c r="AI121" s="157">
        <v>65</v>
      </c>
      <c r="AJ121" s="113">
        <f t="shared" si="24"/>
        <v>82</v>
      </c>
      <c r="AK121" s="113">
        <f t="shared" si="25"/>
        <v>82</v>
      </c>
      <c r="AL121" s="158">
        <f t="shared" si="26"/>
        <v>1.02</v>
      </c>
      <c r="AM121" s="159"/>
      <c r="AN121" s="160">
        <f t="shared" si="16"/>
        <v>1</v>
      </c>
      <c r="AO121" s="160">
        <f t="shared" si="16"/>
        <v>2</v>
      </c>
      <c r="AP121" s="133"/>
      <c r="AQ121" s="134"/>
      <c r="AR121" s="161"/>
      <c r="AS121" s="161"/>
      <c r="AT121" s="161"/>
      <c r="AU121" s="161"/>
      <c r="AV121" s="162"/>
      <c r="AW121" s="137">
        <f t="shared" si="27"/>
        <v>0</v>
      </c>
      <c r="AX121" s="137">
        <f t="shared" si="28"/>
        <v>0</v>
      </c>
    </row>
    <row r="122" ht="46.5" customHeight="1" spans="1:50" s="97" customFormat="1" x14ac:dyDescent="0.25">
      <c r="A122" s="100"/>
      <c r="B122" s="100"/>
      <c r="C122" s="100"/>
      <c r="D122" s="100"/>
      <c r="E122" s="100"/>
      <c r="F122" s="100"/>
      <c r="G122" s="103"/>
      <c r="H122" s="186"/>
      <c r="I122" s="195">
        <v>0.51</v>
      </c>
      <c r="J122" s="107">
        <v>0.49</v>
      </c>
      <c r="K122" s="107"/>
      <c r="L122" s="107"/>
      <c r="M122" s="187"/>
      <c r="N122" s="169">
        <f t="shared" si="17"/>
        <v>1</v>
      </c>
      <c r="O122" s="144">
        <v>1</v>
      </c>
      <c r="P122" s="145">
        <v>15</v>
      </c>
      <c r="Q122" s="113">
        <v>15</v>
      </c>
      <c r="R122" s="113"/>
      <c r="S122" s="113"/>
      <c r="T122" s="146"/>
      <c r="U122" s="148">
        <f t="shared" si="18"/>
        <v>15</v>
      </c>
      <c r="V122" s="149">
        <f t="shared" si="19"/>
        <v>15</v>
      </c>
      <c r="W122" s="189"/>
      <c r="X122" s="199"/>
      <c r="Y122" s="151"/>
      <c r="Z122" s="190"/>
      <c r="AA122" s="153"/>
      <c r="AB122" s="154">
        <f t="shared" si="20"/>
        <v>0</v>
      </c>
      <c r="AC122" s="149">
        <f t="shared" si="21"/>
        <v>0</v>
      </c>
      <c r="AD122" s="125">
        <v>2</v>
      </c>
      <c r="AE122" s="148">
        <f t="shared" si="22"/>
        <v>2</v>
      </c>
      <c r="AF122" s="156"/>
      <c r="AG122" s="156"/>
      <c r="AH122" s="113">
        <f t="shared" si="23"/>
        <v>17</v>
      </c>
      <c r="AI122" s="157">
        <v>65</v>
      </c>
      <c r="AJ122" s="113">
        <f t="shared" si="24"/>
        <v>82</v>
      </c>
      <c r="AK122" s="113">
        <f t="shared" si="25"/>
        <v>82</v>
      </c>
      <c r="AL122" s="158">
        <f t="shared" si="26"/>
        <v>1.02</v>
      </c>
      <c r="AM122" s="159"/>
      <c r="AN122" s="160">
        <f t="shared" si="16"/>
        <v>1</v>
      </c>
      <c r="AO122" s="160">
        <f t="shared" si="16"/>
        <v>2</v>
      </c>
      <c r="AP122" s="133"/>
      <c r="AQ122" s="134"/>
      <c r="AR122" s="161"/>
      <c r="AS122" s="161"/>
      <c r="AT122" s="161"/>
      <c r="AU122" s="161"/>
      <c r="AV122" s="162"/>
      <c r="AW122" s="137">
        <f t="shared" si="27"/>
        <v>0</v>
      </c>
      <c r="AX122" s="137">
        <f t="shared" si="28"/>
        <v>0</v>
      </c>
    </row>
    <row r="123" ht="46.5" customHeight="1" spans="1:50" s="97" customFormat="1" x14ac:dyDescent="0.25">
      <c r="A123" s="100"/>
      <c r="B123" s="100"/>
      <c r="C123" s="100"/>
      <c r="D123" s="100"/>
      <c r="E123" s="100"/>
      <c r="F123" s="100"/>
      <c r="G123" s="103"/>
      <c r="H123" s="186"/>
      <c r="I123" s="195">
        <v>0.51</v>
      </c>
      <c r="J123" s="107">
        <v>0.49</v>
      </c>
      <c r="K123" s="107"/>
      <c r="L123" s="107"/>
      <c r="M123" s="187"/>
      <c r="N123" s="169">
        <f t="shared" si="17"/>
        <v>1</v>
      </c>
      <c r="O123" s="144">
        <v>1</v>
      </c>
      <c r="P123" s="145">
        <v>15</v>
      </c>
      <c r="Q123" s="113">
        <v>15</v>
      </c>
      <c r="R123" s="113"/>
      <c r="S123" s="113"/>
      <c r="T123" s="146"/>
      <c r="U123" s="148">
        <f t="shared" si="18"/>
        <v>15</v>
      </c>
      <c r="V123" s="149">
        <f t="shared" si="19"/>
        <v>15</v>
      </c>
      <c r="W123" s="189"/>
      <c r="X123" s="199"/>
      <c r="Y123" s="151"/>
      <c r="Z123" s="190"/>
      <c r="AA123" s="153"/>
      <c r="AB123" s="154">
        <f t="shared" si="20"/>
        <v>0</v>
      </c>
      <c r="AC123" s="149">
        <f t="shared" si="21"/>
        <v>0</v>
      </c>
      <c r="AD123" s="125">
        <v>2</v>
      </c>
      <c r="AE123" s="148">
        <f t="shared" si="22"/>
        <v>2</v>
      </c>
      <c r="AF123" s="156"/>
      <c r="AG123" s="156"/>
      <c r="AH123" s="113">
        <f t="shared" si="23"/>
        <v>17</v>
      </c>
      <c r="AI123" s="157">
        <v>65</v>
      </c>
      <c r="AJ123" s="113">
        <f t="shared" si="24"/>
        <v>82</v>
      </c>
      <c r="AK123" s="113">
        <f t="shared" si="25"/>
        <v>82</v>
      </c>
      <c r="AL123" s="158">
        <f t="shared" si="26"/>
        <v>1.02</v>
      </c>
      <c r="AM123" s="159"/>
      <c r="AN123" s="160">
        <f t="shared" ref="AN123:AO142" si="29">100%+AM123</f>
        <v>1</v>
      </c>
      <c r="AO123" s="160">
        <f t="shared" si="29"/>
        <v>2</v>
      </c>
      <c r="AP123" s="133"/>
      <c r="AQ123" s="134"/>
      <c r="AR123" s="161"/>
      <c r="AS123" s="161"/>
      <c r="AT123" s="161"/>
      <c r="AU123" s="161"/>
      <c r="AV123" s="162"/>
      <c r="AW123" s="137">
        <f t="shared" si="27"/>
        <v>0</v>
      </c>
      <c r="AX123" s="137">
        <f t="shared" si="28"/>
        <v>0</v>
      </c>
    </row>
    <row r="124" ht="47.25" customHeight="1" spans="1:50" s="56" customFormat="1" x14ac:dyDescent="0.25">
      <c r="A124" s="100"/>
      <c r="B124" s="100"/>
      <c r="C124" s="100"/>
      <c r="D124" s="100"/>
      <c r="E124" s="100"/>
      <c r="F124" s="100"/>
      <c r="G124" s="103"/>
      <c r="H124" s="186"/>
      <c r="I124" s="195">
        <v>0.51</v>
      </c>
      <c r="J124" s="107">
        <v>0.49</v>
      </c>
      <c r="K124" s="107"/>
      <c r="L124" s="107"/>
      <c r="M124" s="187"/>
      <c r="N124" s="169">
        <f t="shared" si="17"/>
        <v>1</v>
      </c>
      <c r="O124" s="144">
        <v>1</v>
      </c>
      <c r="P124" s="145">
        <v>15</v>
      </c>
      <c r="Q124" s="113">
        <v>15</v>
      </c>
      <c r="R124" s="113"/>
      <c r="S124" s="113"/>
      <c r="T124" s="146"/>
      <c r="U124" s="148">
        <f t="shared" si="18"/>
        <v>15</v>
      </c>
      <c r="V124" s="149">
        <f t="shared" si="19"/>
        <v>15</v>
      </c>
      <c r="W124" s="189"/>
      <c r="X124" s="199"/>
      <c r="Y124" s="151"/>
      <c r="Z124" s="190"/>
      <c r="AA124" s="153"/>
      <c r="AB124" s="154">
        <f t="shared" si="20"/>
        <v>0</v>
      </c>
      <c r="AC124" s="149">
        <f t="shared" si="21"/>
        <v>0</v>
      </c>
      <c r="AD124" s="125">
        <v>2</v>
      </c>
      <c r="AE124" s="148">
        <f t="shared" si="22"/>
        <v>2</v>
      </c>
      <c r="AF124" s="156"/>
      <c r="AG124" s="156"/>
      <c r="AH124" s="113">
        <f t="shared" si="23"/>
        <v>17</v>
      </c>
      <c r="AI124" s="157">
        <v>65</v>
      </c>
      <c r="AJ124" s="113">
        <f t="shared" si="24"/>
        <v>82</v>
      </c>
      <c r="AK124" s="113">
        <f t="shared" si="25"/>
        <v>82</v>
      </c>
      <c r="AL124" s="158">
        <f t="shared" si="26"/>
        <v>1.02</v>
      </c>
      <c r="AM124" s="159"/>
      <c r="AN124" s="160">
        <f t="shared" si="29"/>
        <v>1</v>
      </c>
      <c r="AO124" s="160">
        <f t="shared" si="29"/>
        <v>2</v>
      </c>
      <c r="AP124" s="133"/>
      <c r="AQ124" s="134"/>
      <c r="AR124" s="161"/>
      <c r="AS124" s="161"/>
      <c r="AT124" s="161"/>
      <c r="AU124" s="161"/>
      <c r="AV124" s="162"/>
      <c r="AW124" s="137">
        <f t="shared" si="27"/>
        <v>0</v>
      </c>
      <c r="AX124" s="137">
        <f t="shared" si="28"/>
        <v>0</v>
      </c>
    </row>
    <row r="125" ht="47.25" customHeight="1" spans="1:50" s="56" customFormat="1" x14ac:dyDescent="0.25">
      <c r="A125" s="100"/>
      <c r="B125" s="100"/>
      <c r="C125" s="100"/>
      <c r="D125" s="100"/>
      <c r="E125" s="100"/>
      <c r="F125" s="100"/>
      <c r="G125" s="103"/>
      <c r="H125" s="186"/>
      <c r="I125" s="195">
        <v>0.51</v>
      </c>
      <c r="J125" s="107">
        <v>0.49</v>
      </c>
      <c r="K125" s="107"/>
      <c r="L125" s="107"/>
      <c r="M125" s="187"/>
      <c r="N125" s="169">
        <f t="shared" si="17"/>
        <v>1</v>
      </c>
      <c r="O125" s="144">
        <v>1</v>
      </c>
      <c r="P125" s="145">
        <v>15</v>
      </c>
      <c r="Q125" s="113">
        <v>15</v>
      </c>
      <c r="R125" s="113"/>
      <c r="S125" s="113"/>
      <c r="T125" s="146"/>
      <c r="U125" s="148">
        <f t="shared" si="18"/>
        <v>15</v>
      </c>
      <c r="V125" s="149">
        <f t="shared" si="19"/>
        <v>15</v>
      </c>
      <c r="W125" s="189"/>
      <c r="X125" s="199"/>
      <c r="Y125" s="151"/>
      <c r="Z125" s="190"/>
      <c r="AA125" s="153"/>
      <c r="AB125" s="154">
        <f t="shared" si="20"/>
        <v>0</v>
      </c>
      <c r="AC125" s="149">
        <f t="shared" si="21"/>
        <v>0</v>
      </c>
      <c r="AD125" s="125">
        <v>2</v>
      </c>
      <c r="AE125" s="148">
        <f t="shared" si="22"/>
        <v>2</v>
      </c>
      <c r="AF125" s="156"/>
      <c r="AG125" s="156"/>
      <c r="AH125" s="113">
        <f t="shared" si="23"/>
        <v>17</v>
      </c>
      <c r="AI125" s="157">
        <v>65</v>
      </c>
      <c r="AJ125" s="113">
        <f t="shared" si="24"/>
        <v>82</v>
      </c>
      <c r="AK125" s="113">
        <f t="shared" si="25"/>
        <v>82</v>
      </c>
      <c r="AL125" s="158">
        <f t="shared" si="26"/>
        <v>1.02</v>
      </c>
      <c r="AM125" s="159"/>
      <c r="AN125" s="160">
        <f t="shared" si="29"/>
        <v>1</v>
      </c>
      <c r="AO125" s="160">
        <f t="shared" si="29"/>
        <v>2</v>
      </c>
      <c r="AP125" s="133"/>
      <c r="AQ125" s="134"/>
      <c r="AR125" s="161"/>
      <c r="AS125" s="161"/>
      <c r="AT125" s="161"/>
      <c r="AU125" s="161"/>
      <c r="AV125" s="162"/>
      <c r="AW125" s="137">
        <f t="shared" si="27"/>
        <v>0</v>
      </c>
      <c r="AX125" s="137">
        <f t="shared" si="28"/>
        <v>0</v>
      </c>
    </row>
    <row r="126" ht="46.5" customHeight="1" spans="1:50" s="97" customFormat="1" x14ac:dyDescent="0.25">
      <c r="A126" s="100"/>
      <c r="B126" s="100"/>
      <c r="C126" s="100"/>
      <c r="D126" s="100"/>
      <c r="E126" s="100"/>
      <c r="F126" s="100"/>
      <c r="G126" s="103"/>
      <c r="H126" s="186"/>
      <c r="I126" s="195">
        <v>0.51</v>
      </c>
      <c r="J126" s="107">
        <v>0.49</v>
      </c>
      <c r="K126" s="107"/>
      <c r="L126" s="107"/>
      <c r="M126" s="187"/>
      <c r="N126" s="169">
        <f t="shared" si="17"/>
        <v>1</v>
      </c>
      <c r="O126" s="144">
        <v>1</v>
      </c>
      <c r="P126" s="145">
        <v>15</v>
      </c>
      <c r="Q126" s="113">
        <v>15</v>
      </c>
      <c r="R126" s="113"/>
      <c r="S126" s="113"/>
      <c r="T126" s="146"/>
      <c r="U126" s="148">
        <f t="shared" si="18"/>
        <v>15</v>
      </c>
      <c r="V126" s="149">
        <f t="shared" si="19"/>
        <v>15</v>
      </c>
      <c r="W126" s="189"/>
      <c r="X126" s="199"/>
      <c r="Y126" s="151"/>
      <c r="Z126" s="190"/>
      <c r="AA126" s="153"/>
      <c r="AB126" s="154">
        <f t="shared" si="20"/>
        <v>0</v>
      </c>
      <c r="AC126" s="149">
        <f t="shared" si="21"/>
        <v>0</v>
      </c>
      <c r="AD126" s="125">
        <v>2</v>
      </c>
      <c r="AE126" s="148">
        <f t="shared" si="22"/>
        <v>2</v>
      </c>
      <c r="AF126" s="156"/>
      <c r="AG126" s="156"/>
      <c r="AH126" s="113">
        <f t="shared" si="23"/>
        <v>17</v>
      </c>
      <c r="AI126" s="157">
        <v>65</v>
      </c>
      <c r="AJ126" s="113">
        <f t="shared" si="24"/>
        <v>82</v>
      </c>
      <c r="AK126" s="113">
        <f t="shared" si="25"/>
        <v>82</v>
      </c>
      <c r="AL126" s="158">
        <f t="shared" si="26"/>
        <v>1.02</v>
      </c>
      <c r="AM126" s="159"/>
      <c r="AN126" s="160">
        <f t="shared" si="29"/>
        <v>1</v>
      </c>
      <c r="AO126" s="160">
        <f t="shared" si="29"/>
        <v>2</v>
      </c>
      <c r="AP126" s="133"/>
      <c r="AQ126" s="134"/>
      <c r="AR126" s="161"/>
      <c r="AS126" s="161"/>
      <c r="AT126" s="161"/>
      <c r="AU126" s="161"/>
      <c r="AV126" s="162"/>
      <c r="AW126" s="137">
        <f t="shared" si="27"/>
        <v>0</v>
      </c>
      <c r="AX126" s="137">
        <f t="shared" si="28"/>
        <v>0</v>
      </c>
    </row>
    <row r="127" ht="47.25" customHeight="1" spans="1:50" s="56" customFormat="1" x14ac:dyDescent="0.25">
      <c r="A127" s="100"/>
      <c r="B127" s="100"/>
      <c r="C127" s="100"/>
      <c r="D127" s="100"/>
      <c r="E127" s="100"/>
      <c r="F127" s="100"/>
      <c r="G127" s="103"/>
      <c r="H127" s="186"/>
      <c r="I127" s="195">
        <v>0.51</v>
      </c>
      <c r="J127" s="107">
        <v>0.49</v>
      </c>
      <c r="K127" s="107"/>
      <c r="L127" s="107"/>
      <c r="M127" s="187"/>
      <c r="N127" s="169">
        <f t="shared" si="17"/>
        <v>1</v>
      </c>
      <c r="O127" s="144">
        <v>1</v>
      </c>
      <c r="P127" s="145">
        <v>15</v>
      </c>
      <c r="Q127" s="113">
        <v>15</v>
      </c>
      <c r="R127" s="113"/>
      <c r="S127" s="113"/>
      <c r="T127" s="146"/>
      <c r="U127" s="148">
        <f t="shared" si="18"/>
        <v>15</v>
      </c>
      <c r="V127" s="149">
        <f t="shared" si="19"/>
        <v>15</v>
      </c>
      <c r="W127" s="189"/>
      <c r="X127" s="199"/>
      <c r="Y127" s="151"/>
      <c r="Z127" s="190"/>
      <c r="AA127" s="153"/>
      <c r="AB127" s="154">
        <f t="shared" si="20"/>
        <v>0</v>
      </c>
      <c r="AC127" s="149">
        <f t="shared" si="21"/>
        <v>0</v>
      </c>
      <c r="AD127" s="125">
        <v>2</v>
      </c>
      <c r="AE127" s="148">
        <f t="shared" si="22"/>
        <v>2</v>
      </c>
      <c r="AF127" s="156"/>
      <c r="AG127" s="156"/>
      <c r="AH127" s="113">
        <f t="shared" si="23"/>
        <v>17</v>
      </c>
      <c r="AI127" s="157">
        <v>65</v>
      </c>
      <c r="AJ127" s="113">
        <f t="shared" si="24"/>
        <v>82</v>
      </c>
      <c r="AK127" s="113">
        <f t="shared" si="25"/>
        <v>82</v>
      </c>
      <c r="AL127" s="158">
        <f t="shared" si="26"/>
        <v>1.02</v>
      </c>
      <c r="AM127" s="159"/>
      <c r="AN127" s="160">
        <f t="shared" si="29"/>
        <v>1</v>
      </c>
      <c r="AO127" s="160">
        <f t="shared" si="29"/>
        <v>2</v>
      </c>
      <c r="AP127" s="133"/>
      <c r="AQ127" s="134"/>
      <c r="AR127" s="161"/>
      <c r="AS127" s="161"/>
      <c r="AT127" s="161"/>
      <c r="AU127" s="161"/>
      <c r="AV127" s="162"/>
      <c r="AW127" s="137">
        <f t="shared" si="27"/>
        <v>0</v>
      </c>
      <c r="AX127" s="137">
        <f t="shared" si="28"/>
        <v>0</v>
      </c>
    </row>
    <row r="128" ht="47.25" customHeight="1" spans="1:50" s="97" customFormat="1" x14ac:dyDescent="0.25">
      <c r="A128" s="100"/>
      <c r="B128" s="100"/>
      <c r="C128" s="100"/>
      <c r="D128" s="100"/>
      <c r="E128" s="100"/>
      <c r="F128" s="100"/>
      <c r="G128" s="103"/>
      <c r="H128" s="186"/>
      <c r="I128" s="195">
        <v>0.51</v>
      </c>
      <c r="J128" s="107">
        <v>0.49</v>
      </c>
      <c r="K128" s="107"/>
      <c r="L128" s="107"/>
      <c r="M128" s="187"/>
      <c r="N128" s="169">
        <f t="shared" si="17"/>
        <v>1</v>
      </c>
      <c r="O128" s="144">
        <v>1</v>
      </c>
      <c r="P128" s="145">
        <v>15</v>
      </c>
      <c r="Q128" s="113">
        <v>15</v>
      </c>
      <c r="R128" s="113"/>
      <c r="S128" s="113"/>
      <c r="T128" s="146"/>
      <c r="U128" s="148">
        <f t="shared" si="18"/>
        <v>15</v>
      </c>
      <c r="V128" s="149">
        <f t="shared" si="19"/>
        <v>15</v>
      </c>
      <c r="W128" s="189"/>
      <c r="X128" s="199"/>
      <c r="Y128" s="151"/>
      <c r="Z128" s="190"/>
      <c r="AA128" s="153"/>
      <c r="AB128" s="154">
        <f t="shared" si="20"/>
        <v>0</v>
      </c>
      <c r="AC128" s="149">
        <f t="shared" si="21"/>
        <v>0</v>
      </c>
      <c r="AD128" s="125">
        <v>2</v>
      </c>
      <c r="AE128" s="148">
        <f t="shared" si="22"/>
        <v>2</v>
      </c>
      <c r="AF128" s="156"/>
      <c r="AG128" s="156"/>
      <c r="AH128" s="113">
        <f t="shared" si="23"/>
        <v>17</v>
      </c>
      <c r="AI128" s="157">
        <v>65</v>
      </c>
      <c r="AJ128" s="113">
        <f t="shared" si="24"/>
        <v>82</v>
      </c>
      <c r="AK128" s="113">
        <f t="shared" si="25"/>
        <v>82</v>
      </c>
      <c r="AL128" s="158">
        <f t="shared" si="26"/>
        <v>1.02</v>
      </c>
      <c r="AM128" s="159"/>
      <c r="AN128" s="160">
        <f t="shared" si="29"/>
        <v>1</v>
      </c>
      <c r="AO128" s="160">
        <f t="shared" si="29"/>
        <v>2</v>
      </c>
      <c r="AP128" s="133"/>
      <c r="AQ128" s="134"/>
      <c r="AR128" s="161"/>
      <c r="AS128" s="161"/>
      <c r="AT128" s="161"/>
      <c r="AU128" s="161"/>
      <c r="AV128" s="162"/>
      <c r="AW128" s="137">
        <f t="shared" si="27"/>
        <v>0</v>
      </c>
      <c r="AX128" s="137">
        <f t="shared" si="28"/>
        <v>0</v>
      </c>
    </row>
    <row r="129" ht="47.25" customHeight="1" spans="1:50" s="97" customFormat="1" x14ac:dyDescent="0.25">
      <c r="A129" s="100"/>
      <c r="B129" s="100"/>
      <c r="C129" s="100"/>
      <c r="D129" s="100"/>
      <c r="E129" s="100"/>
      <c r="F129" s="100"/>
      <c r="G129" s="103"/>
      <c r="H129" s="186"/>
      <c r="I129" s="195">
        <v>0.51</v>
      </c>
      <c r="J129" s="107">
        <v>0.49</v>
      </c>
      <c r="K129" s="107"/>
      <c r="L129" s="107"/>
      <c r="M129" s="187"/>
      <c r="N129" s="169">
        <f t="shared" si="17"/>
        <v>1</v>
      </c>
      <c r="O129" s="144">
        <v>1</v>
      </c>
      <c r="P129" s="145">
        <v>15</v>
      </c>
      <c r="Q129" s="113">
        <v>15</v>
      </c>
      <c r="R129" s="113"/>
      <c r="S129" s="113"/>
      <c r="T129" s="146"/>
      <c r="U129" s="148">
        <f t="shared" si="18"/>
        <v>15</v>
      </c>
      <c r="V129" s="149">
        <f t="shared" si="19"/>
        <v>15</v>
      </c>
      <c r="W129" s="189"/>
      <c r="X129" s="199"/>
      <c r="Y129" s="151"/>
      <c r="Z129" s="190"/>
      <c r="AA129" s="153"/>
      <c r="AB129" s="154">
        <f t="shared" si="20"/>
        <v>0</v>
      </c>
      <c r="AC129" s="149">
        <f t="shared" si="21"/>
        <v>0</v>
      </c>
      <c r="AD129" s="125">
        <v>2</v>
      </c>
      <c r="AE129" s="148">
        <f t="shared" si="22"/>
        <v>2</v>
      </c>
      <c r="AF129" s="156"/>
      <c r="AG129" s="156"/>
      <c r="AH129" s="113">
        <f t="shared" si="23"/>
        <v>17</v>
      </c>
      <c r="AI129" s="157">
        <v>65</v>
      </c>
      <c r="AJ129" s="113">
        <f t="shared" si="24"/>
        <v>82</v>
      </c>
      <c r="AK129" s="113">
        <f t="shared" si="25"/>
        <v>82</v>
      </c>
      <c r="AL129" s="158">
        <f t="shared" si="26"/>
        <v>1.02</v>
      </c>
      <c r="AM129" s="159"/>
      <c r="AN129" s="160">
        <f t="shared" si="29"/>
        <v>1</v>
      </c>
      <c r="AO129" s="160">
        <f t="shared" si="29"/>
        <v>2</v>
      </c>
      <c r="AP129" s="133"/>
      <c r="AQ129" s="134"/>
      <c r="AR129" s="161"/>
      <c r="AS129" s="161"/>
      <c r="AT129" s="161"/>
      <c r="AU129" s="161"/>
      <c r="AV129" s="162"/>
      <c r="AW129" s="137">
        <f t="shared" si="27"/>
        <v>0</v>
      </c>
      <c r="AX129" s="137">
        <f t="shared" si="28"/>
        <v>0</v>
      </c>
    </row>
    <row r="130" ht="46.5" customHeight="1" spans="1:50" s="97" customFormat="1" x14ac:dyDescent="0.25">
      <c r="A130" s="100"/>
      <c r="B130" s="100"/>
      <c r="C130" s="100"/>
      <c r="D130" s="100"/>
      <c r="E130" s="100"/>
      <c r="F130" s="100"/>
      <c r="G130" s="103"/>
      <c r="H130" s="186"/>
      <c r="I130" s="195">
        <v>0.51</v>
      </c>
      <c r="J130" s="107">
        <v>0.49</v>
      </c>
      <c r="K130" s="107"/>
      <c r="L130" s="107"/>
      <c r="M130" s="187"/>
      <c r="N130" s="169">
        <f t="shared" si="17"/>
        <v>1</v>
      </c>
      <c r="O130" s="144">
        <v>1</v>
      </c>
      <c r="P130" s="145">
        <v>15</v>
      </c>
      <c r="Q130" s="113">
        <v>15</v>
      </c>
      <c r="R130" s="113"/>
      <c r="S130" s="113"/>
      <c r="T130" s="146"/>
      <c r="U130" s="148">
        <f t="shared" si="18"/>
        <v>15</v>
      </c>
      <c r="V130" s="149">
        <f t="shared" si="19"/>
        <v>15</v>
      </c>
      <c r="W130" s="189"/>
      <c r="X130" s="199"/>
      <c r="Y130" s="151"/>
      <c r="Z130" s="190"/>
      <c r="AA130" s="153"/>
      <c r="AB130" s="154">
        <f t="shared" si="20"/>
        <v>0</v>
      </c>
      <c r="AC130" s="149">
        <f t="shared" si="21"/>
        <v>0</v>
      </c>
      <c r="AD130" s="125">
        <v>2</v>
      </c>
      <c r="AE130" s="148">
        <f t="shared" si="22"/>
        <v>2</v>
      </c>
      <c r="AF130" s="156"/>
      <c r="AG130" s="156"/>
      <c r="AH130" s="113">
        <f t="shared" si="23"/>
        <v>17</v>
      </c>
      <c r="AI130" s="157">
        <v>65</v>
      </c>
      <c r="AJ130" s="113">
        <f t="shared" si="24"/>
        <v>82</v>
      </c>
      <c r="AK130" s="113">
        <f t="shared" si="25"/>
        <v>82</v>
      </c>
      <c r="AL130" s="158">
        <f t="shared" si="26"/>
        <v>1.02</v>
      </c>
      <c r="AM130" s="159"/>
      <c r="AN130" s="160">
        <f t="shared" si="29"/>
        <v>1</v>
      </c>
      <c r="AO130" s="160">
        <f t="shared" si="29"/>
        <v>2</v>
      </c>
      <c r="AP130" s="133"/>
      <c r="AQ130" s="134"/>
      <c r="AR130" s="161"/>
      <c r="AS130" s="161"/>
      <c r="AT130" s="161"/>
      <c r="AU130" s="161"/>
      <c r="AV130" s="162"/>
      <c r="AW130" s="137">
        <f t="shared" si="27"/>
        <v>0</v>
      </c>
      <c r="AX130" s="137">
        <f t="shared" si="28"/>
        <v>0</v>
      </c>
    </row>
    <row r="131" ht="46.5" customHeight="1" spans="1:50" s="97" customFormat="1" x14ac:dyDescent="0.25">
      <c r="A131" s="100"/>
      <c r="B131" s="100"/>
      <c r="C131" s="100"/>
      <c r="D131" s="100"/>
      <c r="E131" s="100"/>
      <c r="F131" s="100"/>
      <c r="G131" s="103"/>
      <c r="H131" s="186"/>
      <c r="I131" s="195">
        <v>0.51</v>
      </c>
      <c r="J131" s="107">
        <v>0.49</v>
      </c>
      <c r="K131" s="107"/>
      <c r="L131" s="107"/>
      <c r="M131" s="187"/>
      <c r="N131" s="169">
        <f t="shared" si="17"/>
        <v>1</v>
      </c>
      <c r="O131" s="144">
        <v>1</v>
      </c>
      <c r="P131" s="145">
        <v>15</v>
      </c>
      <c r="Q131" s="113">
        <v>15</v>
      </c>
      <c r="R131" s="113"/>
      <c r="S131" s="113"/>
      <c r="T131" s="146"/>
      <c r="U131" s="148">
        <f t="shared" si="18"/>
        <v>15</v>
      </c>
      <c r="V131" s="149">
        <f t="shared" si="19"/>
        <v>15</v>
      </c>
      <c r="W131" s="189"/>
      <c r="X131" s="199"/>
      <c r="Y131" s="151"/>
      <c r="Z131" s="190"/>
      <c r="AA131" s="153"/>
      <c r="AB131" s="154">
        <f t="shared" si="20"/>
        <v>0</v>
      </c>
      <c r="AC131" s="149">
        <f t="shared" si="21"/>
        <v>0</v>
      </c>
      <c r="AD131" s="125">
        <v>2</v>
      </c>
      <c r="AE131" s="148">
        <f t="shared" si="22"/>
        <v>2</v>
      </c>
      <c r="AF131" s="156"/>
      <c r="AG131" s="156"/>
      <c r="AH131" s="113">
        <f t="shared" si="23"/>
        <v>17</v>
      </c>
      <c r="AI131" s="157">
        <v>65</v>
      </c>
      <c r="AJ131" s="113">
        <f t="shared" si="24"/>
        <v>82</v>
      </c>
      <c r="AK131" s="113">
        <f t="shared" si="25"/>
        <v>82</v>
      </c>
      <c r="AL131" s="158">
        <f t="shared" si="26"/>
        <v>1.02</v>
      </c>
      <c r="AM131" s="159"/>
      <c r="AN131" s="160">
        <f t="shared" si="29"/>
        <v>1</v>
      </c>
      <c r="AO131" s="160">
        <f t="shared" si="29"/>
        <v>2</v>
      </c>
      <c r="AP131" s="133"/>
      <c r="AQ131" s="134"/>
      <c r="AR131" s="161"/>
      <c r="AS131" s="161"/>
      <c r="AT131" s="161"/>
      <c r="AU131" s="161"/>
      <c r="AV131" s="162"/>
      <c r="AW131" s="137">
        <f t="shared" si="27"/>
        <v>0</v>
      </c>
      <c r="AX131" s="137">
        <f t="shared" si="28"/>
        <v>0</v>
      </c>
    </row>
    <row r="132" ht="47.25" customHeight="1" spans="1:50" s="56" customFormat="1" x14ac:dyDescent="0.25">
      <c r="A132" s="100"/>
      <c r="B132" s="100"/>
      <c r="C132" s="100"/>
      <c r="D132" s="100"/>
      <c r="E132" s="100"/>
      <c r="F132" s="100"/>
      <c r="G132" s="103"/>
      <c r="H132" s="186"/>
      <c r="I132" s="195">
        <v>0.51</v>
      </c>
      <c r="J132" s="107">
        <v>0.49</v>
      </c>
      <c r="K132" s="107"/>
      <c r="L132" s="107"/>
      <c r="M132" s="187"/>
      <c r="N132" s="169">
        <f t="shared" si="17"/>
        <v>1</v>
      </c>
      <c r="O132" s="144">
        <v>1</v>
      </c>
      <c r="P132" s="145">
        <v>15</v>
      </c>
      <c r="Q132" s="113">
        <v>15</v>
      </c>
      <c r="R132" s="113"/>
      <c r="S132" s="113"/>
      <c r="T132" s="146"/>
      <c r="U132" s="148">
        <f t="shared" si="18"/>
        <v>15</v>
      </c>
      <c r="V132" s="149">
        <f t="shared" si="19"/>
        <v>15</v>
      </c>
      <c r="W132" s="189"/>
      <c r="X132" s="199"/>
      <c r="Y132" s="151"/>
      <c r="Z132" s="190"/>
      <c r="AA132" s="153"/>
      <c r="AB132" s="154">
        <f t="shared" si="20"/>
        <v>0</v>
      </c>
      <c r="AC132" s="149">
        <f t="shared" si="21"/>
        <v>0</v>
      </c>
      <c r="AD132" s="125">
        <v>2</v>
      </c>
      <c r="AE132" s="148">
        <f t="shared" si="22"/>
        <v>2</v>
      </c>
      <c r="AF132" s="156"/>
      <c r="AG132" s="156"/>
      <c r="AH132" s="113">
        <f t="shared" si="23"/>
        <v>17</v>
      </c>
      <c r="AI132" s="157">
        <v>65</v>
      </c>
      <c r="AJ132" s="113">
        <f t="shared" si="24"/>
        <v>82</v>
      </c>
      <c r="AK132" s="113">
        <f t="shared" si="25"/>
        <v>82</v>
      </c>
      <c r="AL132" s="158">
        <f t="shared" si="26"/>
        <v>1.02</v>
      </c>
      <c r="AM132" s="159"/>
      <c r="AN132" s="160">
        <f t="shared" si="29"/>
        <v>1</v>
      </c>
      <c r="AO132" s="160">
        <f t="shared" si="29"/>
        <v>2</v>
      </c>
      <c r="AP132" s="133"/>
      <c r="AQ132" s="134"/>
      <c r="AR132" s="161"/>
      <c r="AS132" s="161"/>
      <c r="AT132" s="161"/>
      <c r="AU132" s="161"/>
      <c r="AV132" s="162"/>
      <c r="AW132" s="137">
        <f t="shared" si="27"/>
        <v>0</v>
      </c>
      <c r="AX132" s="137">
        <f t="shared" si="28"/>
        <v>0</v>
      </c>
    </row>
    <row r="133" ht="46.5" customHeight="1" spans="1:50" s="97" customFormat="1" x14ac:dyDescent="0.25">
      <c r="A133" s="100"/>
      <c r="B133" s="100"/>
      <c r="C133" s="100"/>
      <c r="D133" s="100"/>
      <c r="E133" s="100"/>
      <c r="F133" s="100"/>
      <c r="G133" s="103"/>
      <c r="H133" s="186"/>
      <c r="I133" s="195">
        <v>0.51</v>
      </c>
      <c r="J133" s="107">
        <v>0.49</v>
      </c>
      <c r="K133" s="107"/>
      <c r="L133" s="107"/>
      <c r="M133" s="187"/>
      <c r="N133" s="169">
        <f t="shared" si="17"/>
        <v>1</v>
      </c>
      <c r="O133" s="144">
        <v>1</v>
      </c>
      <c r="P133" s="145">
        <v>15</v>
      </c>
      <c r="Q133" s="113">
        <v>15</v>
      </c>
      <c r="R133" s="113"/>
      <c r="S133" s="113"/>
      <c r="T133" s="146"/>
      <c r="U133" s="148">
        <f t="shared" si="18"/>
        <v>15</v>
      </c>
      <c r="V133" s="149">
        <f t="shared" si="19"/>
        <v>15</v>
      </c>
      <c r="W133" s="189"/>
      <c r="X133" s="199"/>
      <c r="Y133" s="151"/>
      <c r="Z133" s="190"/>
      <c r="AA133" s="153"/>
      <c r="AB133" s="154">
        <f t="shared" si="20"/>
        <v>0</v>
      </c>
      <c r="AC133" s="149">
        <f t="shared" si="21"/>
        <v>0</v>
      </c>
      <c r="AD133" s="125">
        <v>2</v>
      </c>
      <c r="AE133" s="148">
        <f t="shared" si="22"/>
        <v>2</v>
      </c>
      <c r="AF133" s="156"/>
      <c r="AG133" s="156"/>
      <c r="AH133" s="113">
        <f t="shared" si="23"/>
        <v>17</v>
      </c>
      <c r="AI133" s="157">
        <v>65</v>
      </c>
      <c r="AJ133" s="113">
        <f t="shared" si="24"/>
        <v>82</v>
      </c>
      <c r="AK133" s="113">
        <f t="shared" si="25"/>
        <v>82</v>
      </c>
      <c r="AL133" s="158">
        <f t="shared" si="26"/>
        <v>1.02</v>
      </c>
      <c r="AM133" s="159"/>
      <c r="AN133" s="160">
        <f t="shared" si="29"/>
        <v>1</v>
      </c>
      <c r="AO133" s="160">
        <f t="shared" si="29"/>
        <v>2</v>
      </c>
      <c r="AP133" s="133"/>
      <c r="AQ133" s="134"/>
      <c r="AR133" s="161"/>
      <c r="AS133" s="161"/>
      <c r="AT133" s="161"/>
      <c r="AU133" s="161"/>
      <c r="AV133" s="162"/>
      <c r="AW133" s="137">
        <f t="shared" si="27"/>
        <v>0</v>
      </c>
      <c r="AX133" s="137">
        <f t="shared" si="28"/>
        <v>0</v>
      </c>
    </row>
    <row r="134" ht="47.25" customHeight="1" spans="1:50" s="56" customFormat="1" x14ac:dyDescent="0.25">
      <c r="A134" s="100"/>
      <c r="B134" s="100"/>
      <c r="C134" s="100"/>
      <c r="D134" s="100"/>
      <c r="E134" s="100"/>
      <c r="F134" s="100"/>
      <c r="G134" s="103"/>
      <c r="H134" s="186"/>
      <c r="I134" s="195">
        <v>0.51</v>
      </c>
      <c r="J134" s="107">
        <v>0.49</v>
      </c>
      <c r="K134" s="107"/>
      <c r="L134" s="107"/>
      <c r="M134" s="187"/>
      <c r="N134" s="169">
        <f t="shared" si="17"/>
        <v>1</v>
      </c>
      <c r="O134" s="144">
        <v>1</v>
      </c>
      <c r="P134" s="145">
        <v>15</v>
      </c>
      <c r="Q134" s="113">
        <v>15</v>
      </c>
      <c r="R134" s="113"/>
      <c r="S134" s="113"/>
      <c r="T134" s="146"/>
      <c r="U134" s="148">
        <f t="shared" si="18"/>
        <v>15</v>
      </c>
      <c r="V134" s="149">
        <f t="shared" si="19"/>
        <v>15</v>
      </c>
      <c r="W134" s="189"/>
      <c r="X134" s="199"/>
      <c r="Y134" s="151"/>
      <c r="Z134" s="190"/>
      <c r="AA134" s="153"/>
      <c r="AB134" s="154">
        <f t="shared" si="20"/>
        <v>0</v>
      </c>
      <c r="AC134" s="149">
        <f t="shared" si="21"/>
        <v>0</v>
      </c>
      <c r="AD134" s="125">
        <v>2</v>
      </c>
      <c r="AE134" s="148">
        <f t="shared" si="22"/>
        <v>2</v>
      </c>
      <c r="AF134" s="156"/>
      <c r="AG134" s="156"/>
      <c r="AH134" s="113">
        <f t="shared" si="23"/>
        <v>17</v>
      </c>
      <c r="AI134" s="157">
        <v>65</v>
      </c>
      <c r="AJ134" s="113">
        <f t="shared" si="24"/>
        <v>82</v>
      </c>
      <c r="AK134" s="113">
        <f t="shared" si="25"/>
        <v>82</v>
      </c>
      <c r="AL134" s="158">
        <f t="shared" si="26"/>
        <v>1.02</v>
      </c>
      <c r="AM134" s="159"/>
      <c r="AN134" s="160">
        <f t="shared" si="29"/>
        <v>1</v>
      </c>
      <c r="AO134" s="160">
        <f t="shared" si="29"/>
        <v>2</v>
      </c>
      <c r="AP134" s="133"/>
      <c r="AQ134" s="134"/>
      <c r="AR134" s="161"/>
      <c r="AS134" s="161"/>
      <c r="AT134" s="161"/>
      <c r="AU134" s="161"/>
      <c r="AV134" s="162"/>
      <c r="AW134" s="137">
        <f t="shared" si="27"/>
        <v>0</v>
      </c>
      <c r="AX134" s="137">
        <f t="shared" si="28"/>
        <v>0</v>
      </c>
    </row>
    <row r="135" ht="46.5" customHeight="1" spans="1:50" s="97" customFormat="1" x14ac:dyDescent="0.25">
      <c r="A135" s="100"/>
      <c r="B135" s="100"/>
      <c r="C135" s="100"/>
      <c r="D135" s="100"/>
      <c r="E135" s="100"/>
      <c r="F135" s="100"/>
      <c r="G135" s="103"/>
      <c r="H135" s="186"/>
      <c r="I135" s="195">
        <v>0.51</v>
      </c>
      <c r="J135" s="107">
        <v>0.49</v>
      </c>
      <c r="K135" s="107"/>
      <c r="L135" s="107"/>
      <c r="M135" s="187"/>
      <c r="N135" s="169">
        <f t="shared" si="17"/>
        <v>1</v>
      </c>
      <c r="O135" s="144">
        <v>1</v>
      </c>
      <c r="P135" s="145">
        <v>15</v>
      </c>
      <c r="Q135" s="113">
        <v>15</v>
      </c>
      <c r="R135" s="113"/>
      <c r="S135" s="113"/>
      <c r="T135" s="146"/>
      <c r="U135" s="148">
        <f t="shared" si="18"/>
        <v>15</v>
      </c>
      <c r="V135" s="149">
        <f t="shared" si="19"/>
        <v>15</v>
      </c>
      <c r="W135" s="189"/>
      <c r="X135" s="199"/>
      <c r="Y135" s="151"/>
      <c r="Z135" s="190"/>
      <c r="AA135" s="153"/>
      <c r="AB135" s="154">
        <f t="shared" si="20"/>
        <v>0</v>
      </c>
      <c r="AC135" s="149">
        <f t="shared" si="21"/>
        <v>0</v>
      </c>
      <c r="AD135" s="125">
        <v>2</v>
      </c>
      <c r="AE135" s="148">
        <f t="shared" si="22"/>
        <v>2</v>
      </c>
      <c r="AF135" s="156"/>
      <c r="AG135" s="156"/>
      <c r="AH135" s="113">
        <f t="shared" si="23"/>
        <v>17</v>
      </c>
      <c r="AI135" s="157">
        <v>65</v>
      </c>
      <c r="AJ135" s="113">
        <f t="shared" si="24"/>
        <v>82</v>
      </c>
      <c r="AK135" s="113">
        <f t="shared" si="25"/>
        <v>82</v>
      </c>
      <c r="AL135" s="158">
        <f t="shared" si="26"/>
        <v>1.02</v>
      </c>
      <c r="AM135" s="159"/>
      <c r="AN135" s="160">
        <f t="shared" si="29"/>
        <v>1</v>
      </c>
      <c r="AO135" s="160">
        <f t="shared" si="29"/>
        <v>2</v>
      </c>
      <c r="AP135" s="133"/>
      <c r="AQ135" s="134"/>
      <c r="AR135" s="161"/>
      <c r="AS135" s="161"/>
      <c r="AT135" s="161"/>
      <c r="AU135" s="161"/>
      <c r="AV135" s="162"/>
      <c r="AW135" s="137">
        <f t="shared" si="27"/>
        <v>0</v>
      </c>
      <c r="AX135" s="137">
        <f t="shared" si="28"/>
        <v>0</v>
      </c>
    </row>
    <row r="136" ht="46.5" customHeight="1" spans="1:50" s="97" customFormat="1" x14ac:dyDescent="0.25">
      <c r="A136" s="100"/>
      <c r="B136" s="100"/>
      <c r="C136" s="100"/>
      <c r="D136" s="100"/>
      <c r="E136" s="100"/>
      <c r="F136" s="100"/>
      <c r="G136" s="103"/>
      <c r="H136" s="186"/>
      <c r="I136" s="195">
        <v>0.51</v>
      </c>
      <c r="J136" s="107">
        <v>0.49</v>
      </c>
      <c r="K136" s="107"/>
      <c r="L136" s="107"/>
      <c r="M136" s="187"/>
      <c r="N136" s="169">
        <f t="shared" si="17"/>
        <v>1</v>
      </c>
      <c r="O136" s="144">
        <v>1</v>
      </c>
      <c r="P136" s="145">
        <v>15</v>
      </c>
      <c r="Q136" s="113">
        <v>15</v>
      </c>
      <c r="R136" s="113"/>
      <c r="S136" s="113"/>
      <c r="T136" s="146"/>
      <c r="U136" s="148">
        <f t="shared" si="18"/>
        <v>15</v>
      </c>
      <c r="V136" s="149">
        <f t="shared" si="19"/>
        <v>15</v>
      </c>
      <c r="W136" s="189"/>
      <c r="X136" s="199"/>
      <c r="Y136" s="151"/>
      <c r="Z136" s="190"/>
      <c r="AA136" s="153"/>
      <c r="AB136" s="154">
        <f t="shared" si="20"/>
        <v>0</v>
      </c>
      <c r="AC136" s="149">
        <f t="shared" si="21"/>
        <v>0</v>
      </c>
      <c r="AD136" s="125">
        <v>2</v>
      </c>
      <c r="AE136" s="148">
        <f t="shared" si="22"/>
        <v>2</v>
      </c>
      <c r="AF136" s="156"/>
      <c r="AG136" s="156"/>
      <c r="AH136" s="113">
        <f t="shared" si="23"/>
        <v>17</v>
      </c>
      <c r="AI136" s="157">
        <v>65</v>
      </c>
      <c r="AJ136" s="113">
        <f t="shared" si="24"/>
        <v>82</v>
      </c>
      <c r="AK136" s="113">
        <f t="shared" si="25"/>
        <v>82</v>
      </c>
      <c r="AL136" s="158">
        <f t="shared" si="26"/>
        <v>1.02</v>
      </c>
      <c r="AM136" s="159"/>
      <c r="AN136" s="160">
        <f t="shared" si="29"/>
        <v>1</v>
      </c>
      <c r="AO136" s="160">
        <f t="shared" si="29"/>
        <v>2</v>
      </c>
      <c r="AP136" s="133"/>
      <c r="AQ136" s="134"/>
      <c r="AR136" s="161"/>
      <c r="AS136" s="161"/>
      <c r="AT136" s="161"/>
      <c r="AU136" s="161"/>
      <c r="AV136" s="162"/>
      <c r="AW136" s="137">
        <f t="shared" si="27"/>
        <v>0</v>
      </c>
      <c r="AX136" s="137">
        <f t="shared" si="28"/>
        <v>0</v>
      </c>
    </row>
    <row r="137" ht="47.25" customHeight="1" spans="1:50" s="97" customFormat="1" x14ac:dyDescent="0.25">
      <c r="A137" s="100"/>
      <c r="B137" s="100"/>
      <c r="C137" s="100"/>
      <c r="D137" s="100"/>
      <c r="E137" s="100"/>
      <c r="F137" s="100"/>
      <c r="G137" s="103"/>
      <c r="H137" s="186"/>
      <c r="I137" s="195">
        <v>0.51</v>
      </c>
      <c r="J137" s="107">
        <v>0.49</v>
      </c>
      <c r="K137" s="107"/>
      <c r="L137" s="107"/>
      <c r="M137" s="187"/>
      <c r="N137" s="169">
        <f t="shared" si="17"/>
        <v>1</v>
      </c>
      <c r="O137" s="144">
        <v>1</v>
      </c>
      <c r="P137" s="145">
        <v>15</v>
      </c>
      <c r="Q137" s="113">
        <v>15</v>
      </c>
      <c r="R137" s="113"/>
      <c r="S137" s="113"/>
      <c r="T137" s="146"/>
      <c r="U137" s="148">
        <f t="shared" si="18"/>
        <v>15</v>
      </c>
      <c r="V137" s="149">
        <f t="shared" si="19"/>
        <v>15</v>
      </c>
      <c r="W137" s="189"/>
      <c r="X137" s="199"/>
      <c r="Y137" s="151"/>
      <c r="Z137" s="190"/>
      <c r="AA137" s="153"/>
      <c r="AB137" s="154">
        <f t="shared" si="20"/>
        <v>0</v>
      </c>
      <c r="AC137" s="149">
        <f t="shared" si="21"/>
        <v>0</v>
      </c>
      <c r="AD137" s="125">
        <v>2</v>
      </c>
      <c r="AE137" s="148">
        <f t="shared" si="22"/>
        <v>2</v>
      </c>
      <c r="AF137" s="156"/>
      <c r="AG137" s="156"/>
      <c r="AH137" s="113">
        <f t="shared" si="23"/>
        <v>17</v>
      </c>
      <c r="AI137" s="157">
        <v>65</v>
      </c>
      <c r="AJ137" s="113">
        <f t="shared" si="24"/>
        <v>82</v>
      </c>
      <c r="AK137" s="113">
        <f t="shared" si="25"/>
        <v>82</v>
      </c>
      <c r="AL137" s="158">
        <f t="shared" si="26"/>
        <v>1.02</v>
      </c>
      <c r="AM137" s="159"/>
      <c r="AN137" s="160">
        <f t="shared" si="29"/>
        <v>1</v>
      </c>
      <c r="AO137" s="160">
        <f t="shared" si="29"/>
        <v>2</v>
      </c>
      <c r="AP137" s="133"/>
      <c r="AQ137" s="134"/>
      <c r="AR137" s="161"/>
      <c r="AS137" s="161"/>
      <c r="AT137" s="161"/>
      <c r="AU137" s="161"/>
      <c r="AV137" s="162"/>
      <c r="AW137" s="137">
        <f t="shared" si="27"/>
        <v>0</v>
      </c>
      <c r="AX137" s="137">
        <f t="shared" si="28"/>
        <v>0</v>
      </c>
    </row>
    <row r="138" ht="47.25" customHeight="1" spans="1:50" s="56" customFormat="1" x14ac:dyDescent="0.25">
      <c r="A138" s="100"/>
      <c r="B138" s="100"/>
      <c r="C138" s="100"/>
      <c r="D138" s="100"/>
      <c r="E138" s="100"/>
      <c r="F138" s="100"/>
      <c r="G138" s="103"/>
      <c r="H138" s="186"/>
      <c r="I138" s="195">
        <v>0.51</v>
      </c>
      <c r="J138" s="107">
        <v>0.49</v>
      </c>
      <c r="K138" s="107"/>
      <c r="L138" s="107"/>
      <c r="M138" s="187"/>
      <c r="N138" s="169">
        <f t="shared" si="17"/>
        <v>1</v>
      </c>
      <c r="O138" s="144">
        <v>1</v>
      </c>
      <c r="P138" s="145">
        <v>15</v>
      </c>
      <c r="Q138" s="113">
        <v>15</v>
      </c>
      <c r="R138" s="113"/>
      <c r="S138" s="113"/>
      <c r="T138" s="146"/>
      <c r="U138" s="148">
        <f t="shared" si="18"/>
        <v>15</v>
      </c>
      <c r="V138" s="149">
        <f t="shared" si="19"/>
        <v>15</v>
      </c>
      <c r="W138" s="189"/>
      <c r="X138" s="199"/>
      <c r="Y138" s="151"/>
      <c r="Z138" s="190"/>
      <c r="AA138" s="153"/>
      <c r="AB138" s="154">
        <f t="shared" si="20"/>
        <v>0</v>
      </c>
      <c r="AC138" s="149">
        <f t="shared" si="21"/>
        <v>0</v>
      </c>
      <c r="AD138" s="125">
        <v>2</v>
      </c>
      <c r="AE138" s="148">
        <f t="shared" si="22"/>
        <v>2</v>
      </c>
      <c r="AF138" s="156"/>
      <c r="AG138" s="156"/>
      <c r="AH138" s="113">
        <f t="shared" si="23"/>
        <v>17</v>
      </c>
      <c r="AI138" s="157">
        <v>65</v>
      </c>
      <c r="AJ138" s="113">
        <f t="shared" si="24"/>
        <v>82</v>
      </c>
      <c r="AK138" s="113">
        <f t="shared" si="25"/>
        <v>82</v>
      </c>
      <c r="AL138" s="158">
        <f t="shared" si="26"/>
        <v>1.02</v>
      </c>
      <c r="AM138" s="159"/>
      <c r="AN138" s="160">
        <f t="shared" si="29"/>
        <v>1</v>
      </c>
      <c r="AO138" s="160">
        <f t="shared" si="29"/>
        <v>2</v>
      </c>
      <c r="AP138" s="133"/>
      <c r="AQ138" s="134"/>
      <c r="AR138" s="161"/>
      <c r="AS138" s="161"/>
      <c r="AT138" s="161"/>
      <c r="AU138" s="161"/>
      <c r="AV138" s="162"/>
      <c r="AW138" s="137">
        <f t="shared" si="27"/>
        <v>0</v>
      </c>
      <c r="AX138" s="137">
        <f t="shared" si="28"/>
        <v>0</v>
      </c>
    </row>
    <row r="139" ht="46.5" customHeight="1" spans="1:50" s="97" customFormat="1" x14ac:dyDescent="0.25">
      <c r="A139" s="100"/>
      <c r="B139" s="100"/>
      <c r="C139" s="100"/>
      <c r="D139" s="100"/>
      <c r="E139" s="100"/>
      <c r="F139" s="100"/>
      <c r="G139" s="103"/>
      <c r="H139" s="186"/>
      <c r="I139" s="195">
        <v>0.51</v>
      </c>
      <c r="J139" s="107">
        <v>0.49</v>
      </c>
      <c r="K139" s="107"/>
      <c r="L139" s="107"/>
      <c r="M139" s="187"/>
      <c r="N139" s="169">
        <f t="shared" ref="N139:N142" si="30">SUM(I139:M139)</f>
        <v>1</v>
      </c>
      <c r="O139" s="144">
        <v>1</v>
      </c>
      <c r="P139" s="145">
        <v>15</v>
      </c>
      <c r="Q139" s="113">
        <v>15</v>
      </c>
      <c r="R139" s="113"/>
      <c r="S139" s="113"/>
      <c r="T139" s="146"/>
      <c r="U139" s="148">
        <f t="shared" si="18"/>
        <v>15</v>
      </c>
      <c r="V139" s="149">
        <f t="shared" si="19"/>
        <v>15</v>
      </c>
      <c r="W139" s="189"/>
      <c r="X139" s="199"/>
      <c r="Y139" s="151"/>
      <c r="Z139" s="190"/>
      <c r="AA139" s="153"/>
      <c r="AB139" s="154">
        <f t="shared" si="20"/>
        <v>0</v>
      </c>
      <c r="AC139" s="149">
        <f t="shared" si="21"/>
        <v>0</v>
      </c>
      <c r="AD139" s="125">
        <v>2</v>
      </c>
      <c r="AE139" s="148">
        <f t="shared" si="22"/>
        <v>2</v>
      </c>
      <c r="AF139" s="156"/>
      <c r="AG139" s="156"/>
      <c r="AH139" s="113">
        <f t="shared" si="23"/>
        <v>17</v>
      </c>
      <c r="AI139" s="157">
        <v>65</v>
      </c>
      <c r="AJ139" s="113">
        <f t="shared" si="24"/>
        <v>82</v>
      </c>
      <c r="AK139" s="113">
        <f t="shared" si="25"/>
        <v>82</v>
      </c>
      <c r="AL139" s="158">
        <f t="shared" si="26"/>
        <v>1.02</v>
      </c>
      <c r="AM139" s="159"/>
      <c r="AN139" s="160">
        <f t="shared" si="29"/>
        <v>1</v>
      </c>
      <c r="AO139" s="160">
        <f t="shared" si="29"/>
        <v>2</v>
      </c>
      <c r="AP139" s="133"/>
      <c r="AQ139" s="134"/>
      <c r="AR139" s="161"/>
      <c r="AS139" s="161"/>
      <c r="AT139" s="161"/>
      <c r="AU139" s="161"/>
      <c r="AV139" s="162"/>
      <c r="AW139" s="137">
        <f t="shared" si="27"/>
        <v>0</v>
      </c>
      <c r="AX139" s="137">
        <f t="shared" si="28"/>
        <v>0</v>
      </c>
    </row>
    <row r="140" ht="47.25" customHeight="1" spans="1:50" s="56" customFormat="1" x14ac:dyDescent="0.25">
      <c r="A140" s="100"/>
      <c r="B140" s="100"/>
      <c r="C140" s="100"/>
      <c r="D140" s="100"/>
      <c r="E140" s="100"/>
      <c r="F140" s="100"/>
      <c r="G140" s="103"/>
      <c r="H140" s="186"/>
      <c r="I140" s="195">
        <v>0.51</v>
      </c>
      <c r="J140" s="107">
        <v>0.49</v>
      </c>
      <c r="K140" s="107"/>
      <c r="L140" s="107"/>
      <c r="M140" s="187"/>
      <c r="N140" s="169">
        <f t="shared" si="30"/>
        <v>1</v>
      </c>
      <c r="O140" s="144">
        <v>1</v>
      </c>
      <c r="P140" s="145">
        <v>15</v>
      </c>
      <c r="Q140" s="113">
        <v>15</v>
      </c>
      <c r="R140" s="113"/>
      <c r="S140" s="113"/>
      <c r="T140" s="146"/>
      <c r="U140" s="148">
        <f t="shared" si="18"/>
        <v>15</v>
      </c>
      <c r="V140" s="149">
        <f t="shared" si="19"/>
        <v>15</v>
      </c>
      <c r="W140" s="189"/>
      <c r="X140" s="199"/>
      <c r="Y140" s="151"/>
      <c r="Z140" s="190"/>
      <c r="AA140" s="153"/>
      <c r="AB140" s="154">
        <f t="shared" si="20"/>
        <v>0</v>
      </c>
      <c r="AC140" s="149">
        <f t="shared" si="21"/>
        <v>0</v>
      </c>
      <c r="AD140" s="125">
        <v>2</v>
      </c>
      <c r="AE140" s="148">
        <f t="shared" si="22"/>
        <v>2</v>
      </c>
      <c r="AF140" s="156"/>
      <c r="AG140" s="156"/>
      <c r="AH140" s="113">
        <f t="shared" si="23"/>
        <v>17</v>
      </c>
      <c r="AI140" s="157">
        <v>65</v>
      </c>
      <c r="AJ140" s="113">
        <f t="shared" si="24"/>
        <v>82</v>
      </c>
      <c r="AK140" s="113">
        <f t="shared" si="25"/>
        <v>82</v>
      </c>
      <c r="AL140" s="158">
        <f t="shared" si="26"/>
        <v>1.02</v>
      </c>
      <c r="AM140" s="159"/>
      <c r="AN140" s="160">
        <f t="shared" si="29"/>
        <v>1</v>
      </c>
      <c r="AO140" s="160">
        <f t="shared" si="29"/>
        <v>2</v>
      </c>
      <c r="AP140" s="133"/>
      <c r="AQ140" s="134"/>
      <c r="AR140" s="161"/>
      <c r="AS140" s="161"/>
      <c r="AT140" s="161"/>
      <c r="AU140" s="161"/>
      <c r="AV140" s="162"/>
      <c r="AW140" s="137">
        <f t="shared" si="27"/>
        <v>0</v>
      </c>
      <c r="AX140" s="137">
        <f t="shared" si="28"/>
        <v>0</v>
      </c>
    </row>
    <row r="141" ht="47.25" customHeight="1" spans="1:50" s="97" customFormat="1" x14ac:dyDescent="0.25">
      <c r="A141" s="100"/>
      <c r="B141" s="100"/>
      <c r="C141" s="100"/>
      <c r="D141" s="100"/>
      <c r="E141" s="100"/>
      <c r="F141" s="100"/>
      <c r="G141" s="103"/>
      <c r="H141" s="186"/>
      <c r="I141" s="195">
        <v>0.51</v>
      </c>
      <c r="J141" s="107">
        <v>0.49</v>
      </c>
      <c r="K141" s="107"/>
      <c r="L141" s="107"/>
      <c r="M141" s="187"/>
      <c r="N141" s="169">
        <f t="shared" si="30"/>
        <v>1</v>
      </c>
      <c r="O141" s="144">
        <v>1</v>
      </c>
      <c r="P141" s="145">
        <v>15</v>
      </c>
      <c r="Q141" s="113">
        <v>15</v>
      </c>
      <c r="R141" s="113"/>
      <c r="S141" s="113"/>
      <c r="T141" s="146"/>
      <c r="U141" s="148">
        <f t="shared" si="18"/>
        <v>15</v>
      </c>
      <c r="V141" s="149">
        <f t="shared" si="19"/>
        <v>15</v>
      </c>
      <c r="W141" s="189"/>
      <c r="X141" s="199"/>
      <c r="Y141" s="151"/>
      <c r="Z141" s="190"/>
      <c r="AA141" s="153"/>
      <c r="AB141" s="154">
        <f t="shared" si="20"/>
        <v>0</v>
      </c>
      <c r="AC141" s="149">
        <f t="shared" si="21"/>
        <v>0</v>
      </c>
      <c r="AD141" s="125">
        <v>2</v>
      </c>
      <c r="AE141" s="148">
        <f t="shared" si="22"/>
        <v>2</v>
      </c>
      <c r="AF141" s="156"/>
      <c r="AG141" s="156"/>
      <c r="AH141" s="113">
        <f t="shared" si="23"/>
        <v>17</v>
      </c>
      <c r="AI141" s="157">
        <v>65</v>
      </c>
      <c r="AJ141" s="113">
        <f t="shared" si="24"/>
        <v>82</v>
      </c>
      <c r="AK141" s="113">
        <f t="shared" si="25"/>
        <v>82</v>
      </c>
      <c r="AL141" s="158">
        <f t="shared" si="26"/>
        <v>1.02</v>
      </c>
      <c r="AM141" s="159"/>
      <c r="AN141" s="160">
        <f t="shared" si="29"/>
        <v>1</v>
      </c>
      <c r="AO141" s="160">
        <f t="shared" si="29"/>
        <v>2</v>
      </c>
      <c r="AP141" s="133"/>
      <c r="AQ141" s="134"/>
      <c r="AR141" s="161"/>
      <c r="AS141" s="161"/>
      <c r="AT141" s="161"/>
      <c r="AU141" s="161"/>
      <c r="AV141" s="162"/>
      <c r="AW141" s="137">
        <f t="shared" si="27"/>
        <v>0</v>
      </c>
      <c r="AX141" s="137">
        <f t="shared" si="28"/>
        <v>0</v>
      </c>
    </row>
    <row r="142" ht="46.5" customHeight="1" spans="1:50" s="97" customFormat="1" x14ac:dyDescent="0.25">
      <c r="A142" s="100"/>
      <c r="B142" s="100"/>
      <c r="C142" s="100"/>
      <c r="D142" s="100"/>
      <c r="E142" s="100"/>
      <c r="F142" s="100"/>
      <c r="G142" s="103"/>
      <c r="H142" s="186"/>
      <c r="I142" s="195">
        <v>0.51</v>
      </c>
      <c r="J142" s="107">
        <v>0.49</v>
      </c>
      <c r="K142" s="107"/>
      <c r="L142" s="107"/>
      <c r="M142" s="187"/>
      <c r="N142" s="169">
        <f t="shared" si="30"/>
        <v>1</v>
      </c>
      <c r="O142" s="144">
        <v>1</v>
      </c>
      <c r="P142" s="145">
        <v>15</v>
      </c>
      <c r="Q142" s="113">
        <v>15</v>
      </c>
      <c r="R142" s="113"/>
      <c r="S142" s="113"/>
      <c r="T142" s="146"/>
      <c r="U142" s="148">
        <f t="shared" si="18"/>
        <v>15</v>
      </c>
      <c r="V142" s="149">
        <f t="shared" si="19"/>
        <v>15</v>
      </c>
      <c r="W142" s="189"/>
      <c r="X142" s="199"/>
      <c r="Y142" s="151"/>
      <c r="Z142" s="190"/>
      <c r="AA142" s="153"/>
      <c r="AB142" s="154">
        <f t="shared" si="20"/>
        <v>0</v>
      </c>
      <c r="AC142" s="149">
        <f t="shared" si="21"/>
        <v>0</v>
      </c>
      <c r="AD142" s="125">
        <v>2</v>
      </c>
      <c r="AE142" s="148">
        <f t="shared" si="22"/>
        <v>2</v>
      </c>
      <c r="AF142" s="156"/>
      <c r="AG142" s="156"/>
      <c r="AH142" s="113">
        <f t="shared" si="23"/>
        <v>17</v>
      </c>
      <c r="AI142" s="157">
        <v>65</v>
      </c>
      <c r="AJ142" s="113">
        <f t="shared" si="24"/>
        <v>82</v>
      </c>
      <c r="AK142" s="113">
        <f t="shared" si="25"/>
        <v>82</v>
      </c>
      <c r="AL142" s="158">
        <f t="shared" si="26"/>
        <v>1.02</v>
      </c>
      <c r="AM142" s="159"/>
      <c r="AN142" s="160">
        <f t="shared" si="29"/>
        <v>1</v>
      </c>
      <c r="AO142" s="160">
        <f t="shared" si="29"/>
        <v>2</v>
      </c>
      <c r="AP142" s="133"/>
      <c r="AQ142" s="134"/>
      <c r="AR142" s="161"/>
      <c r="AS142" s="161"/>
      <c r="AT142" s="161"/>
      <c r="AU142" s="161"/>
      <c r="AV142" s="162"/>
      <c r="AW142" s="137">
        <f t="shared" si="27"/>
        <v>0</v>
      </c>
      <c r="AX142" s="137">
        <f t="shared" si="28"/>
        <v>0</v>
      </c>
    </row>
  </sheetData>
  <mergeCells count="63">
    <mergeCell ref="D1:E1"/>
    <mergeCell ref="F1:G1"/>
    <mergeCell ref="I1:J1"/>
    <mergeCell ref="Y1:Z1"/>
    <mergeCell ref="AA1:AC1"/>
    <mergeCell ref="AD1:AE1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AG2:AH2"/>
    <mergeCell ref="AI2:AK2"/>
    <mergeCell ref="AS2:AT2"/>
    <mergeCell ref="C3:H3"/>
    <mergeCell ref="I3:M3"/>
    <mergeCell ref="P3:U3"/>
    <mergeCell ref="W3:AE3"/>
    <mergeCell ref="A3:A4"/>
    <mergeCell ref="B3:B4"/>
    <mergeCell ref="N3:N4"/>
    <mergeCell ref="O3:O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6:H6"/>
    <mergeCell ref="A8:H8"/>
    <mergeCell ref="A10:H10"/>
    <mergeCell ref="A12:H12"/>
    <mergeCell ref="A14:H14"/>
    <mergeCell ref="A16:H16"/>
    <mergeCell ref="A18:H18"/>
    <mergeCell ref="A20:H20"/>
    <mergeCell ref="A22:H22"/>
    <mergeCell ref="A24:H24"/>
    <mergeCell ref="A26:H26"/>
    <mergeCell ref="A28:H28"/>
    <mergeCell ref="A30:H30"/>
    <mergeCell ref="A32:H32"/>
    <mergeCell ref="A34:H34"/>
    <mergeCell ref="A36:H36"/>
    <mergeCell ref="A38:H38"/>
    <mergeCell ref="A40:H40"/>
    <mergeCell ref="A42:H42"/>
    <mergeCell ref="A44:H44"/>
    <mergeCell ref="A46:H46"/>
    <mergeCell ref="A48:H48"/>
    <mergeCell ref="A50:H50"/>
  </mergeCells>
  <pageMargins left="0.7" right="0.7" top="0.75" bottom="0.75" header="0.3" footer="0.3"/>
  <pageSetup paperSize="9" orientation="portrait" horizontalDpi="4294967295" verticalDpi="4294967295" scale="40" fitToWidth="1" fitToHeight="1" firstPageNumber="1" useFirstPageNumber="1" copies="1"/>
</worksheet>
</file>

<file path=xl/worksheets/sheet8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X138"/>
  <sheetViews>
    <sheetView workbookViewId="0" zoomScale="80" zoomScaleNormal="80">
      <selection activeCell="J16" sqref="J16"/>
    </sheetView>
  </sheetViews>
  <sheetFormatPr defaultRowHeight="13.5" outlineLevelRow="0" outlineLevelCol="0" x14ac:dyDescent="0.15" defaultColWidth="8.88671875" customHeight="1"/>
  <cols>
    <col min="1" max="1" width="5.33203125" style="1" customWidth="1"/>
    <col min="2" max="2" width="5.109375" style="2" customWidth="1"/>
    <col min="3" max="3" width="8.33203125" style="3" customWidth="1"/>
    <col min="4" max="7" width="8.33203125" style="1" customWidth="1"/>
    <col min="8" max="13" width="8.109375" style="1" customWidth="1"/>
    <col min="14" max="15" width="5.88671875" style="1" customWidth="1"/>
    <col min="16" max="21" width="7.5546875" style="1" customWidth="1"/>
    <col min="22" max="22" width="7.6640625" style="4" hidden="1" customWidth="1"/>
    <col min="23" max="27" width="8.33203125" style="1" customWidth="1"/>
    <col min="28" max="28" width="7.6640625" style="1" customWidth="1"/>
    <col min="29" max="29" width="7.6640625" style="4" hidden="1" customWidth="1"/>
    <col min="30" max="31" width="7.6640625" style="4" customWidth="1"/>
    <col min="32" max="33" width="6.109375" style="1" customWidth="1"/>
    <col min="34" max="34" width="7.6640625" style="1" customWidth="1"/>
    <col min="35" max="35" width="4.6640625" style="1" customWidth="1"/>
    <col min="36" max="36" width="8.3320312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 customWidth="1"/>
    <col min="49" max="50" width="15.109375" style="1" customWidth="1"/>
    <col min="51" max="16384" width="8.88671875" style="1" customWidth="1"/>
  </cols>
  <sheetData>
    <row r="1" ht="32.25" customHeight="1" spans="1:42" x14ac:dyDescent="0.25">
      <c r="A1" s="281" t="s">
        <v>348</v>
      </c>
      <c r="B1" s="282"/>
      <c r="C1" s="5" t="s">
        <v>0</v>
      </c>
      <c r="D1" s="6">
        <v>714759091</v>
      </c>
      <c r="E1" s="7"/>
      <c r="F1" s="6"/>
      <c r="G1" s="7"/>
      <c r="H1" s="8" t="s">
        <v>1</v>
      </c>
      <c r="I1" s="9"/>
      <c r="J1" s="9"/>
      <c r="K1" s="220" t="s">
        <v>349</v>
      </c>
      <c r="L1" s="11"/>
      <c r="M1" s="11"/>
      <c r="N1" s="12"/>
      <c r="O1" s="12"/>
      <c r="P1" s="12"/>
      <c r="Q1" s="12"/>
      <c r="R1" s="12"/>
      <c r="S1" s="12"/>
      <c r="T1" s="12"/>
      <c r="U1" s="12"/>
      <c r="V1" s="12"/>
      <c r="W1" s="12"/>
      <c r="X1" s="13"/>
      <c r="Y1" s="14" t="s">
        <v>3</v>
      </c>
      <c r="Z1" s="14"/>
      <c r="AA1" s="15" t="s">
        <v>4</v>
      </c>
      <c r="AB1" s="16"/>
      <c r="AC1" s="17"/>
      <c r="AD1" s="18" t="s">
        <v>5</v>
      </c>
      <c r="AE1" s="19"/>
      <c r="AF1" s="20"/>
      <c r="AG1" s="21" t="s">
        <v>6</v>
      </c>
      <c r="AH1" s="22"/>
      <c r="AI1" s="23"/>
      <c r="AJ1" s="24"/>
      <c r="AK1" s="24"/>
      <c r="AL1" s="25" t="s">
        <v>7</v>
      </c>
      <c r="AM1" s="26"/>
      <c r="AN1" s="26"/>
      <c r="AO1" s="26"/>
      <c r="AP1" s="12"/>
    </row>
    <row r="2" ht="29.25" customHeight="1" spans="1:49" s="27" customFormat="1" x14ac:dyDescent="0.25">
      <c r="A2" s="283"/>
      <c r="B2" s="284"/>
      <c r="C2" s="29" t="s">
        <v>8</v>
      </c>
      <c r="D2" s="30">
        <v>786235000</v>
      </c>
      <c r="E2" s="31"/>
      <c r="F2" s="32"/>
      <c r="G2" s="33"/>
      <c r="H2" s="5" t="s">
        <v>9</v>
      </c>
      <c r="I2" s="34">
        <f>D2*1</f>
        <v>786235000</v>
      </c>
      <c r="J2" s="32"/>
      <c r="K2" s="35" t="s">
        <v>10</v>
      </c>
      <c r="L2" s="36" t="s">
        <v>11</v>
      </c>
      <c r="M2" s="37">
        <v>45971.70833333333</v>
      </c>
      <c r="N2" s="37"/>
      <c r="O2" s="37"/>
      <c r="P2" s="37"/>
      <c r="Q2" s="38" t="s">
        <v>84</v>
      </c>
      <c r="R2" s="38"/>
      <c r="S2" s="38"/>
      <c r="T2" s="39"/>
      <c r="U2" s="40"/>
      <c r="V2" s="40"/>
      <c r="W2" s="41"/>
      <c r="X2" s="42"/>
      <c r="Y2" s="43"/>
      <c r="Z2" s="43"/>
      <c r="AA2" s="44">
        <f>I1</f>
        <v>0</v>
      </c>
      <c r="AB2" s="45"/>
      <c r="AC2" s="46"/>
      <c r="AD2" s="47" t="e">
        <f>TRUNC(Y2/AA2,4)</f>
        <v>#DIV/0!</v>
      </c>
      <c r="AE2" s="48"/>
      <c r="AF2" s="49"/>
      <c r="AG2" s="21" t="s">
        <v>13</v>
      </c>
      <c r="AH2" s="22"/>
      <c r="AI2" s="23"/>
      <c r="AJ2" s="24"/>
      <c r="AK2" s="24"/>
      <c r="AL2" s="50"/>
      <c r="AM2" s="50"/>
      <c r="AN2" s="51" t="s">
        <v>14</v>
      </c>
      <c r="AP2" s="1"/>
      <c r="AQ2" s="1"/>
      <c r="AR2" s="52" t="s">
        <v>15</v>
      </c>
      <c r="AS2" s="53">
        <f>AI1</f>
        <v>0</v>
      </c>
      <c r="AT2" s="54"/>
      <c r="AW2" s="55"/>
    </row>
    <row r="3" ht="24.95" customHeight="1" spans="1:50" s="56" customFormat="1" x14ac:dyDescent="0.25">
      <c r="A3" s="57" t="s">
        <v>16</v>
      </c>
      <c r="B3" s="58" t="s">
        <v>17</v>
      </c>
      <c r="C3" s="59" t="s">
        <v>18</v>
      </c>
      <c r="D3" s="60"/>
      <c r="E3" s="60"/>
      <c r="F3" s="60"/>
      <c r="G3" s="60"/>
      <c r="H3" s="61"/>
      <c r="I3" s="59" t="s">
        <v>19</v>
      </c>
      <c r="J3" s="60"/>
      <c r="K3" s="60"/>
      <c r="L3" s="60"/>
      <c r="M3" s="61"/>
      <c r="N3" s="62" t="s">
        <v>20</v>
      </c>
      <c r="O3" s="63" t="s">
        <v>21</v>
      </c>
      <c r="P3" s="59" t="s">
        <v>22</v>
      </c>
      <c r="Q3" s="60"/>
      <c r="R3" s="64"/>
      <c r="S3" s="64"/>
      <c r="T3" s="60"/>
      <c r="U3" s="61"/>
      <c r="V3" s="65"/>
      <c r="W3" s="59" t="s">
        <v>23</v>
      </c>
      <c r="X3" s="60"/>
      <c r="Y3" s="60"/>
      <c r="Z3" s="60"/>
      <c r="AA3" s="60"/>
      <c r="AB3" s="60"/>
      <c r="AC3" s="60"/>
      <c r="AD3" s="60"/>
      <c r="AE3" s="61"/>
      <c r="AF3" s="60"/>
      <c r="AG3" s="60"/>
      <c r="AH3" s="60"/>
      <c r="AI3" s="60"/>
      <c r="AJ3" s="60"/>
      <c r="AK3" s="61"/>
      <c r="AL3" s="66" t="s">
        <v>24</v>
      </c>
      <c r="AM3" s="67" t="s">
        <v>25</v>
      </c>
      <c r="AN3" s="68" t="s">
        <v>26</v>
      </c>
      <c r="AO3" s="69" t="s">
        <v>27</v>
      </c>
      <c r="AP3" s="70" t="s">
        <v>28</v>
      </c>
      <c r="AQ3" s="65" t="s">
        <v>29</v>
      </c>
      <c r="AR3" s="67" t="s">
        <v>30</v>
      </c>
      <c r="AS3" s="65" t="s">
        <v>31</v>
      </c>
      <c r="AT3" s="65" t="s">
        <v>32</v>
      </c>
      <c r="AU3" s="65" t="s">
        <v>33</v>
      </c>
      <c r="AV3" s="71" t="s">
        <v>34</v>
      </c>
      <c r="AW3" s="65" t="s">
        <v>35</v>
      </c>
      <c r="AX3" s="65" t="s">
        <v>36</v>
      </c>
    </row>
    <row r="4" ht="39.75" customHeight="1" spans="1:50" s="56" customFormat="1" x14ac:dyDescent="0.25">
      <c r="A4" s="72"/>
      <c r="B4" s="73"/>
      <c r="C4" s="74" t="s">
        <v>37</v>
      </c>
      <c r="D4" s="75" t="s">
        <v>38</v>
      </c>
      <c r="E4" s="76" t="s">
        <v>39</v>
      </c>
      <c r="F4" s="76" t="s">
        <v>40</v>
      </c>
      <c r="G4" s="77" t="s">
        <v>41</v>
      </c>
      <c r="H4" s="65" t="s">
        <v>100</v>
      </c>
      <c r="I4" s="78" t="s">
        <v>37</v>
      </c>
      <c r="J4" s="79" t="s">
        <v>38</v>
      </c>
      <c r="K4" s="75" t="s">
        <v>39</v>
      </c>
      <c r="L4" s="75" t="s">
        <v>40</v>
      </c>
      <c r="M4" s="80" t="s">
        <v>41</v>
      </c>
      <c r="N4" s="81"/>
      <c r="O4" s="82"/>
      <c r="P4" s="78" t="s">
        <v>37</v>
      </c>
      <c r="Q4" s="79" t="s">
        <v>38</v>
      </c>
      <c r="R4" s="75" t="s">
        <v>39</v>
      </c>
      <c r="S4" s="75" t="s">
        <v>40</v>
      </c>
      <c r="T4" s="80" t="s">
        <v>41</v>
      </c>
      <c r="U4" s="83" t="s">
        <v>350</v>
      </c>
      <c r="V4" s="84" t="s">
        <v>43</v>
      </c>
      <c r="W4" s="85" t="s">
        <v>37</v>
      </c>
      <c r="X4" s="79" t="s">
        <v>38</v>
      </c>
      <c r="Y4" s="79" t="s">
        <v>39</v>
      </c>
      <c r="Z4" s="79" t="s">
        <v>40</v>
      </c>
      <c r="AA4" s="80" t="s">
        <v>41</v>
      </c>
      <c r="AB4" s="86" t="s">
        <v>351</v>
      </c>
      <c r="AC4" s="87" t="s">
        <v>45</v>
      </c>
      <c r="AD4" s="88" t="s">
        <v>46</v>
      </c>
      <c r="AE4" s="88" t="s">
        <v>47</v>
      </c>
      <c r="AF4" s="89" t="s">
        <v>48</v>
      </c>
      <c r="AG4" s="89" t="s">
        <v>49</v>
      </c>
      <c r="AH4" s="90" t="s">
        <v>50</v>
      </c>
      <c r="AI4" s="91" t="s">
        <v>51</v>
      </c>
      <c r="AJ4" s="91"/>
      <c r="AK4" s="91" t="s">
        <v>52</v>
      </c>
      <c r="AL4" s="92"/>
      <c r="AM4" s="93"/>
      <c r="AN4" s="94"/>
      <c r="AO4" s="95"/>
      <c r="AP4" s="70"/>
      <c r="AQ4" s="65"/>
      <c r="AR4" s="93"/>
      <c r="AS4" s="65"/>
      <c r="AT4" s="65"/>
      <c r="AU4" s="65"/>
      <c r="AV4" s="96"/>
      <c r="AW4" s="65"/>
      <c r="AX4" s="65"/>
    </row>
    <row r="5" ht="46.5" customHeight="1" spans="1:50" s="97" customFormat="1" x14ac:dyDescent="0.25">
      <c r="A5" s="98">
        <v>1</v>
      </c>
      <c r="B5" s="163"/>
      <c r="C5" s="101" t="s">
        <v>54</v>
      </c>
      <c r="D5" s="102"/>
      <c r="E5" s="163"/>
      <c r="F5" s="102"/>
      <c r="G5" s="103"/>
      <c r="H5" s="104"/>
      <c r="I5" s="166">
        <v>1</v>
      </c>
      <c r="J5" s="107"/>
      <c r="K5" s="107"/>
      <c r="L5" s="108"/>
      <c r="M5" s="109"/>
      <c r="N5" s="110">
        <f>SUM(I5:M5)</f>
        <v>1</v>
      </c>
      <c r="O5" s="111">
        <v>1</v>
      </c>
      <c r="P5" s="112">
        <v>10</v>
      </c>
      <c r="Q5" s="217"/>
      <c r="R5" s="112"/>
      <c r="S5" s="114"/>
      <c r="T5" s="115"/>
      <c r="U5" s="116">
        <f>ROUND(((P5*I5)+(Q5*J5)+(R5*K5)+(S5*L5)+(T5*M5))*O5,2)</f>
        <v>10</v>
      </c>
      <c r="V5" s="117">
        <f>IF(U5&gt;=15,15,U5)</f>
        <v>10</v>
      </c>
      <c r="W5" s="221">
        <v>21672377000</v>
      </c>
      <c r="X5" s="221"/>
      <c r="Y5" s="120"/>
      <c r="Z5" s="121"/>
      <c r="AA5" s="122"/>
      <c r="AB5" s="123">
        <f>ROUND((((W5*I5)+(X5*J5)+(Y5*K5)+(Z5*L5)+(AA5*M5))/$I$2),2)*8</f>
        <v>220.48</v>
      </c>
      <c r="AC5" s="124">
        <f>IF(AB5&gt;=13,13,AB5)</f>
        <v>13</v>
      </c>
      <c r="AD5" s="125">
        <v>2</v>
      </c>
      <c r="AE5" s="116">
        <f>IF((AC5+AD5)&gt;=10,10,(AC5+AD5))</f>
        <v>10</v>
      </c>
      <c r="AF5" s="126"/>
      <c r="AG5" s="127"/>
      <c r="AH5" s="128">
        <f>IF((V5+AE5+AF5)&gt;=30,30,(V5+AE5+AF5))</f>
        <v>20</v>
      </c>
      <c r="AI5" s="129">
        <v>65</v>
      </c>
      <c r="AJ5" s="128">
        <f>V5+AE5+AF5+AI5+AG5</f>
        <v>85</v>
      </c>
      <c r="AK5" s="128">
        <f>IF(AH5+AI5+AG5&gt;=95,95,AH5+AI5+AG5)</f>
        <v>85</v>
      </c>
      <c r="AL5" s="130">
        <f>-((50-((176+(45+(50-AH5)))))/200)</f>
        <v>1.005</v>
      </c>
      <c r="AM5" s="131"/>
      <c r="AN5" s="132">
        <f>100%+AM5</f>
        <v>1</v>
      </c>
      <c r="AO5" s="132">
        <f>100%+AN5</f>
        <v>2</v>
      </c>
      <c r="AP5" s="133"/>
      <c r="AQ5" s="134"/>
      <c r="AR5" s="135"/>
      <c r="AS5" s="135"/>
      <c r="AT5" s="135"/>
      <c r="AU5" s="135"/>
      <c r="AV5" s="136"/>
      <c r="AW5" s="137">
        <f>AR5+AS5+AT5+AU5+AV5</f>
        <v>0</v>
      </c>
      <c r="AX5" s="137">
        <f>(AR5*I5)+(AS5*J5)+(AT5*K5)+(AU5*L5)+(AV5*M5)</f>
        <v>0</v>
      </c>
    </row>
    <row r="6" ht="21.95" customHeight="1" spans="1:50" s="97" customFormat="1" x14ac:dyDescent="0.25">
      <c r="A6" s="138" t="s">
        <v>56</v>
      </c>
      <c r="B6" s="139"/>
      <c r="C6" s="139"/>
      <c r="D6" s="139"/>
      <c r="E6" s="139"/>
      <c r="F6" s="139"/>
      <c r="G6" s="139"/>
      <c r="H6" s="140"/>
      <c r="I6" s="222">
        <v>85</v>
      </c>
      <c r="J6" s="142"/>
      <c r="K6" s="142"/>
      <c r="L6" s="142"/>
      <c r="M6" s="142"/>
      <c r="N6" s="143">
        <f>I6*I5+J6*J5+K6*K5+L6*L5+M6*M5</f>
        <v>85</v>
      </c>
      <c r="O6" s="144"/>
      <c r="P6" s="145"/>
      <c r="Q6" s="113"/>
      <c r="R6" s="113"/>
      <c r="S6" s="146"/>
      <c r="T6" s="147"/>
      <c r="U6" s="148"/>
      <c r="V6" s="149"/>
      <c r="W6" s="150"/>
      <c r="X6" s="151"/>
      <c r="Y6" s="152"/>
      <c r="Z6" s="151"/>
      <c r="AA6" s="153"/>
      <c r="AB6" s="154"/>
      <c r="AC6" s="149"/>
      <c r="AD6" s="148"/>
      <c r="AE6" s="148"/>
      <c r="AF6" s="155"/>
      <c r="AG6" s="156"/>
      <c r="AH6" s="113"/>
      <c r="AI6" s="157"/>
      <c r="AJ6" s="113"/>
      <c r="AK6" s="113"/>
      <c r="AL6" s="158"/>
      <c r="AM6" s="159"/>
      <c r="AN6" s="160"/>
      <c r="AO6" s="160"/>
      <c r="AP6" s="133"/>
      <c r="AQ6" s="134"/>
      <c r="AR6" s="161"/>
      <c r="AS6" s="161"/>
      <c r="AT6" s="161"/>
      <c r="AU6" s="161"/>
      <c r="AV6" s="162"/>
      <c r="AW6" s="137"/>
      <c r="AX6" s="137"/>
    </row>
    <row r="7" ht="46.5" customHeight="1" spans="1:50" s="97" customFormat="1" x14ac:dyDescent="0.25">
      <c r="A7" s="98">
        <v>2</v>
      </c>
      <c r="B7" s="163"/>
      <c r="C7" s="101" t="s">
        <v>57</v>
      </c>
      <c r="D7" s="102"/>
      <c r="E7" s="102"/>
      <c r="F7" s="163"/>
      <c r="G7" s="164"/>
      <c r="H7" s="165"/>
      <c r="I7" s="166">
        <v>1</v>
      </c>
      <c r="J7" s="107"/>
      <c r="K7" s="107"/>
      <c r="L7" s="167"/>
      <c r="M7" s="168"/>
      <c r="N7" s="169">
        <f>SUM(I7:M7)</f>
        <v>1</v>
      </c>
      <c r="O7" s="144">
        <v>1</v>
      </c>
      <c r="P7" s="112">
        <v>10</v>
      </c>
      <c r="Q7" s="217"/>
      <c r="R7" s="112"/>
      <c r="S7" s="113"/>
      <c r="T7" s="147"/>
      <c r="U7" s="148">
        <f>ROUND(((P7*I7)+(Q7*J7)+(R7*K7)+(S7*L7)+(T7*M7))*O7,2)</f>
        <v>10</v>
      </c>
      <c r="V7" s="149">
        <f>IF(U7&gt;=15,15,U7)</f>
        <v>10</v>
      </c>
      <c r="W7" s="161">
        <v>15563060000</v>
      </c>
      <c r="X7" s="120"/>
      <c r="Y7" s="120"/>
      <c r="Z7" s="151"/>
      <c r="AA7" s="153"/>
      <c r="AB7" s="154">
        <f>ROUND((((W7*I7)+(X7*J7)+(Y7*K7)+(Z7*L7)+(AA7*M7))/$I$2),2)*13</f>
        <v>257.27</v>
      </c>
      <c r="AC7" s="149">
        <f>IF(AB7&gt;=13,13,AB7)</f>
        <v>13</v>
      </c>
      <c r="AD7" s="125">
        <v>2</v>
      </c>
      <c r="AE7" s="116">
        <f>IF((AC7+AD7)&gt;=10,10,(AC7+AD7))</f>
        <v>10</v>
      </c>
      <c r="AF7" s="155"/>
      <c r="AG7" s="127"/>
      <c r="AH7" s="128">
        <f>IF((V7+AE7+AF7)&gt;=30,30,(V7+AE7+AF7))</f>
        <v>20</v>
      </c>
      <c r="AI7" s="129">
        <v>65</v>
      </c>
      <c r="AJ7" s="113">
        <f>V7+AE7+AF7+AI7+AG7</f>
        <v>85</v>
      </c>
      <c r="AK7" s="113">
        <f>IF(AH7+AI7+AG7&gt;=95,95,AH7+AI7+AG7)</f>
        <v>85</v>
      </c>
      <c r="AL7" s="158">
        <f>-((50-((176+(45+(50-AH7)))))/200)</f>
        <v>1.005</v>
      </c>
      <c r="AM7" s="159"/>
      <c r="AN7" s="160">
        <f>100%+AM7</f>
        <v>1</v>
      </c>
      <c r="AO7" s="160">
        <f>100%+AN7</f>
        <v>2</v>
      </c>
      <c r="AP7" s="133"/>
      <c r="AQ7" s="134"/>
      <c r="AR7" s="161"/>
      <c r="AS7" s="161"/>
      <c r="AT7" s="161"/>
      <c r="AU7" s="161"/>
      <c r="AV7" s="162"/>
      <c r="AW7" s="137">
        <f>AR7+AS7+AT7+AU7+AV7</f>
        <v>0</v>
      </c>
      <c r="AX7" s="137">
        <f>(AR7*I7)+(AS7*J7)+(AT7*K7)+(AU7*L7)+(AV7*M7)</f>
        <v>0</v>
      </c>
    </row>
    <row r="8" ht="21.95" customHeight="1" spans="1:50" s="97" customFormat="1" x14ac:dyDescent="0.25">
      <c r="A8" s="138" t="s">
        <v>56</v>
      </c>
      <c r="B8" s="139"/>
      <c r="C8" s="139"/>
      <c r="D8" s="139"/>
      <c r="E8" s="139"/>
      <c r="F8" s="139"/>
      <c r="G8" s="139"/>
      <c r="H8" s="140"/>
      <c r="I8" s="222">
        <v>85</v>
      </c>
      <c r="J8" s="142"/>
      <c r="K8" s="142"/>
      <c r="L8" s="142"/>
      <c r="M8" s="142"/>
      <c r="N8" s="170">
        <f>I8*I7+J8*J7+K8*K7+L8*L7+M8*M7</f>
        <v>85</v>
      </c>
      <c r="O8" s="144"/>
      <c r="P8" s="145"/>
      <c r="Q8" s="113"/>
      <c r="R8" s="113"/>
      <c r="S8" s="146"/>
      <c r="T8" s="147"/>
      <c r="U8" s="148"/>
      <c r="V8" s="149"/>
      <c r="W8" s="150"/>
      <c r="X8" s="151"/>
      <c r="Y8" s="152"/>
      <c r="Z8" s="151"/>
      <c r="AA8" s="153"/>
      <c r="AB8" s="154"/>
      <c r="AC8" s="149"/>
      <c r="AD8" s="148"/>
      <c r="AE8" s="148"/>
      <c r="AF8" s="155"/>
      <c r="AG8" s="156"/>
      <c r="AH8" s="113"/>
      <c r="AI8" s="157"/>
      <c r="AJ8" s="113"/>
      <c r="AK8" s="113"/>
      <c r="AL8" s="158"/>
      <c r="AM8" s="159"/>
      <c r="AN8" s="160"/>
      <c r="AO8" s="160"/>
      <c r="AP8" s="133"/>
      <c r="AQ8" s="134"/>
      <c r="AR8" s="161"/>
      <c r="AS8" s="161"/>
      <c r="AT8" s="161"/>
      <c r="AU8" s="161"/>
      <c r="AV8" s="162"/>
      <c r="AW8" s="137"/>
      <c r="AX8" s="137"/>
    </row>
    <row r="9" ht="46.5" customHeight="1" spans="1:50" s="97" customFormat="1" x14ac:dyDescent="0.25">
      <c r="A9" s="98">
        <v>3</v>
      </c>
      <c r="B9" s="163"/>
      <c r="C9" s="101" t="s">
        <v>63</v>
      </c>
      <c r="D9" s="102"/>
      <c r="E9" s="102"/>
      <c r="F9" s="163"/>
      <c r="G9" s="103"/>
      <c r="H9" s="171"/>
      <c r="I9" s="166">
        <v>1</v>
      </c>
      <c r="J9" s="107"/>
      <c r="K9" s="107"/>
      <c r="L9" s="167"/>
      <c r="M9" s="168"/>
      <c r="N9" s="169">
        <f>SUM(I9:M9)</f>
        <v>1</v>
      </c>
      <c r="O9" s="144">
        <v>1</v>
      </c>
      <c r="P9" s="112">
        <v>10</v>
      </c>
      <c r="Q9" s="112"/>
      <c r="R9" s="112"/>
      <c r="S9" s="146"/>
      <c r="T9" s="147"/>
      <c r="U9" s="148">
        <f>ROUND(((P9*I9)+(Q9*J9)+(R9*K9)+(S9*L9)+(T9*M9))*O9,2)</f>
        <v>10</v>
      </c>
      <c r="V9" s="149">
        <f>IF(U9&gt;=15,15,U9)</f>
        <v>10</v>
      </c>
      <c r="W9" s="120">
        <v>11716746000</v>
      </c>
      <c r="X9" s="120"/>
      <c r="Y9" s="120"/>
      <c r="Z9" s="151"/>
      <c r="AA9" s="153"/>
      <c r="AB9" s="154">
        <f>ROUND((((W9*I9)+(X9*J9)+(Y9*K9)+(Z9*L9)+(AA9*M9))/$I$2),2)*13</f>
        <v>193.70000000000002</v>
      </c>
      <c r="AC9" s="149">
        <f>IF(AB9&gt;=13,13,AB9)</f>
        <v>13</v>
      </c>
      <c r="AD9" s="125">
        <v>2</v>
      </c>
      <c r="AE9" s="116">
        <f>IF((AC9+AD9)&gt;=10,10,(AC9+AD9))</f>
        <v>10</v>
      </c>
      <c r="AF9" s="155"/>
      <c r="AG9" s="127"/>
      <c r="AH9" s="128">
        <f>IF((V9+AE9+AF9)&gt;=30,30,(V9+AE9+AF9))</f>
        <v>20</v>
      </c>
      <c r="AI9" s="129">
        <v>65</v>
      </c>
      <c r="AJ9" s="113">
        <f>V9+AE9+AF9+AI9+AG9</f>
        <v>85</v>
      </c>
      <c r="AK9" s="113">
        <f>IF(AH9+AI9+AG9&gt;=95,95,AH9+AI9+AG9)</f>
        <v>85</v>
      </c>
      <c r="AL9" s="158">
        <f>-((50-((176+(45+(50-AH9)))))/200)</f>
        <v>1.005</v>
      </c>
      <c r="AM9" s="159"/>
      <c r="AN9" s="160">
        <f>100%+AM9</f>
        <v>1</v>
      </c>
      <c r="AO9" s="160">
        <f>100%+AN9</f>
        <v>2</v>
      </c>
      <c r="AP9" s="133"/>
      <c r="AQ9" s="134"/>
      <c r="AR9" s="161"/>
      <c r="AS9" s="161"/>
      <c r="AT9" s="161"/>
      <c r="AU9" s="161"/>
      <c r="AV9" s="162"/>
      <c r="AW9" s="172">
        <f>AR9+AS9+AT9+AU9+AV9</f>
        <v>0</v>
      </c>
      <c r="AX9" s="172">
        <f>(AR9*I9)+(AS9*J9)+(AT9*K9)+(AU9*L9)+(AV9*M9)</f>
        <v>0</v>
      </c>
    </row>
    <row r="10" ht="21.95" customHeight="1" spans="1:50" s="97" customFormat="1" x14ac:dyDescent="0.25">
      <c r="A10" s="138" t="s">
        <v>56</v>
      </c>
      <c r="B10" s="139"/>
      <c r="C10" s="139"/>
      <c r="D10" s="139"/>
      <c r="E10" s="139"/>
      <c r="F10" s="139"/>
      <c r="G10" s="139"/>
      <c r="H10" s="140"/>
      <c r="I10" s="222">
        <v>85</v>
      </c>
      <c r="J10" s="142"/>
      <c r="K10" s="142"/>
      <c r="L10" s="142"/>
      <c r="M10" s="142"/>
      <c r="N10" s="170">
        <f>I10*I9+J10*J9+K10*K9+L10*L9+M10*M9</f>
        <v>85</v>
      </c>
      <c r="O10" s="144"/>
      <c r="P10" s="145"/>
      <c r="Q10" s="113"/>
      <c r="R10" s="113"/>
      <c r="S10" s="146"/>
      <c r="T10" s="147"/>
      <c r="U10" s="148"/>
      <c r="V10" s="149"/>
      <c r="W10" s="150"/>
      <c r="X10" s="151"/>
      <c r="Y10" s="152"/>
      <c r="Z10" s="151"/>
      <c r="AA10" s="153"/>
      <c r="AB10" s="154"/>
      <c r="AC10" s="149"/>
      <c r="AD10" s="148"/>
      <c r="AE10" s="148"/>
      <c r="AF10" s="155"/>
      <c r="AG10" s="156"/>
      <c r="AH10" s="113"/>
      <c r="AI10" s="157"/>
      <c r="AJ10" s="113"/>
      <c r="AK10" s="113"/>
      <c r="AL10" s="158"/>
      <c r="AM10" s="159"/>
      <c r="AN10" s="160"/>
      <c r="AO10" s="160"/>
      <c r="AP10" s="133"/>
      <c r="AQ10" s="134"/>
      <c r="AR10" s="161"/>
      <c r="AS10" s="161"/>
      <c r="AT10" s="161"/>
      <c r="AU10" s="161"/>
      <c r="AV10" s="162"/>
      <c r="AW10" s="137"/>
      <c r="AX10" s="137"/>
    </row>
    <row r="11" ht="46.5" customHeight="1" spans="1:50" s="97" customFormat="1" x14ac:dyDescent="0.25">
      <c r="A11" s="98">
        <v>4</v>
      </c>
      <c r="B11" s="196"/>
      <c r="C11" s="101" t="s">
        <v>59</v>
      </c>
      <c r="D11" s="102"/>
      <c r="E11" s="102"/>
      <c r="F11" s="163"/>
      <c r="G11" s="103"/>
      <c r="H11" s="171"/>
      <c r="I11" s="166">
        <v>1</v>
      </c>
      <c r="J11" s="107"/>
      <c r="K11" s="107"/>
      <c r="L11" s="176"/>
      <c r="M11" s="168"/>
      <c r="N11" s="169">
        <f t="shared" ref="N11:N44" si="0">SUM(I11:M11)</f>
        <v>1</v>
      </c>
      <c r="O11" s="144">
        <v>1</v>
      </c>
      <c r="P11" s="112">
        <v>10</v>
      </c>
      <c r="Q11" s="112"/>
      <c r="R11" s="156"/>
      <c r="S11" s="113"/>
      <c r="T11" s="147"/>
      <c r="U11" s="148">
        <f t="shared" ref="U11:U76" si="1">ROUND(((P11*I11)+(Q11*J11)+(R11*K11)+(S11*L11)+(T11*M11))*O11,2)</f>
        <v>10</v>
      </c>
      <c r="V11" s="149">
        <f t="shared" ref="V11:V76" si="2">IF(U11&gt;=15,15,U11)</f>
        <v>10</v>
      </c>
      <c r="W11" s="120">
        <v>7038779000</v>
      </c>
      <c r="X11" s="120"/>
      <c r="Y11" s="120"/>
      <c r="Z11" s="151"/>
      <c r="AA11" s="153"/>
      <c r="AB11" s="154">
        <f t="shared" ref="AB11:AB76" si="3">ROUND((((W11*I11)+(X11*J11)+(Y11*K11)+(Z11*L11)+(AA11*M11))/$I$2),2)*13</f>
        <v>116.35</v>
      </c>
      <c r="AC11" s="149">
        <f t="shared" ref="AC11:AC76" si="4">IF(AB11&gt;=13,13,AB11)</f>
        <v>13</v>
      </c>
      <c r="AD11" s="125">
        <v>2</v>
      </c>
      <c r="AE11" s="116">
        <f>IF((AC11+AD11)&gt;=10,10,(AC11+AD11))</f>
        <v>10</v>
      </c>
      <c r="AF11" s="155"/>
      <c r="AG11" s="127"/>
      <c r="AH11" s="128">
        <f>IF((V11+AE11+AF11)&gt;=30,30,(V11+AE11+AF11))</f>
        <v>20</v>
      </c>
      <c r="AI11" s="129">
        <v>65</v>
      </c>
      <c r="AJ11" s="113">
        <f t="shared" ref="AJ11:AJ76" si="5">V11+AE11+AF11+AI11+AG11</f>
        <v>85</v>
      </c>
      <c r="AK11" s="113">
        <f t="shared" ref="AK11:AK76" si="6">IF(AH11+AI11+AG11&gt;=95,95,AH11+AI11+AG11)</f>
        <v>85</v>
      </c>
      <c r="AL11" s="158">
        <f t="shared" ref="AL11:AL76" si="7">-((50-((176+(45+(50-AH11)))))/200)</f>
        <v>1.005</v>
      </c>
      <c r="AM11" s="159"/>
      <c r="AN11" s="160">
        <f t="shared" ref="AN11:AO32" si="8">100%+AM11</f>
        <v>1</v>
      </c>
      <c r="AO11" s="160">
        <f t="shared" si="8"/>
        <v>2</v>
      </c>
      <c r="AP11" s="133"/>
      <c r="AQ11" s="134"/>
      <c r="AR11" s="161"/>
      <c r="AS11" s="161"/>
      <c r="AT11" s="161"/>
      <c r="AU11" s="161"/>
      <c r="AV11" s="162"/>
      <c r="AW11" s="137">
        <f t="shared" ref="AW11:AW76" si="9">AR11+AS11+AT11+AU11+AV11</f>
        <v>0</v>
      </c>
      <c r="AX11" s="137">
        <f t="shared" ref="AX11:AX76" si="10">(AR11*I11)+(AS11*J11)+(AT11*K11)+(AU11*L11)+(AV11*M11)</f>
        <v>0</v>
      </c>
    </row>
    <row r="12" ht="21.95" customHeight="1" spans="1:50" s="97" customFormat="1" x14ac:dyDescent="0.25">
      <c r="A12" s="138" t="s">
        <v>56</v>
      </c>
      <c r="B12" s="139"/>
      <c r="C12" s="139"/>
      <c r="D12" s="139"/>
      <c r="E12" s="139"/>
      <c r="F12" s="139"/>
      <c r="G12" s="139"/>
      <c r="H12" s="140"/>
      <c r="I12" s="142">
        <v>85</v>
      </c>
      <c r="J12" s="142"/>
      <c r="K12" s="142"/>
      <c r="L12" s="142"/>
      <c r="M12" s="142"/>
      <c r="N12" s="170">
        <f>I12*I11+J12*J11+K12*K11+L12*L11+M12*M11</f>
        <v>85</v>
      </c>
      <c r="O12" s="144"/>
      <c r="P12" s="145"/>
      <c r="Q12" s="113"/>
      <c r="R12" s="113"/>
      <c r="S12" s="146"/>
      <c r="T12" s="147"/>
      <c r="U12" s="148"/>
      <c r="V12" s="149"/>
      <c r="W12" s="150"/>
      <c r="X12" s="151"/>
      <c r="Y12" s="152"/>
      <c r="Z12" s="151"/>
      <c r="AA12" s="153"/>
      <c r="AB12" s="154"/>
      <c r="AC12" s="149"/>
      <c r="AD12" s="148"/>
      <c r="AE12" s="148"/>
      <c r="AF12" s="155"/>
      <c r="AG12" s="156"/>
      <c r="AH12" s="113"/>
      <c r="AI12" s="157"/>
      <c r="AJ12" s="113"/>
      <c r="AK12" s="113"/>
      <c r="AL12" s="158"/>
      <c r="AM12" s="159"/>
      <c r="AN12" s="160"/>
      <c r="AO12" s="160"/>
      <c r="AP12" s="133"/>
      <c r="AQ12" s="134"/>
      <c r="AR12" s="161"/>
      <c r="AS12" s="161"/>
      <c r="AT12" s="161"/>
      <c r="AU12" s="161"/>
      <c r="AV12" s="162"/>
      <c r="AW12" s="137"/>
      <c r="AX12" s="137"/>
    </row>
    <row r="13" ht="46.5" customHeight="1" spans="1:50" s="97" customFormat="1" x14ac:dyDescent="0.25">
      <c r="A13" s="98">
        <v>5</v>
      </c>
      <c r="B13" s="196"/>
      <c r="C13" s="101" t="s">
        <v>66</v>
      </c>
      <c r="D13" s="102"/>
      <c r="E13" s="102"/>
      <c r="F13" s="163"/>
      <c r="G13" s="103"/>
      <c r="H13" s="182"/>
      <c r="I13" s="166">
        <v>1</v>
      </c>
      <c r="J13" s="107"/>
      <c r="K13" s="107"/>
      <c r="L13" s="167"/>
      <c r="M13" s="168"/>
      <c r="N13" s="169">
        <f t="shared" si="0"/>
        <v>1</v>
      </c>
      <c r="O13" s="144">
        <v>1</v>
      </c>
      <c r="P13" s="112">
        <v>10</v>
      </c>
      <c r="Q13" s="112">
        <v>10</v>
      </c>
      <c r="R13" s="156"/>
      <c r="S13" s="146"/>
      <c r="T13" s="147"/>
      <c r="U13" s="148">
        <f t="shared" si="1"/>
        <v>10</v>
      </c>
      <c r="V13" s="149">
        <f t="shared" si="2"/>
        <v>10</v>
      </c>
      <c r="W13" s="120">
        <v>1555486000</v>
      </c>
      <c r="X13" s="120"/>
      <c r="Y13" s="183"/>
      <c r="Z13" s="151"/>
      <c r="AA13" s="153"/>
      <c r="AB13" s="154">
        <f t="shared" si="3"/>
        <v>25.74</v>
      </c>
      <c r="AC13" s="149">
        <f t="shared" si="4"/>
        <v>13</v>
      </c>
      <c r="AD13" s="125">
        <v>2</v>
      </c>
      <c r="AE13" s="116">
        <f>IF((AC13+AD13)&gt;=10,10,(AC13+AD13))</f>
        <v>10</v>
      </c>
      <c r="AF13" s="155"/>
      <c r="AG13" s="127"/>
      <c r="AH13" s="128">
        <f>IF((V13+AE13+AF13)&gt;=30,30,(V13+AE13+AF13))</f>
        <v>20</v>
      </c>
      <c r="AI13" s="129">
        <v>65</v>
      </c>
      <c r="AJ13" s="113">
        <f t="shared" si="5"/>
        <v>85</v>
      </c>
      <c r="AK13" s="113">
        <f t="shared" si="6"/>
        <v>85</v>
      </c>
      <c r="AL13" s="158">
        <f t="shared" si="7"/>
        <v>1.005</v>
      </c>
      <c r="AM13" s="159"/>
      <c r="AN13" s="160">
        <f t="shared" si="8"/>
        <v>1</v>
      </c>
      <c r="AO13" s="160">
        <f t="shared" si="8"/>
        <v>2</v>
      </c>
      <c r="AP13" s="133"/>
      <c r="AQ13" s="134"/>
      <c r="AR13" s="161"/>
      <c r="AS13" s="161"/>
      <c r="AT13" s="161"/>
      <c r="AU13" s="161"/>
      <c r="AV13" s="162"/>
      <c r="AW13" s="137">
        <f t="shared" si="9"/>
        <v>0</v>
      </c>
      <c r="AX13" s="137">
        <f t="shared" si="10"/>
        <v>0</v>
      </c>
    </row>
    <row r="14" ht="21.95" customHeight="1" spans="1:50" s="97" customFormat="1" x14ac:dyDescent="0.25">
      <c r="A14" s="138" t="s">
        <v>56</v>
      </c>
      <c r="B14" s="139"/>
      <c r="C14" s="139"/>
      <c r="D14" s="139"/>
      <c r="E14" s="139"/>
      <c r="F14" s="139"/>
      <c r="G14" s="139"/>
      <c r="H14" s="140"/>
      <c r="I14" s="248">
        <v>85</v>
      </c>
      <c r="J14" s="142"/>
      <c r="K14" s="142"/>
      <c r="L14" s="142"/>
      <c r="M14" s="142"/>
      <c r="N14" s="170">
        <f>I14*I13+J14*J13+K14*K13+L14*L13+M14*M13</f>
        <v>85</v>
      </c>
      <c r="O14" s="144"/>
      <c r="P14" s="145"/>
      <c r="Q14" s="113"/>
      <c r="R14" s="113"/>
      <c r="S14" s="146"/>
      <c r="T14" s="147"/>
      <c r="U14" s="148"/>
      <c r="V14" s="149"/>
      <c r="W14" s="150"/>
      <c r="X14" s="151"/>
      <c r="Y14" s="152"/>
      <c r="Z14" s="151"/>
      <c r="AA14" s="153"/>
      <c r="AB14" s="154"/>
      <c r="AC14" s="149"/>
      <c r="AD14" s="148"/>
      <c r="AE14" s="148"/>
      <c r="AF14" s="155"/>
      <c r="AG14" s="156"/>
      <c r="AH14" s="113"/>
      <c r="AI14" s="157"/>
      <c r="AJ14" s="113"/>
      <c r="AK14" s="113"/>
      <c r="AL14" s="158"/>
      <c r="AM14" s="159"/>
      <c r="AN14" s="160"/>
      <c r="AO14" s="160"/>
      <c r="AP14" s="133"/>
      <c r="AQ14" s="134"/>
      <c r="AR14" s="161"/>
      <c r="AS14" s="161"/>
      <c r="AT14" s="161"/>
      <c r="AU14" s="161"/>
      <c r="AV14" s="162"/>
      <c r="AW14" s="137"/>
      <c r="AX14" s="137"/>
    </row>
    <row r="15" ht="46.5" customHeight="1" spans="1:50" s="97" customFormat="1" x14ac:dyDescent="0.25">
      <c r="A15" s="98">
        <v>6</v>
      </c>
      <c r="B15" s="196"/>
      <c r="C15" s="102" t="s">
        <v>68</v>
      </c>
      <c r="D15" s="101" t="s">
        <v>352</v>
      </c>
      <c r="E15" s="163"/>
      <c r="F15" s="163"/>
      <c r="G15" s="103"/>
      <c r="H15" s="182"/>
      <c r="I15" s="166">
        <v>0.51</v>
      </c>
      <c r="J15" s="107">
        <v>0.49</v>
      </c>
      <c r="K15" s="107"/>
      <c r="L15" s="167"/>
      <c r="M15" s="168"/>
      <c r="N15" s="169">
        <f t="shared" si="0"/>
        <v>1</v>
      </c>
      <c r="O15" s="144">
        <v>1</v>
      </c>
      <c r="P15" s="112">
        <v>10</v>
      </c>
      <c r="Q15" s="112">
        <v>10</v>
      </c>
      <c r="R15" s="113"/>
      <c r="S15" s="146"/>
      <c r="T15" s="147"/>
      <c r="U15" s="148">
        <f t="shared" si="1"/>
        <v>10</v>
      </c>
      <c r="V15" s="149">
        <f t="shared" si="2"/>
        <v>10</v>
      </c>
      <c r="W15" s="120">
        <v>7643696000</v>
      </c>
      <c r="X15" s="120">
        <v>222174000</v>
      </c>
      <c r="Y15" s="120"/>
      <c r="Z15" s="151"/>
      <c r="AA15" s="153"/>
      <c r="AB15" s="154">
        <f t="shared" si="3"/>
        <v>66.3</v>
      </c>
      <c r="AC15" s="149">
        <f t="shared" si="4"/>
        <v>13</v>
      </c>
      <c r="AD15" s="125">
        <v>2</v>
      </c>
      <c r="AE15" s="116">
        <f>IF((AC15+AD15)&gt;=10,10,(AC15+AD15))</f>
        <v>10</v>
      </c>
      <c r="AF15" s="156"/>
      <c r="AG15" s="127"/>
      <c r="AH15" s="128">
        <f>IF((V15+AE15+AF15)&gt;=30,30,(V15+AE15+AF15))</f>
        <v>20</v>
      </c>
      <c r="AI15" s="129">
        <v>65</v>
      </c>
      <c r="AJ15" s="113">
        <f t="shared" si="5"/>
        <v>85</v>
      </c>
      <c r="AK15" s="113">
        <f t="shared" si="6"/>
        <v>85</v>
      </c>
      <c r="AL15" s="158">
        <f t="shared" si="7"/>
        <v>1.005</v>
      </c>
      <c r="AM15" s="159"/>
      <c r="AN15" s="160">
        <f t="shared" si="8"/>
        <v>1</v>
      </c>
      <c r="AO15" s="160">
        <f t="shared" si="8"/>
        <v>2</v>
      </c>
      <c r="AP15" s="133"/>
      <c r="AQ15" s="134"/>
      <c r="AR15" s="161"/>
      <c r="AS15" s="161"/>
      <c r="AT15" s="161"/>
      <c r="AU15" s="161"/>
      <c r="AV15" s="162"/>
      <c r="AW15" s="137">
        <f t="shared" si="9"/>
        <v>0</v>
      </c>
      <c r="AX15" s="137">
        <f t="shared" si="10"/>
        <v>0</v>
      </c>
    </row>
    <row r="16" ht="21.95" customHeight="1" spans="1:50" s="97" customFormat="1" x14ac:dyDescent="0.25">
      <c r="A16" s="138" t="s">
        <v>56</v>
      </c>
      <c r="B16" s="139"/>
      <c r="C16" s="139"/>
      <c r="D16" s="139"/>
      <c r="E16" s="139"/>
      <c r="F16" s="139"/>
      <c r="G16" s="139"/>
      <c r="H16" s="140"/>
      <c r="I16" s="248">
        <v>85</v>
      </c>
      <c r="J16" s="142">
        <v>85</v>
      </c>
      <c r="K16" s="142"/>
      <c r="L16" s="142"/>
      <c r="M16" s="142"/>
      <c r="N16" s="170">
        <f>I16*I15+J16*J15+K16*K15+L16*L15+M16*M15</f>
        <v>85</v>
      </c>
      <c r="O16" s="144"/>
      <c r="P16" s="145"/>
      <c r="Q16" s="113"/>
      <c r="R16" s="113"/>
      <c r="S16" s="146"/>
      <c r="T16" s="147"/>
      <c r="U16" s="148"/>
      <c r="V16" s="149"/>
      <c r="W16" s="150"/>
      <c r="X16" s="151"/>
      <c r="Y16" s="152"/>
      <c r="Z16" s="151"/>
      <c r="AA16" s="153"/>
      <c r="AB16" s="154"/>
      <c r="AC16" s="149"/>
      <c r="AD16" s="148"/>
      <c r="AE16" s="148"/>
      <c r="AF16" s="155"/>
      <c r="AG16" s="156"/>
      <c r="AH16" s="113"/>
      <c r="AI16" s="157"/>
      <c r="AJ16" s="113"/>
      <c r="AK16" s="113"/>
      <c r="AL16" s="158"/>
      <c r="AM16" s="159"/>
      <c r="AN16" s="160"/>
      <c r="AO16" s="160"/>
      <c r="AP16" s="133"/>
      <c r="AQ16" s="134"/>
      <c r="AR16" s="161"/>
      <c r="AS16" s="161"/>
      <c r="AT16" s="161"/>
      <c r="AU16" s="161"/>
      <c r="AV16" s="162"/>
      <c r="AW16" s="137"/>
      <c r="AX16" s="137"/>
    </row>
    <row r="17" ht="46.5" customHeight="1" spans="1:50" s="97" customFormat="1" x14ac:dyDescent="0.25">
      <c r="A17" s="98">
        <v>7</v>
      </c>
      <c r="B17" s="99"/>
      <c r="C17" s="100" t="s">
        <v>353</v>
      </c>
      <c r="D17" s="174" t="s">
        <v>94</v>
      </c>
      <c r="E17" s="102"/>
      <c r="F17" s="163"/>
      <c r="G17" s="103"/>
      <c r="H17" s="186"/>
      <c r="I17" s="166">
        <v>0.51</v>
      </c>
      <c r="J17" s="107">
        <v>0.49</v>
      </c>
      <c r="K17" s="107"/>
      <c r="L17" s="107"/>
      <c r="M17" s="187"/>
      <c r="N17" s="169">
        <f t="shared" si="0"/>
        <v>1</v>
      </c>
      <c r="O17" s="144">
        <v>1</v>
      </c>
      <c r="P17" s="112">
        <v>10</v>
      </c>
      <c r="Q17" s="112">
        <v>10</v>
      </c>
      <c r="R17" s="113"/>
      <c r="S17" s="113"/>
      <c r="T17" s="146"/>
      <c r="U17" s="148">
        <f t="shared" si="1"/>
        <v>10</v>
      </c>
      <c r="V17" s="149">
        <f t="shared" si="2"/>
        <v>10</v>
      </c>
      <c r="W17" s="188">
        <v>14559047000</v>
      </c>
      <c r="X17" s="161">
        <v>14294711000</v>
      </c>
      <c r="Y17" s="189"/>
      <c r="Z17" s="190"/>
      <c r="AA17" s="153"/>
      <c r="AB17" s="154">
        <f t="shared" si="3"/>
        <v>238.55</v>
      </c>
      <c r="AC17" s="149">
        <f t="shared" si="4"/>
        <v>13</v>
      </c>
      <c r="AD17" s="125">
        <v>2</v>
      </c>
      <c r="AE17" s="116">
        <f>IF((AC17+AD17)&gt;=10,10,(AC17+AD17))</f>
        <v>10</v>
      </c>
      <c r="AF17" s="156"/>
      <c r="AG17" s="156"/>
      <c r="AH17" s="128">
        <f>IF((V17+AE17+AF17)&gt;=30,30,(V17+AE17+AF17))</f>
        <v>20</v>
      </c>
      <c r="AI17" s="129">
        <v>65</v>
      </c>
      <c r="AJ17" s="113">
        <f t="shared" si="5"/>
        <v>85</v>
      </c>
      <c r="AK17" s="113">
        <f t="shared" si="6"/>
        <v>85</v>
      </c>
      <c r="AL17" s="158">
        <f t="shared" si="7"/>
        <v>1.005</v>
      </c>
      <c r="AM17" s="159"/>
      <c r="AN17" s="160">
        <f t="shared" si="8"/>
        <v>1</v>
      </c>
      <c r="AO17" s="160">
        <f t="shared" si="8"/>
        <v>2</v>
      </c>
      <c r="AP17" s="133"/>
      <c r="AQ17" s="134"/>
      <c r="AR17" s="161"/>
      <c r="AS17" s="161"/>
      <c r="AT17" s="161"/>
      <c r="AU17" s="161"/>
      <c r="AV17" s="162"/>
      <c r="AW17" s="137">
        <f t="shared" si="9"/>
        <v>0</v>
      </c>
      <c r="AX17" s="137">
        <f t="shared" si="10"/>
        <v>0</v>
      </c>
    </row>
    <row r="18" ht="21.95" customHeight="1" spans="1:50" s="97" customFormat="1" x14ac:dyDescent="0.25">
      <c r="A18" s="138" t="s">
        <v>56</v>
      </c>
      <c r="B18" s="139"/>
      <c r="C18" s="139"/>
      <c r="D18" s="139"/>
      <c r="E18" s="139"/>
      <c r="F18" s="139"/>
      <c r="G18" s="139"/>
      <c r="H18" s="140"/>
      <c r="I18" s="248">
        <v>85</v>
      </c>
      <c r="J18" s="142">
        <v>85</v>
      </c>
      <c r="K18" s="142"/>
      <c r="L18" s="142"/>
      <c r="M18" s="142"/>
      <c r="N18" s="170">
        <f>I18*I17+J18*J17+K18*K17+L18*L17+M18*M17</f>
        <v>85</v>
      </c>
      <c r="O18" s="144"/>
      <c r="P18" s="145"/>
      <c r="Q18" s="113"/>
      <c r="R18" s="113"/>
      <c r="S18" s="146"/>
      <c r="T18" s="147"/>
      <c r="U18" s="148"/>
      <c r="V18" s="149"/>
      <c r="W18" s="150"/>
      <c r="X18" s="151"/>
      <c r="Y18" s="152"/>
      <c r="Z18" s="151"/>
      <c r="AA18" s="153"/>
      <c r="AB18" s="154"/>
      <c r="AC18" s="149"/>
      <c r="AD18" s="148"/>
      <c r="AE18" s="148"/>
      <c r="AF18" s="155"/>
      <c r="AG18" s="156"/>
      <c r="AH18" s="113"/>
      <c r="AI18" s="157"/>
      <c r="AJ18" s="113"/>
      <c r="AK18" s="113"/>
      <c r="AL18" s="158"/>
      <c r="AM18" s="159"/>
      <c r="AN18" s="160"/>
      <c r="AO18" s="160"/>
      <c r="AP18" s="133"/>
      <c r="AQ18" s="134"/>
      <c r="AR18" s="161"/>
      <c r="AS18" s="161"/>
      <c r="AT18" s="161"/>
      <c r="AU18" s="161"/>
      <c r="AV18" s="162"/>
      <c r="AW18" s="137"/>
      <c r="AX18" s="137"/>
    </row>
    <row r="19" ht="46.5" customHeight="1" spans="1:50" s="97" customFormat="1" x14ac:dyDescent="0.25">
      <c r="A19" s="98">
        <v>8</v>
      </c>
      <c r="B19" s="102"/>
      <c r="C19" s="102" t="s">
        <v>87</v>
      </c>
      <c r="D19" s="174" t="s">
        <v>354</v>
      </c>
      <c r="E19" s="100"/>
      <c r="F19" s="163"/>
      <c r="G19" s="103"/>
      <c r="H19" s="186"/>
      <c r="I19" s="166">
        <v>0.51</v>
      </c>
      <c r="J19" s="107">
        <v>0.49</v>
      </c>
      <c r="K19" s="191"/>
      <c r="L19" s="107"/>
      <c r="M19" s="187"/>
      <c r="N19" s="169">
        <f t="shared" si="0"/>
        <v>1</v>
      </c>
      <c r="O19" s="144">
        <v>1</v>
      </c>
      <c r="P19" s="112">
        <v>10</v>
      </c>
      <c r="Q19" s="112">
        <v>10</v>
      </c>
      <c r="R19" s="113"/>
      <c r="S19" s="113"/>
      <c r="T19" s="146"/>
      <c r="U19" s="148">
        <f t="shared" si="1"/>
        <v>10</v>
      </c>
      <c r="V19" s="149">
        <f t="shared" si="2"/>
        <v>10</v>
      </c>
      <c r="W19" s="192">
        <v>3966791000</v>
      </c>
      <c r="X19" s="120">
        <v>483084000</v>
      </c>
      <c r="Y19" s="120"/>
      <c r="Z19" s="190"/>
      <c r="AA19" s="153"/>
      <c r="AB19" s="154">
        <f t="shared" si="3"/>
        <v>37.31</v>
      </c>
      <c r="AC19" s="149">
        <f t="shared" si="4"/>
        <v>13</v>
      </c>
      <c r="AD19" s="125">
        <v>2</v>
      </c>
      <c r="AE19" s="116">
        <f>IF((AC19+AD19)&gt;=10,10,(AC19+AD19))</f>
        <v>10</v>
      </c>
      <c r="AF19" s="156"/>
      <c r="AG19" s="156"/>
      <c r="AH19" s="128">
        <f>IF((V19+AE19+AF19)&gt;=30,30,(V19+AE19+AF19))</f>
        <v>20</v>
      </c>
      <c r="AI19" s="129">
        <v>65</v>
      </c>
      <c r="AJ19" s="113">
        <f t="shared" si="5"/>
        <v>85</v>
      </c>
      <c r="AK19" s="113">
        <f t="shared" si="6"/>
        <v>85</v>
      </c>
      <c r="AL19" s="158">
        <f t="shared" si="7"/>
        <v>1.005</v>
      </c>
      <c r="AM19" s="159"/>
      <c r="AN19" s="160">
        <f t="shared" si="8"/>
        <v>1</v>
      </c>
      <c r="AO19" s="160">
        <f t="shared" si="8"/>
        <v>2</v>
      </c>
      <c r="AP19" s="133"/>
      <c r="AQ19" s="134"/>
      <c r="AR19" s="161"/>
      <c r="AS19" s="161"/>
      <c r="AT19" s="161"/>
      <c r="AU19" s="161"/>
      <c r="AV19" s="162"/>
      <c r="AW19" s="137">
        <f t="shared" si="9"/>
        <v>0</v>
      </c>
      <c r="AX19" s="137">
        <f t="shared" si="10"/>
        <v>0</v>
      </c>
    </row>
    <row r="20" ht="21.95" customHeight="1" spans="1:50" s="97" customFormat="1" x14ac:dyDescent="0.25">
      <c r="A20" s="138" t="s">
        <v>56</v>
      </c>
      <c r="B20" s="139"/>
      <c r="C20" s="139"/>
      <c r="D20" s="139"/>
      <c r="E20" s="139"/>
      <c r="F20" s="139"/>
      <c r="G20" s="139"/>
      <c r="H20" s="140"/>
      <c r="I20" s="248">
        <v>85</v>
      </c>
      <c r="J20" s="142">
        <v>85</v>
      </c>
      <c r="K20" s="142"/>
      <c r="L20" s="142"/>
      <c r="M20" s="142"/>
      <c r="N20" s="170">
        <f>I20*I19+J20*J19+K20*K19+L20*L19+M20*M19</f>
        <v>85</v>
      </c>
      <c r="O20" s="144"/>
      <c r="P20" s="145"/>
      <c r="Q20" s="113"/>
      <c r="R20" s="113"/>
      <c r="S20" s="146"/>
      <c r="T20" s="147"/>
      <c r="U20" s="148"/>
      <c r="V20" s="149"/>
      <c r="W20" s="150"/>
      <c r="X20" s="151"/>
      <c r="Y20" s="152"/>
      <c r="Z20" s="151"/>
      <c r="AA20" s="153"/>
      <c r="AB20" s="154"/>
      <c r="AC20" s="149"/>
      <c r="AD20" s="148"/>
      <c r="AE20" s="148"/>
      <c r="AF20" s="155"/>
      <c r="AG20" s="156"/>
      <c r="AH20" s="113"/>
      <c r="AI20" s="157"/>
      <c r="AJ20" s="113"/>
      <c r="AK20" s="113"/>
      <c r="AL20" s="158"/>
      <c r="AM20" s="159"/>
      <c r="AN20" s="160"/>
      <c r="AO20" s="160"/>
      <c r="AP20" s="133"/>
      <c r="AQ20" s="134"/>
      <c r="AR20" s="161"/>
      <c r="AS20" s="161"/>
      <c r="AT20" s="161"/>
      <c r="AU20" s="161"/>
      <c r="AV20" s="162"/>
      <c r="AW20" s="137"/>
      <c r="AX20" s="137"/>
    </row>
    <row r="21" ht="46.5" customHeight="1" spans="1:50" s="97" customFormat="1" x14ac:dyDescent="0.25">
      <c r="A21" s="98">
        <v>9</v>
      </c>
      <c r="B21" s="102"/>
      <c r="C21" s="100" t="s">
        <v>91</v>
      </c>
      <c r="D21" s="234" t="s">
        <v>355</v>
      </c>
      <c r="E21" s="100"/>
      <c r="F21" s="100"/>
      <c r="G21" s="103"/>
      <c r="H21" s="186"/>
      <c r="I21" s="166">
        <v>0.51</v>
      </c>
      <c r="J21" s="107">
        <v>0.49</v>
      </c>
      <c r="K21" s="107"/>
      <c r="L21" s="107"/>
      <c r="M21" s="187"/>
      <c r="N21" s="169">
        <f t="shared" si="0"/>
        <v>1</v>
      </c>
      <c r="O21" s="144">
        <v>1</v>
      </c>
      <c r="P21" s="112">
        <v>10</v>
      </c>
      <c r="Q21" s="112">
        <v>10</v>
      </c>
      <c r="R21" s="113"/>
      <c r="S21" s="113"/>
      <c r="T21" s="146"/>
      <c r="U21" s="148">
        <f t="shared" si="1"/>
        <v>10</v>
      </c>
      <c r="V21" s="149">
        <f t="shared" si="2"/>
        <v>10</v>
      </c>
      <c r="W21" s="192">
        <v>3270462000</v>
      </c>
      <c r="X21" s="183">
        <v>517643000</v>
      </c>
      <c r="Y21" s="120"/>
      <c r="Z21" s="190"/>
      <c r="AA21" s="153"/>
      <c r="AB21" s="154">
        <f t="shared" si="3"/>
        <v>31.72</v>
      </c>
      <c r="AC21" s="149">
        <f t="shared" si="4"/>
        <v>13</v>
      </c>
      <c r="AD21" s="125">
        <v>2</v>
      </c>
      <c r="AE21" s="116">
        <f>IF((AC21+AD21)&gt;=10,10,(AC21+AD21))</f>
        <v>10</v>
      </c>
      <c r="AF21" s="156"/>
      <c r="AG21" s="156"/>
      <c r="AH21" s="128">
        <f>IF((V21+AE21+AF21)&gt;=30,30,(V21+AE21+AF21))</f>
        <v>20</v>
      </c>
      <c r="AI21" s="129">
        <v>65</v>
      </c>
      <c r="AJ21" s="113">
        <f t="shared" si="5"/>
        <v>85</v>
      </c>
      <c r="AK21" s="113">
        <f t="shared" si="6"/>
        <v>85</v>
      </c>
      <c r="AL21" s="158">
        <f t="shared" si="7"/>
        <v>1.005</v>
      </c>
      <c r="AM21" s="159"/>
      <c r="AN21" s="160">
        <f t="shared" si="8"/>
        <v>1</v>
      </c>
      <c r="AO21" s="160">
        <f t="shared" si="8"/>
        <v>2</v>
      </c>
      <c r="AP21" s="133"/>
      <c r="AQ21" s="134"/>
      <c r="AR21" s="161"/>
      <c r="AS21" s="161"/>
      <c r="AT21" s="161"/>
      <c r="AU21" s="161"/>
      <c r="AV21" s="162"/>
      <c r="AW21" s="137">
        <f t="shared" si="9"/>
        <v>0</v>
      </c>
      <c r="AX21" s="137">
        <f t="shared" si="10"/>
        <v>0</v>
      </c>
    </row>
    <row r="22" ht="21.95" customHeight="1" spans="1:50" s="97" customFormat="1" x14ac:dyDescent="0.25">
      <c r="A22" s="138" t="s">
        <v>56</v>
      </c>
      <c r="B22" s="139"/>
      <c r="C22" s="139"/>
      <c r="D22" s="139"/>
      <c r="E22" s="139"/>
      <c r="F22" s="139"/>
      <c r="G22" s="139"/>
      <c r="H22" s="140"/>
      <c r="I22" s="248">
        <v>85</v>
      </c>
      <c r="J22" s="142">
        <v>85</v>
      </c>
      <c r="K22" s="142"/>
      <c r="L22" s="142"/>
      <c r="M22" s="142"/>
      <c r="N22" s="170">
        <f>I22*I21+J22*J21+K22*K21+L22*L21+M22*M21</f>
        <v>85</v>
      </c>
      <c r="O22" s="144"/>
      <c r="P22" s="145"/>
      <c r="Q22" s="113"/>
      <c r="R22" s="113"/>
      <c r="S22" s="146"/>
      <c r="T22" s="147"/>
      <c r="U22" s="148"/>
      <c r="V22" s="149"/>
      <c r="W22" s="150"/>
      <c r="X22" s="151"/>
      <c r="Y22" s="152"/>
      <c r="Z22" s="151"/>
      <c r="AA22" s="153"/>
      <c r="AB22" s="154"/>
      <c r="AC22" s="149"/>
      <c r="AD22" s="148"/>
      <c r="AE22" s="148"/>
      <c r="AF22" s="155"/>
      <c r="AG22" s="156"/>
      <c r="AH22" s="113"/>
      <c r="AI22" s="157"/>
      <c r="AJ22" s="113"/>
      <c r="AK22" s="113"/>
      <c r="AL22" s="158"/>
      <c r="AM22" s="159"/>
      <c r="AN22" s="160"/>
      <c r="AO22" s="160"/>
      <c r="AP22" s="133"/>
      <c r="AQ22" s="134"/>
      <c r="AR22" s="161"/>
      <c r="AS22" s="161"/>
      <c r="AT22" s="161"/>
      <c r="AU22" s="161"/>
      <c r="AV22" s="162"/>
      <c r="AW22" s="137"/>
      <c r="AX22" s="137"/>
    </row>
    <row r="23" ht="46.5" customHeight="1" spans="1:50" s="97" customFormat="1" x14ac:dyDescent="0.25">
      <c r="A23" s="98"/>
      <c r="B23" s="196"/>
      <c r="C23" s="100"/>
      <c r="D23" s="102"/>
      <c r="E23" s="100"/>
      <c r="F23" s="100"/>
      <c r="G23" s="103"/>
      <c r="H23" s="186"/>
      <c r="I23" s="195"/>
      <c r="J23" s="107"/>
      <c r="K23" s="107"/>
      <c r="L23" s="107"/>
      <c r="M23" s="187"/>
      <c r="N23" s="169">
        <f t="shared" si="0"/>
        <v>0</v>
      </c>
      <c r="O23" s="144">
        <v>1</v>
      </c>
      <c r="P23" s="112"/>
      <c r="Q23" s="112"/>
      <c r="R23" s="156"/>
      <c r="S23" s="113"/>
      <c r="T23" s="146"/>
      <c r="U23" s="148">
        <f t="shared" si="1"/>
        <v>0</v>
      </c>
      <c r="V23" s="149">
        <f t="shared" si="2"/>
        <v>0</v>
      </c>
      <c r="W23" s="197"/>
      <c r="X23" s="120"/>
      <c r="Y23" s="183"/>
      <c r="Z23" s="190"/>
      <c r="AA23" s="153"/>
      <c r="AB23" s="154">
        <f t="shared" si="3"/>
        <v>0</v>
      </c>
      <c r="AC23" s="149">
        <f t="shared" si="4"/>
        <v>0</v>
      </c>
      <c r="AD23" s="125">
        <v>2</v>
      </c>
      <c r="AE23" s="116"/>
      <c r="AF23" s="156"/>
      <c r="AG23" s="156"/>
      <c r="AH23" s="128">
        <f>IF((V23+AE23+AF23)&gt;=30,30,(V23+AE23+AF23))</f>
        <v>0</v>
      </c>
      <c r="AI23" s="129">
        <v>80</v>
      </c>
      <c r="AJ23" s="113">
        <f t="shared" si="5"/>
        <v>80</v>
      </c>
      <c r="AK23" s="113">
        <f t="shared" si="6"/>
        <v>80</v>
      </c>
      <c r="AL23" s="158">
        <f t="shared" si="7"/>
        <v>1.105</v>
      </c>
      <c r="AM23" s="159"/>
      <c r="AN23" s="160">
        <f t="shared" si="8"/>
        <v>1</v>
      </c>
      <c r="AO23" s="160">
        <f t="shared" si="8"/>
        <v>2</v>
      </c>
      <c r="AP23" s="133"/>
      <c r="AQ23" s="134"/>
      <c r="AR23" s="161"/>
      <c r="AS23" s="161"/>
      <c r="AT23" s="161"/>
      <c r="AU23" s="161"/>
      <c r="AV23" s="162"/>
      <c r="AW23" s="137">
        <f t="shared" si="9"/>
        <v>0</v>
      </c>
      <c r="AX23" s="137">
        <f t="shared" si="10"/>
        <v>0</v>
      </c>
    </row>
    <row r="24" ht="46.5" customHeight="1" spans="1:50" s="97" customFormat="1" x14ac:dyDescent="0.25">
      <c r="A24" s="100"/>
      <c r="B24" s="100"/>
      <c r="C24" s="100"/>
      <c r="D24" s="100"/>
      <c r="E24" s="100"/>
      <c r="F24" s="100"/>
      <c r="G24" s="103"/>
      <c r="H24" s="186"/>
      <c r="I24" s="195"/>
      <c r="J24" s="107"/>
      <c r="K24" s="107"/>
      <c r="L24" s="107"/>
      <c r="M24" s="187"/>
      <c r="N24" s="169">
        <f t="shared" si="0"/>
        <v>0</v>
      </c>
      <c r="O24" s="144">
        <v>1</v>
      </c>
      <c r="P24" s="145">
        <v>15</v>
      </c>
      <c r="Q24" s="113">
        <v>15</v>
      </c>
      <c r="R24" s="113"/>
      <c r="S24" s="113"/>
      <c r="T24" s="146"/>
      <c r="U24" s="148">
        <f t="shared" si="1"/>
        <v>0</v>
      </c>
      <c r="V24" s="149">
        <f t="shared" si="2"/>
        <v>0</v>
      </c>
      <c r="W24" s="189"/>
      <c r="X24" s="199"/>
      <c r="Y24" s="151"/>
      <c r="Z24" s="190"/>
      <c r="AA24" s="153"/>
      <c r="AB24" s="154">
        <f t="shared" si="3"/>
        <v>0</v>
      </c>
      <c r="AC24" s="149">
        <f t="shared" si="4"/>
        <v>0</v>
      </c>
      <c r="AD24" s="125">
        <v>2</v>
      </c>
      <c r="AE24" s="148"/>
      <c r="AF24" s="156"/>
      <c r="AG24" s="156"/>
      <c r="AH24" s="128">
        <f>IF((V24+AE24+AF24)&gt;=30,30,(V24+AE24+AF24))</f>
        <v>0</v>
      </c>
      <c r="AI24" s="157">
        <v>65</v>
      </c>
      <c r="AJ24" s="113">
        <f t="shared" si="5"/>
        <v>65</v>
      </c>
      <c r="AK24" s="113">
        <f t="shared" si="6"/>
        <v>65</v>
      </c>
      <c r="AL24" s="158">
        <f t="shared" si="7"/>
        <v>1.105</v>
      </c>
      <c r="AM24" s="159"/>
      <c r="AN24" s="160">
        <f t="shared" si="8"/>
        <v>1</v>
      </c>
      <c r="AO24" s="160">
        <f t="shared" si="8"/>
        <v>2</v>
      </c>
      <c r="AP24" s="133"/>
      <c r="AQ24" s="134"/>
      <c r="AR24" s="161"/>
      <c r="AS24" s="161"/>
      <c r="AT24" s="161"/>
      <c r="AU24" s="161"/>
      <c r="AV24" s="162"/>
      <c r="AW24" s="137">
        <f t="shared" si="9"/>
        <v>0</v>
      </c>
      <c r="AX24" s="137">
        <f t="shared" si="10"/>
        <v>0</v>
      </c>
    </row>
    <row r="25" ht="46.5" customHeight="1" spans="1:50" s="97" customFormat="1" x14ac:dyDescent="0.25">
      <c r="A25" s="100"/>
      <c r="B25" s="100"/>
      <c r="C25" s="100"/>
      <c r="D25" s="100"/>
      <c r="E25" s="100"/>
      <c r="F25" s="100"/>
      <c r="G25" s="103"/>
      <c r="H25" s="186"/>
      <c r="I25" s="195"/>
      <c r="J25" s="107"/>
      <c r="K25" s="107"/>
      <c r="L25" s="107"/>
      <c r="M25" s="187"/>
      <c r="N25" s="169">
        <f t="shared" si="0"/>
        <v>0</v>
      </c>
      <c r="O25" s="144">
        <v>1</v>
      </c>
      <c r="P25" s="145">
        <v>15</v>
      </c>
      <c r="Q25" s="113">
        <v>15</v>
      </c>
      <c r="R25" s="113"/>
      <c r="S25" s="113"/>
      <c r="T25" s="146"/>
      <c r="U25" s="148">
        <f t="shared" si="1"/>
        <v>0</v>
      </c>
      <c r="V25" s="149">
        <f t="shared" si="2"/>
        <v>0</v>
      </c>
      <c r="W25" s="189"/>
      <c r="X25" s="199"/>
      <c r="Y25" s="151"/>
      <c r="Z25" s="190"/>
      <c r="AA25" s="153"/>
      <c r="AB25" s="154">
        <f t="shared" si="3"/>
        <v>0</v>
      </c>
      <c r="AC25" s="149">
        <f t="shared" si="4"/>
        <v>0</v>
      </c>
      <c r="AD25" s="125">
        <v>2</v>
      </c>
      <c r="AE25" s="148"/>
      <c r="AF25" s="156"/>
      <c r="AG25" s="156"/>
      <c r="AH25" s="113">
        <f t="shared" ref="AH25:AH76" si="11">IF((V25+AE25+AF25)&gt;=30,30,(V25+AE25+AF25))</f>
        <v>0</v>
      </c>
      <c r="AI25" s="129">
        <v>80</v>
      </c>
      <c r="AJ25" s="113">
        <f t="shared" si="5"/>
        <v>80</v>
      </c>
      <c r="AK25" s="113">
        <f t="shared" si="6"/>
        <v>80</v>
      </c>
      <c r="AL25" s="158">
        <f t="shared" si="7"/>
        <v>1.105</v>
      </c>
      <c r="AM25" s="159"/>
      <c r="AN25" s="160">
        <f t="shared" si="8"/>
        <v>1</v>
      </c>
      <c r="AO25" s="160">
        <f t="shared" si="8"/>
        <v>2</v>
      </c>
      <c r="AP25" s="133"/>
      <c r="AQ25" s="134"/>
      <c r="AR25" s="161"/>
      <c r="AS25" s="161"/>
      <c r="AT25" s="161"/>
      <c r="AU25" s="161"/>
      <c r="AV25" s="162"/>
      <c r="AW25" s="137">
        <f t="shared" si="9"/>
        <v>0</v>
      </c>
      <c r="AX25" s="137">
        <f t="shared" si="10"/>
        <v>0</v>
      </c>
    </row>
    <row r="26" ht="46.5" customHeight="1" spans="1:50" s="97" customFormat="1" x14ac:dyDescent="0.25">
      <c r="A26" s="100"/>
      <c r="B26" s="100"/>
      <c r="C26" s="100"/>
      <c r="D26" s="100"/>
      <c r="E26" s="100"/>
      <c r="F26" s="100"/>
      <c r="G26" s="103"/>
      <c r="H26" s="186"/>
      <c r="I26" s="195"/>
      <c r="J26" s="107"/>
      <c r="K26" s="107"/>
      <c r="L26" s="107"/>
      <c r="M26" s="187"/>
      <c r="N26" s="169">
        <f t="shared" si="0"/>
        <v>0</v>
      </c>
      <c r="O26" s="144">
        <v>1</v>
      </c>
      <c r="P26" s="145">
        <v>15</v>
      </c>
      <c r="Q26" s="113">
        <v>15</v>
      </c>
      <c r="R26" s="113"/>
      <c r="S26" s="113"/>
      <c r="T26" s="146"/>
      <c r="U26" s="148">
        <f t="shared" si="1"/>
        <v>0</v>
      </c>
      <c r="V26" s="149">
        <f t="shared" si="2"/>
        <v>0</v>
      </c>
      <c r="W26" s="189"/>
      <c r="X26" s="199"/>
      <c r="Y26" s="151"/>
      <c r="Z26" s="190"/>
      <c r="AA26" s="153"/>
      <c r="AB26" s="154">
        <f t="shared" si="3"/>
        <v>0</v>
      </c>
      <c r="AC26" s="149">
        <f t="shared" si="4"/>
        <v>0</v>
      </c>
      <c r="AD26" s="125">
        <v>2</v>
      </c>
      <c r="AE26" s="148"/>
      <c r="AF26" s="156"/>
      <c r="AG26" s="156"/>
      <c r="AH26" s="113">
        <f t="shared" si="11"/>
        <v>0</v>
      </c>
      <c r="AI26" s="129">
        <v>80</v>
      </c>
      <c r="AJ26" s="113">
        <f t="shared" si="5"/>
        <v>80</v>
      </c>
      <c r="AK26" s="113">
        <f t="shared" si="6"/>
        <v>80</v>
      </c>
      <c r="AL26" s="158">
        <f t="shared" si="7"/>
        <v>1.105</v>
      </c>
      <c r="AM26" s="159"/>
      <c r="AN26" s="160">
        <f t="shared" si="8"/>
        <v>1</v>
      </c>
      <c r="AO26" s="160">
        <f t="shared" si="8"/>
        <v>2</v>
      </c>
      <c r="AP26" s="133"/>
      <c r="AQ26" s="134"/>
      <c r="AR26" s="161"/>
      <c r="AS26" s="161"/>
      <c r="AT26" s="161"/>
      <c r="AU26" s="161"/>
      <c r="AV26" s="162"/>
      <c r="AW26" s="137">
        <f t="shared" si="9"/>
        <v>0</v>
      </c>
      <c r="AX26" s="137">
        <f t="shared" si="10"/>
        <v>0</v>
      </c>
    </row>
    <row r="27" ht="46.5" customHeight="1" spans="1:50" s="97" customFormat="1" x14ac:dyDescent="0.25">
      <c r="A27" s="100"/>
      <c r="B27" s="100"/>
      <c r="C27" s="100"/>
      <c r="D27" s="100"/>
      <c r="E27" s="100"/>
      <c r="F27" s="100"/>
      <c r="G27" s="103"/>
      <c r="H27" s="186"/>
      <c r="I27" s="195">
        <v>0.51</v>
      </c>
      <c r="J27" s="107">
        <v>0.49</v>
      </c>
      <c r="K27" s="107"/>
      <c r="L27" s="107"/>
      <c r="M27" s="187"/>
      <c r="N27" s="169">
        <f t="shared" si="0"/>
        <v>1</v>
      </c>
      <c r="O27" s="144">
        <v>1</v>
      </c>
      <c r="P27" s="145">
        <v>15</v>
      </c>
      <c r="Q27" s="113">
        <v>15</v>
      </c>
      <c r="R27" s="113"/>
      <c r="S27" s="113"/>
      <c r="T27" s="146"/>
      <c r="U27" s="148">
        <f t="shared" si="1"/>
        <v>15</v>
      </c>
      <c r="V27" s="149">
        <f t="shared" si="2"/>
        <v>15</v>
      </c>
      <c r="W27" s="189"/>
      <c r="X27" s="199"/>
      <c r="Y27" s="151"/>
      <c r="Z27" s="190"/>
      <c r="AA27" s="153"/>
      <c r="AB27" s="154">
        <f t="shared" si="3"/>
        <v>0</v>
      </c>
      <c r="AC27" s="149">
        <f t="shared" si="4"/>
        <v>0</v>
      </c>
      <c r="AD27" s="125">
        <v>2</v>
      </c>
      <c r="AE27" s="148"/>
      <c r="AF27" s="156"/>
      <c r="AG27" s="156"/>
      <c r="AH27" s="113">
        <f t="shared" si="11"/>
        <v>15</v>
      </c>
      <c r="AI27" s="129">
        <v>80</v>
      </c>
      <c r="AJ27" s="113">
        <f t="shared" si="5"/>
        <v>95</v>
      </c>
      <c r="AK27" s="113">
        <f t="shared" si="6"/>
        <v>95</v>
      </c>
      <c r="AL27" s="158">
        <f t="shared" si="7"/>
        <v>1.03</v>
      </c>
      <c r="AM27" s="159"/>
      <c r="AN27" s="160">
        <f t="shared" si="8"/>
        <v>1</v>
      </c>
      <c r="AO27" s="160">
        <f t="shared" si="8"/>
        <v>2</v>
      </c>
      <c r="AP27" s="133"/>
      <c r="AQ27" s="134"/>
      <c r="AR27" s="161"/>
      <c r="AS27" s="161"/>
      <c r="AT27" s="161"/>
      <c r="AU27" s="161"/>
      <c r="AV27" s="162"/>
      <c r="AW27" s="137">
        <f t="shared" si="9"/>
        <v>0</v>
      </c>
      <c r="AX27" s="137">
        <f t="shared" si="10"/>
        <v>0</v>
      </c>
    </row>
    <row r="28" ht="46.5" customHeight="1" spans="1:50" s="97" customFormat="1" x14ac:dyDescent="0.25">
      <c r="A28" s="100"/>
      <c r="B28" s="100"/>
      <c r="C28" s="100"/>
      <c r="D28" s="100"/>
      <c r="E28" s="100"/>
      <c r="F28" s="100"/>
      <c r="G28" s="103"/>
      <c r="H28" s="186"/>
      <c r="I28" s="195">
        <v>0.51</v>
      </c>
      <c r="J28" s="107">
        <v>0.49</v>
      </c>
      <c r="K28" s="107"/>
      <c r="L28" s="107"/>
      <c r="M28" s="187"/>
      <c r="N28" s="169">
        <f t="shared" si="0"/>
        <v>1</v>
      </c>
      <c r="O28" s="144">
        <v>1</v>
      </c>
      <c r="P28" s="145">
        <v>15</v>
      </c>
      <c r="Q28" s="113">
        <v>15</v>
      </c>
      <c r="R28" s="113"/>
      <c r="S28" s="113"/>
      <c r="T28" s="146"/>
      <c r="U28" s="148">
        <f t="shared" si="1"/>
        <v>15</v>
      </c>
      <c r="V28" s="149">
        <f t="shared" si="2"/>
        <v>15</v>
      </c>
      <c r="W28" s="189"/>
      <c r="X28" s="199"/>
      <c r="Y28" s="151"/>
      <c r="Z28" s="190"/>
      <c r="AA28" s="153"/>
      <c r="AB28" s="154">
        <f t="shared" si="3"/>
        <v>0</v>
      </c>
      <c r="AC28" s="149">
        <f t="shared" si="4"/>
        <v>0</v>
      </c>
      <c r="AD28" s="125">
        <v>2</v>
      </c>
      <c r="AE28" s="148"/>
      <c r="AF28" s="156"/>
      <c r="AG28" s="156"/>
      <c r="AH28" s="113">
        <f t="shared" si="11"/>
        <v>15</v>
      </c>
      <c r="AI28" s="157">
        <v>65</v>
      </c>
      <c r="AJ28" s="113">
        <f t="shared" si="5"/>
        <v>80</v>
      </c>
      <c r="AK28" s="113">
        <f t="shared" si="6"/>
        <v>80</v>
      </c>
      <c r="AL28" s="158">
        <f t="shared" si="7"/>
        <v>1.03</v>
      </c>
      <c r="AM28" s="159"/>
      <c r="AN28" s="160">
        <f t="shared" si="8"/>
        <v>1</v>
      </c>
      <c r="AO28" s="160">
        <f t="shared" si="8"/>
        <v>2</v>
      </c>
      <c r="AP28" s="133"/>
      <c r="AQ28" s="134"/>
      <c r="AR28" s="161"/>
      <c r="AS28" s="161"/>
      <c r="AT28" s="161"/>
      <c r="AU28" s="161"/>
      <c r="AV28" s="162"/>
      <c r="AW28" s="137">
        <f t="shared" si="9"/>
        <v>0</v>
      </c>
      <c r="AX28" s="137">
        <f t="shared" si="10"/>
        <v>0</v>
      </c>
    </row>
    <row r="29" ht="46.5" customHeight="1" spans="1:50" s="97" customFormat="1" x14ac:dyDescent="0.25">
      <c r="A29" s="100"/>
      <c r="B29" s="100"/>
      <c r="C29" s="100"/>
      <c r="D29" s="100"/>
      <c r="E29" s="100"/>
      <c r="F29" s="100"/>
      <c r="G29" s="103"/>
      <c r="H29" s="186"/>
      <c r="I29" s="195">
        <v>0.51</v>
      </c>
      <c r="J29" s="107">
        <v>0.49</v>
      </c>
      <c r="K29" s="107"/>
      <c r="L29" s="107"/>
      <c r="M29" s="187"/>
      <c r="N29" s="169">
        <f t="shared" si="0"/>
        <v>1</v>
      </c>
      <c r="O29" s="144">
        <v>1</v>
      </c>
      <c r="P29" s="145">
        <v>15</v>
      </c>
      <c r="Q29" s="113">
        <v>15</v>
      </c>
      <c r="R29" s="113"/>
      <c r="S29" s="113"/>
      <c r="T29" s="146"/>
      <c r="U29" s="148">
        <f t="shared" si="1"/>
        <v>15</v>
      </c>
      <c r="V29" s="149">
        <f t="shared" si="2"/>
        <v>15</v>
      </c>
      <c r="W29" s="189"/>
      <c r="X29" s="199"/>
      <c r="Y29" s="151"/>
      <c r="Z29" s="190"/>
      <c r="AA29" s="153"/>
      <c r="AB29" s="154">
        <f t="shared" si="3"/>
        <v>0</v>
      </c>
      <c r="AC29" s="149">
        <f t="shared" si="4"/>
        <v>0</v>
      </c>
      <c r="AD29" s="125">
        <v>2</v>
      </c>
      <c r="AE29" s="148"/>
      <c r="AF29" s="156"/>
      <c r="AG29" s="156"/>
      <c r="AH29" s="113">
        <f t="shared" si="11"/>
        <v>15</v>
      </c>
      <c r="AI29" s="157">
        <v>65</v>
      </c>
      <c r="AJ29" s="113">
        <f t="shared" si="5"/>
        <v>80</v>
      </c>
      <c r="AK29" s="113">
        <f t="shared" si="6"/>
        <v>80</v>
      </c>
      <c r="AL29" s="158">
        <f t="shared" si="7"/>
        <v>1.03</v>
      </c>
      <c r="AM29" s="159"/>
      <c r="AN29" s="160">
        <f t="shared" si="8"/>
        <v>1</v>
      </c>
      <c r="AO29" s="160">
        <f t="shared" si="8"/>
        <v>2</v>
      </c>
      <c r="AP29" s="133"/>
      <c r="AQ29" s="134"/>
      <c r="AR29" s="161"/>
      <c r="AS29" s="161"/>
      <c r="AT29" s="161"/>
      <c r="AU29" s="161"/>
      <c r="AV29" s="162"/>
      <c r="AW29" s="137">
        <f t="shared" si="9"/>
        <v>0</v>
      </c>
      <c r="AX29" s="137">
        <f t="shared" si="10"/>
        <v>0</v>
      </c>
    </row>
    <row r="30" ht="46.5" customHeight="1" spans="1:50" s="97" customFormat="1" x14ac:dyDescent="0.25">
      <c r="A30" s="100"/>
      <c r="B30" s="100"/>
      <c r="C30" s="100"/>
      <c r="D30" s="100"/>
      <c r="E30" s="100"/>
      <c r="F30" s="100"/>
      <c r="G30" s="103"/>
      <c r="H30" s="186"/>
      <c r="I30" s="195">
        <v>0.51</v>
      </c>
      <c r="J30" s="107">
        <v>0.49</v>
      </c>
      <c r="K30" s="107"/>
      <c r="L30" s="107"/>
      <c r="M30" s="187"/>
      <c r="N30" s="169">
        <f t="shared" si="0"/>
        <v>1</v>
      </c>
      <c r="O30" s="144">
        <v>1</v>
      </c>
      <c r="P30" s="145">
        <v>15</v>
      </c>
      <c r="Q30" s="113">
        <v>15</v>
      </c>
      <c r="R30" s="113"/>
      <c r="S30" s="113"/>
      <c r="T30" s="146"/>
      <c r="U30" s="148">
        <f t="shared" si="1"/>
        <v>15</v>
      </c>
      <c r="V30" s="149">
        <f t="shared" si="2"/>
        <v>15</v>
      </c>
      <c r="W30" s="189"/>
      <c r="X30" s="199"/>
      <c r="Y30" s="151"/>
      <c r="Z30" s="190"/>
      <c r="AA30" s="153"/>
      <c r="AB30" s="154">
        <f t="shared" si="3"/>
        <v>0</v>
      </c>
      <c r="AC30" s="149">
        <f t="shared" si="4"/>
        <v>0</v>
      </c>
      <c r="AD30" s="125">
        <v>2</v>
      </c>
      <c r="AE30" s="148"/>
      <c r="AF30" s="156"/>
      <c r="AG30" s="156"/>
      <c r="AH30" s="113">
        <f t="shared" si="11"/>
        <v>15</v>
      </c>
      <c r="AI30" s="157">
        <v>65</v>
      </c>
      <c r="AJ30" s="113">
        <f t="shared" si="5"/>
        <v>80</v>
      </c>
      <c r="AK30" s="113">
        <f t="shared" si="6"/>
        <v>80</v>
      </c>
      <c r="AL30" s="158">
        <f t="shared" si="7"/>
        <v>1.03</v>
      </c>
      <c r="AM30" s="159"/>
      <c r="AN30" s="160">
        <f t="shared" si="8"/>
        <v>1</v>
      </c>
      <c r="AO30" s="160">
        <f t="shared" si="8"/>
        <v>2</v>
      </c>
      <c r="AP30" s="133"/>
      <c r="AQ30" s="134"/>
      <c r="AR30" s="161"/>
      <c r="AS30" s="161"/>
      <c r="AT30" s="161"/>
      <c r="AU30" s="161"/>
      <c r="AV30" s="162"/>
      <c r="AW30" s="137">
        <f t="shared" si="9"/>
        <v>0</v>
      </c>
      <c r="AX30" s="137">
        <f t="shared" si="10"/>
        <v>0</v>
      </c>
    </row>
    <row r="31" ht="46.5" customHeight="1" spans="1:50" s="97" customFormat="1" x14ac:dyDescent="0.25">
      <c r="A31" s="100"/>
      <c r="B31" s="100"/>
      <c r="C31" s="100"/>
      <c r="D31" s="100"/>
      <c r="E31" s="100"/>
      <c r="F31" s="100"/>
      <c r="G31" s="103"/>
      <c r="H31" s="186"/>
      <c r="I31" s="195">
        <v>0.51</v>
      </c>
      <c r="J31" s="107">
        <v>0.49</v>
      </c>
      <c r="K31" s="107"/>
      <c r="L31" s="107"/>
      <c r="M31" s="187"/>
      <c r="N31" s="169">
        <f t="shared" si="0"/>
        <v>1</v>
      </c>
      <c r="O31" s="144">
        <v>1</v>
      </c>
      <c r="P31" s="145">
        <v>15</v>
      </c>
      <c r="Q31" s="113">
        <v>15</v>
      </c>
      <c r="R31" s="113"/>
      <c r="S31" s="113"/>
      <c r="T31" s="146"/>
      <c r="U31" s="148">
        <f t="shared" si="1"/>
        <v>15</v>
      </c>
      <c r="V31" s="149">
        <f t="shared" si="2"/>
        <v>15</v>
      </c>
      <c r="W31" s="189"/>
      <c r="X31" s="199"/>
      <c r="Y31" s="151"/>
      <c r="Z31" s="190"/>
      <c r="AA31" s="153"/>
      <c r="AB31" s="154">
        <f t="shared" si="3"/>
        <v>0</v>
      </c>
      <c r="AC31" s="149">
        <f t="shared" si="4"/>
        <v>0</v>
      </c>
      <c r="AD31" s="125">
        <v>2</v>
      </c>
      <c r="AE31" s="148"/>
      <c r="AF31" s="156"/>
      <c r="AG31" s="156"/>
      <c r="AH31" s="113">
        <f t="shared" si="11"/>
        <v>15</v>
      </c>
      <c r="AI31" s="157">
        <v>65</v>
      </c>
      <c r="AJ31" s="113">
        <f t="shared" si="5"/>
        <v>80</v>
      </c>
      <c r="AK31" s="113">
        <f t="shared" si="6"/>
        <v>80</v>
      </c>
      <c r="AL31" s="158">
        <f t="shared" si="7"/>
        <v>1.03</v>
      </c>
      <c r="AM31" s="159"/>
      <c r="AN31" s="160">
        <f t="shared" si="8"/>
        <v>1</v>
      </c>
      <c r="AO31" s="160">
        <f t="shared" si="8"/>
        <v>2</v>
      </c>
      <c r="AP31" s="133"/>
      <c r="AQ31" s="134"/>
      <c r="AR31" s="161"/>
      <c r="AS31" s="161"/>
      <c r="AT31" s="161"/>
      <c r="AU31" s="161"/>
      <c r="AV31" s="162"/>
      <c r="AW31" s="137">
        <f t="shared" si="9"/>
        <v>0</v>
      </c>
      <c r="AX31" s="137">
        <f t="shared" si="10"/>
        <v>0</v>
      </c>
    </row>
    <row r="32" ht="46.5" customHeight="1" spans="1:50" s="97" customFormat="1" x14ac:dyDescent="0.25">
      <c r="A32" s="100"/>
      <c r="B32" s="100"/>
      <c r="C32" s="100"/>
      <c r="D32" s="100"/>
      <c r="E32" s="100"/>
      <c r="F32" s="100"/>
      <c r="G32" s="103"/>
      <c r="H32" s="186"/>
      <c r="I32" s="195">
        <v>0.51</v>
      </c>
      <c r="J32" s="107">
        <v>0.49</v>
      </c>
      <c r="K32" s="107"/>
      <c r="L32" s="107"/>
      <c r="M32" s="187"/>
      <c r="N32" s="169">
        <f t="shared" si="0"/>
        <v>1</v>
      </c>
      <c r="O32" s="144">
        <v>1</v>
      </c>
      <c r="P32" s="145">
        <v>15</v>
      </c>
      <c r="Q32" s="113">
        <v>15</v>
      </c>
      <c r="R32" s="113"/>
      <c r="S32" s="113"/>
      <c r="T32" s="146"/>
      <c r="U32" s="148">
        <f t="shared" si="1"/>
        <v>15</v>
      </c>
      <c r="V32" s="149">
        <f t="shared" si="2"/>
        <v>15</v>
      </c>
      <c r="W32" s="189"/>
      <c r="X32" s="199"/>
      <c r="Y32" s="151"/>
      <c r="Z32" s="190"/>
      <c r="AA32" s="153"/>
      <c r="AB32" s="154">
        <f t="shared" si="3"/>
        <v>0</v>
      </c>
      <c r="AC32" s="149">
        <f t="shared" si="4"/>
        <v>0</v>
      </c>
      <c r="AD32" s="125">
        <v>2</v>
      </c>
      <c r="AE32" s="148"/>
      <c r="AF32" s="156"/>
      <c r="AG32" s="156"/>
      <c r="AH32" s="113">
        <f t="shared" si="11"/>
        <v>15</v>
      </c>
      <c r="AI32" s="157">
        <v>65</v>
      </c>
      <c r="AJ32" s="113">
        <f t="shared" si="5"/>
        <v>80</v>
      </c>
      <c r="AK32" s="113">
        <f t="shared" si="6"/>
        <v>80</v>
      </c>
      <c r="AL32" s="158">
        <f t="shared" si="7"/>
        <v>1.03</v>
      </c>
      <c r="AM32" s="159"/>
      <c r="AN32" s="160">
        <f t="shared" si="8"/>
        <v>1</v>
      </c>
      <c r="AO32" s="160">
        <f t="shared" si="8"/>
        <v>2</v>
      </c>
      <c r="AP32" s="133"/>
      <c r="AQ32" s="134"/>
      <c r="AR32" s="161"/>
      <c r="AS32" s="161"/>
      <c r="AT32" s="161"/>
      <c r="AU32" s="161"/>
      <c r="AV32" s="162"/>
      <c r="AW32" s="137">
        <f t="shared" si="9"/>
        <v>0</v>
      </c>
      <c r="AX32" s="137">
        <f t="shared" si="10"/>
        <v>0</v>
      </c>
    </row>
    <row r="33" ht="46.5" customHeight="1" spans="1:50" s="97" customFormat="1" x14ac:dyDescent="0.25">
      <c r="A33" s="100"/>
      <c r="B33" s="100"/>
      <c r="C33" s="100"/>
      <c r="D33" s="100"/>
      <c r="E33" s="100"/>
      <c r="F33" s="100"/>
      <c r="G33" s="103"/>
      <c r="H33" s="186"/>
      <c r="I33" s="195">
        <v>0.51</v>
      </c>
      <c r="J33" s="107">
        <v>0.49</v>
      </c>
      <c r="K33" s="107"/>
      <c r="L33" s="107"/>
      <c r="M33" s="187"/>
      <c r="N33" s="169">
        <f t="shared" si="0"/>
        <v>1</v>
      </c>
      <c r="O33" s="144">
        <v>1</v>
      </c>
      <c r="P33" s="145">
        <v>15</v>
      </c>
      <c r="Q33" s="113">
        <v>15</v>
      </c>
      <c r="R33" s="113"/>
      <c r="S33" s="113"/>
      <c r="T33" s="146"/>
      <c r="U33" s="148">
        <f t="shared" si="1"/>
        <v>15</v>
      </c>
      <c r="V33" s="149">
        <f t="shared" si="2"/>
        <v>15</v>
      </c>
      <c r="W33" s="189"/>
      <c r="X33" s="199"/>
      <c r="Y33" s="151"/>
      <c r="Z33" s="190"/>
      <c r="AA33" s="153"/>
      <c r="AB33" s="154">
        <f t="shared" si="3"/>
        <v>0</v>
      </c>
      <c r="AC33" s="149">
        <f t="shared" si="4"/>
        <v>0</v>
      </c>
      <c r="AD33" s="125">
        <v>2</v>
      </c>
      <c r="AE33" s="148"/>
      <c r="AF33" s="156"/>
      <c r="AG33" s="156"/>
      <c r="AH33" s="113">
        <f t="shared" si="11"/>
        <v>15</v>
      </c>
      <c r="AI33" s="157">
        <v>65</v>
      </c>
      <c r="AJ33" s="113">
        <f t="shared" si="5"/>
        <v>80</v>
      </c>
      <c r="AK33" s="113">
        <f t="shared" si="6"/>
        <v>80</v>
      </c>
      <c r="AL33" s="158">
        <f t="shared" si="7"/>
        <v>1.03</v>
      </c>
      <c r="AM33" s="159"/>
      <c r="AN33" s="160">
        <f t="shared" ref="AN33:AO52" si="12">100%+AM33</f>
        <v>1</v>
      </c>
      <c r="AO33" s="160">
        <f t="shared" si="12"/>
        <v>2</v>
      </c>
      <c r="AP33" s="133"/>
      <c r="AQ33" s="134"/>
      <c r="AR33" s="161"/>
      <c r="AS33" s="161"/>
      <c r="AT33" s="161"/>
      <c r="AU33" s="161"/>
      <c r="AV33" s="162"/>
      <c r="AW33" s="137">
        <f t="shared" si="9"/>
        <v>0</v>
      </c>
      <c r="AX33" s="137">
        <f t="shared" si="10"/>
        <v>0</v>
      </c>
    </row>
    <row r="34" ht="46.5" customHeight="1" spans="1:50" s="97" customFormat="1" x14ac:dyDescent="0.25">
      <c r="A34" s="100"/>
      <c r="B34" s="100"/>
      <c r="C34" s="100"/>
      <c r="D34" s="100"/>
      <c r="E34" s="100"/>
      <c r="F34" s="100"/>
      <c r="G34" s="103"/>
      <c r="H34" s="186"/>
      <c r="I34" s="195">
        <v>0.51</v>
      </c>
      <c r="J34" s="107">
        <v>0.49</v>
      </c>
      <c r="K34" s="107"/>
      <c r="L34" s="107"/>
      <c r="M34" s="187"/>
      <c r="N34" s="169">
        <f t="shared" si="0"/>
        <v>1</v>
      </c>
      <c r="O34" s="144">
        <v>1</v>
      </c>
      <c r="P34" s="145">
        <v>15</v>
      </c>
      <c r="Q34" s="113">
        <v>15</v>
      </c>
      <c r="R34" s="113"/>
      <c r="S34" s="113"/>
      <c r="T34" s="146"/>
      <c r="U34" s="148">
        <f t="shared" si="1"/>
        <v>15</v>
      </c>
      <c r="V34" s="149">
        <f t="shared" si="2"/>
        <v>15</v>
      </c>
      <c r="W34" s="189"/>
      <c r="X34" s="199"/>
      <c r="Y34" s="151"/>
      <c r="Z34" s="190"/>
      <c r="AA34" s="153"/>
      <c r="AB34" s="154">
        <f t="shared" si="3"/>
        <v>0</v>
      </c>
      <c r="AC34" s="149">
        <f t="shared" si="4"/>
        <v>0</v>
      </c>
      <c r="AD34" s="125">
        <v>2</v>
      </c>
      <c r="AE34" s="148"/>
      <c r="AF34" s="156"/>
      <c r="AG34" s="156"/>
      <c r="AH34" s="113">
        <f t="shared" si="11"/>
        <v>15</v>
      </c>
      <c r="AI34" s="157">
        <v>65</v>
      </c>
      <c r="AJ34" s="113">
        <f t="shared" si="5"/>
        <v>80</v>
      </c>
      <c r="AK34" s="113">
        <f t="shared" si="6"/>
        <v>80</v>
      </c>
      <c r="AL34" s="158">
        <f t="shared" si="7"/>
        <v>1.03</v>
      </c>
      <c r="AM34" s="159"/>
      <c r="AN34" s="160">
        <f t="shared" si="12"/>
        <v>1</v>
      </c>
      <c r="AO34" s="160">
        <f t="shared" si="12"/>
        <v>2</v>
      </c>
      <c r="AP34" s="133"/>
      <c r="AQ34" s="134"/>
      <c r="AR34" s="161"/>
      <c r="AS34" s="161"/>
      <c r="AT34" s="161"/>
      <c r="AU34" s="161"/>
      <c r="AV34" s="162"/>
      <c r="AW34" s="137">
        <f t="shared" si="9"/>
        <v>0</v>
      </c>
      <c r="AX34" s="137">
        <f t="shared" si="10"/>
        <v>0</v>
      </c>
    </row>
    <row r="35" ht="46.5" customHeight="1" spans="1:50" s="97" customFormat="1" x14ac:dyDescent="0.25">
      <c r="A35" s="100"/>
      <c r="B35" s="100"/>
      <c r="C35" s="100"/>
      <c r="D35" s="100"/>
      <c r="E35" s="100"/>
      <c r="F35" s="100"/>
      <c r="G35" s="103"/>
      <c r="H35" s="186"/>
      <c r="I35" s="195">
        <v>0.51</v>
      </c>
      <c r="J35" s="107">
        <v>0.49</v>
      </c>
      <c r="K35" s="107"/>
      <c r="L35" s="107"/>
      <c r="M35" s="187"/>
      <c r="N35" s="169">
        <f t="shared" si="0"/>
        <v>1</v>
      </c>
      <c r="O35" s="144">
        <v>1</v>
      </c>
      <c r="P35" s="145">
        <v>15</v>
      </c>
      <c r="Q35" s="113">
        <v>15</v>
      </c>
      <c r="R35" s="113"/>
      <c r="S35" s="113"/>
      <c r="T35" s="146"/>
      <c r="U35" s="148">
        <f t="shared" si="1"/>
        <v>15</v>
      </c>
      <c r="V35" s="149">
        <f t="shared" si="2"/>
        <v>15</v>
      </c>
      <c r="W35" s="189"/>
      <c r="X35" s="199"/>
      <c r="Y35" s="151"/>
      <c r="Z35" s="190"/>
      <c r="AA35" s="153"/>
      <c r="AB35" s="154">
        <f t="shared" si="3"/>
        <v>0</v>
      </c>
      <c r="AC35" s="149">
        <f t="shared" si="4"/>
        <v>0</v>
      </c>
      <c r="AD35" s="125">
        <v>2</v>
      </c>
      <c r="AE35" s="148"/>
      <c r="AF35" s="156"/>
      <c r="AG35" s="156"/>
      <c r="AH35" s="113">
        <f t="shared" si="11"/>
        <v>15</v>
      </c>
      <c r="AI35" s="157">
        <v>65</v>
      </c>
      <c r="AJ35" s="113">
        <f t="shared" si="5"/>
        <v>80</v>
      </c>
      <c r="AK35" s="113">
        <f t="shared" si="6"/>
        <v>80</v>
      </c>
      <c r="AL35" s="158">
        <f t="shared" si="7"/>
        <v>1.03</v>
      </c>
      <c r="AM35" s="159"/>
      <c r="AN35" s="160">
        <f t="shared" si="12"/>
        <v>1</v>
      </c>
      <c r="AO35" s="160">
        <f t="shared" si="12"/>
        <v>2</v>
      </c>
      <c r="AP35" s="133"/>
      <c r="AQ35" s="134"/>
      <c r="AR35" s="161"/>
      <c r="AS35" s="161"/>
      <c r="AT35" s="161"/>
      <c r="AU35" s="161"/>
      <c r="AV35" s="162"/>
      <c r="AW35" s="137">
        <f t="shared" si="9"/>
        <v>0</v>
      </c>
      <c r="AX35" s="137">
        <f t="shared" si="10"/>
        <v>0</v>
      </c>
    </row>
    <row r="36" ht="46.5" customHeight="1" spans="1:50" s="97" customFormat="1" x14ac:dyDescent="0.25">
      <c r="A36" s="100"/>
      <c r="B36" s="100"/>
      <c r="C36" s="100"/>
      <c r="D36" s="100"/>
      <c r="E36" s="100"/>
      <c r="F36" s="100"/>
      <c r="G36" s="103"/>
      <c r="H36" s="186"/>
      <c r="I36" s="195">
        <v>0.51</v>
      </c>
      <c r="J36" s="107">
        <v>0.49</v>
      </c>
      <c r="K36" s="107"/>
      <c r="L36" s="107"/>
      <c r="M36" s="187"/>
      <c r="N36" s="169">
        <f t="shared" si="0"/>
        <v>1</v>
      </c>
      <c r="O36" s="144">
        <v>1</v>
      </c>
      <c r="P36" s="145">
        <v>15</v>
      </c>
      <c r="Q36" s="113">
        <v>15</v>
      </c>
      <c r="R36" s="113"/>
      <c r="S36" s="113"/>
      <c r="T36" s="146"/>
      <c r="U36" s="148">
        <f t="shared" si="1"/>
        <v>15</v>
      </c>
      <c r="V36" s="149">
        <f t="shared" si="2"/>
        <v>15</v>
      </c>
      <c r="W36" s="189"/>
      <c r="X36" s="199"/>
      <c r="Y36" s="151"/>
      <c r="Z36" s="190"/>
      <c r="AA36" s="153"/>
      <c r="AB36" s="154">
        <f t="shared" si="3"/>
        <v>0</v>
      </c>
      <c r="AC36" s="149">
        <f t="shared" si="4"/>
        <v>0</v>
      </c>
      <c r="AD36" s="125">
        <v>2</v>
      </c>
      <c r="AE36" s="148"/>
      <c r="AF36" s="156"/>
      <c r="AG36" s="156"/>
      <c r="AH36" s="113">
        <f t="shared" si="11"/>
        <v>15</v>
      </c>
      <c r="AI36" s="157">
        <v>65</v>
      </c>
      <c r="AJ36" s="113">
        <f t="shared" si="5"/>
        <v>80</v>
      </c>
      <c r="AK36" s="113">
        <f t="shared" si="6"/>
        <v>80</v>
      </c>
      <c r="AL36" s="158">
        <f t="shared" si="7"/>
        <v>1.03</v>
      </c>
      <c r="AM36" s="159"/>
      <c r="AN36" s="160">
        <f t="shared" si="12"/>
        <v>1</v>
      </c>
      <c r="AO36" s="160">
        <f t="shared" si="12"/>
        <v>2</v>
      </c>
      <c r="AP36" s="133"/>
      <c r="AQ36" s="134"/>
      <c r="AR36" s="161"/>
      <c r="AS36" s="161"/>
      <c r="AT36" s="161"/>
      <c r="AU36" s="161"/>
      <c r="AV36" s="162"/>
      <c r="AW36" s="137">
        <f t="shared" si="9"/>
        <v>0</v>
      </c>
      <c r="AX36" s="137">
        <f t="shared" si="10"/>
        <v>0</v>
      </c>
    </row>
    <row r="37" ht="46.5" customHeight="1" spans="1:50" s="97" customFormat="1" x14ac:dyDescent="0.25">
      <c r="A37" s="100"/>
      <c r="B37" s="100"/>
      <c r="C37" s="100"/>
      <c r="D37" s="100"/>
      <c r="E37" s="100"/>
      <c r="F37" s="100"/>
      <c r="G37" s="103"/>
      <c r="H37" s="186"/>
      <c r="I37" s="195">
        <v>0.51</v>
      </c>
      <c r="J37" s="107">
        <v>0.49</v>
      </c>
      <c r="K37" s="107"/>
      <c r="L37" s="107"/>
      <c r="M37" s="187"/>
      <c r="N37" s="169">
        <f t="shared" si="0"/>
        <v>1</v>
      </c>
      <c r="O37" s="144">
        <v>1</v>
      </c>
      <c r="P37" s="145">
        <v>15</v>
      </c>
      <c r="Q37" s="113">
        <v>15</v>
      </c>
      <c r="R37" s="113"/>
      <c r="S37" s="113"/>
      <c r="T37" s="146"/>
      <c r="U37" s="148">
        <f t="shared" si="1"/>
        <v>15</v>
      </c>
      <c r="V37" s="149">
        <f t="shared" si="2"/>
        <v>15</v>
      </c>
      <c r="W37" s="189"/>
      <c r="X37" s="199"/>
      <c r="Y37" s="151"/>
      <c r="Z37" s="190"/>
      <c r="AA37" s="153"/>
      <c r="AB37" s="154">
        <f t="shared" si="3"/>
        <v>0</v>
      </c>
      <c r="AC37" s="149">
        <f t="shared" si="4"/>
        <v>0</v>
      </c>
      <c r="AD37" s="125">
        <v>2</v>
      </c>
      <c r="AE37" s="148"/>
      <c r="AF37" s="156"/>
      <c r="AG37" s="156"/>
      <c r="AH37" s="113">
        <f t="shared" si="11"/>
        <v>15</v>
      </c>
      <c r="AI37" s="157">
        <v>65</v>
      </c>
      <c r="AJ37" s="113">
        <f t="shared" si="5"/>
        <v>80</v>
      </c>
      <c r="AK37" s="113">
        <f t="shared" si="6"/>
        <v>80</v>
      </c>
      <c r="AL37" s="158">
        <f t="shared" si="7"/>
        <v>1.03</v>
      </c>
      <c r="AM37" s="159"/>
      <c r="AN37" s="160">
        <f t="shared" si="12"/>
        <v>1</v>
      </c>
      <c r="AO37" s="160">
        <f t="shared" si="12"/>
        <v>2</v>
      </c>
      <c r="AP37" s="133"/>
      <c r="AQ37" s="134"/>
      <c r="AR37" s="161"/>
      <c r="AS37" s="161"/>
      <c r="AT37" s="161"/>
      <c r="AU37" s="161"/>
      <c r="AV37" s="162"/>
      <c r="AW37" s="137">
        <f t="shared" si="9"/>
        <v>0</v>
      </c>
      <c r="AX37" s="137">
        <f t="shared" si="10"/>
        <v>0</v>
      </c>
    </row>
    <row r="38" ht="46.5" customHeight="1" spans="1:50" s="97" customFormat="1" x14ac:dyDescent="0.25">
      <c r="A38" s="100"/>
      <c r="B38" s="100"/>
      <c r="C38" s="100"/>
      <c r="D38" s="100"/>
      <c r="E38" s="100"/>
      <c r="F38" s="100"/>
      <c r="G38" s="103"/>
      <c r="H38" s="186"/>
      <c r="I38" s="195">
        <v>0.51</v>
      </c>
      <c r="J38" s="107">
        <v>0.49</v>
      </c>
      <c r="K38" s="107"/>
      <c r="L38" s="107"/>
      <c r="M38" s="187"/>
      <c r="N38" s="169">
        <f t="shared" si="0"/>
        <v>1</v>
      </c>
      <c r="O38" s="144">
        <v>1</v>
      </c>
      <c r="P38" s="145">
        <v>15</v>
      </c>
      <c r="Q38" s="113">
        <v>15</v>
      </c>
      <c r="R38" s="113"/>
      <c r="S38" s="113"/>
      <c r="T38" s="146"/>
      <c r="U38" s="148">
        <f t="shared" si="1"/>
        <v>15</v>
      </c>
      <c r="V38" s="149">
        <f t="shared" si="2"/>
        <v>15</v>
      </c>
      <c r="W38" s="189"/>
      <c r="X38" s="199"/>
      <c r="Y38" s="151"/>
      <c r="Z38" s="190"/>
      <c r="AA38" s="153"/>
      <c r="AB38" s="154">
        <f t="shared" si="3"/>
        <v>0</v>
      </c>
      <c r="AC38" s="149">
        <f t="shared" si="4"/>
        <v>0</v>
      </c>
      <c r="AD38" s="125">
        <v>2</v>
      </c>
      <c r="AE38" s="148"/>
      <c r="AF38" s="156"/>
      <c r="AG38" s="156"/>
      <c r="AH38" s="113">
        <f t="shared" si="11"/>
        <v>15</v>
      </c>
      <c r="AI38" s="157">
        <v>65</v>
      </c>
      <c r="AJ38" s="113">
        <f t="shared" si="5"/>
        <v>80</v>
      </c>
      <c r="AK38" s="113">
        <f t="shared" si="6"/>
        <v>80</v>
      </c>
      <c r="AL38" s="158">
        <f t="shared" si="7"/>
        <v>1.03</v>
      </c>
      <c r="AM38" s="159"/>
      <c r="AN38" s="160">
        <f t="shared" si="12"/>
        <v>1</v>
      </c>
      <c r="AO38" s="160">
        <f t="shared" si="12"/>
        <v>2</v>
      </c>
      <c r="AP38" s="133"/>
      <c r="AQ38" s="134"/>
      <c r="AR38" s="161"/>
      <c r="AS38" s="161"/>
      <c r="AT38" s="161"/>
      <c r="AU38" s="161"/>
      <c r="AV38" s="162"/>
      <c r="AW38" s="137">
        <f t="shared" si="9"/>
        <v>0</v>
      </c>
      <c r="AX38" s="137">
        <f t="shared" si="10"/>
        <v>0</v>
      </c>
    </row>
    <row r="39" ht="46.5" customHeight="1" spans="1:50" s="97" customFormat="1" x14ac:dyDescent="0.25">
      <c r="A39" s="100"/>
      <c r="B39" s="100"/>
      <c r="C39" s="100"/>
      <c r="D39" s="100"/>
      <c r="E39" s="100"/>
      <c r="F39" s="100"/>
      <c r="G39" s="103"/>
      <c r="H39" s="186"/>
      <c r="I39" s="195">
        <v>0.51</v>
      </c>
      <c r="J39" s="107">
        <v>0.49</v>
      </c>
      <c r="K39" s="107"/>
      <c r="L39" s="107"/>
      <c r="M39" s="187"/>
      <c r="N39" s="169">
        <f t="shared" si="0"/>
        <v>1</v>
      </c>
      <c r="O39" s="144">
        <v>1</v>
      </c>
      <c r="P39" s="145">
        <v>15</v>
      </c>
      <c r="Q39" s="113">
        <v>15</v>
      </c>
      <c r="R39" s="113"/>
      <c r="S39" s="113"/>
      <c r="T39" s="146"/>
      <c r="U39" s="148">
        <f t="shared" si="1"/>
        <v>15</v>
      </c>
      <c r="V39" s="149">
        <f t="shared" si="2"/>
        <v>15</v>
      </c>
      <c r="W39" s="189"/>
      <c r="X39" s="199"/>
      <c r="Y39" s="151"/>
      <c r="Z39" s="190"/>
      <c r="AA39" s="153"/>
      <c r="AB39" s="154">
        <f t="shared" si="3"/>
        <v>0</v>
      </c>
      <c r="AC39" s="149">
        <f t="shared" si="4"/>
        <v>0</v>
      </c>
      <c r="AD39" s="125">
        <v>2</v>
      </c>
      <c r="AE39" s="148"/>
      <c r="AF39" s="156"/>
      <c r="AG39" s="156"/>
      <c r="AH39" s="113">
        <f t="shared" si="11"/>
        <v>15</v>
      </c>
      <c r="AI39" s="157">
        <v>65</v>
      </c>
      <c r="AJ39" s="113">
        <f t="shared" si="5"/>
        <v>80</v>
      </c>
      <c r="AK39" s="113">
        <f t="shared" si="6"/>
        <v>80</v>
      </c>
      <c r="AL39" s="158">
        <f t="shared" si="7"/>
        <v>1.03</v>
      </c>
      <c r="AM39" s="159"/>
      <c r="AN39" s="160">
        <f t="shared" si="12"/>
        <v>1</v>
      </c>
      <c r="AO39" s="160">
        <f t="shared" si="12"/>
        <v>2</v>
      </c>
      <c r="AP39" s="133"/>
      <c r="AQ39" s="134"/>
      <c r="AR39" s="161"/>
      <c r="AS39" s="161"/>
      <c r="AT39" s="161"/>
      <c r="AU39" s="161"/>
      <c r="AV39" s="162"/>
      <c r="AW39" s="137">
        <f t="shared" si="9"/>
        <v>0</v>
      </c>
      <c r="AX39" s="137">
        <f t="shared" si="10"/>
        <v>0</v>
      </c>
    </row>
    <row r="40" ht="46.5" customHeight="1" spans="1:50" s="97" customFormat="1" x14ac:dyDescent="0.25">
      <c r="A40" s="100"/>
      <c r="B40" s="100"/>
      <c r="C40" s="100"/>
      <c r="D40" s="100"/>
      <c r="E40" s="100"/>
      <c r="F40" s="100"/>
      <c r="G40" s="103"/>
      <c r="H40" s="186"/>
      <c r="I40" s="195">
        <v>0.51</v>
      </c>
      <c r="J40" s="107">
        <v>0.49</v>
      </c>
      <c r="K40" s="107"/>
      <c r="L40" s="107"/>
      <c r="M40" s="187"/>
      <c r="N40" s="169">
        <f t="shared" si="0"/>
        <v>1</v>
      </c>
      <c r="O40" s="144">
        <v>1</v>
      </c>
      <c r="P40" s="145">
        <v>15</v>
      </c>
      <c r="Q40" s="113">
        <v>15</v>
      </c>
      <c r="R40" s="113"/>
      <c r="S40" s="113"/>
      <c r="T40" s="146"/>
      <c r="U40" s="148">
        <f t="shared" si="1"/>
        <v>15</v>
      </c>
      <c r="V40" s="149">
        <f t="shared" si="2"/>
        <v>15</v>
      </c>
      <c r="W40" s="189"/>
      <c r="X40" s="199"/>
      <c r="Y40" s="151"/>
      <c r="Z40" s="190"/>
      <c r="AA40" s="153"/>
      <c r="AB40" s="154">
        <f t="shared" si="3"/>
        <v>0</v>
      </c>
      <c r="AC40" s="149">
        <f t="shared" si="4"/>
        <v>0</v>
      </c>
      <c r="AD40" s="125">
        <v>2</v>
      </c>
      <c r="AE40" s="148"/>
      <c r="AF40" s="156"/>
      <c r="AG40" s="156"/>
      <c r="AH40" s="113">
        <f t="shared" si="11"/>
        <v>15</v>
      </c>
      <c r="AI40" s="157">
        <v>65</v>
      </c>
      <c r="AJ40" s="113">
        <f t="shared" si="5"/>
        <v>80</v>
      </c>
      <c r="AK40" s="113">
        <f t="shared" si="6"/>
        <v>80</v>
      </c>
      <c r="AL40" s="158">
        <f t="shared" si="7"/>
        <v>1.03</v>
      </c>
      <c r="AM40" s="159"/>
      <c r="AN40" s="160">
        <f t="shared" si="12"/>
        <v>1</v>
      </c>
      <c r="AO40" s="160">
        <f t="shared" si="12"/>
        <v>2</v>
      </c>
      <c r="AP40" s="133"/>
      <c r="AQ40" s="134"/>
      <c r="AR40" s="161"/>
      <c r="AS40" s="161"/>
      <c r="AT40" s="161"/>
      <c r="AU40" s="161"/>
      <c r="AV40" s="162"/>
      <c r="AW40" s="137">
        <f t="shared" si="9"/>
        <v>0</v>
      </c>
      <c r="AX40" s="137">
        <f t="shared" si="10"/>
        <v>0</v>
      </c>
    </row>
    <row r="41" ht="46.5" customHeight="1" spans="1:50" s="97" customFormat="1" x14ac:dyDescent="0.25">
      <c r="A41" s="100"/>
      <c r="B41" s="100"/>
      <c r="C41" s="100"/>
      <c r="D41" s="100"/>
      <c r="E41" s="100"/>
      <c r="F41" s="100"/>
      <c r="G41" s="103"/>
      <c r="H41" s="186"/>
      <c r="I41" s="195">
        <v>0.51</v>
      </c>
      <c r="J41" s="107">
        <v>0.49</v>
      </c>
      <c r="K41" s="107"/>
      <c r="L41" s="107"/>
      <c r="M41" s="187"/>
      <c r="N41" s="169">
        <f t="shared" si="0"/>
        <v>1</v>
      </c>
      <c r="O41" s="144">
        <v>1</v>
      </c>
      <c r="P41" s="145">
        <v>15</v>
      </c>
      <c r="Q41" s="113">
        <v>15</v>
      </c>
      <c r="R41" s="113"/>
      <c r="S41" s="113"/>
      <c r="T41" s="146"/>
      <c r="U41" s="148">
        <f t="shared" si="1"/>
        <v>15</v>
      </c>
      <c r="V41" s="149">
        <f t="shared" si="2"/>
        <v>15</v>
      </c>
      <c r="W41" s="189"/>
      <c r="X41" s="199"/>
      <c r="Y41" s="151"/>
      <c r="Z41" s="190"/>
      <c r="AA41" s="153"/>
      <c r="AB41" s="154">
        <f t="shared" si="3"/>
        <v>0</v>
      </c>
      <c r="AC41" s="149">
        <f t="shared" si="4"/>
        <v>0</v>
      </c>
      <c r="AD41" s="125">
        <v>2</v>
      </c>
      <c r="AE41" s="148">
        <f t="shared" ref="AE41:AE76" si="13">IF((AC41+AD41)&gt;=15,15,(AC41+AD41))</f>
        <v>2</v>
      </c>
      <c r="AF41" s="156"/>
      <c r="AG41" s="156"/>
      <c r="AH41" s="113">
        <f t="shared" si="11"/>
        <v>17</v>
      </c>
      <c r="AI41" s="157">
        <v>65</v>
      </c>
      <c r="AJ41" s="113">
        <f t="shared" si="5"/>
        <v>82</v>
      </c>
      <c r="AK41" s="113">
        <f t="shared" si="6"/>
        <v>82</v>
      </c>
      <c r="AL41" s="158">
        <f t="shared" si="7"/>
        <v>1.02</v>
      </c>
      <c r="AM41" s="159"/>
      <c r="AN41" s="160">
        <f t="shared" si="12"/>
        <v>1</v>
      </c>
      <c r="AO41" s="160">
        <f t="shared" si="12"/>
        <v>2</v>
      </c>
      <c r="AP41" s="133"/>
      <c r="AQ41" s="134"/>
      <c r="AR41" s="161"/>
      <c r="AS41" s="161"/>
      <c r="AT41" s="161"/>
      <c r="AU41" s="161"/>
      <c r="AV41" s="162"/>
      <c r="AW41" s="137">
        <f t="shared" si="9"/>
        <v>0</v>
      </c>
      <c r="AX41" s="137">
        <f t="shared" si="10"/>
        <v>0</v>
      </c>
    </row>
    <row r="42" ht="46.5" customHeight="1" spans="1:50" s="97" customFormat="1" x14ac:dyDescent="0.25">
      <c r="A42" s="100"/>
      <c r="B42" s="100"/>
      <c r="C42" s="100"/>
      <c r="D42" s="100"/>
      <c r="E42" s="100"/>
      <c r="F42" s="100"/>
      <c r="G42" s="103"/>
      <c r="H42" s="186"/>
      <c r="I42" s="195">
        <v>0.51</v>
      </c>
      <c r="J42" s="107">
        <v>0.49</v>
      </c>
      <c r="K42" s="107"/>
      <c r="L42" s="107"/>
      <c r="M42" s="187"/>
      <c r="N42" s="169">
        <f t="shared" si="0"/>
        <v>1</v>
      </c>
      <c r="O42" s="144">
        <v>1</v>
      </c>
      <c r="P42" s="145">
        <v>15</v>
      </c>
      <c r="Q42" s="113">
        <v>15</v>
      </c>
      <c r="R42" s="113"/>
      <c r="S42" s="113"/>
      <c r="T42" s="146"/>
      <c r="U42" s="148">
        <f t="shared" si="1"/>
        <v>15</v>
      </c>
      <c r="V42" s="149">
        <f t="shared" si="2"/>
        <v>15</v>
      </c>
      <c r="W42" s="189"/>
      <c r="X42" s="199"/>
      <c r="Y42" s="151"/>
      <c r="Z42" s="190"/>
      <c r="AA42" s="153"/>
      <c r="AB42" s="154">
        <f t="shared" si="3"/>
        <v>0</v>
      </c>
      <c r="AC42" s="149">
        <f t="shared" si="4"/>
        <v>0</v>
      </c>
      <c r="AD42" s="125">
        <v>2</v>
      </c>
      <c r="AE42" s="148">
        <f t="shared" si="13"/>
        <v>2</v>
      </c>
      <c r="AF42" s="156"/>
      <c r="AG42" s="156"/>
      <c r="AH42" s="113">
        <f t="shared" si="11"/>
        <v>17</v>
      </c>
      <c r="AI42" s="157">
        <v>65</v>
      </c>
      <c r="AJ42" s="113">
        <f t="shared" si="5"/>
        <v>82</v>
      </c>
      <c r="AK42" s="113">
        <f t="shared" si="6"/>
        <v>82</v>
      </c>
      <c r="AL42" s="158">
        <f t="shared" si="7"/>
        <v>1.02</v>
      </c>
      <c r="AM42" s="159"/>
      <c r="AN42" s="160">
        <f t="shared" si="12"/>
        <v>1</v>
      </c>
      <c r="AO42" s="160">
        <f t="shared" si="12"/>
        <v>2</v>
      </c>
      <c r="AP42" s="133"/>
      <c r="AQ42" s="134"/>
      <c r="AR42" s="161"/>
      <c r="AS42" s="161"/>
      <c r="AT42" s="161"/>
      <c r="AU42" s="161"/>
      <c r="AV42" s="162"/>
      <c r="AW42" s="137">
        <f t="shared" si="9"/>
        <v>0</v>
      </c>
      <c r="AX42" s="137">
        <f t="shared" si="10"/>
        <v>0</v>
      </c>
    </row>
    <row r="43" ht="46.5" customHeight="1" spans="1:50" s="97" customFormat="1" x14ac:dyDescent="0.25">
      <c r="A43" s="100"/>
      <c r="B43" s="100"/>
      <c r="C43" s="100"/>
      <c r="D43" s="100"/>
      <c r="E43" s="100"/>
      <c r="F43" s="100"/>
      <c r="G43" s="103"/>
      <c r="H43" s="186"/>
      <c r="I43" s="195">
        <v>0.51</v>
      </c>
      <c r="J43" s="107">
        <v>0.49</v>
      </c>
      <c r="K43" s="107"/>
      <c r="L43" s="107"/>
      <c r="M43" s="187"/>
      <c r="N43" s="169">
        <f t="shared" si="0"/>
        <v>1</v>
      </c>
      <c r="O43" s="144">
        <v>1</v>
      </c>
      <c r="P43" s="145">
        <v>15</v>
      </c>
      <c r="Q43" s="113">
        <v>15</v>
      </c>
      <c r="R43" s="113"/>
      <c r="S43" s="113"/>
      <c r="T43" s="146"/>
      <c r="U43" s="148">
        <f t="shared" si="1"/>
        <v>15</v>
      </c>
      <c r="V43" s="149">
        <f t="shared" si="2"/>
        <v>15</v>
      </c>
      <c r="W43" s="189"/>
      <c r="X43" s="199"/>
      <c r="Y43" s="151"/>
      <c r="Z43" s="190"/>
      <c r="AA43" s="153"/>
      <c r="AB43" s="154">
        <f t="shared" si="3"/>
        <v>0</v>
      </c>
      <c r="AC43" s="149">
        <f t="shared" si="4"/>
        <v>0</v>
      </c>
      <c r="AD43" s="125">
        <v>2</v>
      </c>
      <c r="AE43" s="148">
        <f t="shared" si="13"/>
        <v>2</v>
      </c>
      <c r="AF43" s="156"/>
      <c r="AG43" s="156"/>
      <c r="AH43" s="113">
        <f t="shared" si="11"/>
        <v>17</v>
      </c>
      <c r="AI43" s="157">
        <v>65</v>
      </c>
      <c r="AJ43" s="113">
        <f t="shared" si="5"/>
        <v>82</v>
      </c>
      <c r="AK43" s="113">
        <f t="shared" si="6"/>
        <v>82</v>
      </c>
      <c r="AL43" s="158">
        <f t="shared" si="7"/>
        <v>1.02</v>
      </c>
      <c r="AM43" s="159"/>
      <c r="AN43" s="160">
        <f t="shared" si="12"/>
        <v>1</v>
      </c>
      <c r="AO43" s="160">
        <f t="shared" si="12"/>
        <v>2</v>
      </c>
      <c r="AP43" s="133"/>
      <c r="AQ43" s="134"/>
      <c r="AR43" s="161"/>
      <c r="AS43" s="161"/>
      <c r="AT43" s="161"/>
      <c r="AU43" s="161"/>
      <c r="AV43" s="162"/>
      <c r="AW43" s="137">
        <f t="shared" si="9"/>
        <v>0</v>
      </c>
      <c r="AX43" s="137">
        <f t="shared" si="10"/>
        <v>0</v>
      </c>
    </row>
    <row r="44" ht="46.5" customHeight="1" spans="1:50" s="97" customFormat="1" x14ac:dyDescent="0.25">
      <c r="A44" s="100"/>
      <c r="B44" s="100"/>
      <c r="C44" s="100"/>
      <c r="D44" s="100"/>
      <c r="E44" s="100"/>
      <c r="F44" s="100"/>
      <c r="G44" s="103"/>
      <c r="H44" s="186"/>
      <c r="I44" s="195">
        <v>0.51</v>
      </c>
      <c r="J44" s="107">
        <v>0.49</v>
      </c>
      <c r="K44" s="107"/>
      <c r="L44" s="107"/>
      <c r="M44" s="187"/>
      <c r="N44" s="169">
        <f t="shared" si="0"/>
        <v>1</v>
      </c>
      <c r="O44" s="144">
        <v>1</v>
      </c>
      <c r="P44" s="145">
        <v>15</v>
      </c>
      <c r="Q44" s="113">
        <v>15</v>
      </c>
      <c r="R44" s="113"/>
      <c r="S44" s="113"/>
      <c r="T44" s="146"/>
      <c r="U44" s="148">
        <f t="shared" si="1"/>
        <v>15</v>
      </c>
      <c r="V44" s="149">
        <f t="shared" si="2"/>
        <v>15</v>
      </c>
      <c r="W44" s="189"/>
      <c r="X44" s="199"/>
      <c r="Y44" s="151"/>
      <c r="Z44" s="190"/>
      <c r="AA44" s="153"/>
      <c r="AB44" s="154">
        <f t="shared" si="3"/>
        <v>0</v>
      </c>
      <c r="AC44" s="149">
        <f t="shared" si="4"/>
        <v>0</v>
      </c>
      <c r="AD44" s="125">
        <v>2</v>
      </c>
      <c r="AE44" s="148">
        <f t="shared" si="13"/>
        <v>2</v>
      </c>
      <c r="AF44" s="156"/>
      <c r="AG44" s="156"/>
      <c r="AH44" s="113">
        <f t="shared" si="11"/>
        <v>17</v>
      </c>
      <c r="AI44" s="157">
        <v>65</v>
      </c>
      <c r="AJ44" s="113">
        <f t="shared" si="5"/>
        <v>82</v>
      </c>
      <c r="AK44" s="113">
        <f t="shared" si="6"/>
        <v>82</v>
      </c>
      <c r="AL44" s="158">
        <f t="shared" si="7"/>
        <v>1.02</v>
      </c>
      <c r="AM44" s="159"/>
      <c r="AN44" s="160">
        <f t="shared" si="12"/>
        <v>1</v>
      </c>
      <c r="AO44" s="160">
        <f t="shared" si="12"/>
        <v>2</v>
      </c>
      <c r="AP44" s="133"/>
      <c r="AQ44" s="134"/>
      <c r="AR44" s="161"/>
      <c r="AS44" s="161"/>
      <c r="AT44" s="161"/>
      <c r="AU44" s="161"/>
      <c r="AV44" s="162"/>
      <c r="AW44" s="137">
        <f t="shared" si="9"/>
        <v>0</v>
      </c>
      <c r="AX44" s="137">
        <f t="shared" si="10"/>
        <v>0</v>
      </c>
    </row>
    <row r="45" ht="46.5" customHeight="1" spans="1:50" s="97" customFormat="1" x14ac:dyDescent="0.25">
      <c r="A45" s="100"/>
      <c r="B45" s="100"/>
      <c r="C45" s="100"/>
      <c r="D45" s="100"/>
      <c r="E45" s="100"/>
      <c r="F45" s="100"/>
      <c r="G45" s="103"/>
      <c r="H45" s="186"/>
      <c r="I45" s="195">
        <v>0.51</v>
      </c>
      <c r="J45" s="107">
        <v>0.49</v>
      </c>
      <c r="K45" s="107"/>
      <c r="L45" s="107"/>
      <c r="M45" s="187"/>
      <c r="N45" s="169">
        <f t="shared" ref="N45:N108" si="14">SUM(I45:M45)</f>
        <v>1</v>
      </c>
      <c r="O45" s="144">
        <v>1</v>
      </c>
      <c r="P45" s="145">
        <v>15</v>
      </c>
      <c r="Q45" s="113">
        <v>15</v>
      </c>
      <c r="R45" s="113"/>
      <c r="S45" s="113"/>
      <c r="T45" s="146"/>
      <c r="U45" s="148">
        <f t="shared" si="1"/>
        <v>15</v>
      </c>
      <c r="V45" s="149">
        <f t="shared" si="2"/>
        <v>15</v>
      </c>
      <c r="W45" s="189"/>
      <c r="X45" s="199"/>
      <c r="Y45" s="151"/>
      <c r="Z45" s="190"/>
      <c r="AA45" s="153"/>
      <c r="AB45" s="154">
        <f t="shared" si="3"/>
        <v>0</v>
      </c>
      <c r="AC45" s="149">
        <f t="shared" si="4"/>
        <v>0</v>
      </c>
      <c r="AD45" s="125">
        <v>2</v>
      </c>
      <c r="AE45" s="148">
        <f t="shared" si="13"/>
        <v>2</v>
      </c>
      <c r="AF45" s="156"/>
      <c r="AG45" s="156"/>
      <c r="AH45" s="113">
        <f t="shared" si="11"/>
        <v>17</v>
      </c>
      <c r="AI45" s="157">
        <v>65</v>
      </c>
      <c r="AJ45" s="113">
        <f t="shared" si="5"/>
        <v>82</v>
      </c>
      <c r="AK45" s="113">
        <f t="shared" si="6"/>
        <v>82</v>
      </c>
      <c r="AL45" s="158">
        <f t="shared" si="7"/>
        <v>1.02</v>
      </c>
      <c r="AM45" s="159"/>
      <c r="AN45" s="160">
        <f t="shared" si="12"/>
        <v>1</v>
      </c>
      <c r="AO45" s="160">
        <f t="shared" si="12"/>
        <v>2</v>
      </c>
      <c r="AP45" s="133"/>
      <c r="AQ45" s="134"/>
      <c r="AR45" s="161"/>
      <c r="AS45" s="161"/>
      <c r="AT45" s="161"/>
      <c r="AU45" s="161"/>
      <c r="AV45" s="162"/>
      <c r="AW45" s="137">
        <f t="shared" si="9"/>
        <v>0</v>
      </c>
      <c r="AX45" s="137">
        <f t="shared" si="10"/>
        <v>0</v>
      </c>
    </row>
    <row r="46" ht="46.5" customHeight="1" spans="1:50" s="97" customFormat="1" x14ac:dyDescent="0.25">
      <c r="A46" s="100"/>
      <c r="B46" s="100"/>
      <c r="C46" s="100"/>
      <c r="D46" s="100"/>
      <c r="E46" s="100"/>
      <c r="F46" s="100"/>
      <c r="G46" s="103"/>
      <c r="H46" s="186"/>
      <c r="I46" s="195">
        <v>0.51</v>
      </c>
      <c r="J46" s="107">
        <v>0.49</v>
      </c>
      <c r="K46" s="107"/>
      <c r="L46" s="107"/>
      <c r="M46" s="187"/>
      <c r="N46" s="169">
        <f t="shared" si="14"/>
        <v>1</v>
      </c>
      <c r="O46" s="144">
        <v>1</v>
      </c>
      <c r="P46" s="145">
        <v>15</v>
      </c>
      <c r="Q46" s="113">
        <v>15</v>
      </c>
      <c r="R46" s="113"/>
      <c r="S46" s="113"/>
      <c r="T46" s="146"/>
      <c r="U46" s="148">
        <f t="shared" si="1"/>
        <v>15</v>
      </c>
      <c r="V46" s="149">
        <f t="shared" si="2"/>
        <v>15</v>
      </c>
      <c r="W46" s="189"/>
      <c r="X46" s="199"/>
      <c r="Y46" s="151"/>
      <c r="Z46" s="190"/>
      <c r="AA46" s="153"/>
      <c r="AB46" s="154">
        <f t="shared" si="3"/>
        <v>0</v>
      </c>
      <c r="AC46" s="149">
        <f t="shared" si="4"/>
        <v>0</v>
      </c>
      <c r="AD46" s="125">
        <v>2</v>
      </c>
      <c r="AE46" s="148">
        <f t="shared" si="13"/>
        <v>2</v>
      </c>
      <c r="AF46" s="156"/>
      <c r="AG46" s="156"/>
      <c r="AH46" s="113">
        <f t="shared" si="11"/>
        <v>17</v>
      </c>
      <c r="AI46" s="157">
        <v>65</v>
      </c>
      <c r="AJ46" s="113">
        <f t="shared" si="5"/>
        <v>82</v>
      </c>
      <c r="AK46" s="113">
        <f t="shared" si="6"/>
        <v>82</v>
      </c>
      <c r="AL46" s="158">
        <f t="shared" si="7"/>
        <v>1.02</v>
      </c>
      <c r="AM46" s="159"/>
      <c r="AN46" s="160">
        <f t="shared" si="12"/>
        <v>1</v>
      </c>
      <c r="AO46" s="160">
        <f t="shared" si="12"/>
        <v>2</v>
      </c>
      <c r="AP46" s="133"/>
      <c r="AQ46" s="134"/>
      <c r="AR46" s="161"/>
      <c r="AS46" s="161"/>
      <c r="AT46" s="161"/>
      <c r="AU46" s="161"/>
      <c r="AV46" s="162"/>
      <c r="AW46" s="137">
        <f t="shared" si="9"/>
        <v>0</v>
      </c>
      <c r="AX46" s="137">
        <f t="shared" si="10"/>
        <v>0</v>
      </c>
    </row>
    <row r="47" ht="46.5" customHeight="1" spans="1:50" s="97" customFormat="1" x14ac:dyDescent="0.25">
      <c r="A47" s="100"/>
      <c r="B47" s="100"/>
      <c r="C47" s="100"/>
      <c r="D47" s="100"/>
      <c r="E47" s="100"/>
      <c r="F47" s="100"/>
      <c r="G47" s="103"/>
      <c r="H47" s="186"/>
      <c r="I47" s="195">
        <v>0.51</v>
      </c>
      <c r="J47" s="107">
        <v>0.49</v>
      </c>
      <c r="K47" s="107"/>
      <c r="L47" s="107"/>
      <c r="M47" s="187"/>
      <c r="N47" s="169">
        <f t="shared" si="14"/>
        <v>1</v>
      </c>
      <c r="O47" s="144">
        <v>1</v>
      </c>
      <c r="P47" s="145">
        <v>15</v>
      </c>
      <c r="Q47" s="113">
        <v>15</v>
      </c>
      <c r="R47" s="113"/>
      <c r="S47" s="113"/>
      <c r="T47" s="146"/>
      <c r="U47" s="148">
        <f t="shared" si="1"/>
        <v>15</v>
      </c>
      <c r="V47" s="149">
        <f t="shared" si="2"/>
        <v>15</v>
      </c>
      <c r="W47" s="189"/>
      <c r="X47" s="199"/>
      <c r="Y47" s="151"/>
      <c r="Z47" s="190"/>
      <c r="AA47" s="153"/>
      <c r="AB47" s="154">
        <f t="shared" si="3"/>
        <v>0</v>
      </c>
      <c r="AC47" s="149">
        <f t="shared" si="4"/>
        <v>0</v>
      </c>
      <c r="AD47" s="125">
        <v>2</v>
      </c>
      <c r="AE47" s="148">
        <f t="shared" si="13"/>
        <v>2</v>
      </c>
      <c r="AF47" s="156"/>
      <c r="AG47" s="156"/>
      <c r="AH47" s="113">
        <f t="shared" si="11"/>
        <v>17</v>
      </c>
      <c r="AI47" s="157">
        <v>65</v>
      </c>
      <c r="AJ47" s="113">
        <f t="shared" si="5"/>
        <v>82</v>
      </c>
      <c r="AK47" s="113">
        <f t="shared" si="6"/>
        <v>82</v>
      </c>
      <c r="AL47" s="158">
        <f t="shared" si="7"/>
        <v>1.02</v>
      </c>
      <c r="AM47" s="159"/>
      <c r="AN47" s="160">
        <f t="shared" si="12"/>
        <v>1</v>
      </c>
      <c r="AO47" s="160">
        <f t="shared" si="12"/>
        <v>2</v>
      </c>
      <c r="AP47" s="133"/>
      <c r="AQ47" s="134"/>
      <c r="AR47" s="161"/>
      <c r="AS47" s="161"/>
      <c r="AT47" s="161"/>
      <c r="AU47" s="161"/>
      <c r="AV47" s="162"/>
      <c r="AW47" s="137">
        <f t="shared" si="9"/>
        <v>0</v>
      </c>
      <c r="AX47" s="137">
        <f t="shared" si="10"/>
        <v>0</v>
      </c>
    </row>
    <row r="48" ht="46.5" customHeight="1" spans="1:50" s="97" customFormat="1" x14ac:dyDescent="0.25">
      <c r="A48" s="100"/>
      <c r="B48" s="100"/>
      <c r="C48" s="100"/>
      <c r="D48" s="100"/>
      <c r="E48" s="100"/>
      <c r="F48" s="100"/>
      <c r="G48" s="103"/>
      <c r="H48" s="186"/>
      <c r="I48" s="195">
        <v>0.51</v>
      </c>
      <c r="J48" s="107">
        <v>0.49</v>
      </c>
      <c r="K48" s="107"/>
      <c r="L48" s="107"/>
      <c r="M48" s="187"/>
      <c r="N48" s="169">
        <f t="shared" si="14"/>
        <v>1</v>
      </c>
      <c r="O48" s="144">
        <v>1</v>
      </c>
      <c r="P48" s="145">
        <v>15</v>
      </c>
      <c r="Q48" s="113">
        <v>15</v>
      </c>
      <c r="R48" s="113"/>
      <c r="S48" s="113"/>
      <c r="T48" s="146"/>
      <c r="U48" s="148">
        <f t="shared" si="1"/>
        <v>15</v>
      </c>
      <c r="V48" s="149">
        <f t="shared" si="2"/>
        <v>15</v>
      </c>
      <c r="W48" s="189"/>
      <c r="X48" s="199"/>
      <c r="Y48" s="151"/>
      <c r="Z48" s="190"/>
      <c r="AA48" s="153"/>
      <c r="AB48" s="154">
        <f t="shared" si="3"/>
        <v>0</v>
      </c>
      <c r="AC48" s="149">
        <f t="shared" si="4"/>
        <v>0</v>
      </c>
      <c r="AD48" s="125">
        <v>2</v>
      </c>
      <c r="AE48" s="148">
        <f t="shared" si="13"/>
        <v>2</v>
      </c>
      <c r="AF48" s="156"/>
      <c r="AG48" s="156"/>
      <c r="AH48" s="113">
        <f t="shared" si="11"/>
        <v>17</v>
      </c>
      <c r="AI48" s="157">
        <v>65</v>
      </c>
      <c r="AJ48" s="113">
        <f t="shared" si="5"/>
        <v>82</v>
      </c>
      <c r="AK48" s="113">
        <f t="shared" si="6"/>
        <v>82</v>
      </c>
      <c r="AL48" s="158">
        <f t="shared" si="7"/>
        <v>1.02</v>
      </c>
      <c r="AM48" s="159"/>
      <c r="AN48" s="160">
        <f t="shared" si="12"/>
        <v>1</v>
      </c>
      <c r="AO48" s="160">
        <f t="shared" si="12"/>
        <v>2</v>
      </c>
      <c r="AP48" s="133"/>
      <c r="AQ48" s="134"/>
      <c r="AR48" s="161"/>
      <c r="AS48" s="161"/>
      <c r="AT48" s="161"/>
      <c r="AU48" s="161"/>
      <c r="AV48" s="162"/>
      <c r="AW48" s="137">
        <f t="shared" si="9"/>
        <v>0</v>
      </c>
      <c r="AX48" s="137">
        <f t="shared" si="10"/>
        <v>0</v>
      </c>
    </row>
    <row r="49" ht="46.5" customHeight="1" spans="1:50" s="97" customFormat="1" x14ac:dyDescent="0.25">
      <c r="A49" s="100"/>
      <c r="B49" s="100"/>
      <c r="C49" s="100"/>
      <c r="D49" s="100"/>
      <c r="E49" s="100"/>
      <c r="F49" s="100"/>
      <c r="G49" s="103"/>
      <c r="H49" s="186"/>
      <c r="I49" s="195">
        <v>0.51</v>
      </c>
      <c r="J49" s="107">
        <v>0.49</v>
      </c>
      <c r="K49" s="107"/>
      <c r="L49" s="107"/>
      <c r="M49" s="187"/>
      <c r="N49" s="169">
        <f t="shared" si="14"/>
        <v>1</v>
      </c>
      <c r="O49" s="144">
        <v>1</v>
      </c>
      <c r="P49" s="145">
        <v>15</v>
      </c>
      <c r="Q49" s="113">
        <v>15</v>
      </c>
      <c r="R49" s="113"/>
      <c r="S49" s="113"/>
      <c r="T49" s="146"/>
      <c r="U49" s="148">
        <f t="shared" si="1"/>
        <v>15</v>
      </c>
      <c r="V49" s="149">
        <f t="shared" si="2"/>
        <v>15</v>
      </c>
      <c r="W49" s="189"/>
      <c r="X49" s="199"/>
      <c r="Y49" s="151"/>
      <c r="Z49" s="190"/>
      <c r="AA49" s="153"/>
      <c r="AB49" s="154">
        <f t="shared" si="3"/>
        <v>0</v>
      </c>
      <c r="AC49" s="149">
        <f t="shared" si="4"/>
        <v>0</v>
      </c>
      <c r="AD49" s="125">
        <v>2</v>
      </c>
      <c r="AE49" s="148">
        <f t="shared" si="13"/>
        <v>2</v>
      </c>
      <c r="AF49" s="156"/>
      <c r="AG49" s="156"/>
      <c r="AH49" s="113">
        <f t="shared" si="11"/>
        <v>17</v>
      </c>
      <c r="AI49" s="157">
        <v>65</v>
      </c>
      <c r="AJ49" s="113">
        <f t="shared" si="5"/>
        <v>82</v>
      </c>
      <c r="AK49" s="113">
        <f t="shared" si="6"/>
        <v>82</v>
      </c>
      <c r="AL49" s="158">
        <f t="shared" si="7"/>
        <v>1.02</v>
      </c>
      <c r="AM49" s="159"/>
      <c r="AN49" s="160">
        <f t="shared" si="12"/>
        <v>1</v>
      </c>
      <c r="AO49" s="160">
        <f t="shared" si="12"/>
        <v>2</v>
      </c>
      <c r="AP49" s="133"/>
      <c r="AQ49" s="134"/>
      <c r="AR49" s="161"/>
      <c r="AS49" s="161"/>
      <c r="AT49" s="161"/>
      <c r="AU49" s="161"/>
      <c r="AV49" s="162"/>
      <c r="AW49" s="137">
        <f t="shared" si="9"/>
        <v>0</v>
      </c>
      <c r="AX49" s="137">
        <f t="shared" si="10"/>
        <v>0</v>
      </c>
    </row>
    <row r="50" ht="46.5" customHeight="1" spans="1:50" s="97" customFormat="1" x14ac:dyDescent="0.25">
      <c r="A50" s="100"/>
      <c r="B50" s="100"/>
      <c r="C50" s="100"/>
      <c r="D50" s="100"/>
      <c r="E50" s="100"/>
      <c r="F50" s="100"/>
      <c r="G50" s="103"/>
      <c r="H50" s="186"/>
      <c r="I50" s="195">
        <v>0.51</v>
      </c>
      <c r="J50" s="107">
        <v>0.49</v>
      </c>
      <c r="K50" s="107"/>
      <c r="L50" s="107"/>
      <c r="M50" s="187"/>
      <c r="N50" s="169">
        <f t="shared" si="14"/>
        <v>1</v>
      </c>
      <c r="O50" s="144">
        <v>1</v>
      </c>
      <c r="P50" s="145">
        <v>15</v>
      </c>
      <c r="Q50" s="113">
        <v>15</v>
      </c>
      <c r="R50" s="113"/>
      <c r="S50" s="113"/>
      <c r="T50" s="146"/>
      <c r="U50" s="148">
        <f t="shared" si="1"/>
        <v>15</v>
      </c>
      <c r="V50" s="149">
        <f t="shared" si="2"/>
        <v>15</v>
      </c>
      <c r="W50" s="189"/>
      <c r="X50" s="199"/>
      <c r="Y50" s="151"/>
      <c r="Z50" s="190"/>
      <c r="AA50" s="153"/>
      <c r="AB50" s="154">
        <f t="shared" si="3"/>
        <v>0</v>
      </c>
      <c r="AC50" s="149">
        <f t="shared" si="4"/>
        <v>0</v>
      </c>
      <c r="AD50" s="125">
        <v>2</v>
      </c>
      <c r="AE50" s="148">
        <f t="shared" si="13"/>
        <v>2</v>
      </c>
      <c r="AF50" s="156"/>
      <c r="AG50" s="156"/>
      <c r="AH50" s="113">
        <f t="shared" si="11"/>
        <v>17</v>
      </c>
      <c r="AI50" s="157">
        <v>65</v>
      </c>
      <c r="AJ50" s="113">
        <f t="shared" si="5"/>
        <v>82</v>
      </c>
      <c r="AK50" s="113">
        <f t="shared" si="6"/>
        <v>82</v>
      </c>
      <c r="AL50" s="158">
        <f t="shared" si="7"/>
        <v>1.02</v>
      </c>
      <c r="AM50" s="159"/>
      <c r="AN50" s="160">
        <f t="shared" si="12"/>
        <v>1</v>
      </c>
      <c r="AO50" s="160">
        <f t="shared" si="12"/>
        <v>2</v>
      </c>
      <c r="AP50" s="133"/>
      <c r="AQ50" s="134"/>
      <c r="AR50" s="161"/>
      <c r="AS50" s="161"/>
      <c r="AT50" s="161"/>
      <c r="AU50" s="161"/>
      <c r="AV50" s="162"/>
      <c r="AW50" s="137">
        <f t="shared" si="9"/>
        <v>0</v>
      </c>
      <c r="AX50" s="137">
        <f t="shared" si="10"/>
        <v>0</v>
      </c>
    </row>
    <row r="51" ht="46.5" customHeight="1" spans="1:50" s="97" customFormat="1" x14ac:dyDescent="0.25">
      <c r="A51" s="100"/>
      <c r="B51" s="100"/>
      <c r="C51" s="100"/>
      <c r="D51" s="100"/>
      <c r="E51" s="100"/>
      <c r="F51" s="100"/>
      <c r="G51" s="103"/>
      <c r="H51" s="186"/>
      <c r="I51" s="195">
        <v>0.51</v>
      </c>
      <c r="J51" s="107">
        <v>0.49</v>
      </c>
      <c r="K51" s="107"/>
      <c r="L51" s="107"/>
      <c r="M51" s="187"/>
      <c r="N51" s="169">
        <f t="shared" si="14"/>
        <v>1</v>
      </c>
      <c r="O51" s="144">
        <v>1</v>
      </c>
      <c r="P51" s="145">
        <v>15</v>
      </c>
      <c r="Q51" s="113">
        <v>15</v>
      </c>
      <c r="R51" s="113"/>
      <c r="S51" s="113"/>
      <c r="T51" s="146"/>
      <c r="U51" s="148">
        <f t="shared" si="1"/>
        <v>15</v>
      </c>
      <c r="V51" s="149">
        <f t="shared" si="2"/>
        <v>15</v>
      </c>
      <c r="W51" s="189"/>
      <c r="X51" s="199"/>
      <c r="Y51" s="151"/>
      <c r="Z51" s="190"/>
      <c r="AA51" s="153"/>
      <c r="AB51" s="154">
        <f t="shared" si="3"/>
        <v>0</v>
      </c>
      <c r="AC51" s="149">
        <f t="shared" si="4"/>
        <v>0</v>
      </c>
      <c r="AD51" s="125">
        <v>2</v>
      </c>
      <c r="AE51" s="148">
        <f t="shared" si="13"/>
        <v>2</v>
      </c>
      <c r="AF51" s="156"/>
      <c r="AG51" s="156"/>
      <c r="AH51" s="113">
        <f t="shared" si="11"/>
        <v>17</v>
      </c>
      <c r="AI51" s="157">
        <v>65</v>
      </c>
      <c r="AJ51" s="113">
        <f t="shared" si="5"/>
        <v>82</v>
      </c>
      <c r="AK51" s="113">
        <f t="shared" si="6"/>
        <v>82</v>
      </c>
      <c r="AL51" s="158">
        <f t="shared" si="7"/>
        <v>1.02</v>
      </c>
      <c r="AM51" s="159"/>
      <c r="AN51" s="160">
        <f t="shared" si="12"/>
        <v>1</v>
      </c>
      <c r="AO51" s="160">
        <f t="shared" si="12"/>
        <v>2</v>
      </c>
      <c r="AP51" s="133"/>
      <c r="AQ51" s="134"/>
      <c r="AR51" s="161"/>
      <c r="AS51" s="161"/>
      <c r="AT51" s="161"/>
      <c r="AU51" s="161"/>
      <c r="AV51" s="162"/>
      <c r="AW51" s="137">
        <f t="shared" si="9"/>
        <v>0</v>
      </c>
      <c r="AX51" s="137">
        <f t="shared" si="10"/>
        <v>0</v>
      </c>
    </row>
    <row r="52" ht="46.5" customHeight="1" spans="1:50" s="97" customFormat="1" x14ac:dyDescent="0.25">
      <c r="A52" s="100"/>
      <c r="B52" s="100"/>
      <c r="C52" s="100"/>
      <c r="D52" s="100"/>
      <c r="E52" s="100"/>
      <c r="F52" s="100"/>
      <c r="G52" s="103"/>
      <c r="H52" s="186"/>
      <c r="I52" s="195">
        <v>0.51</v>
      </c>
      <c r="J52" s="107">
        <v>0.49</v>
      </c>
      <c r="K52" s="107"/>
      <c r="L52" s="107"/>
      <c r="M52" s="187"/>
      <c r="N52" s="169">
        <f t="shared" si="14"/>
        <v>1</v>
      </c>
      <c r="O52" s="144">
        <v>1</v>
      </c>
      <c r="P52" s="145">
        <v>15</v>
      </c>
      <c r="Q52" s="113">
        <v>15</v>
      </c>
      <c r="R52" s="113"/>
      <c r="S52" s="113"/>
      <c r="T52" s="146"/>
      <c r="U52" s="148">
        <f t="shared" si="1"/>
        <v>15</v>
      </c>
      <c r="V52" s="149">
        <f t="shared" si="2"/>
        <v>15</v>
      </c>
      <c r="W52" s="189"/>
      <c r="X52" s="199"/>
      <c r="Y52" s="151"/>
      <c r="Z52" s="190"/>
      <c r="AA52" s="153"/>
      <c r="AB52" s="154">
        <f t="shared" si="3"/>
        <v>0</v>
      </c>
      <c r="AC52" s="149">
        <f t="shared" si="4"/>
        <v>0</v>
      </c>
      <c r="AD52" s="125">
        <v>2</v>
      </c>
      <c r="AE52" s="148">
        <f t="shared" si="13"/>
        <v>2</v>
      </c>
      <c r="AF52" s="156"/>
      <c r="AG52" s="156"/>
      <c r="AH52" s="113">
        <f t="shared" si="11"/>
        <v>17</v>
      </c>
      <c r="AI52" s="157">
        <v>65</v>
      </c>
      <c r="AJ52" s="113">
        <f t="shared" si="5"/>
        <v>82</v>
      </c>
      <c r="AK52" s="113">
        <f t="shared" si="6"/>
        <v>82</v>
      </c>
      <c r="AL52" s="158">
        <f t="shared" si="7"/>
        <v>1.02</v>
      </c>
      <c r="AM52" s="159"/>
      <c r="AN52" s="160">
        <f t="shared" si="12"/>
        <v>1</v>
      </c>
      <c r="AO52" s="160">
        <f t="shared" si="12"/>
        <v>2</v>
      </c>
      <c r="AP52" s="133"/>
      <c r="AQ52" s="134"/>
      <c r="AR52" s="161"/>
      <c r="AS52" s="161"/>
      <c r="AT52" s="161"/>
      <c r="AU52" s="161"/>
      <c r="AV52" s="162"/>
      <c r="AW52" s="137">
        <f t="shared" si="9"/>
        <v>0</v>
      </c>
      <c r="AX52" s="137">
        <f t="shared" si="10"/>
        <v>0</v>
      </c>
    </row>
    <row r="53" ht="46.5" customHeight="1" spans="1:50" s="97" customFormat="1" x14ac:dyDescent="0.25">
      <c r="A53" s="100"/>
      <c r="B53" s="100"/>
      <c r="C53" s="100"/>
      <c r="D53" s="100"/>
      <c r="E53" s="100"/>
      <c r="F53" s="100"/>
      <c r="G53" s="103"/>
      <c r="H53" s="186"/>
      <c r="I53" s="195">
        <v>0.51</v>
      </c>
      <c r="J53" s="107">
        <v>0.49</v>
      </c>
      <c r="K53" s="107"/>
      <c r="L53" s="107"/>
      <c r="M53" s="187"/>
      <c r="N53" s="169">
        <f t="shared" si="14"/>
        <v>1</v>
      </c>
      <c r="O53" s="144">
        <v>1</v>
      </c>
      <c r="P53" s="145">
        <v>15</v>
      </c>
      <c r="Q53" s="113">
        <v>15</v>
      </c>
      <c r="R53" s="113"/>
      <c r="S53" s="113"/>
      <c r="T53" s="146"/>
      <c r="U53" s="148">
        <f t="shared" si="1"/>
        <v>15</v>
      </c>
      <c r="V53" s="149">
        <f t="shared" si="2"/>
        <v>15</v>
      </c>
      <c r="W53" s="189"/>
      <c r="X53" s="199"/>
      <c r="Y53" s="151"/>
      <c r="Z53" s="190"/>
      <c r="AA53" s="153"/>
      <c r="AB53" s="154">
        <f t="shared" si="3"/>
        <v>0</v>
      </c>
      <c r="AC53" s="149">
        <f t="shared" si="4"/>
        <v>0</v>
      </c>
      <c r="AD53" s="125">
        <v>2</v>
      </c>
      <c r="AE53" s="148">
        <f t="shared" si="13"/>
        <v>2</v>
      </c>
      <c r="AF53" s="156"/>
      <c r="AG53" s="156"/>
      <c r="AH53" s="113">
        <f t="shared" si="11"/>
        <v>17</v>
      </c>
      <c r="AI53" s="157">
        <v>65</v>
      </c>
      <c r="AJ53" s="113">
        <f t="shared" si="5"/>
        <v>82</v>
      </c>
      <c r="AK53" s="113">
        <f t="shared" si="6"/>
        <v>82</v>
      </c>
      <c r="AL53" s="158">
        <f t="shared" si="7"/>
        <v>1.02</v>
      </c>
      <c r="AM53" s="159"/>
      <c r="AN53" s="160">
        <f t="shared" ref="AN53:AO72" si="15">100%+AM53</f>
        <v>1</v>
      </c>
      <c r="AO53" s="160">
        <f t="shared" si="15"/>
        <v>2</v>
      </c>
      <c r="AP53" s="133"/>
      <c r="AQ53" s="134"/>
      <c r="AR53" s="161"/>
      <c r="AS53" s="161"/>
      <c r="AT53" s="161"/>
      <c r="AU53" s="161"/>
      <c r="AV53" s="162"/>
      <c r="AW53" s="137">
        <f t="shared" si="9"/>
        <v>0</v>
      </c>
      <c r="AX53" s="137">
        <f t="shared" si="10"/>
        <v>0</v>
      </c>
    </row>
    <row r="54" ht="46.5" customHeight="1" spans="1:50" s="97" customFormat="1" x14ac:dyDescent="0.25">
      <c r="A54" s="100"/>
      <c r="B54" s="100"/>
      <c r="C54" s="100"/>
      <c r="D54" s="100"/>
      <c r="E54" s="100"/>
      <c r="F54" s="100"/>
      <c r="G54" s="103"/>
      <c r="H54" s="186"/>
      <c r="I54" s="195">
        <v>0.51</v>
      </c>
      <c r="J54" s="107">
        <v>0.49</v>
      </c>
      <c r="K54" s="107"/>
      <c r="L54" s="107"/>
      <c r="M54" s="187"/>
      <c r="N54" s="169">
        <f t="shared" si="14"/>
        <v>1</v>
      </c>
      <c r="O54" s="144">
        <v>1</v>
      </c>
      <c r="P54" s="145">
        <v>15</v>
      </c>
      <c r="Q54" s="113">
        <v>15</v>
      </c>
      <c r="R54" s="113"/>
      <c r="S54" s="113"/>
      <c r="T54" s="146"/>
      <c r="U54" s="148">
        <f t="shared" si="1"/>
        <v>15</v>
      </c>
      <c r="V54" s="149">
        <f t="shared" si="2"/>
        <v>15</v>
      </c>
      <c r="W54" s="189"/>
      <c r="X54" s="199"/>
      <c r="Y54" s="151"/>
      <c r="Z54" s="190"/>
      <c r="AA54" s="153"/>
      <c r="AB54" s="154">
        <f t="shared" si="3"/>
        <v>0</v>
      </c>
      <c r="AC54" s="149">
        <f t="shared" si="4"/>
        <v>0</v>
      </c>
      <c r="AD54" s="125">
        <v>2</v>
      </c>
      <c r="AE54" s="148">
        <f t="shared" si="13"/>
        <v>2</v>
      </c>
      <c r="AF54" s="156"/>
      <c r="AG54" s="156"/>
      <c r="AH54" s="113">
        <f t="shared" si="11"/>
        <v>17</v>
      </c>
      <c r="AI54" s="157">
        <v>65</v>
      </c>
      <c r="AJ54" s="113">
        <f t="shared" si="5"/>
        <v>82</v>
      </c>
      <c r="AK54" s="113">
        <f t="shared" si="6"/>
        <v>82</v>
      </c>
      <c r="AL54" s="158">
        <f t="shared" si="7"/>
        <v>1.02</v>
      </c>
      <c r="AM54" s="159"/>
      <c r="AN54" s="160">
        <f t="shared" si="15"/>
        <v>1</v>
      </c>
      <c r="AO54" s="160">
        <f t="shared" si="15"/>
        <v>2</v>
      </c>
      <c r="AP54" s="133"/>
      <c r="AQ54" s="134"/>
      <c r="AR54" s="161"/>
      <c r="AS54" s="161"/>
      <c r="AT54" s="161"/>
      <c r="AU54" s="161"/>
      <c r="AV54" s="162"/>
      <c r="AW54" s="137">
        <f t="shared" si="9"/>
        <v>0</v>
      </c>
      <c r="AX54" s="137">
        <f t="shared" si="10"/>
        <v>0</v>
      </c>
    </row>
    <row r="55" ht="46.5" customHeight="1" spans="1:50" s="97" customFormat="1" x14ac:dyDescent="0.25">
      <c r="A55" s="100"/>
      <c r="B55" s="100"/>
      <c r="C55" s="100"/>
      <c r="D55" s="100"/>
      <c r="E55" s="100"/>
      <c r="F55" s="100"/>
      <c r="G55" s="103"/>
      <c r="H55" s="186"/>
      <c r="I55" s="195">
        <v>0.51</v>
      </c>
      <c r="J55" s="107">
        <v>0.49</v>
      </c>
      <c r="K55" s="107"/>
      <c r="L55" s="107"/>
      <c r="M55" s="187"/>
      <c r="N55" s="169">
        <f t="shared" si="14"/>
        <v>1</v>
      </c>
      <c r="O55" s="144">
        <v>1</v>
      </c>
      <c r="P55" s="145">
        <v>15</v>
      </c>
      <c r="Q55" s="113">
        <v>15</v>
      </c>
      <c r="R55" s="113"/>
      <c r="S55" s="113"/>
      <c r="T55" s="146"/>
      <c r="U55" s="148">
        <f t="shared" si="1"/>
        <v>15</v>
      </c>
      <c r="V55" s="149">
        <f t="shared" si="2"/>
        <v>15</v>
      </c>
      <c r="W55" s="189"/>
      <c r="X55" s="199"/>
      <c r="Y55" s="151"/>
      <c r="Z55" s="190"/>
      <c r="AA55" s="153"/>
      <c r="AB55" s="154">
        <f t="shared" si="3"/>
        <v>0</v>
      </c>
      <c r="AC55" s="149">
        <f t="shared" si="4"/>
        <v>0</v>
      </c>
      <c r="AD55" s="125">
        <v>2</v>
      </c>
      <c r="AE55" s="148">
        <f t="shared" si="13"/>
        <v>2</v>
      </c>
      <c r="AF55" s="156"/>
      <c r="AG55" s="156"/>
      <c r="AH55" s="113">
        <f t="shared" si="11"/>
        <v>17</v>
      </c>
      <c r="AI55" s="157">
        <v>65</v>
      </c>
      <c r="AJ55" s="113">
        <f t="shared" si="5"/>
        <v>82</v>
      </c>
      <c r="AK55" s="113">
        <f t="shared" si="6"/>
        <v>82</v>
      </c>
      <c r="AL55" s="158">
        <f t="shared" si="7"/>
        <v>1.02</v>
      </c>
      <c r="AM55" s="159"/>
      <c r="AN55" s="160">
        <f t="shared" si="15"/>
        <v>1</v>
      </c>
      <c r="AO55" s="160">
        <f t="shared" si="15"/>
        <v>2</v>
      </c>
      <c r="AP55" s="133"/>
      <c r="AQ55" s="134"/>
      <c r="AR55" s="161"/>
      <c r="AS55" s="161"/>
      <c r="AT55" s="161"/>
      <c r="AU55" s="161"/>
      <c r="AV55" s="162"/>
      <c r="AW55" s="137">
        <f t="shared" si="9"/>
        <v>0</v>
      </c>
      <c r="AX55" s="137">
        <f t="shared" si="10"/>
        <v>0</v>
      </c>
    </row>
    <row r="56" ht="46.5" customHeight="1" spans="1:50" s="97" customFormat="1" x14ac:dyDescent="0.25">
      <c r="A56" s="100"/>
      <c r="B56" s="100"/>
      <c r="C56" s="100"/>
      <c r="D56" s="100"/>
      <c r="E56" s="100"/>
      <c r="F56" s="100"/>
      <c r="G56" s="103"/>
      <c r="H56" s="186"/>
      <c r="I56" s="195">
        <v>0.51</v>
      </c>
      <c r="J56" s="107">
        <v>0.49</v>
      </c>
      <c r="K56" s="107"/>
      <c r="L56" s="107"/>
      <c r="M56" s="187"/>
      <c r="N56" s="169">
        <f t="shared" si="14"/>
        <v>1</v>
      </c>
      <c r="O56" s="144">
        <v>1</v>
      </c>
      <c r="P56" s="145">
        <v>15</v>
      </c>
      <c r="Q56" s="113">
        <v>15</v>
      </c>
      <c r="R56" s="113"/>
      <c r="S56" s="113"/>
      <c r="T56" s="146"/>
      <c r="U56" s="148">
        <f t="shared" si="1"/>
        <v>15</v>
      </c>
      <c r="V56" s="149">
        <f t="shared" si="2"/>
        <v>15</v>
      </c>
      <c r="W56" s="189"/>
      <c r="X56" s="199"/>
      <c r="Y56" s="151"/>
      <c r="Z56" s="190"/>
      <c r="AA56" s="153"/>
      <c r="AB56" s="154">
        <f t="shared" si="3"/>
        <v>0</v>
      </c>
      <c r="AC56" s="149">
        <f t="shared" si="4"/>
        <v>0</v>
      </c>
      <c r="AD56" s="125">
        <v>2</v>
      </c>
      <c r="AE56" s="148">
        <f t="shared" si="13"/>
        <v>2</v>
      </c>
      <c r="AF56" s="156"/>
      <c r="AG56" s="156"/>
      <c r="AH56" s="113">
        <f t="shared" si="11"/>
        <v>17</v>
      </c>
      <c r="AI56" s="157">
        <v>65</v>
      </c>
      <c r="AJ56" s="113">
        <f t="shared" si="5"/>
        <v>82</v>
      </c>
      <c r="AK56" s="113">
        <f t="shared" si="6"/>
        <v>82</v>
      </c>
      <c r="AL56" s="158">
        <f t="shared" si="7"/>
        <v>1.02</v>
      </c>
      <c r="AM56" s="159"/>
      <c r="AN56" s="160">
        <f t="shared" si="15"/>
        <v>1</v>
      </c>
      <c r="AO56" s="160">
        <f t="shared" si="15"/>
        <v>2</v>
      </c>
      <c r="AP56" s="133"/>
      <c r="AQ56" s="134"/>
      <c r="AR56" s="161"/>
      <c r="AS56" s="161"/>
      <c r="AT56" s="161"/>
      <c r="AU56" s="161"/>
      <c r="AV56" s="162"/>
      <c r="AW56" s="137">
        <f t="shared" si="9"/>
        <v>0</v>
      </c>
      <c r="AX56" s="137">
        <f t="shared" si="10"/>
        <v>0</v>
      </c>
    </row>
    <row r="57" ht="46.5" customHeight="1" spans="1:50" s="97" customFormat="1" x14ac:dyDescent="0.25">
      <c r="A57" s="100"/>
      <c r="B57" s="100"/>
      <c r="C57" s="100"/>
      <c r="D57" s="100"/>
      <c r="E57" s="100"/>
      <c r="F57" s="100"/>
      <c r="G57" s="103"/>
      <c r="H57" s="186"/>
      <c r="I57" s="195">
        <v>0.51</v>
      </c>
      <c r="J57" s="107">
        <v>0.49</v>
      </c>
      <c r="K57" s="107"/>
      <c r="L57" s="107"/>
      <c r="M57" s="187"/>
      <c r="N57" s="169">
        <f t="shared" si="14"/>
        <v>1</v>
      </c>
      <c r="O57" s="144">
        <v>1</v>
      </c>
      <c r="P57" s="145">
        <v>15</v>
      </c>
      <c r="Q57" s="113">
        <v>15</v>
      </c>
      <c r="R57" s="113"/>
      <c r="S57" s="113"/>
      <c r="T57" s="146"/>
      <c r="U57" s="148">
        <f t="shared" si="1"/>
        <v>15</v>
      </c>
      <c r="V57" s="149">
        <f t="shared" si="2"/>
        <v>15</v>
      </c>
      <c r="W57" s="189"/>
      <c r="X57" s="199"/>
      <c r="Y57" s="151"/>
      <c r="Z57" s="190"/>
      <c r="AA57" s="153"/>
      <c r="AB57" s="154">
        <f t="shared" si="3"/>
        <v>0</v>
      </c>
      <c r="AC57" s="149">
        <f t="shared" si="4"/>
        <v>0</v>
      </c>
      <c r="AD57" s="125">
        <v>2</v>
      </c>
      <c r="AE57" s="148">
        <f t="shared" si="13"/>
        <v>2</v>
      </c>
      <c r="AF57" s="156"/>
      <c r="AG57" s="156"/>
      <c r="AH57" s="113">
        <f t="shared" si="11"/>
        <v>17</v>
      </c>
      <c r="AI57" s="157">
        <v>65</v>
      </c>
      <c r="AJ57" s="113">
        <f t="shared" si="5"/>
        <v>82</v>
      </c>
      <c r="AK57" s="113">
        <f t="shared" si="6"/>
        <v>82</v>
      </c>
      <c r="AL57" s="158">
        <f t="shared" si="7"/>
        <v>1.02</v>
      </c>
      <c r="AM57" s="159"/>
      <c r="AN57" s="160">
        <f t="shared" si="15"/>
        <v>1</v>
      </c>
      <c r="AO57" s="160">
        <f t="shared" si="15"/>
        <v>2</v>
      </c>
      <c r="AP57" s="133"/>
      <c r="AQ57" s="134"/>
      <c r="AR57" s="161"/>
      <c r="AS57" s="161"/>
      <c r="AT57" s="161"/>
      <c r="AU57" s="161"/>
      <c r="AV57" s="162"/>
      <c r="AW57" s="137">
        <f t="shared" si="9"/>
        <v>0</v>
      </c>
      <c r="AX57" s="137">
        <f t="shared" si="10"/>
        <v>0</v>
      </c>
    </row>
    <row r="58" ht="46.5" customHeight="1" spans="1:50" s="97" customFormat="1" x14ac:dyDescent="0.25">
      <c r="A58" s="100"/>
      <c r="B58" s="100"/>
      <c r="C58" s="100"/>
      <c r="D58" s="100"/>
      <c r="E58" s="100"/>
      <c r="F58" s="100"/>
      <c r="G58" s="103"/>
      <c r="H58" s="186"/>
      <c r="I58" s="195">
        <v>0.51</v>
      </c>
      <c r="J58" s="107">
        <v>0.49</v>
      </c>
      <c r="K58" s="107"/>
      <c r="L58" s="107"/>
      <c r="M58" s="187"/>
      <c r="N58" s="169">
        <f t="shared" si="14"/>
        <v>1</v>
      </c>
      <c r="O58" s="144">
        <v>1</v>
      </c>
      <c r="P58" s="145">
        <v>15</v>
      </c>
      <c r="Q58" s="113">
        <v>15</v>
      </c>
      <c r="R58" s="113"/>
      <c r="S58" s="113"/>
      <c r="T58" s="146"/>
      <c r="U58" s="148">
        <f t="shared" si="1"/>
        <v>15</v>
      </c>
      <c r="V58" s="149">
        <f t="shared" si="2"/>
        <v>15</v>
      </c>
      <c r="W58" s="189"/>
      <c r="X58" s="199"/>
      <c r="Y58" s="151"/>
      <c r="Z58" s="190"/>
      <c r="AA58" s="153"/>
      <c r="AB58" s="154">
        <f t="shared" si="3"/>
        <v>0</v>
      </c>
      <c r="AC58" s="149">
        <f t="shared" si="4"/>
        <v>0</v>
      </c>
      <c r="AD58" s="125">
        <v>2</v>
      </c>
      <c r="AE58" s="148">
        <f t="shared" si="13"/>
        <v>2</v>
      </c>
      <c r="AF58" s="156"/>
      <c r="AG58" s="156"/>
      <c r="AH58" s="113">
        <f t="shared" si="11"/>
        <v>17</v>
      </c>
      <c r="AI58" s="157">
        <v>65</v>
      </c>
      <c r="AJ58" s="113">
        <f t="shared" si="5"/>
        <v>82</v>
      </c>
      <c r="AK58" s="113">
        <f t="shared" si="6"/>
        <v>82</v>
      </c>
      <c r="AL58" s="158">
        <f t="shared" si="7"/>
        <v>1.02</v>
      </c>
      <c r="AM58" s="159"/>
      <c r="AN58" s="160">
        <f t="shared" si="15"/>
        <v>1</v>
      </c>
      <c r="AO58" s="160">
        <f t="shared" si="15"/>
        <v>2</v>
      </c>
      <c r="AP58" s="133"/>
      <c r="AQ58" s="134"/>
      <c r="AR58" s="161"/>
      <c r="AS58" s="161"/>
      <c r="AT58" s="161"/>
      <c r="AU58" s="161"/>
      <c r="AV58" s="162"/>
      <c r="AW58" s="137">
        <f t="shared" si="9"/>
        <v>0</v>
      </c>
      <c r="AX58" s="137">
        <f t="shared" si="10"/>
        <v>0</v>
      </c>
    </row>
    <row r="59" ht="46.5" customHeight="1" spans="1:50" s="97" customFormat="1" x14ac:dyDescent="0.25">
      <c r="A59" s="100"/>
      <c r="B59" s="100"/>
      <c r="C59" s="100"/>
      <c r="D59" s="100"/>
      <c r="E59" s="100"/>
      <c r="F59" s="100"/>
      <c r="G59" s="103"/>
      <c r="H59" s="186"/>
      <c r="I59" s="195">
        <v>0.51</v>
      </c>
      <c r="J59" s="107">
        <v>0.49</v>
      </c>
      <c r="K59" s="107"/>
      <c r="L59" s="107"/>
      <c r="M59" s="187"/>
      <c r="N59" s="169">
        <f t="shared" si="14"/>
        <v>1</v>
      </c>
      <c r="O59" s="144">
        <v>1</v>
      </c>
      <c r="P59" s="145">
        <v>15</v>
      </c>
      <c r="Q59" s="113">
        <v>15</v>
      </c>
      <c r="R59" s="113"/>
      <c r="S59" s="113"/>
      <c r="T59" s="146"/>
      <c r="U59" s="148">
        <f t="shared" si="1"/>
        <v>15</v>
      </c>
      <c r="V59" s="149">
        <f t="shared" si="2"/>
        <v>15</v>
      </c>
      <c r="W59" s="189"/>
      <c r="X59" s="199"/>
      <c r="Y59" s="151"/>
      <c r="Z59" s="190"/>
      <c r="AA59" s="153"/>
      <c r="AB59" s="154">
        <f t="shared" si="3"/>
        <v>0</v>
      </c>
      <c r="AC59" s="149">
        <f t="shared" si="4"/>
        <v>0</v>
      </c>
      <c r="AD59" s="125">
        <v>2</v>
      </c>
      <c r="AE59" s="148">
        <f t="shared" si="13"/>
        <v>2</v>
      </c>
      <c r="AF59" s="156"/>
      <c r="AG59" s="156"/>
      <c r="AH59" s="113">
        <f t="shared" si="11"/>
        <v>17</v>
      </c>
      <c r="AI59" s="157">
        <v>65</v>
      </c>
      <c r="AJ59" s="113">
        <f t="shared" si="5"/>
        <v>82</v>
      </c>
      <c r="AK59" s="113">
        <f t="shared" si="6"/>
        <v>82</v>
      </c>
      <c r="AL59" s="158">
        <f t="shared" si="7"/>
        <v>1.02</v>
      </c>
      <c r="AM59" s="159"/>
      <c r="AN59" s="160">
        <f t="shared" si="15"/>
        <v>1</v>
      </c>
      <c r="AO59" s="160">
        <f t="shared" si="15"/>
        <v>2</v>
      </c>
      <c r="AP59" s="133"/>
      <c r="AQ59" s="134"/>
      <c r="AR59" s="161"/>
      <c r="AS59" s="161"/>
      <c r="AT59" s="161"/>
      <c r="AU59" s="161"/>
      <c r="AV59" s="162"/>
      <c r="AW59" s="137">
        <f t="shared" si="9"/>
        <v>0</v>
      </c>
      <c r="AX59" s="137">
        <f t="shared" si="10"/>
        <v>0</v>
      </c>
    </row>
    <row r="60" ht="46.5" customHeight="1" spans="1:50" s="97" customFormat="1" x14ac:dyDescent="0.25">
      <c r="A60" s="100"/>
      <c r="B60" s="100"/>
      <c r="C60" s="100"/>
      <c r="D60" s="100"/>
      <c r="E60" s="100"/>
      <c r="F60" s="100"/>
      <c r="G60" s="103"/>
      <c r="H60" s="186"/>
      <c r="I60" s="195">
        <v>0.51</v>
      </c>
      <c r="J60" s="107">
        <v>0.49</v>
      </c>
      <c r="K60" s="107"/>
      <c r="L60" s="107"/>
      <c r="M60" s="187"/>
      <c r="N60" s="169">
        <f t="shared" si="14"/>
        <v>1</v>
      </c>
      <c r="O60" s="144">
        <v>1</v>
      </c>
      <c r="P60" s="145">
        <v>15</v>
      </c>
      <c r="Q60" s="113">
        <v>15</v>
      </c>
      <c r="R60" s="113"/>
      <c r="S60" s="113"/>
      <c r="T60" s="146"/>
      <c r="U60" s="148">
        <f t="shared" si="1"/>
        <v>15</v>
      </c>
      <c r="V60" s="149">
        <f t="shared" si="2"/>
        <v>15</v>
      </c>
      <c r="W60" s="189"/>
      <c r="X60" s="199"/>
      <c r="Y60" s="151"/>
      <c r="Z60" s="190"/>
      <c r="AA60" s="153"/>
      <c r="AB60" s="154">
        <f t="shared" si="3"/>
        <v>0</v>
      </c>
      <c r="AC60" s="149">
        <f t="shared" si="4"/>
        <v>0</v>
      </c>
      <c r="AD60" s="125">
        <v>2</v>
      </c>
      <c r="AE60" s="148">
        <f t="shared" si="13"/>
        <v>2</v>
      </c>
      <c r="AF60" s="156"/>
      <c r="AG60" s="156"/>
      <c r="AH60" s="113">
        <f t="shared" si="11"/>
        <v>17</v>
      </c>
      <c r="AI60" s="157">
        <v>65</v>
      </c>
      <c r="AJ60" s="113">
        <f t="shared" si="5"/>
        <v>82</v>
      </c>
      <c r="AK60" s="113">
        <f t="shared" si="6"/>
        <v>82</v>
      </c>
      <c r="AL60" s="158">
        <f t="shared" si="7"/>
        <v>1.02</v>
      </c>
      <c r="AM60" s="159"/>
      <c r="AN60" s="160">
        <f t="shared" si="15"/>
        <v>1</v>
      </c>
      <c r="AO60" s="160">
        <f t="shared" si="15"/>
        <v>2</v>
      </c>
      <c r="AP60" s="133"/>
      <c r="AQ60" s="134"/>
      <c r="AR60" s="161"/>
      <c r="AS60" s="161"/>
      <c r="AT60" s="161"/>
      <c r="AU60" s="161"/>
      <c r="AV60" s="162"/>
      <c r="AW60" s="137">
        <f t="shared" si="9"/>
        <v>0</v>
      </c>
      <c r="AX60" s="137">
        <f t="shared" si="10"/>
        <v>0</v>
      </c>
    </row>
    <row r="61" ht="46.5" customHeight="1" spans="1:50" s="97" customFormat="1" x14ac:dyDescent="0.25">
      <c r="A61" s="100"/>
      <c r="B61" s="100"/>
      <c r="C61" s="100"/>
      <c r="D61" s="100"/>
      <c r="E61" s="100"/>
      <c r="F61" s="100"/>
      <c r="G61" s="103"/>
      <c r="H61" s="186"/>
      <c r="I61" s="195">
        <v>0.51</v>
      </c>
      <c r="J61" s="107">
        <v>0.49</v>
      </c>
      <c r="K61" s="107"/>
      <c r="L61" s="107"/>
      <c r="M61" s="187"/>
      <c r="N61" s="169">
        <f t="shared" si="14"/>
        <v>1</v>
      </c>
      <c r="O61" s="144">
        <v>1</v>
      </c>
      <c r="P61" s="145">
        <v>15</v>
      </c>
      <c r="Q61" s="113">
        <v>15</v>
      </c>
      <c r="R61" s="113"/>
      <c r="S61" s="113"/>
      <c r="T61" s="146"/>
      <c r="U61" s="148">
        <f t="shared" si="1"/>
        <v>15</v>
      </c>
      <c r="V61" s="149">
        <f t="shared" si="2"/>
        <v>15</v>
      </c>
      <c r="W61" s="189"/>
      <c r="X61" s="199"/>
      <c r="Y61" s="151"/>
      <c r="Z61" s="190"/>
      <c r="AA61" s="153"/>
      <c r="AB61" s="154">
        <f t="shared" si="3"/>
        <v>0</v>
      </c>
      <c r="AC61" s="149">
        <f t="shared" si="4"/>
        <v>0</v>
      </c>
      <c r="AD61" s="125">
        <v>2</v>
      </c>
      <c r="AE61" s="148">
        <f t="shared" si="13"/>
        <v>2</v>
      </c>
      <c r="AF61" s="156"/>
      <c r="AG61" s="156"/>
      <c r="AH61" s="113">
        <f t="shared" si="11"/>
        <v>17</v>
      </c>
      <c r="AI61" s="157">
        <v>65</v>
      </c>
      <c r="AJ61" s="113">
        <f t="shared" si="5"/>
        <v>82</v>
      </c>
      <c r="AK61" s="113">
        <f t="shared" si="6"/>
        <v>82</v>
      </c>
      <c r="AL61" s="158">
        <f t="shared" si="7"/>
        <v>1.02</v>
      </c>
      <c r="AM61" s="159"/>
      <c r="AN61" s="160">
        <f t="shared" si="15"/>
        <v>1</v>
      </c>
      <c r="AO61" s="160">
        <f t="shared" si="15"/>
        <v>2</v>
      </c>
      <c r="AP61" s="133"/>
      <c r="AQ61" s="134"/>
      <c r="AR61" s="161"/>
      <c r="AS61" s="161"/>
      <c r="AT61" s="161"/>
      <c r="AU61" s="161"/>
      <c r="AV61" s="162"/>
      <c r="AW61" s="137">
        <f t="shared" si="9"/>
        <v>0</v>
      </c>
      <c r="AX61" s="137">
        <f t="shared" si="10"/>
        <v>0</v>
      </c>
    </row>
    <row r="62" ht="46.5" customHeight="1" spans="1:50" s="97" customFormat="1" x14ac:dyDescent="0.25">
      <c r="A62" s="100"/>
      <c r="B62" s="100"/>
      <c r="C62" s="100"/>
      <c r="D62" s="100"/>
      <c r="E62" s="100"/>
      <c r="F62" s="100"/>
      <c r="G62" s="103"/>
      <c r="H62" s="186"/>
      <c r="I62" s="195">
        <v>0.51</v>
      </c>
      <c r="J62" s="107">
        <v>0.49</v>
      </c>
      <c r="K62" s="107"/>
      <c r="L62" s="107"/>
      <c r="M62" s="187"/>
      <c r="N62" s="169">
        <f t="shared" si="14"/>
        <v>1</v>
      </c>
      <c r="O62" s="144">
        <v>1</v>
      </c>
      <c r="P62" s="145">
        <v>15</v>
      </c>
      <c r="Q62" s="113">
        <v>15</v>
      </c>
      <c r="R62" s="113"/>
      <c r="S62" s="113"/>
      <c r="T62" s="146"/>
      <c r="U62" s="148">
        <f t="shared" si="1"/>
        <v>15</v>
      </c>
      <c r="V62" s="149">
        <f t="shared" si="2"/>
        <v>15</v>
      </c>
      <c r="W62" s="189"/>
      <c r="X62" s="199"/>
      <c r="Y62" s="151"/>
      <c r="Z62" s="190"/>
      <c r="AA62" s="153"/>
      <c r="AB62" s="154">
        <f t="shared" si="3"/>
        <v>0</v>
      </c>
      <c r="AC62" s="149">
        <f t="shared" si="4"/>
        <v>0</v>
      </c>
      <c r="AD62" s="125">
        <v>2</v>
      </c>
      <c r="AE62" s="148">
        <f t="shared" si="13"/>
        <v>2</v>
      </c>
      <c r="AF62" s="156"/>
      <c r="AG62" s="156"/>
      <c r="AH62" s="113">
        <f t="shared" si="11"/>
        <v>17</v>
      </c>
      <c r="AI62" s="157">
        <v>65</v>
      </c>
      <c r="AJ62" s="113">
        <f t="shared" si="5"/>
        <v>82</v>
      </c>
      <c r="AK62" s="113">
        <f t="shared" si="6"/>
        <v>82</v>
      </c>
      <c r="AL62" s="158">
        <f t="shared" si="7"/>
        <v>1.02</v>
      </c>
      <c r="AM62" s="159"/>
      <c r="AN62" s="160">
        <f t="shared" si="15"/>
        <v>1</v>
      </c>
      <c r="AO62" s="160">
        <f t="shared" si="15"/>
        <v>2</v>
      </c>
      <c r="AP62" s="133"/>
      <c r="AQ62" s="134"/>
      <c r="AR62" s="161"/>
      <c r="AS62" s="161"/>
      <c r="AT62" s="161"/>
      <c r="AU62" s="161"/>
      <c r="AV62" s="162"/>
      <c r="AW62" s="137">
        <f t="shared" si="9"/>
        <v>0</v>
      </c>
      <c r="AX62" s="137">
        <f t="shared" si="10"/>
        <v>0</v>
      </c>
    </row>
    <row r="63" ht="46.5" customHeight="1" spans="1:50" s="97" customFormat="1" x14ac:dyDescent="0.25">
      <c r="A63" s="100"/>
      <c r="B63" s="100"/>
      <c r="C63" s="100"/>
      <c r="D63" s="100"/>
      <c r="E63" s="100"/>
      <c r="F63" s="100"/>
      <c r="G63" s="103"/>
      <c r="H63" s="186"/>
      <c r="I63" s="195">
        <v>0.51</v>
      </c>
      <c r="J63" s="107">
        <v>0.49</v>
      </c>
      <c r="K63" s="107"/>
      <c r="L63" s="107"/>
      <c r="M63" s="187"/>
      <c r="N63" s="169">
        <f t="shared" si="14"/>
        <v>1</v>
      </c>
      <c r="O63" s="144">
        <v>1</v>
      </c>
      <c r="P63" s="145">
        <v>15</v>
      </c>
      <c r="Q63" s="113">
        <v>15</v>
      </c>
      <c r="R63" s="113"/>
      <c r="S63" s="113"/>
      <c r="T63" s="146"/>
      <c r="U63" s="148">
        <f t="shared" si="1"/>
        <v>15</v>
      </c>
      <c r="V63" s="149">
        <f t="shared" si="2"/>
        <v>15</v>
      </c>
      <c r="W63" s="189"/>
      <c r="X63" s="199"/>
      <c r="Y63" s="151"/>
      <c r="Z63" s="190"/>
      <c r="AA63" s="153"/>
      <c r="AB63" s="154">
        <f t="shared" si="3"/>
        <v>0</v>
      </c>
      <c r="AC63" s="149">
        <f t="shared" si="4"/>
        <v>0</v>
      </c>
      <c r="AD63" s="125">
        <v>2</v>
      </c>
      <c r="AE63" s="148">
        <f t="shared" si="13"/>
        <v>2</v>
      </c>
      <c r="AF63" s="156"/>
      <c r="AG63" s="156"/>
      <c r="AH63" s="113">
        <f t="shared" si="11"/>
        <v>17</v>
      </c>
      <c r="AI63" s="157">
        <v>65</v>
      </c>
      <c r="AJ63" s="113">
        <f t="shared" si="5"/>
        <v>82</v>
      </c>
      <c r="AK63" s="113">
        <f t="shared" si="6"/>
        <v>82</v>
      </c>
      <c r="AL63" s="158">
        <f t="shared" si="7"/>
        <v>1.02</v>
      </c>
      <c r="AM63" s="159"/>
      <c r="AN63" s="160">
        <f t="shared" si="15"/>
        <v>1</v>
      </c>
      <c r="AO63" s="160">
        <f t="shared" si="15"/>
        <v>2</v>
      </c>
      <c r="AP63" s="133"/>
      <c r="AQ63" s="134"/>
      <c r="AR63" s="161"/>
      <c r="AS63" s="161"/>
      <c r="AT63" s="161"/>
      <c r="AU63" s="161"/>
      <c r="AV63" s="162"/>
      <c r="AW63" s="137">
        <f t="shared" si="9"/>
        <v>0</v>
      </c>
      <c r="AX63" s="137">
        <f t="shared" si="10"/>
        <v>0</v>
      </c>
    </row>
    <row r="64" ht="46.5" customHeight="1" spans="1:50" s="97" customFormat="1" x14ac:dyDescent="0.25">
      <c r="A64" s="100"/>
      <c r="B64" s="100"/>
      <c r="C64" s="100"/>
      <c r="D64" s="100"/>
      <c r="E64" s="100"/>
      <c r="F64" s="100"/>
      <c r="G64" s="103"/>
      <c r="H64" s="186"/>
      <c r="I64" s="195">
        <v>0.51</v>
      </c>
      <c r="J64" s="107">
        <v>0.49</v>
      </c>
      <c r="K64" s="107"/>
      <c r="L64" s="107"/>
      <c r="M64" s="187"/>
      <c r="N64" s="169">
        <f t="shared" si="14"/>
        <v>1</v>
      </c>
      <c r="O64" s="144">
        <v>1</v>
      </c>
      <c r="P64" s="145">
        <v>15</v>
      </c>
      <c r="Q64" s="113">
        <v>15</v>
      </c>
      <c r="R64" s="113"/>
      <c r="S64" s="113"/>
      <c r="T64" s="146"/>
      <c r="U64" s="148">
        <f t="shared" si="1"/>
        <v>15</v>
      </c>
      <c r="V64" s="149">
        <f t="shared" si="2"/>
        <v>15</v>
      </c>
      <c r="W64" s="189"/>
      <c r="X64" s="199"/>
      <c r="Y64" s="151"/>
      <c r="Z64" s="190"/>
      <c r="AA64" s="153"/>
      <c r="AB64" s="154">
        <f t="shared" si="3"/>
        <v>0</v>
      </c>
      <c r="AC64" s="149">
        <f t="shared" si="4"/>
        <v>0</v>
      </c>
      <c r="AD64" s="125">
        <v>2</v>
      </c>
      <c r="AE64" s="148">
        <f t="shared" si="13"/>
        <v>2</v>
      </c>
      <c r="AF64" s="156"/>
      <c r="AG64" s="156"/>
      <c r="AH64" s="113">
        <f t="shared" si="11"/>
        <v>17</v>
      </c>
      <c r="AI64" s="157">
        <v>65</v>
      </c>
      <c r="AJ64" s="113">
        <f t="shared" si="5"/>
        <v>82</v>
      </c>
      <c r="AK64" s="113">
        <f t="shared" si="6"/>
        <v>82</v>
      </c>
      <c r="AL64" s="158">
        <f t="shared" si="7"/>
        <v>1.02</v>
      </c>
      <c r="AM64" s="159"/>
      <c r="AN64" s="160">
        <f t="shared" si="15"/>
        <v>1</v>
      </c>
      <c r="AO64" s="160">
        <f t="shared" si="15"/>
        <v>2</v>
      </c>
      <c r="AP64" s="133"/>
      <c r="AQ64" s="134"/>
      <c r="AR64" s="161"/>
      <c r="AS64" s="161"/>
      <c r="AT64" s="161"/>
      <c r="AU64" s="161"/>
      <c r="AV64" s="162"/>
      <c r="AW64" s="137">
        <f t="shared" si="9"/>
        <v>0</v>
      </c>
      <c r="AX64" s="137">
        <f t="shared" si="10"/>
        <v>0</v>
      </c>
    </row>
    <row r="65" ht="46.5" customHeight="1" spans="1:50" s="97" customFormat="1" x14ac:dyDescent="0.25">
      <c r="A65" s="100"/>
      <c r="B65" s="100"/>
      <c r="C65" s="100"/>
      <c r="D65" s="100"/>
      <c r="E65" s="100"/>
      <c r="F65" s="100"/>
      <c r="G65" s="103"/>
      <c r="H65" s="186"/>
      <c r="I65" s="195">
        <v>0.51</v>
      </c>
      <c r="J65" s="107">
        <v>0.49</v>
      </c>
      <c r="K65" s="107"/>
      <c r="L65" s="107"/>
      <c r="M65" s="187"/>
      <c r="N65" s="169">
        <f t="shared" si="14"/>
        <v>1</v>
      </c>
      <c r="O65" s="144">
        <v>1</v>
      </c>
      <c r="P65" s="145">
        <v>15</v>
      </c>
      <c r="Q65" s="113">
        <v>15</v>
      </c>
      <c r="R65" s="113"/>
      <c r="S65" s="113"/>
      <c r="T65" s="146"/>
      <c r="U65" s="148">
        <f t="shared" si="1"/>
        <v>15</v>
      </c>
      <c r="V65" s="149">
        <f t="shared" si="2"/>
        <v>15</v>
      </c>
      <c r="W65" s="189"/>
      <c r="X65" s="199"/>
      <c r="Y65" s="151"/>
      <c r="Z65" s="190"/>
      <c r="AA65" s="153"/>
      <c r="AB65" s="154">
        <f t="shared" si="3"/>
        <v>0</v>
      </c>
      <c r="AC65" s="149">
        <f t="shared" si="4"/>
        <v>0</v>
      </c>
      <c r="AD65" s="125">
        <v>2</v>
      </c>
      <c r="AE65" s="148">
        <f t="shared" si="13"/>
        <v>2</v>
      </c>
      <c r="AF65" s="156"/>
      <c r="AG65" s="156"/>
      <c r="AH65" s="113">
        <f t="shared" si="11"/>
        <v>17</v>
      </c>
      <c r="AI65" s="157">
        <v>65</v>
      </c>
      <c r="AJ65" s="113">
        <f t="shared" si="5"/>
        <v>82</v>
      </c>
      <c r="AK65" s="113">
        <f t="shared" si="6"/>
        <v>82</v>
      </c>
      <c r="AL65" s="158">
        <f t="shared" si="7"/>
        <v>1.02</v>
      </c>
      <c r="AM65" s="159"/>
      <c r="AN65" s="160">
        <f t="shared" si="15"/>
        <v>1</v>
      </c>
      <c r="AO65" s="160">
        <f t="shared" si="15"/>
        <v>2</v>
      </c>
      <c r="AP65" s="133"/>
      <c r="AQ65" s="134"/>
      <c r="AR65" s="161"/>
      <c r="AS65" s="161"/>
      <c r="AT65" s="161"/>
      <c r="AU65" s="161"/>
      <c r="AV65" s="162"/>
      <c r="AW65" s="137">
        <f t="shared" si="9"/>
        <v>0</v>
      </c>
      <c r="AX65" s="137">
        <f t="shared" si="10"/>
        <v>0</v>
      </c>
    </row>
    <row r="66" ht="46.5" customHeight="1" spans="1:50" s="97" customFormat="1" x14ac:dyDescent="0.25">
      <c r="A66" s="100"/>
      <c r="B66" s="100"/>
      <c r="C66" s="100"/>
      <c r="D66" s="100"/>
      <c r="E66" s="100"/>
      <c r="F66" s="100"/>
      <c r="G66" s="103"/>
      <c r="H66" s="186"/>
      <c r="I66" s="195">
        <v>0.51</v>
      </c>
      <c r="J66" s="107">
        <v>0.49</v>
      </c>
      <c r="K66" s="107"/>
      <c r="L66" s="107"/>
      <c r="M66" s="187"/>
      <c r="N66" s="169">
        <f t="shared" si="14"/>
        <v>1</v>
      </c>
      <c r="O66" s="144">
        <v>1</v>
      </c>
      <c r="P66" s="145">
        <v>15</v>
      </c>
      <c r="Q66" s="113">
        <v>15</v>
      </c>
      <c r="R66" s="113"/>
      <c r="S66" s="113"/>
      <c r="T66" s="146"/>
      <c r="U66" s="148">
        <f t="shared" si="1"/>
        <v>15</v>
      </c>
      <c r="V66" s="149">
        <f t="shared" si="2"/>
        <v>15</v>
      </c>
      <c r="W66" s="189"/>
      <c r="X66" s="199"/>
      <c r="Y66" s="151"/>
      <c r="Z66" s="190"/>
      <c r="AA66" s="153"/>
      <c r="AB66" s="154">
        <f t="shared" si="3"/>
        <v>0</v>
      </c>
      <c r="AC66" s="149">
        <f t="shared" si="4"/>
        <v>0</v>
      </c>
      <c r="AD66" s="125">
        <v>2</v>
      </c>
      <c r="AE66" s="148">
        <f t="shared" si="13"/>
        <v>2</v>
      </c>
      <c r="AF66" s="156"/>
      <c r="AG66" s="156"/>
      <c r="AH66" s="113">
        <f t="shared" si="11"/>
        <v>17</v>
      </c>
      <c r="AI66" s="157">
        <v>65</v>
      </c>
      <c r="AJ66" s="113">
        <f t="shared" si="5"/>
        <v>82</v>
      </c>
      <c r="AK66" s="113">
        <f t="shared" si="6"/>
        <v>82</v>
      </c>
      <c r="AL66" s="158">
        <f t="shared" si="7"/>
        <v>1.02</v>
      </c>
      <c r="AM66" s="159"/>
      <c r="AN66" s="160">
        <f t="shared" si="15"/>
        <v>1</v>
      </c>
      <c r="AO66" s="160">
        <f t="shared" si="15"/>
        <v>2</v>
      </c>
      <c r="AP66" s="133"/>
      <c r="AQ66" s="134"/>
      <c r="AR66" s="161"/>
      <c r="AS66" s="161"/>
      <c r="AT66" s="161"/>
      <c r="AU66" s="161"/>
      <c r="AV66" s="162"/>
      <c r="AW66" s="137">
        <f t="shared" si="9"/>
        <v>0</v>
      </c>
      <c r="AX66" s="137">
        <f t="shared" si="10"/>
        <v>0</v>
      </c>
    </row>
    <row r="67" ht="46.5" customHeight="1" spans="1:50" s="97" customFormat="1" x14ac:dyDescent="0.25">
      <c r="A67" s="100"/>
      <c r="B67" s="100"/>
      <c r="C67" s="100"/>
      <c r="D67" s="100"/>
      <c r="E67" s="100"/>
      <c r="F67" s="100"/>
      <c r="G67" s="103"/>
      <c r="H67" s="186"/>
      <c r="I67" s="195">
        <v>0.51</v>
      </c>
      <c r="J67" s="107">
        <v>0.49</v>
      </c>
      <c r="K67" s="107"/>
      <c r="L67" s="107"/>
      <c r="M67" s="187"/>
      <c r="N67" s="169">
        <f t="shared" si="14"/>
        <v>1</v>
      </c>
      <c r="O67" s="144">
        <v>1</v>
      </c>
      <c r="P67" s="145">
        <v>15</v>
      </c>
      <c r="Q67" s="113">
        <v>15</v>
      </c>
      <c r="R67" s="113"/>
      <c r="S67" s="113"/>
      <c r="T67" s="146"/>
      <c r="U67" s="148">
        <f t="shared" si="1"/>
        <v>15</v>
      </c>
      <c r="V67" s="149">
        <f t="shared" si="2"/>
        <v>15</v>
      </c>
      <c r="W67" s="189"/>
      <c r="X67" s="199"/>
      <c r="Y67" s="151"/>
      <c r="Z67" s="190"/>
      <c r="AA67" s="153"/>
      <c r="AB67" s="154">
        <f t="shared" si="3"/>
        <v>0</v>
      </c>
      <c r="AC67" s="149">
        <f t="shared" si="4"/>
        <v>0</v>
      </c>
      <c r="AD67" s="125">
        <v>2</v>
      </c>
      <c r="AE67" s="148">
        <f t="shared" si="13"/>
        <v>2</v>
      </c>
      <c r="AF67" s="156"/>
      <c r="AG67" s="156"/>
      <c r="AH67" s="113">
        <f t="shared" si="11"/>
        <v>17</v>
      </c>
      <c r="AI67" s="157">
        <v>65</v>
      </c>
      <c r="AJ67" s="113">
        <f t="shared" si="5"/>
        <v>82</v>
      </c>
      <c r="AK67" s="113">
        <f t="shared" si="6"/>
        <v>82</v>
      </c>
      <c r="AL67" s="158">
        <f t="shared" si="7"/>
        <v>1.02</v>
      </c>
      <c r="AM67" s="159"/>
      <c r="AN67" s="160">
        <f t="shared" si="15"/>
        <v>1</v>
      </c>
      <c r="AO67" s="160">
        <f t="shared" si="15"/>
        <v>2</v>
      </c>
      <c r="AP67" s="133"/>
      <c r="AQ67" s="134"/>
      <c r="AR67" s="161"/>
      <c r="AS67" s="161"/>
      <c r="AT67" s="161"/>
      <c r="AU67" s="161"/>
      <c r="AV67" s="162"/>
      <c r="AW67" s="137">
        <f t="shared" si="9"/>
        <v>0</v>
      </c>
      <c r="AX67" s="137">
        <f t="shared" si="10"/>
        <v>0</v>
      </c>
    </row>
    <row r="68" ht="46.5" customHeight="1" spans="1:50" s="97" customFormat="1" x14ac:dyDescent="0.25">
      <c r="A68" s="100"/>
      <c r="B68" s="100"/>
      <c r="C68" s="100"/>
      <c r="D68" s="100"/>
      <c r="E68" s="100"/>
      <c r="F68" s="100"/>
      <c r="G68" s="103"/>
      <c r="H68" s="186"/>
      <c r="I68" s="195">
        <v>0.51</v>
      </c>
      <c r="J68" s="107">
        <v>0.49</v>
      </c>
      <c r="K68" s="107"/>
      <c r="L68" s="107"/>
      <c r="M68" s="187"/>
      <c r="N68" s="169">
        <f t="shared" si="14"/>
        <v>1</v>
      </c>
      <c r="O68" s="144">
        <v>1</v>
      </c>
      <c r="P68" s="145">
        <v>15</v>
      </c>
      <c r="Q68" s="113">
        <v>15</v>
      </c>
      <c r="R68" s="113"/>
      <c r="S68" s="113"/>
      <c r="T68" s="146"/>
      <c r="U68" s="148">
        <f t="shared" si="1"/>
        <v>15</v>
      </c>
      <c r="V68" s="149">
        <f t="shared" si="2"/>
        <v>15</v>
      </c>
      <c r="W68" s="189"/>
      <c r="X68" s="199"/>
      <c r="Y68" s="151"/>
      <c r="Z68" s="190"/>
      <c r="AA68" s="153"/>
      <c r="AB68" s="154">
        <f t="shared" si="3"/>
        <v>0</v>
      </c>
      <c r="AC68" s="149">
        <f t="shared" si="4"/>
        <v>0</v>
      </c>
      <c r="AD68" s="125">
        <v>2</v>
      </c>
      <c r="AE68" s="148">
        <f t="shared" si="13"/>
        <v>2</v>
      </c>
      <c r="AF68" s="156"/>
      <c r="AG68" s="156"/>
      <c r="AH68" s="113">
        <f t="shared" si="11"/>
        <v>17</v>
      </c>
      <c r="AI68" s="157">
        <v>65</v>
      </c>
      <c r="AJ68" s="113">
        <f t="shared" si="5"/>
        <v>82</v>
      </c>
      <c r="AK68" s="113">
        <f t="shared" si="6"/>
        <v>82</v>
      </c>
      <c r="AL68" s="158">
        <f t="shared" si="7"/>
        <v>1.02</v>
      </c>
      <c r="AM68" s="159"/>
      <c r="AN68" s="160">
        <f t="shared" si="15"/>
        <v>1</v>
      </c>
      <c r="AO68" s="160">
        <f t="shared" si="15"/>
        <v>2</v>
      </c>
      <c r="AP68" s="133"/>
      <c r="AQ68" s="134"/>
      <c r="AR68" s="161"/>
      <c r="AS68" s="161"/>
      <c r="AT68" s="161"/>
      <c r="AU68" s="161"/>
      <c r="AV68" s="162"/>
      <c r="AW68" s="137">
        <f t="shared" si="9"/>
        <v>0</v>
      </c>
      <c r="AX68" s="137">
        <f t="shared" si="10"/>
        <v>0</v>
      </c>
    </row>
    <row r="69" ht="46.5" customHeight="1" spans="1:50" s="97" customFormat="1" x14ac:dyDescent="0.25">
      <c r="A69" s="100"/>
      <c r="B69" s="100"/>
      <c r="C69" s="100"/>
      <c r="D69" s="100"/>
      <c r="E69" s="100"/>
      <c r="F69" s="100"/>
      <c r="G69" s="103"/>
      <c r="H69" s="186"/>
      <c r="I69" s="195">
        <v>0.51</v>
      </c>
      <c r="J69" s="107">
        <v>0.49</v>
      </c>
      <c r="K69" s="107"/>
      <c r="L69" s="107"/>
      <c r="M69" s="187"/>
      <c r="N69" s="169">
        <f t="shared" si="14"/>
        <v>1</v>
      </c>
      <c r="O69" s="144">
        <v>1</v>
      </c>
      <c r="P69" s="145">
        <v>15</v>
      </c>
      <c r="Q69" s="113">
        <v>15</v>
      </c>
      <c r="R69" s="113"/>
      <c r="S69" s="113"/>
      <c r="T69" s="146"/>
      <c r="U69" s="148">
        <f t="shared" si="1"/>
        <v>15</v>
      </c>
      <c r="V69" s="149">
        <f t="shared" si="2"/>
        <v>15</v>
      </c>
      <c r="W69" s="189"/>
      <c r="X69" s="199"/>
      <c r="Y69" s="151"/>
      <c r="Z69" s="190"/>
      <c r="AA69" s="153"/>
      <c r="AB69" s="154">
        <f t="shared" si="3"/>
        <v>0</v>
      </c>
      <c r="AC69" s="149">
        <f t="shared" si="4"/>
        <v>0</v>
      </c>
      <c r="AD69" s="125">
        <v>2</v>
      </c>
      <c r="AE69" s="148">
        <f t="shared" si="13"/>
        <v>2</v>
      </c>
      <c r="AF69" s="156"/>
      <c r="AG69" s="156"/>
      <c r="AH69" s="113">
        <f t="shared" si="11"/>
        <v>17</v>
      </c>
      <c r="AI69" s="157">
        <v>65</v>
      </c>
      <c r="AJ69" s="113">
        <f t="shared" si="5"/>
        <v>82</v>
      </c>
      <c r="AK69" s="113">
        <f t="shared" si="6"/>
        <v>82</v>
      </c>
      <c r="AL69" s="158">
        <f t="shared" si="7"/>
        <v>1.02</v>
      </c>
      <c r="AM69" s="159"/>
      <c r="AN69" s="160">
        <f t="shared" si="15"/>
        <v>1</v>
      </c>
      <c r="AO69" s="160">
        <f t="shared" si="15"/>
        <v>2</v>
      </c>
      <c r="AP69" s="133"/>
      <c r="AQ69" s="134"/>
      <c r="AR69" s="161"/>
      <c r="AS69" s="161"/>
      <c r="AT69" s="161"/>
      <c r="AU69" s="161"/>
      <c r="AV69" s="162"/>
      <c r="AW69" s="137">
        <f t="shared" si="9"/>
        <v>0</v>
      </c>
      <c r="AX69" s="137">
        <f t="shared" si="10"/>
        <v>0</v>
      </c>
    </row>
    <row r="70" ht="46.5" customHeight="1" spans="1:50" s="97" customFormat="1" x14ac:dyDescent="0.25">
      <c r="A70" s="100"/>
      <c r="B70" s="100"/>
      <c r="C70" s="100"/>
      <c r="D70" s="100"/>
      <c r="E70" s="100"/>
      <c r="F70" s="100"/>
      <c r="G70" s="103"/>
      <c r="H70" s="186"/>
      <c r="I70" s="195">
        <v>0.51</v>
      </c>
      <c r="J70" s="107">
        <v>0.49</v>
      </c>
      <c r="K70" s="107"/>
      <c r="L70" s="107"/>
      <c r="M70" s="187"/>
      <c r="N70" s="169">
        <f t="shared" si="14"/>
        <v>1</v>
      </c>
      <c r="O70" s="144">
        <v>1</v>
      </c>
      <c r="P70" s="145">
        <v>15</v>
      </c>
      <c r="Q70" s="113">
        <v>15</v>
      </c>
      <c r="R70" s="113"/>
      <c r="S70" s="113"/>
      <c r="T70" s="146"/>
      <c r="U70" s="148">
        <f t="shared" si="1"/>
        <v>15</v>
      </c>
      <c r="V70" s="149">
        <f t="shared" si="2"/>
        <v>15</v>
      </c>
      <c r="W70" s="189"/>
      <c r="X70" s="199"/>
      <c r="Y70" s="151"/>
      <c r="Z70" s="190"/>
      <c r="AA70" s="153"/>
      <c r="AB70" s="154">
        <f t="shared" si="3"/>
        <v>0</v>
      </c>
      <c r="AC70" s="149">
        <f t="shared" si="4"/>
        <v>0</v>
      </c>
      <c r="AD70" s="125">
        <v>2</v>
      </c>
      <c r="AE70" s="148">
        <f t="shared" si="13"/>
        <v>2</v>
      </c>
      <c r="AF70" s="156"/>
      <c r="AG70" s="156"/>
      <c r="AH70" s="113">
        <f t="shared" si="11"/>
        <v>17</v>
      </c>
      <c r="AI70" s="157">
        <v>65</v>
      </c>
      <c r="AJ70" s="113">
        <f t="shared" si="5"/>
        <v>82</v>
      </c>
      <c r="AK70" s="113">
        <f t="shared" si="6"/>
        <v>82</v>
      </c>
      <c r="AL70" s="158">
        <f t="shared" si="7"/>
        <v>1.02</v>
      </c>
      <c r="AM70" s="159"/>
      <c r="AN70" s="160">
        <f t="shared" si="15"/>
        <v>1</v>
      </c>
      <c r="AO70" s="160">
        <f t="shared" si="15"/>
        <v>2</v>
      </c>
      <c r="AP70" s="133"/>
      <c r="AQ70" s="134"/>
      <c r="AR70" s="161"/>
      <c r="AS70" s="161"/>
      <c r="AT70" s="161"/>
      <c r="AU70" s="161"/>
      <c r="AV70" s="162"/>
      <c r="AW70" s="137">
        <f t="shared" si="9"/>
        <v>0</v>
      </c>
      <c r="AX70" s="137">
        <f t="shared" si="10"/>
        <v>0</v>
      </c>
    </row>
    <row r="71" ht="46.5" customHeight="1" spans="1:50" s="97" customFormat="1" x14ac:dyDescent="0.25">
      <c r="A71" s="100"/>
      <c r="B71" s="100"/>
      <c r="C71" s="100"/>
      <c r="D71" s="100"/>
      <c r="E71" s="100"/>
      <c r="F71" s="100"/>
      <c r="G71" s="103"/>
      <c r="H71" s="186"/>
      <c r="I71" s="195">
        <v>0.51</v>
      </c>
      <c r="J71" s="107">
        <v>0.49</v>
      </c>
      <c r="K71" s="107"/>
      <c r="L71" s="107"/>
      <c r="M71" s="187"/>
      <c r="N71" s="169">
        <f t="shared" si="14"/>
        <v>1</v>
      </c>
      <c r="O71" s="144">
        <v>1</v>
      </c>
      <c r="P71" s="145">
        <v>15</v>
      </c>
      <c r="Q71" s="113">
        <v>15</v>
      </c>
      <c r="R71" s="113"/>
      <c r="S71" s="113"/>
      <c r="T71" s="146"/>
      <c r="U71" s="148">
        <f t="shared" si="1"/>
        <v>15</v>
      </c>
      <c r="V71" s="149">
        <f t="shared" si="2"/>
        <v>15</v>
      </c>
      <c r="W71" s="189"/>
      <c r="X71" s="199"/>
      <c r="Y71" s="151"/>
      <c r="Z71" s="190"/>
      <c r="AA71" s="153"/>
      <c r="AB71" s="154">
        <f t="shared" si="3"/>
        <v>0</v>
      </c>
      <c r="AC71" s="149">
        <f t="shared" si="4"/>
        <v>0</v>
      </c>
      <c r="AD71" s="125">
        <v>2</v>
      </c>
      <c r="AE71" s="148">
        <f t="shared" si="13"/>
        <v>2</v>
      </c>
      <c r="AF71" s="156"/>
      <c r="AG71" s="156"/>
      <c r="AH71" s="113">
        <f t="shared" si="11"/>
        <v>17</v>
      </c>
      <c r="AI71" s="157">
        <v>65</v>
      </c>
      <c r="AJ71" s="113">
        <f t="shared" si="5"/>
        <v>82</v>
      </c>
      <c r="AK71" s="113">
        <f t="shared" si="6"/>
        <v>82</v>
      </c>
      <c r="AL71" s="158">
        <f t="shared" si="7"/>
        <v>1.02</v>
      </c>
      <c r="AM71" s="159"/>
      <c r="AN71" s="160">
        <f t="shared" si="15"/>
        <v>1</v>
      </c>
      <c r="AO71" s="160">
        <f t="shared" si="15"/>
        <v>2</v>
      </c>
      <c r="AP71" s="133"/>
      <c r="AQ71" s="134"/>
      <c r="AR71" s="161"/>
      <c r="AS71" s="161"/>
      <c r="AT71" s="161"/>
      <c r="AU71" s="161"/>
      <c r="AV71" s="162"/>
      <c r="AW71" s="137">
        <f t="shared" si="9"/>
        <v>0</v>
      </c>
      <c r="AX71" s="137">
        <f t="shared" si="10"/>
        <v>0</v>
      </c>
    </row>
    <row r="72" ht="46.5" customHeight="1" spans="1:50" s="97" customFormat="1" x14ac:dyDescent="0.25">
      <c r="A72" s="100"/>
      <c r="B72" s="100"/>
      <c r="C72" s="100"/>
      <c r="D72" s="100"/>
      <c r="E72" s="100"/>
      <c r="F72" s="100"/>
      <c r="G72" s="103"/>
      <c r="H72" s="186"/>
      <c r="I72" s="195">
        <v>0.51</v>
      </c>
      <c r="J72" s="107">
        <v>0.49</v>
      </c>
      <c r="K72" s="107"/>
      <c r="L72" s="107"/>
      <c r="M72" s="187"/>
      <c r="N72" s="169">
        <f t="shared" si="14"/>
        <v>1</v>
      </c>
      <c r="O72" s="144">
        <v>1</v>
      </c>
      <c r="P72" s="145">
        <v>15</v>
      </c>
      <c r="Q72" s="113">
        <v>15</v>
      </c>
      <c r="R72" s="113"/>
      <c r="S72" s="113"/>
      <c r="T72" s="146"/>
      <c r="U72" s="148">
        <f t="shared" si="1"/>
        <v>15</v>
      </c>
      <c r="V72" s="149">
        <f t="shared" si="2"/>
        <v>15</v>
      </c>
      <c r="W72" s="189"/>
      <c r="X72" s="199"/>
      <c r="Y72" s="151"/>
      <c r="Z72" s="190"/>
      <c r="AA72" s="153"/>
      <c r="AB72" s="154">
        <f t="shared" si="3"/>
        <v>0</v>
      </c>
      <c r="AC72" s="149">
        <f t="shared" si="4"/>
        <v>0</v>
      </c>
      <c r="AD72" s="125">
        <v>2</v>
      </c>
      <c r="AE72" s="148">
        <f t="shared" si="13"/>
        <v>2</v>
      </c>
      <c r="AF72" s="156"/>
      <c r="AG72" s="156"/>
      <c r="AH72" s="113">
        <f t="shared" si="11"/>
        <v>17</v>
      </c>
      <c r="AI72" s="157">
        <v>65</v>
      </c>
      <c r="AJ72" s="113">
        <f t="shared" si="5"/>
        <v>82</v>
      </c>
      <c r="AK72" s="113">
        <f t="shared" si="6"/>
        <v>82</v>
      </c>
      <c r="AL72" s="158">
        <f t="shared" si="7"/>
        <v>1.02</v>
      </c>
      <c r="AM72" s="159"/>
      <c r="AN72" s="160">
        <f t="shared" si="15"/>
        <v>1</v>
      </c>
      <c r="AO72" s="160">
        <f t="shared" si="15"/>
        <v>2</v>
      </c>
      <c r="AP72" s="133"/>
      <c r="AQ72" s="134"/>
      <c r="AR72" s="161"/>
      <c r="AS72" s="161"/>
      <c r="AT72" s="161"/>
      <c r="AU72" s="161"/>
      <c r="AV72" s="162"/>
      <c r="AW72" s="137">
        <f t="shared" si="9"/>
        <v>0</v>
      </c>
      <c r="AX72" s="137">
        <f t="shared" si="10"/>
        <v>0</v>
      </c>
    </row>
    <row r="73" ht="46.5" customHeight="1" spans="1:50" s="97" customFormat="1" x14ac:dyDescent="0.25">
      <c r="A73" s="100"/>
      <c r="B73" s="100"/>
      <c r="C73" s="100"/>
      <c r="D73" s="100"/>
      <c r="E73" s="100"/>
      <c r="F73" s="100"/>
      <c r="G73" s="103"/>
      <c r="H73" s="186"/>
      <c r="I73" s="195">
        <v>0.51</v>
      </c>
      <c r="J73" s="107">
        <v>0.49</v>
      </c>
      <c r="K73" s="107"/>
      <c r="L73" s="107"/>
      <c r="M73" s="187"/>
      <c r="N73" s="169">
        <f t="shared" si="14"/>
        <v>1</v>
      </c>
      <c r="O73" s="144">
        <v>1</v>
      </c>
      <c r="P73" s="145">
        <v>15</v>
      </c>
      <c r="Q73" s="113">
        <v>15</v>
      </c>
      <c r="R73" s="113"/>
      <c r="S73" s="113"/>
      <c r="T73" s="146"/>
      <c r="U73" s="148">
        <f t="shared" si="1"/>
        <v>15</v>
      </c>
      <c r="V73" s="149">
        <f t="shared" si="2"/>
        <v>15</v>
      </c>
      <c r="W73" s="189"/>
      <c r="X73" s="199"/>
      <c r="Y73" s="151"/>
      <c r="Z73" s="190"/>
      <c r="AA73" s="153"/>
      <c r="AB73" s="154">
        <f t="shared" si="3"/>
        <v>0</v>
      </c>
      <c r="AC73" s="149">
        <f t="shared" si="4"/>
        <v>0</v>
      </c>
      <c r="AD73" s="125">
        <v>2</v>
      </c>
      <c r="AE73" s="148">
        <f t="shared" si="13"/>
        <v>2</v>
      </c>
      <c r="AF73" s="156"/>
      <c r="AG73" s="156"/>
      <c r="AH73" s="113">
        <f t="shared" si="11"/>
        <v>17</v>
      </c>
      <c r="AI73" s="157">
        <v>65</v>
      </c>
      <c r="AJ73" s="113">
        <f t="shared" si="5"/>
        <v>82</v>
      </c>
      <c r="AK73" s="113">
        <f t="shared" si="6"/>
        <v>82</v>
      </c>
      <c r="AL73" s="158">
        <f t="shared" si="7"/>
        <v>1.02</v>
      </c>
      <c r="AM73" s="159"/>
      <c r="AN73" s="160">
        <f t="shared" ref="AN73:AO92" si="16">100%+AM73</f>
        <v>1</v>
      </c>
      <c r="AO73" s="160">
        <f t="shared" si="16"/>
        <v>2</v>
      </c>
      <c r="AP73" s="133"/>
      <c r="AQ73" s="134"/>
      <c r="AR73" s="161"/>
      <c r="AS73" s="161"/>
      <c r="AT73" s="161"/>
      <c r="AU73" s="161"/>
      <c r="AV73" s="162"/>
      <c r="AW73" s="137">
        <f t="shared" si="9"/>
        <v>0</v>
      </c>
      <c r="AX73" s="137">
        <f t="shared" si="10"/>
        <v>0</v>
      </c>
    </row>
    <row r="74" ht="46.5" customHeight="1" spans="1:50" s="97" customFormat="1" x14ac:dyDescent="0.25">
      <c r="A74" s="100"/>
      <c r="B74" s="100"/>
      <c r="C74" s="100"/>
      <c r="D74" s="100"/>
      <c r="E74" s="100"/>
      <c r="F74" s="100"/>
      <c r="G74" s="103"/>
      <c r="H74" s="186"/>
      <c r="I74" s="195">
        <v>0.51</v>
      </c>
      <c r="J74" s="107">
        <v>0.49</v>
      </c>
      <c r="K74" s="107"/>
      <c r="L74" s="107"/>
      <c r="M74" s="187"/>
      <c r="N74" s="169">
        <f t="shared" si="14"/>
        <v>1</v>
      </c>
      <c r="O74" s="144">
        <v>1</v>
      </c>
      <c r="P74" s="145">
        <v>15</v>
      </c>
      <c r="Q74" s="113">
        <v>15</v>
      </c>
      <c r="R74" s="113"/>
      <c r="S74" s="113"/>
      <c r="T74" s="146"/>
      <c r="U74" s="148">
        <f t="shared" si="1"/>
        <v>15</v>
      </c>
      <c r="V74" s="149">
        <f t="shared" si="2"/>
        <v>15</v>
      </c>
      <c r="W74" s="189"/>
      <c r="X74" s="199"/>
      <c r="Y74" s="151"/>
      <c r="Z74" s="190"/>
      <c r="AA74" s="153"/>
      <c r="AB74" s="154">
        <f t="shared" si="3"/>
        <v>0</v>
      </c>
      <c r="AC74" s="149">
        <f t="shared" si="4"/>
        <v>0</v>
      </c>
      <c r="AD74" s="125">
        <v>2</v>
      </c>
      <c r="AE74" s="148">
        <f t="shared" si="13"/>
        <v>2</v>
      </c>
      <c r="AF74" s="156"/>
      <c r="AG74" s="156"/>
      <c r="AH74" s="113">
        <f t="shared" si="11"/>
        <v>17</v>
      </c>
      <c r="AI74" s="157">
        <v>65</v>
      </c>
      <c r="AJ74" s="113">
        <f t="shared" si="5"/>
        <v>82</v>
      </c>
      <c r="AK74" s="113">
        <f t="shared" si="6"/>
        <v>82</v>
      </c>
      <c r="AL74" s="158">
        <f t="shared" si="7"/>
        <v>1.02</v>
      </c>
      <c r="AM74" s="159"/>
      <c r="AN74" s="160">
        <f t="shared" si="16"/>
        <v>1</v>
      </c>
      <c r="AO74" s="160">
        <f t="shared" si="16"/>
        <v>2</v>
      </c>
      <c r="AP74" s="133"/>
      <c r="AQ74" s="134"/>
      <c r="AR74" s="161"/>
      <c r="AS74" s="161"/>
      <c r="AT74" s="161"/>
      <c r="AU74" s="161"/>
      <c r="AV74" s="162"/>
      <c r="AW74" s="137">
        <f t="shared" si="9"/>
        <v>0</v>
      </c>
      <c r="AX74" s="137">
        <f t="shared" si="10"/>
        <v>0</v>
      </c>
    </row>
    <row r="75" ht="46.5" customHeight="1" spans="1:50" s="97" customFormat="1" x14ac:dyDescent="0.25">
      <c r="A75" s="100"/>
      <c r="B75" s="100"/>
      <c r="C75" s="100"/>
      <c r="D75" s="100"/>
      <c r="E75" s="100"/>
      <c r="F75" s="100"/>
      <c r="G75" s="103"/>
      <c r="H75" s="186"/>
      <c r="I75" s="195">
        <v>0.51</v>
      </c>
      <c r="J75" s="107">
        <v>0.49</v>
      </c>
      <c r="K75" s="107"/>
      <c r="L75" s="107"/>
      <c r="M75" s="187"/>
      <c r="N75" s="169">
        <f t="shared" si="14"/>
        <v>1</v>
      </c>
      <c r="O75" s="144">
        <v>1</v>
      </c>
      <c r="P75" s="145">
        <v>15</v>
      </c>
      <c r="Q75" s="113">
        <v>15</v>
      </c>
      <c r="R75" s="113"/>
      <c r="S75" s="113"/>
      <c r="T75" s="146"/>
      <c r="U75" s="148">
        <f t="shared" si="1"/>
        <v>15</v>
      </c>
      <c r="V75" s="149">
        <f t="shared" si="2"/>
        <v>15</v>
      </c>
      <c r="W75" s="189"/>
      <c r="X75" s="199"/>
      <c r="Y75" s="151"/>
      <c r="Z75" s="190"/>
      <c r="AA75" s="153"/>
      <c r="AB75" s="154">
        <f t="shared" si="3"/>
        <v>0</v>
      </c>
      <c r="AC75" s="149">
        <f t="shared" si="4"/>
        <v>0</v>
      </c>
      <c r="AD75" s="125">
        <v>2</v>
      </c>
      <c r="AE75" s="148">
        <f t="shared" si="13"/>
        <v>2</v>
      </c>
      <c r="AF75" s="156"/>
      <c r="AG75" s="156"/>
      <c r="AH75" s="113">
        <f t="shared" si="11"/>
        <v>17</v>
      </c>
      <c r="AI75" s="157">
        <v>65</v>
      </c>
      <c r="AJ75" s="113">
        <f t="shared" si="5"/>
        <v>82</v>
      </c>
      <c r="AK75" s="113">
        <f t="shared" si="6"/>
        <v>82</v>
      </c>
      <c r="AL75" s="158">
        <f t="shared" si="7"/>
        <v>1.02</v>
      </c>
      <c r="AM75" s="159"/>
      <c r="AN75" s="160">
        <f t="shared" si="16"/>
        <v>1</v>
      </c>
      <c r="AO75" s="160">
        <f t="shared" si="16"/>
        <v>2</v>
      </c>
      <c r="AP75" s="133"/>
      <c r="AQ75" s="134"/>
      <c r="AR75" s="161"/>
      <c r="AS75" s="161"/>
      <c r="AT75" s="161"/>
      <c r="AU75" s="161"/>
      <c r="AV75" s="162"/>
      <c r="AW75" s="137">
        <f t="shared" si="9"/>
        <v>0</v>
      </c>
      <c r="AX75" s="137">
        <f t="shared" si="10"/>
        <v>0</v>
      </c>
    </row>
    <row r="76" ht="46.5" customHeight="1" spans="1:50" s="97" customFormat="1" x14ac:dyDescent="0.25">
      <c r="A76" s="100"/>
      <c r="B76" s="100"/>
      <c r="C76" s="100"/>
      <c r="D76" s="100"/>
      <c r="E76" s="100"/>
      <c r="F76" s="100"/>
      <c r="G76" s="103"/>
      <c r="H76" s="186"/>
      <c r="I76" s="195">
        <v>0.51</v>
      </c>
      <c r="J76" s="107">
        <v>0.49</v>
      </c>
      <c r="K76" s="107"/>
      <c r="L76" s="107"/>
      <c r="M76" s="187"/>
      <c r="N76" s="169">
        <f t="shared" si="14"/>
        <v>1</v>
      </c>
      <c r="O76" s="144">
        <v>1</v>
      </c>
      <c r="P76" s="145">
        <v>15</v>
      </c>
      <c r="Q76" s="113">
        <v>15</v>
      </c>
      <c r="R76" s="113"/>
      <c r="S76" s="113"/>
      <c r="T76" s="146"/>
      <c r="U76" s="148">
        <f t="shared" si="1"/>
        <v>15</v>
      </c>
      <c r="V76" s="149">
        <f t="shared" si="2"/>
        <v>15</v>
      </c>
      <c r="W76" s="189"/>
      <c r="X76" s="199"/>
      <c r="Y76" s="151"/>
      <c r="Z76" s="190"/>
      <c r="AA76" s="153"/>
      <c r="AB76" s="154">
        <f t="shared" si="3"/>
        <v>0</v>
      </c>
      <c r="AC76" s="149">
        <f t="shared" si="4"/>
        <v>0</v>
      </c>
      <c r="AD76" s="125">
        <v>2</v>
      </c>
      <c r="AE76" s="148">
        <f t="shared" si="13"/>
        <v>2</v>
      </c>
      <c r="AF76" s="156"/>
      <c r="AG76" s="156"/>
      <c r="AH76" s="113">
        <f t="shared" si="11"/>
        <v>17</v>
      </c>
      <c r="AI76" s="157">
        <v>65</v>
      </c>
      <c r="AJ76" s="113">
        <f t="shared" si="5"/>
        <v>82</v>
      </c>
      <c r="AK76" s="113">
        <f t="shared" si="6"/>
        <v>82</v>
      </c>
      <c r="AL76" s="158">
        <f t="shared" si="7"/>
        <v>1.02</v>
      </c>
      <c r="AM76" s="159"/>
      <c r="AN76" s="160">
        <f t="shared" si="16"/>
        <v>1</v>
      </c>
      <c r="AO76" s="160">
        <f t="shared" si="16"/>
        <v>2</v>
      </c>
      <c r="AP76" s="133"/>
      <c r="AQ76" s="134"/>
      <c r="AR76" s="161"/>
      <c r="AS76" s="161"/>
      <c r="AT76" s="161"/>
      <c r="AU76" s="161"/>
      <c r="AV76" s="162"/>
      <c r="AW76" s="137">
        <f t="shared" si="9"/>
        <v>0</v>
      </c>
      <c r="AX76" s="137">
        <f t="shared" si="10"/>
        <v>0</v>
      </c>
    </row>
    <row r="77" ht="46.5" customHeight="1" spans="1:50" s="97" customFormat="1" x14ac:dyDescent="0.25">
      <c r="A77" s="100"/>
      <c r="B77" s="100"/>
      <c r="C77" s="100"/>
      <c r="D77" s="100"/>
      <c r="E77" s="100"/>
      <c r="F77" s="100"/>
      <c r="G77" s="103"/>
      <c r="H77" s="186"/>
      <c r="I77" s="195">
        <v>0.51</v>
      </c>
      <c r="J77" s="107">
        <v>0.49</v>
      </c>
      <c r="K77" s="107"/>
      <c r="L77" s="107"/>
      <c r="M77" s="187"/>
      <c r="N77" s="169">
        <f t="shared" si="14"/>
        <v>1</v>
      </c>
      <c r="O77" s="144">
        <v>1</v>
      </c>
      <c r="P77" s="145">
        <v>15</v>
      </c>
      <c r="Q77" s="113">
        <v>15</v>
      </c>
      <c r="R77" s="113"/>
      <c r="S77" s="113"/>
      <c r="T77" s="146"/>
      <c r="U77" s="148">
        <f t="shared" ref="U77:U138" si="17">ROUND(((P77*I77)+(Q77*J77)+(R77*K77)+(S77*L77)+(T77*M77))*O77,2)</f>
        <v>15</v>
      </c>
      <c r="V77" s="149">
        <f t="shared" ref="V77:V138" si="18">IF(U77&gt;=15,15,U77)</f>
        <v>15</v>
      </c>
      <c r="W77" s="189"/>
      <c r="X77" s="199"/>
      <c r="Y77" s="151"/>
      <c r="Z77" s="190"/>
      <c r="AA77" s="153"/>
      <c r="AB77" s="154">
        <f t="shared" ref="AB77:AB138" si="19">ROUND((((W77*I77)+(X77*J77)+(Y77*K77)+(Z77*L77)+(AA77*M77))/$I$2),2)*13</f>
        <v>0</v>
      </c>
      <c r="AC77" s="149">
        <f t="shared" ref="AC77:AC138" si="20">IF(AB77&gt;=13,13,AB77)</f>
        <v>0</v>
      </c>
      <c r="AD77" s="125">
        <v>2</v>
      </c>
      <c r="AE77" s="148">
        <f t="shared" ref="AE77:AE138" si="21">IF((AC77+AD77)&gt;=15,15,(AC77+AD77))</f>
        <v>2</v>
      </c>
      <c r="AF77" s="156"/>
      <c r="AG77" s="156"/>
      <c r="AH77" s="113">
        <f t="shared" ref="AH77:AH138" si="22">IF((V77+AE77+AF77)&gt;=30,30,(V77+AE77+AF77))</f>
        <v>17</v>
      </c>
      <c r="AI77" s="157">
        <v>65</v>
      </c>
      <c r="AJ77" s="113">
        <f t="shared" ref="AJ77:AJ138" si="23">V77+AE77+AF77+AI77+AG77</f>
        <v>82</v>
      </c>
      <c r="AK77" s="113">
        <f t="shared" ref="AK77:AK138" si="24">IF(AH77+AI77+AG77&gt;=95,95,AH77+AI77+AG77)</f>
        <v>82</v>
      </c>
      <c r="AL77" s="158">
        <f t="shared" ref="AL77:AL138" si="25">-((50-((176+(45+(50-AH77)))))/200)</f>
        <v>1.02</v>
      </c>
      <c r="AM77" s="159"/>
      <c r="AN77" s="160">
        <f t="shared" si="16"/>
        <v>1</v>
      </c>
      <c r="AO77" s="160">
        <f t="shared" si="16"/>
        <v>2</v>
      </c>
      <c r="AP77" s="133"/>
      <c r="AQ77" s="134"/>
      <c r="AR77" s="161"/>
      <c r="AS77" s="161"/>
      <c r="AT77" s="161"/>
      <c r="AU77" s="161"/>
      <c r="AV77" s="162"/>
      <c r="AW77" s="137">
        <f t="shared" ref="AW77:AW138" si="26">AR77+AS77+AT77+AU77+AV77</f>
        <v>0</v>
      </c>
      <c r="AX77" s="137">
        <f t="shared" ref="AX77:AX138" si="27">(AR77*I77)+(AS77*J77)+(AT77*K77)+(AU77*L77)+(AV77*M77)</f>
        <v>0</v>
      </c>
    </row>
    <row r="78" ht="46.5" customHeight="1" spans="1:50" s="97" customFormat="1" x14ac:dyDescent="0.25">
      <c r="A78" s="100"/>
      <c r="B78" s="100"/>
      <c r="C78" s="100"/>
      <c r="D78" s="100"/>
      <c r="E78" s="100"/>
      <c r="F78" s="100"/>
      <c r="G78" s="103"/>
      <c r="H78" s="186"/>
      <c r="I78" s="195">
        <v>0.51</v>
      </c>
      <c r="J78" s="107">
        <v>0.49</v>
      </c>
      <c r="K78" s="107"/>
      <c r="L78" s="107"/>
      <c r="M78" s="187"/>
      <c r="N78" s="169">
        <f t="shared" si="14"/>
        <v>1</v>
      </c>
      <c r="O78" s="144">
        <v>1</v>
      </c>
      <c r="P78" s="145">
        <v>15</v>
      </c>
      <c r="Q78" s="113">
        <v>15</v>
      </c>
      <c r="R78" s="113"/>
      <c r="S78" s="113"/>
      <c r="T78" s="146"/>
      <c r="U78" s="148">
        <f t="shared" si="17"/>
        <v>15</v>
      </c>
      <c r="V78" s="149">
        <f t="shared" si="18"/>
        <v>15</v>
      </c>
      <c r="W78" s="189"/>
      <c r="X78" s="199"/>
      <c r="Y78" s="151"/>
      <c r="Z78" s="190"/>
      <c r="AA78" s="153"/>
      <c r="AB78" s="154">
        <f t="shared" si="19"/>
        <v>0</v>
      </c>
      <c r="AC78" s="149">
        <f t="shared" si="20"/>
        <v>0</v>
      </c>
      <c r="AD78" s="125">
        <v>2</v>
      </c>
      <c r="AE78" s="148">
        <f t="shared" si="21"/>
        <v>2</v>
      </c>
      <c r="AF78" s="156"/>
      <c r="AG78" s="156"/>
      <c r="AH78" s="113">
        <f t="shared" si="22"/>
        <v>17</v>
      </c>
      <c r="AI78" s="157">
        <v>65</v>
      </c>
      <c r="AJ78" s="113">
        <f t="shared" si="23"/>
        <v>82</v>
      </c>
      <c r="AK78" s="113">
        <f t="shared" si="24"/>
        <v>82</v>
      </c>
      <c r="AL78" s="158">
        <f t="shared" si="25"/>
        <v>1.02</v>
      </c>
      <c r="AM78" s="159"/>
      <c r="AN78" s="160">
        <f t="shared" si="16"/>
        <v>1</v>
      </c>
      <c r="AO78" s="160">
        <f t="shared" si="16"/>
        <v>2</v>
      </c>
      <c r="AP78" s="133"/>
      <c r="AQ78" s="134"/>
      <c r="AR78" s="161"/>
      <c r="AS78" s="161"/>
      <c r="AT78" s="161"/>
      <c r="AU78" s="161"/>
      <c r="AV78" s="162"/>
      <c r="AW78" s="137">
        <f t="shared" si="26"/>
        <v>0</v>
      </c>
      <c r="AX78" s="137">
        <f t="shared" si="27"/>
        <v>0</v>
      </c>
    </row>
    <row r="79" ht="46.5" customHeight="1" spans="1:50" s="97" customFormat="1" x14ac:dyDescent="0.25">
      <c r="A79" s="100"/>
      <c r="B79" s="100"/>
      <c r="C79" s="100"/>
      <c r="D79" s="100"/>
      <c r="E79" s="100"/>
      <c r="F79" s="100"/>
      <c r="G79" s="103"/>
      <c r="H79" s="186"/>
      <c r="I79" s="195">
        <v>0.51</v>
      </c>
      <c r="J79" s="107">
        <v>0.49</v>
      </c>
      <c r="K79" s="107"/>
      <c r="L79" s="107"/>
      <c r="M79" s="187"/>
      <c r="N79" s="169">
        <f t="shared" si="14"/>
        <v>1</v>
      </c>
      <c r="O79" s="144">
        <v>1</v>
      </c>
      <c r="P79" s="145">
        <v>15</v>
      </c>
      <c r="Q79" s="113">
        <v>15</v>
      </c>
      <c r="R79" s="113"/>
      <c r="S79" s="113"/>
      <c r="T79" s="146"/>
      <c r="U79" s="148">
        <f t="shared" si="17"/>
        <v>15</v>
      </c>
      <c r="V79" s="149">
        <f t="shared" si="18"/>
        <v>15</v>
      </c>
      <c r="W79" s="189"/>
      <c r="X79" s="199"/>
      <c r="Y79" s="151"/>
      <c r="Z79" s="190"/>
      <c r="AA79" s="153"/>
      <c r="AB79" s="154">
        <f t="shared" si="19"/>
        <v>0</v>
      </c>
      <c r="AC79" s="149">
        <f t="shared" si="20"/>
        <v>0</v>
      </c>
      <c r="AD79" s="125">
        <v>2</v>
      </c>
      <c r="AE79" s="148">
        <f t="shared" si="21"/>
        <v>2</v>
      </c>
      <c r="AF79" s="156"/>
      <c r="AG79" s="156"/>
      <c r="AH79" s="113">
        <f t="shared" si="22"/>
        <v>17</v>
      </c>
      <c r="AI79" s="157">
        <v>65</v>
      </c>
      <c r="AJ79" s="113">
        <f t="shared" si="23"/>
        <v>82</v>
      </c>
      <c r="AK79" s="113">
        <f t="shared" si="24"/>
        <v>82</v>
      </c>
      <c r="AL79" s="158">
        <f t="shared" si="25"/>
        <v>1.02</v>
      </c>
      <c r="AM79" s="159"/>
      <c r="AN79" s="160">
        <f t="shared" si="16"/>
        <v>1</v>
      </c>
      <c r="AO79" s="160">
        <f t="shared" si="16"/>
        <v>2</v>
      </c>
      <c r="AP79" s="133"/>
      <c r="AQ79" s="134"/>
      <c r="AR79" s="161"/>
      <c r="AS79" s="161"/>
      <c r="AT79" s="161"/>
      <c r="AU79" s="161"/>
      <c r="AV79" s="162"/>
      <c r="AW79" s="137">
        <f t="shared" si="26"/>
        <v>0</v>
      </c>
      <c r="AX79" s="137">
        <f t="shared" si="27"/>
        <v>0</v>
      </c>
    </row>
    <row r="80" ht="46.5" customHeight="1" spans="1:50" s="97" customFormat="1" x14ac:dyDescent="0.25">
      <c r="A80" s="100"/>
      <c r="B80" s="100"/>
      <c r="C80" s="100"/>
      <c r="D80" s="100"/>
      <c r="E80" s="100"/>
      <c r="F80" s="100"/>
      <c r="G80" s="103"/>
      <c r="H80" s="186"/>
      <c r="I80" s="195">
        <v>0.51</v>
      </c>
      <c r="J80" s="107">
        <v>0.49</v>
      </c>
      <c r="K80" s="107"/>
      <c r="L80" s="107"/>
      <c r="M80" s="187"/>
      <c r="N80" s="169">
        <f t="shared" si="14"/>
        <v>1</v>
      </c>
      <c r="O80" s="144">
        <v>1</v>
      </c>
      <c r="P80" s="145">
        <v>15</v>
      </c>
      <c r="Q80" s="113">
        <v>15</v>
      </c>
      <c r="R80" s="113"/>
      <c r="S80" s="113"/>
      <c r="T80" s="146"/>
      <c r="U80" s="148">
        <f t="shared" si="17"/>
        <v>15</v>
      </c>
      <c r="V80" s="149">
        <f t="shared" si="18"/>
        <v>15</v>
      </c>
      <c r="W80" s="189"/>
      <c r="X80" s="199"/>
      <c r="Y80" s="151"/>
      <c r="Z80" s="190"/>
      <c r="AA80" s="153"/>
      <c r="AB80" s="154">
        <f t="shared" si="19"/>
        <v>0</v>
      </c>
      <c r="AC80" s="149">
        <f t="shared" si="20"/>
        <v>0</v>
      </c>
      <c r="AD80" s="125">
        <v>2</v>
      </c>
      <c r="AE80" s="148">
        <f t="shared" si="21"/>
        <v>2</v>
      </c>
      <c r="AF80" s="156"/>
      <c r="AG80" s="156"/>
      <c r="AH80" s="113">
        <f t="shared" si="22"/>
        <v>17</v>
      </c>
      <c r="AI80" s="157">
        <v>65</v>
      </c>
      <c r="AJ80" s="113">
        <f t="shared" si="23"/>
        <v>82</v>
      </c>
      <c r="AK80" s="113">
        <f t="shared" si="24"/>
        <v>82</v>
      </c>
      <c r="AL80" s="158">
        <f t="shared" si="25"/>
        <v>1.02</v>
      </c>
      <c r="AM80" s="159"/>
      <c r="AN80" s="160">
        <f t="shared" si="16"/>
        <v>1</v>
      </c>
      <c r="AO80" s="160">
        <f t="shared" si="16"/>
        <v>2</v>
      </c>
      <c r="AP80" s="133"/>
      <c r="AQ80" s="134"/>
      <c r="AR80" s="161"/>
      <c r="AS80" s="161"/>
      <c r="AT80" s="161"/>
      <c r="AU80" s="161"/>
      <c r="AV80" s="162"/>
      <c r="AW80" s="137">
        <f t="shared" si="26"/>
        <v>0</v>
      </c>
      <c r="AX80" s="137">
        <f t="shared" si="27"/>
        <v>0</v>
      </c>
    </row>
    <row r="81" ht="46.5" customHeight="1" spans="1:50" s="97" customFormat="1" x14ac:dyDescent="0.25">
      <c r="A81" s="100"/>
      <c r="B81" s="100"/>
      <c r="C81" s="100"/>
      <c r="D81" s="100"/>
      <c r="E81" s="100"/>
      <c r="F81" s="100"/>
      <c r="G81" s="103"/>
      <c r="H81" s="186"/>
      <c r="I81" s="195">
        <v>0.51</v>
      </c>
      <c r="J81" s="107">
        <v>0.49</v>
      </c>
      <c r="K81" s="107"/>
      <c r="L81" s="107"/>
      <c r="M81" s="187"/>
      <c r="N81" s="169">
        <f t="shared" si="14"/>
        <v>1</v>
      </c>
      <c r="O81" s="144">
        <v>1</v>
      </c>
      <c r="P81" s="145">
        <v>15</v>
      </c>
      <c r="Q81" s="113">
        <v>15</v>
      </c>
      <c r="R81" s="113"/>
      <c r="S81" s="113"/>
      <c r="T81" s="146"/>
      <c r="U81" s="148">
        <f t="shared" si="17"/>
        <v>15</v>
      </c>
      <c r="V81" s="149">
        <f t="shared" si="18"/>
        <v>15</v>
      </c>
      <c r="W81" s="189"/>
      <c r="X81" s="199"/>
      <c r="Y81" s="151"/>
      <c r="Z81" s="190"/>
      <c r="AA81" s="153"/>
      <c r="AB81" s="154">
        <f t="shared" si="19"/>
        <v>0</v>
      </c>
      <c r="AC81" s="149">
        <f t="shared" si="20"/>
        <v>0</v>
      </c>
      <c r="AD81" s="125">
        <v>2</v>
      </c>
      <c r="AE81" s="148">
        <f t="shared" si="21"/>
        <v>2</v>
      </c>
      <c r="AF81" s="156"/>
      <c r="AG81" s="156"/>
      <c r="AH81" s="113">
        <f t="shared" si="22"/>
        <v>17</v>
      </c>
      <c r="AI81" s="157">
        <v>65</v>
      </c>
      <c r="AJ81" s="113">
        <f t="shared" si="23"/>
        <v>82</v>
      </c>
      <c r="AK81" s="113">
        <f t="shared" si="24"/>
        <v>82</v>
      </c>
      <c r="AL81" s="158">
        <f t="shared" si="25"/>
        <v>1.02</v>
      </c>
      <c r="AM81" s="159"/>
      <c r="AN81" s="160">
        <f t="shared" si="16"/>
        <v>1</v>
      </c>
      <c r="AO81" s="160">
        <f t="shared" si="16"/>
        <v>2</v>
      </c>
      <c r="AP81" s="133"/>
      <c r="AQ81" s="134"/>
      <c r="AR81" s="161"/>
      <c r="AS81" s="161"/>
      <c r="AT81" s="161"/>
      <c r="AU81" s="161"/>
      <c r="AV81" s="162"/>
      <c r="AW81" s="137">
        <f t="shared" si="26"/>
        <v>0</v>
      </c>
      <c r="AX81" s="137">
        <f t="shared" si="27"/>
        <v>0</v>
      </c>
    </row>
    <row r="82" ht="46.5" customHeight="1" spans="1:50" s="97" customFormat="1" x14ac:dyDescent="0.25">
      <c r="A82" s="100"/>
      <c r="B82" s="100"/>
      <c r="C82" s="100"/>
      <c r="D82" s="100"/>
      <c r="E82" s="100"/>
      <c r="F82" s="100"/>
      <c r="G82" s="103"/>
      <c r="H82" s="186"/>
      <c r="I82" s="195">
        <v>0.51</v>
      </c>
      <c r="J82" s="107">
        <v>0.49</v>
      </c>
      <c r="K82" s="107"/>
      <c r="L82" s="107"/>
      <c r="M82" s="187"/>
      <c r="N82" s="169">
        <f t="shared" si="14"/>
        <v>1</v>
      </c>
      <c r="O82" s="144">
        <v>1</v>
      </c>
      <c r="P82" s="145">
        <v>15</v>
      </c>
      <c r="Q82" s="113">
        <v>15</v>
      </c>
      <c r="R82" s="113"/>
      <c r="S82" s="113"/>
      <c r="T82" s="146"/>
      <c r="U82" s="148">
        <f t="shared" si="17"/>
        <v>15</v>
      </c>
      <c r="V82" s="149">
        <f t="shared" si="18"/>
        <v>15</v>
      </c>
      <c r="W82" s="189"/>
      <c r="X82" s="199"/>
      <c r="Y82" s="151"/>
      <c r="Z82" s="190"/>
      <c r="AA82" s="153"/>
      <c r="AB82" s="154">
        <f t="shared" si="19"/>
        <v>0</v>
      </c>
      <c r="AC82" s="149">
        <f t="shared" si="20"/>
        <v>0</v>
      </c>
      <c r="AD82" s="125">
        <v>2</v>
      </c>
      <c r="AE82" s="148">
        <f t="shared" si="21"/>
        <v>2</v>
      </c>
      <c r="AF82" s="156"/>
      <c r="AG82" s="156"/>
      <c r="AH82" s="113">
        <f t="shared" si="22"/>
        <v>17</v>
      </c>
      <c r="AI82" s="157">
        <v>65</v>
      </c>
      <c r="AJ82" s="113">
        <f t="shared" si="23"/>
        <v>82</v>
      </c>
      <c r="AK82" s="113">
        <f t="shared" si="24"/>
        <v>82</v>
      </c>
      <c r="AL82" s="158">
        <f t="shared" si="25"/>
        <v>1.02</v>
      </c>
      <c r="AM82" s="159"/>
      <c r="AN82" s="160">
        <f t="shared" si="16"/>
        <v>1</v>
      </c>
      <c r="AO82" s="160">
        <f t="shared" si="16"/>
        <v>2</v>
      </c>
      <c r="AP82" s="133"/>
      <c r="AQ82" s="134"/>
      <c r="AR82" s="161"/>
      <c r="AS82" s="161"/>
      <c r="AT82" s="161"/>
      <c r="AU82" s="161"/>
      <c r="AV82" s="162"/>
      <c r="AW82" s="137">
        <f t="shared" si="26"/>
        <v>0</v>
      </c>
      <c r="AX82" s="137">
        <f t="shared" si="27"/>
        <v>0</v>
      </c>
    </row>
    <row r="83" ht="46.5" customHeight="1" spans="1:50" s="97" customFormat="1" x14ac:dyDescent="0.25">
      <c r="A83" s="100"/>
      <c r="B83" s="100"/>
      <c r="C83" s="100"/>
      <c r="D83" s="100"/>
      <c r="E83" s="100"/>
      <c r="F83" s="100"/>
      <c r="G83" s="103"/>
      <c r="H83" s="186"/>
      <c r="I83" s="195">
        <v>0.51</v>
      </c>
      <c r="J83" s="107">
        <v>0.49</v>
      </c>
      <c r="K83" s="107"/>
      <c r="L83" s="107"/>
      <c r="M83" s="187"/>
      <c r="N83" s="169">
        <f t="shared" si="14"/>
        <v>1</v>
      </c>
      <c r="O83" s="144">
        <v>1</v>
      </c>
      <c r="P83" s="145">
        <v>15</v>
      </c>
      <c r="Q83" s="113">
        <v>15</v>
      </c>
      <c r="R83" s="113"/>
      <c r="S83" s="113"/>
      <c r="T83" s="146"/>
      <c r="U83" s="148">
        <f t="shared" si="17"/>
        <v>15</v>
      </c>
      <c r="V83" s="149">
        <f t="shared" si="18"/>
        <v>15</v>
      </c>
      <c r="W83" s="189"/>
      <c r="X83" s="199"/>
      <c r="Y83" s="151"/>
      <c r="Z83" s="190"/>
      <c r="AA83" s="153"/>
      <c r="AB83" s="154">
        <f t="shared" si="19"/>
        <v>0</v>
      </c>
      <c r="AC83" s="149">
        <f t="shared" si="20"/>
        <v>0</v>
      </c>
      <c r="AD83" s="125">
        <v>2</v>
      </c>
      <c r="AE83" s="148">
        <f t="shared" si="21"/>
        <v>2</v>
      </c>
      <c r="AF83" s="156"/>
      <c r="AG83" s="156"/>
      <c r="AH83" s="113">
        <f t="shared" si="22"/>
        <v>17</v>
      </c>
      <c r="AI83" s="157">
        <v>65</v>
      </c>
      <c r="AJ83" s="113">
        <f t="shared" si="23"/>
        <v>82</v>
      </c>
      <c r="AK83" s="113">
        <f t="shared" si="24"/>
        <v>82</v>
      </c>
      <c r="AL83" s="158">
        <f t="shared" si="25"/>
        <v>1.02</v>
      </c>
      <c r="AM83" s="159"/>
      <c r="AN83" s="160">
        <f t="shared" si="16"/>
        <v>1</v>
      </c>
      <c r="AO83" s="160">
        <f t="shared" si="16"/>
        <v>2</v>
      </c>
      <c r="AP83" s="133"/>
      <c r="AQ83" s="134"/>
      <c r="AR83" s="161"/>
      <c r="AS83" s="161"/>
      <c r="AT83" s="161"/>
      <c r="AU83" s="161"/>
      <c r="AV83" s="162"/>
      <c r="AW83" s="137">
        <f t="shared" si="26"/>
        <v>0</v>
      </c>
      <c r="AX83" s="137">
        <f t="shared" si="27"/>
        <v>0</v>
      </c>
    </row>
    <row r="84" ht="46.5" customHeight="1" spans="1:50" s="97" customFormat="1" x14ac:dyDescent="0.25">
      <c r="A84" s="100"/>
      <c r="B84" s="100"/>
      <c r="C84" s="100"/>
      <c r="D84" s="100"/>
      <c r="E84" s="100"/>
      <c r="F84" s="100"/>
      <c r="G84" s="103"/>
      <c r="H84" s="186"/>
      <c r="I84" s="195">
        <v>0.51</v>
      </c>
      <c r="J84" s="107">
        <v>0.49</v>
      </c>
      <c r="K84" s="107"/>
      <c r="L84" s="107"/>
      <c r="M84" s="187"/>
      <c r="N84" s="169">
        <f t="shared" si="14"/>
        <v>1</v>
      </c>
      <c r="O84" s="144">
        <v>1</v>
      </c>
      <c r="P84" s="145">
        <v>15</v>
      </c>
      <c r="Q84" s="113">
        <v>15</v>
      </c>
      <c r="R84" s="113"/>
      <c r="S84" s="113"/>
      <c r="T84" s="146"/>
      <c r="U84" s="148">
        <f t="shared" si="17"/>
        <v>15</v>
      </c>
      <c r="V84" s="149">
        <f t="shared" si="18"/>
        <v>15</v>
      </c>
      <c r="W84" s="189"/>
      <c r="X84" s="199"/>
      <c r="Y84" s="151"/>
      <c r="Z84" s="190"/>
      <c r="AA84" s="153"/>
      <c r="AB84" s="154">
        <f t="shared" si="19"/>
        <v>0</v>
      </c>
      <c r="AC84" s="149">
        <f t="shared" si="20"/>
        <v>0</v>
      </c>
      <c r="AD84" s="125">
        <v>2</v>
      </c>
      <c r="AE84" s="148">
        <f t="shared" si="21"/>
        <v>2</v>
      </c>
      <c r="AF84" s="156"/>
      <c r="AG84" s="156"/>
      <c r="AH84" s="113">
        <f t="shared" si="22"/>
        <v>17</v>
      </c>
      <c r="AI84" s="157">
        <v>65</v>
      </c>
      <c r="AJ84" s="113">
        <f t="shared" si="23"/>
        <v>82</v>
      </c>
      <c r="AK84" s="113">
        <f t="shared" si="24"/>
        <v>82</v>
      </c>
      <c r="AL84" s="158">
        <f t="shared" si="25"/>
        <v>1.02</v>
      </c>
      <c r="AM84" s="159"/>
      <c r="AN84" s="160">
        <f t="shared" si="16"/>
        <v>1</v>
      </c>
      <c r="AO84" s="160">
        <f t="shared" si="16"/>
        <v>2</v>
      </c>
      <c r="AP84" s="133"/>
      <c r="AQ84" s="134"/>
      <c r="AR84" s="161"/>
      <c r="AS84" s="161"/>
      <c r="AT84" s="161"/>
      <c r="AU84" s="161"/>
      <c r="AV84" s="162"/>
      <c r="AW84" s="137">
        <f t="shared" si="26"/>
        <v>0</v>
      </c>
      <c r="AX84" s="137">
        <f t="shared" si="27"/>
        <v>0</v>
      </c>
    </row>
    <row r="85" ht="46.5" customHeight="1" spans="1:50" s="97" customFormat="1" x14ac:dyDescent="0.25">
      <c r="A85" s="100"/>
      <c r="B85" s="100"/>
      <c r="C85" s="100"/>
      <c r="D85" s="100"/>
      <c r="E85" s="100"/>
      <c r="F85" s="100"/>
      <c r="G85" s="103"/>
      <c r="H85" s="186"/>
      <c r="I85" s="195">
        <v>0.51</v>
      </c>
      <c r="J85" s="107">
        <v>0.49</v>
      </c>
      <c r="K85" s="107"/>
      <c r="L85" s="107"/>
      <c r="M85" s="187"/>
      <c r="N85" s="169">
        <f t="shared" si="14"/>
        <v>1</v>
      </c>
      <c r="O85" s="144">
        <v>1</v>
      </c>
      <c r="P85" s="145">
        <v>15</v>
      </c>
      <c r="Q85" s="113">
        <v>15</v>
      </c>
      <c r="R85" s="113"/>
      <c r="S85" s="113"/>
      <c r="T85" s="146"/>
      <c r="U85" s="148">
        <f t="shared" si="17"/>
        <v>15</v>
      </c>
      <c r="V85" s="149">
        <f t="shared" si="18"/>
        <v>15</v>
      </c>
      <c r="W85" s="189"/>
      <c r="X85" s="199"/>
      <c r="Y85" s="151"/>
      <c r="Z85" s="190"/>
      <c r="AA85" s="153"/>
      <c r="AB85" s="154">
        <f t="shared" si="19"/>
        <v>0</v>
      </c>
      <c r="AC85" s="149">
        <f t="shared" si="20"/>
        <v>0</v>
      </c>
      <c r="AD85" s="125">
        <v>2</v>
      </c>
      <c r="AE85" s="148">
        <f t="shared" si="21"/>
        <v>2</v>
      </c>
      <c r="AF85" s="156"/>
      <c r="AG85" s="156"/>
      <c r="AH85" s="113">
        <f t="shared" si="22"/>
        <v>17</v>
      </c>
      <c r="AI85" s="157">
        <v>65</v>
      </c>
      <c r="AJ85" s="113">
        <f t="shared" si="23"/>
        <v>82</v>
      </c>
      <c r="AK85" s="113">
        <f t="shared" si="24"/>
        <v>82</v>
      </c>
      <c r="AL85" s="158">
        <f t="shared" si="25"/>
        <v>1.02</v>
      </c>
      <c r="AM85" s="159"/>
      <c r="AN85" s="160">
        <f t="shared" si="16"/>
        <v>1</v>
      </c>
      <c r="AO85" s="160">
        <f t="shared" si="16"/>
        <v>2</v>
      </c>
      <c r="AP85" s="133"/>
      <c r="AQ85" s="134"/>
      <c r="AR85" s="161"/>
      <c r="AS85" s="161"/>
      <c r="AT85" s="161"/>
      <c r="AU85" s="161"/>
      <c r="AV85" s="162"/>
      <c r="AW85" s="137">
        <f t="shared" si="26"/>
        <v>0</v>
      </c>
      <c r="AX85" s="137">
        <f t="shared" si="27"/>
        <v>0</v>
      </c>
    </row>
    <row r="86" ht="46.5" customHeight="1" spans="1:50" s="97" customFormat="1" x14ac:dyDescent="0.25">
      <c r="A86" s="100"/>
      <c r="B86" s="100"/>
      <c r="C86" s="100"/>
      <c r="D86" s="100"/>
      <c r="E86" s="100"/>
      <c r="F86" s="100"/>
      <c r="G86" s="103"/>
      <c r="H86" s="186"/>
      <c r="I86" s="195">
        <v>0.51</v>
      </c>
      <c r="J86" s="107">
        <v>0.49</v>
      </c>
      <c r="K86" s="107"/>
      <c r="L86" s="107"/>
      <c r="M86" s="187"/>
      <c r="N86" s="169">
        <f t="shared" si="14"/>
        <v>1</v>
      </c>
      <c r="O86" s="144">
        <v>1</v>
      </c>
      <c r="P86" s="145">
        <v>15</v>
      </c>
      <c r="Q86" s="113">
        <v>15</v>
      </c>
      <c r="R86" s="113"/>
      <c r="S86" s="113"/>
      <c r="T86" s="146"/>
      <c r="U86" s="148">
        <f t="shared" si="17"/>
        <v>15</v>
      </c>
      <c r="V86" s="149">
        <f t="shared" si="18"/>
        <v>15</v>
      </c>
      <c r="W86" s="189"/>
      <c r="X86" s="199"/>
      <c r="Y86" s="151"/>
      <c r="Z86" s="190"/>
      <c r="AA86" s="153"/>
      <c r="AB86" s="154">
        <f t="shared" si="19"/>
        <v>0</v>
      </c>
      <c r="AC86" s="149">
        <f t="shared" si="20"/>
        <v>0</v>
      </c>
      <c r="AD86" s="125">
        <v>2</v>
      </c>
      <c r="AE86" s="148">
        <f t="shared" si="21"/>
        <v>2</v>
      </c>
      <c r="AF86" s="156"/>
      <c r="AG86" s="156"/>
      <c r="AH86" s="113">
        <f t="shared" si="22"/>
        <v>17</v>
      </c>
      <c r="AI86" s="157">
        <v>65</v>
      </c>
      <c r="AJ86" s="113">
        <f t="shared" si="23"/>
        <v>82</v>
      </c>
      <c r="AK86" s="113">
        <f t="shared" si="24"/>
        <v>82</v>
      </c>
      <c r="AL86" s="158">
        <f t="shared" si="25"/>
        <v>1.02</v>
      </c>
      <c r="AM86" s="159"/>
      <c r="AN86" s="160">
        <f t="shared" si="16"/>
        <v>1</v>
      </c>
      <c r="AO86" s="160">
        <f t="shared" si="16"/>
        <v>2</v>
      </c>
      <c r="AP86" s="133"/>
      <c r="AQ86" s="134"/>
      <c r="AR86" s="161"/>
      <c r="AS86" s="161"/>
      <c r="AT86" s="161"/>
      <c r="AU86" s="161"/>
      <c r="AV86" s="162"/>
      <c r="AW86" s="137">
        <f t="shared" si="26"/>
        <v>0</v>
      </c>
      <c r="AX86" s="137">
        <f t="shared" si="27"/>
        <v>0</v>
      </c>
    </row>
    <row r="87" ht="46.5" customHeight="1" spans="1:50" s="97" customFormat="1" x14ac:dyDescent="0.25">
      <c r="A87" s="100"/>
      <c r="B87" s="100"/>
      <c r="C87" s="100"/>
      <c r="D87" s="100"/>
      <c r="E87" s="100"/>
      <c r="F87" s="100"/>
      <c r="G87" s="103"/>
      <c r="H87" s="186"/>
      <c r="I87" s="195">
        <v>0.51</v>
      </c>
      <c r="J87" s="107">
        <v>0.49</v>
      </c>
      <c r="K87" s="107"/>
      <c r="L87" s="107"/>
      <c r="M87" s="187"/>
      <c r="N87" s="169">
        <f t="shared" si="14"/>
        <v>1</v>
      </c>
      <c r="O87" s="144">
        <v>1</v>
      </c>
      <c r="P87" s="145">
        <v>15</v>
      </c>
      <c r="Q87" s="113">
        <v>15</v>
      </c>
      <c r="R87" s="113"/>
      <c r="S87" s="113"/>
      <c r="T87" s="146"/>
      <c r="U87" s="148">
        <f t="shared" si="17"/>
        <v>15</v>
      </c>
      <c r="V87" s="149">
        <f t="shared" si="18"/>
        <v>15</v>
      </c>
      <c r="W87" s="189"/>
      <c r="X87" s="199"/>
      <c r="Y87" s="151"/>
      <c r="Z87" s="190"/>
      <c r="AA87" s="153"/>
      <c r="AB87" s="154">
        <f t="shared" si="19"/>
        <v>0</v>
      </c>
      <c r="AC87" s="149">
        <f t="shared" si="20"/>
        <v>0</v>
      </c>
      <c r="AD87" s="125">
        <v>2</v>
      </c>
      <c r="AE87" s="148">
        <f t="shared" si="21"/>
        <v>2</v>
      </c>
      <c r="AF87" s="156"/>
      <c r="AG87" s="156"/>
      <c r="AH87" s="113">
        <f t="shared" si="22"/>
        <v>17</v>
      </c>
      <c r="AI87" s="157">
        <v>65</v>
      </c>
      <c r="AJ87" s="113">
        <f t="shared" si="23"/>
        <v>82</v>
      </c>
      <c r="AK87" s="113">
        <f t="shared" si="24"/>
        <v>82</v>
      </c>
      <c r="AL87" s="158">
        <f t="shared" si="25"/>
        <v>1.02</v>
      </c>
      <c r="AM87" s="159"/>
      <c r="AN87" s="160">
        <f t="shared" si="16"/>
        <v>1</v>
      </c>
      <c r="AO87" s="160">
        <f t="shared" si="16"/>
        <v>2</v>
      </c>
      <c r="AP87" s="133"/>
      <c r="AQ87" s="134"/>
      <c r="AR87" s="161"/>
      <c r="AS87" s="161"/>
      <c r="AT87" s="161"/>
      <c r="AU87" s="161"/>
      <c r="AV87" s="162"/>
      <c r="AW87" s="137">
        <f t="shared" si="26"/>
        <v>0</v>
      </c>
      <c r="AX87" s="137">
        <f t="shared" si="27"/>
        <v>0</v>
      </c>
    </row>
    <row r="88" ht="46.5" customHeight="1" spans="1:50" s="97" customFormat="1" x14ac:dyDescent="0.25">
      <c r="A88" s="100"/>
      <c r="B88" s="100"/>
      <c r="C88" s="100"/>
      <c r="D88" s="100"/>
      <c r="E88" s="100"/>
      <c r="F88" s="100"/>
      <c r="G88" s="103"/>
      <c r="H88" s="186"/>
      <c r="I88" s="195">
        <v>0.51</v>
      </c>
      <c r="J88" s="107">
        <v>0.49</v>
      </c>
      <c r="K88" s="107"/>
      <c r="L88" s="107"/>
      <c r="M88" s="187"/>
      <c r="N88" s="169">
        <f t="shared" si="14"/>
        <v>1</v>
      </c>
      <c r="O88" s="144">
        <v>1</v>
      </c>
      <c r="P88" s="145">
        <v>15</v>
      </c>
      <c r="Q88" s="113">
        <v>15</v>
      </c>
      <c r="R88" s="113"/>
      <c r="S88" s="113"/>
      <c r="T88" s="146"/>
      <c r="U88" s="148">
        <f t="shared" si="17"/>
        <v>15</v>
      </c>
      <c r="V88" s="149">
        <f t="shared" si="18"/>
        <v>15</v>
      </c>
      <c r="W88" s="189"/>
      <c r="X88" s="199"/>
      <c r="Y88" s="151"/>
      <c r="Z88" s="190"/>
      <c r="AA88" s="153"/>
      <c r="AB88" s="154">
        <f t="shared" si="19"/>
        <v>0</v>
      </c>
      <c r="AC88" s="149">
        <f t="shared" si="20"/>
        <v>0</v>
      </c>
      <c r="AD88" s="125">
        <v>2</v>
      </c>
      <c r="AE88" s="148">
        <f t="shared" si="21"/>
        <v>2</v>
      </c>
      <c r="AF88" s="156"/>
      <c r="AG88" s="156"/>
      <c r="AH88" s="113">
        <f t="shared" si="22"/>
        <v>17</v>
      </c>
      <c r="AI88" s="157">
        <v>65</v>
      </c>
      <c r="AJ88" s="113">
        <f t="shared" si="23"/>
        <v>82</v>
      </c>
      <c r="AK88" s="113">
        <f t="shared" si="24"/>
        <v>82</v>
      </c>
      <c r="AL88" s="158">
        <f t="shared" si="25"/>
        <v>1.02</v>
      </c>
      <c r="AM88" s="159"/>
      <c r="AN88" s="160">
        <f t="shared" si="16"/>
        <v>1</v>
      </c>
      <c r="AO88" s="160">
        <f t="shared" si="16"/>
        <v>2</v>
      </c>
      <c r="AP88" s="133"/>
      <c r="AQ88" s="134"/>
      <c r="AR88" s="161"/>
      <c r="AS88" s="161"/>
      <c r="AT88" s="161"/>
      <c r="AU88" s="161"/>
      <c r="AV88" s="162"/>
      <c r="AW88" s="137">
        <f t="shared" si="26"/>
        <v>0</v>
      </c>
      <c r="AX88" s="137">
        <f t="shared" si="27"/>
        <v>0</v>
      </c>
    </row>
    <row r="89" ht="46.5" customHeight="1" spans="1:50" s="97" customFormat="1" x14ac:dyDescent="0.25">
      <c r="A89" s="100"/>
      <c r="B89" s="100"/>
      <c r="C89" s="100"/>
      <c r="D89" s="100"/>
      <c r="E89" s="100"/>
      <c r="F89" s="100"/>
      <c r="G89" s="103"/>
      <c r="H89" s="186"/>
      <c r="I89" s="195">
        <v>0.51</v>
      </c>
      <c r="J89" s="107">
        <v>0.49</v>
      </c>
      <c r="K89" s="107"/>
      <c r="L89" s="107"/>
      <c r="M89" s="187"/>
      <c r="N89" s="169">
        <f t="shared" si="14"/>
        <v>1</v>
      </c>
      <c r="O89" s="144">
        <v>1</v>
      </c>
      <c r="P89" s="145">
        <v>15</v>
      </c>
      <c r="Q89" s="113">
        <v>15</v>
      </c>
      <c r="R89" s="113"/>
      <c r="S89" s="113"/>
      <c r="T89" s="146"/>
      <c r="U89" s="148">
        <f t="shared" si="17"/>
        <v>15</v>
      </c>
      <c r="V89" s="149">
        <f t="shared" si="18"/>
        <v>15</v>
      </c>
      <c r="W89" s="189"/>
      <c r="X89" s="199"/>
      <c r="Y89" s="151"/>
      <c r="Z89" s="190"/>
      <c r="AA89" s="153"/>
      <c r="AB89" s="154">
        <f t="shared" si="19"/>
        <v>0</v>
      </c>
      <c r="AC89" s="149">
        <f t="shared" si="20"/>
        <v>0</v>
      </c>
      <c r="AD89" s="125">
        <v>2</v>
      </c>
      <c r="AE89" s="148">
        <f t="shared" si="21"/>
        <v>2</v>
      </c>
      <c r="AF89" s="156"/>
      <c r="AG89" s="156"/>
      <c r="AH89" s="113">
        <f t="shared" si="22"/>
        <v>17</v>
      </c>
      <c r="AI89" s="157">
        <v>65</v>
      </c>
      <c r="AJ89" s="113">
        <f t="shared" si="23"/>
        <v>82</v>
      </c>
      <c r="AK89" s="113">
        <f t="shared" si="24"/>
        <v>82</v>
      </c>
      <c r="AL89" s="158">
        <f t="shared" si="25"/>
        <v>1.02</v>
      </c>
      <c r="AM89" s="159"/>
      <c r="AN89" s="160">
        <f t="shared" si="16"/>
        <v>1</v>
      </c>
      <c r="AO89" s="160">
        <f t="shared" si="16"/>
        <v>2</v>
      </c>
      <c r="AP89" s="133"/>
      <c r="AQ89" s="134"/>
      <c r="AR89" s="161"/>
      <c r="AS89" s="161"/>
      <c r="AT89" s="161"/>
      <c r="AU89" s="161"/>
      <c r="AV89" s="162"/>
      <c r="AW89" s="137">
        <f t="shared" si="26"/>
        <v>0</v>
      </c>
      <c r="AX89" s="137">
        <f t="shared" si="27"/>
        <v>0</v>
      </c>
    </row>
    <row r="90" ht="46.5" customHeight="1" spans="1:50" s="97" customFormat="1" x14ac:dyDescent="0.25">
      <c r="A90" s="100"/>
      <c r="B90" s="100"/>
      <c r="C90" s="100"/>
      <c r="D90" s="100"/>
      <c r="E90" s="100"/>
      <c r="F90" s="100"/>
      <c r="G90" s="103"/>
      <c r="H90" s="186"/>
      <c r="I90" s="195">
        <v>0.51</v>
      </c>
      <c r="J90" s="107">
        <v>0.49</v>
      </c>
      <c r="K90" s="107"/>
      <c r="L90" s="107"/>
      <c r="M90" s="187"/>
      <c r="N90" s="169">
        <f t="shared" si="14"/>
        <v>1</v>
      </c>
      <c r="O90" s="144">
        <v>1</v>
      </c>
      <c r="P90" s="145">
        <v>15</v>
      </c>
      <c r="Q90" s="113">
        <v>15</v>
      </c>
      <c r="R90" s="113"/>
      <c r="S90" s="113"/>
      <c r="T90" s="146"/>
      <c r="U90" s="148">
        <f t="shared" si="17"/>
        <v>15</v>
      </c>
      <c r="V90" s="149">
        <f t="shared" si="18"/>
        <v>15</v>
      </c>
      <c r="W90" s="189"/>
      <c r="X90" s="199"/>
      <c r="Y90" s="151"/>
      <c r="Z90" s="190"/>
      <c r="AA90" s="153"/>
      <c r="AB90" s="154">
        <f t="shared" si="19"/>
        <v>0</v>
      </c>
      <c r="AC90" s="149">
        <f t="shared" si="20"/>
        <v>0</v>
      </c>
      <c r="AD90" s="125">
        <v>2</v>
      </c>
      <c r="AE90" s="148">
        <f t="shared" si="21"/>
        <v>2</v>
      </c>
      <c r="AF90" s="156"/>
      <c r="AG90" s="156"/>
      <c r="AH90" s="113">
        <f t="shared" si="22"/>
        <v>17</v>
      </c>
      <c r="AI90" s="157">
        <v>65</v>
      </c>
      <c r="AJ90" s="113">
        <f t="shared" si="23"/>
        <v>82</v>
      </c>
      <c r="AK90" s="113">
        <f t="shared" si="24"/>
        <v>82</v>
      </c>
      <c r="AL90" s="158">
        <f t="shared" si="25"/>
        <v>1.02</v>
      </c>
      <c r="AM90" s="159"/>
      <c r="AN90" s="160">
        <f t="shared" si="16"/>
        <v>1</v>
      </c>
      <c r="AO90" s="160">
        <f t="shared" si="16"/>
        <v>2</v>
      </c>
      <c r="AP90" s="133"/>
      <c r="AQ90" s="134"/>
      <c r="AR90" s="161"/>
      <c r="AS90" s="161"/>
      <c r="AT90" s="161"/>
      <c r="AU90" s="161"/>
      <c r="AV90" s="162"/>
      <c r="AW90" s="137">
        <f t="shared" si="26"/>
        <v>0</v>
      </c>
      <c r="AX90" s="137">
        <f t="shared" si="27"/>
        <v>0</v>
      </c>
    </row>
    <row r="91" ht="46.5" customHeight="1" spans="1:50" s="97" customFormat="1" x14ac:dyDescent="0.25">
      <c r="A91" s="100"/>
      <c r="B91" s="100"/>
      <c r="C91" s="100"/>
      <c r="D91" s="100"/>
      <c r="E91" s="100"/>
      <c r="F91" s="100"/>
      <c r="G91" s="103"/>
      <c r="H91" s="186"/>
      <c r="I91" s="195">
        <v>0.51</v>
      </c>
      <c r="J91" s="107">
        <v>0.49</v>
      </c>
      <c r="K91" s="107"/>
      <c r="L91" s="107"/>
      <c r="M91" s="187"/>
      <c r="N91" s="169">
        <f t="shared" si="14"/>
        <v>1</v>
      </c>
      <c r="O91" s="144">
        <v>1</v>
      </c>
      <c r="P91" s="145">
        <v>15</v>
      </c>
      <c r="Q91" s="113">
        <v>15</v>
      </c>
      <c r="R91" s="113"/>
      <c r="S91" s="113"/>
      <c r="T91" s="146"/>
      <c r="U91" s="148">
        <f t="shared" si="17"/>
        <v>15</v>
      </c>
      <c r="V91" s="149">
        <f t="shared" si="18"/>
        <v>15</v>
      </c>
      <c r="W91" s="189"/>
      <c r="X91" s="199"/>
      <c r="Y91" s="151"/>
      <c r="Z91" s="190"/>
      <c r="AA91" s="153"/>
      <c r="AB91" s="154">
        <f t="shared" si="19"/>
        <v>0</v>
      </c>
      <c r="AC91" s="149">
        <f t="shared" si="20"/>
        <v>0</v>
      </c>
      <c r="AD91" s="125">
        <v>2</v>
      </c>
      <c r="AE91" s="148">
        <f t="shared" si="21"/>
        <v>2</v>
      </c>
      <c r="AF91" s="156"/>
      <c r="AG91" s="156"/>
      <c r="AH91" s="113">
        <f t="shared" si="22"/>
        <v>17</v>
      </c>
      <c r="AI91" s="157">
        <v>65</v>
      </c>
      <c r="AJ91" s="113">
        <f t="shared" si="23"/>
        <v>82</v>
      </c>
      <c r="AK91" s="113">
        <f t="shared" si="24"/>
        <v>82</v>
      </c>
      <c r="AL91" s="158">
        <f t="shared" si="25"/>
        <v>1.02</v>
      </c>
      <c r="AM91" s="159"/>
      <c r="AN91" s="160">
        <f t="shared" si="16"/>
        <v>1</v>
      </c>
      <c r="AO91" s="160">
        <f t="shared" si="16"/>
        <v>2</v>
      </c>
      <c r="AP91" s="133"/>
      <c r="AQ91" s="134"/>
      <c r="AR91" s="161"/>
      <c r="AS91" s="161"/>
      <c r="AT91" s="161"/>
      <c r="AU91" s="161"/>
      <c r="AV91" s="162"/>
      <c r="AW91" s="137">
        <f t="shared" si="26"/>
        <v>0</v>
      </c>
      <c r="AX91" s="137">
        <f t="shared" si="27"/>
        <v>0</v>
      </c>
    </row>
    <row r="92" ht="46.5" customHeight="1" spans="1:50" s="97" customFormat="1" x14ac:dyDescent="0.25">
      <c r="A92" s="100"/>
      <c r="B92" s="100"/>
      <c r="C92" s="100"/>
      <c r="D92" s="100"/>
      <c r="E92" s="100"/>
      <c r="F92" s="100"/>
      <c r="G92" s="103"/>
      <c r="H92" s="186"/>
      <c r="I92" s="195">
        <v>0.51</v>
      </c>
      <c r="J92" s="107">
        <v>0.49</v>
      </c>
      <c r="K92" s="107"/>
      <c r="L92" s="107"/>
      <c r="M92" s="187"/>
      <c r="N92" s="169">
        <f t="shared" si="14"/>
        <v>1</v>
      </c>
      <c r="O92" s="144">
        <v>1</v>
      </c>
      <c r="P92" s="145">
        <v>15</v>
      </c>
      <c r="Q92" s="113">
        <v>15</v>
      </c>
      <c r="R92" s="113"/>
      <c r="S92" s="113"/>
      <c r="T92" s="146"/>
      <c r="U92" s="148">
        <f t="shared" si="17"/>
        <v>15</v>
      </c>
      <c r="V92" s="149">
        <f t="shared" si="18"/>
        <v>15</v>
      </c>
      <c r="W92" s="189"/>
      <c r="X92" s="199"/>
      <c r="Y92" s="151"/>
      <c r="Z92" s="190"/>
      <c r="AA92" s="153"/>
      <c r="AB92" s="154">
        <f t="shared" si="19"/>
        <v>0</v>
      </c>
      <c r="AC92" s="149">
        <f t="shared" si="20"/>
        <v>0</v>
      </c>
      <c r="AD92" s="125">
        <v>2</v>
      </c>
      <c r="AE92" s="148">
        <f t="shared" si="21"/>
        <v>2</v>
      </c>
      <c r="AF92" s="156"/>
      <c r="AG92" s="156"/>
      <c r="AH92" s="113">
        <f t="shared" si="22"/>
        <v>17</v>
      </c>
      <c r="AI92" s="157">
        <v>65</v>
      </c>
      <c r="AJ92" s="113">
        <f t="shared" si="23"/>
        <v>82</v>
      </c>
      <c r="AK92" s="113">
        <f t="shared" si="24"/>
        <v>82</v>
      </c>
      <c r="AL92" s="158">
        <f t="shared" si="25"/>
        <v>1.02</v>
      </c>
      <c r="AM92" s="159"/>
      <c r="AN92" s="160">
        <f t="shared" si="16"/>
        <v>1</v>
      </c>
      <c r="AO92" s="160">
        <f t="shared" si="16"/>
        <v>2</v>
      </c>
      <c r="AP92" s="133"/>
      <c r="AQ92" s="134"/>
      <c r="AR92" s="161"/>
      <c r="AS92" s="161"/>
      <c r="AT92" s="161"/>
      <c r="AU92" s="161"/>
      <c r="AV92" s="162"/>
      <c r="AW92" s="137">
        <f t="shared" si="26"/>
        <v>0</v>
      </c>
      <c r="AX92" s="137">
        <f t="shared" si="27"/>
        <v>0</v>
      </c>
    </row>
    <row r="93" ht="46.5" customHeight="1" spans="1:50" s="97" customFormat="1" x14ac:dyDescent="0.25">
      <c r="A93" s="100"/>
      <c r="B93" s="100"/>
      <c r="C93" s="100"/>
      <c r="D93" s="100"/>
      <c r="E93" s="100"/>
      <c r="F93" s="100"/>
      <c r="G93" s="103"/>
      <c r="H93" s="186"/>
      <c r="I93" s="195">
        <v>0.51</v>
      </c>
      <c r="J93" s="107">
        <v>0.49</v>
      </c>
      <c r="K93" s="107"/>
      <c r="L93" s="107"/>
      <c r="M93" s="187"/>
      <c r="N93" s="169">
        <f t="shared" si="14"/>
        <v>1</v>
      </c>
      <c r="O93" s="144">
        <v>1</v>
      </c>
      <c r="P93" s="145">
        <v>15</v>
      </c>
      <c r="Q93" s="113">
        <v>15</v>
      </c>
      <c r="R93" s="113"/>
      <c r="S93" s="113"/>
      <c r="T93" s="146"/>
      <c r="U93" s="148">
        <f t="shared" si="17"/>
        <v>15</v>
      </c>
      <c r="V93" s="149">
        <f t="shared" si="18"/>
        <v>15</v>
      </c>
      <c r="W93" s="189"/>
      <c r="X93" s="199"/>
      <c r="Y93" s="151"/>
      <c r="Z93" s="190"/>
      <c r="AA93" s="153"/>
      <c r="AB93" s="154">
        <f t="shared" si="19"/>
        <v>0</v>
      </c>
      <c r="AC93" s="149">
        <f t="shared" si="20"/>
        <v>0</v>
      </c>
      <c r="AD93" s="125">
        <v>2</v>
      </c>
      <c r="AE93" s="148">
        <f t="shared" si="21"/>
        <v>2</v>
      </c>
      <c r="AF93" s="156"/>
      <c r="AG93" s="156"/>
      <c r="AH93" s="113">
        <f t="shared" si="22"/>
        <v>17</v>
      </c>
      <c r="AI93" s="157">
        <v>65</v>
      </c>
      <c r="AJ93" s="113">
        <f t="shared" si="23"/>
        <v>82</v>
      </c>
      <c r="AK93" s="113">
        <f t="shared" si="24"/>
        <v>82</v>
      </c>
      <c r="AL93" s="158">
        <f t="shared" si="25"/>
        <v>1.02</v>
      </c>
      <c r="AM93" s="159"/>
      <c r="AN93" s="160">
        <f t="shared" ref="AN93:AO112" si="28">100%+AM93</f>
        <v>1</v>
      </c>
      <c r="AO93" s="160">
        <f t="shared" si="28"/>
        <v>2</v>
      </c>
      <c r="AP93" s="133"/>
      <c r="AQ93" s="134"/>
      <c r="AR93" s="161"/>
      <c r="AS93" s="161"/>
      <c r="AT93" s="161"/>
      <c r="AU93" s="161"/>
      <c r="AV93" s="162"/>
      <c r="AW93" s="137">
        <f t="shared" si="26"/>
        <v>0</v>
      </c>
      <c r="AX93" s="137">
        <f t="shared" si="27"/>
        <v>0</v>
      </c>
    </row>
    <row r="94" ht="46.5" customHeight="1" spans="1:50" s="97" customFormat="1" x14ac:dyDescent="0.25">
      <c r="A94" s="100"/>
      <c r="B94" s="100"/>
      <c r="C94" s="100"/>
      <c r="D94" s="100"/>
      <c r="E94" s="100"/>
      <c r="F94" s="100"/>
      <c r="G94" s="103"/>
      <c r="H94" s="186"/>
      <c r="I94" s="195">
        <v>0.51</v>
      </c>
      <c r="J94" s="107">
        <v>0.49</v>
      </c>
      <c r="K94" s="107"/>
      <c r="L94" s="107"/>
      <c r="M94" s="187"/>
      <c r="N94" s="169">
        <f t="shared" si="14"/>
        <v>1</v>
      </c>
      <c r="O94" s="144">
        <v>1</v>
      </c>
      <c r="P94" s="145">
        <v>15</v>
      </c>
      <c r="Q94" s="113">
        <v>15</v>
      </c>
      <c r="R94" s="113"/>
      <c r="S94" s="113"/>
      <c r="T94" s="146"/>
      <c r="U94" s="148">
        <f t="shared" si="17"/>
        <v>15</v>
      </c>
      <c r="V94" s="149">
        <f t="shared" si="18"/>
        <v>15</v>
      </c>
      <c r="W94" s="189"/>
      <c r="X94" s="199"/>
      <c r="Y94" s="151"/>
      <c r="Z94" s="190"/>
      <c r="AA94" s="153"/>
      <c r="AB94" s="154">
        <f t="shared" si="19"/>
        <v>0</v>
      </c>
      <c r="AC94" s="149">
        <f t="shared" si="20"/>
        <v>0</v>
      </c>
      <c r="AD94" s="125">
        <v>2</v>
      </c>
      <c r="AE94" s="148">
        <f t="shared" si="21"/>
        <v>2</v>
      </c>
      <c r="AF94" s="156"/>
      <c r="AG94" s="156"/>
      <c r="AH94" s="113">
        <f t="shared" si="22"/>
        <v>17</v>
      </c>
      <c r="AI94" s="157">
        <v>65</v>
      </c>
      <c r="AJ94" s="113">
        <f t="shared" si="23"/>
        <v>82</v>
      </c>
      <c r="AK94" s="113">
        <f t="shared" si="24"/>
        <v>82</v>
      </c>
      <c r="AL94" s="158">
        <f t="shared" si="25"/>
        <v>1.02</v>
      </c>
      <c r="AM94" s="159"/>
      <c r="AN94" s="160">
        <f t="shared" si="28"/>
        <v>1</v>
      </c>
      <c r="AO94" s="160">
        <f t="shared" si="28"/>
        <v>2</v>
      </c>
      <c r="AP94" s="133"/>
      <c r="AQ94" s="134"/>
      <c r="AR94" s="161"/>
      <c r="AS94" s="161"/>
      <c r="AT94" s="161"/>
      <c r="AU94" s="161"/>
      <c r="AV94" s="162"/>
      <c r="AW94" s="137">
        <f t="shared" si="26"/>
        <v>0</v>
      </c>
      <c r="AX94" s="137">
        <f t="shared" si="27"/>
        <v>0</v>
      </c>
    </row>
    <row r="95" ht="46.5" customHeight="1" spans="1:50" s="97" customFormat="1" x14ac:dyDescent="0.25">
      <c r="A95" s="100"/>
      <c r="B95" s="100"/>
      <c r="C95" s="100"/>
      <c r="D95" s="100"/>
      <c r="E95" s="100"/>
      <c r="F95" s="100"/>
      <c r="G95" s="103"/>
      <c r="H95" s="186"/>
      <c r="I95" s="195">
        <v>0.51</v>
      </c>
      <c r="J95" s="107">
        <v>0.49</v>
      </c>
      <c r="K95" s="107"/>
      <c r="L95" s="107"/>
      <c r="M95" s="187"/>
      <c r="N95" s="169">
        <f t="shared" si="14"/>
        <v>1</v>
      </c>
      <c r="O95" s="144">
        <v>1</v>
      </c>
      <c r="P95" s="145">
        <v>15</v>
      </c>
      <c r="Q95" s="113">
        <v>15</v>
      </c>
      <c r="R95" s="113"/>
      <c r="S95" s="113"/>
      <c r="T95" s="146"/>
      <c r="U95" s="148">
        <f t="shared" si="17"/>
        <v>15</v>
      </c>
      <c r="V95" s="149">
        <f t="shared" si="18"/>
        <v>15</v>
      </c>
      <c r="W95" s="189"/>
      <c r="X95" s="199"/>
      <c r="Y95" s="151"/>
      <c r="Z95" s="190"/>
      <c r="AA95" s="153"/>
      <c r="AB95" s="154">
        <f t="shared" si="19"/>
        <v>0</v>
      </c>
      <c r="AC95" s="149">
        <f t="shared" si="20"/>
        <v>0</v>
      </c>
      <c r="AD95" s="125">
        <v>2</v>
      </c>
      <c r="AE95" s="148">
        <f t="shared" si="21"/>
        <v>2</v>
      </c>
      <c r="AF95" s="156"/>
      <c r="AG95" s="156"/>
      <c r="AH95" s="113">
        <f t="shared" si="22"/>
        <v>17</v>
      </c>
      <c r="AI95" s="157">
        <v>65</v>
      </c>
      <c r="AJ95" s="113">
        <f t="shared" si="23"/>
        <v>82</v>
      </c>
      <c r="AK95" s="113">
        <f t="shared" si="24"/>
        <v>82</v>
      </c>
      <c r="AL95" s="158">
        <f t="shared" si="25"/>
        <v>1.02</v>
      </c>
      <c r="AM95" s="159"/>
      <c r="AN95" s="160">
        <f t="shared" si="28"/>
        <v>1</v>
      </c>
      <c r="AO95" s="160">
        <f t="shared" si="28"/>
        <v>2</v>
      </c>
      <c r="AP95" s="133"/>
      <c r="AQ95" s="134"/>
      <c r="AR95" s="161"/>
      <c r="AS95" s="161"/>
      <c r="AT95" s="161"/>
      <c r="AU95" s="161"/>
      <c r="AV95" s="162"/>
      <c r="AW95" s="137">
        <f t="shared" si="26"/>
        <v>0</v>
      </c>
      <c r="AX95" s="137">
        <f t="shared" si="27"/>
        <v>0</v>
      </c>
    </row>
    <row r="96" ht="46.5" customHeight="1" spans="1:50" s="97" customFormat="1" x14ac:dyDescent="0.25">
      <c r="A96" s="100"/>
      <c r="B96" s="100"/>
      <c r="C96" s="100"/>
      <c r="D96" s="100"/>
      <c r="E96" s="100"/>
      <c r="F96" s="100"/>
      <c r="G96" s="103"/>
      <c r="H96" s="186"/>
      <c r="I96" s="195">
        <v>0.51</v>
      </c>
      <c r="J96" s="107">
        <v>0.49</v>
      </c>
      <c r="K96" s="107"/>
      <c r="L96" s="107"/>
      <c r="M96" s="187"/>
      <c r="N96" s="169">
        <f t="shared" si="14"/>
        <v>1</v>
      </c>
      <c r="O96" s="144">
        <v>1</v>
      </c>
      <c r="P96" s="145">
        <v>15</v>
      </c>
      <c r="Q96" s="113">
        <v>15</v>
      </c>
      <c r="R96" s="113"/>
      <c r="S96" s="113"/>
      <c r="T96" s="146"/>
      <c r="U96" s="148">
        <f t="shared" si="17"/>
        <v>15</v>
      </c>
      <c r="V96" s="149">
        <f t="shared" si="18"/>
        <v>15</v>
      </c>
      <c r="W96" s="189"/>
      <c r="X96" s="199"/>
      <c r="Y96" s="151"/>
      <c r="Z96" s="190"/>
      <c r="AA96" s="153"/>
      <c r="AB96" s="154">
        <f t="shared" si="19"/>
        <v>0</v>
      </c>
      <c r="AC96" s="149">
        <f t="shared" si="20"/>
        <v>0</v>
      </c>
      <c r="AD96" s="125">
        <v>2</v>
      </c>
      <c r="AE96" s="148">
        <f t="shared" si="21"/>
        <v>2</v>
      </c>
      <c r="AF96" s="156"/>
      <c r="AG96" s="156"/>
      <c r="AH96" s="113">
        <f t="shared" si="22"/>
        <v>17</v>
      </c>
      <c r="AI96" s="157">
        <v>65</v>
      </c>
      <c r="AJ96" s="113">
        <f t="shared" si="23"/>
        <v>82</v>
      </c>
      <c r="AK96" s="113">
        <f t="shared" si="24"/>
        <v>82</v>
      </c>
      <c r="AL96" s="158">
        <f t="shared" si="25"/>
        <v>1.02</v>
      </c>
      <c r="AM96" s="159"/>
      <c r="AN96" s="160">
        <f t="shared" si="28"/>
        <v>1</v>
      </c>
      <c r="AO96" s="160">
        <f t="shared" si="28"/>
        <v>2</v>
      </c>
      <c r="AP96" s="133"/>
      <c r="AQ96" s="134"/>
      <c r="AR96" s="161"/>
      <c r="AS96" s="161"/>
      <c r="AT96" s="161"/>
      <c r="AU96" s="161"/>
      <c r="AV96" s="162"/>
      <c r="AW96" s="137">
        <f t="shared" si="26"/>
        <v>0</v>
      </c>
      <c r="AX96" s="137">
        <f t="shared" si="27"/>
        <v>0</v>
      </c>
    </row>
    <row r="97" ht="46.5" customHeight="1" spans="1:50" s="97" customFormat="1" x14ac:dyDescent="0.25">
      <c r="A97" s="100"/>
      <c r="B97" s="100"/>
      <c r="C97" s="100"/>
      <c r="D97" s="100"/>
      <c r="E97" s="100"/>
      <c r="F97" s="100"/>
      <c r="G97" s="103"/>
      <c r="H97" s="186"/>
      <c r="I97" s="195">
        <v>0.51</v>
      </c>
      <c r="J97" s="107">
        <v>0.49</v>
      </c>
      <c r="K97" s="107"/>
      <c r="L97" s="107"/>
      <c r="M97" s="187"/>
      <c r="N97" s="169">
        <f t="shared" si="14"/>
        <v>1</v>
      </c>
      <c r="O97" s="144">
        <v>1</v>
      </c>
      <c r="P97" s="145">
        <v>15</v>
      </c>
      <c r="Q97" s="113">
        <v>15</v>
      </c>
      <c r="R97" s="113"/>
      <c r="S97" s="113"/>
      <c r="T97" s="146"/>
      <c r="U97" s="148">
        <f t="shared" si="17"/>
        <v>15</v>
      </c>
      <c r="V97" s="149">
        <f t="shared" si="18"/>
        <v>15</v>
      </c>
      <c r="W97" s="189"/>
      <c r="X97" s="199"/>
      <c r="Y97" s="151"/>
      <c r="Z97" s="190"/>
      <c r="AA97" s="153"/>
      <c r="AB97" s="154">
        <f t="shared" si="19"/>
        <v>0</v>
      </c>
      <c r="AC97" s="149">
        <f t="shared" si="20"/>
        <v>0</v>
      </c>
      <c r="AD97" s="125">
        <v>2</v>
      </c>
      <c r="AE97" s="148">
        <f t="shared" si="21"/>
        <v>2</v>
      </c>
      <c r="AF97" s="156"/>
      <c r="AG97" s="156"/>
      <c r="AH97" s="113">
        <f t="shared" si="22"/>
        <v>17</v>
      </c>
      <c r="AI97" s="157">
        <v>65</v>
      </c>
      <c r="AJ97" s="113">
        <f t="shared" si="23"/>
        <v>82</v>
      </c>
      <c r="AK97" s="113">
        <f t="shared" si="24"/>
        <v>82</v>
      </c>
      <c r="AL97" s="158">
        <f t="shared" si="25"/>
        <v>1.02</v>
      </c>
      <c r="AM97" s="159"/>
      <c r="AN97" s="160">
        <f t="shared" si="28"/>
        <v>1</v>
      </c>
      <c r="AO97" s="160">
        <f t="shared" si="28"/>
        <v>2</v>
      </c>
      <c r="AP97" s="133"/>
      <c r="AQ97" s="134"/>
      <c r="AR97" s="161"/>
      <c r="AS97" s="161"/>
      <c r="AT97" s="161"/>
      <c r="AU97" s="161"/>
      <c r="AV97" s="162"/>
      <c r="AW97" s="137">
        <f t="shared" si="26"/>
        <v>0</v>
      </c>
      <c r="AX97" s="137">
        <f t="shared" si="27"/>
        <v>0</v>
      </c>
    </row>
    <row r="98" ht="46.5" customHeight="1" spans="1:50" s="97" customFormat="1" x14ac:dyDescent="0.25">
      <c r="A98" s="100"/>
      <c r="B98" s="100"/>
      <c r="C98" s="100"/>
      <c r="D98" s="100"/>
      <c r="E98" s="100"/>
      <c r="F98" s="100"/>
      <c r="G98" s="103"/>
      <c r="H98" s="186"/>
      <c r="I98" s="195">
        <v>0.51</v>
      </c>
      <c r="J98" s="107">
        <v>0.49</v>
      </c>
      <c r="K98" s="107"/>
      <c r="L98" s="107"/>
      <c r="M98" s="187"/>
      <c r="N98" s="169">
        <f t="shared" si="14"/>
        <v>1</v>
      </c>
      <c r="O98" s="144">
        <v>1</v>
      </c>
      <c r="P98" s="145">
        <v>15</v>
      </c>
      <c r="Q98" s="113">
        <v>15</v>
      </c>
      <c r="R98" s="113"/>
      <c r="S98" s="113"/>
      <c r="T98" s="146"/>
      <c r="U98" s="148">
        <f t="shared" si="17"/>
        <v>15</v>
      </c>
      <c r="V98" s="149">
        <f t="shared" si="18"/>
        <v>15</v>
      </c>
      <c r="W98" s="189"/>
      <c r="X98" s="199"/>
      <c r="Y98" s="151"/>
      <c r="Z98" s="190"/>
      <c r="AA98" s="153"/>
      <c r="AB98" s="154">
        <f t="shared" si="19"/>
        <v>0</v>
      </c>
      <c r="AC98" s="149">
        <f t="shared" si="20"/>
        <v>0</v>
      </c>
      <c r="AD98" s="125">
        <v>2</v>
      </c>
      <c r="AE98" s="148">
        <f t="shared" si="21"/>
        <v>2</v>
      </c>
      <c r="AF98" s="156"/>
      <c r="AG98" s="156"/>
      <c r="AH98" s="113">
        <f t="shared" si="22"/>
        <v>17</v>
      </c>
      <c r="AI98" s="157">
        <v>65</v>
      </c>
      <c r="AJ98" s="113">
        <f t="shared" si="23"/>
        <v>82</v>
      </c>
      <c r="AK98" s="113">
        <f t="shared" si="24"/>
        <v>82</v>
      </c>
      <c r="AL98" s="158">
        <f t="shared" si="25"/>
        <v>1.02</v>
      </c>
      <c r="AM98" s="159"/>
      <c r="AN98" s="160">
        <f t="shared" si="28"/>
        <v>1</v>
      </c>
      <c r="AO98" s="160">
        <f t="shared" si="28"/>
        <v>2</v>
      </c>
      <c r="AP98" s="133"/>
      <c r="AQ98" s="134"/>
      <c r="AR98" s="161"/>
      <c r="AS98" s="161"/>
      <c r="AT98" s="161"/>
      <c r="AU98" s="161"/>
      <c r="AV98" s="162"/>
      <c r="AW98" s="137">
        <f t="shared" si="26"/>
        <v>0</v>
      </c>
      <c r="AX98" s="137">
        <f t="shared" si="27"/>
        <v>0</v>
      </c>
    </row>
    <row r="99" ht="46.5" customHeight="1" spans="1:50" s="97" customFormat="1" x14ac:dyDescent="0.25">
      <c r="A99" s="100"/>
      <c r="B99" s="100"/>
      <c r="C99" s="100"/>
      <c r="D99" s="100"/>
      <c r="E99" s="100"/>
      <c r="F99" s="100"/>
      <c r="G99" s="103"/>
      <c r="H99" s="186"/>
      <c r="I99" s="195">
        <v>0.51</v>
      </c>
      <c r="J99" s="107">
        <v>0.49</v>
      </c>
      <c r="K99" s="107"/>
      <c r="L99" s="107"/>
      <c r="M99" s="187"/>
      <c r="N99" s="169">
        <f t="shared" si="14"/>
        <v>1</v>
      </c>
      <c r="O99" s="144">
        <v>1</v>
      </c>
      <c r="P99" s="145">
        <v>15</v>
      </c>
      <c r="Q99" s="113">
        <v>15</v>
      </c>
      <c r="R99" s="113"/>
      <c r="S99" s="113"/>
      <c r="T99" s="146"/>
      <c r="U99" s="148">
        <f t="shared" si="17"/>
        <v>15</v>
      </c>
      <c r="V99" s="149">
        <f t="shared" si="18"/>
        <v>15</v>
      </c>
      <c r="W99" s="189"/>
      <c r="X99" s="199"/>
      <c r="Y99" s="151"/>
      <c r="Z99" s="190"/>
      <c r="AA99" s="153"/>
      <c r="AB99" s="154">
        <f t="shared" si="19"/>
        <v>0</v>
      </c>
      <c r="AC99" s="149">
        <f t="shared" si="20"/>
        <v>0</v>
      </c>
      <c r="AD99" s="125">
        <v>2</v>
      </c>
      <c r="AE99" s="148">
        <f t="shared" si="21"/>
        <v>2</v>
      </c>
      <c r="AF99" s="156"/>
      <c r="AG99" s="156"/>
      <c r="AH99" s="113">
        <f t="shared" si="22"/>
        <v>17</v>
      </c>
      <c r="AI99" s="157">
        <v>65</v>
      </c>
      <c r="AJ99" s="113">
        <f t="shared" si="23"/>
        <v>82</v>
      </c>
      <c r="AK99" s="113">
        <f t="shared" si="24"/>
        <v>82</v>
      </c>
      <c r="AL99" s="158">
        <f t="shared" si="25"/>
        <v>1.02</v>
      </c>
      <c r="AM99" s="159"/>
      <c r="AN99" s="160">
        <f t="shared" si="28"/>
        <v>1</v>
      </c>
      <c r="AO99" s="160">
        <f t="shared" si="28"/>
        <v>2</v>
      </c>
      <c r="AP99" s="133"/>
      <c r="AQ99" s="134"/>
      <c r="AR99" s="161"/>
      <c r="AS99" s="161"/>
      <c r="AT99" s="161"/>
      <c r="AU99" s="161"/>
      <c r="AV99" s="162"/>
      <c r="AW99" s="137">
        <f t="shared" si="26"/>
        <v>0</v>
      </c>
      <c r="AX99" s="137">
        <f t="shared" si="27"/>
        <v>0</v>
      </c>
    </row>
    <row r="100" ht="64.5" customHeight="1" spans="1:50" s="56" customFormat="1" x14ac:dyDescent="0.25">
      <c r="A100" s="100"/>
      <c r="B100" s="100"/>
      <c r="C100" s="100"/>
      <c r="D100" s="100"/>
      <c r="E100" s="100"/>
      <c r="F100" s="100"/>
      <c r="G100" s="103"/>
      <c r="H100" s="186"/>
      <c r="I100" s="195">
        <v>0.51</v>
      </c>
      <c r="J100" s="107">
        <v>0.49</v>
      </c>
      <c r="K100" s="107"/>
      <c r="L100" s="107"/>
      <c r="M100" s="187"/>
      <c r="N100" s="169">
        <f t="shared" si="14"/>
        <v>1</v>
      </c>
      <c r="O100" s="144">
        <v>1</v>
      </c>
      <c r="P100" s="145">
        <v>15</v>
      </c>
      <c r="Q100" s="113">
        <v>15</v>
      </c>
      <c r="R100" s="113"/>
      <c r="S100" s="113"/>
      <c r="T100" s="146"/>
      <c r="U100" s="148">
        <f t="shared" si="17"/>
        <v>15</v>
      </c>
      <c r="V100" s="149">
        <f t="shared" si="18"/>
        <v>15</v>
      </c>
      <c r="W100" s="189"/>
      <c r="X100" s="199"/>
      <c r="Y100" s="151"/>
      <c r="Z100" s="190"/>
      <c r="AA100" s="153"/>
      <c r="AB100" s="154">
        <f t="shared" si="19"/>
        <v>0</v>
      </c>
      <c r="AC100" s="149">
        <f t="shared" si="20"/>
        <v>0</v>
      </c>
      <c r="AD100" s="125">
        <v>2</v>
      </c>
      <c r="AE100" s="148">
        <f t="shared" si="21"/>
        <v>2</v>
      </c>
      <c r="AF100" s="156"/>
      <c r="AG100" s="156"/>
      <c r="AH100" s="113">
        <f t="shared" si="22"/>
        <v>17</v>
      </c>
      <c r="AI100" s="157">
        <v>65</v>
      </c>
      <c r="AJ100" s="113">
        <f t="shared" si="23"/>
        <v>82</v>
      </c>
      <c r="AK100" s="113">
        <f t="shared" si="24"/>
        <v>82</v>
      </c>
      <c r="AL100" s="158">
        <f t="shared" si="25"/>
        <v>1.02</v>
      </c>
      <c r="AM100" s="159"/>
      <c r="AN100" s="160">
        <f t="shared" si="28"/>
        <v>1</v>
      </c>
      <c r="AO100" s="160">
        <f t="shared" si="28"/>
        <v>2</v>
      </c>
      <c r="AP100" s="133"/>
      <c r="AQ100" s="134"/>
      <c r="AR100" s="161"/>
      <c r="AS100" s="161"/>
      <c r="AT100" s="161"/>
      <c r="AU100" s="161"/>
      <c r="AV100" s="162"/>
      <c r="AW100" s="137">
        <f t="shared" si="26"/>
        <v>0</v>
      </c>
      <c r="AX100" s="137">
        <f t="shared" si="27"/>
        <v>0</v>
      </c>
    </row>
    <row r="101" ht="46.5" customHeight="1" spans="1:50" s="97" customFormat="1" x14ac:dyDescent="0.25">
      <c r="A101" s="100"/>
      <c r="B101" s="100"/>
      <c r="C101" s="100"/>
      <c r="D101" s="100"/>
      <c r="E101" s="100"/>
      <c r="F101" s="100"/>
      <c r="G101" s="103"/>
      <c r="H101" s="186"/>
      <c r="I101" s="195">
        <v>0.51</v>
      </c>
      <c r="J101" s="107">
        <v>0.49</v>
      </c>
      <c r="K101" s="107"/>
      <c r="L101" s="107"/>
      <c r="M101" s="187"/>
      <c r="N101" s="169">
        <f t="shared" si="14"/>
        <v>1</v>
      </c>
      <c r="O101" s="144">
        <v>1</v>
      </c>
      <c r="P101" s="145">
        <v>15</v>
      </c>
      <c r="Q101" s="113">
        <v>15</v>
      </c>
      <c r="R101" s="113"/>
      <c r="S101" s="113"/>
      <c r="T101" s="146"/>
      <c r="U101" s="148">
        <f t="shared" si="17"/>
        <v>15</v>
      </c>
      <c r="V101" s="149">
        <f t="shared" si="18"/>
        <v>15</v>
      </c>
      <c r="W101" s="189"/>
      <c r="X101" s="199"/>
      <c r="Y101" s="151"/>
      <c r="Z101" s="190"/>
      <c r="AA101" s="153"/>
      <c r="AB101" s="154">
        <f t="shared" si="19"/>
        <v>0</v>
      </c>
      <c r="AC101" s="149">
        <f t="shared" si="20"/>
        <v>0</v>
      </c>
      <c r="AD101" s="125">
        <v>2</v>
      </c>
      <c r="AE101" s="148">
        <f t="shared" si="21"/>
        <v>2</v>
      </c>
      <c r="AF101" s="156"/>
      <c r="AG101" s="156"/>
      <c r="AH101" s="113">
        <f t="shared" si="22"/>
        <v>17</v>
      </c>
      <c r="AI101" s="157">
        <v>65</v>
      </c>
      <c r="AJ101" s="113">
        <f t="shared" si="23"/>
        <v>82</v>
      </c>
      <c r="AK101" s="113">
        <f t="shared" si="24"/>
        <v>82</v>
      </c>
      <c r="AL101" s="158">
        <f t="shared" si="25"/>
        <v>1.02</v>
      </c>
      <c r="AM101" s="159"/>
      <c r="AN101" s="160">
        <f t="shared" si="28"/>
        <v>1</v>
      </c>
      <c r="AO101" s="160">
        <f t="shared" si="28"/>
        <v>2</v>
      </c>
      <c r="AP101" s="133"/>
      <c r="AQ101" s="134"/>
      <c r="AR101" s="161"/>
      <c r="AS101" s="161"/>
      <c r="AT101" s="161"/>
      <c r="AU101" s="161"/>
      <c r="AV101" s="162"/>
      <c r="AW101" s="137">
        <f t="shared" si="26"/>
        <v>0</v>
      </c>
      <c r="AX101" s="137">
        <f t="shared" si="27"/>
        <v>0</v>
      </c>
    </row>
    <row r="102" ht="46.5" customHeight="1" spans="1:50" s="97" customFormat="1" x14ac:dyDescent="0.25">
      <c r="A102" s="100"/>
      <c r="B102" s="100"/>
      <c r="C102" s="100"/>
      <c r="D102" s="100"/>
      <c r="E102" s="100"/>
      <c r="F102" s="100"/>
      <c r="G102" s="103"/>
      <c r="H102" s="186"/>
      <c r="I102" s="195">
        <v>0.51</v>
      </c>
      <c r="J102" s="107">
        <v>0.49</v>
      </c>
      <c r="K102" s="107"/>
      <c r="L102" s="107"/>
      <c r="M102" s="187"/>
      <c r="N102" s="169">
        <f t="shared" si="14"/>
        <v>1</v>
      </c>
      <c r="O102" s="144">
        <v>1</v>
      </c>
      <c r="P102" s="145">
        <v>15</v>
      </c>
      <c r="Q102" s="113">
        <v>15</v>
      </c>
      <c r="R102" s="113"/>
      <c r="S102" s="113"/>
      <c r="T102" s="146"/>
      <c r="U102" s="148">
        <f t="shared" si="17"/>
        <v>15</v>
      </c>
      <c r="V102" s="149">
        <f t="shared" si="18"/>
        <v>15</v>
      </c>
      <c r="W102" s="189"/>
      <c r="X102" s="199"/>
      <c r="Y102" s="151"/>
      <c r="Z102" s="190"/>
      <c r="AA102" s="153"/>
      <c r="AB102" s="154">
        <f t="shared" si="19"/>
        <v>0</v>
      </c>
      <c r="AC102" s="149">
        <f t="shared" si="20"/>
        <v>0</v>
      </c>
      <c r="AD102" s="125">
        <v>2</v>
      </c>
      <c r="AE102" s="148">
        <f t="shared" si="21"/>
        <v>2</v>
      </c>
      <c r="AF102" s="156"/>
      <c r="AG102" s="156"/>
      <c r="AH102" s="113">
        <f t="shared" si="22"/>
        <v>17</v>
      </c>
      <c r="AI102" s="157">
        <v>65</v>
      </c>
      <c r="AJ102" s="113">
        <f t="shared" si="23"/>
        <v>82</v>
      </c>
      <c r="AK102" s="113">
        <f t="shared" si="24"/>
        <v>82</v>
      </c>
      <c r="AL102" s="158">
        <f t="shared" si="25"/>
        <v>1.02</v>
      </c>
      <c r="AM102" s="159"/>
      <c r="AN102" s="160">
        <f t="shared" si="28"/>
        <v>1</v>
      </c>
      <c r="AO102" s="160">
        <f t="shared" si="28"/>
        <v>2</v>
      </c>
      <c r="AP102" s="133"/>
      <c r="AQ102" s="134"/>
      <c r="AR102" s="161"/>
      <c r="AS102" s="161"/>
      <c r="AT102" s="161"/>
      <c r="AU102" s="161"/>
      <c r="AV102" s="162"/>
      <c r="AW102" s="137">
        <f t="shared" si="26"/>
        <v>0</v>
      </c>
      <c r="AX102" s="137">
        <f t="shared" si="27"/>
        <v>0</v>
      </c>
    </row>
    <row r="103" ht="46.5" customHeight="1" spans="1:50" s="97" customFormat="1" x14ac:dyDescent="0.25">
      <c r="A103" s="100"/>
      <c r="B103" s="100"/>
      <c r="C103" s="100"/>
      <c r="D103" s="100"/>
      <c r="E103" s="100"/>
      <c r="F103" s="100"/>
      <c r="G103" s="103"/>
      <c r="H103" s="186"/>
      <c r="I103" s="195">
        <v>0.51</v>
      </c>
      <c r="J103" s="107">
        <v>0.49</v>
      </c>
      <c r="K103" s="107"/>
      <c r="L103" s="107"/>
      <c r="M103" s="187"/>
      <c r="N103" s="169">
        <f t="shared" si="14"/>
        <v>1</v>
      </c>
      <c r="O103" s="144">
        <v>1</v>
      </c>
      <c r="P103" s="145">
        <v>15</v>
      </c>
      <c r="Q103" s="113">
        <v>15</v>
      </c>
      <c r="R103" s="113"/>
      <c r="S103" s="113"/>
      <c r="T103" s="146"/>
      <c r="U103" s="148">
        <f t="shared" si="17"/>
        <v>15</v>
      </c>
      <c r="V103" s="149">
        <f t="shared" si="18"/>
        <v>15</v>
      </c>
      <c r="W103" s="189"/>
      <c r="X103" s="199"/>
      <c r="Y103" s="151"/>
      <c r="Z103" s="190"/>
      <c r="AA103" s="153"/>
      <c r="AB103" s="154">
        <f t="shared" si="19"/>
        <v>0</v>
      </c>
      <c r="AC103" s="149">
        <f t="shared" si="20"/>
        <v>0</v>
      </c>
      <c r="AD103" s="125">
        <v>2</v>
      </c>
      <c r="AE103" s="148">
        <f t="shared" si="21"/>
        <v>2</v>
      </c>
      <c r="AF103" s="156"/>
      <c r="AG103" s="156"/>
      <c r="AH103" s="113">
        <f t="shared" si="22"/>
        <v>17</v>
      </c>
      <c r="AI103" s="157">
        <v>65</v>
      </c>
      <c r="AJ103" s="113">
        <f t="shared" si="23"/>
        <v>82</v>
      </c>
      <c r="AK103" s="113">
        <f t="shared" si="24"/>
        <v>82</v>
      </c>
      <c r="AL103" s="158">
        <f t="shared" si="25"/>
        <v>1.02</v>
      </c>
      <c r="AM103" s="159"/>
      <c r="AN103" s="160">
        <f t="shared" si="28"/>
        <v>1</v>
      </c>
      <c r="AO103" s="160">
        <f t="shared" si="28"/>
        <v>2</v>
      </c>
      <c r="AP103" s="133"/>
      <c r="AQ103" s="134"/>
      <c r="AR103" s="161"/>
      <c r="AS103" s="161"/>
      <c r="AT103" s="161"/>
      <c r="AU103" s="161"/>
      <c r="AV103" s="162"/>
      <c r="AW103" s="137">
        <f t="shared" si="26"/>
        <v>0</v>
      </c>
      <c r="AX103" s="137">
        <f t="shared" si="27"/>
        <v>0</v>
      </c>
    </row>
    <row r="104" ht="47.25" customHeight="1" spans="1:50" s="97" customFormat="1" x14ac:dyDescent="0.25">
      <c r="A104" s="100"/>
      <c r="B104" s="100"/>
      <c r="C104" s="100"/>
      <c r="D104" s="100"/>
      <c r="E104" s="100"/>
      <c r="F104" s="100"/>
      <c r="G104" s="103"/>
      <c r="H104" s="186"/>
      <c r="I104" s="195">
        <v>0.51</v>
      </c>
      <c r="J104" s="107">
        <v>0.49</v>
      </c>
      <c r="K104" s="107"/>
      <c r="L104" s="107"/>
      <c r="M104" s="187"/>
      <c r="N104" s="169">
        <f t="shared" si="14"/>
        <v>1</v>
      </c>
      <c r="O104" s="144">
        <v>1</v>
      </c>
      <c r="P104" s="145">
        <v>15</v>
      </c>
      <c r="Q104" s="113">
        <v>15</v>
      </c>
      <c r="R104" s="113"/>
      <c r="S104" s="113"/>
      <c r="T104" s="146"/>
      <c r="U104" s="148">
        <f t="shared" si="17"/>
        <v>15</v>
      </c>
      <c r="V104" s="149">
        <f t="shared" si="18"/>
        <v>15</v>
      </c>
      <c r="W104" s="189"/>
      <c r="X104" s="199"/>
      <c r="Y104" s="151"/>
      <c r="Z104" s="190"/>
      <c r="AA104" s="153"/>
      <c r="AB104" s="154">
        <f t="shared" si="19"/>
        <v>0</v>
      </c>
      <c r="AC104" s="149">
        <f t="shared" si="20"/>
        <v>0</v>
      </c>
      <c r="AD104" s="125">
        <v>2</v>
      </c>
      <c r="AE104" s="148">
        <f t="shared" si="21"/>
        <v>2</v>
      </c>
      <c r="AF104" s="156"/>
      <c r="AG104" s="156"/>
      <c r="AH104" s="113">
        <f t="shared" si="22"/>
        <v>17</v>
      </c>
      <c r="AI104" s="157">
        <v>65</v>
      </c>
      <c r="AJ104" s="113">
        <f t="shared" si="23"/>
        <v>82</v>
      </c>
      <c r="AK104" s="113">
        <f t="shared" si="24"/>
        <v>82</v>
      </c>
      <c r="AL104" s="158">
        <f t="shared" si="25"/>
        <v>1.02</v>
      </c>
      <c r="AM104" s="159"/>
      <c r="AN104" s="160">
        <f t="shared" si="28"/>
        <v>1</v>
      </c>
      <c r="AO104" s="160">
        <f t="shared" si="28"/>
        <v>2</v>
      </c>
      <c r="AP104" s="133"/>
      <c r="AQ104" s="134"/>
      <c r="AR104" s="161"/>
      <c r="AS104" s="161"/>
      <c r="AT104" s="161"/>
      <c r="AU104" s="161"/>
      <c r="AV104" s="162"/>
      <c r="AW104" s="137">
        <f t="shared" si="26"/>
        <v>0</v>
      </c>
      <c r="AX104" s="137">
        <f t="shared" si="27"/>
        <v>0</v>
      </c>
    </row>
    <row r="105" ht="46.5" customHeight="1" spans="1:50" s="97" customFormat="1" x14ac:dyDescent="0.25">
      <c r="A105" s="100"/>
      <c r="B105" s="100"/>
      <c r="C105" s="100"/>
      <c r="D105" s="100"/>
      <c r="E105" s="100"/>
      <c r="F105" s="100"/>
      <c r="G105" s="103"/>
      <c r="H105" s="186"/>
      <c r="I105" s="195">
        <v>0.51</v>
      </c>
      <c r="J105" s="107">
        <v>0.49</v>
      </c>
      <c r="K105" s="107"/>
      <c r="L105" s="107"/>
      <c r="M105" s="187"/>
      <c r="N105" s="169">
        <f t="shared" si="14"/>
        <v>1</v>
      </c>
      <c r="O105" s="144">
        <v>1</v>
      </c>
      <c r="P105" s="145">
        <v>15</v>
      </c>
      <c r="Q105" s="113">
        <v>15</v>
      </c>
      <c r="R105" s="113"/>
      <c r="S105" s="113"/>
      <c r="T105" s="146"/>
      <c r="U105" s="148">
        <f t="shared" si="17"/>
        <v>15</v>
      </c>
      <c r="V105" s="149">
        <f t="shared" si="18"/>
        <v>15</v>
      </c>
      <c r="W105" s="189"/>
      <c r="X105" s="199"/>
      <c r="Y105" s="151"/>
      <c r="Z105" s="190"/>
      <c r="AA105" s="153"/>
      <c r="AB105" s="154">
        <f t="shared" si="19"/>
        <v>0</v>
      </c>
      <c r="AC105" s="149">
        <f t="shared" si="20"/>
        <v>0</v>
      </c>
      <c r="AD105" s="125">
        <v>2</v>
      </c>
      <c r="AE105" s="148">
        <f t="shared" si="21"/>
        <v>2</v>
      </c>
      <c r="AF105" s="156"/>
      <c r="AG105" s="156"/>
      <c r="AH105" s="113">
        <f t="shared" si="22"/>
        <v>17</v>
      </c>
      <c r="AI105" s="157">
        <v>65</v>
      </c>
      <c r="AJ105" s="113">
        <f t="shared" si="23"/>
        <v>82</v>
      </c>
      <c r="AK105" s="113">
        <f t="shared" si="24"/>
        <v>82</v>
      </c>
      <c r="AL105" s="158">
        <f t="shared" si="25"/>
        <v>1.02</v>
      </c>
      <c r="AM105" s="159"/>
      <c r="AN105" s="160">
        <f t="shared" si="28"/>
        <v>1</v>
      </c>
      <c r="AO105" s="160">
        <f t="shared" si="28"/>
        <v>2</v>
      </c>
      <c r="AP105" s="133"/>
      <c r="AQ105" s="134"/>
      <c r="AR105" s="161"/>
      <c r="AS105" s="161"/>
      <c r="AT105" s="161"/>
      <c r="AU105" s="161"/>
      <c r="AV105" s="162"/>
      <c r="AW105" s="137">
        <f t="shared" si="26"/>
        <v>0</v>
      </c>
      <c r="AX105" s="137">
        <f t="shared" si="27"/>
        <v>0</v>
      </c>
    </row>
    <row r="106" ht="46.5" customHeight="1" spans="1:50" s="97" customFormat="1" x14ac:dyDescent="0.25">
      <c r="A106" s="100"/>
      <c r="B106" s="100"/>
      <c r="C106" s="100"/>
      <c r="D106" s="100"/>
      <c r="E106" s="100"/>
      <c r="F106" s="100"/>
      <c r="G106" s="103"/>
      <c r="H106" s="186"/>
      <c r="I106" s="195">
        <v>0.51</v>
      </c>
      <c r="J106" s="107">
        <v>0.49</v>
      </c>
      <c r="K106" s="107"/>
      <c r="L106" s="107"/>
      <c r="M106" s="187"/>
      <c r="N106" s="169">
        <f t="shared" si="14"/>
        <v>1</v>
      </c>
      <c r="O106" s="144">
        <v>1</v>
      </c>
      <c r="P106" s="145">
        <v>15</v>
      </c>
      <c r="Q106" s="113">
        <v>15</v>
      </c>
      <c r="R106" s="113"/>
      <c r="S106" s="113"/>
      <c r="T106" s="146"/>
      <c r="U106" s="148">
        <f t="shared" si="17"/>
        <v>15</v>
      </c>
      <c r="V106" s="149">
        <f t="shared" si="18"/>
        <v>15</v>
      </c>
      <c r="W106" s="189"/>
      <c r="X106" s="199"/>
      <c r="Y106" s="151"/>
      <c r="Z106" s="190"/>
      <c r="AA106" s="153"/>
      <c r="AB106" s="154">
        <f t="shared" si="19"/>
        <v>0</v>
      </c>
      <c r="AC106" s="149">
        <f t="shared" si="20"/>
        <v>0</v>
      </c>
      <c r="AD106" s="125">
        <v>2</v>
      </c>
      <c r="AE106" s="148">
        <f t="shared" si="21"/>
        <v>2</v>
      </c>
      <c r="AF106" s="156"/>
      <c r="AG106" s="156"/>
      <c r="AH106" s="113">
        <f t="shared" si="22"/>
        <v>17</v>
      </c>
      <c r="AI106" s="157">
        <v>65</v>
      </c>
      <c r="AJ106" s="113">
        <f t="shared" si="23"/>
        <v>82</v>
      </c>
      <c r="AK106" s="113">
        <f t="shared" si="24"/>
        <v>82</v>
      </c>
      <c r="AL106" s="158">
        <f t="shared" si="25"/>
        <v>1.02</v>
      </c>
      <c r="AM106" s="159"/>
      <c r="AN106" s="160">
        <f t="shared" si="28"/>
        <v>1</v>
      </c>
      <c r="AO106" s="160">
        <f t="shared" si="28"/>
        <v>2</v>
      </c>
      <c r="AP106" s="133"/>
      <c r="AQ106" s="134"/>
      <c r="AR106" s="161"/>
      <c r="AS106" s="161"/>
      <c r="AT106" s="161"/>
      <c r="AU106" s="161"/>
      <c r="AV106" s="162"/>
      <c r="AW106" s="137">
        <f t="shared" si="26"/>
        <v>0</v>
      </c>
      <c r="AX106" s="137">
        <f t="shared" si="27"/>
        <v>0</v>
      </c>
    </row>
    <row r="107" ht="46.5" customHeight="1" spans="1:50" s="97" customFormat="1" x14ac:dyDescent="0.25">
      <c r="A107" s="100"/>
      <c r="B107" s="100"/>
      <c r="C107" s="100"/>
      <c r="D107" s="100"/>
      <c r="E107" s="100"/>
      <c r="F107" s="100"/>
      <c r="G107" s="103"/>
      <c r="H107" s="186"/>
      <c r="I107" s="195">
        <v>0.51</v>
      </c>
      <c r="J107" s="107">
        <v>0.49</v>
      </c>
      <c r="K107" s="107"/>
      <c r="L107" s="107"/>
      <c r="M107" s="187"/>
      <c r="N107" s="169">
        <f t="shared" si="14"/>
        <v>1</v>
      </c>
      <c r="O107" s="144">
        <v>1</v>
      </c>
      <c r="P107" s="145">
        <v>15</v>
      </c>
      <c r="Q107" s="113">
        <v>15</v>
      </c>
      <c r="R107" s="113"/>
      <c r="S107" s="113"/>
      <c r="T107" s="146"/>
      <c r="U107" s="148">
        <f t="shared" si="17"/>
        <v>15</v>
      </c>
      <c r="V107" s="149">
        <f t="shared" si="18"/>
        <v>15</v>
      </c>
      <c r="W107" s="189"/>
      <c r="X107" s="199"/>
      <c r="Y107" s="151"/>
      <c r="Z107" s="190"/>
      <c r="AA107" s="153"/>
      <c r="AB107" s="154">
        <f t="shared" si="19"/>
        <v>0</v>
      </c>
      <c r="AC107" s="149">
        <f t="shared" si="20"/>
        <v>0</v>
      </c>
      <c r="AD107" s="125">
        <v>2</v>
      </c>
      <c r="AE107" s="148">
        <f t="shared" si="21"/>
        <v>2</v>
      </c>
      <c r="AF107" s="156"/>
      <c r="AG107" s="156"/>
      <c r="AH107" s="113">
        <f t="shared" si="22"/>
        <v>17</v>
      </c>
      <c r="AI107" s="157">
        <v>65</v>
      </c>
      <c r="AJ107" s="113">
        <f t="shared" si="23"/>
        <v>82</v>
      </c>
      <c r="AK107" s="113">
        <f t="shared" si="24"/>
        <v>82</v>
      </c>
      <c r="AL107" s="158">
        <f t="shared" si="25"/>
        <v>1.02</v>
      </c>
      <c r="AM107" s="159"/>
      <c r="AN107" s="160">
        <f t="shared" si="28"/>
        <v>1</v>
      </c>
      <c r="AO107" s="160">
        <f t="shared" si="28"/>
        <v>2</v>
      </c>
      <c r="AP107" s="133"/>
      <c r="AQ107" s="134"/>
      <c r="AR107" s="161"/>
      <c r="AS107" s="161"/>
      <c r="AT107" s="161"/>
      <c r="AU107" s="161"/>
      <c r="AV107" s="162"/>
      <c r="AW107" s="137">
        <f t="shared" si="26"/>
        <v>0</v>
      </c>
      <c r="AX107" s="137">
        <f t="shared" si="27"/>
        <v>0</v>
      </c>
    </row>
    <row r="108" ht="46.5" customHeight="1" spans="1:50" s="97" customFormat="1" x14ac:dyDescent="0.25">
      <c r="A108" s="100"/>
      <c r="B108" s="100"/>
      <c r="C108" s="100"/>
      <c r="D108" s="100"/>
      <c r="E108" s="100"/>
      <c r="F108" s="100"/>
      <c r="G108" s="103"/>
      <c r="H108" s="186"/>
      <c r="I108" s="195">
        <v>0.51</v>
      </c>
      <c r="J108" s="107">
        <v>0.49</v>
      </c>
      <c r="K108" s="107"/>
      <c r="L108" s="107"/>
      <c r="M108" s="187"/>
      <c r="N108" s="169">
        <f t="shared" si="14"/>
        <v>1</v>
      </c>
      <c r="O108" s="144">
        <v>1</v>
      </c>
      <c r="P108" s="145">
        <v>15</v>
      </c>
      <c r="Q108" s="113">
        <v>15</v>
      </c>
      <c r="R108" s="113"/>
      <c r="S108" s="113"/>
      <c r="T108" s="146"/>
      <c r="U108" s="148">
        <f t="shared" si="17"/>
        <v>15</v>
      </c>
      <c r="V108" s="149">
        <f t="shared" si="18"/>
        <v>15</v>
      </c>
      <c r="W108" s="189"/>
      <c r="X108" s="199"/>
      <c r="Y108" s="151"/>
      <c r="Z108" s="190"/>
      <c r="AA108" s="153"/>
      <c r="AB108" s="154">
        <f t="shared" si="19"/>
        <v>0</v>
      </c>
      <c r="AC108" s="149">
        <f t="shared" si="20"/>
        <v>0</v>
      </c>
      <c r="AD108" s="125">
        <v>2</v>
      </c>
      <c r="AE108" s="148">
        <f t="shared" si="21"/>
        <v>2</v>
      </c>
      <c r="AF108" s="156"/>
      <c r="AG108" s="156"/>
      <c r="AH108" s="113">
        <f t="shared" si="22"/>
        <v>17</v>
      </c>
      <c r="AI108" s="157">
        <v>65</v>
      </c>
      <c r="AJ108" s="113">
        <f t="shared" si="23"/>
        <v>82</v>
      </c>
      <c r="AK108" s="113">
        <f t="shared" si="24"/>
        <v>82</v>
      </c>
      <c r="AL108" s="158">
        <f t="shared" si="25"/>
        <v>1.02</v>
      </c>
      <c r="AM108" s="159"/>
      <c r="AN108" s="160">
        <f t="shared" si="28"/>
        <v>1</v>
      </c>
      <c r="AO108" s="160">
        <f t="shared" si="28"/>
        <v>2</v>
      </c>
      <c r="AP108" s="133"/>
      <c r="AQ108" s="134"/>
      <c r="AR108" s="161"/>
      <c r="AS108" s="161"/>
      <c r="AT108" s="161"/>
      <c r="AU108" s="161"/>
      <c r="AV108" s="162"/>
      <c r="AW108" s="137">
        <f t="shared" si="26"/>
        <v>0</v>
      </c>
      <c r="AX108" s="137">
        <f t="shared" si="27"/>
        <v>0</v>
      </c>
    </row>
    <row r="109" ht="47.25" customHeight="1" spans="1:50" s="56" customFormat="1" x14ac:dyDescent="0.25">
      <c r="A109" s="100"/>
      <c r="B109" s="100"/>
      <c r="C109" s="100"/>
      <c r="D109" s="100"/>
      <c r="E109" s="100"/>
      <c r="F109" s="100"/>
      <c r="G109" s="103"/>
      <c r="H109" s="186"/>
      <c r="I109" s="195">
        <v>0.51</v>
      </c>
      <c r="J109" s="107">
        <v>0.49</v>
      </c>
      <c r="K109" s="107"/>
      <c r="L109" s="107"/>
      <c r="M109" s="187"/>
      <c r="N109" s="169">
        <f t="shared" ref="N109:N138" si="29">SUM(I109:M109)</f>
        <v>1</v>
      </c>
      <c r="O109" s="144">
        <v>1</v>
      </c>
      <c r="P109" s="145">
        <v>15</v>
      </c>
      <c r="Q109" s="113">
        <v>15</v>
      </c>
      <c r="R109" s="113"/>
      <c r="S109" s="113"/>
      <c r="T109" s="146"/>
      <c r="U109" s="148">
        <f t="shared" si="17"/>
        <v>15</v>
      </c>
      <c r="V109" s="149">
        <f t="shared" si="18"/>
        <v>15</v>
      </c>
      <c r="W109" s="189"/>
      <c r="X109" s="199"/>
      <c r="Y109" s="151"/>
      <c r="Z109" s="190"/>
      <c r="AA109" s="153"/>
      <c r="AB109" s="154">
        <f t="shared" si="19"/>
        <v>0</v>
      </c>
      <c r="AC109" s="149">
        <f t="shared" si="20"/>
        <v>0</v>
      </c>
      <c r="AD109" s="125">
        <v>2</v>
      </c>
      <c r="AE109" s="148">
        <f t="shared" si="21"/>
        <v>2</v>
      </c>
      <c r="AF109" s="156"/>
      <c r="AG109" s="156"/>
      <c r="AH109" s="113">
        <f t="shared" si="22"/>
        <v>17</v>
      </c>
      <c r="AI109" s="157">
        <v>65</v>
      </c>
      <c r="AJ109" s="113">
        <f t="shared" si="23"/>
        <v>82</v>
      </c>
      <c r="AK109" s="113">
        <f t="shared" si="24"/>
        <v>82</v>
      </c>
      <c r="AL109" s="158">
        <f t="shared" si="25"/>
        <v>1.02</v>
      </c>
      <c r="AM109" s="159"/>
      <c r="AN109" s="160">
        <f t="shared" si="28"/>
        <v>1</v>
      </c>
      <c r="AO109" s="160">
        <f t="shared" si="28"/>
        <v>2</v>
      </c>
      <c r="AP109" s="133"/>
      <c r="AQ109" s="134"/>
      <c r="AR109" s="161"/>
      <c r="AS109" s="161"/>
      <c r="AT109" s="161"/>
      <c r="AU109" s="161"/>
      <c r="AV109" s="162"/>
      <c r="AW109" s="137">
        <f t="shared" si="26"/>
        <v>0</v>
      </c>
      <c r="AX109" s="137">
        <f t="shared" si="27"/>
        <v>0</v>
      </c>
    </row>
    <row r="110" ht="57" customHeight="1" spans="1:50" s="97" customFormat="1" x14ac:dyDescent="0.25">
      <c r="A110" s="100"/>
      <c r="B110" s="100"/>
      <c r="C110" s="100"/>
      <c r="D110" s="100"/>
      <c r="E110" s="100"/>
      <c r="F110" s="100"/>
      <c r="G110" s="103"/>
      <c r="H110" s="186"/>
      <c r="I110" s="195">
        <v>0.51</v>
      </c>
      <c r="J110" s="107">
        <v>0.49</v>
      </c>
      <c r="K110" s="107"/>
      <c r="L110" s="107"/>
      <c r="M110" s="187"/>
      <c r="N110" s="169">
        <f t="shared" si="29"/>
        <v>1</v>
      </c>
      <c r="O110" s="144">
        <v>1</v>
      </c>
      <c r="P110" s="145">
        <v>15</v>
      </c>
      <c r="Q110" s="113">
        <v>15</v>
      </c>
      <c r="R110" s="113"/>
      <c r="S110" s="113"/>
      <c r="T110" s="146"/>
      <c r="U110" s="148">
        <f t="shared" si="17"/>
        <v>15</v>
      </c>
      <c r="V110" s="149">
        <f t="shared" si="18"/>
        <v>15</v>
      </c>
      <c r="W110" s="189"/>
      <c r="X110" s="199"/>
      <c r="Y110" s="151"/>
      <c r="Z110" s="190"/>
      <c r="AA110" s="153"/>
      <c r="AB110" s="154">
        <f t="shared" si="19"/>
        <v>0</v>
      </c>
      <c r="AC110" s="149">
        <f t="shared" si="20"/>
        <v>0</v>
      </c>
      <c r="AD110" s="125">
        <v>2</v>
      </c>
      <c r="AE110" s="148">
        <f t="shared" si="21"/>
        <v>2</v>
      </c>
      <c r="AF110" s="156"/>
      <c r="AG110" s="156"/>
      <c r="AH110" s="113">
        <f t="shared" si="22"/>
        <v>17</v>
      </c>
      <c r="AI110" s="157">
        <v>65</v>
      </c>
      <c r="AJ110" s="113">
        <f t="shared" si="23"/>
        <v>82</v>
      </c>
      <c r="AK110" s="113">
        <f t="shared" si="24"/>
        <v>82</v>
      </c>
      <c r="AL110" s="158">
        <f t="shared" si="25"/>
        <v>1.02</v>
      </c>
      <c r="AM110" s="159"/>
      <c r="AN110" s="160">
        <f t="shared" si="28"/>
        <v>1</v>
      </c>
      <c r="AO110" s="160">
        <f t="shared" si="28"/>
        <v>2</v>
      </c>
      <c r="AP110" s="133"/>
      <c r="AQ110" s="134"/>
      <c r="AR110" s="161"/>
      <c r="AS110" s="161"/>
      <c r="AT110" s="161"/>
      <c r="AU110" s="161"/>
      <c r="AV110" s="162"/>
      <c r="AW110" s="137">
        <f t="shared" si="26"/>
        <v>0</v>
      </c>
      <c r="AX110" s="137">
        <f t="shared" si="27"/>
        <v>0</v>
      </c>
    </row>
    <row r="111" ht="46.5" customHeight="1" spans="1:50" s="97" customFormat="1" x14ac:dyDescent="0.25">
      <c r="A111" s="100"/>
      <c r="B111" s="100"/>
      <c r="C111" s="100"/>
      <c r="D111" s="100"/>
      <c r="E111" s="100"/>
      <c r="F111" s="100"/>
      <c r="G111" s="103"/>
      <c r="H111" s="186"/>
      <c r="I111" s="195">
        <v>0.51</v>
      </c>
      <c r="J111" s="107">
        <v>0.49</v>
      </c>
      <c r="K111" s="107"/>
      <c r="L111" s="107"/>
      <c r="M111" s="187"/>
      <c r="N111" s="169">
        <f t="shared" si="29"/>
        <v>1</v>
      </c>
      <c r="O111" s="144">
        <v>1</v>
      </c>
      <c r="P111" s="145">
        <v>15</v>
      </c>
      <c r="Q111" s="113">
        <v>15</v>
      </c>
      <c r="R111" s="113"/>
      <c r="S111" s="113"/>
      <c r="T111" s="146"/>
      <c r="U111" s="148">
        <f t="shared" si="17"/>
        <v>15</v>
      </c>
      <c r="V111" s="149">
        <f t="shared" si="18"/>
        <v>15</v>
      </c>
      <c r="W111" s="189"/>
      <c r="X111" s="199"/>
      <c r="Y111" s="151"/>
      <c r="Z111" s="190"/>
      <c r="AA111" s="153"/>
      <c r="AB111" s="154">
        <f t="shared" si="19"/>
        <v>0</v>
      </c>
      <c r="AC111" s="149">
        <f t="shared" si="20"/>
        <v>0</v>
      </c>
      <c r="AD111" s="125">
        <v>2</v>
      </c>
      <c r="AE111" s="148">
        <f t="shared" si="21"/>
        <v>2</v>
      </c>
      <c r="AF111" s="156"/>
      <c r="AG111" s="156"/>
      <c r="AH111" s="113">
        <f t="shared" si="22"/>
        <v>17</v>
      </c>
      <c r="AI111" s="157">
        <v>65</v>
      </c>
      <c r="AJ111" s="113">
        <f t="shared" si="23"/>
        <v>82</v>
      </c>
      <c r="AK111" s="113">
        <f t="shared" si="24"/>
        <v>82</v>
      </c>
      <c r="AL111" s="158">
        <f t="shared" si="25"/>
        <v>1.02</v>
      </c>
      <c r="AM111" s="159"/>
      <c r="AN111" s="160">
        <f t="shared" si="28"/>
        <v>1</v>
      </c>
      <c r="AO111" s="160">
        <f t="shared" si="28"/>
        <v>2</v>
      </c>
      <c r="AP111" s="133"/>
      <c r="AQ111" s="134"/>
      <c r="AR111" s="161"/>
      <c r="AS111" s="161"/>
      <c r="AT111" s="161"/>
      <c r="AU111" s="161"/>
      <c r="AV111" s="162"/>
      <c r="AW111" s="137">
        <f t="shared" si="26"/>
        <v>0</v>
      </c>
      <c r="AX111" s="137">
        <f t="shared" si="27"/>
        <v>0</v>
      </c>
    </row>
    <row r="112" ht="47.25" customHeight="1" spans="1:50" s="56" customFormat="1" x14ac:dyDescent="0.25">
      <c r="A112" s="100"/>
      <c r="B112" s="100"/>
      <c r="C112" s="100"/>
      <c r="D112" s="100"/>
      <c r="E112" s="100"/>
      <c r="F112" s="100"/>
      <c r="G112" s="103"/>
      <c r="H112" s="186"/>
      <c r="I112" s="195">
        <v>0.51</v>
      </c>
      <c r="J112" s="107">
        <v>0.49</v>
      </c>
      <c r="K112" s="107"/>
      <c r="L112" s="107"/>
      <c r="M112" s="187"/>
      <c r="N112" s="169">
        <f t="shared" si="29"/>
        <v>1</v>
      </c>
      <c r="O112" s="144">
        <v>1</v>
      </c>
      <c r="P112" s="145">
        <v>15</v>
      </c>
      <c r="Q112" s="113">
        <v>15</v>
      </c>
      <c r="R112" s="113"/>
      <c r="S112" s="113"/>
      <c r="T112" s="146"/>
      <c r="U112" s="148">
        <f t="shared" si="17"/>
        <v>15</v>
      </c>
      <c r="V112" s="149">
        <f t="shared" si="18"/>
        <v>15</v>
      </c>
      <c r="W112" s="189"/>
      <c r="X112" s="199"/>
      <c r="Y112" s="151"/>
      <c r="Z112" s="190"/>
      <c r="AA112" s="153"/>
      <c r="AB112" s="154">
        <f t="shared" si="19"/>
        <v>0</v>
      </c>
      <c r="AC112" s="149">
        <f t="shared" si="20"/>
        <v>0</v>
      </c>
      <c r="AD112" s="125">
        <v>2</v>
      </c>
      <c r="AE112" s="148">
        <f t="shared" si="21"/>
        <v>2</v>
      </c>
      <c r="AF112" s="156"/>
      <c r="AG112" s="156"/>
      <c r="AH112" s="113">
        <f t="shared" si="22"/>
        <v>17</v>
      </c>
      <c r="AI112" s="157">
        <v>65</v>
      </c>
      <c r="AJ112" s="113">
        <f t="shared" si="23"/>
        <v>82</v>
      </c>
      <c r="AK112" s="113">
        <f t="shared" si="24"/>
        <v>82</v>
      </c>
      <c r="AL112" s="158">
        <f t="shared" si="25"/>
        <v>1.02</v>
      </c>
      <c r="AM112" s="159"/>
      <c r="AN112" s="160">
        <f t="shared" si="28"/>
        <v>1</v>
      </c>
      <c r="AO112" s="160">
        <f t="shared" si="28"/>
        <v>2</v>
      </c>
      <c r="AP112" s="133"/>
      <c r="AQ112" s="134"/>
      <c r="AR112" s="161"/>
      <c r="AS112" s="161"/>
      <c r="AT112" s="161"/>
      <c r="AU112" s="161"/>
      <c r="AV112" s="162"/>
      <c r="AW112" s="137">
        <f t="shared" si="26"/>
        <v>0</v>
      </c>
      <c r="AX112" s="137">
        <f t="shared" si="27"/>
        <v>0</v>
      </c>
    </row>
    <row r="113" ht="46.5" customHeight="1" spans="1:50" s="97" customFormat="1" x14ac:dyDescent="0.25">
      <c r="A113" s="100"/>
      <c r="B113" s="100"/>
      <c r="C113" s="100"/>
      <c r="D113" s="100"/>
      <c r="E113" s="100"/>
      <c r="F113" s="100"/>
      <c r="G113" s="103"/>
      <c r="H113" s="186"/>
      <c r="I113" s="195">
        <v>0.51</v>
      </c>
      <c r="J113" s="107">
        <v>0.49</v>
      </c>
      <c r="K113" s="107"/>
      <c r="L113" s="107"/>
      <c r="M113" s="187"/>
      <c r="N113" s="169">
        <f t="shared" si="29"/>
        <v>1</v>
      </c>
      <c r="O113" s="144">
        <v>1</v>
      </c>
      <c r="P113" s="145">
        <v>15</v>
      </c>
      <c r="Q113" s="113">
        <v>15</v>
      </c>
      <c r="R113" s="113"/>
      <c r="S113" s="113"/>
      <c r="T113" s="146"/>
      <c r="U113" s="148">
        <f t="shared" si="17"/>
        <v>15</v>
      </c>
      <c r="V113" s="149">
        <f t="shared" si="18"/>
        <v>15</v>
      </c>
      <c r="W113" s="189"/>
      <c r="X113" s="199"/>
      <c r="Y113" s="151"/>
      <c r="Z113" s="190"/>
      <c r="AA113" s="153"/>
      <c r="AB113" s="154">
        <f t="shared" si="19"/>
        <v>0</v>
      </c>
      <c r="AC113" s="149">
        <f t="shared" si="20"/>
        <v>0</v>
      </c>
      <c r="AD113" s="125">
        <v>2</v>
      </c>
      <c r="AE113" s="148">
        <f t="shared" si="21"/>
        <v>2</v>
      </c>
      <c r="AF113" s="156"/>
      <c r="AG113" s="156"/>
      <c r="AH113" s="113">
        <f t="shared" si="22"/>
        <v>17</v>
      </c>
      <c r="AI113" s="157">
        <v>65</v>
      </c>
      <c r="AJ113" s="113">
        <f t="shared" si="23"/>
        <v>82</v>
      </c>
      <c r="AK113" s="113">
        <f t="shared" si="24"/>
        <v>82</v>
      </c>
      <c r="AL113" s="158">
        <f t="shared" si="25"/>
        <v>1.02</v>
      </c>
      <c r="AM113" s="159"/>
      <c r="AN113" s="160">
        <f t="shared" ref="AN113:AO132" si="30">100%+AM113</f>
        <v>1</v>
      </c>
      <c r="AO113" s="160">
        <f t="shared" si="30"/>
        <v>2</v>
      </c>
      <c r="AP113" s="133"/>
      <c r="AQ113" s="134"/>
      <c r="AR113" s="161"/>
      <c r="AS113" s="161"/>
      <c r="AT113" s="161"/>
      <c r="AU113" s="161"/>
      <c r="AV113" s="162"/>
      <c r="AW113" s="137">
        <f t="shared" si="26"/>
        <v>0</v>
      </c>
      <c r="AX113" s="137">
        <f t="shared" si="27"/>
        <v>0</v>
      </c>
    </row>
    <row r="114" ht="46.5" customHeight="1" spans="1:50" s="97" customFormat="1" x14ac:dyDescent="0.25">
      <c r="A114" s="100"/>
      <c r="B114" s="100"/>
      <c r="C114" s="100"/>
      <c r="D114" s="100"/>
      <c r="E114" s="100"/>
      <c r="F114" s="100"/>
      <c r="G114" s="103"/>
      <c r="H114" s="186"/>
      <c r="I114" s="195">
        <v>0.51</v>
      </c>
      <c r="J114" s="107">
        <v>0.49</v>
      </c>
      <c r="K114" s="107"/>
      <c r="L114" s="107"/>
      <c r="M114" s="187"/>
      <c r="N114" s="169">
        <f t="shared" si="29"/>
        <v>1</v>
      </c>
      <c r="O114" s="144">
        <v>1</v>
      </c>
      <c r="P114" s="145">
        <v>15</v>
      </c>
      <c r="Q114" s="113">
        <v>15</v>
      </c>
      <c r="R114" s="113"/>
      <c r="S114" s="113"/>
      <c r="T114" s="146"/>
      <c r="U114" s="148">
        <f t="shared" si="17"/>
        <v>15</v>
      </c>
      <c r="V114" s="149">
        <f t="shared" si="18"/>
        <v>15</v>
      </c>
      <c r="W114" s="189"/>
      <c r="X114" s="199"/>
      <c r="Y114" s="151"/>
      <c r="Z114" s="190"/>
      <c r="AA114" s="153"/>
      <c r="AB114" s="154">
        <f t="shared" si="19"/>
        <v>0</v>
      </c>
      <c r="AC114" s="149">
        <f t="shared" si="20"/>
        <v>0</v>
      </c>
      <c r="AD114" s="125">
        <v>2</v>
      </c>
      <c r="AE114" s="148">
        <f t="shared" si="21"/>
        <v>2</v>
      </c>
      <c r="AF114" s="156"/>
      <c r="AG114" s="156"/>
      <c r="AH114" s="113">
        <f t="shared" si="22"/>
        <v>17</v>
      </c>
      <c r="AI114" s="157">
        <v>65</v>
      </c>
      <c r="AJ114" s="113">
        <f t="shared" si="23"/>
        <v>82</v>
      </c>
      <c r="AK114" s="113">
        <f t="shared" si="24"/>
        <v>82</v>
      </c>
      <c r="AL114" s="158">
        <f t="shared" si="25"/>
        <v>1.02</v>
      </c>
      <c r="AM114" s="159"/>
      <c r="AN114" s="160">
        <f t="shared" si="30"/>
        <v>1</v>
      </c>
      <c r="AO114" s="160">
        <f t="shared" si="30"/>
        <v>2</v>
      </c>
      <c r="AP114" s="133"/>
      <c r="AQ114" s="134"/>
      <c r="AR114" s="161"/>
      <c r="AS114" s="161"/>
      <c r="AT114" s="161"/>
      <c r="AU114" s="161"/>
      <c r="AV114" s="162"/>
      <c r="AW114" s="137">
        <f t="shared" si="26"/>
        <v>0</v>
      </c>
      <c r="AX114" s="137">
        <f t="shared" si="27"/>
        <v>0</v>
      </c>
    </row>
    <row r="115" ht="46.5" customHeight="1" spans="1:50" s="97" customFormat="1" x14ac:dyDescent="0.25">
      <c r="A115" s="100"/>
      <c r="B115" s="100"/>
      <c r="C115" s="100"/>
      <c r="D115" s="100"/>
      <c r="E115" s="100"/>
      <c r="F115" s="100"/>
      <c r="G115" s="103"/>
      <c r="H115" s="186"/>
      <c r="I115" s="195">
        <v>0.51</v>
      </c>
      <c r="J115" s="107">
        <v>0.49</v>
      </c>
      <c r="K115" s="107"/>
      <c r="L115" s="107"/>
      <c r="M115" s="187"/>
      <c r="N115" s="169">
        <f t="shared" si="29"/>
        <v>1</v>
      </c>
      <c r="O115" s="144">
        <v>1</v>
      </c>
      <c r="P115" s="145">
        <v>15</v>
      </c>
      <c r="Q115" s="113">
        <v>15</v>
      </c>
      <c r="R115" s="113"/>
      <c r="S115" s="113"/>
      <c r="T115" s="146"/>
      <c r="U115" s="148">
        <f t="shared" si="17"/>
        <v>15</v>
      </c>
      <c r="V115" s="149">
        <f t="shared" si="18"/>
        <v>15</v>
      </c>
      <c r="W115" s="189"/>
      <c r="X115" s="199"/>
      <c r="Y115" s="151"/>
      <c r="Z115" s="190"/>
      <c r="AA115" s="153"/>
      <c r="AB115" s="154">
        <f t="shared" si="19"/>
        <v>0</v>
      </c>
      <c r="AC115" s="149">
        <f t="shared" si="20"/>
        <v>0</v>
      </c>
      <c r="AD115" s="125">
        <v>2</v>
      </c>
      <c r="AE115" s="148">
        <f t="shared" si="21"/>
        <v>2</v>
      </c>
      <c r="AF115" s="156"/>
      <c r="AG115" s="156"/>
      <c r="AH115" s="113">
        <f t="shared" si="22"/>
        <v>17</v>
      </c>
      <c r="AI115" s="157">
        <v>65</v>
      </c>
      <c r="AJ115" s="113">
        <f t="shared" si="23"/>
        <v>82</v>
      </c>
      <c r="AK115" s="113">
        <f t="shared" si="24"/>
        <v>82</v>
      </c>
      <c r="AL115" s="158">
        <f t="shared" si="25"/>
        <v>1.02</v>
      </c>
      <c r="AM115" s="159"/>
      <c r="AN115" s="160">
        <f t="shared" si="30"/>
        <v>1</v>
      </c>
      <c r="AO115" s="160">
        <f t="shared" si="30"/>
        <v>2</v>
      </c>
      <c r="AP115" s="133"/>
      <c r="AQ115" s="134"/>
      <c r="AR115" s="161"/>
      <c r="AS115" s="161"/>
      <c r="AT115" s="161"/>
      <c r="AU115" s="161"/>
      <c r="AV115" s="162"/>
      <c r="AW115" s="137">
        <f t="shared" si="26"/>
        <v>0</v>
      </c>
      <c r="AX115" s="137">
        <f t="shared" si="27"/>
        <v>0</v>
      </c>
    </row>
    <row r="116" ht="53.25" customHeight="1" spans="1:50" s="97" customFormat="1" x14ac:dyDescent="0.25">
      <c r="A116" s="100"/>
      <c r="B116" s="100"/>
      <c r="C116" s="100"/>
      <c r="D116" s="100"/>
      <c r="E116" s="100"/>
      <c r="F116" s="100"/>
      <c r="G116" s="103"/>
      <c r="H116" s="186"/>
      <c r="I116" s="195">
        <v>0.51</v>
      </c>
      <c r="J116" s="107">
        <v>0.49</v>
      </c>
      <c r="K116" s="107"/>
      <c r="L116" s="107"/>
      <c r="M116" s="187"/>
      <c r="N116" s="169">
        <f t="shared" si="29"/>
        <v>1</v>
      </c>
      <c r="O116" s="144">
        <v>1</v>
      </c>
      <c r="P116" s="145">
        <v>15</v>
      </c>
      <c r="Q116" s="113">
        <v>15</v>
      </c>
      <c r="R116" s="113"/>
      <c r="S116" s="113"/>
      <c r="T116" s="146"/>
      <c r="U116" s="148">
        <f t="shared" si="17"/>
        <v>15</v>
      </c>
      <c r="V116" s="149">
        <f t="shared" si="18"/>
        <v>15</v>
      </c>
      <c r="W116" s="189"/>
      <c r="X116" s="199"/>
      <c r="Y116" s="151"/>
      <c r="Z116" s="190"/>
      <c r="AA116" s="153"/>
      <c r="AB116" s="154">
        <f t="shared" si="19"/>
        <v>0</v>
      </c>
      <c r="AC116" s="149">
        <f t="shared" si="20"/>
        <v>0</v>
      </c>
      <c r="AD116" s="125">
        <v>2</v>
      </c>
      <c r="AE116" s="148">
        <f t="shared" si="21"/>
        <v>2</v>
      </c>
      <c r="AF116" s="156"/>
      <c r="AG116" s="156"/>
      <c r="AH116" s="113">
        <f t="shared" si="22"/>
        <v>17</v>
      </c>
      <c r="AI116" s="157">
        <v>65</v>
      </c>
      <c r="AJ116" s="113">
        <f t="shared" si="23"/>
        <v>82</v>
      </c>
      <c r="AK116" s="113">
        <f t="shared" si="24"/>
        <v>82</v>
      </c>
      <c r="AL116" s="158">
        <f t="shared" si="25"/>
        <v>1.02</v>
      </c>
      <c r="AM116" s="159"/>
      <c r="AN116" s="160">
        <f t="shared" si="30"/>
        <v>1</v>
      </c>
      <c r="AO116" s="160">
        <f t="shared" si="30"/>
        <v>2</v>
      </c>
      <c r="AP116" s="133"/>
      <c r="AQ116" s="134"/>
      <c r="AR116" s="161"/>
      <c r="AS116" s="161"/>
      <c r="AT116" s="161"/>
      <c r="AU116" s="161"/>
      <c r="AV116" s="162"/>
      <c r="AW116" s="137">
        <f t="shared" si="26"/>
        <v>0</v>
      </c>
      <c r="AX116" s="137">
        <f t="shared" si="27"/>
        <v>0</v>
      </c>
    </row>
    <row r="117" ht="46.5" customHeight="1" spans="1:50" s="97" customFormat="1" x14ac:dyDescent="0.25">
      <c r="A117" s="100"/>
      <c r="B117" s="100"/>
      <c r="C117" s="100"/>
      <c r="D117" s="100"/>
      <c r="E117" s="100"/>
      <c r="F117" s="100"/>
      <c r="G117" s="103"/>
      <c r="H117" s="186"/>
      <c r="I117" s="195">
        <v>0.51</v>
      </c>
      <c r="J117" s="107">
        <v>0.49</v>
      </c>
      <c r="K117" s="107"/>
      <c r="L117" s="107"/>
      <c r="M117" s="187"/>
      <c r="N117" s="169">
        <f t="shared" si="29"/>
        <v>1</v>
      </c>
      <c r="O117" s="144">
        <v>1</v>
      </c>
      <c r="P117" s="145">
        <v>15</v>
      </c>
      <c r="Q117" s="113">
        <v>15</v>
      </c>
      <c r="R117" s="113"/>
      <c r="S117" s="113"/>
      <c r="T117" s="146"/>
      <c r="U117" s="148">
        <f t="shared" si="17"/>
        <v>15</v>
      </c>
      <c r="V117" s="149">
        <f t="shared" si="18"/>
        <v>15</v>
      </c>
      <c r="W117" s="189"/>
      <c r="X117" s="199"/>
      <c r="Y117" s="151"/>
      <c r="Z117" s="190"/>
      <c r="AA117" s="153"/>
      <c r="AB117" s="154">
        <f t="shared" si="19"/>
        <v>0</v>
      </c>
      <c r="AC117" s="149">
        <f t="shared" si="20"/>
        <v>0</v>
      </c>
      <c r="AD117" s="125">
        <v>2</v>
      </c>
      <c r="AE117" s="148">
        <f t="shared" si="21"/>
        <v>2</v>
      </c>
      <c r="AF117" s="156"/>
      <c r="AG117" s="156"/>
      <c r="AH117" s="113">
        <f t="shared" si="22"/>
        <v>17</v>
      </c>
      <c r="AI117" s="157">
        <v>65</v>
      </c>
      <c r="AJ117" s="113">
        <f t="shared" si="23"/>
        <v>82</v>
      </c>
      <c r="AK117" s="113">
        <f t="shared" si="24"/>
        <v>82</v>
      </c>
      <c r="AL117" s="158">
        <f t="shared" si="25"/>
        <v>1.02</v>
      </c>
      <c r="AM117" s="159"/>
      <c r="AN117" s="160">
        <f t="shared" si="30"/>
        <v>1</v>
      </c>
      <c r="AO117" s="160">
        <f t="shared" si="30"/>
        <v>2</v>
      </c>
      <c r="AP117" s="133"/>
      <c r="AQ117" s="134"/>
      <c r="AR117" s="161"/>
      <c r="AS117" s="161"/>
      <c r="AT117" s="161"/>
      <c r="AU117" s="161"/>
      <c r="AV117" s="162"/>
      <c r="AW117" s="137">
        <f t="shared" si="26"/>
        <v>0</v>
      </c>
      <c r="AX117" s="137">
        <f t="shared" si="27"/>
        <v>0</v>
      </c>
    </row>
    <row r="118" ht="46.5" customHeight="1" spans="1:50" s="97" customFormat="1" x14ac:dyDescent="0.25">
      <c r="A118" s="100"/>
      <c r="B118" s="100"/>
      <c r="C118" s="100"/>
      <c r="D118" s="100"/>
      <c r="E118" s="100"/>
      <c r="F118" s="100"/>
      <c r="G118" s="103"/>
      <c r="H118" s="186"/>
      <c r="I118" s="195">
        <v>0.51</v>
      </c>
      <c r="J118" s="107">
        <v>0.49</v>
      </c>
      <c r="K118" s="107"/>
      <c r="L118" s="107"/>
      <c r="M118" s="187"/>
      <c r="N118" s="169">
        <f t="shared" si="29"/>
        <v>1</v>
      </c>
      <c r="O118" s="144">
        <v>1</v>
      </c>
      <c r="P118" s="145">
        <v>15</v>
      </c>
      <c r="Q118" s="113">
        <v>15</v>
      </c>
      <c r="R118" s="113"/>
      <c r="S118" s="113"/>
      <c r="T118" s="146"/>
      <c r="U118" s="148">
        <f t="shared" si="17"/>
        <v>15</v>
      </c>
      <c r="V118" s="149">
        <f t="shared" si="18"/>
        <v>15</v>
      </c>
      <c r="W118" s="189"/>
      <c r="X118" s="199"/>
      <c r="Y118" s="151"/>
      <c r="Z118" s="190"/>
      <c r="AA118" s="153"/>
      <c r="AB118" s="154">
        <f t="shared" si="19"/>
        <v>0</v>
      </c>
      <c r="AC118" s="149">
        <f t="shared" si="20"/>
        <v>0</v>
      </c>
      <c r="AD118" s="125">
        <v>2</v>
      </c>
      <c r="AE118" s="148">
        <f t="shared" si="21"/>
        <v>2</v>
      </c>
      <c r="AF118" s="156"/>
      <c r="AG118" s="156"/>
      <c r="AH118" s="113">
        <f t="shared" si="22"/>
        <v>17</v>
      </c>
      <c r="AI118" s="157">
        <v>65</v>
      </c>
      <c r="AJ118" s="113">
        <f t="shared" si="23"/>
        <v>82</v>
      </c>
      <c r="AK118" s="113">
        <f t="shared" si="24"/>
        <v>82</v>
      </c>
      <c r="AL118" s="158">
        <f t="shared" si="25"/>
        <v>1.02</v>
      </c>
      <c r="AM118" s="159"/>
      <c r="AN118" s="160">
        <f t="shared" si="30"/>
        <v>1</v>
      </c>
      <c r="AO118" s="160">
        <f t="shared" si="30"/>
        <v>2</v>
      </c>
      <c r="AP118" s="133"/>
      <c r="AQ118" s="134"/>
      <c r="AR118" s="161"/>
      <c r="AS118" s="161"/>
      <c r="AT118" s="161"/>
      <c r="AU118" s="161"/>
      <c r="AV118" s="162"/>
      <c r="AW118" s="137">
        <f t="shared" si="26"/>
        <v>0</v>
      </c>
      <c r="AX118" s="137">
        <f t="shared" si="27"/>
        <v>0</v>
      </c>
    </row>
    <row r="119" ht="46.5" customHeight="1" spans="1:50" s="97" customFormat="1" x14ac:dyDescent="0.25">
      <c r="A119" s="100"/>
      <c r="B119" s="100"/>
      <c r="C119" s="100"/>
      <c r="D119" s="100"/>
      <c r="E119" s="100"/>
      <c r="F119" s="100"/>
      <c r="G119" s="103"/>
      <c r="H119" s="186"/>
      <c r="I119" s="195">
        <v>0.51</v>
      </c>
      <c r="J119" s="107">
        <v>0.49</v>
      </c>
      <c r="K119" s="107"/>
      <c r="L119" s="107"/>
      <c r="M119" s="187"/>
      <c r="N119" s="169">
        <f t="shared" si="29"/>
        <v>1</v>
      </c>
      <c r="O119" s="144">
        <v>1</v>
      </c>
      <c r="P119" s="145">
        <v>15</v>
      </c>
      <c r="Q119" s="113">
        <v>15</v>
      </c>
      <c r="R119" s="113"/>
      <c r="S119" s="113"/>
      <c r="T119" s="146"/>
      <c r="U119" s="148">
        <f t="shared" si="17"/>
        <v>15</v>
      </c>
      <c r="V119" s="149">
        <f t="shared" si="18"/>
        <v>15</v>
      </c>
      <c r="W119" s="189"/>
      <c r="X119" s="199"/>
      <c r="Y119" s="151"/>
      <c r="Z119" s="190"/>
      <c r="AA119" s="153"/>
      <c r="AB119" s="154">
        <f t="shared" si="19"/>
        <v>0</v>
      </c>
      <c r="AC119" s="149">
        <f t="shared" si="20"/>
        <v>0</v>
      </c>
      <c r="AD119" s="125">
        <v>2</v>
      </c>
      <c r="AE119" s="148">
        <f t="shared" si="21"/>
        <v>2</v>
      </c>
      <c r="AF119" s="156"/>
      <c r="AG119" s="156"/>
      <c r="AH119" s="113">
        <f t="shared" si="22"/>
        <v>17</v>
      </c>
      <c r="AI119" s="157">
        <v>65</v>
      </c>
      <c r="AJ119" s="113">
        <f t="shared" si="23"/>
        <v>82</v>
      </c>
      <c r="AK119" s="113">
        <f t="shared" si="24"/>
        <v>82</v>
      </c>
      <c r="AL119" s="158">
        <f t="shared" si="25"/>
        <v>1.02</v>
      </c>
      <c r="AM119" s="159"/>
      <c r="AN119" s="160">
        <f t="shared" si="30"/>
        <v>1</v>
      </c>
      <c r="AO119" s="160">
        <f t="shared" si="30"/>
        <v>2</v>
      </c>
      <c r="AP119" s="133"/>
      <c r="AQ119" s="134"/>
      <c r="AR119" s="161"/>
      <c r="AS119" s="161"/>
      <c r="AT119" s="161"/>
      <c r="AU119" s="161"/>
      <c r="AV119" s="162"/>
      <c r="AW119" s="137">
        <f t="shared" si="26"/>
        <v>0</v>
      </c>
      <c r="AX119" s="137">
        <f t="shared" si="27"/>
        <v>0</v>
      </c>
    </row>
    <row r="120" ht="47.25" customHeight="1" spans="1:50" s="56" customFormat="1" x14ac:dyDescent="0.25">
      <c r="A120" s="100"/>
      <c r="B120" s="100"/>
      <c r="C120" s="100"/>
      <c r="D120" s="100"/>
      <c r="E120" s="100"/>
      <c r="F120" s="100"/>
      <c r="G120" s="103"/>
      <c r="H120" s="186"/>
      <c r="I120" s="195">
        <v>0.51</v>
      </c>
      <c r="J120" s="107">
        <v>0.49</v>
      </c>
      <c r="K120" s="107"/>
      <c r="L120" s="107"/>
      <c r="M120" s="187"/>
      <c r="N120" s="169">
        <f t="shared" si="29"/>
        <v>1</v>
      </c>
      <c r="O120" s="144">
        <v>1</v>
      </c>
      <c r="P120" s="145">
        <v>15</v>
      </c>
      <c r="Q120" s="113">
        <v>15</v>
      </c>
      <c r="R120" s="113"/>
      <c r="S120" s="113"/>
      <c r="T120" s="146"/>
      <c r="U120" s="148">
        <f t="shared" si="17"/>
        <v>15</v>
      </c>
      <c r="V120" s="149">
        <f t="shared" si="18"/>
        <v>15</v>
      </c>
      <c r="W120" s="189"/>
      <c r="X120" s="199"/>
      <c r="Y120" s="151"/>
      <c r="Z120" s="190"/>
      <c r="AA120" s="153"/>
      <c r="AB120" s="154">
        <f t="shared" si="19"/>
        <v>0</v>
      </c>
      <c r="AC120" s="149">
        <f t="shared" si="20"/>
        <v>0</v>
      </c>
      <c r="AD120" s="125">
        <v>2</v>
      </c>
      <c r="AE120" s="148">
        <f t="shared" si="21"/>
        <v>2</v>
      </c>
      <c r="AF120" s="156"/>
      <c r="AG120" s="156"/>
      <c r="AH120" s="113">
        <f t="shared" si="22"/>
        <v>17</v>
      </c>
      <c r="AI120" s="157">
        <v>65</v>
      </c>
      <c r="AJ120" s="113">
        <f t="shared" si="23"/>
        <v>82</v>
      </c>
      <c r="AK120" s="113">
        <f t="shared" si="24"/>
        <v>82</v>
      </c>
      <c r="AL120" s="158">
        <f t="shared" si="25"/>
        <v>1.02</v>
      </c>
      <c r="AM120" s="159"/>
      <c r="AN120" s="160">
        <f t="shared" si="30"/>
        <v>1</v>
      </c>
      <c r="AO120" s="160">
        <f t="shared" si="30"/>
        <v>2</v>
      </c>
      <c r="AP120" s="133"/>
      <c r="AQ120" s="134"/>
      <c r="AR120" s="161"/>
      <c r="AS120" s="161"/>
      <c r="AT120" s="161"/>
      <c r="AU120" s="161"/>
      <c r="AV120" s="162"/>
      <c r="AW120" s="137">
        <f t="shared" si="26"/>
        <v>0</v>
      </c>
      <c r="AX120" s="137">
        <f t="shared" si="27"/>
        <v>0</v>
      </c>
    </row>
    <row r="121" ht="47.25" customHeight="1" spans="1:50" s="56" customFormat="1" x14ac:dyDescent="0.25">
      <c r="A121" s="100"/>
      <c r="B121" s="100"/>
      <c r="C121" s="100"/>
      <c r="D121" s="100"/>
      <c r="E121" s="100"/>
      <c r="F121" s="100"/>
      <c r="G121" s="103"/>
      <c r="H121" s="186"/>
      <c r="I121" s="195">
        <v>0.51</v>
      </c>
      <c r="J121" s="107">
        <v>0.49</v>
      </c>
      <c r="K121" s="107"/>
      <c r="L121" s="107"/>
      <c r="M121" s="187"/>
      <c r="N121" s="169">
        <f t="shared" si="29"/>
        <v>1</v>
      </c>
      <c r="O121" s="144">
        <v>1</v>
      </c>
      <c r="P121" s="145">
        <v>15</v>
      </c>
      <c r="Q121" s="113">
        <v>15</v>
      </c>
      <c r="R121" s="113"/>
      <c r="S121" s="113"/>
      <c r="T121" s="146"/>
      <c r="U121" s="148">
        <f t="shared" si="17"/>
        <v>15</v>
      </c>
      <c r="V121" s="149">
        <f t="shared" si="18"/>
        <v>15</v>
      </c>
      <c r="W121" s="189"/>
      <c r="X121" s="199"/>
      <c r="Y121" s="151"/>
      <c r="Z121" s="190"/>
      <c r="AA121" s="153"/>
      <c r="AB121" s="154">
        <f t="shared" si="19"/>
        <v>0</v>
      </c>
      <c r="AC121" s="149">
        <f t="shared" si="20"/>
        <v>0</v>
      </c>
      <c r="AD121" s="125">
        <v>2</v>
      </c>
      <c r="AE121" s="148">
        <f t="shared" si="21"/>
        <v>2</v>
      </c>
      <c r="AF121" s="156"/>
      <c r="AG121" s="156"/>
      <c r="AH121" s="113">
        <f t="shared" si="22"/>
        <v>17</v>
      </c>
      <c r="AI121" s="157">
        <v>65</v>
      </c>
      <c r="AJ121" s="113">
        <f t="shared" si="23"/>
        <v>82</v>
      </c>
      <c r="AK121" s="113">
        <f t="shared" si="24"/>
        <v>82</v>
      </c>
      <c r="AL121" s="158">
        <f t="shared" si="25"/>
        <v>1.02</v>
      </c>
      <c r="AM121" s="159"/>
      <c r="AN121" s="160">
        <f t="shared" si="30"/>
        <v>1</v>
      </c>
      <c r="AO121" s="160">
        <f t="shared" si="30"/>
        <v>2</v>
      </c>
      <c r="AP121" s="133"/>
      <c r="AQ121" s="134"/>
      <c r="AR121" s="161"/>
      <c r="AS121" s="161"/>
      <c r="AT121" s="161"/>
      <c r="AU121" s="161"/>
      <c r="AV121" s="162"/>
      <c r="AW121" s="137">
        <f t="shared" si="26"/>
        <v>0</v>
      </c>
      <c r="AX121" s="137">
        <f t="shared" si="27"/>
        <v>0</v>
      </c>
    </row>
    <row r="122" ht="46.5" customHeight="1" spans="1:50" s="97" customFormat="1" x14ac:dyDescent="0.25">
      <c r="A122" s="100"/>
      <c r="B122" s="100"/>
      <c r="C122" s="100"/>
      <c r="D122" s="100"/>
      <c r="E122" s="100"/>
      <c r="F122" s="100"/>
      <c r="G122" s="103"/>
      <c r="H122" s="186"/>
      <c r="I122" s="195">
        <v>0.51</v>
      </c>
      <c r="J122" s="107">
        <v>0.49</v>
      </c>
      <c r="K122" s="107"/>
      <c r="L122" s="107"/>
      <c r="M122" s="187"/>
      <c r="N122" s="169">
        <f t="shared" si="29"/>
        <v>1</v>
      </c>
      <c r="O122" s="144">
        <v>1</v>
      </c>
      <c r="P122" s="145">
        <v>15</v>
      </c>
      <c r="Q122" s="113">
        <v>15</v>
      </c>
      <c r="R122" s="113"/>
      <c r="S122" s="113"/>
      <c r="T122" s="146"/>
      <c r="U122" s="148">
        <f t="shared" si="17"/>
        <v>15</v>
      </c>
      <c r="V122" s="149">
        <f t="shared" si="18"/>
        <v>15</v>
      </c>
      <c r="W122" s="189"/>
      <c r="X122" s="199"/>
      <c r="Y122" s="151"/>
      <c r="Z122" s="190"/>
      <c r="AA122" s="153"/>
      <c r="AB122" s="154">
        <f t="shared" si="19"/>
        <v>0</v>
      </c>
      <c r="AC122" s="149">
        <f t="shared" si="20"/>
        <v>0</v>
      </c>
      <c r="AD122" s="125">
        <v>2</v>
      </c>
      <c r="AE122" s="148">
        <f t="shared" si="21"/>
        <v>2</v>
      </c>
      <c r="AF122" s="156"/>
      <c r="AG122" s="156"/>
      <c r="AH122" s="113">
        <f t="shared" si="22"/>
        <v>17</v>
      </c>
      <c r="AI122" s="157">
        <v>65</v>
      </c>
      <c r="AJ122" s="113">
        <f t="shared" si="23"/>
        <v>82</v>
      </c>
      <c r="AK122" s="113">
        <f t="shared" si="24"/>
        <v>82</v>
      </c>
      <c r="AL122" s="158">
        <f t="shared" si="25"/>
        <v>1.02</v>
      </c>
      <c r="AM122" s="159"/>
      <c r="AN122" s="160">
        <f t="shared" si="30"/>
        <v>1</v>
      </c>
      <c r="AO122" s="160">
        <f t="shared" si="30"/>
        <v>2</v>
      </c>
      <c r="AP122" s="133"/>
      <c r="AQ122" s="134"/>
      <c r="AR122" s="161"/>
      <c r="AS122" s="161"/>
      <c r="AT122" s="161"/>
      <c r="AU122" s="161"/>
      <c r="AV122" s="162"/>
      <c r="AW122" s="137">
        <f t="shared" si="26"/>
        <v>0</v>
      </c>
      <c r="AX122" s="137">
        <f t="shared" si="27"/>
        <v>0</v>
      </c>
    </row>
    <row r="123" ht="47.25" customHeight="1" spans="1:50" s="56" customFormat="1" x14ac:dyDescent="0.25">
      <c r="A123" s="100"/>
      <c r="B123" s="100"/>
      <c r="C123" s="100"/>
      <c r="D123" s="100"/>
      <c r="E123" s="100"/>
      <c r="F123" s="100"/>
      <c r="G123" s="103"/>
      <c r="H123" s="186"/>
      <c r="I123" s="195">
        <v>0.51</v>
      </c>
      <c r="J123" s="107">
        <v>0.49</v>
      </c>
      <c r="K123" s="107"/>
      <c r="L123" s="107"/>
      <c r="M123" s="187"/>
      <c r="N123" s="169">
        <f t="shared" si="29"/>
        <v>1</v>
      </c>
      <c r="O123" s="144">
        <v>1</v>
      </c>
      <c r="P123" s="145">
        <v>15</v>
      </c>
      <c r="Q123" s="113">
        <v>15</v>
      </c>
      <c r="R123" s="113"/>
      <c r="S123" s="113"/>
      <c r="T123" s="146"/>
      <c r="U123" s="148">
        <f t="shared" si="17"/>
        <v>15</v>
      </c>
      <c r="V123" s="149">
        <f t="shared" si="18"/>
        <v>15</v>
      </c>
      <c r="W123" s="189"/>
      <c r="X123" s="199"/>
      <c r="Y123" s="151"/>
      <c r="Z123" s="190"/>
      <c r="AA123" s="153"/>
      <c r="AB123" s="154">
        <f t="shared" si="19"/>
        <v>0</v>
      </c>
      <c r="AC123" s="149">
        <f t="shared" si="20"/>
        <v>0</v>
      </c>
      <c r="AD123" s="125">
        <v>2</v>
      </c>
      <c r="AE123" s="148">
        <f t="shared" si="21"/>
        <v>2</v>
      </c>
      <c r="AF123" s="156"/>
      <c r="AG123" s="156"/>
      <c r="AH123" s="113">
        <f t="shared" si="22"/>
        <v>17</v>
      </c>
      <c r="AI123" s="157">
        <v>65</v>
      </c>
      <c r="AJ123" s="113">
        <f t="shared" si="23"/>
        <v>82</v>
      </c>
      <c r="AK123" s="113">
        <f t="shared" si="24"/>
        <v>82</v>
      </c>
      <c r="AL123" s="158">
        <f t="shared" si="25"/>
        <v>1.02</v>
      </c>
      <c r="AM123" s="159"/>
      <c r="AN123" s="160">
        <f t="shared" si="30"/>
        <v>1</v>
      </c>
      <c r="AO123" s="160">
        <f t="shared" si="30"/>
        <v>2</v>
      </c>
      <c r="AP123" s="133"/>
      <c r="AQ123" s="134"/>
      <c r="AR123" s="161"/>
      <c r="AS123" s="161"/>
      <c r="AT123" s="161"/>
      <c r="AU123" s="161"/>
      <c r="AV123" s="162"/>
      <c r="AW123" s="137">
        <f t="shared" si="26"/>
        <v>0</v>
      </c>
      <c r="AX123" s="137">
        <f t="shared" si="27"/>
        <v>0</v>
      </c>
    </row>
    <row r="124" ht="47.25" customHeight="1" spans="1:50" s="97" customFormat="1" x14ac:dyDescent="0.25">
      <c r="A124" s="100"/>
      <c r="B124" s="100"/>
      <c r="C124" s="100"/>
      <c r="D124" s="100"/>
      <c r="E124" s="100"/>
      <c r="F124" s="100"/>
      <c r="G124" s="103"/>
      <c r="H124" s="186"/>
      <c r="I124" s="195">
        <v>0.51</v>
      </c>
      <c r="J124" s="107">
        <v>0.49</v>
      </c>
      <c r="K124" s="107"/>
      <c r="L124" s="107"/>
      <c r="M124" s="187"/>
      <c r="N124" s="169">
        <f t="shared" si="29"/>
        <v>1</v>
      </c>
      <c r="O124" s="144">
        <v>1</v>
      </c>
      <c r="P124" s="145">
        <v>15</v>
      </c>
      <c r="Q124" s="113">
        <v>15</v>
      </c>
      <c r="R124" s="113"/>
      <c r="S124" s="113"/>
      <c r="T124" s="146"/>
      <c r="U124" s="148">
        <f t="shared" si="17"/>
        <v>15</v>
      </c>
      <c r="V124" s="149">
        <f t="shared" si="18"/>
        <v>15</v>
      </c>
      <c r="W124" s="189"/>
      <c r="X124" s="199"/>
      <c r="Y124" s="151"/>
      <c r="Z124" s="190"/>
      <c r="AA124" s="153"/>
      <c r="AB124" s="154">
        <f t="shared" si="19"/>
        <v>0</v>
      </c>
      <c r="AC124" s="149">
        <f t="shared" si="20"/>
        <v>0</v>
      </c>
      <c r="AD124" s="125">
        <v>2</v>
      </c>
      <c r="AE124" s="148">
        <f t="shared" si="21"/>
        <v>2</v>
      </c>
      <c r="AF124" s="156"/>
      <c r="AG124" s="156"/>
      <c r="AH124" s="113">
        <f t="shared" si="22"/>
        <v>17</v>
      </c>
      <c r="AI124" s="157">
        <v>65</v>
      </c>
      <c r="AJ124" s="113">
        <f t="shared" si="23"/>
        <v>82</v>
      </c>
      <c r="AK124" s="113">
        <f t="shared" si="24"/>
        <v>82</v>
      </c>
      <c r="AL124" s="158">
        <f t="shared" si="25"/>
        <v>1.02</v>
      </c>
      <c r="AM124" s="159"/>
      <c r="AN124" s="160">
        <f t="shared" si="30"/>
        <v>1</v>
      </c>
      <c r="AO124" s="160">
        <f t="shared" si="30"/>
        <v>2</v>
      </c>
      <c r="AP124" s="133"/>
      <c r="AQ124" s="134"/>
      <c r="AR124" s="161"/>
      <c r="AS124" s="161"/>
      <c r="AT124" s="161"/>
      <c r="AU124" s="161"/>
      <c r="AV124" s="162"/>
      <c r="AW124" s="137">
        <f t="shared" si="26"/>
        <v>0</v>
      </c>
      <c r="AX124" s="137">
        <f t="shared" si="27"/>
        <v>0</v>
      </c>
    </row>
    <row r="125" ht="47.25" customHeight="1" spans="1:50" s="97" customFormat="1" x14ac:dyDescent="0.25">
      <c r="A125" s="100"/>
      <c r="B125" s="100"/>
      <c r="C125" s="100"/>
      <c r="D125" s="100"/>
      <c r="E125" s="100"/>
      <c r="F125" s="100"/>
      <c r="G125" s="103"/>
      <c r="H125" s="186"/>
      <c r="I125" s="195">
        <v>0.51</v>
      </c>
      <c r="J125" s="107">
        <v>0.49</v>
      </c>
      <c r="K125" s="107"/>
      <c r="L125" s="107"/>
      <c r="M125" s="187"/>
      <c r="N125" s="169">
        <f t="shared" si="29"/>
        <v>1</v>
      </c>
      <c r="O125" s="144">
        <v>1</v>
      </c>
      <c r="P125" s="145">
        <v>15</v>
      </c>
      <c r="Q125" s="113">
        <v>15</v>
      </c>
      <c r="R125" s="113"/>
      <c r="S125" s="113"/>
      <c r="T125" s="146"/>
      <c r="U125" s="148">
        <f t="shared" si="17"/>
        <v>15</v>
      </c>
      <c r="V125" s="149">
        <f t="shared" si="18"/>
        <v>15</v>
      </c>
      <c r="W125" s="189"/>
      <c r="X125" s="199"/>
      <c r="Y125" s="151"/>
      <c r="Z125" s="190"/>
      <c r="AA125" s="153"/>
      <c r="AB125" s="154">
        <f t="shared" si="19"/>
        <v>0</v>
      </c>
      <c r="AC125" s="149">
        <f t="shared" si="20"/>
        <v>0</v>
      </c>
      <c r="AD125" s="125">
        <v>2</v>
      </c>
      <c r="AE125" s="148">
        <f t="shared" si="21"/>
        <v>2</v>
      </c>
      <c r="AF125" s="156"/>
      <c r="AG125" s="156"/>
      <c r="AH125" s="113">
        <f t="shared" si="22"/>
        <v>17</v>
      </c>
      <c r="AI125" s="157">
        <v>65</v>
      </c>
      <c r="AJ125" s="113">
        <f t="shared" si="23"/>
        <v>82</v>
      </c>
      <c r="AK125" s="113">
        <f t="shared" si="24"/>
        <v>82</v>
      </c>
      <c r="AL125" s="158">
        <f t="shared" si="25"/>
        <v>1.02</v>
      </c>
      <c r="AM125" s="159"/>
      <c r="AN125" s="160">
        <f t="shared" si="30"/>
        <v>1</v>
      </c>
      <c r="AO125" s="160">
        <f t="shared" si="30"/>
        <v>2</v>
      </c>
      <c r="AP125" s="133"/>
      <c r="AQ125" s="134"/>
      <c r="AR125" s="161"/>
      <c r="AS125" s="161"/>
      <c r="AT125" s="161"/>
      <c r="AU125" s="161"/>
      <c r="AV125" s="162"/>
      <c r="AW125" s="137">
        <f t="shared" si="26"/>
        <v>0</v>
      </c>
      <c r="AX125" s="137">
        <f t="shared" si="27"/>
        <v>0</v>
      </c>
    </row>
    <row r="126" ht="46.5" customHeight="1" spans="1:50" s="97" customFormat="1" x14ac:dyDescent="0.25">
      <c r="A126" s="100"/>
      <c r="B126" s="100"/>
      <c r="C126" s="100"/>
      <c r="D126" s="100"/>
      <c r="E126" s="100"/>
      <c r="F126" s="100"/>
      <c r="G126" s="103"/>
      <c r="H126" s="186"/>
      <c r="I126" s="195">
        <v>0.51</v>
      </c>
      <c r="J126" s="107">
        <v>0.49</v>
      </c>
      <c r="K126" s="107"/>
      <c r="L126" s="107"/>
      <c r="M126" s="187"/>
      <c r="N126" s="169">
        <f t="shared" si="29"/>
        <v>1</v>
      </c>
      <c r="O126" s="144">
        <v>1</v>
      </c>
      <c r="P126" s="145">
        <v>15</v>
      </c>
      <c r="Q126" s="113">
        <v>15</v>
      </c>
      <c r="R126" s="113"/>
      <c r="S126" s="113"/>
      <c r="T126" s="146"/>
      <c r="U126" s="148">
        <f t="shared" si="17"/>
        <v>15</v>
      </c>
      <c r="V126" s="149">
        <f t="shared" si="18"/>
        <v>15</v>
      </c>
      <c r="W126" s="189"/>
      <c r="X126" s="199"/>
      <c r="Y126" s="151"/>
      <c r="Z126" s="190"/>
      <c r="AA126" s="153"/>
      <c r="AB126" s="154">
        <f t="shared" si="19"/>
        <v>0</v>
      </c>
      <c r="AC126" s="149">
        <f t="shared" si="20"/>
        <v>0</v>
      </c>
      <c r="AD126" s="125">
        <v>2</v>
      </c>
      <c r="AE126" s="148">
        <f t="shared" si="21"/>
        <v>2</v>
      </c>
      <c r="AF126" s="156"/>
      <c r="AG126" s="156"/>
      <c r="AH126" s="113">
        <f t="shared" si="22"/>
        <v>17</v>
      </c>
      <c r="AI126" s="157">
        <v>65</v>
      </c>
      <c r="AJ126" s="113">
        <f t="shared" si="23"/>
        <v>82</v>
      </c>
      <c r="AK126" s="113">
        <f t="shared" si="24"/>
        <v>82</v>
      </c>
      <c r="AL126" s="158">
        <f t="shared" si="25"/>
        <v>1.02</v>
      </c>
      <c r="AM126" s="159"/>
      <c r="AN126" s="160">
        <f t="shared" si="30"/>
        <v>1</v>
      </c>
      <c r="AO126" s="160">
        <f t="shared" si="30"/>
        <v>2</v>
      </c>
      <c r="AP126" s="133"/>
      <c r="AQ126" s="134"/>
      <c r="AR126" s="161"/>
      <c r="AS126" s="161"/>
      <c r="AT126" s="161"/>
      <c r="AU126" s="161"/>
      <c r="AV126" s="162"/>
      <c r="AW126" s="137">
        <f t="shared" si="26"/>
        <v>0</v>
      </c>
      <c r="AX126" s="137">
        <f t="shared" si="27"/>
        <v>0</v>
      </c>
    </row>
    <row r="127" ht="46.5" customHeight="1" spans="1:50" s="97" customFormat="1" x14ac:dyDescent="0.25">
      <c r="A127" s="100"/>
      <c r="B127" s="100"/>
      <c r="C127" s="100"/>
      <c r="D127" s="100"/>
      <c r="E127" s="100"/>
      <c r="F127" s="100"/>
      <c r="G127" s="103"/>
      <c r="H127" s="186"/>
      <c r="I127" s="195">
        <v>0.51</v>
      </c>
      <c r="J127" s="107">
        <v>0.49</v>
      </c>
      <c r="K127" s="107"/>
      <c r="L127" s="107"/>
      <c r="M127" s="187"/>
      <c r="N127" s="169">
        <f t="shared" si="29"/>
        <v>1</v>
      </c>
      <c r="O127" s="144">
        <v>1</v>
      </c>
      <c r="P127" s="145">
        <v>15</v>
      </c>
      <c r="Q127" s="113">
        <v>15</v>
      </c>
      <c r="R127" s="113"/>
      <c r="S127" s="113"/>
      <c r="T127" s="146"/>
      <c r="U127" s="148">
        <f t="shared" si="17"/>
        <v>15</v>
      </c>
      <c r="V127" s="149">
        <f t="shared" si="18"/>
        <v>15</v>
      </c>
      <c r="W127" s="189"/>
      <c r="X127" s="199"/>
      <c r="Y127" s="151"/>
      <c r="Z127" s="190"/>
      <c r="AA127" s="153"/>
      <c r="AB127" s="154">
        <f t="shared" si="19"/>
        <v>0</v>
      </c>
      <c r="AC127" s="149">
        <f t="shared" si="20"/>
        <v>0</v>
      </c>
      <c r="AD127" s="125">
        <v>2</v>
      </c>
      <c r="AE127" s="148">
        <f t="shared" si="21"/>
        <v>2</v>
      </c>
      <c r="AF127" s="156"/>
      <c r="AG127" s="156"/>
      <c r="AH127" s="113">
        <f t="shared" si="22"/>
        <v>17</v>
      </c>
      <c r="AI127" s="157">
        <v>65</v>
      </c>
      <c r="AJ127" s="113">
        <f t="shared" si="23"/>
        <v>82</v>
      </c>
      <c r="AK127" s="113">
        <f t="shared" si="24"/>
        <v>82</v>
      </c>
      <c r="AL127" s="158">
        <f t="shared" si="25"/>
        <v>1.02</v>
      </c>
      <c r="AM127" s="159"/>
      <c r="AN127" s="160">
        <f t="shared" si="30"/>
        <v>1</v>
      </c>
      <c r="AO127" s="160">
        <f t="shared" si="30"/>
        <v>2</v>
      </c>
      <c r="AP127" s="133"/>
      <c r="AQ127" s="134"/>
      <c r="AR127" s="161"/>
      <c r="AS127" s="161"/>
      <c r="AT127" s="161"/>
      <c r="AU127" s="161"/>
      <c r="AV127" s="162"/>
      <c r="AW127" s="137">
        <f t="shared" si="26"/>
        <v>0</v>
      </c>
      <c r="AX127" s="137">
        <f t="shared" si="27"/>
        <v>0</v>
      </c>
    </row>
    <row r="128" ht="47.25" customHeight="1" spans="1:50" s="56" customFormat="1" x14ac:dyDescent="0.25">
      <c r="A128" s="100"/>
      <c r="B128" s="100"/>
      <c r="C128" s="100"/>
      <c r="D128" s="100"/>
      <c r="E128" s="100"/>
      <c r="F128" s="100"/>
      <c r="G128" s="103"/>
      <c r="H128" s="186"/>
      <c r="I128" s="195">
        <v>0.51</v>
      </c>
      <c r="J128" s="107">
        <v>0.49</v>
      </c>
      <c r="K128" s="107"/>
      <c r="L128" s="107"/>
      <c r="M128" s="187"/>
      <c r="N128" s="169">
        <f t="shared" si="29"/>
        <v>1</v>
      </c>
      <c r="O128" s="144">
        <v>1</v>
      </c>
      <c r="P128" s="145">
        <v>15</v>
      </c>
      <c r="Q128" s="113">
        <v>15</v>
      </c>
      <c r="R128" s="113"/>
      <c r="S128" s="113"/>
      <c r="T128" s="146"/>
      <c r="U128" s="148">
        <f t="shared" si="17"/>
        <v>15</v>
      </c>
      <c r="V128" s="149">
        <f t="shared" si="18"/>
        <v>15</v>
      </c>
      <c r="W128" s="189"/>
      <c r="X128" s="199"/>
      <c r="Y128" s="151"/>
      <c r="Z128" s="190"/>
      <c r="AA128" s="153"/>
      <c r="AB128" s="154">
        <f t="shared" si="19"/>
        <v>0</v>
      </c>
      <c r="AC128" s="149">
        <f t="shared" si="20"/>
        <v>0</v>
      </c>
      <c r="AD128" s="125">
        <v>2</v>
      </c>
      <c r="AE128" s="148">
        <f t="shared" si="21"/>
        <v>2</v>
      </c>
      <c r="AF128" s="156"/>
      <c r="AG128" s="156"/>
      <c r="AH128" s="113">
        <f t="shared" si="22"/>
        <v>17</v>
      </c>
      <c r="AI128" s="157">
        <v>65</v>
      </c>
      <c r="AJ128" s="113">
        <f t="shared" si="23"/>
        <v>82</v>
      </c>
      <c r="AK128" s="113">
        <f t="shared" si="24"/>
        <v>82</v>
      </c>
      <c r="AL128" s="158">
        <f t="shared" si="25"/>
        <v>1.02</v>
      </c>
      <c r="AM128" s="159"/>
      <c r="AN128" s="160">
        <f t="shared" si="30"/>
        <v>1</v>
      </c>
      <c r="AO128" s="160">
        <f t="shared" si="30"/>
        <v>2</v>
      </c>
      <c r="AP128" s="133"/>
      <c r="AQ128" s="134"/>
      <c r="AR128" s="161"/>
      <c r="AS128" s="161"/>
      <c r="AT128" s="161"/>
      <c r="AU128" s="161"/>
      <c r="AV128" s="162"/>
      <c r="AW128" s="137">
        <f t="shared" si="26"/>
        <v>0</v>
      </c>
      <c r="AX128" s="137">
        <f t="shared" si="27"/>
        <v>0</v>
      </c>
    </row>
    <row r="129" ht="46.5" customHeight="1" spans="1:50" s="97" customFormat="1" x14ac:dyDescent="0.25">
      <c r="A129" s="100"/>
      <c r="B129" s="100"/>
      <c r="C129" s="100"/>
      <c r="D129" s="100"/>
      <c r="E129" s="100"/>
      <c r="F129" s="100"/>
      <c r="G129" s="103"/>
      <c r="H129" s="186"/>
      <c r="I129" s="195">
        <v>0.51</v>
      </c>
      <c r="J129" s="107">
        <v>0.49</v>
      </c>
      <c r="K129" s="107"/>
      <c r="L129" s="107"/>
      <c r="M129" s="187"/>
      <c r="N129" s="169">
        <f t="shared" si="29"/>
        <v>1</v>
      </c>
      <c r="O129" s="144">
        <v>1</v>
      </c>
      <c r="P129" s="145">
        <v>15</v>
      </c>
      <c r="Q129" s="113">
        <v>15</v>
      </c>
      <c r="R129" s="113"/>
      <c r="S129" s="113"/>
      <c r="T129" s="146"/>
      <c r="U129" s="148">
        <f t="shared" si="17"/>
        <v>15</v>
      </c>
      <c r="V129" s="149">
        <f t="shared" si="18"/>
        <v>15</v>
      </c>
      <c r="W129" s="189"/>
      <c r="X129" s="199"/>
      <c r="Y129" s="151"/>
      <c r="Z129" s="190"/>
      <c r="AA129" s="153"/>
      <c r="AB129" s="154">
        <f t="shared" si="19"/>
        <v>0</v>
      </c>
      <c r="AC129" s="149">
        <f t="shared" si="20"/>
        <v>0</v>
      </c>
      <c r="AD129" s="125">
        <v>2</v>
      </c>
      <c r="AE129" s="148">
        <f t="shared" si="21"/>
        <v>2</v>
      </c>
      <c r="AF129" s="156"/>
      <c r="AG129" s="156"/>
      <c r="AH129" s="113">
        <f t="shared" si="22"/>
        <v>17</v>
      </c>
      <c r="AI129" s="157">
        <v>65</v>
      </c>
      <c r="AJ129" s="113">
        <f t="shared" si="23"/>
        <v>82</v>
      </c>
      <c r="AK129" s="113">
        <f t="shared" si="24"/>
        <v>82</v>
      </c>
      <c r="AL129" s="158">
        <f t="shared" si="25"/>
        <v>1.02</v>
      </c>
      <c r="AM129" s="159"/>
      <c r="AN129" s="160">
        <f t="shared" si="30"/>
        <v>1</v>
      </c>
      <c r="AO129" s="160">
        <f t="shared" si="30"/>
        <v>2</v>
      </c>
      <c r="AP129" s="133"/>
      <c r="AQ129" s="134"/>
      <c r="AR129" s="161"/>
      <c r="AS129" s="161"/>
      <c r="AT129" s="161"/>
      <c r="AU129" s="161"/>
      <c r="AV129" s="162"/>
      <c r="AW129" s="137">
        <f t="shared" si="26"/>
        <v>0</v>
      </c>
      <c r="AX129" s="137">
        <f t="shared" si="27"/>
        <v>0</v>
      </c>
    </row>
    <row r="130" ht="47.25" customHeight="1" spans="1:50" s="56" customFormat="1" x14ac:dyDescent="0.25">
      <c r="A130" s="100"/>
      <c r="B130" s="100"/>
      <c r="C130" s="100"/>
      <c r="D130" s="100"/>
      <c r="E130" s="100"/>
      <c r="F130" s="100"/>
      <c r="G130" s="103"/>
      <c r="H130" s="186"/>
      <c r="I130" s="195">
        <v>0.51</v>
      </c>
      <c r="J130" s="107">
        <v>0.49</v>
      </c>
      <c r="K130" s="107"/>
      <c r="L130" s="107"/>
      <c r="M130" s="187"/>
      <c r="N130" s="169">
        <f t="shared" si="29"/>
        <v>1</v>
      </c>
      <c r="O130" s="144">
        <v>1</v>
      </c>
      <c r="P130" s="145">
        <v>15</v>
      </c>
      <c r="Q130" s="113">
        <v>15</v>
      </c>
      <c r="R130" s="113"/>
      <c r="S130" s="113"/>
      <c r="T130" s="146"/>
      <c r="U130" s="148">
        <f t="shared" si="17"/>
        <v>15</v>
      </c>
      <c r="V130" s="149">
        <f t="shared" si="18"/>
        <v>15</v>
      </c>
      <c r="W130" s="189"/>
      <c r="X130" s="199"/>
      <c r="Y130" s="151"/>
      <c r="Z130" s="190"/>
      <c r="AA130" s="153"/>
      <c r="AB130" s="154">
        <f t="shared" si="19"/>
        <v>0</v>
      </c>
      <c r="AC130" s="149">
        <f t="shared" si="20"/>
        <v>0</v>
      </c>
      <c r="AD130" s="125">
        <v>2</v>
      </c>
      <c r="AE130" s="148">
        <f t="shared" si="21"/>
        <v>2</v>
      </c>
      <c r="AF130" s="156"/>
      <c r="AG130" s="156"/>
      <c r="AH130" s="113">
        <f t="shared" si="22"/>
        <v>17</v>
      </c>
      <c r="AI130" s="157">
        <v>65</v>
      </c>
      <c r="AJ130" s="113">
        <f t="shared" si="23"/>
        <v>82</v>
      </c>
      <c r="AK130" s="113">
        <f t="shared" si="24"/>
        <v>82</v>
      </c>
      <c r="AL130" s="158">
        <f t="shared" si="25"/>
        <v>1.02</v>
      </c>
      <c r="AM130" s="159"/>
      <c r="AN130" s="160">
        <f t="shared" si="30"/>
        <v>1</v>
      </c>
      <c r="AO130" s="160">
        <f t="shared" si="30"/>
        <v>2</v>
      </c>
      <c r="AP130" s="133"/>
      <c r="AQ130" s="134"/>
      <c r="AR130" s="161"/>
      <c r="AS130" s="161"/>
      <c r="AT130" s="161"/>
      <c r="AU130" s="161"/>
      <c r="AV130" s="162"/>
      <c r="AW130" s="137">
        <f t="shared" si="26"/>
        <v>0</v>
      </c>
      <c r="AX130" s="137">
        <f t="shared" si="27"/>
        <v>0</v>
      </c>
    </row>
    <row r="131" ht="46.5" customHeight="1" spans="1:50" s="97" customFormat="1" x14ac:dyDescent="0.25">
      <c r="A131" s="100"/>
      <c r="B131" s="100"/>
      <c r="C131" s="100"/>
      <c r="D131" s="100"/>
      <c r="E131" s="100"/>
      <c r="F131" s="100"/>
      <c r="G131" s="103"/>
      <c r="H131" s="186"/>
      <c r="I131" s="195">
        <v>0.51</v>
      </c>
      <c r="J131" s="107">
        <v>0.49</v>
      </c>
      <c r="K131" s="107"/>
      <c r="L131" s="107"/>
      <c r="M131" s="187"/>
      <c r="N131" s="169">
        <f t="shared" si="29"/>
        <v>1</v>
      </c>
      <c r="O131" s="144">
        <v>1</v>
      </c>
      <c r="P131" s="145">
        <v>15</v>
      </c>
      <c r="Q131" s="113">
        <v>15</v>
      </c>
      <c r="R131" s="113"/>
      <c r="S131" s="113"/>
      <c r="T131" s="146"/>
      <c r="U131" s="148">
        <f t="shared" si="17"/>
        <v>15</v>
      </c>
      <c r="V131" s="149">
        <f t="shared" si="18"/>
        <v>15</v>
      </c>
      <c r="W131" s="189"/>
      <c r="X131" s="199"/>
      <c r="Y131" s="151"/>
      <c r="Z131" s="190"/>
      <c r="AA131" s="153"/>
      <c r="AB131" s="154">
        <f t="shared" si="19"/>
        <v>0</v>
      </c>
      <c r="AC131" s="149">
        <f t="shared" si="20"/>
        <v>0</v>
      </c>
      <c r="AD131" s="125">
        <v>2</v>
      </c>
      <c r="AE131" s="148">
        <f t="shared" si="21"/>
        <v>2</v>
      </c>
      <c r="AF131" s="156"/>
      <c r="AG131" s="156"/>
      <c r="AH131" s="113">
        <f t="shared" si="22"/>
        <v>17</v>
      </c>
      <c r="AI131" s="157">
        <v>65</v>
      </c>
      <c r="AJ131" s="113">
        <f t="shared" si="23"/>
        <v>82</v>
      </c>
      <c r="AK131" s="113">
        <f t="shared" si="24"/>
        <v>82</v>
      </c>
      <c r="AL131" s="158">
        <f t="shared" si="25"/>
        <v>1.02</v>
      </c>
      <c r="AM131" s="159"/>
      <c r="AN131" s="160">
        <f t="shared" si="30"/>
        <v>1</v>
      </c>
      <c r="AO131" s="160">
        <f t="shared" si="30"/>
        <v>2</v>
      </c>
      <c r="AP131" s="133"/>
      <c r="AQ131" s="134"/>
      <c r="AR131" s="161"/>
      <c r="AS131" s="161"/>
      <c r="AT131" s="161"/>
      <c r="AU131" s="161"/>
      <c r="AV131" s="162"/>
      <c r="AW131" s="137">
        <f t="shared" si="26"/>
        <v>0</v>
      </c>
      <c r="AX131" s="137">
        <f t="shared" si="27"/>
        <v>0</v>
      </c>
    </row>
    <row r="132" ht="46.5" customHeight="1" spans="1:50" s="97" customFormat="1" x14ac:dyDescent="0.25">
      <c r="A132" s="100"/>
      <c r="B132" s="100"/>
      <c r="C132" s="100"/>
      <c r="D132" s="100"/>
      <c r="E132" s="100"/>
      <c r="F132" s="100"/>
      <c r="G132" s="103"/>
      <c r="H132" s="186"/>
      <c r="I132" s="195">
        <v>0.51</v>
      </c>
      <c r="J132" s="107">
        <v>0.49</v>
      </c>
      <c r="K132" s="107"/>
      <c r="L132" s="107"/>
      <c r="M132" s="187"/>
      <c r="N132" s="169">
        <f t="shared" si="29"/>
        <v>1</v>
      </c>
      <c r="O132" s="144">
        <v>1</v>
      </c>
      <c r="P132" s="145">
        <v>15</v>
      </c>
      <c r="Q132" s="113">
        <v>15</v>
      </c>
      <c r="R132" s="113"/>
      <c r="S132" s="113"/>
      <c r="T132" s="146"/>
      <c r="U132" s="148">
        <f t="shared" si="17"/>
        <v>15</v>
      </c>
      <c r="V132" s="149">
        <f t="shared" si="18"/>
        <v>15</v>
      </c>
      <c r="W132" s="189"/>
      <c r="X132" s="199"/>
      <c r="Y132" s="151"/>
      <c r="Z132" s="190"/>
      <c r="AA132" s="153"/>
      <c r="AB132" s="154">
        <f t="shared" si="19"/>
        <v>0</v>
      </c>
      <c r="AC132" s="149">
        <f t="shared" si="20"/>
        <v>0</v>
      </c>
      <c r="AD132" s="125">
        <v>2</v>
      </c>
      <c r="AE132" s="148">
        <f t="shared" si="21"/>
        <v>2</v>
      </c>
      <c r="AF132" s="156"/>
      <c r="AG132" s="156"/>
      <c r="AH132" s="113">
        <f t="shared" si="22"/>
        <v>17</v>
      </c>
      <c r="AI132" s="157">
        <v>65</v>
      </c>
      <c r="AJ132" s="113">
        <f t="shared" si="23"/>
        <v>82</v>
      </c>
      <c r="AK132" s="113">
        <f t="shared" si="24"/>
        <v>82</v>
      </c>
      <c r="AL132" s="158">
        <f t="shared" si="25"/>
        <v>1.02</v>
      </c>
      <c r="AM132" s="159"/>
      <c r="AN132" s="160">
        <f t="shared" si="30"/>
        <v>1</v>
      </c>
      <c r="AO132" s="160">
        <f t="shared" si="30"/>
        <v>2</v>
      </c>
      <c r="AP132" s="133"/>
      <c r="AQ132" s="134"/>
      <c r="AR132" s="161"/>
      <c r="AS132" s="161"/>
      <c r="AT132" s="161"/>
      <c r="AU132" s="161"/>
      <c r="AV132" s="162"/>
      <c r="AW132" s="137">
        <f t="shared" si="26"/>
        <v>0</v>
      </c>
      <c r="AX132" s="137">
        <f t="shared" si="27"/>
        <v>0</v>
      </c>
    </row>
    <row r="133" ht="47.25" customHeight="1" spans="1:50" s="97" customFormat="1" x14ac:dyDescent="0.25">
      <c r="A133" s="100"/>
      <c r="B133" s="100"/>
      <c r="C133" s="100"/>
      <c r="D133" s="100"/>
      <c r="E133" s="100"/>
      <c r="F133" s="100"/>
      <c r="G133" s="103"/>
      <c r="H133" s="186"/>
      <c r="I133" s="195">
        <v>0.51</v>
      </c>
      <c r="J133" s="107">
        <v>0.49</v>
      </c>
      <c r="K133" s="107"/>
      <c r="L133" s="107"/>
      <c r="M133" s="187"/>
      <c r="N133" s="169">
        <f t="shared" si="29"/>
        <v>1</v>
      </c>
      <c r="O133" s="144">
        <v>1</v>
      </c>
      <c r="P133" s="145">
        <v>15</v>
      </c>
      <c r="Q133" s="113">
        <v>15</v>
      </c>
      <c r="R133" s="113"/>
      <c r="S133" s="113"/>
      <c r="T133" s="146"/>
      <c r="U133" s="148">
        <f t="shared" si="17"/>
        <v>15</v>
      </c>
      <c r="V133" s="149">
        <f t="shared" si="18"/>
        <v>15</v>
      </c>
      <c r="W133" s="189"/>
      <c r="X133" s="199"/>
      <c r="Y133" s="151"/>
      <c r="Z133" s="190"/>
      <c r="AA133" s="153"/>
      <c r="AB133" s="154">
        <f t="shared" si="19"/>
        <v>0</v>
      </c>
      <c r="AC133" s="149">
        <f t="shared" si="20"/>
        <v>0</v>
      </c>
      <c r="AD133" s="125">
        <v>2</v>
      </c>
      <c r="AE133" s="148">
        <f t="shared" si="21"/>
        <v>2</v>
      </c>
      <c r="AF133" s="156"/>
      <c r="AG133" s="156"/>
      <c r="AH133" s="113">
        <f t="shared" si="22"/>
        <v>17</v>
      </c>
      <c r="AI133" s="157">
        <v>65</v>
      </c>
      <c r="AJ133" s="113">
        <f t="shared" si="23"/>
        <v>82</v>
      </c>
      <c r="AK133" s="113">
        <f t="shared" si="24"/>
        <v>82</v>
      </c>
      <c r="AL133" s="158">
        <f t="shared" si="25"/>
        <v>1.02</v>
      </c>
      <c r="AM133" s="159"/>
      <c r="AN133" s="160">
        <f t="shared" ref="AN133:AO138" si="31">100%+AM133</f>
        <v>1</v>
      </c>
      <c r="AO133" s="160">
        <f t="shared" si="31"/>
        <v>2</v>
      </c>
      <c r="AP133" s="133"/>
      <c r="AQ133" s="134"/>
      <c r="AR133" s="161"/>
      <c r="AS133" s="161"/>
      <c r="AT133" s="161"/>
      <c r="AU133" s="161"/>
      <c r="AV133" s="162"/>
      <c r="AW133" s="137">
        <f t="shared" si="26"/>
        <v>0</v>
      </c>
      <c r="AX133" s="137">
        <f t="shared" si="27"/>
        <v>0</v>
      </c>
    </row>
    <row r="134" ht="47.25" customHeight="1" spans="1:50" s="56" customFormat="1" x14ac:dyDescent="0.25">
      <c r="A134" s="100"/>
      <c r="B134" s="100"/>
      <c r="C134" s="100"/>
      <c r="D134" s="100"/>
      <c r="E134" s="100"/>
      <c r="F134" s="100"/>
      <c r="G134" s="103"/>
      <c r="H134" s="186"/>
      <c r="I134" s="195">
        <v>0.51</v>
      </c>
      <c r="J134" s="107">
        <v>0.49</v>
      </c>
      <c r="K134" s="107"/>
      <c r="L134" s="107"/>
      <c r="M134" s="187"/>
      <c r="N134" s="169">
        <f t="shared" si="29"/>
        <v>1</v>
      </c>
      <c r="O134" s="144">
        <v>1</v>
      </c>
      <c r="P134" s="145">
        <v>15</v>
      </c>
      <c r="Q134" s="113">
        <v>15</v>
      </c>
      <c r="R134" s="113"/>
      <c r="S134" s="113"/>
      <c r="T134" s="146"/>
      <c r="U134" s="148">
        <f t="shared" si="17"/>
        <v>15</v>
      </c>
      <c r="V134" s="149">
        <f t="shared" si="18"/>
        <v>15</v>
      </c>
      <c r="W134" s="189"/>
      <c r="X134" s="199"/>
      <c r="Y134" s="151"/>
      <c r="Z134" s="190"/>
      <c r="AA134" s="153"/>
      <c r="AB134" s="154">
        <f t="shared" si="19"/>
        <v>0</v>
      </c>
      <c r="AC134" s="149">
        <f t="shared" si="20"/>
        <v>0</v>
      </c>
      <c r="AD134" s="125">
        <v>2</v>
      </c>
      <c r="AE134" s="148">
        <f t="shared" si="21"/>
        <v>2</v>
      </c>
      <c r="AF134" s="156"/>
      <c r="AG134" s="156"/>
      <c r="AH134" s="113">
        <f t="shared" si="22"/>
        <v>17</v>
      </c>
      <c r="AI134" s="157">
        <v>65</v>
      </c>
      <c r="AJ134" s="113">
        <f t="shared" si="23"/>
        <v>82</v>
      </c>
      <c r="AK134" s="113">
        <f t="shared" si="24"/>
        <v>82</v>
      </c>
      <c r="AL134" s="158">
        <f t="shared" si="25"/>
        <v>1.02</v>
      </c>
      <c r="AM134" s="159"/>
      <c r="AN134" s="160">
        <f t="shared" si="31"/>
        <v>1</v>
      </c>
      <c r="AO134" s="160">
        <f t="shared" si="31"/>
        <v>2</v>
      </c>
      <c r="AP134" s="133"/>
      <c r="AQ134" s="134"/>
      <c r="AR134" s="161"/>
      <c r="AS134" s="161"/>
      <c r="AT134" s="161"/>
      <c r="AU134" s="161"/>
      <c r="AV134" s="162"/>
      <c r="AW134" s="137">
        <f t="shared" si="26"/>
        <v>0</v>
      </c>
      <c r="AX134" s="137">
        <f t="shared" si="27"/>
        <v>0</v>
      </c>
    </row>
    <row r="135" ht="46.5" customHeight="1" spans="1:50" s="97" customFormat="1" x14ac:dyDescent="0.25">
      <c r="A135" s="100"/>
      <c r="B135" s="100"/>
      <c r="C135" s="100"/>
      <c r="D135" s="100"/>
      <c r="E135" s="100"/>
      <c r="F135" s="100"/>
      <c r="G135" s="103"/>
      <c r="H135" s="186"/>
      <c r="I135" s="195">
        <v>0.51</v>
      </c>
      <c r="J135" s="107">
        <v>0.49</v>
      </c>
      <c r="K135" s="107"/>
      <c r="L135" s="107"/>
      <c r="M135" s="187"/>
      <c r="N135" s="169">
        <f t="shared" si="29"/>
        <v>1</v>
      </c>
      <c r="O135" s="144">
        <v>1</v>
      </c>
      <c r="P135" s="145">
        <v>15</v>
      </c>
      <c r="Q135" s="113">
        <v>15</v>
      </c>
      <c r="R135" s="113"/>
      <c r="S135" s="113"/>
      <c r="T135" s="146"/>
      <c r="U135" s="148">
        <f t="shared" si="17"/>
        <v>15</v>
      </c>
      <c r="V135" s="149">
        <f t="shared" si="18"/>
        <v>15</v>
      </c>
      <c r="W135" s="189"/>
      <c r="X135" s="199"/>
      <c r="Y135" s="151"/>
      <c r="Z135" s="190"/>
      <c r="AA135" s="153"/>
      <c r="AB135" s="154">
        <f t="shared" si="19"/>
        <v>0</v>
      </c>
      <c r="AC135" s="149">
        <f t="shared" si="20"/>
        <v>0</v>
      </c>
      <c r="AD135" s="125">
        <v>2</v>
      </c>
      <c r="AE135" s="148">
        <f t="shared" si="21"/>
        <v>2</v>
      </c>
      <c r="AF135" s="156"/>
      <c r="AG135" s="156"/>
      <c r="AH135" s="113">
        <f t="shared" si="22"/>
        <v>17</v>
      </c>
      <c r="AI135" s="157">
        <v>65</v>
      </c>
      <c r="AJ135" s="113">
        <f t="shared" si="23"/>
        <v>82</v>
      </c>
      <c r="AK135" s="113">
        <f t="shared" si="24"/>
        <v>82</v>
      </c>
      <c r="AL135" s="158">
        <f t="shared" si="25"/>
        <v>1.02</v>
      </c>
      <c r="AM135" s="159"/>
      <c r="AN135" s="160">
        <f t="shared" si="31"/>
        <v>1</v>
      </c>
      <c r="AO135" s="160">
        <f t="shared" si="31"/>
        <v>2</v>
      </c>
      <c r="AP135" s="133"/>
      <c r="AQ135" s="134"/>
      <c r="AR135" s="161"/>
      <c r="AS135" s="161"/>
      <c r="AT135" s="161"/>
      <c r="AU135" s="161"/>
      <c r="AV135" s="162"/>
      <c r="AW135" s="137">
        <f t="shared" si="26"/>
        <v>0</v>
      </c>
      <c r="AX135" s="137">
        <f t="shared" si="27"/>
        <v>0</v>
      </c>
    </row>
    <row r="136" ht="47.25" customHeight="1" spans="1:50" s="56" customFormat="1" x14ac:dyDescent="0.25">
      <c r="A136" s="100"/>
      <c r="B136" s="100"/>
      <c r="C136" s="100"/>
      <c r="D136" s="100"/>
      <c r="E136" s="100"/>
      <c r="F136" s="100"/>
      <c r="G136" s="103"/>
      <c r="H136" s="186"/>
      <c r="I136" s="195">
        <v>0.51</v>
      </c>
      <c r="J136" s="107">
        <v>0.49</v>
      </c>
      <c r="K136" s="107"/>
      <c r="L136" s="107"/>
      <c r="M136" s="187"/>
      <c r="N136" s="169">
        <f t="shared" si="29"/>
        <v>1</v>
      </c>
      <c r="O136" s="144">
        <v>1</v>
      </c>
      <c r="P136" s="145">
        <v>15</v>
      </c>
      <c r="Q136" s="113">
        <v>15</v>
      </c>
      <c r="R136" s="113"/>
      <c r="S136" s="113"/>
      <c r="T136" s="146"/>
      <c r="U136" s="148">
        <f t="shared" si="17"/>
        <v>15</v>
      </c>
      <c r="V136" s="149">
        <f t="shared" si="18"/>
        <v>15</v>
      </c>
      <c r="W136" s="189"/>
      <c r="X136" s="199"/>
      <c r="Y136" s="151"/>
      <c r="Z136" s="190"/>
      <c r="AA136" s="153"/>
      <c r="AB136" s="154">
        <f t="shared" si="19"/>
        <v>0</v>
      </c>
      <c r="AC136" s="149">
        <f t="shared" si="20"/>
        <v>0</v>
      </c>
      <c r="AD136" s="125">
        <v>2</v>
      </c>
      <c r="AE136" s="148">
        <f t="shared" si="21"/>
        <v>2</v>
      </c>
      <c r="AF136" s="156"/>
      <c r="AG136" s="156"/>
      <c r="AH136" s="113">
        <f t="shared" si="22"/>
        <v>17</v>
      </c>
      <c r="AI136" s="157">
        <v>65</v>
      </c>
      <c r="AJ136" s="113">
        <f t="shared" si="23"/>
        <v>82</v>
      </c>
      <c r="AK136" s="113">
        <f t="shared" si="24"/>
        <v>82</v>
      </c>
      <c r="AL136" s="158">
        <f t="shared" si="25"/>
        <v>1.02</v>
      </c>
      <c r="AM136" s="159"/>
      <c r="AN136" s="160">
        <f t="shared" si="31"/>
        <v>1</v>
      </c>
      <c r="AO136" s="160">
        <f t="shared" si="31"/>
        <v>2</v>
      </c>
      <c r="AP136" s="133"/>
      <c r="AQ136" s="134"/>
      <c r="AR136" s="161"/>
      <c r="AS136" s="161"/>
      <c r="AT136" s="161"/>
      <c r="AU136" s="161"/>
      <c r="AV136" s="162"/>
      <c r="AW136" s="137">
        <f t="shared" si="26"/>
        <v>0</v>
      </c>
      <c r="AX136" s="137">
        <f t="shared" si="27"/>
        <v>0</v>
      </c>
    </row>
    <row r="137" ht="47.25" customHeight="1" spans="1:50" s="97" customFormat="1" x14ac:dyDescent="0.25">
      <c r="A137" s="100"/>
      <c r="B137" s="100"/>
      <c r="C137" s="100"/>
      <c r="D137" s="100"/>
      <c r="E137" s="100"/>
      <c r="F137" s="100"/>
      <c r="G137" s="103"/>
      <c r="H137" s="186"/>
      <c r="I137" s="195">
        <v>0.51</v>
      </c>
      <c r="J137" s="107">
        <v>0.49</v>
      </c>
      <c r="K137" s="107"/>
      <c r="L137" s="107"/>
      <c r="M137" s="187"/>
      <c r="N137" s="169">
        <f t="shared" si="29"/>
        <v>1</v>
      </c>
      <c r="O137" s="144">
        <v>1</v>
      </c>
      <c r="P137" s="145">
        <v>15</v>
      </c>
      <c r="Q137" s="113">
        <v>15</v>
      </c>
      <c r="R137" s="113"/>
      <c r="S137" s="113"/>
      <c r="T137" s="146"/>
      <c r="U137" s="148">
        <f t="shared" si="17"/>
        <v>15</v>
      </c>
      <c r="V137" s="149">
        <f t="shared" si="18"/>
        <v>15</v>
      </c>
      <c r="W137" s="189"/>
      <c r="X137" s="199"/>
      <c r="Y137" s="151"/>
      <c r="Z137" s="190"/>
      <c r="AA137" s="153"/>
      <c r="AB137" s="154">
        <f t="shared" si="19"/>
        <v>0</v>
      </c>
      <c r="AC137" s="149">
        <f t="shared" si="20"/>
        <v>0</v>
      </c>
      <c r="AD137" s="125">
        <v>2</v>
      </c>
      <c r="AE137" s="148">
        <f t="shared" si="21"/>
        <v>2</v>
      </c>
      <c r="AF137" s="156"/>
      <c r="AG137" s="156"/>
      <c r="AH137" s="113">
        <f t="shared" si="22"/>
        <v>17</v>
      </c>
      <c r="AI137" s="157">
        <v>65</v>
      </c>
      <c r="AJ137" s="113">
        <f t="shared" si="23"/>
        <v>82</v>
      </c>
      <c r="AK137" s="113">
        <f t="shared" si="24"/>
        <v>82</v>
      </c>
      <c r="AL137" s="158">
        <f t="shared" si="25"/>
        <v>1.02</v>
      </c>
      <c r="AM137" s="159"/>
      <c r="AN137" s="160">
        <f t="shared" si="31"/>
        <v>1</v>
      </c>
      <c r="AO137" s="160">
        <f t="shared" si="31"/>
        <v>2</v>
      </c>
      <c r="AP137" s="133"/>
      <c r="AQ137" s="134"/>
      <c r="AR137" s="161"/>
      <c r="AS137" s="161"/>
      <c r="AT137" s="161"/>
      <c r="AU137" s="161"/>
      <c r="AV137" s="162"/>
      <c r="AW137" s="137">
        <f t="shared" si="26"/>
        <v>0</v>
      </c>
      <c r="AX137" s="137">
        <f t="shared" si="27"/>
        <v>0</v>
      </c>
    </row>
    <row r="138" ht="46.5" customHeight="1" spans="1:50" s="97" customFormat="1" x14ac:dyDescent="0.25">
      <c r="A138" s="100"/>
      <c r="B138" s="100"/>
      <c r="C138" s="100"/>
      <c r="D138" s="100"/>
      <c r="E138" s="100"/>
      <c r="F138" s="100"/>
      <c r="G138" s="103"/>
      <c r="H138" s="186"/>
      <c r="I138" s="195">
        <v>0.51</v>
      </c>
      <c r="J138" s="107">
        <v>0.49</v>
      </c>
      <c r="K138" s="107"/>
      <c r="L138" s="107"/>
      <c r="M138" s="187"/>
      <c r="N138" s="169">
        <f t="shared" si="29"/>
        <v>1</v>
      </c>
      <c r="O138" s="144">
        <v>1</v>
      </c>
      <c r="P138" s="145">
        <v>15</v>
      </c>
      <c r="Q138" s="113">
        <v>15</v>
      </c>
      <c r="R138" s="113"/>
      <c r="S138" s="113"/>
      <c r="T138" s="146"/>
      <c r="U138" s="148">
        <f t="shared" si="17"/>
        <v>15</v>
      </c>
      <c r="V138" s="149">
        <f t="shared" si="18"/>
        <v>15</v>
      </c>
      <c r="W138" s="189"/>
      <c r="X138" s="199"/>
      <c r="Y138" s="151"/>
      <c r="Z138" s="190"/>
      <c r="AA138" s="153"/>
      <c r="AB138" s="154">
        <f t="shared" si="19"/>
        <v>0</v>
      </c>
      <c r="AC138" s="149">
        <f t="shared" si="20"/>
        <v>0</v>
      </c>
      <c r="AD138" s="125">
        <v>2</v>
      </c>
      <c r="AE138" s="148">
        <f t="shared" si="21"/>
        <v>2</v>
      </c>
      <c r="AF138" s="156"/>
      <c r="AG138" s="156"/>
      <c r="AH138" s="113">
        <f t="shared" si="22"/>
        <v>17</v>
      </c>
      <c r="AI138" s="157">
        <v>65</v>
      </c>
      <c r="AJ138" s="113">
        <f t="shared" si="23"/>
        <v>82</v>
      </c>
      <c r="AK138" s="113">
        <f t="shared" si="24"/>
        <v>82</v>
      </c>
      <c r="AL138" s="158">
        <f t="shared" si="25"/>
        <v>1.02</v>
      </c>
      <c r="AM138" s="159"/>
      <c r="AN138" s="160">
        <f t="shared" si="31"/>
        <v>1</v>
      </c>
      <c r="AO138" s="160">
        <f t="shared" si="31"/>
        <v>2</v>
      </c>
      <c r="AP138" s="133"/>
      <c r="AQ138" s="134"/>
      <c r="AR138" s="161"/>
      <c r="AS138" s="161"/>
      <c r="AT138" s="161"/>
      <c r="AU138" s="161"/>
      <c r="AV138" s="162"/>
      <c r="AW138" s="137">
        <f t="shared" si="26"/>
        <v>0</v>
      </c>
      <c r="AX138" s="137">
        <f t="shared" si="27"/>
        <v>0</v>
      </c>
    </row>
  </sheetData>
  <mergeCells count="50">
    <mergeCell ref="A1:B2"/>
    <mergeCell ref="D1:E1"/>
    <mergeCell ref="F1:G1"/>
    <mergeCell ref="I1:J1"/>
    <mergeCell ref="Y1:Z1"/>
    <mergeCell ref="AA1:AC1"/>
    <mergeCell ref="AD1:AE1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AG2:AH2"/>
    <mergeCell ref="AI2:AK2"/>
    <mergeCell ref="AS2:AT2"/>
    <mergeCell ref="C3:H3"/>
    <mergeCell ref="I3:M3"/>
    <mergeCell ref="P3:U3"/>
    <mergeCell ref="W3:AE3"/>
    <mergeCell ref="A3:A4"/>
    <mergeCell ref="B3:B4"/>
    <mergeCell ref="N3:N4"/>
    <mergeCell ref="O3:O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6:H6"/>
    <mergeCell ref="A8:H8"/>
    <mergeCell ref="A10:H10"/>
    <mergeCell ref="A12:H12"/>
    <mergeCell ref="A14:H14"/>
    <mergeCell ref="A16:H16"/>
    <mergeCell ref="A18:H18"/>
    <mergeCell ref="A20:H20"/>
    <mergeCell ref="A22:H22"/>
  </mergeCells>
  <pageMargins left="0.7" right="0.7" top="0.75" bottom="0.75" header="0.3" footer="0.3"/>
  <pageSetup paperSize="9" orientation="portrait" horizontalDpi="4294967295" verticalDpi="4294967295" scale="40" fitToWidth="1" fitToHeight="1" firstPageNumber="1" useFirstPageNumber="1" copies="1"/>
</worksheet>
</file>

<file path=xl/worksheets/sheet8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X136"/>
  <sheetViews>
    <sheetView workbookViewId="0" zoomScale="80" zoomScaleNormal="80">
      <selection activeCell="J16" sqref="J16"/>
    </sheetView>
  </sheetViews>
  <sheetFormatPr defaultRowHeight="13.5" outlineLevelRow="0" outlineLevelCol="0" x14ac:dyDescent="0.15" defaultColWidth="8.88671875" customHeight="1"/>
  <cols>
    <col min="1" max="1" width="5.33203125" style="1" customWidth="1"/>
    <col min="2" max="2" width="5.109375" style="2" customWidth="1"/>
    <col min="3" max="3" width="8.33203125" style="3" customWidth="1"/>
    <col min="4" max="7" width="8.33203125" style="1" customWidth="1"/>
    <col min="8" max="13" width="8.109375" style="1" customWidth="1"/>
    <col min="14" max="15" width="5.88671875" style="1" customWidth="1"/>
    <col min="16" max="21" width="7.5546875" style="1" customWidth="1"/>
    <col min="22" max="22" width="7.6640625" style="4" hidden="1" customWidth="1"/>
    <col min="23" max="27" width="8.33203125" style="1" customWidth="1"/>
    <col min="28" max="28" width="7.6640625" style="1" customWidth="1"/>
    <col min="29" max="29" width="7.6640625" style="4" hidden="1" customWidth="1"/>
    <col min="30" max="31" width="7.6640625" style="4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 customWidth="1"/>
    <col min="49" max="50" width="15.109375" style="1" customWidth="1"/>
    <col min="51" max="16384" width="8.88671875" style="1" customWidth="1"/>
  </cols>
  <sheetData>
    <row r="1" ht="32.25" customHeight="1" spans="3:42" x14ac:dyDescent="0.25">
      <c r="C1" s="5" t="s">
        <v>0</v>
      </c>
      <c r="D1" s="6">
        <v>4913633000</v>
      </c>
      <c r="E1" s="7"/>
      <c r="F1" s="6"/>
      <c r="G1" s="7"/>
      <c r="H1" s="8" t="s">
        <v>1</v>
      </c>
      <c r="I1" s="9">
        <v>5099688000</v>
      </c>
      <c r="J1" s="9"/>
      <c r="K1" s="220" t="s">
        <v>387</v>
      </c>
      <c r="L1" s="11"/>
      <c r="M1" s="11"/>
      <c r="N1" s="12"/>
      <c r="O1" s="12"/>
      <c r="P1" s="12"/>
      <c r="Q1" s="12"/>
      <c r="R1" s="12"/>
      <c r="S1" s="12"/>
      <c r="T1" s="12"/>
      <c r="U1" s="12"/>
      <c r="V1" s="12"/>
      <c r="W1" s="12"/>
      <c r="X1" s="13"/>
      <c r="Y1" s="14" t="s">
        <v>3</v>
      </c>
      <c r="Z1" s="14"/>
      <c r="AA1" s="15" t="s">
        <v>4</v>
      </c>
      <c r="AB1" s="16"/>
      <c r="AC1" s="17"/>
      <c r="AD1" s="18" t="s">
        <v>5</v>
      </c>
      <c r="AE1" s="19"/>
      <c r="AF1" s="20"/>
      <c r="AG1" s="21" t="s">
        <v>260</v>
      </c>
      <c r="AH1" s="22"/>
      <c r="AI1" s="23">
        <v>4913633000</v>
      </c>
      <c r="AJ1" s="24"/>
      <c r="AK1" s="24"/>
      <c r="AL1" s="25" t="s">
        <v>7</v>
      </c>
      <c r="AM1" s="26"/>
      <c r="AN1" s="26"/>
      <c r="AO1" s="26"/>
      <c r="AP1" s="12"/>
    </row>
    <row r="2" ht="29.25" customHeight="1" spans="1:49" s="27" customFormat="1" x14ac:dyDescent="0.25">
      <c r="A2" s="20"/>
      <c r="B2" s="28"/>
      <c r="C2" s="29" t="s">
        <v>8</v>
      </c>
      <c r="D2" s="30">
        <v>5052743000</v>
      </c>
      <c r="E2" s="31"/>
      <c r="F2" s="32"/>
      <c r="G2" s="33"/>
      <c r="H2" s="5" t="s">
        <v>9</v>
      </c>
      <c r="I2" s="34">
        <f>D2*1</f>
        <v>5052743000</v>
      </c>
      <c r="J2" s="32"/>
      <c r="K2" s="35" t="s">
        <v>10</v>
      </c>
      <c r="L2" s="36" t="s">
        <v>11</v>
      </c>
      <c r="M2" s="37">
        <v>45973.66666666667</v>
      </c>
      <c r="N2" s="37"/>
      <c r="O2" s="37"/>
      <c r="P2" s="37"/>
      <c r="Q2" s="38" t="s">
        <v>307</v>
      </c>
      <c r="R2" s="38"/>
      <c r="S2" s="38"/>
      <c r="T2" s="39"/>
      <c r="U2" s="40"/>
      <c r="V2" s="40"/>
      <c r="W2" s="41"/>
      <c r="X2" s="42"/>
      <c r="Y2" s="43">
        <v>5939900000</v>
      </c>
      <c r="Z2" s="43"/>
      <c r="AA2" s="44">
        <f>I1</f>
        <v>5099688000</v>
      </c>
      <c r="AB2" s="45"/>
      <c r="AC2" s="46"/>
      <c r="AD2" s="47">
        <f>TRUNC(Y2/AA2,4)</f>
        <v>1.1647</v>
      </c>
      <c r="AE2" s="48"/>
      <c r="AF2" s="49"/>
      <c r="AG2" s="21" t="s">
        <v>13</v>
      </c>
      <c r="AH2" s="22"/>
      <c r="AI2" s="23"/>
      <c r="AJ2" s="24"/>
      <c r="AK2" s="24"/>
      <c r="AL2" s="50"/>
      <c r="AM2" s="50"/>
      <c r="AN2" s="51" t="s">
        <v>14</v>
      </c>
      <c r="AP2" s="1"/>
      <c r="AQ2" s="1"/>
      <c r="AR2" s="52" t="s">
        <v>15</v>
      </c>
      <c r="AS2" s="53">
        <f>AI1</f>
        <v>4913633000</v>
      </c>
      <c r="AT2" s="54"/>
      <c r="AW2" s="55"/>
    </row>
    <row r="3" ht="24.95" customHeight="1" spans="1:50" s="56" customFormat="1" x14ac:dyDescent="0.25">
      <c r="A3" s="57" t="s">
        <v>16</v>
      </c>
      <c r="B3" s="58" t="s">
        <v>17</v>
      </c>
      <c r="C3" s="59" t="s">
        <v>18</v>
      </c>
      <c r="D3" s="60"/>
      <c r="E3" s="60"/>
      <c r="F3" s="60"/>
      <c r="G3" s="60"/>
      <c r="H3" s="61"/>
      <c r="I3" s="59" t="s">
        <v>19</v>
      </c>
      <c r="J3" s="60"/>
      <c r="K3" s="60"/>
      <c r="L3" s="60"/>
      <c r="M3" s="61"/>
      <c r="N3" s="62" t="s">
        <v>20</v>
      </c>
      <c r="O3" s="63" t="s">
        <v>21</v>
      </c>
      <c r="P3" s="59" t="s">
        <v>22</v>
      </c>
      <c r="Q3" s="60"/>
      <c r="R3" s="64"/>
      <c r="S3" s="64"/>
      <c r="T3" s="60"/>
      <c r="U3" s="61"/>
      <c r="V3" s="65"/>
      <c r="W3" s="59" t="s">
        <v>23</v>
      </c>
      <c r="X3" s="60"/>
      <c r="Y3" s="60"/>
      <c r="Z3" s="60"/>
      <c r="AA3" s="60"/>
      <c r="AB3" s="60"/>
      <c r="AC3" s="60"/>
      <c r="AD3" s="60"/>
      <c r="AE3" s="61"/>
      <c r="AF3" s="60"/>
      <c r="AG3" s="60"/>
      <c r="AH3" s="60"/>
      <c r="AI3" s="60"/>
      <c r="AJ3" s="60"/>
      <c r="AK3" s="61"/>
      <c r="AL3" s="66" t="s">
        <v>24</v>
      </c>
      <c r="AM3" s="67" t="s">
        <v>25</v>
      </c>
      <c r="AN3" s="68" t="s">
        <v>26</v>
      </c>
      <c r="AO3" s="69" t="s">
        <v>27</v>
      </c>
      <c r="AP3" s="70" t="s">
        <v>28</v>
      </c>
      <c r="AQ3" s="65" t="s">
        <v>29</v>
      </c>
      <c r="AR3" s="67" t="s">
        <v>30</v>
      </c>
      <c r="AS3" s="65" t="s">
        <v>31</v>
      </c>
      <c r="AT3" s="65" t="s">
        <v>32</v>
      </c>
      <c r="AU3" s="65" t="s">
        <v>33</v>
      </c>
      <c r="AV3" s="71" t="s">
        <v>34</v>
      </c>
      <c r="AW3" s="65" t="s">
        <v>35</v>
      </c>
      <c r="AX3" s="65" t="s">
        <v>36</v>
      </c>
    </row>
    <row r="4" ht="39.75" customHeight="1" spans="1:50" s="56" customFormat="1" x14ac:dyDescent="0.25">
      <c r="A4" s="72"/>
      <c r="B4" s="73"/>
      <c r="C4" s="74" t="s">
        <v>37</v>
      </c>
      <c r="D4" s="75" t="s">
        <v>38</v>
      </c>
      <c r="E4" s="76" t="s">
        <v>39</v>
      </c>
      <c r="F4" s="76" t="s">
        <v>40</v>
      </c>
      <c r="G4" s="77" t="s">
        <v>41</v>
      </c>
      <c r="H4" s="65" t="s">
        <v>100</v>
      </c>
      <c r="I4" s="78" t="s">
        <v>37</v>
      </c>
      <c r="J4" s="79" t="s">
        <v>38</v>
      </c>
      <c r="K4" s="75" t="s">
        <v>39</v>
      </c>
      <c r="L4" s="75" t="s">
        <v>40</v>
      </c>
      <c r="M4" s="80" t="s">
        <v>41</v>
      </c>
      <c r="N4" s="81"/>
      <c r="O4" s="82"/>
      <c r="P4" s="78" t="s">
        <v>37</v>
      </c>
      <c r="Q4" s="79" t="s">
        <v>38</v>
      </c>
      <c r="R4" s="75" t="s">
        <v>39</v>
      </c>
      <c r="S4" s="75" t="s">
        <v>40</v>
      </c>
      <c r="T4" s="80" t="s">
        <v>41</v>
      </c>
      <c r="U4" s="83" t="s">
        <v>42</v>
      </c>
      <c r="V4" s="84" t="s">
        <v>43</v>
      </c>
      <c r="W4" s="85" t="s">
        <v>37</v>
      </c>
      <c r="X4" s="79" t="s">
        <v>38</v>
      </c>
      <c r="Y4" s="79" t="s">
        <v>39</v>
      </c>
      <c r="Z4" s="79" t="s">
        <v>40</v>
      </c>
      <c r="AA4" s="80" t="s">
        <v>41</v>
      </c>
      <c r="AB4" s="86" t="s">
        <v>44</v>
      </c>
      <c r="AC4" s="87" t="s">
        <v>45</v>
      </c>
      <c r="AD4" s="88" t="s">
        <v>46</v>
      </c>
      <c r="AE4" s="88" t="s">
        <v>47</v>
      </c>
      <c r="AF4" s="89" t="s">
        <v>48</v>
      </c>
      <c r="AG4" s="89" t="s">
        <v>49</v>
      </c>
      <c r="AH4" s="90" t="s">
        <v>50</v>
      </c>
      <c r="AI4" s="91" t="s">
        <v>51</v>
      </c>
      <c r="AJ4" s="91"/>
      <c r="AK4" s="91" t="s">
        <v>52</v>
      </c>
      <c r="AL4" s="92"/>
      <c r="AM4" s="93"/>
      <c r="AN4" s="94"/>
      <c r="AO4" s="95"/>
      <c r="AP4" s="70"/>
      <c r="AQ4" s="65"/>
      <c r="AR4" s="93"/>
      <c r="AS4" s="65"/>
      <c r="AT4" s="65"/>
      <c r="AU4" s="65"/>
      <c r="AV4" s="96"/>
      <c r="AW4" s="65"/>
      <c r="AX4" s="65"/>
    </row>
    <row r="5" ht="46.5" customHeight="1" spans="1:50" s="97" customFormat="1" x14ac:dyDescent="0.25">
      <c r="A5" s="98">
        <v>1</v>
      </c>
      <c r="B5" s="163"/>
      <c r="C5" s="102" t="s">
        <v>59</v>
      </c>
      <c r="D5" s="101" t="s">
        <v>388</v>
      </c>
      <c r="E5" s="163"/>
      <c r="F5" s="102"/>
      <c r="G5" s="103"/>
      <c r="H5" s="104"/>
      <c r="I5" s="166">
        <v>0.51</v>
      </c>
      <c r="J5" s="106">
        <v>0.49</v>
      </c>
      <c r="K5" s="107"/>
      <c r="L5" s="108"/>
      <c r="M5" s="109"/>
      <c r="N5" s="110">
        <f>SUM(I5:M5)</f>
        <v>1</v>
      </c>
      <c r="O5" s="111">
        <v>1</v>
      </c>
      <c r="P5" s="112">
        <v>15</v>
      </c>
      <c r="Q5" s="217">
        <v>15</v>
      </c>
      <c r="R5" s="112"/>
      <c r="S5" s="114"/>
      <c r="T5" s="115"/>
      <c r="U5" s="116">
        <f>ROUND(((P5*I5)+(Q5*J5)+(R5*K5)+(S5*L5)+(T5*M5))*O5,2)</f>
        <v>15</v>
      </c>
      <c r="V5" s="117">
        <f>IF(U5&gt;=15,15,U5)</f>
        <v>15</v>
      </c>
      <c r="W5" s="120">
        <v>17928117000</v>
      </c>
      <c r="X5" s="221">
        <v>2925617000</v>
      </c>
      <c r="Y5" s="120"/>
      <c r="Z5" s="121"/>
      <c r="AA5" s="122"/>
      <c r="AB5" s="123">
        <f>ROUND((((W5*I5)+(X5*J5)+(Y5*K5)+(Z5*L5)+(AA5*M5))/$I$2),2)*13</f>
        <v>27.169999999999998</v>
      </c>
      <c r="AC5" s="124">
        <f>IF(AB5&gt;=13,13,AB5)</f>
        <v>13</v>
      </c>
      <c r="AD5" s="125">
        <v>3</v>
      </c>
      <c r="AE5" s="116">
        <f>IF((AC5+AD5)&gt;=15,15,(AC5+AD5))</f>
        <v>15</v>
      </c>
      <c r="AF5" s="126">
        <f>0.5*I5</f>
        <v>0.255</v>
      </c>
      <c r="AG5" s="127">
        <v>3.88</v>
      </c>
      <c r="AH5" s="128">
        <f>IF((V5+AE5+AF5)&gt;=30,30,(V5+AE5+AF5))</f>
        <v>30</v>
      </c>
      <c r="AI5" s="129">
        <v>65</v>
      </c>
      <c r="AJ5" s="128">
        <f>V5+AE5+AF5+AI5+AG5</f>
        <v>99.13499999999999</v>
      </c>
      <c r="AK5" s="128">
        <f>IF(AH5+AI5+AG5&gt;=95,95,AH5+AI5+AG5)</f>
        <v>95</v>
      </c>
      <c r="AL5" s="130">
        <f>-((50-((176+(45+(50-AH5)))))/200)</f>
        <v>0.955</v>
      </c>
      <c r="AM5" s="131"/>
      <c r="AN5" s="132">
        <f>100%+AM5</f>
        <v>1</v>
      </c>
      <c r="AO5" s="132">
        <f>100%+AN5</f>
        <v>2</v>
      </c>
      <c r="AP5" s="133"/>
      <c r="AQ5" s="134"/>
      <c r="AR5" s="135"/>
      <c r="AS5" s="135"/>
      <c r="AT5" s="135"/>
      <c r="AU5" s="135"/>
      <c r="AV5" s="136"/>
      <c r="AW5" s="137">
        <f>AR5+AS5+AT5+AU5+AV5</f>
        <v>0</v>
      </c>
      <c r="AX5" s="137">
        <f>(AR5*I5)+(AS5*J5)+(AT5*K5)+(AU5*L5)+(AV5*M5)</f>
        <v>0</v>
      </c>
    </row>
    <row r="6" ht="21.95" customHeight="1" spans="1:50" s="97" customFormat="1" x14ac:dyDescent="0.25">
      <c r="A6" s="138" t="s">
        <v>56</v>
      </c>
      <c r="B6" s="139"/>
      <c r="C6" s="139"/>
      <c r="D6" s="139"/>
      <c r="E6" s="139"/>
      <c r="F6" s="139"/>
      <c r="G6" s="139"/>
      <c r="H6" s="140"/>
      <c r="I6" s="244">
        <v>91.78</v>
      </c>
      <c r="J6" s="142">
        <v>85</v>
      </c>
      <c r="K6" s="142"/>
      <c r="L6" s="142"/>
      <c r="M6" s="142"/>
      <c r="N6" s="143">
        <f>I6*I5+J6*J5+K6*K5+L6*L5+M6*M5</f>
        <v>88.45779999999999</v>
      </c>
      <c r="O6" s="144"/>
      <c r="P6" s="145"/>
      <c r="Q6" s="113"/>
      <c r="R6" s="113"/>
      <c r="S6" s="146"/>
      <c r="T6" s="147"/>
      <c r="U6" s="148"/>
      <c r="V6" s="149"/>
      <c r="W6" s="150"/>
      <c r="X6" s="151"/>
      <c r="Y6" s="152"/>
      <c r="Z6" s="151"/>
      <c r="AA6" s="153"/>
      <c r="AB6" s="154"/>
      <c r="AC6" s="149"/>
      <c r="AD6" s="148"/>
      <c r="AE6" s="148"/>
      <c r="AF6" s="155"/>
      <c r="AG6" s="156"/>
      <c r="AH6" s="113"/>
      <c r="AI6" s="157"/>
      <c r="AJ6" s="113"/>
      <c r="AK6" s="113"/>
      <c r="AL6" s="158"/>
      <c r="AM6" s="159"/>
      <c r="AN6" s="160"/>
      <c r="AO6" s="160"/>
      <c r="AP6" s="133"/>
      <c r="AQ6" s="134"/>
      <c r="AR6" s="161"/>
      <c r="AS6" s="161"/>
      <c r="AT6" s="161"/>
      <c r="AU6" s="161"/>
      <c r="AV6" s="162"/>
      <c r="AW6" s="137"/>
      <c r="AX6" s="137"/>
    </row>
    <row r="7" ht="46.5" customHeight="1" spans="1:50" s="97" customFormat="1" x14ac:dyDescent="0.25">
      <c r="A7" s="98">
        <v>2</v>
      </c>
      <c r="B7" s="163"/>
      <c r="C7" s="102" t="s">
        <v>389</v>
      </c>
      <c r="D7" s="101" t="s">
        <v>390</v>
      </c>
      <c r="E7" s="102"/>
      <c r="F7" s="163"/>
      <c r="G7" s="164"/>
      <c r="H7" s="165"/>
      <c r="I7" s="166">
        <v>0.51</v>
      </c>
      <c r="J7" s="107">
        <v>0.49</v>
      </c>
      <c r="K7" s="107"/>
      <c r="L7" s="167"/>
      <c r="M7" s="168"/>
      <c r="N7" s="169">
        <f>SUM(I7:M7)</f>
        <v>1</v>
      </c>
      <c r="O7" s="144">
        <v>1</v>
      </c>
      <c r="P7" s="112">
        <v>15</v>
      </c>
      <c r="Q7" s="217">
        <v>15</v>
      </c>
      <c r="R7" s="112"/>
      <c r="S7" s="113"/>
      <c r="T7" s="147"/>
      <c r="U7" s="148">
        <f>ROUND(((P7*I7)+(Q7*J7)+(R7*K7)+(S7*L7)+(T7*M7))*O7,2)</f>
        <v>15</v>
      </c>
      <c r="V7" s="149">
        <f>IF(U7&gt;=15,15,U7)</f>
        <v>15</v>
      </c>
      <c r="W7" s="120">
        <v>28147269000</v>
      </c>
      <c r="X7" s="120">
        <v>6290343000</v>
      </c>
      <c r="Y7" s="120"/>
      <c r="Z7" s="151"/>
      <c r="AA7" s="153"/>
      <c r="AB7" s="154">
        <f>ROUND((((W7*I7)+(X7*J7)+(Y7*K7)+(Z7*L7)+(AA7*M7))/$I$2),2)*13</f>
        <v>44.85</v>
      </c>
      <c r="AC7" s="149">
        <f>IF(AB7&gt;=13,13,AB7)</f>
        <v>13</v>
      </c>
      <c r="AD7" s="125">
        <v>2</v>
      </c>
      <c r="AE7" s="148">
        <f>IF((AC7+AD7)&gt;=15,15,(AC7+AD7))</f>
        <v>15</v>
      </c>
      <c r="AF7" s="155"/>
      <c r="AG7" s="127">
        <v>3.88</v>
      </c>
      <c r="AH7" s="113">
        <f>IF((V7+AE7+AF7)&gt;=30,30,(V7+AE7+AF7))</f>
        <v>30</v>
      </c>
      <c r="AI7" s="157">
        <v>65</v>
      </c>
      <c r="AJ7" s="113">
        <f>V7+AE7+AF7+AI7+AG7</f>
        <v>98.88</v>
      </c>
      <c r="AK7" s="113">
        <f>IF(AH7+AI7+AG7&gt;=95,95,AH7+AI7+AG7)</f>
        <v>95</v>
      </c>
      <c r="AL7" s="158">
        <f>-((50-((176+(45+(50-AH7)))))/200)</f>
        <v>0.955</v>
      </c>
      <c r="AM7" s="159"/>
      <c r="AN7" s="160">
        <f>100%+AM7</f>
        <v>1</v>
      </c>
      <c r="AO7" s="160">
        <f>100%+AN7</f>
        <v>2</v>
      </c>
      <c r="AP7" s="133"/>
      <c r="AQ7" s="134"/>
      <c r="AR7" s="161"/>
      <c r="AS7" s="161"/>
      <c r="AT7" s="161"/>
      <c r="AU7" s="161"/>
      <c r="AV7" s="162"/>
      <c r="AW7" s="137">
        <f>AR7+AS7+AT7+AU7+AV7</f>
        <v>0</v>
      </c>
      <c r="AX7" s="137">
        <f>(AR7*I7)+(AS7*J7)+(AT7*K7)+(AU7*L7)+(AV7*M7)</f>
        <v>0</v>
      </c>
    </row>
    <row r="8" ht="21.95" customHeight="1" spans="1:50" s="97" customFormat="1" x14ac:dyDescent="0.25">
      <c r="A8" s="138" t="s">
        <v>56</v>
      </c>
      <c r="B8" s="139"/>
      <c r="C8" s="139"/>
      <c r="D8" s="139"/>
      <c r="E8" s="139"/>
      <c r="F8" s="139"/>
      <c r="G8" s="139"/>
      <c r="H8" s="140"/>
      <c r="I8" s="222">
        <v>85</v>
      </c>
      <c r="J8" s="142">
        <v>85</v>
      </c>
      <c r="K8" s="142"/>
      <c r="L8" s="142"/>
      <c r="M8" s="142"/>
      <c r="N8" s="170">
        <f>I8*I7+J8*J7+K8*K7+L8*L7+M8*M7</f>
        <v>85</v>
      </c>
      <c r="O8" s="144"/>
      <c r="P8" s="145"/>
      <c r="Q8" s="113"/>
      <c r="R8" s="113"/>
      <c r="S8" s="146"/>
      <c r="T8" s="147"/>
      <c r="U8" s="148"/>
      <c r="V8" s="149"/>
      <c r="W8" s="150"/>
      <c r="X8" s="151"/>
      <c r="Y8" s="152"/>
      <c r="Z8" s="151"/>
      <c r="AA8" s="153"/>
      <c r="AB8" s="154"/>
      <c r="AC8" s="149"/>
      <c r="AD8" s="148"/>
      <c r="AE8" s="148"/>
      <c r="AF8" s="155"/>
      <c r="AG8" s="156"/>
      <c r="AH8" s="113"/>
      <c r="AI8" s="157"/>
      <c r="AJ8" s="113"/>
      <c r="AK8" s="113"/>
      <c r="AL8" s="158"/>
      <c r="AM8" s="159"/>
      <c r="AN8" s="160"/>
      <c r="AO8" s="160"/>
      <c r="AP8" s="133"/>
      <c r="AQ8" s="134"/>
      <c r="AR8" s="161"/>
      <c r="AS8" s="161"/>
      <c r="AT8" s="161"/>
      <c r="AU8" s="161"/>
      <c r="AV8" s="162"/>
      <c r="AW8" s="137"/>
      <c r="AX8" s="137"/>
    </row>
    <row r="9" ht="46.5" customHeight="1" spans="1:50" s="97" customFormat="1" x14ac:dyDescent="0.25">
      <c r="A9" s="98">
        <v>3</v>
      </c>
      <c r="B9" s="163"/>
      <c r="C9" s="102" t="s">
        <v>54</v>
      </c>
      <c r="D9" s="101" t="s">
        <v>391</v>
      </c>
      <c r="E9" s="163"/>
      <c r="F9" s="163"/>
      <c r="G9" s="103"/>
      <c r="H9" s="171"/>
      <c r="I9" s="166">
        <v>0.65</v>
      </c>
      <c r="J9" s="107">
        <v>0.35</v>
      </c>
      <c r="K9" s="107"/>
      <c r="L9" s="167"/>
      <c r="M9" s="168"/>
      <c r="N9" s="169">
        <f>SUM(I9:M9)</f>
        <v>1</v>
      </c>
      <c r="O9" s="144">
        <v>1</v>
      </c>
      <c r="P9" s="112">
        <v>15</v>
      </c>
      <c r="Q9" s="112">
        <v>15</v>
      </c>
      <c r="R9" s="112"/>
      <c r="S9" s="146"/>
      <c r="T9" s="147"/>
      <c r="U9" s="148">
        <f>ROUND(((P9*I9)+(Q9*J9)+(R9*K9)+(S9*L9)+(T9*M9))*O9,2)</f>
        <v>15</v>
      </c>
      <c r="V9" s="149">
        <f>IF(U9&gt;=15,15,U9)</f>
        <v>15</v>
      </c>
      <c r="W9" s="120">
        <v>75440266000</v>
      </c>
      <c r="X9" s="120">
        <v>571923000</v>
      </c>
      <c r="Y9" s="120"/>
      <c r="Z9" s="151"/>
      <c r="AA9" s="153"/>
      <c r="AB9" s="154">
        <f>ROUND((((W9*I9)+(X9*J9)+(Y9*K9)+(Z9*L9)+(AA9*M9))/$I$2),2)*13</f>
        <v>126.62</v>
      </c>
      <c r="AC9" s="149">
        <f>IF(AB9&gt;=13,13,AB9)</f>
        <v>13</v>
      </c>
      <c r="AD9" s="125">
        <v>2</v>
      </c>
      <c r="AE9" s="148">
        <f>IF((AC9+AD9)&gt;=15,15,(AC9+AD9))</f>
        <v>15</v>
      </c>
      <c r="AF9" s="155"/>
      <c r="AG9" s="127">
        <v>3.88</v>
      </c>
      <c r="AH9" s="113">
        <f>IF((V9+AE9+AF9)&gt;=30,30,(V9+AE9+AF9))</f>
        <v>30</v>
      </c>
      <c r="AI9" s="157">
        <v>65</v>
      </c>
      <c r="AJ9" s="113">
        <f>V9+AE9+AF9+AI9+AG9</f>
        <v>98.88</v>
      </c>
      <c r="AK9" s="113">
        <f>IF(AH9+AI9+AG9&gt;=95,95,AH9+AI9+AG9)</f>
        <v>95</v>
      </c>
      <c r="AL9" s="158">
        <f>-((50-((176+(45+(50-AH9)))))/200)</f>
        <v>0.955</v>
      </c>
      <c r="AM9" s="159"/>
      <c r="AN9" s="160">
        <f>100%+AM9</f>
        <v>1</v>
      </c>
      <c r="AO9" s="160">
        <f>100%+AN9</f>
        <v>2</v>
      </c>
      <c r="AP9" s="133"/>
      <c r="AQ9" s="134"/>
      <c r="AR9" s="161"/>
      <c r="AS9" s="161"/>
      <c r="AT9" s="161"/>
      <c r="AU9" s="161"/>
      <c r="AV9" s="162"/>
      <c r="AW9" s="172">
        <f>AR9+AS9+AT9+AU9+AV9</f>
        <v>0</v>
      </c>
      <c r="AX9" s="172">
        <f>(AR9*I9)+(AS9*J9)+(AT9*K9)+(AU9*L9)+(AV9*M9)</f>
        <v>0</v>
      </c>
    </row>
    <row r="10" ht="21.95" customHeight="1" spans="1:50" s="97" customFormat="1" x14ac:dyDescent="0.25">
      <c r="A10" s="138" t="s">
        <v>56</v>
      </c>
      <c r="B10" s="139"/>
      <c r="C10" s="139"/>
      <c r="D10" s="139"/>
      <c r="E10" s="139"/>
      <c r="F10" s="139"/>
      <c r="G10" s="139"/>
      <c r="H10" s="140"/>
      <c r="I10" s="222">
        <v>85</v>
      </c>
      <c r="J10" s="142">
        <v>85</v>
      </c>
      <c r="K10" s="142"/>
      <c r="L10" s="142"/>
      <c r="M10" s="142"/>
      <c r="N10" s="170">
        <f>I10*I9+J10*J9+K10*K9+L10*L9+M10*M9</f>
        <v>85</v>
      </c>
      <c r="O10" s="144"/>
      <c r="P10" s="145"/>
      <c r="Q10" s="113"/>
      <c r="R10" s="113"/>
      <c r="S10" s="146"/>
      <c r="T10" s="147"/>
      <c r="U10" s="148"/>
      <c r="V10" s="149"/>
      <c r="W10" s="150"/>
      <c r="X10" s="151"/>
      <c r="Y10" s="152"/>
      <c r="Z10" s="151"/>
      <c r="AA10" s="153"/>
      <c r="AB10" s="154"/>
      <c r="AC10" s="149"/>
      <c r="AD10" s="148"/>
      <c r="AE10" s="148"/>
      <c r="AF10" s="155"/>
      <c r="AG10" s="156"/>
      <c r="AH10" s="113"/>
      <c r="AI10" s="157"/>
      <c r="AJ10" s="113"/>
      <c r="AK10" s="113"/>
      <c r="AL10" s="158"/>
      <c r="AM10" s="159"/>
      <c r="AN10" s="160"/>
      <c r="AO10" s="160"/>
      <c r="AP10" s="133"/>
      <c r="AQ10" s="134"/>
      <c r="AR10" s="161"/>
      <c r="AS10" s="161"/>
      <c r="AT10" s="161"/>
      <c r="AU10" s="161"/>
      <c r="AV10" s="162"/>
      <c r="AW10" s="137"/>
      <c r="AX10" s="137"/>
    </row>
    <row r="11" ht="46.5" customHeight="1" spans="1:50" s="97" customFormat="1" x14ac:dyDescent="0.25">
      <c r="A11" s="98"/>
      <c r="B11" s="196"/>
      <c r="C11" s="102"/>
      <c r="D11" s="102"/>
      <c r="E11" s="163"/>
      <c r="F11" s="163"/>
      <c r="G11" s="103"/>
      <c r="H11" s="171"/>
      <c r="I11" s="166">
        <v>0.51</v>
      </c>
      <c r="J11" s="107">
        <v>0.49</v>
      </c>
      <c r="K11" s="107"/>
      <c r="L11" s="176"/>
      <c r="M11" s="168"/>
      <c r="N11" s="169">
        <f t="shared" ref="N11:N42" si="0">SUM(I11:M11)</f>
        <v>1</v>
      </c>
      <c r="O11" s="144">
        <v>1</v>
      </c>
      <c r="P11" s="112">
        <v>15</v>
      </c>
      <c r="Q11" s="112">
        <v>15</v>
      </c>
      <c r="R11" s="156">
        <v>15</v>
      </c>
      <c r="S11" s="113"/>
      <c r="T11" s="147"/>
      <c r="U11" s="148">
        <f t="shared" ref="U11:U74" si="1">ROUND(((P11*I11)+(Q11*J11)+(R11*K11)+(S11*L11)+(T11*M11))*O11,2)</f>
        <v>15</v>
      </c>
      <c r="V11" s="149">
        <f t="shared" ref="V11:V74" si="2">IF(U11&gt;=15,15,U11)</f>
        <v>15</v>
      </c>
      <c r="W11" s="119"/>
      <c r="X11" s="120"/>
      <c r="Y11" s="120"/>
      <c r="Z11" s="151"/>
      <c r="AA11" s="153"/>
      <c r="AB11" s="154">
        <f t="shared" ref="AB11:AB74" si="3">ROUND((((W11*I11)+(X11*J11)+(Y11*K11)+(Z11*L11)+(AA11*M11))/$I$2),2)*13</f>
        <v>0</v>
      </c>
      <c r="AC11" s="149">
        <f t="shared" ref="AC11:AC74" si="4">IF(AB11&gt;=13,13,AB11)</f>
        <v>0</v>
      </c>
      <c r="AD11" s="125">
        <v>2</v>
      </c>
      <c r="AE11" s="148">
        <f t="shared" ref="AE11:AE74" si="5">IF((AC11+AD11)&gt;=15,15,(AC11+AD11))</f>
        <v>2</v>
      </c>
      <c r="AF11" s="155"/>
      <c r="AG11" s="127"/>
      <c r="AH11" s="113">
        <f t="shared" ref="AH11:AH74" si="6">IF((V11+AE11+AF11)&gt;=30,30,(V11+AE11+AF11))</f>
        <v>17</v>
      </c>
      <c r="AI11" s="157">
        <v>65</v>
      </c>
      <c r="AJ11" s="113">
        <f t="shared" ref="AJ11:AJ74" si="7">V11+AE11+AF11+AI11+AG11</f>
        <v>82</v>
      </c>
      <c r="AK11" s="113">
        <f t="shared" ref="AK11:AK74" si="8">IF(AH11+AI11+AG11&gt;=95,95,AH11+AI11+AG11)</f>
        <v>82</v>
      </c>
      <c r="AL11" s="158">
        <f t="shared" ref="AL11:AL74" si="9">-((50-((176+(45+(50-AH11)))))/200)</f>
        <v>1.02</v>
      </c>
      <c r="AM11" s="159"/>
      <c r="AN11" s="160">
        <f t="shared" ref="AN11:AO30" si="10">100%+AM11</f>
        <v>1</v>
      </c>
      <c r="AO11" s="160">
        <f t="shared" si="10"/>
        <v>2</v>
      </c>
      <c r="AP11" s="133"/>
      <c r="AQ11" s="134"/>
      <c r="AR11" s="161"/>
      <c r="AS11" s="161"/>
      <c r="AT11" s="161"/>
      <c r="AU11" s="161"/>
      <c r="AV11" s="162"/>
      <c r="AW11" s="137">
        <f t="shared" ref="AW11:AW74" si="11">AR11+AS11+AT11+AU11+AV11</f>
        <v>0</v>
      </c>
      <c r="AX11" s="137">
        <f t="shared" ref="AX11:AX74" si="12">(AR11*I11)+(AS11*J11)+(AT11*K11)+(AU11*L11)+(AV11*M11)</f>
        <v>0</v>
      </c>
    </row>
    <row r="12" ht="46.5" customHeight="1" spans="1:50" s="97" customFormat="1" x14ac:dyDescent="0.25">
      <c r="A12" s="98"/>
      <c r="B12" s="196"/>
      <c r="C12" s="102"/>
      <c r="D12" s="102"/>
      <c r="E12" s="163"/>
      <c r="F12" s="163"/>
      <c r="G12" s="103"/>
      <c r="H12" s="182"/>
      <c r="I12" s="166">
        <v>0.51</v>
      </c>
      <c r="J12" s="107">
        <v>0.49</v>
      </c>
      <c r="K12" s="107"/>
      <c r="L12" s="167"/>
      <c r="M12" s="168"/>
      <c r="N12" s="169">
        <f t="shared" si="0"/>
        <v>1</v>
      </c>
      <c r="O12" s="144">
        <v>1</v>
      </c>
      <c r="P12" s="112">
        <v>15</v>
      </c>
      <c r="Q12" s="112">
        <v>15</v>
      </c>
      <c r="R12" s="112"/>
      <c r="S12" s="146"/>
      <c r="T12" s="147"/>
      <c r="U12" s="148">
        <f t="shared" si="1"/>
        <v>15</v>
      </c>
      <c r="V12" s="149">
        <f t="shared" si="2"/>
        <v>15</v>
      </c>
      <c r="W12" s="179"/>
      <c r="X12" s="120"/>
      <c r="Y12" s="183"/>
      <c r="Z12" s="151"/>
      <c r="AA12" s="153"/>
      <c r="AB12" s="154">
        <f t="shared" si="3"/>
        <v>0</v>
      </c>
      <c r="AC12" s="149">
        <f t="shared" si="4"/>
        <v>0</v>
      </c>
      <c r="AD12" s="125">
        <v>2</v>
      </c>
      <c r="AE12" s="148">
        <f t="shared" si="5"/>
        <v>2</v>
      </c>
      <c r="AF12" s="155"/>
      <c r="AG12" s="127"/>
      <c r="AH12" s="113">
        <f t="shared" si="6"/>
        <v>17</v>
      </c>
      <c r="AI12" s="157">
        <v>65</v>
      </c>
      <c r="AJ12" s="113">
        <f t="shared" si="7"/>
        <v>82</v>
      </c>
      <c r="AK12" s="113">
        <f t="shared" si="8"/>
        <v>82</v>
      </c>
      <c r="AL12" s="158">
        <f t="shared" si="9"/>
        <v>1.02</v>
      </c>
      <c r="AM12" s="159"/>
      <c r="AN12" s="160">
        <f t="shared" si="10"/>
        <v>1</v>
      </c>
      <c r="AO12" s="160">
        <f t="shared" si="10"/>
        <v>2</v>
      </c>
      <c r="AP12" s="133"/>
      <c r="AQ12" s="134"/>
      <c r="AR12" s="161"/>
      <c r="AS12" s="161"/>
      <c r="AT12" s="161"/>
      <c r="AU12" s="161"/>
      <c r="AV12" s="162"/>
      <c r="AW12" s="137">
        <f t="shared" si="11"/>
        <v>0</v>
      </c>
      <c r="AX12" s="137">
        <f t="shared" si="12"/>
        <v>0</v>
      </c>
    </row>
    <row r="13" ht="46.5" customHeight="1" spans="1:50" s="97" customFormat="1" x14ac:dyDescent="0.25">
      <c r="A13" s="98"/>
      <c r="B13" s="196"/>
      <c r="C13" s="102"/>
      <c r="D13" s="102"/>
      <c r="E13" s="163"/>
      <c r="F13" s="163"/>
      <c r="G13" s="103"/>
      <c r="H13" s="182"/>
      <c r="I13" s="166">
        <v>0.51</v>
      </c>
      <c r="J13" s="107">
        <v>0.49</v>
      </c>
      <c r="K13" s="107"/>
      <c r="L13" s="167"/>
      <c r="M13" s="168"/>
      <c r="N13" s="169">
        <f t="shared" si="0"/>
        <v>1</v>
      </c>
      <c r="O13" s="144">
        <v>1</v>
      </c>
      <c r="P13" s="112">
        <v>15</v>
      </c>
      <c r="Q13" s="112">
        <v>15</v>
      </c>
      <c r="R13" s="156"/>
      <c r="S13" s="146"/>
      <c r="T13" s="147"/>
      <c r="U13" s="148">
        <f t="shared" si="1"/>
        <v>15</v>
      </c>
      <c r="V13" s="149">
        <f t="shared" si="2"/>
        <v>15</v>
      </c>
      <c r="W13" s="120"/>
      <c r="X13" s="120"/>
      <c r="Y13" s="183"/>
      <c r="Z13" s="151"/>
      <c r="AA13" s="153"/>
      <c r="AB13" s="154">
        <f t="shared" si="3"/>
        <v>0</v>
      </c>
      <c r="AC13" s="149">
        <f t="shared" si="4"/>
        <v>0</v>
      </c>
      <c r="AD13" s="125">
        <v>2</v>
      </c>
      <c r="AE13" s="148">
        <f t="shared" si="5"/>
        <v>2</v>
      </c>
      <c r="AF13" s="155"/>
      <c r="AG13" s="127"/>
      <c r="AH13" s="113">
        <f t="shared" si="6"/>
        <v>17</v>
      </c>
      <c r="AI13" s="157">
        <v>65</v>
      </c>
      <c r="AJ13" s="113">
        <f t="shared" si="7"/>
        <v>82</v>
      </c>
      <c r="AK13" s="113">
        <f t="shared" si="8"/>
        <v>82</v>
      </c>
      <c r="AL13" s="158">
        <f t="shared" si="9"/>
        <v>1.02</v>
      </c>
      <c r="AM13" s="159"/>
      <c r="AN13" s="160">
        <f t="shared" si="10"/>
        <v>1</v>
      </c>
      <c r="AO13" s="160">
        <f t="shared" si="10"/>
        <v>2</v>
      </c>
      <c r="AP13" s="133"/>
      <c r="AQ13" s="134"/>
      <c r="AR13" s="161"/>
      <c r="AS13" s="161"/>
      <c r="AT13" s="161"/>
      <c r="AU13" s="161"/>
      <c r="AV13" s="162"/>
      <c r="AW13" s="137">
        <f t="shared" si="11"/>
        <v>0</v>
      </c>
      <c r="AX13" s="137">
        <f t="shared" si="12"/>
        <v>0</v>
      </c>
    </row>
    <row r="14" ht="46.5" customHeight="1" spans="1:50" s="97" customFormat="1" x14ac:dyDescent="0.25">
      <c r="A14" s="98"/>
      <c r="B14" s="196"/>
      <c r="C14" s="102" t="s">
        <v>59</v>
      </c>
      <c r="D14" s="102" t="s">
        <v>392</v>
      </c>
      <c r="E14" s="224"/>
      <c r="F14" s="224"/>
      <c r="G14" s="103"/>
      <c r="H14" s="182"/>
      <c r="I14" s="166">
        <v>0.51</v>
      </c>
      <c r="J14" s="107">
        <v>0.49</v>
      </c>
      <c r="K14" s="107"/>
      <c r="L14" s="167"/>
      <c r="M14" s="168"/>
      <c r="N14" s="169">
        <f t="shared" si="0"/>
        <v>1</v>
      </c>
      <c r="O14" s="144">
        <v>1</v>
      </c>
      <c r="P14" s="112">
        <v>15</v>
      </c>
      <c r="Q14" s="112">
        <v>15</v>
      </c>
      <c r="R14" s="113"/>
      <c r="S14" s="146"/>
      <c r="T14" s="147"/>
      <c r="U14" s="148">
        <f t="shared" si="1"/>
        <v>15</v>
      </c>
      <c r="V14" s="149">
        <f t="shared" si="2"/>
        <v>15</v>
      </c>
      <c r="W14" s="120"/>
      <c r="X14" s="120"/>
      <c r="Y14" s="120"/>
      <c r="Z14" s="151"/>
      <c r="AA14" s="153"/>
      <c r="AB14" s="154">
        <f t="shared" si="3"/>
        <v>0</v>
      </c>
      <c r="AC14" s="149">
        <f t="shared" si="4"/>
        <v>0</v>
      </c>
      <c r="AD14" s="125">
        <v>2</v>
      </c>
      <c r="AE14" s="148">
        <f t="shared" si="5"/>
        <v>2</v>
      </c>
      <c r="AF14" s="155"/>
      <c r="AG14" s="127"/>
      <c r="AH14" s="113">
        <f t="shared" si="6"/>
        <v>17</v>
      </c>
      <c r="AI14" s="157">
        <v>65</v>
      </c>
      <c r="AJ14" s="113">
        <f t="shared" si="7"/>
        <v>82</v>
      </c>
      <c r="AK14" s="113">
        <f t="shared" si="8"/>
        <v>82</v>
      </c>
      <c r="AL14" s="158">
        <f t="shared" si="9"/>
        <v>1.02</v>
      </c>
      <c r="AM14" s="159"/>
      <c r="AN14" s="160">
        <f t="shared" si="10"/>
        <v>1</v>
      </c>
      <c r="AO14" s="160">
        <f t="shared" si="10"/>
        <v>2</v>
      </c>
      <c r="AP14" s="133"/>
      <c r="AQ14" s="134"/>
      <c r="AR14" s="161"/>
      <c r="AS14" s="161"/>
      <c r="AT14" s="161"/>
      <c r="AU14" s="161"/>
      <c r="AV14" s="162"/>
      <c r="AW14" s="137">
        <f t="shared" si="11"/>
        <v>0</v>
      </c>
      <c r="AX14" s="137">
        <f t="shared" si="12"/>
        <v>0</v>
      </c>
    </row>
    <row r="15" ht="46.5" customHeight="1" spans="1:50" s="97" customFormat="1" x14ac:dyDescent="0.25">
      <c r="A15" s="98"/>
      <c r="B15" s="196"/>
      <c r="C15" s="102"/>
      <c r="D15" s="224"/>
      <c r="E15" s="224"/>
      <c r="F15" s="224"/>
      <c r="G15" s="103"/>
      <c r="H15" s="182"/>
      <c r="I15" s="166">
        <v>0.51</v>
      </c>
      <c r="J15" s="107">
        <v>0.49</v>
      </c>
      <c r="K15" s="107"/>
      <c r="L15" s="167"/>
      <c r="M15" s="168"/>
      <c r="N15" s="169">
        <f t="shared" si="0"/>
        <v>1</v>
      </c>
      <c r="O15" s="144">
        <v>1</v>
      </c>
      <c r="P15" s="112">
        <v>15</v>
      </c>
      <c r="Q15" s="112">
        <v>15</v>
      </c>
      <c r="R15" s="113"/>
      <c r="S15" s="146"/>
      <c r="T15" s="147"/>
      <c r="U15" s="148">
        <f t="shared" si="1"/>
        <v>15</v>
      </c>
      <c r="V15" s="149">
        <f t="shared" si="2"/>
        <v>15</v>
      </c>
      <c r="W15" s="120"/>
      <c r="X15" s="120"/>
      <c r="Y15" s="120"/>
      <c r="Z15" s="151"/>
      <c r="AA15" s="153"/>
      <c r="AB15" s="154">
        <f t="shared" si="3"/>
        <v>0</v>
      </c>
      <c r="AC15" s="149">
        <f t="shared" si="4"/>
        <v>0</v>
      </c>
      <c r="AD15" s="125">
        <v>2</v>
      </c>
      <c r="AE15" s="148">
        <f t="shared" si="5"/>
        <v>2</v>
      </c>
      <c r="AF15" s="156"/>
      <c r="AG15" s="127"/>
      <c r="AH15" s="113">
        <f t="shared" si="6"/>
        <v>17</v>
      </c>
      <c r="AI15" s="157">
        <v>65</v>
      </c>
      <c r="AJ15" s="113">
        <f t="shared" si="7"/>
        <v>82</v>
      </c>
      <c r="AK15" s="113">
        <f t="shared" si="8"/>
        <v>82</v>
      </c>
      <c r="AL15" s="158">
        <f t="shared" si="9"/>
        <v>1.02</v>
      </c>
      <c r="AM15" s="159"/>
      <c r="AN15" s="160">
        <f t="shared" si="10"/>
        <v>1</v>
      </c>
      <c r="AO15" s="160">
        <f t="shared" si="10"/>
        <v>2</v>
      </c>
      <c r="AP15" s="133"/>
      <c r="AQ15" s="134"/>
      <c r="AR15" s="161"/>
      <c r="AS15" s="161"/>
      <c r="AT15" s="161"/>
      <c r="AU15" s="161"/>
      <c r="AV15" s="162"/>
      <c r="AW15" s="137">
        <f t="shared" si="11"/>
        <v>0</v>
      </c>
      <c r="AX15" s="137">
        <f t="shared" si="12"/>
        <v>0</v>
      </c>
    </row>
    <row r="16" ht="46.5" customHeight="1" spans="1:50" s="97" customFormat="1" x14ac:dyDescent="0.25">
      <c r="A16" s="98"/>
      <c r="B16" s="99"/>
      <c r="C16" s="102"/>
      <c r="D16" s="100"/>
      <c r="E16" s="224"/>
      <c r="F16" s="100"/>
      <c r="G16" s="103"/>
      <c r="H16" s="186"/>
      <c r="I16" s="166">
        <v>0.51</v>
      </c>
      <c r="J16" s="107">
        <v>0.49</v>
      </c>
      <c r="K16" s="107"/>
      <c r="L16" s="167"/>
      <c r="M16" s="168"/>
      <c r="N16" s="169">
        <f t="shared" si="0"/>
        <v>1</v>
      </c>
      <c r="O16" s="144">
        <v>1</v>
      </c>
      <c r="P16" s="112">
        <v>15</v>
      </c>
      <c r="Q16" s="112">
        <v>15</v>
      </c>
      <c r="R16" s="113"/>
      <c r="S16" s="146"/>
      <c r="T16" s="147"/>
      <c r="U16" s="148">
        <f t="shared" si="1"/>
        <v>15</v>
      </c>
      <c r="V16" s="149">
        <f t="shared" si="2"/>
        <v>15</v>
      </c>
      <c r="W16" s="183"/>
      <c r="X16" s="183"/>
      <c r="Y16" s="183"/>
      <c r="Z16" s="151"/>
      <c r="AA16" s="153"/>
      <c r="AB16" s="154">
        <f t="shared" si="3"/>
        <v>0</v>
      </c>
      <c r="AC16" s="149">
        <f t="shared" si="4"/>
        <v>0</v>
      </c>
      <c r="AD16" s="125">
        <v>2</v>
      </c>
      <c r="AE16" s="148">
        <f t="shared" si="5"/>
        <v>2</v>
      </c>
      <c r="AF16" s="156"/>
      <c r="AG16" s="127"/>
      <c r="AH16" s="113">
        <f t="shared" si="6"/>
        <v>17</v>
      </c>
      <c r="AI16" s="157">
        <v>65</v>
      </c>
      <c r="AJ16" s="113">
        <f t="shared" si="7"/>
        <v>82</v>
      </c>
      <c r="AK16" s="113">
        <f t="shared" si="8"/>
        <v>82</v>
      </c>
      <c r="AL16" s="158">
        <f t="shared" si="9"/>
        <v>1.02</v>
      </c>
      <c r="AM16" s="159"/>
      <c r="AN16" s="160">
        <f t="shared" si="10"/>
        <v>1</v>
      </c>
      <c r="AO16" s="160">
        <f t="shared" si="10"/>
        <v>2</v>
      </c>
      <c r="AP16" s="133"/>
      <c r="AQ16" s="134"/>
      <c r="AR16" s="161"/>
      <c r="AS16" s="161"/>
      <c r="AT16" s="161"/>
      <c r="AU16" s="161"/>
      <c r="AV16" s="162"/>
      <c r="AW16" s="137">
        <f t="shared" si="11"/>
        <v>0</v>
      </c>
      <c r="AX16" s="137">
        <f t="shared" si="12"/>
        <v>0</v>
      </c>
    </row>
    <row r="17" ht="46.5" customHeight="1" spans="1:50" s="97" customFormat="1" x14ac:dyDescent="0.25">
      <c r="A17" s="98"/>
      <c r="B17" s="99"/>
      <c r="C17" s="102"/>
      <c r="D17" s="102"/>
      <c r="E17" s="224"/>
      <c r="F17" s="224"/>
      <c r="G17" s="103"/>
      <c r="H17" s="186"/>
      <c r="I17" s="166">
        <v>0.51</v>
      </c>
      <c r="J17" s="107">
        <v>0.49</v>
      </c>
      <c r="K17" s="107"/>
      <c r="L17" s="107"/>
      <c r="M17" s="187"/>
      <c r="N17" s="169">
        <f t="shared" si="0"/>
        <v>1</v>
      </c>
      <c r="O17" s="144">
        <v>1</v>
      </c>
      <c r="P17" s="112">
        <v>15</v>
      </c>
      <c r="Q17" s="112">
        <v>15</v>
      </c>
      <c r="R17" s="113"/>
      <c r="S17" s="113"/>
      <c r="T17" s="146"/>
      <c r="U17" s="148">
        <f t="shared" si="1"/>
        <v>15</v>
      </c>
      <c r="V17" s="149">
        <f t="shared" si="2"/>
        <v>15</v>
      </c>
      <c r="W17" s="188"/>
      <c r="X17" s="161"/>
      <c r="Y17" s="189"/>
      <c r="Z17" s="190"/>
      <c r="AA17" s="153"/>
      <c r="AB17" s="154">
        <f t="shared" si="3"/>
        <v>0</v>
      </c>
      <c r="AC17" s="149">
        <f t="shared" si="4"/>
        <v>0</v>
      </c>
      <c r="AD17" s="125">
        <v>2</v>
      </c>
      <c r="AE17" s="148">
        <f t="shared" si="5"/>
        <v>2</v>
      </c>
      <c r="AF17" s="156"/>
      <c r="AG17" s="156"/>
      <c r="AH17" s="113">
        <f t="shared" si="6"/>
        <v>17</v>
      </c>
      <c r="AI17" s="157">
        <v>65</v>
      </c>
      <c r="AJ17" s="113">
        <f t="shared" si="7"/>
        <v>82</v>
      </c>
      <c r="AK17" s="113">
        <f t="shared" si="8"/>
        <v>82</v>
      </c>
      <c r="AL17" s="158">
        <f t="shared" si="9"/>
        <v>1.02</v>
      </c>
      <c r="AM17" s="159"/>
      <c r="AN17" s="160">
        <f t="shared" si="10"/>
        <v>1</v>
      </c>
      <c r="AO17" s="160">
        <f t="shared" si="10"/>
        <v>2</v>
      </c>
      <c r="AP17" s="133"/>
      <c r="AQ17" s="134"/>
      <c r="AR17" s="161"/>
      <c r="AS17" s="161"/>
      <c r="AT17" s="161"/>
      <c r="AU17" s="161"/>
      <c r="AV17" s="162"/>
      <c r="AW17" s="137">
        <f t="shared" si="11"/>
        <v>0</v>
      </c>
      <c r="AX17" s="137">
        <f t="shared" si="12"/>
        <v>0</v>
      </c>
    </row>
    <row r="18" ht="46.5" customHeight="1" spans="1:50" s="97" customFormat="1" x14ac:dyDescent="0.25">
      <c r="A18" s="98"/>
      <c r="B18" s="102"/>
      <c r="C18" s="102"/>
      <c r="D18" s="100"/>
      <c r="E18" s="100"/>
      <c r="F18" s="224"/>
      <c r="G18" s="103"/>
      <c r="H18" s="186"/>
      <c r="I18" s="166">
        <v>0.51</v>
      </c>
      <c r="J18" s="107">
        <v>0.49</v>
      </c>
      <c r="K18" s="191"/>
      <c r="L18" s="107"/>
      <c r="M18" s="187"/>
      <c r="N18" s="169">
        <f t="shared" si="0"/>
        <v>1</v>
      </c>
      <c r="O18" s="144">
        <v>1</v>
      </c>
      <c r="P18" s="112">
        <v>15</v>
      </c>
      <c r="Q18" s="112">
        <v>15</v>
      </c>
      <c r="R18" s="113"/>
      <c r="S18" s="113"/>
      <c r="T18" s="146"/>
      <c r="U18" s="148">
        <f t="shared" si="1"/>
        <v>15</v>
      </c>
      <c r="V18" s="149">
        <f t="shared" si="2"/>
        <v>15</v>
      </c>
      <c r="W18" s="192"/>
      <c r="X18" s="120"/>
      <c r="Y18" s="120"/>
      <c r="Z18" s="190"/>
      <c r="AA18" s="153"/>
      <c r="AB18" s="154">
        <f t="shared" si="3"/>
        <v>0</v>
      </c>
      <c r="AC18" s="149">
        <f t="shared" si="4"/>
        <v>0</v>
      </c>
      <c r="AD18" s="125">
        <v>2</v>
      </c>
      <c r="AE18" s="148">
        <f t="shared" si="5"/>
        <v>2</v>
      </c>
      <c r="AF18" s="156"/>
      <c r="AG18" s="156"/>
      <c r="AH18" s="113">
        <f t="shared" si="6"/>
        <v>17</v>
      </c>
      <c r="AI18" s="157">
        <v>65</v>
      </c>
      <c r="AJ18" s="113">
        <f t="shared" si="7"/>
        <v>82</v>
      </c>
      <c r="AK18" s="113">
        <f t="shared" si="8"/>
        <v>82</v>
      </c>
      <c r="AL18" s="158">
        <f t="shared" si="9"/>
        <v>1.02</v>
      </c>
      <c r="AM18" s="159"/>
      <c r="AN18" s="160">
        <f t="shared" si="10"/>
        <v>1</v>
      </c>
      <c r="AO18" s="160">
        <f t="shared" si="10"/>
        <v>2</v>
      </c>
      <c r="AP18" s="133"/>
      <c r="AQ18" s="134"/>
      <c r="AR18" s="161"/>
      <c r="AS18" s="161"/>
      <c r="AT18" s="161"/>
      <c r="AU18" s="161"/>
      <c r="AV18" s="162"/>
      <c r="AW18" s="137">
        <f t="shared" si="11"/>
        <v>0</v>
      </c>
      <c r="AX18" s="137">
        <f t="shared" si="12"/>
        <v>0</v>
      </c>
    </row>
    <row r="19" ht="46.5" customHeight="1" spans="1:50" s="97" customFormat="1" x14ac:dyDescent="0.25">
      <c r="A19" s="98"/>
      <c r="B19" s="102"/>
      <c r="C19" s="102"/>
      <c r="D19" s="102"/>
      <c r="E19" s="100"/>
      <c r="F19" s="100"/>
      <c r="G19" s="103"/>
      <c r="H19" s="186"/>
      <c r="I19" s="166">
        <v>0.51</v>
      </c>
      <c r="J19" s="107">
        <v>0.49</v>
      </c>
      <c r="K19" s="107"/>
      <c r="L19" s="107"/>
      <c r="M19" s="187"/>
      <c r="N19" s="169">
        <f t="shared" si="0"/>
        <v>1</v>
      </c>
      <c r="O19" s="144">
        <v>1</v>
      </c>
      <c r="P19" s="145">
        <v>15</v>
      </c>
      <c r="Q19" s="113">
        <v>15</v>
      </c>
      <c r="R19" s="113"/>
      <c r="S19" s="113"/>
      <c r="T19" s="146"/>
      <c r="U19" s="148">
        <f t="shared" si="1"/>
        <v>15</v>
      </c>
      <c r="V19" s="149">
        <f t="shared" si="2"/>
        <v>15</v>
      </c>
      <c r="W19" s="192"/>
      <c r="X19" s="183"/>
      <c r="Y19" s="120"/>
      <c r="Z19" s="190"/>
      <c r="AA19" s="153"/>
      <c r="AB19" s="154">
        <f t="shared" si="3"/>
        <v>0</v>
      </c>
      <c r="AC19" s="149">
        <f t="shared" si="4"/>
        <v>0</v>
      </c>
      <c r="AD19" s="125">
        <v>2</v>
      </c>
      <c r="AE19" s="148">
        <f t="shared" si="5"/>
        <v>2</v>
      </c>
      <c r="AF19" s="156"/>
      <c r="AG19" s="156"/>
      <c r="AH19" s="113">
        <f t="shared" si="6"/>
        <v>17</v>
      </c>
      <c r="AI19" s="157">
        <v>65</v>
      </c>
      <c r="AJ19" s="113">
        <f t="shared" si="7"/>
        <v>82</v>
      </c>
      <c r="AK19" s="113">
        <f t="shared" si="8"/>
        <v>82</v>
      </c>
      <c r="AL19" s="158">
        <f t="shared" si="9"/>
        <v>1.02</v>
      </c>
      <c r="AM19" s="159"/>
      <c r="AN19" s="160">
        <f t="shared" si="10"/>
        <v>1</v>
      </c>
      <c r="AO19" s="160">
        <f t="shared" si="10"/>
        <v>2</v>
      </c>
      <c r="AP19" s="133"/>
      <c r="AQ19" s="134"/>
      <c r="AR19" s="161"/>
      <c r="AS19" s="161"/>
      <c r="AT19" s="161"/>
      <c r="AU19" s="161"/>
      <c r="AV19" s="162"/>
      <c r="AW19" s="137">
        <f t="shared" si="11"/>
        <v>0</v>
      </c>
      <c r="AX19" s="137">
        <f t="shared" si="12"/>
        <v>0</v>
      </c>
    </row>
    <row r="20" ht="46.5" customHeight="1" spans="1:50" s="97" customFormat="1" x14ac:dyDescent="0.25">
      <c r="A20" s="98"/>
      <c r="B20" s="102"/>
      <c r="C20" s="102"/>
      <c r="D20" s="102"/>
      <c r="E20" s="102"/>
      <c r="F20" s="100"/>
      <c r="G20" s="103"/>
      <c r="H20" s="186"/>
      <c r="I20" s="195">
        <v>0.51</v>
      </c>
      <c r="J20" s="107">
        <v>0.49</v>
      </c>
      <c r="K20" s="107"/>
      <c r="L20" s="107"/>
      <c r="M20" s="187"/>
      <c r="N20" s="169">
        <f t="shared" si="0"/>
        <v>1</v>
      </c>
      <c r="O20" s="144">
        <v>1</v>
      </c>
      <c r="P20" s="145">
        <v>15</v>
      </c>
      <c r="Q20" s="113">
        <v>15</v>
      </c>
      <c r="R20" s="113"/>
      <c r="S20" s="113"/>
      <c r="T20" s="146"/>
      <c r="U20" s="148">
        <f t="shared" si="1"/>
        <v>15</v>
      </c>
      <c r="V20" s="149">
        <f t="shared" si="2"/>
        <v>15</v>
      </c>
      <c r="W20" s="192"/>
      <c r="X20" s="183"/>
      <c r="Y20" s="183"/>
      <c r="Z20" s="190"/>
      <c r="AA20" s="153"/>
      <c r="AB20" s="154">
        <f t="shared" si="3"/>
        <v>0</v>
      </c>
      <c r="AC20" s="149">
        <f t="shared" si="4"/>
        <v>0</v>
      </c>
      <c r="AD20" s="125">
        <v>2</v>
      </c>
      <c r="AE20" s="148">
        <f t="shared" si="5"/>
        <v>2</v>
      </c>
      <c r="AF20" s="156"/>
      <c r="AG20" s="156"/>
      <c r="AH20" s="113">
        <f t="shared" si="6"/>
        <v>17</v>
      </c>
      <c r="AI20" s="157">
        <v>65</v>
      </c>
      <c r="AJ20" s="113">
        <f t="shared" si="7"/>
        <v>82</v>
      </c>
      <c r="AK20" s="113">
        <f t="shared" si="8"/>
        <v>82</v>
      </c>
      <c r="AL20" s="158">
        <f t="shared" si="9"/>
        <v>1.02</v>
      </c>
      <c r="AM20" s="159"/>
      <c r="AN20" s="160">
        <f t="shared" si="10"/>
        <v>1</v>
      </c>
      <c r="AO20" s="160">
        <f t="shared" si="10"/>
        <v>2</v>
      </c>
      <c r="AP20" s="133"/>
      <c r="AQ20" s="134"/>
      <c r="AR20" s="161"/>
      <c r="AS20" s="161"/>
      <c r="AT20" s="161"/>
      <c r="AU20" s="161"/>
      <c r="AV20" s="162"/>
      <c r="AW20" s="137">
        <f t="shared" si="11"/>
        <v>0</v>
      </c>
      <c r="AX20" s="137">
        <f t="shared" si="12"/>
        <v>0</v>
      </c>
    </row>
    <row r="21" ht="46.5" customHeight="1" spans="1:50" s="97" customFormat="1" x14ac:dyDescent="0.25">
      <c r="A21" s="98"/>
      <c r="B21" s="196"/>
      <c r="C21" s="100"/>
      <c r="D21" s="102"/>
      <c r="E21" s="100"/>
      <c r="F21" s="100"/>
      <c r="G21" s="103"/>
      <c r="H21" s="186"/>
      <c r="I21" s="195">
        <v>0.51</v>
      </c>
      <c r="J21" s="107">
        <v>0.49</v>
      </c>
      <c r="K21" s="107"/>
      <c r="L21" s="107"/>
      <c r="M21" s="187"/>
      <c r="N21" s="169">
        <f t="shared" si="0"/>
        <v>1</v>
      </c>
      <c r="O21" s="144">
        <v>1</v>
      </c>
      <c r="P21" s="145">
        <v>15</v>
      </c>
      <c r="Q21" s="113">
        <v>15</v>
      </c>
      <c r="R21" s="156"/>
      <c r="S21" s="113"/>
      <c r="T21" s="146"/>
      <c r="U21" s="148">
        <f t="shared" si="1"/>
        <v>15</v>
      </c>
      <c r="V21" s="149">
        <f t="shared" si="2"/>
        <v>15</v>
      </c>
      <c r="W21" s="197"/>
      <c r="X21" s="120"/>
      <c r="Y21" s="183"/>
      <c r="Z21" s="190"/>
      <c r="AA21" s="153"/>
      <c r="AB21" s="154">
        <f t="shared" si="3"/>
        <v>0</v>
      </c>
      <c r="AC21" s="149">
        <f t="shared" si="4"/>
        <v>0</v>
      </c>
      <c r="AD21" s="125">
        <v>2</v>
      </c>
      <c r="AE21" s="148">
        <f t="shared" si="5"/>
        <v>2</v>
      </c>
      <c r="AF21" s="156"/>
      <c r="AG21" s="156"/>
      <c r="AH21" s="113">
        <f t="shared" si="6"/>
        <v>17</v>
      </c>
      <c r="AI21" s="157">
        <v>65</v>
      </c>
      <c r="AJ21" s="113">
        <f t="shared" si="7"/>
        <v>82</v>
      </c>
      <c r="AK21" s="113">
        <f t="shared" si="8"/>
        <v>82</v>
      </c>
      <c r="AL21" s="158">
        <f t="shared" si="9"/>
        <v>1.02</v>
      </c>
      <c r="AM21" s="159"/>
      <c r="AN21" s="160">
        <f t="shared" si="10"/>
        <v>1</v>
      </c>
      <c r="AO21" s="160">
        <f t="shared" si="10"/>
        <v>2</v>
      </c>
      <c r="AP21" s="133"/>
      <c r="AQ21" s="134"/>
      <c r="AR21" s="161"/>
      <c r="AS21" s="161"/>
      <c r="AT21" s="161"/>
      <c r="AU21" s="161"/>
      <c r="AV21" s="162"/>
      <c r="AW21" s="137">
        <f t="shared" si="11"/>
        <v>0</v>
      </c>
      <c r="AX21" s="137">
        <f t="shared" si="12"/>
        <v>0</v>
      </c>
    </row>
    <row r="22" ht="46.5" customHeight="1" spans="1:50" s="97" customFormat="1" x14ac:dyDescent="0.25">
      <c r="A22" s="100"/>
      <c r="B22" s="100"/>
      <c r="C22" s="100"/>
      <c r="D22" s="100"/>
      <c r="E22" s="100"/>
      <c r="F22" s="100"/>
      <c r="G22" s="103"/>
      <c r="H22" s="186"/>
      <c r="I22" s="195">
        <v>0.51</v>
      </c>
      <c r="J22" s="107">
        <v>0.49</v>
      </c>
      <c r="K22" s="107"/>
      <c r="L22" s="107"/>
      <c r="M22" s="187"/>
      <c r="N22" s="169">
        <f t="shared" si="0"/>
        <v>1</v>
      </c>
      <c r="O22" s="144">
        <v>1</v>
      </c>
      <c r="P22" s="145">
        <v>15</v>
      </c>
      <c r="Q22" s="113">
        <v>15</v>
      </c>
      <c r="R22" s="113"/>
      <c r="S22" s="113"/>
      <c r="T22" s="146"/>
      <c r="U22" s="148">
        <f t="shared" si="1"/>
        <v>15</v>
      </c>
      <c r="V22" s="149">
        <f t="shared" si="2"/>
        <v>15</v>
      </c>
      <c r="W22" s="189"/>
      <c r="X22" s="199"/>
      <c r="Y22" s="151"/>
      <c r="Z22" s="190"/>
      <c r="AA22" s="153"/>
      <c r="AB22" s="154">
        <f t="shared" si="3"/>
        <v>0</v>
      </c>
      <c r="AC22" s="149">
        <f t="shared" si="4"/>
        <v>0</v>
      </c>
      <c r="AD22" s="125">
        <v>2</v>
      </c>
      <c r="AE22" s="148">
        <f t="shared" si="5"/>
        <v>2</v>
      </c>
      <c r="AF22" s="156"/>
      <c r="AG22" s="156"/>
      <c r="AH22" s="113">
        <f t="shared" si="6"/>
        <v>17</v>
      </c>
      <c r="AI22" s="157">
        <v>65</v>
      </c>
      <c r="AJ22" s="113">
        <f t="shared" si="7"/>
        <v>82</v>
      </c>
      <c r="AK22" s="113">
        <f t="shared" si="8"/>
        <v>82</v>
      </c>
      <c r="AL22" s="158">
        <f t="shared" si="9"/>
        <v>1.02</v>
      </c>
      <c r="AM22" s="159"/>
      <c r="AN22" s="160">
        <f t="shared" si="10"/>
        <v>1</v>
      </c>
      <c r="AO22" s="160">
        <f t="shared" si="10"/>
        <v>2</v>
      </c>
      <c r="AP22" s="133"/>
      <c r="AQ22" s="134"/>
      <c r="AR22" s="161"/>
      <c r="AS22" s="161"/>
      <c r="AT22" s="161"/>
      <c r="AU22" s="161"/>
      <c r="AV22" s="162"/>
      <c r="AW22" s="137">
        <f t="shared" si="11"/>
        <v>0</v>
      </c>
      <c r="AX22" s="137">
        <f t="shared" si="12"/>
        <v>0</v>
      </c>
    </row>
    <row r="23" ht="46.5" customHeight="1" spans="1:50" s="97" customFormat="1" x14ac:dyDescent="0.25">
      <c r="A23" s="100"/>
      <c r="B23" s="100"/>
      <c r="C23" s="100"/>
      <c r="D23" s="100"/>
      <c r="E23" s="100"/>
      <c r="F23" s="100"/>
      <c r="G23" s="103"/>
      <c r="H23" s="186"/>
      <c r="I23" s="195">
        <v>0.51</v>
      </c>
      <c r="J23" s="107">
        <v>0.49</v>
      </c>
      <c r="K23" s="107"/>
      <c r="L23" s="107"/>
      <c r="M23" s="187"/>
      <c r="N23" s="169">
        <f t="shared" si="0"/>
        <v>1</v>
      </c>
      <c r="O23" s="144">
        <v>1</v>
      </c>
      <c r="P23" s="145">
        <v>15</v>
      </c>
      <c r="Q23" s="113">
        <v>15</v>
      </c>
      <c r="R23" s="113"/>
      <c r="S23" s="113"/>
      <c r="T23" s="146"/>
      <c r="U23" s="148">
        <f t="shared" si="1"/>
        <v>15</v>
      </c>
      <c r="V23" s="149">
        <f t="shared" si="2"/>
        <v>15</v>
      </c>
      <c r="W23" s="189"/>
      <c r="X23" s="199"/>
      <c r="Y23" s="151"/>
      <c r="Z23" s="190"/>
      <c r="AA23" s="153"/>
      <c r="AB23" s="154">
        <f t="shared" si="3"/>
        <v>0</v>
      </c>
      <c r="AC23" s="149">
        <f t="shared" si="4"/>
        <v>0</v>
      </c>
      <c r="AD23" s="125">
        <v>2</v>
      </c>
      <c r="AE23" s="148">
        <f t="shared" si="5"/>
        <v>2</v>
      </c>
      <c r="AF23" s="156"/>
      <c r="AG23" s="156"/>
      <c r="AH23" s="113">
        <f t="shared" si="6"/>
        <v>17</v>
      </c>
      <c r="AI23" s="157">
        <v>65</v>
      </c>
      <c r="AJ23" s="113">
        <f t="shared" si="7"/>
        <v>82</v>
      </c>
      <c r="AK23" s="113">
        <f t="shared" si="8"/>
        <v>82</v>
      </c>
      <c r="AL23" s="158">
        <f t="shared" si="9"/>
        <v>1.02</v>
      </c>
      <c r="AM23" s="159"/>
      <c r="AN23" s="160">
        <f t="shared" si="10"/>
        <v>1</v>
      </c>
      <c r="AO23" s="160">
        <f t="shared" si="10"/>
        <v>2</v>
      </c>
      <c r="AP23" s="133"/>
      <c r="AQ23" s="134"/>
      <c r="AR23" s="161"/>
      <c r="AS23" s="161"/>
      <c r="AT23" s="161"/>
      <c r="AU23" s="161"/>
      <c r="AV23" s="162"/>
      <c r="AW23" s="137">
        <f t="shared" si="11"/>
        <v>0</v>
      </c>
      <c r="AX23" s="137">
        <f t="shared" si="12"/>
        <v>0</v>
      </c>
    </row>
    <row r="24" ht="46.5" customHeight="1" spans="1:50" s="97" customFormat="1" x14ac:dyDescent="0.25">
      <c r="A24" s="100"/>
      <c r="B24" s="100"/>
      <c r="C24" s="100"/>
      <c r="D24" s="100"/>
      <c r="E24" s="100"/>
      <c r="F24" s="100"/>
      <c r="G24" s="103"/>
      <c r="H24" s="186"/>
      <c r="I24" s="195">
        <v>0.51</v>
      </c>
      <c r="J24" s="107">
        <v>0.49</v>
      </c>
      <c r="K24" s="107"/>
      <c r="L24" s="107"/>
      <c r="M24" s="187"/>
      <c r="N24" s="169">
        <f t="shared" si="0"/>
        <v>1</v>
      </c>
      <c r="O24" s="144">
        <v>1</v>
      </c>
      <c r="P24" s="145">
        <v>15</v>
      </c>
      <c r="Q24" s="113">
        <v>15</v>
      </c>
      <c r="R24" s="113"/>
      <c r="S24" s="113"/>
      <c r="T24" s="146"/>
      <c r="U24" s="148">
        <f t="shared" si="1"/>
        <v>15</v>
      </c>
      <c r="V24" s="149">
        <f t="shared" si="2"/>
        <v>15</v>
      </c>
      <c r="W24" s="189"/>
      <c r="X24" s="199"/>
      <c r="Y24" s="151"/>
      <c r="Z24" s="190"/>
      <c r="AA24" s="153"/>
      <c r="AB24" s="154">
        <f t="shared" si="3"/>
        <v>0</v>
      </c>
      <c r="AC24" s="149">
        <f t="shared" si="4"/>
        <v>0</v>
      </c>
      <c r="AD24" s="125">
        <v>2</v>
      </c>
      <c r="AE24" s="148">
        <f t="shared" si="5"/>
        <v>2</v>
      </c>
      <c r="AF24" s="156"/>
      <c r="AG24" s="156"/>
      <c r="AH24" s="113">
        <f t="shared" si="6"/>
        <v>17</v>
      </c>
      <c r="AI24" s="157">
        <v>65</v>
      </c>
      <c r="AJ24" s="113">
        <f t="shared" si="7"/>
        <v>82</v>
      </c>
      <c r="AK24" s="113">
        <f t="shared" si="8"/>
        <v>82</v>
      </c>
      <c r="AL24" s="158">
        <f t="shared" si="9"/>
        <v>1.02</v>
      </c>
      <c r="AM24" s="159"/>
      <c r="AN24" s="160">
        <f t="shared" si="10"/>
        <v>1</v>
      </c>
      <c r="AO24" s="160">
        <f t="shared" si="10"/>
        <v>2</v>
      </c>
      <c r="AP24" s="133"/>
      <c r="AQ24" s="134"/>
      <c r="AR24" s="161"/>
      <c r="AS24" s="161"/>
      <c r="AT24" s="161"/>
      <c r="AU24" s="161"/>
      <c r="AV24" s="162"/>
      <c r="AW24" s="137">
        <f t="shared" si="11"/>
        <v>0</v>
      </c>
      <c r="AX24" s="137">
        <f t="shared" si="12"/>
        <v>0</v>
      </c>
    </row>
    <row r="25" ht="46.5" customHeight="1" spans="1:50" s="97" customFormat="1" x14ac:dyDescent="0.25">
      <c r="A25" s="100"/>
      <c r="B25" s="100"/>
      <c r="C25" s="100"/>
      <c r="D25" s="100"/>
      <c r="E25" s="100"/>
      <c r="F25" s="100"/>
      <c r="G25" s="103"/>
      <c r="H25" s="186"/>
      <c r="I25" s="195">
        <v>0.51</v>
      </c>
      <c r="J25" s="107">
        <v>0.49</v>
      </c>
      <c r="K25" s="107"/>
      <c r="L25" s="107"/>
      <c r="M25" s="187"/>
      <c r="N25" s="169">
        <f t="shared" si="0"/>
        <v>1</v>
      </c>
      <c r="O25" s="144">
        <v>1</v>
      </c>
      <c r="P25" s="145">
        <v>15</v>
      </c>
      <c r="Q25" s="113">
        <v>15</v>
      </c>
      <c r="R25" s="113"/>
      <c r="S25" s="113"/>
      <c r="T25" s="146"/>
      <c r="U25" s="148">
        <f t="shared" si="1"/>
        <v>15</v>
      </c>
      <c r="V25" s="149">
        <f t="shared" si="2"/>
        <v>15</v>
      </c>
      <c r="W25" s="189"/>
      <c r="X25" s="199"/>
      <c r="Y25" s="151"/>
      <c r="Z25" s="190"/>
      <c r="AA25" s="153"/>
      <c r="AB25" s="154">
        <f t="shared" si="3"/>
        <v>0</v>
      </c>
      <c r="AC25" s="149">
        <f t="shared" si="4"/>
        <v>0</v>
      </c>
      <c r="AD25" s="125">
        <v>2</v>
      </c>
      <c r="AE25" s="148">
        <f t="shared" si="5"/>
        <v>2</v>
      </c>
      <c r="AF25" s="156"/>
      <c r="AG25" s="156"/>
      <c r="AH25" s="113">
        <f t="shared" si="6"/>
        <v>17</v>
      </c>
      <c r="AI25" s="157">
        <v>65</v>
      </c>
      <c r="AJ25" s="113">
        <f t="shared" si="7"/>
        <v>82</v>
      </c>
      <c r="AK25" s="113">
        <f t="shared" si="8"/>
        <v>82</v>
      </c>
      <c r="AL25" s="158">
        <f t="shared" si="9"/>
        <v>1.02</v>
      </c>
      <c r="AM25" s="159"/>
      <c r="AN25" s="160">
        <f t="shared" si="10"/>
        <v>1</v>
      </c>
      <c r="AO25" s="160">
        <f t="shared" si="10"/>
        <v>2</v>
      </c>
      <c r="AP25" s="133"/>
      <c r="AQ25" s="134"/>
      <c r="AR25" s="161"/>
      <c r="AS25" s="161"/>
      <c r="AT25" s="161"/>
      <c r="AU25" s="161"/>
      <c r="AV25" s="162"/>
      <c r="AW25" s="137">
        <f t="shared" si="11"/>
        <v>0</v>
      </c>
      <c r="AX25" s="137">
        <f t="shared" si="12"/>
        <v>0</v>
      </c>
    </row>
    <row r="26" ht="46.5" customHeight="1" spans="1:50" s="97" customFormat="1" x14ac:dyDescent="0.25">
      <c r="A26" s="100"/>
      <c r="B26" s="100"/>
      <c r="C26" s="100"/>
      <c r="D26" s="100"/>
      <c r="E26" s="100"/>
      <c r="F26" s="100"/>
      <c r="G26" s="103"/>
      <c r="H26" s="186"/>
      <c r="I26" s="195">
        <v>0.51</v>
      </c>
      <c r="J26" s="107">
        <v>0.49</v>
      </c>
      <c r="K26" s="107"/>
      <c r="L26" s="107"/>
      <c r="M26" s="187"/>
      <c r="N26" s="169">
        <f t="shared" si="0"/>
        <v>1</v>
      </c>
      <c r="O26" s="144">
        <v>1</v>
      </c>
      <c r="P26" s="145">
        <v>15</v>
      </c>
      <c r="Q26" s="113">
        <v>15</v>
      </c>
      <c r="R26" s="113"/>
      <c r="S26" s="113"/>
      <c r="T26" s="146"/>
      <c r="U26" s="148">
        <f t="shared" si="1"/>
        <v>15</v>
      </c>
      <c r="V26" s="149">
        <f t="shared" si="2"/>
        <v>15</v>
      </c>
      <c r="W26" s="189"/>
      <c r="X26" s="199"/>
      <c r="Y26" s="151"/>
      <c r="Z26" s="190"/>
      <c r="AA26" s="153"/>
      <c r="AB26" s="154">
        <f t="shared" si="3"/>
        <v>0</v>
      </c>
      <c r="AC26" s="149">
        <f t="shared" si="4"/>
        <v>0</v>
      </c>
      <c r="AD26" s="125">
        <v>2</v>
      </c>
      <c r="AE26" s="148">
        <f t="shared" si="5"/>
        <v>2</v>
      </c>
      <c r="AF26" s="156"/>
      <c r="AG26" s="156"/>
      <c r="AH26" s="113">
        <f t="shared" si="6"/>
        <v>17</v>
      </c>
      <c r="AI26" s="157">
        <v>65</v>
      </c>
      <c r="AJ26" s="113">
        <f t="shared" si="7"/>
        <v>82</v>
      </c>
      <c r="AK26" s="113">
        <f t="shared" si="8"/>
        <v>82</v>
      </c>
      <c r="AL26" s="158">
        <f t="shared" si="9"/>
        <v>1.02</v>
      </c>
      <c r="AM26" s="159"/>
      <c r="AN26" s="160">
        <f t="shared" si="10"/>
        <v>1</v>
      </c>
      <c r="AO26" s="160">
        <f t="shared" si="10"/>
        <v>2</v>
      </c>
      <c r="AP26" s="133"/>
      <c r="AQ26" s="134"/>
      <c r="AR26" s="161"/>
      <c r="AS26" s="161"/>
      <c r="AT26" s="161"/>
      <c r="AU26" s="161"/>
      <c r="AV26" s="162"/>
      <c r="AW26" s="137">
        <f t="shared" si="11"/>
        <v>0</v>
      </c>
      <c r="AX26" s="137">
        <f t="shared" si="12"/>
        <v>0</v>
      </c>
    </row>
    <row r="27" ht="46.5" customHeight="1" spans="1:50" s="97" customFormat="1" x14ac:dyDescent="0.25">
      <c r="A27" s="100"/>
      <c r="B27" s="100"/>
      <c r="C27" s="100"/>
      <c r="D27" s="100"/>
      <c r="E27" s="100"/>
      <c r="F27" s="100"/>
      <c r="G27" s="103"/>
      <c r="H27" s="186"/>
      <c r="I27" s="195">
        <v>0.51</v>
      </c>
      <c r="J27" s="107">
        <v>0.49</v>
      </c>
      <c r="K27" s="107"/>
      <c r="L27" s="107"/>
      <c r="M27" s="187"/>
      <c r="N27" s="169">
        <f t="shared" si="0"/>
        <v>1</v>
      </c>
      <c r="O27" s="144">
        <v>1</v>
      </c>
      <c r="P27" s="145">
        <v>15</v>
      </c>
      <c r="Q27" s="113">
        <v>15</v>
      </c>
      <c r="R27" s="113"/>
      <c r="S27" s="113"/>
      <c r="T27" s="146"/>
      <c r="U27" s="148">
        <f t="shared" si="1"/>
        <v>15</v>
      </c>
      <c r="V27" s="149">
        <f t="shared" si="2"/>
        <v>15</v>
      </c>
      <c r="W27" s="189"/>
      <c r="X27" s="199"/>
      <c r="Y27" s="151"/>
      <c r="Z27" s="190"/>
      <c r="AA27" s="153"/>
      <c r="AB27" s="154">
        <f t="shared" si="3"/>
        <v>0</v>
      </c>
      <c r="AC27" s="149">
        <f t="shared" si="4"/>
        <v>0</v>
      </c>
      <c r="AD27" s="125">
        <v>2</v>
      </c>
      <c r="AE27" s="148">
        <f t="shared" si="5"/>
        <v>2</v>
      </c>
      <c r="AF27" s="156"/>
      <c r="AG27" s="156"/>
      <c r="AH27" s="113">
        <f t="shared" si="6"/>
        <v>17</v>
      </c>
      <c r="AI27" s="157">
        <v>65</v>
      </c>
      <c r="AJ27" s="113">
        <f t="shared" si="7"/>
        <v>82</v>
      </c>
      <c r="AK27" s="113">
        <f t="shared" si="8"/>
        <v>82</v>
      </c>
      <c r="AL27" s="158">
        <f t="shared" si="9"/>
        <v>1.02</v>
      </c>
      <c r="AM27" s="159"/>
      <c r="AN27" s="160">
        <f t="shared" si="10"/>
        <v>1</v>
      </c>
      <c r="AO27" s="160">
        <f t="shared" si="10"/>
        <v>2</v>
      </c>
      <c r="AP27" s="133"/>
      <c r="AQ27" s="134"/>
      <c r="AR27" s="161"/>
      <c r="AS27" s="161"/>
      <c r="AT27" s="161"/>
      <c r="AU27" s="161"/>
      <c r="AV27" s="162"/>
      <c r="AW27" s="137">
        <f t="shared" si="11"/>
        <v>0</v>
      </c>
      <c r="AX27" s="137">
        <f t="shared" si="12"/>
        <v>0</v>
      </c>
    </row>
    <row r="28" ht="46.5" customHeight="1" spans="1:50" s="97" customFormat="1" x14ac:dyDescent="0.25">
      <c r="A28" s="100"/>
      <c r="B28" s="100"/>
      <c r="C28" s="100"/>
      <c r="D28" s="100"/>
      <c r="E28" s="100"/>
      <c r="F28" s="100"/>
      <c r="G28" s="103"/>
      <c r="H28" s="186"/>
      <c r="I28" s="195">
        <v>0.51</v>
      </c>
      <c r="J28" s="107">
        <v>0.49</v>
      </c>
      <c r="K28" s="107"/>
      <c r="L28" s="107"/>
      <c r="M28" s="187"/>
      <c r="N28" s="169">
        <f t="shared" si="0"/>
        <v>1</v>
      </c>
      <c r="O28" s="144">
        <v>1</v>
      </c>
      <c r="P28" s="145">
        <v>15</v>
      </c>
      <c r="Q28" s="113">
        <v>15</v>
      </c>
      <c r="R28" s="113"/>
      <c r="S28" s="113"/>
      <c r="T28" s="146"/>
      <c r="U28" s="148">
        <f t="shared" si="1"/>
        <v>15</v>
      </c>
      <c r="V28" s="149">
        <f t="shared" si="2"/>
        <v>15</v>
      </c>
      <c r="W28" s="189"/>
      <c r="X28" s="199"/>
      <c r="Y28" s="151"/>
      <c r="Z28" s="190"/>
      <c r="AA28" s="153"/>
      <c r="AB28" s="154">
        <f t="shared" si="3"/>
        <v>0</v>
      </c>
      <c r="AC28" s="149">
        <f t="shared" si="4"/>
        <v>0</v>
      </c>
      <c r="AD28" s="125">
        <v>2</v>
      </c>
      <c r="AE28" s="148">
        <f t="shared" si="5"/>
        <v>2</v>
      </c>
      <c r="AF28" s="156"/>
      <c r="AG28" s="156"/>
      <c r="AH28" s="113">
        <f t="shared" si="6"/>
        <v>17</v>
      </c>
      <c r="AI28" s="157">
        <v>65</v>
      </c>
      <c r="AJ28" s="113">
        <f t="shared" si="7"/>
        <v>82</v>
      </c>
      <c r="AK28" s="113">
        <f t="shared" si="8"/>
        <v>82</v>
      </c>
      <c r="AL28" s="158">
        <f t="shared" si="9"/>
        <v>1.02</v>
      </c>
      <c r="AM28" s="159"/>
      <c r="AN28" s="160">
        <f t="shared" si="10"/>
        <v>1</v>
      </c>
      <c r="AO28" s="160">
        <f t="shared" si="10"/>
        <v>2</v>
      </c>
      <c r="AP28" s="133"/>
      <c r="AQ28" s="134"/>
      <c r="AR28" s="161"/>
      <c r="AS28" s="161"/>
      <c r="AT28" s="161"/>
      <c r="AU28" s="161"/>
      <c r="AV28" s="162"/>
      <c r="AW28" s="137">
        <f t="shared" si="11"/>
        <v>0</v>
      </c>
      <c r="AX28" s="137">
        <f t="shared" si="12"/>
        <v>0</v>
      </c>
    </row>
    <row r="29" ht="46.5" customHeight="1" spans="1:50" s="97" customFormat="1" x14ac:dyDescent="0.25">
      <c r="A29" s="100"/>
      <c r="B29" s="100"/>
      <c r="C29" s="100"/>
      <c r="D29" s="100"/>
      <c r="E29" s="100"/>
      <c r="F29" s="100"/>
      <c r="G29" s="103"/>
      <c r="H29" s="186"/>
      <c r="I29" s="195">
        <v>0.51</v>
      </c>
      <c r="J29" s="107">
        <v>0.49</v>
      </c>
      <c r="K29" s="107"/>
      <c r="L29" s="107"/>
      <c r="M29" s="187"/>
      <c r="N29" s="169">
        <f t="shared" si="0"/>
        <v>1</v>
      </c>
      <c r="O29" s="144">
        <v>1</v>
      </c>
      <c r="P29" s="145">
        <v>15</v>
      </c>
      <c r="Q29" s="113">
        <v>15</v>
      </c>
      <c r="R29" s="113"/>
      <c r="S29" s="113"/>
      <c r="T29" s="146"/>
      <c r="U29" s="148">
        <f t="shared" si="1"/>
        <v>15</v>
      </c>
      <c r="V29" s="149">
        <f t="shared" si="2"/>
        <v>15</v>
      </c>
      <c r="W29" s="189"/>
      <c r="X29" s="199"/>
      <c r="Y29" s="151"/>
      <c r="Z29" s="190"/>
      <c r="AA29" s="153"/>
      <c r="AB29" s="154">
        <f t="shared" si="3"/>
        <v>0</v>
      </c>
      <c r="AC29" s="149">
        <f t="shared" si="4"/>
        <v>0</v>
      </c>
      <c r="AD29" s="125">
        <v>2</v>
      </c>
      <c r="AE29" s="148">
        <f t="shared" si="5"/>
        <v>2</v>
      </c>
      <c r="AF29" s="156"/>
      <c r="AG29" s="156"/>
      <c r="AH29" s="113">
        <f t="shared" si="6"/>
        <v>17</v>
      </c>
      <c r="AI29" s="157">
        <v>65</v>
      </c>
      <c r="AJ29" s="113">
        <f t="shared" si="7"/>
        <v>82</v>
      </c>
      <c r="AK29" s="113">
        <f t="shared" si="8"/>
        <v>82</v>
      </c>
      <c r="AL29" s="158">
        <f t="shared" si="9"/>
        <v>1.02</v>
      </c>
      <c r="AM29" s="159"/>
      <c r="AN29" s="160">
        <f t="shared" si="10"/>
        <v>1</v>
      </c>
      <c r="AO29" s="160">
        <f t="shared" si="10"/>
        <v>2</v>
      </c>
      <c r="AP29" s="133"/>
      <c r="AQ29" s="134"/>
      <c r="AR29" s="161"/>
      <c r="AS29" s="161"/>
      <c r="AT29" s="161"/>
      <c r="AU29" s="161"/>
      <c r="AV29" s="162"/>
      <c r="AW29" s="137">
        <f t="shared" si="11"/>
        <v>0</v>
      </c>
      <c r="AX29" s="137">
        <f t="shared" si="12"/>
        <v>0</v>
      </c>
    </row>
    <row r="30" ht="46.5" customHeight="1" spans="1:50" s="97" customFormat="1" x14ac:dyDescent="0.25">
      <c r="A30" s="100"/>
      <c r="B30" s="100"/>
      <c r="C30" s="100"/>
      <c r="D30" s="100"/>
      <c r="E30" s="100"/>
      <c r="F30" s="100"/>
      <c r="G30" s="103"/>
      <c r="H30" s="186"/>
      <c r="I30" s="195">
        <v>0.51</v>
      </c>
      <c r="J30" s="107">
        <v>0.49</v>
      </c>
      <c r="K30" s="107"/>
      <c r="L30" s="107"/>
      <c r="M30" s="187"/>
      <c r="N30" s="169">
        <f t="shared" si="0"/>
        <v>1</v>
      </c>
      <c r="O30" s="144">
        <v>1</v>
      </c>
      <c r="P30" s="145">
        <v>15</v>
      </c>
      <c r="Q30" s="113">
        <v>15</v>
      </c>
      <c r="R30" s="113"/>
      <c r="S30" s="113"/>
      <c r="T30" s="146"/>
      <c r="U30" s="148">
        <f t="shared" si="1"/>
        <v>15</v>
      </c>
      <c r="V30" s="149">
        <f t="shared" si="2"/>
        <v>15</v>
      </c>
      <c r="W30" s="189"/>
      <c r="X30" s="199"/>
      <c r="Y30" s="151"/>
      <c r="Z30" s="190"/>
      <c r="AA30" s="153"/>
      <c r="AB30" s="154">
        <f t="shared" si="3"/>
        <v>0</v>
      </c>
      <c r="AC30" s="149">
        <f t="shared" si="4"/>
        <v>0</v>
      </c>
      <c r="AD30" s="125">
        <v>2</v>
      </c>
      <c r="AE30" s="148">
        <f t="shared" si="5"/>
        <v>2</v>
      </c>
      <c r="AF30" s="156"/>
      <c r="AG30" s="156"/>
      <c r="AH30" s="113">
        <f t="shared" si="6"/>
        <v>17</v>
      </c>
      <c r="AI30" s="157">
        <v>65</v>
      </c>
      <c r="AJ30" s="113">
        <f t="shared" si="7"/>
        <v>82</v>
      </c>
      <c r="AK30" s="113">
        <f t="shared" si="8"/>
        <v>82</v>
      </c>
      <c r="AL30" s="158">
        <f t="shared" si="9"/>
        <v>1.02</v>
      </c>
      <c r="AM30" s="159"/>
      <c r="AN30" s="160">
        <f t="shared" si="10"/>
        <v>1</v>
      </c>
      <c r="AO30" s="160">
        <f t="shared" si="10"/>
        <v>2</v>
      </c>
      <c r="AP30" s="133"/>
      <c r="AQ30" s="134"/>
      <c r="AR30" s="161"/>
      <c r="AS30" s="161"/>
      <c r="AT30" s="161"/>
      <c r="AU30" s="161"/>
      <c r="AV30" s="162"/>
      <c r="AW30" s="137">
        <f t="shared" si="11"/>
        <v>0</v>
      </c>
      <c r="AX30" s="137">
        <f t="shared" si="12"/>
        <v>0</v>
      </c>
    </row>
    <row r="31" ht="46.5" customHeight="1" spans="1:50" s="97" customFormat="1" x14ac:dyDescent="0.25">
      <c r="A31" s="100"/>
      <c r="B31" s="100"/>
      <c r="C31" s="100"/>
      <c r="D31" s="100"/>
      <c r="E31" s="100"/>
      <c r="F31" s="100"/>
      <c r="G31" s="103"/>
      <c r="H31" s="186"/>
      <c r="I31" s="195">
        <v>0.51</v>
      </c>
      <c r="J31" s="107">
        <v>0.49</v>
      </c>
      <c r="K31" s="107"/>
      <c r="L31" s="107"/>
      <c r="M31" s="187"/>
      <c r="N31" s="169">
        <f t="shared" si="0"/>
        <v>1</v>
      </c>
      <c r="O31" s="144">
        <v>1</v>
      </c>
      <c r="P31" s="145">
        <v>15</v>
      </c>
      <c r="Q31" s="113">
        <v>15</v>
      </c>
      <c r="R31" s="113"/>
      <c r="S31" s="113"/>
      <c r="T31" s="146"/>
      <c r="U31" s="148">
        <f t="shared" si="1"/>
        <v>15</v>
      </c>
      <c r="V31" s="149">
        <f t="shared" si="2"/>
        <v>15</v>
      </c>
      <c r="W31" s="189"/>
      <c r="X31" s="199"/>
      <c r="Y31" s="151"/>
      <c r="Z31" s="190"/>
      <c r="AA31" s="153"/>
      <c r="AB31" s="154">
        <f t="shared" si="3"/>
        <v>0</v>
      </c>
      <c r="AC31" s="149">
        <f t="shared" si="4"/>
        <v>0</v>
      </c>
      <c r="AD31" s="125">
        <v>2</v>
      </c>
      <c r="AE31" s="148">
        <f t="shared" si="5"/>
        <v>2</v>
      </c>
      <c r="AF31" s="156"/>
      <c r="AG31" s="156"/>
      <c r="AH31" s="113">
        <f t="shared" si="6"/>
        <v>17</v>
      </c>
      <c r="AI31" s="157">
        <v>65</v>
      </c>
      <c r="AJ31" s="113">
        <f t="shared" si="7"/>
        <v>82</v>
      </c>
      <c r="AK31" s="113">
        <f t="shared" si="8"/>
        <v>82</v>
      </c>
      <c r="AL31" s="158">
        <f t="shared" si="9"/>
        <v>1.02</v>
      </c>
      <c r="AM31" s="159"/>
      <c r="AN31" s="160">
        <f t="shared" ref="AN31:AO50" si="13">100%+AM31</f>
        <v>1</v>
      </c>
      <c r="AO31" s="160">
        <f t="shared" si="13"/>
        <v>2</v>
      </c>
      <c r="AP31" s="133"/>
      <c r="AQ31" s="134"/>
      <c r="AR31" s="161"/>
      <c r="AS31" s="161"/>
      <c r="AT31" s="161"/>
      <c r="AU31" s="161"/>
      <c r="AV31" s="162"/>
      <c r="AW31" s="137">
        <f t="shared" si="11"/>
        <v>0</v>
      </c>
      <c r="AX31" s="137">
        <f t="shared" si="12"/>
        <v>0</v>
      </c>
    </row>
    <row r="32" ht="46.5" customHeight="1" spans="1:50" s="97" customFormat="1" x14ac:dyDescent="0.25">
      <c r="A32" s="100"/>
      <c r="B32" s="100"/>
      <c r="C32" s="100"/>
      <c r="D32" s="100"/>
      <c r="E32" s="100"/>
      <c r="F32" s="100"/>
      <c r="G32" s="103"/>
      <c r="H32" s="186"/>
      <c r="I32" s="195">
        <v>0.51</v>
      </c>
      <c r="J32" s="107">
        <v>0.49</v>
      </c>
      <c r="K32" s="107"/>
      <c r="L32" s="107"/>
      <c r="M32" s="187"/>
      <c r="N32" s="169">
        <f t="shared" si="0"/>
        <v>1</v>
      </c>
      <c r="O32" s="144">
        <v>1</v>
      </c>
      <c r="P32" s="145">
        <v>15</v>
      </c>
      <c r="Q32" s="113">
        <v>15</v>
      </c>
      <c r="R32" s="113"/>
      <c r="S32" s="113"/>
      <c r="T32" s="146"/>
      <c r="U32" s="148">
        <f t="shared" si="1"/>
        <v>15</v>
      </c>
      <c r="V32" s="149">
        <f t="shared" si="2"/>
        <v>15</v>
      </c>
      <c r="W32" s="189"/>
      <c r="X32" s="199"/>
      <c r="Y32" s="151"/>
      <c r="Z32" s="190"/>
      <c r="AA32" s="153"/>
      <c r="AB32" s="154">
        <f t="shared" si="3"/>
        <v>0</v>
      </c>
      <c r="AC32" s="149">
        <f t="shared" si="4"/>
        <v>0</v>
      </c>
      <c r="AD32" s="125">
        <v>2</v>
      </c>
      <c r="AE32" s="148">
        <f t="shared" si="5"/>
        <v>2</v>
      </c>
      <c r="AF32" s="156"/>
      <c r="AG32" s="156"/>
      <c r="AH32" s="113">
        <f t="shared" si="6"/>
        <v>17</v>
      </c>
      <c r="AI32" s="157">
        <v>65</v>
      </c>
      <c r="AJ32" s="113">
        <f t="shared" si="7"/>
        <v>82</v>
      </c>
      <c r="AK32" s="113">
        <f t="shared" si="8"/>
        <v>82</v>
      </c>
      <c r="AL32" s="158">
        <f t="shared" si="9"/>
        <v>1.02</v>
      </c>
      <c r="AM32" s="159"/>
      <c r="AN32" s="160">
        <f t="shared" si="13"/>
        <v>1</v>
      </c>
      <c r="AO32" s="160">
        <f t="shared" si="13"/>
        <v>2</v>
      </c>
      <c r="AP32" s="133"/>
      <c r="AQ32" s="134"/>
      <c r="AR32" s="161"/>
      <c r="AS32" s="161"/>
      <c r="AT32" s="161"/>
      <c r="AU32" s="161"/>
      <c r="AV32" s="162"/>
      <c r="AW32" s="137">
        <f t="shared" si="11"/>
        <v>0</v>
      </c>
      <c r="AX32" s="137">
        <f t="shared" si="12"/>
        <v>0</v>
      </c>
    </row>
    <row r="33" ht="46.5" customHeight="1" spans="1:50" s="97" customFormat="1" x14ac:dyDescent="0.25">
      <c r="A33" s="100"/>
      <c r="B33" s="100"/>
      <c r="C33" s="100"/>
      <c r="D33" s="100"/>
      <c r="E33" s="100"/>
      <c r="F33" s="100"/>
      <c r="G33" s="103"/>
      <c r="H33" s="186"/>
      <c r="I33" s="195">
        <v>0.51</v>
      </c>
      <c r="J33" s="107">
        <v>0.49</v>
      </c>
      <c r="K33" s="107"/>
      <c r="L33" s="107"/>
      <c r="M33" s="187"/>
      <c r="N33" s="169">
        <f t="shared" si="0"/>
        <v>1</v>
      </c>
      <c r="O33" s="144">
        <v>1</v>
      </c>
      <c r="P33" s="145">
        <v>15</v>
      </c>
      <c r="Q33" s="113">
        <v>15</v>
      </c>
      <c r="R33" s="113"/>
      <c r="S33" s="113"/>
      <c r="T33" s="146"/>
      <c r="U33" s="148">
        <f t="shared" si="1"/>
        <v>15</v>
      </c>
      <c r="V33" s="149">
        <f t="shared" si="2"/>
        <v>15</v>
      </c>
      <c r="W33" s="189"/>
      <c r="X33" s="199"/>
      <c r="Y33" s="151"/>
      <c r="Z33" s="190"/>
      <c r="AA33" s="153"/>
      <c r="AB33" s="154">
        <f t="shared" si="3"/>
        <v>0</v>
      </c>
      <c r="AC33" s="149">
        <f t="shared" si="4"/>
        <v>0</v>
      </c>
      <c r="AD33" s="125">
        <v>2</v>
      </c>
      <c r="AE33" s="148">
        <f t="shared" si="5"/>
        <v>2</v>
      </c>
      <c r="AF33" s="156"/>
      <c r="AG33" s="156"/>
      <c r="AH33" s="113">
        <f t="shared" si="6"/>
        <v>17</v>
      </c>
      <c r="AI33" s="157">
        <v>65</v>
      </c>
      <c r="AJ33" s="113">
        <f t="shared" si="7"/>
        <v>82</v>
      </c>
      <c r="AK33" s="113">
        <f t="shared" si="8"/>
        <v>82</v>
      </c>
      <c r="AL33" s="158">
        <f t="shared" si="9"/>
        <v>1.02</v>
      </c>
      <c r="AM33" s="159"/>
      <c r="AN33" s="160">
        <f t="shared" si="13"/>
        <v>1</v>
      </c>
      <c r="AO33" s="160">
        <f t="shared" si="13"/>
        <v>2</v>
      </c>
      <c r="AP33" s="133"/>
      <c r="AQ33" s="134"/>
      <c r="AR33" s="161"/>
      <c r="AS33" s="161"/>
      <c r="AT33" s="161"/>
      <c r="AU33" s="161"/>
      <c r="AV33" s="162"/>
      <c r="AW33" s="137">
        <f t="shared" si="11"/>
        <v>0</v>
      </c>
      <c r="AX33" s="137">
        <f t="shared" si="12"/>
        <v>0</v>
      </c>
    </row>
    <row r="34" ht="46.5" customHeight="1" spans="1:50" s="97" customFormat="1" x14ac:dyDescent="0.25">
      <c r="A34" s="100"/>
      <c r="B34" s="100"/>
      <c r="C34" s="100"/>
      <c r="D34" s="100"/>
      <c r="E34" s="100"/>
      <c r="F34" s="100"/>
      <c r="G34" s="103"/>
      <c r="H34" s="186"/>
      <c r="I34" s="195">
        <v>0.51</v>
      </c>
      <c r="J34" s="107">
        <v>0.49</v>
      </c>
      <c r="K34" s="107"/>
      <c r="L34" s="107"/>
      <c r="M34" s="187"/>
      <c r="N34" s="169">
        <f t="shared" si="0"/>
        <v>1</v>
      </c>
      <c r="O34" s="144">
        <v>1</v>
      </c>
      <c r="P34" s="145">
        <v>15</v>
      </c>
      <c r="Q34" s="113">
        <v>15</v>
      </c>
      <c r="R34" s="113"/>
      <c r="S34" s="113"/>
      <c r="T34" s="146"/>
      <c r="U34" s="148">
        <f t="shared" si="1"/>
        <v>15</v>
      </c>
      <c r="V34" s="149">
        <f t="shared" si="2"/>
        <v>15</v>
      </c>
      <c r="W34" s="189"/>
      <c r="X34" s="199"/>
      <c r="Y34" s="151"/>
      <c r="Z34" s="190"/>
      <c r="AA34" s="153"/>
      <c r="AB34" s="154">
        <f t="shared" si="3"/>
        <v>0</v>
      </c>
      <c r="AC34" s="149">
        <f t="shared" si="4"/>
        <v>0</v>
      </c>
      <c r="AD34" s="125">
        <v>2</v>
      </c>
      <c r="AE34" s="148">
        <f t="shared" si="5"/>
        <v>2</v>
      </c>
      <c r="AF34" s="156"/>
      <c r="AG34" s="156"/>
      <c r="AH34" s="113">
        <f t="shared" si="6"/>
        <v>17</v>
      </c>
      <c r="AI34" s="157">
        <v>65</v>
      </c>
      <c r="AJ34" s="113">
        <f t="shared" si="7"/>
        <v>82</v>
      </c>
      <c r="AK34" s="113">
        <f t="shared" si="8"/>
        <v>82</v>
      </c>
      <c r="AL34" s="158">
        <f t="shared" si="9"/>
        <v>1.02</v>
      </c>
      <c r="AM34" s="159"/>
      <c r="AN34" s="160">
        <f t="shared" si="13"/>
        <v>1</v>
      </c>
      <c r="AO34" s="160">
        <f t="shared" si="13"/>
        <v>2</v>
      </c>
      <c r="AP34" s="133"/>
      <c r="AQ34" s="134"/>
      <c r="AR34" s="161"/>
      <c r="AS34" s="161"/>
      <c r="AT34" s="161"/>
      <c r="AU34" s="161"/>
      <c r="AV34" s="162"/>
      <c r="AW34" s="137">
        <f t="shared" si="11"/>
        <v>0</v>
      </c>
      <c r="AX34" s="137">
        <f t="shared" si="12"/>
        <v>0</v>
      </c>
    </row>
    <row r="35" ht="46.5" customHeight="1" spans="1:50" s="97" customFormat="1" x14ac:dyDescent="0.25">
      <c r="A35" s="100"/>
      <c r="B35" s="100"/>
      <c r="C35" s="100"/>
      <c r="D35" s="100"/>
      <c r="E35" s="100"/>
      <c r="F35" s="100"/>
      <c r="G35" s="103"/>
      <c r="H35" s="186"/>
      <c r="I35" s="195">
        <v>0.51</v>
      </c>
      <c r="J35" s="107">
        <v>0.49</v>
      </c>
      <c r="K35" s="107"/>
      <c r="L35" s="107"/>
      <c r="M35" s="187"/>
      <c r="N35" s="169">
        <f t="shared" si="0"/>
        <v>1</v>
      </c>
      <c r="O35" s="144">
        <v>1</v>
      </c>
      <c r="P35" s="145">
        <v>15</v>
      </c>
      <c r="Q35" s="113">
        <v>15</v>
      </c>
      <c r="R35" s="113"/>
      <c r="S35" s="113"/>
      <c r="T35" s="146"/>
      <c r="U35" s="148">
        <f t="shared" si="1"/>
        <v>15</v>
      </c>
      <c r="V35" s="149">
        <f t="shared" si="2"/>
        <v>15</v>
      </c>
      <c r="W35" s="189"/>
      <c r="X35" s="199"/>
      <c r="Y35" s="151"/>
      <c r="Z35" s="190"/>
      <c r="AA35" s="153"/>
      <c r="AB35" s="154">
        <f t="shared" si="3"/>
        <v>0</v>
      </c>
      <c r="AC35" s="149">
        <f t="shared" si="4"/>
        <v>0</v>
      </c>
      <c r="AD35" s="125">
        <v>2</v>
      </c>
      <c r="AE35" s="148">
        <f t="shared" si="5"/>
        <v>2</v>
      </c>
      <c r="AF35" s="156"/>
      <c r="AG35" s="156"/>
      <c r="AH35" s="113">
        <f t="shared" si="6"/>
        <v>17</v>
      </c>
      <c r="AI35" s="157">
        <v>65</v>
      </c>
      <c r="AJ35" s="113">
        <f t="shared" si="7"/>
        <v>82</v>
      </c>
      <c r="AK35" s="113">
        <f t="shared" si="8"/>
        <v>82</v>
      </c>
      <c r="AL35" s="158">
        <f t="shared" si="9"/>
        <v>1.02</v>
      </c>
      <c r="AM35" s="159"/>
      <c r="AN35" s="160">
        <f t="shared" si="13"/>
        <v>1</v>
      </c>
      <c r="AO35" s="160">
        <f t="shared" si="13"/>
        <v>2</v>
      </c>
      <c r="AP35" s="133"/>
      <c r="AQ35" s="134"/>
      <c r="AR35" s="161"/>
      <c r="AS35" s="161"/>
      <c r="AT35" s="161"/>
      <c r="AU35" s="161"/>
      <c r="AV35" s="162"/>
      <c r="AW35" s="137">
        <f t="shared" si="11"/>
        <v>0</v>
      </c>
      <c r="AX35" s="137">
        <f t="shared" si="12"/>
        <v>0</v>
      </c>
    </row>
    <row r="36" ht="46.5" customHeight="1" spans="1:50" s="97" customFormat="1" x14ac:dyDescent="0.25">
      <c r="A36" s="100"/>
      <c r="B36" s="100"/>
      <c r="C36" s="100"/>
      <c r="D36" s="100"/>
      <c r="E36" s="100"/>
      <c r="F36" s="100"/>
      <c r="G36" s="103"/>
      <c r="H36" s="186"/>
      <c r="I36" s="195">
        <v>0.51</v>
      </c>
      <c r="J36" s="107">
        <v>0.49</v>
      </c>
      <c r="K36" s="107"/>
      <c r="L36" s="107"/>
      <c r="M36" s="187"/>
      <c r="N36" s="169">
        <f t="shared" si="0"/>
        <v>1</v>
      </c>
      <c r="O36" s="144">
        <v>1</v>
      </c>
      <c r="P36" s="145">
        <v>15</v>
      </c>
      <c r="Q36" s="113">
        <v>15</v>
      </c>
      <c r="R36" s="113"/>
      <c r="S36" s="113"/>
      <c r="T36" s="146"/>
      <c r="U36" s="148">
        <f t="shared" si="1"/>
        <v>15</v>
      </c>
      <c r="V36" s="149">
        <f t="shared" si="2"/>
        <v>15</v>
      </c>
      <c r="W36" s="189"/>
      <c r="X36" s="199"/>
      <c r="Y36" s="151"/>
      <c r="Z36" s="190"/>
      <c r="AA36" s="153"/>
      <c r="AB36" s="154">
        <f t="shared" si="3"/>
        <v>0</v>
      </c>
      <c r="AC36" s="149">
        <f t="shared" si="4"/>
        <v>0</v>
      </c>
      <c r="AD36" s="125">
        <v>2</v>
      </c>
      <c r="AE36" s="148">
        <f t="shared" si="5"/>
        <v>2</v>
      </c>
      <c r="AF36" s="156"/>
      <c r="AG36" s="156"/>
      <c r="AH36" s="113">
        <f t="shared" si="6"/>
        <v>17</v>
      </c>
      <c r="AI36" s="157">
        <v>65</v>
      </c>
      <c r="AJ36" s="113">
        <f t="shared" si="7"/>
        <v>82</v>
      </c>
      <c r="AK36" s="113">
        <f t="shared" si="8"/>
        <v>82</v>
      </c>
      <c r="AL36" s="158">
        <f t="shared" si="9"/>
        <v>1.02</v>
      </c>
      <c r="AM36" s="159"/>
      <c r="AN36" s="160">
        <f t="shared" si="13"/>
        <v>1</v>
      </c>
      <c r="AO36" s="160">
        <f t="shared" si="13"/>
        <v>2</v>
      </c>
      <c r="AP36" s="133"/>
      <c r="AQ36" s="134"/>
      <c r="AR36" s="161"/>
      <c r="AS36" s="161"/>
      <c r="AT36" s="161"/>
      <c r="AU36" s="161"/>
      <c r="AV36" s="162"/>
      <c r="AW36" s="137">
        <f t="shared" si="11"/>
        <v>0</v>
      </c>
      <c r="AX36" s="137">
        <f t="shared" si="12"/>
        <v>0</v>
      </c>
    </row>
    <row r="37" ht="46.5" customHeight="1" spans="1:50" s="97" customFormat="1" x14ac:dyDescent="0.25">
      <c r="A37" s="100"/>
      <c r="B37" s="100"/>
      <c r="C37" s="100"/>
      <c r="D37" s="100"/>
      <c r="E37" s="100"/>
      <c r="F37" s="100"/>
      <c r="G37" s="103"/>
      <c r="H37" s="186"/>
      <c r="I37" s="195">
        <v>0.51</v>
      </c>
      <c r="J37" s="107">
        <v>0.49</v>
      </c>
      <c r="K37" s="107"/>
      <c r="L37" s="107"/>
      <c r="M37" s="187"/>
      <c r="N37" s="169">
        <f t="shared" si="0"/>
        <v>1</v>
      </c>
      <c r="O37" s="144">
        <v>1</v>
      </c>
      <c r="P37" s="145">
        <v>15</v>
      </c>
      <c r="Q37" s="113">
        <v>15</v>
      </c>
      <c r="R37" s="113"/>
      <c r="S37" s="113"/>
      <c r="T37" s="146"/>
      <c r="U37" s="148">
        <f t="shared" si="1"/>
        <v>15</v>
      </c>
      <c r="V37" s="149">
        <f t="shared" si="2"/>
        <v>15</v>
      </c>
      <c r="W37" s="189"/>
      <c r="X37" s="199"/>
      <c r="Y37" s="151"/>
      <c r="Z37" s="190"/>
      <c r="AA37" s="153"/>
      <c r="AB37" s="154">
        <f t="shared" si="3"/>
        <v>0</v>
      </c>
      <c r="AC37" s="149">
        <f t="shared" si="4"/>
        <v>0</v>
      </c>
      <c r="AD37" s="125">
        <v>2</v>
      </c>
      <c r="AE37" s="148">
        <f t="shared" si="5"/>
        <v>2</v>
      </c>
      <c r="AF37" s="156"/>
      <c r="AG37" s="156"/>
      <c r="AH37" s="113">
        <f t="shared" si="6"/>
        <v>17</v>
      </c>
      <c r="AI37" s="157">
        <v>65</v>
      </c>
      <c r="AJ37" s="113">
        <f t="shared" si="7"/>
        <v>82</v>
      </c>
      <c r="AK37" s="113">
        <f t="shared" si="8"/>
        <v>82</v>
      </c>
      <c r="AL37" s="158">
        <f t="shared" si="9"/>
        <v>1.02</v>
      </c>
      <c r="AM37" s="159"/>
      <c r="AN37" s="160">
        <f t="shared" si="13"/>
        <v>1</v>
      </c>
      <c r="AO37" s="160">
        <f t="shared" si="13"/>
        <v>2</v>
      </c>
      <c r="AP37" s="133"/>
      <c r="AQ37" s="134"/>
      <c r="AR37" s="161"/>
      <c r="AS37" s="161"/>
      <c r="AT37" s="161"/>
      <c r="AU37" s="161"/>
      <c r="AV37" s="162"/>
      <c r="AW37" s="137">
        <f t="shared" si="11"/>
        <v>0</v>
      </c>
      <c r="AX37" s="137">
        <f t="shared" si="12"/>
        <v>0</v>
      </c>
    </row>
    <row r="38" ht="46.5" customHeight="1" spans="1:50" s="97" customFormat="1" x14ac:dyDescent="0.25">
      <c r="A38" s="100"/>
      <c r="B38" s="100"/>
      <c r="C38" s="100"/>
      <c r="D38" s="100"/>
      <c r="E38" s="100"/>
      <c r="F38" s="100"/>
      <c r="G38" s="103"/>
      <c r="H38" s="186"/>
      <c r="I38" s="195">
        <v>0.51</v>
      </c>
      <c r="J38" s="107">
        <v>0.49</v>
      </c>
      <c r="K38" s="107"/>
      <c r="L38" s="107"/>
      <c r="M38" s="187"/>
      <c r="N38" s="169">
        <f t="shared" si="0"/>
        <v>1</v>
      </c>
      <c r="O38" s="144">
        <v>1</v>
      </c>
      <c r="P38" s="145">
        <v>15</v>
      </c>
      <c r="Q38" s="113">
        <v>15</v>
      </c>
      <c r="R38" s="113"/>
      <c r="S38" s="113"/>
      <c r="T38" s="146"/>
      <c r="U38" s="148">
        <f t="shared" si="1"/>
        <v>15</v>
      </c>
      <c r="V38" s="149">
        <f t="shared" si="2"/>
        <v>15</v>
      </c>
      <c r="W38" s="189"/>
      <c r="X38" s="199"/>
      <c r="Y38" s="151"/>
      <c r="Z38" s="190"/>
      <c r="AA38" s="153"/>
      <c r="AB38" s="154">
        <f t="shared" si="3"/>
        <v>0</v>
      </c>
      <c r="AC38" s="149">
        <f t="shared" si="4"/>
        <v>0</v>
      </c>
      <c r="AD38" s="125">
        <v>2</v>
      </c>
      <c r="AE38" s="148">
        <f t="shared" si="5"/>
        <v>2</v>
      </c>
      <c r="AF38" s="156"/>
      <c r="AG38" s="156"/>
      <c r="AH38" s="113">
        <f t="shared" si="6"/>
        <v>17</v>
      </c>
      <c r="AI38" s="157">
        <v>65</v>
      </c>
      <c r="AJ38" s="113">
        <f t="shared" si="7"/>
        <v>82</v>
      </c>
      <c r="AK38" s="113">
        <f t="shared" si="8"/>
        <v>82</v>
      </c>
      <c r="AL38" s="158">
        <f t="shared" si="9"/>
        <v>1.02</v>
      </c>
      <c r="AM38" s="159"/>
      <c r="AN38" s="160">
        <f t="shared" si="13"/>
        <v>1</v>
      </c>
      <c r="AO38" s="160">
        <f t="shared" si="13"/>
        <v>2</v>
      </c>
      <c r="AP38" s="133"/>
      <c r="AQ38" s="134"/>
      <c r="AR38" s="161"/>
      <c r="AS38" s="161"/>
      <c r="AT38" s="161"/>
      <c r="AU38" s="161"/>
      <c r="AV38" s="162"/>
      <c r="AW38" s="137">
        <f t="shared" si="11"/>
        <v>0</v>
      </c>
      <c r="AX38" s="137">
        <f t="shared" si="12"/>
        <v>0</v>
      </c>
    </row>
    <row r="39" ht="46.5" customHeight="1" spans="1:50" s="97" customFormat="1" x14ac:dyDescent="0.25">
      <c r="A39" s="100"/>
      <c r="B39" s="100"/>
      <c r="C39" s="100"/>
      <c r="D39" s="100"/>
      <c r="E39" s="100"/>
      <c r="F39" s="100"/>
      <c r="G39" s="103"/>
      <c r="H39" s="186"/>
      <c r="I39" s="195">
        <v>0.51</v>
      </c>
      <c r="J39" s="107">
        <v>0.49</v>
      </c>
      <c r="K39" s="107"/>
      <c r="L39" s="107"/>
      <c r="M39" s="187"/>
      <c r="N39" s="169">
        <f t="shared" si="0"/>
        <v>1</v>
      </c>
      <c r="O39" s="144">
        <v>1</v>
      </c>
      <c r="P39" s="145">
        <v>15</v>
      </c>
      <c r="Q39" s="113">
        <v>15</v>
      </c>
      <c r="R39" s="113"/>
      <c r="S39" s="113"/>
      <c r="T39" s="146"/>
      <c r="U39" s="148">
        <f t="shared" si="1"/>
        <v>15</v>
      </c>
      <c r="V39" s="149">
        <f t="shared" si="2"/>
        <v>15</v>
      </c>
      <c r="W39" s="189"/>
      <c r="X39" s="199"/>
      <c r="Y39" s="151"/>
      <c r="Z39" s="190"/>
      <c r="AA39" s="153"/>
      <c r="AB39" s="154">
        <f t="shared" si="3"/>
        <v>0</v>
      </c>
      <c r="AC39" s="149">
        <f t="shared" si="4"/>
        <v>0</v>
      </c>
      <c r="AD39" s="125">
        <v>2</v>
      </c>
      <c r="AE39" s="148">
        <f t="shared" si="5"/>
        <v>2</v>
      </c>
      <c r="AF39" s="156"/>
      <c r="AG39" s="156"/>
      <c r="AH39" s="113">
        <f t="shared" si="6"/>
        <v>17</v>
      </c>
      <c r="AI39" s="157">
        <v>65</v>
      </c>
      <c r="AJ39" s="113">
        <f t="shared" si="7"/>
        <v>82</v>
      </c>
      <c r="AK39" s="113">
        <f t="shared" si="8"/>
        <v>82</v>
      </c>
      <c r="AL39" s="158">
        <f t="shared" si="9"/>
        <v>1.02</v>
      </c>
      <c r="AM39" s="159"/>
      <c r="AN39" s="160">
        <f t="shared" si="13"/>
        <v>1</v>
      </c>
      <c r="AO39" s="160">
        <f t="shared" si="13"/>
        <v>2</v>
      </c>
      <c r="AP39" s="133"/>
      <c r="AQ39" s="134"/>
      <c r="AR39" s="161"/>
      <c r="AS39" s="161"/>
      <c r="AT39" s="161"/>
      <c r="AU39" s="161"/>
      <c r="AV39" s="162"/>
      <c r="AW39" s="137">
        <f t="shared" si="11"/>
        <v>0</v>
      </c>
      <c r="AX39" s="137">
        <f t="shared" si="12"/>
        <v>0</v>
      </c>
    </row>
    <row r="40" ht="46.5" customHeight="1" spans="1:50" s="97" customFormat="1" x14ac:dyDescent="0.25">
      <c r="A40" s="100"/>
      <c r="B40" s="100"/>
      <c r="C40" s="100"/>
      <c r="D40" s="100"/>
      <c r="E40" s="100"/>
      <c r="F40" s="100"/>
      <c r="G40" s="103"/>
      <c r="H40" s="186"/>
      <c r="I40" s="195">
        <v>0.51</v>
      </c>
      <c r="J40" s="107">
        <v>0.49</v>
      </c>
      <c r="K40" s="107"/>
      <c r="L40" s="107"/>
      <c r="M40" s="187"/>
      <c r="N40" s="169">
        <f t="shared" si="0"/>
        <v>1</v>
      </c>
      <c r="O40" s="144">
        <v>1</v>
      </c>
      <c r="P40" s="145">
        <v>15</v>
      </c>
      <c r="Q40" s="113">
        <v>15</v>
      </c>
      <c r="R40" s="113"/>
      <c r="S40" s="113"/>
      <c r="T40" s="146"/>
      <c r="U40" s="148">
        <f t="shared" si="1"/>
        <v>15</v>
      </c>
      <c r="V40" s="149">
        <f t="shared" si="2"/>
        <v>15</v>
      </c>
      <c r="W40" s="189"/>
      <c r="X40" s="199"/>
      <c r="Y40" s="151"/>
      <c r="Z40" s="190"/>
      <c r="AA40" s="153"/>
      <c r="AB40" s="154">
        <f t="shared" si="3"/>
        <v>0</v>
      </c>
      <c r="AC40" s="149">
        <f t="shared" si="4"/>
        <v>0</v>
      </c>
      <c r="AD40" s="125">
        <v>2</v>
      </c>
      <c r="AE40" s="148">
        <f t="shared" si="5"/>
        <v>2</v>
      </c>
      <c r="AF40" s="156"/>
      <c r="AG40" s="156"/>
      <c r="AH40" s="113">
        <f t="shared" si="6"/>
        <v>17</v>
      </c>
      <c r="AI40" s="157">
        <v>65</v>
      </c>
      <c r="AJ40" s="113">
        <f t="shared" si="7"/>
        <v>82</v>
      </c>
      <c r="AK40" s="113">
        <f t="shared" si="8"/>
        <v>82</v>
      </c>
      <c r="AL40" s="158">
        <f t="shared" si="9"/>
        <v>1.02</v>
      </c>
      <c r="AM40" s="159"/>
      <c r="AN40" s="160">
        <f t="shared" si="13"/>
        <v>1</v>
      </c>
      <c r="AO40" s="160">
        <f t="shared" si="13"/>
        <v>2</v>
      </c>
      <c r="AP40" s="133"/>
      <c r="AQ40" s="134"/>
      <c r="AR40" s="161"/>
      <c r="AS40" s="161"/>
      <c r="AT40" s="161"/>
      <c r="AU40" s="161"/>
      <c r="AV40" s="162"/>
      <c r="AW40" s="137">
        <f t="shared" si="11"/>
        <v>0</v>
      </c>
      <c r="AX40" s="137">
        <f t="shared" si="12"/>
        <v>0</v>
      </c>
    </row>
    <row r="41" ht="46.5" customHeight="1" spans="1:50" s="97" customFormat="1" x14ac:dyDescent="0.25">
      <c r="A41" s="100"/>
      <c r="B41" s="100"/>
      <c r="C41" s="100"/>
      <c r="D41" s="100"/>
      <c r="E41" s="100"/>
      <c r="F41" s="100"/>
      <c r="G41" s="103"/>
      <c r="H41" s="186"/>
      <c r="I41" s="195">
        <v>0.51</v>
      </c>
      <c r="J41" s="107">
        <v>0.49</v>
      </c>
      <c r="K41" s="107"/>
      <c r="L41" s="107"/>
      <c r="M41" s="187"/>
      <c r="N41" s="169">
        <f t="shared" si="0"/>
        <v>1</v>
      </c>
      <c r="O41" s="144">
        <v>1</v>
      </c>
      <c r="P41" s="145">
        <v>15</v>
      </c>
      <c r="Q41" s="113">
        <v>15</v>
      </c>
      <c r="R41" s="113"/>
      <c r="S41" s="113"/>
      <c r="T41" s="146"/>
      <c r="U41" s="148">
        <f t="shared" si="1"/>
        <v>15</v>
      </c>
      <c r="V41" s="149">
        <f t="shared" si="2"/>
        <v>15</v>
      </c>
      <c r="W41" s="189"/>
      <c r="X41" s="199"/>
      <c r="Y41" s="151"/>
      <c r="Z41" s="190"/>
      <c r="AA41" s="153"/>
      <c r="AB41" s="154">
        <f t="shared" si="3"/>
        <v>0</v>
      </c>
      <c r="AC41" s="149">
        <f t="shared" si="4"/>
        <v>0</v>
      </c>
      <c r="AD41" s="125">
        <v>2</v>
      </c>
      <c r="AE41" s="148">
        <f t="shared" si="5"/>
        <v>2</v>
      </c>
      <c r="AF41" s="156"/>
      <c r="AG41" s="156"/>
      <c r="AH41" s="113">
        <f t="shared" si="6"/>
        <v>17</v>
      </c>
      <c r="AI41" s="157">
        <v>65</v>
      </c>
      <c r="AJ41" s="113">
        <f t="shared" si="7"/>
        <v>82</v>
      </c>
      <c r="AK41" s="113">
        <f t="shared" si="8"/>
        <v>82</v>
      </c>
      <c r="AL41" s="158">
        <f t="shared" si="9"/>
        <v>1.02</v>
      </c>
      <c r="AM41" s="159"/>
      <c r="AN41" s="160">
        <f t="shared" si="13"/>
        <v>1</v>
      </c>
      <c r="AO41" s="160">
        <f t="shared" si="13"/>
        <v>2</v>
      </c>
      <c r="AP41" s="133"/>
      <c r="AQ41" s="134"/>
      <c r="AR41" s="161"/>
      <c r="AS41" s="161"/>
      <c r="AT41" s="161"/>
      <c r="AU41" s="161"/>
      <c r="AV41" s="162"/>
      <c r="AW41" s="137">
        <f t="shared" si="11"/>
        <v>0</v>
      </c>
      <c r="AX41" s="137">
        <f t="shared" si="12"/>
        <v>0</v>
      </c>
    </row>
    <row r="42" ht="46.5" customHeight="1" spans="1:50" s="97" customFormat="1" x14ac:dyDescent="0.25">
      <c r="A42" s="100"/>
      <c r="B42" s="100"/>
      <c r="C42" s="100"/>
      <c r="D42" s="100"/>
      <c r="E42" s="100"/>
      <c r="F42" s="100"/>
      <c r="G42" s="103"/>
      <c r="H42" s="186"/>
      <c r="I42" s="195">
        <v>0.51</v>
      </c>
      <c r="J42" s="107">
        <v>0.49</v>
      </c>
      <c r="K42" s="107"/>
      <c r="L42" s="107"/>
      <c r="M42" s="187"/>
      <c r="N42" s="169">
        <f t="shared" si="0"/>
        <v>1</v>
      </c>
      <c r="O42" s="144">
        <v>1</v>
      </c>
      <c r="P42" s="145">
        <v>15</v>
      </c>
      <c r="Q42" s="113">
        <v>15</v>
      </c>
      <c r="R42" s="113"/>
      <c r="S42" s="113"/>
      <c r="T42" s="146"/>
      <c r="U42" s="148">
        <f t="shared" si="1"/>
        <v>15</v>
      </c>
      <c r="V42" s="149">
        <f t="shared" si="2"/>
        <v>15</v>
      </c>
      <c r="W42" s="189"/>
      <c r="X42" s="199"/>
      <c r="Y42" s="151"/>
      <c r="Z42" s="190"/>
      <c r="AA42" s="153"/>
      <c r="AB42" s="154">
        <f t="shared" si="3"/>
        <v>0</v>
      </c>
      <c r="AC42" s="149">
        <f t="shared" si="4"/>
        <v>0</v>
      </c>
      <c r="AD42" s="125">
        <v>2</v>
      </c>
      <c r="AE42" s="148">
        <f t="shared" si="5"/>
        <v>2</v>
      </c>
      <c r="AF42" s="156"/>
      <c r="AG42" s="156"/>
      <c r="AH42" s="113">
        <f t="shared" si="6"/>
        <v>17</v>
      </c>
      <c r="AI42" s="157">
        <v>65</v>
      </c>
      <c r="AJ42" s="113">
        <f t="shared" si="7"/>
        <v>82</v>
      </c>
      <c r="AK42" s="113">
        <f t="shared" si="8"/>
        <v>82</v>
      </c>
      <c r="AL42" s="158">
        <f t="shared" si="9"/>
        <v>1.02</v>
      </c>
      <c r="AM42" s="159"/>
      <c r="AN42" s="160">
        <f t="shared" si="13"/>
        <v>1</v>
      </c>
      <c r="AO42" s="160">
        <f t="shared" si="13"/>
        <v>2</v>
      </c>
      <c r="AP42" s="133"/>
      <c r="AQ42" s="134"/>
      <c r="AR42" s="161"/>
      <c r="AS42" s="161"/>
      <c r="AT42" s="161"/>
      <c r="AU42" s="161"/>
      <c r="AV42" s="162"/>
      <c r="AW42" s="137">
        <f t="shared" si="11"/>
        <v>0</v>
      </c>
      <c r="AX42" s="137">
        <f t="shared" si="12"/>
        <v>0</v>
      </c>
    </row>
    <row r="43" ht="46.5" customHeight="1" spans="1:50" s="97" customFormat="1" x14ac:dyDescent="0.25">
      <c r="A43" s="100"/>
      <c r="B43" s="100"/>
      <c r="C43" s="100"/>
      <c r="D43" s="100"/>
      <c r="E43" s="100"/>
      <c r="F43" s="100"/>
      <c r="G43" s="103"/>
      <c r="H43" s="186"/>
      <c r="I43" s="195">
        <v>0.51</v>
      </c>
      <c r="J43" s="107">
        <v>0.49</v>
      </c>
      <c r="K43" s="107"/>
      <c r="L43" s="107"/>
      <c r="M43" s="187"/>
      <c r="N43" s="169">
        <f t="shared" ref="N43:N106" si="14">SUM(I43:M43)</f>
        <v>1</v>
      </c>
      <c r="O43" s="144">
        <v>1</v>
      </c>
      <c r="P43" s="145">
        <v>15</v>
      </c>
      <c r="Q43" s="113">
        <v>15</v>
      </c>
      <c r="R43" s="113"/>
      <c r="S43" s="113"/>
      <c r="T43" s="146"/>
      <c r="U43" s="148">
        <f t="shared" si="1"/>
        <v>15</v>
      </c>
      <c r="V43" s="149">
        <f t="shared" si="2"/>
        <v>15</v>
      </c>
      <c r="W43" s="189"/>
      <c r="X43" s="199"/>
      <c r="Y43" s="151"/>
      <c r="Z43" s="190"/>
      <c r="AA43" s="153"/>
      <c r="AB43" s="154">
        <f t="shared" si="3"/>
        <v>0</v>
      </c>
      <c r="AC43" s="149">
        <f t="shared" si="4"/>
        <v>0</v>
      </c>
      <c r="AD43" s="125">
        <v>2</v>
      </c>
      <c r="AE43" s="148">
        <f t="shared" si="5"/>
        <v>2</v>
      </c>
      <c r="AF43" s="156"/>
      <c r="AG43" s="156"/>
      <c r="AH43" s="113">
        <f t="shared" si="6"/>
        <v>17</v>
      </c>
      <c r="AI43" s="157">
        <v>65</v>
      </c>
      <c r="AJ43" s="113">
        <f t="shared" si="7"/>
        <v>82</v>
      </c>
      <c r="AK43" s="113">
        <f t="shared" si="8"/>
        <v>82</v>
      </c>
      <c r="AL43" s="158">
        <f t="shared" si="9"/>
        <v>1.02</v>
      </c>
      <c r="AM43" s="159"/>
      <c r="AN43" s="160">
        <f t="shared" si="13"/>
        <v>1</v>
      </c>
      <c r="AO43" s="160">
        <f t="shared" si="13"/>
        <v>2</v>
      </c>
      <c r="AP43" s="133"/>
      <c r="AQ43" s="134"/>
      <c r="AR43" s="161"/>
      <c r="AS43" s="161"/>
      <c r="AT43" s="161"/>
      <c r="AU43" s="161"/>
      <c r="AV43" s="162"/>
      <c r="AW43" s="137">
        <f t="shared" si="11"/>
        <v>0</v>
      </c>
      <c r="AX43" s="137">
        <f t="shared" si="12"/>
        <v>0</v>
      </c>
    </row>
    <row r="44" ht="46.5" customHeight="1" spans="1:50" s="97" customFormat="1" x14ac:dyDescent="0.25">
      <c r="A44" s="100"/>
      <c r="B44" s="100"/>
      <c r="C44" s="100"/>
      <c r="D44" s="100"/>
      <c r="E44" s="100"/>
      <c r="F44" s="100"/>
      <c r="G44" s="103"/>
      <c r="H44" s="186"/>
      <c r="I44" s="195">
        <v>0.51</v>
      </c>
      <c r="J44" s="107">
        <v>0.49</v>
      </c>
      <c r="K44" s="107"/>
      <c r="L44" s="107"/>
      <c r="M44" s="187"/>
      <c r="N44" s="169">
        <f t="shared" si="14"/>
        <v>1</v>
      </c>
      <c r="O44" s="144">
        <v>1</v>
      </c>
      <c r="P44" s="145">
        <v>15</v>
      </c>
      <c r="Q44" s="113">
        <v>15</v>
      </c>
      <c r="R44" s="113"/>
      <c r="S44" s="113"/>
      <c r="T44" s="146"/>
      <c r="U44" s="148">
        <f t="shared" si="1"/>
        <v>15</v>
      </c>
      <c r="V44" s="149">
        <f t="shared" si="2"/>
        <v>15</v>
      </c>
      <c r="W44" s="189"/>
      <c r="X44" s="199"/>
      <c r="Y44" s="151"/>
      <c r="Z44" s="190"/>
      <c r="AA44" s="153"/>
      <c r="AB44" s="154">
        <f t="shared" si="3"/>
        <v>0</v>
      </c>
      <c r="AC44" s="149">
        <f t="shared" si="4"/>
        <v>0</v>
      </c>
      <c r="AD44" s="125">
        <v>2</v>
      </c>
      <c r="AE44" s="148">
        <f t="shared" si="5"/>
        <v>2</v>
      </c>
      <c r="AF44" s="156"/>
      <c r="AG44" s="156"/>
      <c r="AH44" s="113">
        <f t="shared" si="6"/>
        <v>17</v>
      </c>
      <c r="AI44" s="157">
        <v>65</v>
      </c>
      <c r="AJ44" s="113">
        <f t="shared" si="7"/>
        <v>82</v>
      </c>
      <c r="AK44" s="113">
        <f t="shared" si="8"/>
        <v>82</v>
      </c>
      <c r="AL44" s="158">
        <f t="shared" si="9"/>
        <v>1.02</v>
      </c>
      <c r="AM44" s="159"/>
      <c r="AN44" s="160">
        <f t="shared" si="13"/>
        <v>1</v>
      </c>
      <c r="AO44" s="160">
        <f t="shared" si="13"/>
        <v>2</v>
      </c>
      <c r="AP44" s="133"/>
      <c r="AQ44" s="134"/>
      <c r="AR44" s="161"/>
      <c r="AS44" s="161"/>
      <c r="AT44" s="161"/>
      <c r="AU44" s="161"/>
      <c r="AV44" s="162"/>
      <c r="AW44" s="137">
        <f t="shared" si="11"/>
        <v>0</v>
      </c>
      <c r="AX44" s="137">
        <f t="shared" si="12"/>
        <v>0</v>
      </c>
    </row>
    <row r="45" ht="46.5" customHeight="1" spans="1:50" s="97" customFormat="1" x14ac:dyDescent="0.25">
      <c r="A45" s="100"/>
      <c r="B45" s="100"/>
      <c r="C45" s="100"/>
      <c r="D45" s="100"/>
      <c r="E45" s="100"/>
      <c r="F45" s="100"/>
      <c r="G45" s="103"/>
      <c r="H45" s="186"/>
      <c r="I45" s="195">
        <v>0.51</v>
      </c>
      <c r="J45" s="107">
        <v>0.49</v>
      </c>
      <c r="K45" s="107"/>
      <c r="L45" s="107"/>
      <c r="M45" s="187"/>
      <c r="N45" s="169">
        <f t="shared" si="14"/>
        <v>1</v>
      </c>
      <c r="O45" s="144">
        <v>1</v>
      </c>
      <c r="P45" s="145">
        <v>15</v>
      </c>
      <c r="Q45" s="113">
        <v>15</v>
      </c>
      <c r="R45" s="113"/>
      <c r="S45" s="113"/>
      <c r="T45" s="146"/>
      <c r="U45" s="148">
        <f t="shared" si="1"/>
        <v>15</v>
      </c>
      <c r="V45" s="149">
        <f t="shared" si="2"/>
        <v>15</v>
      </c>
      <c r="W45" s="189"/>
      <c r="X45" s="199"/>
      <c r="Y45" s="151"/>
      <c r="Z45" s="190"/>
      <c r="AA45" s="153"/>
      <c r="AB45" s="154">
        <f t="shared" si="3"/>
        <v>0</v>
      </c>
      <c r="AC45" s="149">
        <f t="shared" si="4"/>
        <v>0</v>
      </c>
      <c r="AD45" s="125">
        <v>2</v>
      </c>
      <c r="AE45" s="148">
        <f t="shared" si="5"/>
        <v>2</v>
      </c>
      <c r="AF45" s="156"/>
      <c r="AG45" s="156"/>
      <c r="AH45" s="113">
        <f t="shared" si="6"/>
        <v>17</v>
      </c>
      <c r="AI45" s="157">
        <v>65</v>
      </c>
      <c r="AJ45" s="113">
        <f t="shared" si="7"/>
        <v>82</v>
      </c>
      <c r="AK45" s="113">
        <f t="shared" si="8"/>
        <v>82</v>
      </c>
      <c r="AL45" s="158">
        <f t="shared" si="9"/>
        <v>1.02</v>
      </c>
      <c r="AM45" s="159"/>
      <c r="AN45" s="160">
        <f t="shared" si="13"/>
        <v>1</v>
      </c>
      <c r="AO45" s="160">
        <f t="shared" si="13"/>
        <v>2</v>
      </c>
      <c r="AP45" s="133"/>
      <c r="AQ45" s="134"/>
      <c r="AR45" s="161"/>
      <c r="AS45" s="161"/>
      <c r="AT45" s="161"/>
      <c r="AU45" s="161"/>
      <c r="AV45" s="162"/>
      <c r="AW45" s="137">
        <f t="shared" si="11"/>
        <v>0</v>
      </c>
      <c r="AX45" s="137">
        <f t="shared" si="12"/>
        <v>0</v>
      </c>
    </row>
    <row r="46" ht="46.5" customHeight="1" spans="1:50" s="97" customFormat="1" x14ac:dyDescent="0.25">
      <c r="A46" s="100"/>
      <c r="B46" s="100"/>
      <c r="C46" s="100"/>
      <c r="D46" s="100"/>
      <c r="E46" s="100"/>
      <c r="F46" s="100"/>
      <c r="G46" s="103"/>
      <c r="H46" s="186"/>
      <c r="I46" s="195">
        <v>0.51</v>
      </c>
      <c r="J46" s="107">
        <v>0.49</v>
      </c>
      <c r="K46" s="107"/>
      <c r="L46" s="107"/>
      <c r="M46" s="187"/>
      <c r="N46" s="169">
        <f t="shared" si="14"/>
        <v>1</v>
      </c>
      <c r="O46" s="144">
        <v>1</v>
      </c>
      <c r="P46" s="145">
        <v>15</v>
      </c>
      <c r="Q46" s="113">
        <v>15</v>
      </c>
      <c r="R46" s="113"/>
      <c r="S46" s="113"/>
      <c r="T46" s="146"/>
      <c r="U46" s="148">
        <f t="shared" si="1"/>
        <v>15</v>
      </c>
      <c r="V46" s="149">
        <f t="shared" si="2"/>
        <v>15</v>
      </c>
      <c r="W46" s="189"/>
      <c r="X46" s="199"/>
      <c r="Y46" s="151"/>
      <c r="Z46" s="190"/>
      <c r="AA46" s="153"/>
      <c r="AB46" s="154">
        <f t="shared" si="3"/>
        <v>0</v>
      </c>
      <c r="AC46" s="149">
        <f t="shared" si="4"/>
        <v>0</v>
      </c>
      <c r="AD46" s="125">
        <v>2</v>
      </c>
      <c r="AE46" s="148">
        <f t="shared" si="5"/>
        <v>2</v>
      </c>
      <c r="AF46" s="156"/>
      <c r="AG46" s="156"/>
      <c r="AH46" s="113">
        <f t="shared" si="6"/>
        <v>17</v>
      </c>
      <c r="AI46" s="157">
        <v>65</v>
      </c>
      <c r="AJ46" s="113">
        <f t="shared" si="7"/>
        <v>82</v>
      </c>
      <c r="AK46" s="113">
        <f t="shared" si="8"/>
        <v>82</v>
      </c>
      <c r="AL46" s="158">
        <f t="shared" si="9"/>
        <v>1.02</v>
      </c>
      <c r="AM46" s="159"/>
      <c r="AN46" s="160">
        <f t="shared" si="13"/>
        <v>1</v>
      </c>
      <c r="AO46" s="160">
        <f t="shared" si="13"/>
        <v>2</v>
      </c>
      <c r="AP46" s="133"/>
      <c r="AQ46" s="134"/>
      <c r="AR46" s="161"/>
      <c r="AS46" s="161"/>
      <c r="AT46" s="161"/>
      <c r="AU46" s="161"/>
      <c r="AV46" s="162"/>
      <c r="AW46" s="137">
        <f t="shared" si="11"/>
        <v>0</v>
      </c>
      <c r="AX46" s="137">
        <f t="shared" si="12"/>
        <v>0</v>
      </c>
    </row>
    <row r="47" ht="46.5" customHeight="1" spans="1:50" s="97" customFormat="1" x14ac:dyDescent="0.25">
      <c r="A47" s="100"/>
      <c r="B47" s="100"/>
      <c r="C47" s="100"/>
      <c r="D47" s="100"/>
      <c r="E47" s="100"/>
      <c r="F47" s="100"/>
      <c r="G47" s="103"/>
      <c r="H47" s="186"/>
      <c r="I47" s="195">
        <v>0.51</v>
      </c>
      <c r="J47" s="107">
        <v>0.49</v>
      </c>
      <c r="K47" s="107"/>
      <c r="L47" s="107"/>
      <c r="M47" s="187"/>
      <c r="N47" s="169">
        <f t="shared" si="14"/>
        <v>1</v>
      </c>
      <c r="O47" s="144">
        <v>1</v>
      </c>
      <c r="P47" s="145">
        <v>15</v>
      </c>
      <c r="Q47" s="113">
        <v>15</v>
      </c>
      <c r="R47" s="113"/>
      <c r="S47" s="113"/>
      <c r="T47" s="146"/>
      <c r="U47" s="148">
        <f t="shared" si="1"/>
        <v>15</v>
      </c>
      <c r="V47" s="149">
        <f t="shared" si="2"/>
        <v>15</v>
      </c>
      <c r="W47" s="189"/>
      <c r="X47" s="199"/>
      <c r="Y47" s="151"/>
      <c r="Z47" s="190"/>
      <c r="AA47" s="153"/>
      <c r="AB47" s="154">
        <f t="shared" si="3"/>
        <v>0</v>
      </c>
      <c r="AC47" s="149">
        <f t="shared" si="4"/>
        <v>0</v>
      </c>
      <c r="AD47" s="125">
        <v>2</v>
      </c>
      <c r="AE47" s="148">
        <f t="shared" si="5"/>
        <v>2</v>
      </c>
      <c r="AF47" s="156"/>
      <c r="AG47" s="156"/>
      <c r="AH47" s="113">
        <f t="shared" si="6"/>
        <v>17</v>
      </c>
      <c r="AI47" s="157">
        <v>65</v>
      </c>
      <c r="AJ47" s="113">
        <f t="shared" si="7"/>
        <v>82</v>
      </c>
      <c r="AK47" s="113">
        <f t="shared" si="8"/>
        <v>82</v>
      </c>
      <c r="AL47" s="158">
        <f t="shared" si="9"/>
        <v>1.02</v>
      </c>
      <c r="AM47" s="159"/>
      <c r="AN47" s="160">
        <f t="shared" si="13"/>
        <v>1</v>
      </c>
      <c r="AO47" s="160">
        <f t="shared" si="13"/>
        <v>2</v>
      </c>
      <c r="AP47" s="133"/>
      <c r="AQ47" s="134"/>
      <c r="AR47" s="161"/>
      <c r="AS47" s="161"/>
      <c r="AT47" s="161"/>
      <c r="AU47" s="161"/>
      <c r="AV47" s="162"/>
      <c r="AW47" s="137">
        <f t="shared" si="11"/>
        <v>0</v>
      </c>
      <c r="AX47" s="137">
        <f t="shared" si="12"/>
        <v>0</v>
      </c>
    </row>
    <row r="48" ht="46.5" customHeight="1" spans="1:50" s="97" customFormat="1" x14ac:dyDescent="0.25">
      <c r="A48" s="100"/>
      <c r="B48" s="100"/>
      <c r="C48" s="100"/>
      <c r="D48" s="100"/>
      <c r="E48" s="100"/>
      <c r="F48" s="100"/>
      <c r="G48" s="103"/>
      <c r="H48" s="186"/>
      <c r="I48" s="195">
        <v>0.51</v>
      </c>
      <c r="J48" s="107">
        <v>0.49</v>
      </c>
      <c r="K48" s="107"/>
      <c r="L48" s="107"/>
      <c r="M48" s="187"/>
      <c r="N48" s="169">
        <f t="shared" si="14"/>
        <v>1</v>
      </c>
      <c r="O48" s="144">
        <v>1</v>
      </c>
      <c r="P48" s="145">
        <v>15</v>
      </c>
      <c r="Q48" s="113">
        <v>15</v>
      </c>
      <c r="R48" s="113"/>
      <c r="S48" s="113"/>
      <c r="T48" s="146"/>
      <c r="U48" s="148">
        <f t="shared" si="1"/>
        <v>15</v>
      </c>
      <c r="V48" s="149">
        <f t="shared" si="2"/>
        <v>15</v>
      </c>
      <c r="W48" s="189"/>
      <c r="X48" s="199"/>
      <c r="Y48" s="151"/>
      <c r="Z48" s="190"/>
      <c r="AA48" s="153"/>
      <c r="AB48" s="154">
        <f t="shared" si="3"/>
        <v>0</v>
      </c>
      <c r="AC48" s="149">
        <f t="shared" si="4"/>
        <v>0</v>
      </c>
      <c r="AD48" s="125">
        <v>2</v>
      </c>
      <c r="AE48" s="148">
        <f t="shared" si="5"/>
        <v>2</v>
      </c>
      <c r="AF48" s="156"/>
      <c r="AG48" s="156"/>
      <c r="AH48" s="113">
        <f t="shared" si="6"/>
        <v>17</v>
      </c>
      <c r="AI48" s="157">
        <v>65</v>
      </c>
      <c r="AJ48" s="113">
        <f t="shared" si="7"/>
        <v>82</v>
      </c>
      <c r="AK48" s="113">
        <f t="shared" si="8"/>
        <v>82</v>
      </c>
      <c r="AL48" s="158">
        <f t="shared" si="9"/>
        <v>1.02</v>
      </c>
      <c r="AM48" s="159"/>
      <c r="AN48" s="160">
        <f t="shared" si="13"/>
        <v>1</v>
      </c>
      <c r="AO48" s="160">
        <f t="shared" si="13"/>
        <v>2</v>
      </c>
      <c r="AP48" s="133"/>
      <c r="AQ48" s="134"/>
      <c r="AR48" s="161"/>
      <c r="AS48" s="161"/>
      <c r="AT48" s="161"/>
      <c r="AU48" s="161"/>
      <c r="AV48" s="162"/>
      <c r="AW48" s="137">
        <f t="shared" si="11"/>
        <v>0</v>
      </c>
      <c r="AX48" s="137">
        <f t="shared" si="12"/>
        <v>0</v>
      </c>
    </row>
    <row r="49" ht="46.5" customHeight="1" spans="1:50" s="97" customFormat="1" x14ac:dyDescent="0.25">
      <c r="A49" s="100"/>
      <c r="B49" s="100"/>
      <c r="C49" s="100"/>
      <c r="D49" s="100"/>
      <c r="E49" s="100"/>
      <c r="F49" s="100"/>
      <c r="G49" s="103"/>
      <c r="H49" s="186"/>
      <c r="I49" s="195">
        <v>0.51</v>
      </c>
      <c r="J49" s="107">
        <v>0.49</v>
      </c>
      <c r="K49" s="107"/>
      <c r="L49" s="107"/>
      <c r="M49" s="187"/>
      <c r="N49" s="169">
        <f t="shared" si="14"/>
        <v>1</v>
      </c>
      <c r="O49" s="144">
        <v>1</v>
      </c>
      <c r="P49" s="145">
        <v>15</v>
      </c>
      <c r="Q49" s="113">
        <v>15</v>
      </c>
      <c r="R49" s="113"/>
      <c r="S49" s="113"/>
      <c r="T49" s="146"/>
      <c r="U49" s="148">
        <f t="shared" si="1"/>
        <v>15</v>
      </c>
      <c r="V49" s="149">
        <f t="shared" si="2"/>
        <v>15</v>
      </c>
      <c r="W49" s="189"/>
      <c r="X49" s="199"/>
      <c r="Y49" s="151"/>
      <c r="Z49" s="190"/>
      <c r="AA49" s="153"/>
      <c r="AB49" s="154">
        <f t="shared" si="3"/>
        <v>0</v>
      </c>
      <c r="AC49" s="149">
        <f t="shared" si="4"/>
        <v>0</v>
      </c>
      <c r="AD49" s="125">
        <v>2</v>
      </c>
      <c r="AE49" s="148">
        <f t="shared" si="5"/>
        <v>2</v>
      </c>
      <c r="AF49" s="156"/>
      <c r="AG49" s="156"/>
      <c r="AH49" s="113">
        <f t="shared" si="6"/>
        <v>17</v>
      </c>
      <c r="AI49" s="157">
        <v>65</v>
      </c>
      <c r="AJ49" s="113">
        <f t="shared" si="7"/>
        <v>82</v>
      </c>
      <c r="AK49" s="113">
        <f t="shared" si="8"/>
        <v>82</v>
      </c>
      <c r="AL49" s="158">
        <f t="shared" si="9"/>
        <v>1.02</v>
      </c>
      <c r="AM49" s="159"/>
      <c r="AN49" s="160">
        <f t="shared" si="13"/>
        <v>1</v>
      </c>
      <c r="AO49" s="160">
        <f t="shared" si="13"/>
        <v>2</v>
      </c>
      <c r="AP49" s="133"/>
      <c r="AQ49" s="134"/>
      <c r="AR49" s="161"/>
      <c r="AS49" s="161"/>
      <c r="AT49" s="161"/>
      <c r="AU49" s="161"/>
      <c r="AV49" s="162"/>
      <c r="AW49" s="137">
        <f t="shared" si="11"/>
        <v>0</v>
      </c>
      <c r="AX49" s="137">
        <f t="shared" si="12"/>
        <v>0</v>
      </c>
    </row>
    <row r="50" ht="46.5" customHeight="1" spans="1:50" s="97" customFormat="1" x14ac:dyDescent="0.25">
      <c r="A50" s="100"/>
      <c r="B50" s="100"/>
      <c r="C50" s="100"/>
      <c r="D50" s="100"/>
      <c r="E50" s="100"/>
      <c r="F50" s="100"/>
      <c r="G50" s="103"/>
      <c r="H50" s="186"/>
      <c r="I50" s="195">
        <v>0.51</v>
      </c>
      <c r="J50" s="107">
        <v>0.49</v>
      </c>
      <c r="K50" s="107"/>
      <c r="L50" s="107"/>
      <c r="M50" s="187"/>
      <c r="N50" s="169">
        <f t="shared" si="14"/>
        <v>1</v>
      </c>
      <c r="O50" s="144">
        <v>1</v>
      </c>
      <c r="P50" s="145">
        <v>15</v>
      </c>
      <c r="Q50" s="113">
        <v>15</v>
      </c>
      <c r="R50" s="113"/>
      <c r="S50" s="113"/>
      <c r="T50" s="146"/>
      <c r="U50" s="148">
        <f t="shared" si="1"/>
        <v>15</v>
      </c>
      <c r="V50" s="149">
        <f t="shared" si="2"/>
        <v>15</v>
      </c>
      <c r="W50" s="189"/>
      <c r="X50" s="199"/>
      <c r="Y50" s="151"/>
      <c r="Z50" s="190"/>
      <c r="AA50" s="153"/>
      <c r="AB50" s="154">
        <f t="shared" si="3"/>
        <v>0</v>
      </c>
      <c r="AC50" s="149">
        <f t="shared" si="4"/>
        <v>0</v>
      </c>
      <c r="AD50" s="125">
        <v>2</v>
      </c>
      <c r="AE50" s="148">
        <f t="shared" si="5"/>
        <v>2</v>
      </c>
      <c r="AF50" s="156"/>
      <c r="AG50" s="156"/>
      <c r="AH50" s="113">
        <f t="shared" si="6"/>
        <v>17</v>
      </c>
      <c r="AI50" s="157">
        <v>65</v>
      </c>
      <c r="AJ50" s="113">
        <f t="shared" si="7"/>
        <v>82</v>
      </c>
      <c r="AK50" s="113">
        <f t="shared" si="8"/>
        <v>82</v>
      </c>
      <c r="AL50" s="158">
        <f t="shared" si="9"/>
        <v>1.02</v>
      </c>
      <c r="AM50" s="159"/>
      <c r="AN50" s="160">
        <f t="shared" si="13"/>
        <v>1</v>
      </c>
      <c r="AO50" s="160">
        <f t="shared" si="13"/>
        <v>2</v>
      </c>
      <c r="AP50" s="133"/>
      <c r="AQ50" s="134"/>
      <c r="AR50" s="161"/>
      <c r="AS50" s="161"/>
      <c r="AT50" s="161"/>
      <c r="AU50" s="161"/>
      <c r="AV50" s="162"/>
      <c r="AW50" s="137">
        <f t="shared" si="11"/>
        <v>0</v>
      </c>
      <c r="AX50" s="137">
        <f t="shared" si="12"/>
        <v>0</v>
      </c>
    </row>
    <row r="51" ht="46.5" customHeight="1" spans="1:50" s="97" customFormat="1" x14ac:dyDescent="0.25">
      <c r="A51" s="100"/>
      <c r="B51" s="100"/>
      <c r="C51" s="100"/>
      <c r="D51" s="100"/>
      <c r="E51" s="100"/>
      <c r="F51" s="100"/>
      <c r="G51" s="103"/>
      <c r="H51" s="186"/>
      <c r="I51" s="195">
        <v>0.51</v>
      </c>
      <c r="J51" s="107">
        <v>0.49</v>
      </c>
      <c r="K51" s="107"/>
      <c r="L51" s="107"/>
      <c r="M51" s="187"/>
      <c r="N51" s="169">
        <f t="shared" si="14"/>
        <v>1</v>
      </c>
      <c r="O51" s="144">
        <v>1</v>
      </c>
      <c r="P51" s="145">
        <v>15</v>
      </c>
      <c r="Q51" s="113">
        <v>15</v>
      </c>
      <c r="R51" s="113"/>
      <c r="S51" s="113"/>
      <c r="T51" s="146"/>
      <c r="U51" s="148">
        <f t="shared" si="1"/>
        <v>15</v>
      </c>
      <c r="V51" s="149">
        <f t="shared" si="2"/>
        <v>15</v>
      </c>
      <c r="W51" s="189"/>
      <c r="X51" s="199"/>
      <c r="Y51" s="151"/>
      <c r="Z51" s="190"/>
      <c r="AA51" s="153"/>
      <c r="AB51" s="154">
        <f t="shared" si="3"/>
        <v>0</v>
      </c>
      <c r="AC51" s="149">
        <f t="shared" si="4"/>
        <v>0</v>
      </c>
      <c r="AD51" s="125">
        <v>2</v>
      </c>
      <c r="AE51" s="148">
        <f t="shared" si="5"/>
        <v>2</v>
      </c>
      <c r="AF51" s="156"/>
      <c r="AG51" s="156"/>
      <c r="AH51" s="113">
        <f t="shared" si="6"/>
        <v>17</v>
      </c>
      <c r="AI51" s="157">
        <v>65</v>
      </c>
      <c r="AJ51" s="113">
        <f t="shared" si="7"/>
        <v>82</v>
      </c>
      <c r="AK51" s="113">
        <f t="shared" si="8"/>
        <v>82</v>
      </c>
      <c r="AL51" s="158">
        <f t="shared" si="9"/>
        <v>1.02</v>
      </c>
      <c r="AM51" s="159"/>
      <c r="AN51" s="160">
        <f t="shared" ref="AN51:AO70" si="15">100%+AM51</f>
        <v>1</v>
      </c>
      <c r="AO51" s="160">
        <f t="shared" si="15"/>
        <v>2</v>
      </c>
      <c r="AP51" s="133"/>
      <c r="AQ51" s="134"/>
      <c r="AR51" s="161"/>
      <c r="AS51" s="161"/>
      <c r="AT51" s="161"/>
      <c r="AU51" s="161"/>
      <c r="AV51" s="162"/>
      <c r="AW51" s="137">
        <f t="shared" si="11"/>
        <v>0</v>
      </c>
      <c r="AX51" s="137">
        <f t="shared" si="12"/>
        <v>0</v>
      </c>
    </row>
    <row r="52" ht="46.5" customHeight="1" spans="1:50" s="97" customFormat="1" x14ac:dyDescent="0.25">
      <c r="A52" s="100"/>
      <c r="B52" s="100"/>
      <c r="C52" s="100"/>
      <c r="D52" s="100"/>
      <c r="E52" s="100"/>
      <c r="F52" s="100"/>
      <c r="G52" s="103"/>
      <c r="H52" s="186"/>
      <c r="I52" s="195">
        <v>0.51</v>
      </c>
      <c r="J52" s="107">
        <v>0.49</v>
      </c>
      <c r="K52" s="107"/>
      <c r="L52" s="107"/>
      <c r="M52" s="187"/>
      <c r="N52" s="169">
        <f t="shared" si="14"/>
        <v>1</v>
      </c>
      <c r="O52" s="144">
        <v>1</v>
      </c>
      <c r="P52" s="145">
        <v>15</v>
      </c>
      <c r="Q52" s="113">
        <v>15</v>
      </c>
      <c r="R52" s="113"/>
      <c r="S52" s="113"/>
      <c r="T52" s="146"/>
      <c r="U52" s="148">
        <f t="shared" si="1"/>
        <v>15</v>
      </c>
      <c r="V52" s="149">
        <f t="shared" si="2"/>
        <v>15</v>
      </c>
      <c r="W52" s="189"/>
      <c r="X52" s="199"/>
      <c r="Y52" s="151"/>
      <c r="Z52" s="190"/>
      <c r="AA52" s="153"/>
      <c r="AB52" s="154">
        <f t="shared" si="3"/>
        <v>0</v>
      </c>
      <c r="AC52" s="149">
        <f t="shared" si="4"/>
        <v>0</v>
      </c>
      <c r="AD52" s="125">
        <v>2</v>
      </c>
      <c r="AE52" s="148">
        <f t="shared" si="5"/>
        <v>2</v>
      </c>
      <c r="AF52" s="156"/>
      <c r="AG52" s="156"/>
      <c r="AH52" s="113">
        <f t="shared" si="6"/>
        <v>17</v>
      </c>
      <c r="AI52" s="157">
        <v>65</v>
      </c>
      <c r="AJ52" s="113">
        <f t="shared" si="7"/>
        <v>82</v>
      </c>
      <c r="AK52" s="113">
        <f t="shared" si="8"/>
        <v>82</v>
      </c>
      <c r="AL52" s="158">
        <f t="shared" si="9"/>
        <v>1.02</v>
      </c>
      <c r="AM52" s="159"/>
      <c r="AN52" s="160">
        <f t="shared" si="15"/>
        <v>1</v>
      </c>
      <c r="AO52" s="160">
        <f t="shared" si="15"/>
        <v>2</v>
      </c>
      <c r="AP52" s="133"/>
      <c r="AQ52" s="134"/>
      <c r="AR52" s="161"/>
      <c r="AS52" s="161"/>
      <c r="AT52" s="161"/>
      <c r="AU52" s="161"/>
      <c r="AV52" s="162"/>
      <c r="AW52" s="137">
        <f t="shared" si="11"/>
        <v>0</v>
      </c>
      <c r="AX52" s="137">
        <f t="shared" si="12"/>
        <v>0</v>
      </c>
    </row>
    <row r="53" ht="46.5" customHeight="1" spans="1:50" s="97" customFormat="1" x14ac:dyDescent="0.25">
      <c r="A53" s="100"/>
      <c r="B53" s="100"/>
      <c r="C53" s="100"/>
      <c r="D53" s="100"/>
      <c r="E53" s="100"/>
      <c r="F53" s="100"/>
      <c r="G53" s="103"/>
      <c r="H53" s="186"/>
      <c r="I53" s="195">
        <v>0.51</v>
      </c>
      <c r="J53" s="107">
        <v>0.49</v>
      </c>
      <c r="K53" s="107"/>
      <c r="L53" s="107"/>
      <c r="M53" s="187"/>
      <c r="N53" s="169">
        <f t="shared" si="14"/>
        <v>1</v>
      </c>
      <c r="O53" s="144">
        <v>1</v>
      </c>
      <c r="P53" s="145">
        <v>15</v>
      </c>
      <c r="Q53" s="113">
        <v>15</v>
      </c>
      <c r="R53" s="113"/>
      <c r="S53" s="113"/>
      <c r="T53" s="146"/>
      <c r="U53" s="148">
        <f t="shared" si="1"/>
        <v>15</v>
      </c>
      <c r="V53" s="149">
        <f t="shared" si="2"/>
        <v>15</v>
      </c>
      <c r="W53" s="189"/>
      <c r="X53" s="199"/>
      <c r="Y53" s="151"/>
      <c r="Z53" s="190"/>
      <c r="AA53" s="153"/>
      <c r="AB53" s="154">
        <f t="shared" si="3"/>
        <v>0</v>
      </c>
      <c r="AC53" s="149">
        <f t="shared" si="4"/>
        <v>0</v>
      </c>
      <c r="AD53" s="125">
        <v>2</v>
      </c>
      <c r="AE53" s="148">
        <f t="shared" si="5"/>
        <v>2</v>
      </c>
      <c r="AF53" s="156"/>
      <c r="AG53" s="156"/>
      <c r="AH53" s="113">
        <f t="shared" si="6"/>
        <v>17</v>
      </c>
      <c r="AI53" s="157">
        <v>65</v>
      </c>
      <c r="AJ53" s="113">
        <f t="shared" si="7"/>
        <v>82</v>
      </c>
      <c r="AK53" s="113">
        <f t="shared" si="8"/>
        <v>82</v>
      </c>
      <c r="AL53" s="158">
        <f t="shared" si="9"/>
        <v>1.02</v>
      </c>
      <c r="AM53" s="159"/>
      <c r="AN53" s="160">
        <f t="shared" si="15"/>
        <v>1</v>
      </c>
      <c r="AO53" s="160">
        <f t="shared" si="15"/>
        <v>2</v>
      </c>
      <c r="AP53" s="133"/>
      <c r="AQ53" s="134"/>
      <c r="AR53" s="161"/>
      <c r="AS53" s="161"/>
      <c r="AT53" s="161"/>
      <c r="AU53" s="161"/>
      <c r="AV53" s="162"/>
      <c r="AW53" s="137">
        <f t="shared" si="11"/>
        <v>0</v>
      </c>
      <c r="AX53" s="137">
        <f t="shared" si="12"/>
        <v>0</v>
      </c>
    </row>
    <row r="54" ht="46.5" customHeight="1" spans="1:50" s="97" customFormat="1" x14ac:dyDescent="0.25">
      <c r="A54" s="100"/>
      <c r="B54" s="100"/>
      <c r="C54" s="100"/>
      <c r="D54" s="100"/>
      <c r="E54" s="100"/>
      <c r="F54" s="100"/>
      <c r="G54" s="103"/>
      <c r="H54" s="186"/>
      <c r="I54" s="195">
        <v>0.51</v>
      </c>
      <c r="J54" s="107">
        <v>0.49</v>
      </c>
      <c r="K54" s="107"/>
      <c r="L54" s="107"/>
      <c r="M54" s="187"/>
      <c r="N54" s="169">
        <f t="shared" si="14"/>
        <v>1</v>
      </c>
      <c r="O54" s="144">
        <v>1</v>
      </c>
      <c r="P54" s="145">
        <v>15</v>
      </c>
      <c r="Q54" s="113">
        <v>15</v>
      </c>
      <c r="R54" s="113"/>
      <c r="S54" s="113"/>
      <c r="T54" s="146"/>
      <c r="U54" s="148">
        <f t="shared" si="1"/>
        <v>15</v>
      </c>
      <c r="V54" s="149">
        <f t="shared" si="2"/>
        <v>15</v>
      </c>
      <c r="W54" s="189"/>
      <c r="X54" s="199"/>
      <c r="Y54" s="151"/>
      <c r="Z54" s="190"/>
      <c r="AA54" s="153"/>
      <c r="AB54" s="154">
        <f t="shared" si="3"/>
        <v>0</v>
      </c>
      <c r="AC54" s="149">
        <f t="shared" si="4"/>
        <v>0</v>
      </c>
      <c r="AD54" s="125">
        <v>2</v>
      </c>
      <c r="AE54" s="148">
        <f t="shared" si="5"/>
        <v>2</v>
      </c>
      <c r="AF54" s="156"/>
      <c r="AG54" s="156"/>
      <c r="AH54" s="113">
        <f t="shared" si="6"/>
        <v>17</v>
      </c>
      <c r="AI54" s="157">
        <v>65</v>
      </c>
      <c r="AJ54" s="113">
        <f t="shared" si="7"/>
        <v>82</v>
      </c>
      <c r="AK54" s="113">
        <f t="shared" si="8"/>
        <v>82</v>
      </c>
      <c r="AL54" s="158">
        <f t="shared" si="9"/>
        <v>1.02</v>
      </c>
      <c r="AM54" s="159"/>
      <c r="AN54" s="160">
        <f t="shared" si="15"/>
        <v>1</v>
      </c>
      <c r="AO54" s="160">
        <f t="shared" si="15"/>
        <v>2</v>
      </c>
      <c r="AP54" s="133"/>
      <c r="AQ54" s="134"/>
      <c r="AR54" s="161"/>
      <c r="AS54" s="161"/>
      <c r="AT54" s="161"/>
      <c r="AU54" s="161"/>
      <c r="AV54" s="162"/>
      <c r="AW54" s="137">
        <f t="shared" si="11"/>
        <v>0</v>
      </c>
      <c r="AX54" s="137">
        <f t="shared" si="12"/>
        <v>0</v>
      </c>
    </row>
    <row r="55" ht="46.5" customHeight="1" spans="1:50" s="97" customFormat="1" x14ac:dyDescent="0.25">
      <c r="A55" s="100"/>
      <c r="B55" s="100"/>
      <c r="C55" s="100"/>
      <c r="D55" s="100"/>
      <c r="E55" s="100"/>
      <c r="F55" s="100"/>
      <c r="G55" s="103"/>
      <c r="H55" s="186"/>
      <c r="I55" s="195">
        <v>0.51</v>
      </c>
      <c r="J55" s="107">
        <v>0.49</v>
      </c>
      <c r="K55" s="107"/>
      <c r="L55" s="107"/>
      <c r="M55" s="187"/>
      <c r="N55" s="169">
        <f t="shared" si="14"/>
        <v>1</v>
      </c>
      <c r="O55" s="144">
        <v>1</v>
      </c>
      <c r="P55" s="145">
        <v>15</v>
      </c>
      <c r="Q55" s="113">
        <v>15</v>
      </c>
      <c r="R55" s="113"/>
      <c r="S55" s="113"/>
      <c r="T55" s="146"/>
      <c r="U55" s="148">
        <f t="shared" si="1"/>
        <v>15</v>
      </c>
      <c r="V55" s="149">
        <f t="shared" si="2"/>
        <v>15</v>
      </c>
      <c r="W55" s="189"/>
      <c r="X55" s="199"/>
      <c r="Y55" s="151"/>
      <c r="Z55" s="190"/>
      <c r="AA55" s="153"/>
      <c r="AB55" s="154">
        <f t="shared" si="3"/>
        <v>0</v>
      </c>
      <c r="AC55" s="149">
        <f t="shared" si="4"/>
        <v>0</v>
      </c>
      <c r="AD55" s="125">
        <v>2</v>
      </c>
      <c r="AE55" s="148">
        <f t="shared" si="5"/>
        <v>2</v>
      </c>
      <c r="AF55" s="156"/>
      <c r="AG55" s="156"/>
      <c r="AH55" s="113">
        <f t="shared" si="6"/>
        <v>17</v>
      </c>
      <c r="AI55" s="157">
        <v>65</v>
      </c>
      <c r="AJ55" s="113">
        <f t="shared" si="7"/>
        <v>82</v>
      </c>
      <c r="AK55" s="113">
        <f t="shared" si="8"/>
        <v>82</v>
      </c>
      <c r="AL55" s="158">
        <f t="shared" si="9"/>
        <v>1.02</v>
      </c>
      <c r="AM55" s="159"/>
      <c r="AN55" s="160">
        <f t="shared" si="15"/>
        <v>1</v>
      </c>
      <c r="AO55" s="160">
        <f t="shared" si="15"/>
        <v>2</v>
      </c>
      <c r="AP55" s="133"/>
      <c r="AQ55" s="134"/>
      <c r="AR55" s="161"/>
      <c r="AS55" s="161"/>
      <c r="AT55" s="161"/>
      <c r="AU55" s="161"/>
      <c r="AV55" s="162"/>
      <c r="AW55" s="137">
        <f t="shared" si="11"/>
        <v>0</v>
      </c>
      <c r="AX55" s="137">
        <f t="shared" si="12"/>
        <v>0</v>
      </c>
    </row>
    <row r="56" ht="46.5" customHeight="1" spans="1:50" s="97" customFormat="1" x14ac:dyDescent="0.25">
      <c r="A56" s="100"/>
      <c r="B56" s="100"/>
      <c r="C56" s="100"/>
      <c r="D56" s="100"/>
      <c r="E56" s="100"/>
      <c r="F56" s="100"/>
      <c r="G56" s="103"/>
      <c r="H56" s="186"/>
      <c r="I56" s="195">
        <v>0.51</v>
      </c>
      <c r="J56" s="107">
        <v>0.49</v>
      </c>
      <c r="K56" s="107"/>
      <c r="L56" s="107"/>
      <c r="M56" s="187"/>
      <c r="N56" s="169">
        <f t="shared" si="14"/>
        <v>1</v>
      </c>
      <c r="O56" s="144">
        <v>1</v>
      </c>
      <c r="P56" s="145">
        <v>15</v>
      </c>
      <c r="Q56" s="113">
        <v>15</v>
      </c>
      <c r="R56" s="113"/>
      <c r="S56" s="113"/>
      <c r="T56" s="146"/>
      <c r="U56" s="148">
        <f t="shared" si="1"/>
        <v>15</v>
      </c>
      <c r="V56" s="149">
        <f t="shared" si="2"/>
        <v>15</v>
      </c>
      <c r="W56" s="189"/>
      <c r="X56" s="199"/>
      <c r="Y56" s="151"/>
      <c r="Z56" s="190"/>
      <c r="AA56" s="153"/>
      <c r="AB56" s="154">
        <f t="shared" si="3"/>
        <v>0</v>
      </c>
      <c r="AC56" s="149">
        <f t="shared" si="4"/>
        <v>0</v>
      </c>
      <c r="AD56" s="125">
        <v>2</v>
      </c>
      <c r="AE56" s="148">
        <f t="shared" si="5"/>
        <v>2</v>
      </c>
      <c r="AF56" s="156"/>
      <c r="AG56" s="156"/>
      <c r="AH56" s="113">
        <f t="shared" si="6"/>
        <v>17</v>
      </c>
      <c r="AI56" s="157">
        <v>65</v>
      </c>
      <c r="AJ56" s="113">
        <f t="shared" si="7"/>
        <v>82</v>
      </c>
      <c r="AK56" s="113">
        <f t="shared" si="8"/>
        <v>82</v>
      </c>
      <c r="AL56" s="158">
        <f t="shared" si="9"/>
        <v>1.02</v>
      </c>
      <c r="AM56" s="159"/>
      <c r="AN56" s="160">
        <f t="shared" si="15"/>
        <v>1</v>
      </c>
      <c r="AO56" s="160">
        <f t="shared" si="15"/>
        <v>2</v>
      </c>
      <c r="AP56" s="133"/>
      <c r="AQ56" s="134"/>
      <c r="AR56" s="161"/>
      <c r="AS56" s="161"/>
      <c r="AT56" s="161"/>
      <c r="AU56" s="161"/>
      <c r="AV56" s="162"/>
      <c r="AW56" s="137">
        <f t="shared" si="11"/>
        <v>0</v>
      </c>
      <c r="AX56" s="137">
        <f t="shared" si="12"/>
        <v>0</v>
      </c>
    </row>
    <row r="57" ht="46.5" customHeight="1" spans="1:50" s="97" customFormat="1" x14ac:dyDescent="0.25">
      <c r="A57" s="100"/>
      <c r="B57" s="100"/>
      <c r="C57" s="100"/>
      <c r="D57" s="100"/>
      <c r="E57" s="100"/>
      <c r="F57" s="100"/>
      <c r="G57" s="103"/>
      <c r="H57" s="186"/>
      <c r="I57" s="195">
        <v>0.51</v>
      </c>
      <c r="J57" s="107">
        <v>0.49</v>
      </c>
      <c r="K57" s="107"/>
      <c r="L57" s="107"/>
      <c r="M57" s="187"/>
      <c r="N57" s="169">
        <f t="shared" si="14"/>
        <v>1</v>
      </c>
      <c r="O57" s="144">
        <v>1</v>
      </c>
      <c r="P57" s="145">
        <v>15</v>
      </c>
      <c r="Q57" s="113">
        <v>15</v>
      </c>
      <c r="R57" s="113"/>
      <c r="S57" s="113"/>
      <c r="T57" s="146"/>
      <c r="U57" s="148">
        <f t="shared" si="1"/>
        <v>15</v>
      </c>
      <c r="V57" s="149">
        <f t="shared" si="2"/>
        <v>15</v>
      </c>
      <c r="W57" s="189"/>
      <c r="X57" s="199"/>
      <c r="Y57" s="151"/>
      <c r="Z57" s="190"/>
      <c r="AA57" s="153"/>
      <c r="AB57" s="154">
        <f t="shared" si="3"/>
        <v>0</v>
      </c>
      <c r="AC57" s="149">
        <f t="shared" si="4"/>
        <v>0</v>
      </c>
      <c r="AD57" s="125">
        <v>2</v>
      </c>
      <c r="AE57" s="148">
        <f t="shared" si="5"/>
        <v>2</v>
      </c>
      <c r="AF57" s="156"/>
      <c r="AG57" s="156"/>
      <c r="AH57" s="113">
        <f t="shared" si="6"/>
        <v>17</v>
      </c>
      <c r="AI57" s="157">
        <v>65</v>
      </c>
      <c r="AJ57" s="113">
        <f t="shared" si="7"/>
        <v>82</v>
      </c>
      <c r="AK57" s="113">
        <f t="shared" si="8"/>
        <v>82</v>
      </c>
      <c r="AL57" s="158">
        <f t="shared" si="9"/>
        <v>1.02</v>
      </c>
      <c r="AM57" s="159"/>
      <c r="AN57" s="160">
        <f t="shared" si="15"/>
        <v>1</v>
      </c>
      <c r="AO57" s="160">
        <f t="shared" si="15"/>
        <v>2</v>
      </c>
      <c r="AP57" s="133"/>
      <c r="AQ57" s="134"/>
      <c r="AR57" s="161"/>
      <c r="AS57" s="161"/>
      <c r="AT57" s="161"/>
      <c r="AU57" s="161"/>
      <c r="AV57" s="162"/>
      <c r="AW57" s="137">
        <f t="shared" si="11"/>
        <v>0</v>
      </c>
      <c r="AX57" s="137">
        <f t="shared" si="12"/>
        <v>0</v>
      </c>
    </row>
    <row r="58" ht="46.5" customHeight="1" spans="1:50" s="97" customFormat="1" x14ac:dyDescent="0.25">
      <c r="A58" s="100"/>
      <c r="B58" s="100"/>
      <c r="C58" s="100"/>
      <c r="D58" s="100"/>
      <c r="E58" s="100"/>
      <c r="F58" s="100"/>
      <c r="G58" s="103"/>
      <c r="H58" s="186"/>
      <c r="I58" s="195">
        <v>0.51</v>
      </c>
      <c r="J58" s="107">
        <v>0.49</v>
      </c>
      <c r="K58" s="107"/>
      <c r="L58" s="107"/>
      <c r="M58" s="187"/>
      <c r="N58" s="169">
        <f t="shared" si="14"/>
        <v>1</v>
      </c>
      <c r="O58" s="144">
        <v>1</v>
      </c>
      <c r="P58" s="145">
        <v>15</v>
      </c>
      <c r="Q58" s="113">
        <v>15</v>
      </c>
      <c r="R58" s="113"/>
      <c r="S58" s="113"/>
      <c r="T58" s="146"/>
      <c r="U58" s="148">
        <f t="shared" si="1"/>
        <v>15</v>
      </c>
      <c r="V58" s="149">
        <f t="shared" si="2"/>
        <v>15</v>
      </c>
      <c r="W58" s="189"/>
      <c r="X58" s="199"/>
      <c r="Y58" s="151"/>
      <c r="Z58" s="190"/>
      <c r="AA58" s="153"/>
      <c r="AB58" s="154">
        <f t="shared" si="3"/>
        <v>0</v>
      </c>
      <c r="AC58" s="149">
        <f t="shared" si="4"/>
        <v>0</v>
      </c>
      <c r="AD58" s="125">
        <v>2</v>
      </c>
      <c r="AE58" s="148">
        <f t="shared" si="5"/>
        <v>2</v>
      </c>
      <c r="AF58" s="156"/>
      <c r="AG58" s="156"/>
      <c r="AH58" s="113">
        <f t="shared" si="6"/>
        <v>17</v>
      </c>
      <c r="AI58" s="157">
        <v>65</v>
      </c>
      <c r="AJ58" s="113">
        <f t="shared" si="7"/>
        <v>82</v>
      </c>
      <c r="AK58" s="113">
        <f t="shared" si="8"/>
        <v>82</v>
      </c>
      <c r="AL58" s="158">
        <f t="shared" si="9"/>
        <v>1.02</v>
      </c>
      <c r="AM58" s="159"/>
      <c r="AN58" s="160">
        <f t="shared" si="15"/>
        <v>1</v>
      </c>
      <c r="AO58" s="160">
        <f t="shared" si="15"/>
        <v>2</v>
      </c>
      <c r="AP58" s="133"/>
      <c r="AQ58" s="134"/>
      <c r="AR58" s="161"/>
      <c r="AS58" s="161"/>
      <c r="AT58" s="161"/>
      <c r="AU58" s="161"/>
      <c r="AV58" s="162"/>
      <c r="AW58" s="137">
        <f t="shared" si="11"/>
        <v>0</v>
      </c>
      <c r="AX58" s="137">
        <f t="shared" si="12"/>
        <v>0</v>
      </c>
    </row>
    <row r="59" ht="46.5" customHeight="1" spans="1:50" s="97" customFormat="1" x14ac:dyDescent="0.25">
      <c r="A59" s="100"/>
      <c r="B59" s="100"/>
      <c r="C59" s="100"/>
      <c r="D59" s="100"/>
      <c r="E59" s="100"/>
      <c r="F59" s="100"/>
      <c r="G59" s="103"/>
      <c r="H59" s="186"/>
      <c r="I59" s="195">
        <v>0.51</v>
      </c>
      <c r="J59" s="107">
        <v>0.49</v>
      </c>
      <c r="K59" s="107"/>
      <c r="L59" s="107"/>
      <c r="M59" s="187"/>
      <c r="N59" s="169">
        <f t="shared" si="14"/>
        <v>1</v>
      </c>
      <c r="O59" s="144">
        <v>1</v>
      </c>
      <c r="P59" s="145">
        <v>15</v>
      </c>
      <c r="Q59" s="113">
        <v>15</v>
      </c>
      <c r="R59" s="113"/>
      <c r="S59" s="113"/>
      <c r="T59" s="146"/>
      <c r="U59" s="148">
        <f t="shared" si="1"/>
        <v>15</v>
      </c>
      <c r="V59" s="149">
        <f t="shared" si="2"/>
        <v>15</v>
      </c>
      <c r="W59" s="189"/>
      <c r="X59" s="199"/>
      <c r="Y59" s="151"/>
      <c r="Z59" s="190"/>
      <c r="AA59" s="153"/>
      <c r="AB59" s="154">
        <f t="shared" si="3"/>
        <v>0</v>
      </c>
      <c r="AC59" s="149">
        <f t="shared" si="4"/>
        <v>0</v>
      </c>
      <c r="AD59" s="125">
        <v>2</v>
      </c>
      <c r="AE59" s="148">
        <f t="shared" si="5"/>
        <v>2</v>
      </c>
      <c r="AF59" s="156"/>
      <c r="AG59" s="156"/>
      <c r="AH59" s="113">
        <f t="shared" si="6"/>
        <v>17</v>
      </c>
      <c r="AI59" s="157">
        <v>65</v>
      </c>
      <c r="AJ59" s="113">
        <f t="shared" si="7"/>
        <v>82</v>
      </c>
      <c r="AK59" s="113">
        <f t="shared" si="8"/>
        <v>82</v>
      </c>
      <c r="AL59" s="158">
        <f t="shared" si="9"/>
        <v>1.02</v>
      </c>
      <c r="AM59" s="159"/>
      <c r="AN59" s="160">
        <f t="shared" si="15"/>
        <v>1</v>
      </c>
      <c r="AO59" s="160">
        <f t="shared" si="15"/>
        <v>2</v>
      </c>
      <c r="AP59" s="133"/>
      <c r="AQ59" s="134"/>
      <c r="AR59" s="161"/>
      <c r="AS59" s="161"/>
      <c r="AT59" s="161"/>
      <c r="AU59" s="161"/>
      <c r="AV59" s="162"/>
      <c r="AW59" s="137">
        <f t="shared" si="11"/>
        <v>0</v>
      </c>
      <c r="AX59" s="137">
        <f t="shared" si="12"/>
        <v>0</v>
      </c>
    </row>
    <row r="60" ht="46.5" customHeight="1" spans="1:50" s="97" customFormat="1" x14ac:dyDescent="0.25">
      <c r="A60" s="100"/>
      <c r="B60" s="100"/>
      <c r="C60" s="100"/>
      <c r="D60" s="100"/>
      <c r="E60" s="100"/>
      <c r="F60" s="100"/>
      <c r="G60" s="103"/>
      <c r="H60" s="186"/>
      <c r="I60" s="195">
        <v>0.51</v>
      </c>
      <c r="J60" s="107">
        <v>0.49</v>
      </c>
      <c r="K60" s="107"/>
      <c r="L60" s="107"/>
      <c r="M60" s="187"/>
      <c r="N60" s="169">
        <f t="shared" si="14"/>
        <v>1</v>
      </c>
      <c r="O60" s="144">
        <v>1</v>
      </c>
      <c r="P60" s="145">
        <v>15</v>
      </c>
      <c r="Q60" s="113">
        <v>15</v>
      </c>
      <c r="R60" s="113"/>
      <c r="S60" s="113"/>
      <c r="T60" s="146"/>
      <c r="U60" s="148">
        <f t="shared" si="1"/>
        <v>15</v>
      </c>
      <c r="V60" s="149">
        <f t="shared" si="2"/>
        <v>15</v>
      </c>
      <c r="W60" s="189"/>
      <c r="X60" s="199"/>
      <c r="Y60" s="151"/>
      <c r="Z60" s="190"/>
      <c r="AA60" s="153"/>
      <c r="AB60" s="154">
        <f t="shared" si="3"/>
        <v>0</v>
      </c>
      <c r="AC60" s="149">
        <f t="shared" si="4"/>
        <v>0</v>
      </c>
      <c r="AD60" s="125">
        <v>2</v>
      </c>
      <c r="AE60" s="148">
        <f t="shared" si="5"/>
        <v>2</v>
      </c>
      <c r="AF60" s="156"/>
      <c r="AG60" s="156"/>
      <c r="AH60" s="113">
        <f t="shared" si="6"/>
        <v>17</v>
      </c>
      <c r="AI60" s="157">
        <v>65</v>
      </c>
      <c r="AJ60" s="113">
        <f t="shared" si="7"/>
        <v>82</v>
      </c>
      <c r="AK60" s="113">
        <f t="shared" si="8"/>
        <v>82</v>
      </c>
      <c r="AL60" s="158">
        <f t="shared" si="9"/>
        <v>1.02</v>
      </c>
      <c r="AM60" s="159"/>
      <c r="AN60" s="160">
        <f t="shared" si="15"/>
        <v>1</v>
      </c>
      <c r="AO60" s="160">
        <f t="shared" si="15"/>
        <v>2</v>
      </c>
      <c r="AP60" s="133"/>
      <c r="AQ60" s="134"/>
      <c r="AR60" s="161"/>
      <c r="AS60" s="161"/>
      <c r="AT60" s="161"/>
      <c r="AU60" s="161"/>
      <c r="AV60" s="162"/>
      <c r="AW60" s="137">
        <f t="shared" si="11"/>
        <v>0</v>
      </c>
      <c r="AX60" s="137">
        <f t="shared" si="12"/>
        <v>0</v>
      </c>
    </row>
    <row r="61" ht="46.5" customHeight="1" spans="1:50" s="97" customFormat="1" x14ac:dyDescent="0.25">
      <c r="A61" s="100"/>
      <c r="B61" s="100"/>
      <c r="C61" s="100"/>
      <c r="D61" s="100"/>
      <c r="E61" s="100"/>
      <c r="F61" s="100"/>
      <c r="G61" s="103"/>
      <c r="H61" s="186"/>
      <c r="I61" s="195">
        <v>0.51</v>
      </c>
      <c r="J61" s="107">
        <v>0.49</v>
      </c>
      <c r="K61" s="107"/>
      <c r="L61" s="107"/>
      <c r="M61" s="187"/>
      <c r="N61" s="169">
        <f t="shared" si="14"/>
        <v>1</v>
      </c>
      <c r="O61" s="144">
        <v>1</v>
      </c>
      <c r="P61" s="145">
        <v>15</v>
      </c>
      <c r="Q61" s="113">
        <v>15</v>
      </c>
      <c r="R61" s="113"/>
      <c r="S61" s="113"/>
      <c r="T61" s="146"/>
      <c r="U61" s="148">
        <f t="shared" si="1"/>
        <v>15</v>
      </c>
      <c r="V61" s="149">
        <f t="shared" si="2"/>
        <v>15</v>
      </c>
      <c r="W61" s="189"/>
      <c r="X61" s="199"/>
      <c r="Y61" s="151"/>
      <c r="Z61" s="190"/>
      <c r="AA61" s="153"/>
      <c r="AB61" s="154">
        <f t="shared" si="3"/>
        <v>0</v>
      </c>
      <c r="AC61" s="149">
        <f t="shared" si="4"/>
        <v>0</v>
      </c>
      <c r="AD61" s="125">
        <v>2</v>
      </c>
      <c r="AE61" s="148">
        <f t="shared" si="5"/>
        <v>2</v>
      </c>
      <c r="AF61" s="156"/>
      <c r="AG61" s="156"/>
      <c r="AH61" s="113">
        <f t="shared" si="6"/>
        <v>17</v>
      </c>
      <c r="AI61" s="157">
        <v>65</v>
      </c>
      <c r="AJ61" s="113">
        <f t="shared" si="7"/>
        <v>82</v>
      </c>
      <c r="AK61" s="113">
        <f t="shared" si="8"/>
        <v>82</v>
      </c>
      <c r="AL61" s="158">
        <f t="shared" si="9"/>
        <v>1.02</v>
      </c>
      <c r="AM61" s="159"/>
      <c r="AN61" s="160">
        <f t="shared" si="15"/>
        <v>1</v>
      </c>
      <c r="AO61" s="160">
        <f t="shared" si="15"/>
        <v>2</v>
      </c>
      <c r="AP61" s="133"/>
      <c r="AQ61" s="134"/>
      <c r="AR61" s="161"/>
      <c r="AS61" s="161"/>
      <c r="AT61" s="161"/>
      <c r="AU61" s="161"/>
      <c r="AV61" s="162"/>
      <c r="AW61" s="137">
        <f t="shared" si="11"/>
        <v>0</v>
      </c>
      <c r="AX61" s="137">
        <f t="shared" si="12"/>
        <v>0</v>
      </c>
    </row>
    <row r="62" ht="46.5" customHeight="1" spans="1:50" s="97" customFormat="1" x14ac:dyDescent="0.25">
      <c r="A62" s="100"/>
      <c r="B62" s="100"/>
      <c r="C62" s="100"/>
      <c r="D62" s="100"/>
      <c r="E62" s="100"/>
      <c r="F62" s="100"/>
      <c r="G62" s="103"/>
      <c r="H62" s="186"/>
      <c r="I62" s="195">
        <v>0.51</v>
      </c>
      <c r="J62" s="107">
        <v>0.49</v>
      </c>
      <c r="K62" s="107"/>
      <c r="L62" s="107"/>
      <c r="M62" s="187"/>
      <c r="N62" s="169">
        <f t="shared" si="14"/>
        <v>1</v>
      </c>
      <c r="O62" s="144">
        <v>1</v>
      </c>
      <c r="P62" s="145">
        <v>15</v>
      </c>
      <c r="Q62" s="113">
        <v>15</v>
      </c>
      <c r="R62" s="113"/>
      <c r="S62" s="113"/>
      <c r="T62" s="146"/>
      <c r="U62" s="148">
        <f t="shared" si="1"/>
        <v>15</v>
      </c>
      <c r="V62" s="149">
        <f t="shared" si="2"/>
        <v>15</v>
      </c>
      <c r="W62" s="189"/>
      <c r="X62" s="199"/>
      <c r="Y62" s="151"/>
      <c r="Z62" s="190"/>
      <c r="AA62" s="153"/>
      <c r="AB62" s="154">
        <f t="shared" si="3"/>
        <v>0</v>
      </c>
      <c r="AC62" s="149">
        <f t="shared" si="4"/>
        <v>0</v>
      </c>
      <c r="AD62" s="125">
        <v>2</v>
      </c>
      <c r="AE62" s="148">
        <f t="shared" si="5"/>
        <v>2</v>
      </c>
      <c r="AF62" s="156"/>
      <c r="AG62" s="156"/>
      <c r="AH62" s="113">
        <f t="shared" si="6"/>
        <v>17</v>
      </c>
      <c r="AI62" s="157">
        <v>65</v>
      </c>
      <c r="AJ62" s="113">
        <f t="shared" si="7"/>
        <v>82</v>
      </c>
      <c r="AK62" s="113">
        <f t="shared" si="8"/>
        <v>82</v>
      </c>
      <c r="AL62" s="158">
        <f t="shared" si="9"/>
        <v>1.02</v>
      </c>
      <c r="AM62" s="159"/>
      <c r="AN62" s="160">
        <f t="shared" si="15"/>
        <v>1</v>
      </c>
      <c r="AO62" s="160">
        <f t="shared" si="15"/>
        <v>2</v>
      </c>
      <c r="AP62" s="133"/>
      <c r="AQ62" s="134"/>
      <c r="AR62" s="161"/>
      <c r="AS62" s="161"/>
      <c r="AT62" s="161"/>
      <c r="AU62" s="161"/>
      <c r="AV62" s="162"/>
      <c r="AW62" s="137">
        <f t="shared" si="11"/>
        <v>0</v>
      </c>
      <c r="AX62" s="137">
        <f t="shared" si="12"/>
        <v>0</v>
      </c>
    </row>
    <row r="63" ht="46.5" customHeight="1" spans="1:50" s="97" customFormat="1" x14ac:dyDescent="0.25">
      <c r="A63" s="100"/>
      <c r="B63" s="100"/>
      <c r="C63" s="100"/>
      <c r="D63" s="100"/>
      <c r="E63" s="100"/>
      <c r="F63" s="100"/>
      <c r="G63" s="103"/>
      <c r="H63" s="186"/>
      <c r="I63" s="195">
        <v>0.51</v>
      </c>
      <c r="J63" s="107">
        <v>0.49</v>
      </c>
      <c r="K63" s="107"/>
      <c r="L63" s="107"/>
      <c r="M63" s="187"/>
      <c r="N63" s="169">
        <f t="shared" si="14"/>
        <v>1</v>
      </c>
      <c r="O63" s="144">
        <v>1</v>
      </c>
      <c r="P63" s="145">
        <v>15</v>
      </c>
      <c r="Q63" s="113">
        <v>15</v>
      </c>
      <c r="R63" s="113"/>
      <c r="S63" s="113"/>
      <c r="T63" s="146"/>
      <c r="U63" s="148">
        <f t="shared" si="1"/>
        <v>15</v>
      </c>
      <c r="V63" s="149">
        <f t="shared" si="2"/>
        <v>15</v>
      </c>
      <c r="W63" s="189"/>
      <c r="X63" s="199"/>
      <c r="Y63" s="151"/>
      <c r="Z63" s="190"/>
      <c r="AA63" s="153"/>
      <c r="AB63" s="154">
        <f t="shared" si="3"/>
        <v>0</v>
      </c>
      <c r="AC63" s="149">
        <f t="shared" si="4"/>
        <v>0</v>
      </c>
      <c r="AD63" s="125">
        <v>2</v>
      </c>
      <c r="AE63" s="148">
        <f t="shared" si="5"/>
        <v>2</v>
      </c>
      <c r="AF63" s="156"/>
      <c r="AG63" s="156"/>
      <c r="AH63" s="113">
        <f t="shared" si="6"/>
        <v>17</v>
      </c>
      <c r="AI63" s="157">
        <v>65</v>
      </c>
      <c r="AJ63" s="113">
        <f t="shared" si="7"/>
        <v>82</v>
      </c>
      <c r="AK63" s="113">
        <f t="shared" si="8"/>
        <v>82</v>
      </c>
      <c r="AL63" s="158">
        <f t="shared" si="9"/>
        <v>1.02</v>
      </c>
      <c r="AM63" s="159"/>
      <c r="AN63" s="160">
        <f t="shared" si="15"/>
        <v>1</v>
      </c>
      <c r="AO63" s="160">
        <f t="shared" si="15"/>
        <v>2</v>
      </c>
      <c r="AP63" s="133"/>
      <c r="AQ63" s="134"/>
      <c r="AR63" s="161"/>
      <c r="AS63" s="161"/>
      <c r="AT63" s="161"/>
      <c r="AU63" s="161"/>
      <c r="AV63" s="162"/>
      <c r="AW63" s="137">
        <f t="shared" si="11"/>
        <v>0</v>
      </c>
      <c r="AX63" s="137">
        <f t="shared" si="12"/>
        <v>0</v>
      </c>
    </row>
    <row r="64" ht="46.5" customHeight="1" spans="1:50" s="97" customFormat="1" x14ac:dyDescent="0.25">
      <c r="A64" s="100"/>
      <c r="B64" s="100"/>
      <c r="C64" s="100"/>
      <c r="D64" s="100"/>
      <c r="E64" s="100"/>
      <c r="F64" s="100"/>
      <c r="G64" s="103"/>
      <c r="H64" s="186"/>
      <c r="I64" s="195">
        <v>0.51</v>
      </c>
      <c r="J64" s="107">
        <v>0.49</v>
      </c>
      <c r="K64" s="107"/>
      <c r="L64" s="107"/>
      <c r="M64" s="187"/>
      <c r="N64" s="169">
        <f t="shared" si="14"/>
        <v>1</v>
      </c>
      <c r="O64" s="144">
        <v>1</v>
      </c>
      <c r="P64" s="145">
        <v>15</v>
      </c>
      <c r="Q64" s="113">
        <v>15</v>
      </c>
      <c r="R64" s="113"/>
      <c r="S64" s="113"/>
      <c r="T64" s="146"/>
      <c r="U64" s="148">
        <f t="shared" si="1"/>
        <v>15</v>
      </c>
      <c r="V64" s="149">
        <f t="shared" si="2"/>
        <v>15</v>
      </c>
      <c r="W64" s="189"/>
      <c r="X64" s="199"/>
      <c r="Y64" s="151"/>
      <c r="Z64" s="190"/>
      <c r="AA64" s="153"/>
      <c r="AB64" s="154">
        <f t="shared" si="3"/>
        <v>0</v>
      </c>
      <c r="AC64" s="149">
        <f t="shared" si="4"/>
        <v>0</v>
      </c>
      <c r="AD64" s="125">
        <v>2</v>
      </c>
      <c r="AE64" s="148">
        <f t="shared" si="5"/>
        <v>2</v>
      </c>
      <c r="AF64" s="156"/>
      <c r="AG64" s="156"/>
      <c r="AH64" s="113">
        <f t="shared" si="6"/>
        <v>17</v>
      </c>
      <c r="AI64" s="157">
        <v>65</v>
      </c>
      <c r="AJ64" s="113">
        <f t="shared" si="7"/>
        <v>82</v>
      </c>
      <c r="AK64" s="113">
        <f t="shared" si="8"/>
        <v>82</v>
      </c>
      <c r="AL64" s="158">
        <f t="shared" si="9"/>
        <v>1.02</v>
      </c>
      <c r="AM64" s="159"/>
      <c r="AN64" s="160">
        <f t="shared" si="15"/>
        <v>1</v>
      </c>
      <c r="AO64" s="160">
        <f t="shared" si="15"/>
        <v>2</v>
      </c>
      <c r="AP64" s="133"/>
      <c r="AQ64" s="134"/>
      <c r="AR64" s="161"/>
      <c r="AS64" s="161"/>
      <c r="AT64" s="161"/>
      <c r="AU64" s="161"/>
      <c r="AV64" s="162"/>
      <c r="AW64" s="137">
        <f t="shared" si="11"/>
        <v>0</v>
      </c>
      <c r="AX64" s="137">
        <f t="shared" si="12"/>
        <v>0</v>
      </c>
    </row>
    <row r="65" ht="46.5" customHeight="1" spans="1:50" s="97" customFormat="1" x14ac:dyDescent="0.25">
      <c r="A65" s="100"/>
      <c r="B65" s="100"/>
      <c r="C65" s="100"/>
      <c r="D65" s="100"/>
      <c r="E65" s="100"/>
      <c r="F65" s="100"/>
      <c r="G65" s="103"/>
      <c r="H65" s="186"/>
      <c r="I65" s="195">
        <v>0.51</v>
      </c>
      <c r="J65" s="107">
        <v>0.49</v>
      </c>
      <c r="K65" s="107"/>
      <c r="L65" s="107"/>
      <c r="M65" s="187"/>
      <c r="N65" s="169">
        <f t="shared" si="14"/>
        <v>1</v>
      </c>
      <c r="O65" s="144">
        <v>1</v>
      </c>
      <c r="P65" s="145">
        <v>15</v>
      </c>
      <c r="Q65" s="113">
        <v>15</v>
      </c>
      <c r="R65" s="113"/>
      <c r="S65" s="113"/>
      <c r="T65" s="146"/>
      <c r="U65" s="148">
        <f t="shared" si="1"/>
        <v>15</v>
      </c>
      <c r="V65" s="149">
        <f t="shared" si="2"/>
        <v>15</v>
      </c>
      <c r="W65" s="189"/>
      <c r="X65" s="199"/>
      <c r="Y65" s="151"/>
      <c r="Z65" s="190"/>
      <c r="AA65" s="153"/>
      <c r="AB65" s="154">
        <f t="shared" si="3"/>
        <v>0</v>
      </c>
      <c r="AC65" s="149">
        <f t="shared" si="4"/>
        <v>0</v>
      </c>
      <c r="AD65" s="125">
        <v>2</v>
      </c>
      <c r="AE65" s="148">
        <f t="shared" si="5"/>
        <v>2</v>
      </c>
      <c r="AF65" s="156"/>
      <c r="AG65" s="156"/>
      <c r="AH65" s="113">
        <f t="shared" si="6"/>
        <v>17</v>
      </c>
      <c r="AI65" s="157">
        <v>65</v>
      </c>
      <c r="AJ65" s="113">
        <f t="shared" si="7"/>
        <v>82</v>
      </c>
      <c r="AK65" s="113">
        <f t="shared" si="8"/>
        <v>82</v>
      </c>
      <c r="AL65" s="158">
        <f t="shared" si="9"/>
        <v>1.02</v>
      </c>
      <c r="AM65" s="159"/>
      <c r="AN65" s="160">
        <f t="shared" si="15"/>
        <v>1</v>
      </c>
      <c r="AO65" s="160">
        <f t="shared" si="15"/>
        <v>2</v>
      </c>
      <c r="AP65" s="133"/>
      <c r="AQ65" s="134"/>
      <c r="AR65" s="161"/>
      <c r="AS65" s="161"/>
      <c r="AT65" s="161"/>
      <c r="AU65" s="161"/>
      <c r="AV65" s="162"/>
      <c r="AW65" s="137">
        <f t="shared" si="11"/>
        <v>0</v>
      </c>
      <c r="AX65" s="137">
        <f t="shared" si="12"/>
        <v>0</v>
      </c>
    </row>
    <row r="66" ht="46.5" customHeight="1" spans="1:50" s="97" customFormat="1" x14ac:dyDescent="0.25">
      <c r="A66" s="100"/>
      <c r="B66" s="100"/>
      <c r="C66" s="100"/>
      <c r="D66" s="100"/>
      <c r="E66" s="100"/>
      <c r="F66" s="100"/>
      <c r="G66" s="103"/>
      <c r="H66" s="186"/>
      <c r="I66" s="195">
        <v>0.51</v>
      </c>
      <c r="J66" s="107">
        <v>0.49</v>
      </c>
      <c r="K66" s="107"/>
      <c r="L66" s="107"/>
      <c r="M66" s="187"/>
      <c r="N66" s="169">
        <f t="shared" si="14"/>
        <v>1</v>
      </c>
      <c r="O66" s="144">
        <v>1</v>
      </c>
      <c r="P66" s="145">
        <v>15</v>
      </c>
      <c r="Q66" s="113">
        <v>15</v>
      </c>
      <c r="R66" s="113"/>
      <c r="S66" s="113"/>
      <c r="T66" s="146"/>
      <c r="U66" s="148">
        <f t="shared" si="1"/>
        <v>15</v>
      </c>
      <c r="V66" s="149">
        <f t="shared" si="2"/>
        <v>15</v>
      </c>
      <c r="W66" s="189"/>
      <c r="X66" s="199"/>
      <c r="Y66" s="151"/>
      <c r="Z66" s="190"/>
      <c r="AA66" s="153"/>
      <c r="AB66" s="154">
        <f t="shared" si="3"/>
        <v>0</v>
      </c>
      <c r="AC66" s="149">
        <f t="shared" si="4"/>
        <v>0</v>
      </c>
      <c r="AD66" s="125">
        <v>2</v>
      </c>
      <c r="AE66" s="148">
        <f t="shared" si="5"/>
        <v>2</v>
      </c>
      <c r="AF66" s="156"/>
      <c r="AG66" s="156"/>
      <c r="AH66" s="113">
        <f t="shared" si="6"/>
        <v>17</v>
      </c>
      <c r="AI66" s="157">
        <v>65</v>
      </c>
      <c r="AJ66" s="113">
        <f t="shared" si="7"/>
        <v>82</v>
      </c>
      <c r="AK66" s="113">
        <f t="shared" si="8"/>
        <v>82</v>
      </c>
      <c r="AL66" s="158">
        <f t="shared" si="9"/>
        <v>1.02</v>
      </c>
      <c r="AM66" s="159"/>
      <c r="AN66" s="160">
        <f t="shared" si="15"/>
        <v>1</v>
      </c>
      <c r="AO66" s="160">
        <f t="shared" si="15"/>
        <v>2</v>
      </c>
      <c r="AP66" s="133"/>
      <c r="AQ66" s="134"/>
      <c r="AR66" s="161"/>
      <c r="AS66" s="161"/>
      <c r="AT66" s="161"/>
      <c r="AU66" s="161"/>
      <c r="AV66" s="162"/>
      <c r="AW66" s="137">
        <f t="shared" si="11"/>
        <v>0</v>
      </c>
      <c r="AX66" s="137">
        <f t="shared" si="12"/>
        <v>0</v>
      </c>
    </row>
    <row r="67" ht="46.5" customHeight="1" spans="1:50" s="97" customFormat="1" x14ac:dyDescent="0.25">
      <c r="A67" s="100"/>
      <c r="B67" s="100"/>
      <c r="C67" s="100"/>
      <c r="D67" s="100"/>
      <c r="E67" s="100"/>
      <c r="F67" s="100"/>
      <c r="G67" s="103"/>
      <c r="H67" s="186"/>
      <c r="I67" s="195">
        <v>0.51</v>
      </c>
      <c r="J67" s="107">
        <v>0.49</v>
      </c>
      <c r="K67" s="107"/>
      <c r="L67" s="107"/>
      <c r="M67" s="187"/>
      <c r="N67" s="169">
        <f t="shared" si="14"/>
        <v>1</v>
      </c>
      <c r="O67" s="144">
        <v>1</v>
      </c>
      <c r="P67" s="145">
        <v>15</v>
      </c>
      <c r="Q67" s="113">
        <v>15</v>
      </c>
      <c r="R67" s="113"/>
      <c r="S67" s="113"/>
      <c r="T67" s="146"/>
      <c r="U67" s="148">
        <f t="shared" si="1"/>
        <v>15</v>
      </c>
      <c r="V67" s="149">
        <f t="shared" si="2"/>
        <v>15</v>
      </c>
      <c r="W67" s="189"/>
      <c r="X67" s="199"/>
      <c r="Y67" s="151"/>
      <c r="Z67" s="190"/>
      <c r="AA67" s="153"/>
      <c r="AB67" s="154">
        <f t="shared" si="3"/>
        <v>0</v>
      </c>
      <c r="AC67" s="149">
        <f t="shared" si="4"/>
        <v>0</v>
      </c>
      <c r="AD67" s="125">
        <v>2</v>
      </c>
      <c r="AE67" s="148">
        <f t="shared" si="5"/>
        <v>2</v>
      </c>
      <c r="AF67" s="156"/>
      <c r="AG67" s="156"/>
      <c r="AH67" s="113">
        <f t="shared" si="6"/>
        <v>17</v>
      </c>
      <c r="AI67" s="157">
        <v>65</v>
      </c>
      <c r="AJ67" s="113">
        <f t="shared" si="7"/>
        <v>82</v>
      </c>
      <c r="AK67" s="113">
        <f t="shared" si="8"/>
        <v>82</v>
      </c>
      <c r="AL67" s="158">
        <f t="shared" si="9"/>
        <v>1.02</v>
      </c>
      <c r="AM67" s="159"/>
      <c r="AN67" s="160">
        <f t="shared" si="15"/>
        <v>1</v>
      </c>
      <c r="AO67" s="160">
        <f t="shared" si="15"/>
        <v>2</v>
      </c>
      <c r="AP67" s="133"/>
      <c r="AQ67" s="134"/>
      <c r="AR67" s="161"/>
      <c r="AS67" s="161"/>
      <c r="AT67" s="161"/>
      <c r="AU67" s="161"/>
      <c r="AV67" s="162"/>
      <c r="AW67" s="137">
        <f t="shared" si="11"/>
        <v>0</v>
      </c>
      <c r="AX67" s="137">
        <f t="shared" si="12"/>
        <v>0</v>
      </c>
    </row>
    <row r="68" ht="46.5" customHeight="1" spans="1:50" s="97" customFormat="1" x14ac:dyDescent="0.25">
      <c r="A68" s="100"/>
      <c r="B68" s="100"/>
      <c r="C68" s="100"/>
      <c r="D68" s="100"/>
      <c r="E68" s="100"/>
      <c r="F68" s="100"/>
      <c r="G68" s="103"/>
      <c r="H68" s="186"/>
      <c r="I68" s="195">
        <v>0.51</v>
      </c>
      <c r="J68" s="107">
        <v>0.49</v>
      </c>
      <c r="K68" s="107"/>
      <c r="L68" s="107"/>
      <c r="M68" s="187"/>
      <c r="N68" s="169">
        <f t="shared" si="14"/>
        <v>1</v>
      </c>
      <c r="O68" s="144">
        <v>1</v>
      </c>
      <c r="P68" s="145">
        <v>15</v>
      </c>
      <c r="Q68" s="113">
        <v>15</v>
      </c>
      <c r="R68" s="113"/>
      <c r="S68" s="113"/>
      <c r="T68" s="146"/>
      <c r="U68" s="148">
        <f t="shared" si="1"/>
        <v>15</v>
      </c>
      <c r="V68" s="149">
        <f t="shared" si="2"/>
        <v>15</v>
      </c>
      <c r="W68" s="189"/>
      <c r="X68" s="199"/>
      <c r="Y68" s="151"/>
      <c r="Z68" s="190"/>
      <c r="AA68" s="153"/>
      <c r="AB68" s="154">
        <f t="shared" si="3"/>
        <v>0</v>
      </c>
      <c r="AC68" s="149">
        <f t="shared" si="4"/>
        <v>0</v>
      </c>
      <c r="AD68" s="125">
        <v>2</v>
      </c>
      <c r="AE68" s="148">
        <f t="shared" si="5"/>
        <v>2</v>
      </c>
      <c r="AF68" s="156"/>
      <c r="AG68" s="156"/>
      <c r="AH68" s="113">
        <f t="shared" si="6"/>
        <v>17</v>
      </c>
      <c r="AI68" s="157">
        <v>65</v>
      </c>
      <c r="AJ68" s="113">
        <f t="shared" si="7"/>
        <v>82</v>
      </c>
      <c r="AK68" s="113">
        <f t="shared" si="8"/>
        <v>82</v>
      </c>
      <c r="AL68" s="158">
        <f t="shared" si="9"/>
        <v>1.02</v>
      </c>
      <c r="AM68" s="159"/>
      <c r="AN68" s="160">
        <f t="shared" si="15"/>
        <v>1</v>
      </c>
      <c r="AO68" s="160">
        <f t="shared" si="15"/>
        <v>2</v>
      </c>
      <c r="AP68" s="133"/>
      <c r="AQ68" s="134"/>
      <c r="AR68" s="161"/>
      <c r="AS68" s="161"/>
      <c r="AT68" s="161"/>
      <c r="AU68" s="161"/>
      <c r="AV68" s="162"/>
      <c r="AW68" s="137">
        <f t="shared" si="11"/>
        <v>0</v>
      </c>
      <c r="AX68" s="137">
        <f t="shared" si="12"/>
        <v>0</v>
      </c>
    </row>
    <row r="69" ht="46.5" customHeight="1" spans="1:50" s="97" customFormat="1" x14ac:dyDescent="0.25">
      <c r="A69" s="100"/>
      <c r="B69" s="100"/>
      <c r="C69" s="100"/>
      <c r="D69" s="100"/>
      <c r="E69" s="100"/>
      <c r="F69" s="100"/>
      <c r="G69" s="103"/>
      <c r="H69" s="186"/>
      <c r="I69" s="195">
        <v>0.51</v>
      </c>
      <c r="J69" s="107">
        <v>0.49</v>
      </c>
      <c r="K69" s="107"/>
      <c r="L69" s="107"/>
      <c r="M69" s="187"/>
      <c r="N69" s="169">
        <f t="shared" si="14"/>
        <v>1</v>
      </c>
      <c r="O69" s="144">
        <v>1</v>
      </c>
      <c r="P69" s="145">
        <v>15</v>
      </c>
      <c r="Q69" s="113">
        <v>15</v>
      </c>
      <c r="R69" s="113"/>
      <c r="S69" s="113"/>
      <c r="T69" s="146"/>
      <c r="U69" s="148">
        <f t="shared" si="1"/>
        <v>15</v>
      </c>
      <c r="V69" s="149">
        <f t="shared" si="2"/>
        <v>15</v>
      </c>
      <c r="W69" s="189"/>
      <c r="X69" s="199"/>
      <c r="Y69" s="151"/>
      <c r="Z69" s="190"/>
      <c r="AA69" s="153"/>
      <c r="AB69" s="154">
        <f t="shared" si="3"/>
        <v>0</v>
      </c>
      <c r="AC69" s="149">
        <f t="shared" si="4"/>
        <v>0</v>
      </c>
      <c r="AD69" s="125">
        <v>2</v>
      </c>
      <c r="AE69" s="148">
        <f t="shared" si="5"/>
        <v>2</v>
      </c>
      <c r="AF69" s="156"/>
      <c r="AG69" s="156"/>
      <c r="AH69" s="113">
        <f t="shared" si="6"/>
        <v>17</v>
      </c>
      <c r="AI69" s="157">
        <v>65</v>
      </c>
      <c r="AJ69" s="113">
        <f t="shared" si="7"/>
        <v>82</v>
      </c>
      <c r="AK69" s="113">
        <f t="shared" si="8"/>
        <v>82</v>
      </c>
      <c r="AL69" s="158">
        <f t="shared" si="9"/>
        <v>1.02</v>
      </c>
      <c r="AM69" s="159"/>
      <c r="AN69" s="160">
        <f t="shared" si="15"/>
        <v>1</v>
      </c>
      <c r="AO69" s="160">
        <f t="shared" si="15"/>
        <v>2</v>
      </c>
      <c r="AP69" s="133"/>
      <c r="AQ69" s="134"/>
      <c r="AR69" s="161"/>
      <c r="AS69" s="161"/>
      <c r="AT69" s="161"/>
      <c r="AU69" s="161"/>
      <c r="AV69" s="162"/>
      <c r="AW69" s="137">
        <f t="shared" si="11"/>
        <v>0</v>
      </c>
      <c r="AX69" s="137">
        <f t="shared" si="12"/>
        <v>0</v>
      </c>
    </row>
    <row r="70" ht="46.5" customHeight="1" spans="1:50" s="97" customFormat="1" x14ac:dyDescent="0.25">
      <c r="A70" s="100"/>
      <c r="B70" s="100"/>
      <c r="C70" s="100"/>
      <c r="D70" s="100"/>
      <c r="E70" s="100"/>
      <c r="F70" s="100"/>
      <c r="G70" s="103"/>
      <c r="H70" s="186"/>
      <c r="I70" s="195">
        <v>0.51</v>
      </c>
      <c r="J70" s="107">
        <v>0.49</v>
      </c>
      <c r="K70" s="107"/>
      <c r="L70" s="107"/>
      <c r="M70" s="187"/>
      <c r="N70" s="169">
        <f t="shared" si="14"/>
        <v>1</v>
      </c>
      <c r="O70" s="144">
        <v>1</v>
      </c>
      <c r="P70" s="145">
        <v>15</v>
      </c>
      <c r="Q70" s="113">
        <v>15</v>
      </c>
      <c r="R70" s="113"/>
      <c r="S70" s="113"/>
      <c r="T70" s="146"/>
      <c r="U70" s="148">
        <f t="shared" si="1"/>
        <v>15</v>
      </c>
      <c r="V70" s="149">
        <f t="shared" si="2"/>
        <v>15</v>
      </c>
      <c r="W70" s="189"/>
      <c r="X70" s="199"/>
      <c r="Y70" s="151"/>
      <c r="Z70" s="190"/>
      <c r="AA70" s="153"/>
      <c r="AB70" s="154">
        <f t="shared" si="3"/>
        <v>0</v>
      </c>
      <c r="AC70" s="149">
        <f t="shared" si="4"/>
        <v>0</v>
      </c>
      <c r="AD70" s="125">
        <v>2</v>
      </c>
      <c r="AE70" s="148">
        <f t="shared" si="5"/>
        <v>2</v>
      </c>
      <c r="AF70" s="156"/>
      <c r="AG70" s="156"/>
      <c r="AH70" s="113">
        <f t="shared" si="6"/>
        <v>17</v>
      </c>
      <c r="AI70" s="157">
        <v>65</v>
      </c>
      <c r="AJ70" s="113">
        <f t="shared" si="7"/>
        <v>82</v>
      </c>
      <c r="AK70" s="113">
        <f t="shared" si="8"/>
        <v>82</v>
      </c>
      <c r="AL70" s="158">
        <f t="shared" si="9"/>
        <v>1.02</v>
      </c>
      <c r="AM70" s="159"/>
      <c r="AN70" s="160">
        <f t="shared" si="15"/>
        <v>1</v>
      </c>
      <c r="AO70" s="160">
        <f t="shared" si="15"/>
        <v>2</v>
      </c>
      <c r="AP70" s="133"/>
      <c r="AQ70" s="134"/>
      <c r="AR70" s="161"/>
      <c r="AS70" s="161"/>
      <c r="AT70" s="161"/>
      <c r="AU70" s="161"/>
      <c r="AV70" s="162"/>
      <c r="AW70" s="137">
        <f t="shared" si="11"/>
        <v>0</v>
      </c>
      <c r="AX70" s="137">
        <f t="shared" si="12"/>
        <v>0</v>
      </c>
    </row>
    <row r="71" ht="46.5" customHeight="1" spans="1:50" s="97" customFormat="1" x14ac:dyDescent="0.25">
      <c r="A71" s="100"/>
      <c r="B71" s="100"/>
      <c r="C71" s="100"/>
      <c r="D71" s="100"/>
      <c r="E71" s="100"/>
      <c r="F71" s="100"/>
      <c r="G71" s="103"/>
      <c r="H71" s="186"/>
      <c r="I71" s="195">
        <v>0.51</v>
      </c>
      <c r="J71" s="107">
        <v>0.49</v>
      </c>
      <c r="K71" s="107"/>
      <c r="L71" s="107"/>
      <c r="M71" s="187"/>
      <c r="N71" s="169">
        <f t="shared" si="14"/>
        <v>1</v>
      </c>
      <c r="O71" s="144">
        <v>1</v>
      </c>
      <c r="P71" s="145">
        <v>15</v>
      </c>
      <c r="Q71" s="113">
        <v>15</v>
      </c>
      <c r="R71" s="113"/>
      <c r="S71" s="113"/>
      <c r="T71" s="146"/>
      <c r="U71" s="148">
        <f t="shared" si="1"/>
        <v>15</v>
      </c>
      <c r="V71" s="149">
        <f t="shared" si="2"/>
        <v>15</v>
      </c>
      <c r="W71" s="189"/>
      <c r="X71" s="199"/>
      <c r="Y71" s="151"/>
      <c r="Z71" s="190"/>
      <c r="AA71" s="153"/>
      <c r="AB71" s="154">
        <f t="shared" si="3"/>
        <v>0</v>
      </c>
      <c r="AC71" s="149">
        <f t="shared" si="4"/>
        <v>0</v>
      </c>
      <c r="AD71" s="125">
        <v>2</v>
      </c>
      <c r="AE71" s="148">
        <f t="shared" si="5"/>
        <v>2</v>
      </c>
      <c r="AF71" s="156"/>
      <c r="AG71" s="156"/>
      <c r="AH71" s="113">
        <f t="shared" si="6"/>
        <v>17</v>
      </c>
      <c r="AI71" s="157">
        <v>65</v>
      </c>
      <c r="AJ71" s="113">
        <f t="shared" si="7"/>
        <v>82</v>
      </c>
      <c r="AK71" s="113">
        <f t="shared" si="8"/>
        <v>82</v>
      </c>
      <c r="AL71" s="158">
        <f t="shared" si="9"/>
        <v>1.02</v>
      </c>
      <c r="AM71" s="159"/>
      <c r="AN71" s="160">
        <f t="shared" ref="AN71:AO90" si="16">100%+AM71</f>
        <v>1</v>
      </c>
      <c r="AO71" s="160">
        <f t="shared" si="16"/>
        <v>2</v>
      </c>
      <c r="AP71" s="133"/>
      <c r="AQ71" s="134"/>
      <c r="AR71" s="161"/>
      <c r="AS71" s="161"/>
      <c r="AT71" s="161"/>
      <c r="AU71" s="161"/>
      <c r="AV71" s="162"/>
      <c r="AW71" s="137">
        <f t="shared" si="11"/>
        <v>0</v>
      </c>
      <c r="AX71" s="137">
        <f t="shared" si="12"/>
        <v>0</v>
      </c>
    </row>
    <row r="72" ht="46.5" customHeight="1" spans="1:50" s="97" customFormat="1" x14ac:dyDescent="0.25">
      <c r="A72" s="100"/>
      <c r="B72" s="100"/>
      <c r="C72" s="100"/>
      <c r="D72" s="100"/>
      <c r="E72" s="100"/>
      <c r="F72" s="100"/>
      <c r="G72" s="103"/>
      <c r="H72" s="186"/>
      <c r="I72" s="195">
        <v>0.51</v>
      </c>
      <c r="J72" s="107">
        <v>0.49</v>
      </c>
      <c r="K72" s="107"/>
      <c r="L72" s="107"/>
      <c r="M72" s="187"/>
      <c r="N72" s="169">
        <f t="shared" si="14"/>
        <v>1</v>
      </c>
      <c r="O72" s="144">
        <v>1</v>
      </c>
      <c r="P72" s="145">
        <v>15</v>
      </c>
      <c r="Q72" s="113">
        <v>15</v>
      </c>
      <c r="R72" s="113"/>
      <c r="S72" s="113"/>
      <c r="T72" s="146"/>
      <c r="U72" s="148">
        <f t="shared" si="1"/>
        <v>15</v>
      </c>
      <c r="V72" s="149">
        <f t="shared" si="2"/>
        <v>15</v>
      </c>
      <c r="W72" s="189"/>
      <c r="X72" s="199"/>
      <c r="Y72" s="151"/>
      <c r="Z72" s="190"/>
      <c r="AA72" s="153"/>
      <c r="AB72" s="154">
        <f t="shared" si="3"/>
        <v>0</v>
      </c>
      <c r="AC72" s="149">
        <f t="shared" si="4"/>
        <v>0</v>
      </c>
      <c r="AD72" s="125">
        <v>2</v>
      </c>
      <c r="AE72" s="148">
        <f t="shared" si="5"/>
        <v>2</v>
      </c>
      <c r="AF72" s="156"/>
      <c r="AG72" s="156"/>
      <c r="AH72" s="113">
        <f t="shared" si="6"/>
        <v>17</v>
      </c>
      <c r="AI72" s="157">
        <v>65</v>
      </c>
      <c r="AJ72" s="113">
        <f t="shared" si="7"/>
        <v>82</v>
      </c>
      <c r="AK72" s="113">
        <f t="shared" si="8"/>
        <v>82</v>
      </c>
      <c r="AL72" s="158">
        <f t="shared" si="9"/>
        <v>1.02</v>
      </c>
      <c r="AM72" s="159"/>
      <c r="AN72" s="160">
        <f t="shared" si="16"/>
        <v>1</v>
      </c>
      <c r="AO72" s="160">
        <f t="shared" si="16"/>
        <v>2</v>
      </c>
      <c r="AP72" s="133"/>
      <c r="AQ72" s="134"/>
      <c r="AR72" s="161"/>
      <c r="AS72" s="161"/>
      <c r="AT72" s="161"/>
      <c r="AU72" s="161"/>
      <c r="AV72" s="162"/>
      <c r="AW72" s="137">
        <f t="shared" si="11"/>
        <v>0</v>
      </c>
      <c r="AX72" s="137">
        <f t="shared" si="12"/>
        <v>0</v>
      </c>
    </row>
    <row r="73" ht="46.5" customHeight="1" spans="1:50" s="97" customFormat="1" x14ac:dyDescent="0.25">
      <c r="A73" s="100"/>
      <c r="B73" s="100"/>
      <c r="C73" s="100"/>
      <c r="D73" s="100"/>
      <c r="E73" s="100"/>
      <c r="F73" s="100"/>
      <c r="G73" s="103"/>
      <c r="H73" s="186"/>
      <c r="I73" s="195">
        <v>0.51</v>
      </c>
      <c r="J73" s="107">
        <v>0.49</v>
      </c>
      <c r="K73" s="107"/>
      <c r="L73" s="107"/>
      <c r="M73" s="187"/>
      <c r="N73" s="169">
        <f t="shared" si="14"/>
        <v>1</v>
      </c>
      <c r="O73" s="144">
        <v>1</v>
      </c>
      <c r="P73" s="145">
        <v>15</v>
      </c>
      <c r="Q73" s="113">
        <v>15</v>
      </c>
      <c r="R73" s="113"/>
      <c r="S73" s="113"/>
      <c r="T73" s="146"/>
      <c r="U73" s="148">
        <f t="shared" si="1"/>
        <v>15</v>
      </c>
      <c r="V73" s="149">
        <f t="shared" si="2"/>
        <v>15</v>
      </c>
      <c r="W73" s="189"/>
      <c r="X73" s="199"/>
      <c r="Y73" s="151"/>
      <c r="Z73" s="190"/>
      <c r="AA73" s="153"/>
      <c r="AB73" s="154">
        <f t="shared" si="3"/>
        <v>0</v>
      </c>
      <c r="AC73" s="149">
        <f t="shared" si="4"/>
        <v>0</v>
      </c>
      <c r="AD73" s="125">
        <v>2</v>
      </c>
      <c r="AE73" s="148">
        <f t="shared" si="5"/>
        <v>2</v>
      </c>
      <c r="AF73" s="156"/>
      <c r="AG73" s="156"/>
      <c r="AH73" s="113">
        <f t="shared" si="6"/>
        <v>17</v>
      </c>
      <c r="AI73" s="157">
        <v>65</v>
      </c>
      <c r="AJ73" s="113">
        <f t="shared" si="7"/>
        <v>82</v>
      </c>
      <c r="AK73" s="113">
        <f t="shared" si="8"/>
        <v>82</v>
      </c>
      <c r="AL73" s="158">
        <f t="shared" si="9"/>
        <v>1.02</v>
      </c>
      <c r="AM73" s="159"/>
      <c r="AN73" s="160">
        <f t="shared" si="16"/>
        <v>1</v>
      </c>
      <c r="AO73" s="160">
        <f t="shared" si="16"/>
        <v>2</v>
      </c>
      <c r="AP73" s="133"/>
      <c r="AQ73" s="134"/>
      <c r="AR73" s="161"/>
      <c r="AS73" s="161"/>
      <c r="AT73" s="161"/>
      <c r="AU73" s="161"/>
      <c r="AV73" s="162"/>
      <c r="AW73" s="137">
        <f t="shared" si="11"/>
        <v>0</v>
      </c>
      <c r="AX73" s="137">
        <f t="shared" si="12"/>
        <v>0</v>
      </c>
    </row>
    <row r="74" ht="46.5" customHeight="1" spans="1:50" s="97" customFormat="1" x14ac:dyDescent="0.25">
      <c r="A74" s="100"/>
      <c r="B74" s="100"/>
      <c r="C74" s="100"/>
      <c r="D74" s="100"/>
      <c r="E74" s="100"/>
      <c r="F74" s="100"/>
      <c r="G74" s="103"/>
      <c r="H74" s="186"/>
      <c r="I74" s="195">
        <v>0.51</v>
      </c>
      <c r="J74" s="107">
        <v>0.49</v>
      </c>
      <c r="K74" s="107"/>
      <c r="L74" s="107"/>
      <c r="M74" s="187"/>
      <c r="N74" s="169">
        <f t="shared" si="14"/>
        <v>1</v>
      </c>
      <c r="O74" s="144">
        <v>1</v>
      </c>
      <c r="P74" s="145">
        <v>15</v>
      </c>
      <c r="Q74" s="113">
        <v>15</v>
      </c>
      <c r="R74" s="113"/>
      <c r="S74" s="113"/>
      <c r="T74" s="146"/>
      <c r="U74" s="148">
        <f t="shared" si="1"/>
        <v>15</v>
      </c>
      <c r="V74" s="149">
        <f t="shared" si="2"/>
        <v>15</v>
      </c>
      <c r="W74" s="189"/>
      <c r="X74" s="199"/>
      <c r="Y74" s="151"/>
      <c r="Z74" s="190"/>
      <c r="AA74" s="153"/>
      <c r="AB74" s="154">
        <f t="shared" si="3"/>
        <v>0</v>
      </c>
      <c r="AC74" s="149">
        <f t="shared" si="4"/>
        <v>0</v>
      </c>
      <c r="AD74" s="125">
        <v>2</v>
      </c>
      <c r="AE74" s="148">
        <f t="shared" si="5"/>
        <v>2</v>
      </c>
      <c r="AF74" s="156"/>
      <c r="AG74" s="156"/>
      <c r="AH74" s="113">
        <f t="shared" si="6"/>
        <v>17</v>
      </c>
      <c r="AI74" s="157">
        <v>65</v>
      </c>
      <c r="AJ74" s="113">
        <f t="shared" si="7"/>
        <v>82</v>
      </c>
      <c r="AK74" s="113">
        <f t="shared" si="8"/>
        <v>82</v>
      </c>
      <c r="AL74" s="158">
        <f t="shared" si="9"/>
        <v>1.02</v>
      </c>
      <c r="AM74" s="159"/>
      <c r="AN74" s="160">
        <f t="shared" si="16"/>
        <v>1</v>
      </c>
      <c r="AO74" s="160">
        <f t="shared" si="16"/>
        <v>2</v>
      </c>
      <c r="AP74" s="133"/>
      <c r="AQ74" s="134"/>
      <c r="AR74" s="161"/>
      <c r="AS74" s="161"/>
      <c r="AT74" s="161"/>
      <c r="AU74" s="161"/>
      <c r="AV74" s="162"/>
      <c r="AW74" s="137">
        <f t="shared" si="11"/>
        <v>0</v>
      </c>
      <c r="AX74" s="137">
        <f t="shared" si="12"/>
        <v>0</v>
      </c>
    </row>
    <row r="75" ht="46.5" customHeight="1" spans="1:50" s="97" customFormat="1" x14ac:dyDescent="0.25">
      <c r="A75" s="100"/>
      <c r="B75" s="100"/>
      <c r="C75" s="100"/>
      <c r="D75" s="100"/>
      <c r="E75" s="100"/>
      <c r="F75" s="100"/>
      <c r="G75" s="103"/>
      <c r="H75" s="186"/>
      <c r="I75" s="195">
        <v>0.51</v>
      </c>
      <c r="J75" s="107">
        <v>0.49</v>
      </c>
      <c r="K75" s="107"/>
      <c r="L75" s="107"/>
      <c r="M75" s="187"/>
      <c r="N75" s="169">
        <f t="shared" si="14"/>
        <v>1</v>
      </c>
      <c r="O75" s="144">
        <v>1</v>
      </c>
      <c r="P75" s="145">
        <v>15</v>
      </c>
      <c r="Q75" s="113">
        <v>15</v>
      </c>
      <c r="R75" s="113"/>
      <c r="S75" s="113"/>
      <c r="T75" s="146"/>
      <c r="U75" s="148">
        <f t="shared" ref="U75:U136" si="17">ROUND(((P75*I75)+(Q75*J75)+(R75*K75)+(S75*L75)+(T75*M75))*O75,2)</f>
        <v>15</v>
      </c>
      <c r="V75" s="149">
        <f t="shared" ref="V75:V136" si="18">IF(U75&gt;=15,15,U75)</f>
        <v>15</v>
      </c>
      <c r="W75" s="189"/>
      <c r="X75" s="199"/>
      <c r="Y75" s="151"/>
      <c r="Z75" s="190"/>
      <c r="AA75" s="153"/>
      <c r="AB75" s="154">
        <f t="shared" ref="AB75:AB136" si="19">ROUND((((W75*I75)+(X75*J75)+(Y75*K75)+(Z75*L75)+(AA75*M75))/$I$2),2)*13</f>
        <v>0</v>
      </c>
      <c r="AC75" s="149">
        <f t="shared" ref="AC75:AC136" si="20">IF(AB75&gt;=13,13,AB75)</f>
        <v>0</v>
      </c>
      <c r="AD75" s="125">
        <v>2</v>
      </c>
      <c r="AE75" s="148">
        <f t="shared" ref="AE75:AE136" si="21">IF((AC75+AD75)&gt;=15,15,(AC75+AD75))</f>
        <v>2</v>
      </c>
      <c r="AF75" s="156"/>
      <c r="AG75" s="156"/>
      <c r="AH75" s="113">
        <f t="shared" ref="AH75:AH136" si="22">IF((V75+AE75+AF75)&gt;=30,30,(V75+AE75+AF75))</f>
        <v>17</v>
      </c>
      <c r="AI75" s="157">
        <v>65</v>
      </c>
      <c r="AJ75" s="113">
        <f t="shared" ref="AJ75:AJ136" si="23">V75+AE75+AF75+AI75+AG75</f>
        <v>82</v>
      </c>
      <c r="AK75" s="113">
        <f t="shared" ref="AK75:AK136" si="24">IF(AH75+AI75+AG75&gt;=95,95,AH75+AI75+AG75)</f>
        <v>82</v>
      </c>
      <c r="AL75" s="158">
        <f t="shared" ref="AL75:AL136" si="25">-((50-((176+(45+(50-AH75)))))/200)</f>
        <v>1.02</v>
      </c>
      <c r="AM75" s="159"/>
      <c r="AN75" s="160">
        <f t="shared" si="16"/>
        <v>1</v>
      </c>
      <c r="AO75" s="160">
        <f t="shared" si="16"/>
        <v>2</v>
      </c>
      <c r="AP75" s="133"/>
      <c r="AQ75" s="134"/>
      <c r="AR75" s="161"/>
      <c r="AS75" s="161"/>
      <c r="AT75" s="161"/>
      <c r="AU75" s="161"/>
      <c r="AV75" s="162"/>
      <c r="AW75" s="137">
        <f t="shared" ref="AW75:AW136" si="26">AR75+AS75+AT75+AU75+AV75</f>
        <v>0</v>
      </c>
      <c r="AX75" s="137">
        <f t="shared" ref="AX75:AX136" si="27">(AR75*I75)+(AS75*J75)+(AT75*K75)+(AU75*L75)+(AV75*M75)</f>
        <v>0</v>
      </c>
    </row>
    <row r="76" ht="46.5" customHeight="1" spans="1:50" s="97" customFormat="1" x14ac:dyDescent="0.25">
      <c r="A76" s="100"/>
      <c r="B76" s="100"/>
      <c r="C76" s="100"/>
      <c r="D76" s="100"/>
      <c r="E76" s="100"/>
      <c r="F76" s="100"/>
      <c r="G76" s="103"/>
      <c r="H76" s="186"/>
      <c r="I76" s="195">
        <v>0.51</v>
      </c>
      <c r="J76" s="107">
        <v>0.49</v>
      </c>
      <c r="K76" s="107"/>
      <c r="L76" s="107"/>
      <c r="M76" s="187"/>
      <c r="N76" s="169">
        <f t="shared" si="14"/>
        <v>1</v>
      </c>
      <c r="O76" s="144">
        <v>1</v>
      </c>
      <c r="P76" s="145">
        <v>15</v>
      </c>
      <c r="Q76" s="113">
        <v>15</v>
      </c>
      <c r="R76" s="113"/>
      <c r="S76" s="113"/>
      <c r="T76" s="146"/>
      <c r="U76" s="148">
        <f t="shared" si="17"/>
        <v>15</v>
      </c>
      <c r="V76" s="149">
        <f t="shared" si="18"/>
        <v>15</v>
      </c>
      <c r="W76" s="189"/>
      <c r="X76" s="199"/>
      <c r="Y76" s="151"/>
      <c r="Z76" s="190"/>
      <c r="AA76" s="153"/>
      <c r="AB76" s="154">
        <f t="shared" si="19"/>
        <v>0</v>
      </c>
      <c r="AC76" s="149">
        <f t="shared" si="20"/>
        <v>0</v>
      </c>
      <c r="AD76" s="125">
        <v>2</v>
      </c>
      <c r="AE76" s="148">
        <f t="shared" si="21"/>
        <v>2</v>
      </c>
      <c r="AF76" s="156"/>
      <c r="AG76" s="156"/>
      <c r="AH76" s="113">
        <f t="shared" si="22"/>
        <v>17</v>
      </c>
      <c r="AI76" s="157">
        <v>65</v>
      </c>
      <c r="AJ76" s="113">
        <f t="shared" si="23"/>
        <v>82</v>
      </c>
      <c r="AK76" s="113">
        <f t="shared" si="24"/>
        <v>82</v>
      </c>
      <c r="AL76" s="158">
        <f t="shared" si="25"/>
        <v>1.02</v>
      </c>
      <c r="AM76" s="159"/>
      <c r="AN76" s="160">
        <f t="shared" si="16"/>
        <v>1</v>
      </c>
      <c r="AO76" s="160">
        <f t="shared" si="16"/>
        <v>2</v>
      </c>
      <c r="AP76" s="133"/>
      <c r="AQ76" s="134"/>
      <c r="AR76" s="161"/>
      <c r="AS76" s="161"/>
      <c r="AT76" s="161"/>
      <c r="AU76" s="161"/>
      <c r="AV76" s="162"/>
      <c r="AW76" s="137">
        <f t="shared" si="26"/>
        <v>0</v>
      </c>
      <c r="AX76" s="137">
        <f t="shared" si="27"/>
        <v>0</v>
      </c>
    </row>
    <row r="77" ht="46.5" customHeight="1" spans="1:50" s="97" customFormat="1" x14ac:dyDescent="0.25">
      <c r="A77" s="100"/>
      <c r="B77" s="100"/>
      <c r="C77" s="100"/>
      <c r="D77" s="100"/>
      <c r="E77" s="100"/>
      <c r="F77" s="100"/>
      <c r="G77" s="103"/>
      <c r="H77" s="186"/>
      <c r="I77" s="195">
        <v>0.51</v>
      </c>
      <c r="J77" s="107">
        <v>0.49</v>
      </c>
      <c r="K77" s="107"/>
      <c r="L77" s="107"/>
      <c r="M77" s="187"/>
      <c r="N77" s="169">
        <f t="shared" si="14"/>
        <v>1</v>
      </c>
      <c r="O77" s="144">
        <v>1</v>
      </c>
      <c r="P77" s="145">
        <v>15</v>
      </c>
      <c r="Q77" s="113">
        <v>15</v>
      </c>
      <c r="R77" s="113"/>
      <c r="S77" s="113"/>
      <c r="T77" s="146"/>
      <c r="U77" s="148">
        <f t="shared" si="17"/>
        <v>15</v>
      </c>
      <c r="V77" s="149">
        <f t="shared" si="18"/>
        <v>15</v>
      </c>
      <c r="W77" s="189"/>
      <c r="X77" s="199"/>
      <c r="Y77" s="151"/>
      <c r="Z77" s="190"/>
      <c r="AA77" s="153"/>
      <c r="AB77" s="154">
        <f t="shared" si="19"/>
        <v>0</v>
      </c>
      <c r="AC77" s="149">
        <f t="shared" si="20"/>
        <v>0</v>
      </c>
      <c r="AD77" s="125">
        <v>2</v>
      </c>
      <c r="AE77" s="148">
        <f t="shared" si="21"/>
        <v>2</v>
      </c>
      <c r="AF77" s="156"/>
      <c r="AG77" s="156"/>
      <c r="AH77" s="113">
        <f t="shared" si="22"/>
        <v>17</v>
      </c>
      <c r="AI77" s="157">
        <v>65</v>
      </c>
      <c r="AJ77" s="113">
        <f t="shared" si="23"/>
        <v>82</v>
      </c>
      <c r="AK77" s="113">
        <f t="shared" si="24"/>
        <v>82</v>
      </c>
      <c r="AL77" s="158">
        <f t="shared" si="25"/>
        <v>1.02</v>
      </c>
      <c r="AM77" s="159"/>
      <c r="AN77" s="160">
        <f t="shared" si="16"/>
        <v>1</v>
      </c>
      <c r="AO77" s="160">
        <f t="shared" si="16"/>
        <v>2</v>
      </c>
      <c r="AP77" s="133"/>
      <c r="AQ77" s="134"/>
      <c r="AR77" s="161"/>
      <c r="AS77" s="161"/>
      <c r="AT77" s="161"/>
      <c r="AU77" s="161"/>
      <c r="AV77" s="162"/>
      <c r="AW77" s="137">
        <f t="shared" si="26"/>
        <v>0</v>
      </c>
      <c r="AX77" s="137">
        <f t="shared" si="27"/>
        <v>0</v>
      </c>
    </row>
    <row r="78" ht="46.5" customHeight="1" spans="1:50" s="97" customFormat="1" x14ac:dyDescent="0.25">
      <c r="A78" s="100"/>
      <c r="B78" s="100"/>
      <c r="C78" s="100"/>
      <c r="D78" s="100"/>
      <c r="E78" s="100"/>
      <c r="F78" s="100"/>
      <c r="G78" s="103"/>
      <c r="H78" s="186"/>
      <c r="I78" s="195">
        <v>0.51</v>
      </c>
      <c r="J78" s="107">
        <v>0.49</v>
      </c>
      <c r="K78" s="107"/>
      <c r="L78" s="107"/>
      <c r="M78" s="187"/>
      <c r="N78" s="169">
        <f t="shared" si="14"/>
        <v>1</v>
      </c>
      <c r="O78" s="144">
        <v>1</v>
      </c>
      <c r="P78" s="145">
        <v>15</v>
      </c>
      <c r="Q78" s="113">
        <v>15</v>
      </c>
      <c r="R78" s="113"/>
      <c r="S78" s="113"/>
      <c r="T78" s="146"/>
      <c r="U78" s="148">
        <f t="shared" si="17"/>
        <v>15</v>
      </c>
      <c r="V78" s="149">
        <f t="shared" si="18"/>
        <v>15</v>
      </c>
      <c r="W78" s="189"/>
      <c r="X78" s="199"/>
      <c r="Y78" s="151"/>
      <c r="Z78" s="190"/>
      <c r="AA78" s="153"/>
      <c r="AB78" s="154">
        <f t="shared" si="19"/>
        <v>0</v>
      </c>
      <c r="AC78" s="149">
        <f t="shared" si="20"/>
        <v>0</v>
      </c>
      <c r="AD78" s="125">
        <v>2</v>
      </c>
      <c r="AE78" s="148">
        <f t="shared" si="21"/>
        <v>2</v>
      </c>
      <c r="AF78" s="156"/>
      <c r="AG78" s="156"/>
      <c r="AH78" s="113">
        <f t="shared" si="22"/>
        <v>17</v>
      </c>
      <c r="AI78" s="157">
        <v>65</v>
      </c>
      <c r="AJ78" s="113">
        <f t="shared" si="23"/>
        <v>82</v>
      </c>
      <c r="AK78" s="113">
        <f t="shared" si="24"/>
        <v>82</v>
      </c>
      <c r="AL78" s="158">
        <f t="shared" si="25"/>
        <v>1.02</v>
      </c>
      <c r="AM78" s="159"/>
      <c r="AN78" s="160">
        <f t="shared" si="16"/>
        <v>1</v>
      </c>
      <c r="AO78" s="160">
        <f t="shared" si="16"/>
        <v>2</v>
      </c>
      <c r="AP78" s="133"/>
      <c r="AQ78" s="134"/>
      <c r="AR78" s="161"/>
      <c r="AS78" s="161"/>
      <c r="AT78" s="161"/>
      <c r="AU78" s="161"/>
      <c r="AV78" s="162"/>
      <c r="AW78" s="137">
        <f t="shared" si="26"/>
        <v>0</v>
      </c>
      <c r="AX78" s="137">
        <f t="shared" si="27"/>
        <v>0</v>
      </c>
    </row>
    <row r="79" ht="46.5" customHeight="1" spans="1:50" s="97" customFormat="1" x14ac:dyDescent="0.25">
      <c r="A79" s="100"/>
      <c r="B79" s="100"/>
      <c r="C79" s="100"/>
      <c r="D79" s="100"/>
      <c r="E79" s="100"/>
      <c r="F79" s="100"/>
      <c r="G79" s="103"/>
      <c r="H79" s="186"/>
      <c r="I79" s="195">
        <v>0.51</v>
      </c>
      <c r="J79" s="107">
        <v>0.49</v>
      </c>
      <c r="K79" s="107"/>
      <c r="L79" s="107"/>
      <c r="M79" s="187"/>
      <c r="N79" s="169">
        <f t="shared" si="14"/>
        <v>1</v>
      </c>
      <c r="O79" s="144">
        <v>1</v>
      </c>
      <c r="P79" s="145">
        <v>15</v>
      </c>
      <c r="Q79" s="113">
        <v>15</v>
      </c>
      <c r="R79" s="113"/>
      <c r="S79" s="113"/>
      <c r="T79" s="146"/>
      <c r="U79" s="148">
        <f t="shared" si="17"/>
        <v>15</v>
      </c>
      <c r="V79" s="149">
        <f t="shared" si="18"/>
        <v>15</v>
      </c>
      <c r="W79" s="189"/>
      <c r="X79" s="199"/>
      <c r="Y79" s="151"/>
      <c r="Z79" s="190"/>
      <c r="AA79" s="153"/>
      <c r="AB79" s="154">
        <f t="shared" si="19"/>
        <v>0</v>
      </c>
      <c r="AC79" s="149">
        <f t="shared" si="20"/>
        <v>0</v>
      </c>
      <c r="AD79" s="125">
        <v>2</v>
      </c>
      <c r="AE79" s="148">
        <f t="shared" si="21"/>
        <v>2</v>
      </c>
      <c r="AF79" s="156"/>
      <c r="AG79" s="156"/>
      <c r="AH79" s="113">
        <f t="shared" si="22"/>
        <v>17</v>
      </c>
      <c r="AI79" s="157">
        <v>65</v>
      </c>
      <c r="AJ79" s="113">
        <f t="shared" si="23"/>
        <v>82</v>
      </c>
      <c r="AK79" s="113">
        <f t="shared" si="24"/>
        <v>82</v>
      </c>
      <c r="AL79" s="158">
        <f t="shared" si="25"/>
        <v>1.02</v>
      </c>
      <c r="AM79" s="159"/>
      <c r="AN79" s="160">
        <f t="shared" si="16"/>
        <v>1</v>
      </c>
      <c r="AO79" s="160">
        <f t="shared" si="16"/>
        <v>2</v>
      </c>
      <c r="AP79" s="133"/>
      <c r="AQ79" s="134"/>
      <c r="AR79" s="161"/>
      <c r="AS79" s="161"/>
      <c r="AT79" s="161"/>
      <c r="AU79" s="161"/>
      <c r="AV79" s="162"/>
      <c r="AW79" s="137">
        <f t="shared" si="26"/>
        <v>0</v>
      </c>
      <c r="AX79" s="137">
        <f t="shared" si="27"/>
        <v>0</v>
      </c>
    </row>
    <row r="80" ht="46.5" customHeight="1" spans="1:50" s="97" customFormat="1" x14ac:dyDescent="0.25">
      <c r="A80" s="100"/>
      <c r="B80" s="100"/>
      <c r="C80" s="100"/>
      <c r="D80" s="100"/>
      <c r="E80" s="100"/>
      <c r="F80" s="100"/>
      <c r="G80" s="103"/>
      <c r="H80" s="186"/>
      <c r="I80" s="195">
        <v>0.51</v>
      </c>
      <c r="J80" s="107">
        <v>0.49</v>
      </c>
      <c r="K80" s="107"/>
      <c r="L80" s="107"/>
      <c r="M80" s="187"/>
      <c r="N80" s="169">
        <f t="shared" si="14"/>
        <v>1</v>
      </c>
      <c r="O80" s="144">
        <v>1</v>
      </c>
      <c r="P80" s="145">
        <v>15</v>
      </c>
      <c r="Q80" s="113">
        <v>15</v>
      </c>
      <c r="R80" s="113"/>
      <c r="S80" s="113"/>
      <c r="T80" s="146"/>
      <c r="U80" s="148">
        <f t="shared" si="17"/>
        <v>15</v>
      </c>
      <c r="V80" s="149">
        <f t="shared" si="18"/>
        <v>15</v>
      </c>
      <c r="W80" s="189"/>
      <c r="X80" s="199"/>
      <c r="Y80" s="151"/>
      <c r="Z80" s="190"/>
      <c r="AA80" s="153"/>
      <c r="AB80" s="154">
        <f t="shared" si="19"/>
        <v>0</v>
      </c>
      <c r="AC80" s="149">
        <f t="shared" si="20"/>
        <v>0</v>
      </c>
      <c r="AD80" s="125">
        <v>2</v>
      </c>
      <c r="AE80" s="148">
        <f t="shared" si="21"/>
        <v>2</v>
      </c>
      <c r="AF80" s="156"/>
      <c r="AG80" s="156"/>
      <c r="AH80" s="113">
        <f t="shared" si="22"/>
        <v>17</v>
      </c>
      <c r="AI80" s="157">
        <v>65</v>
      </c>
      <c r="AJ80" s="113">
        <f t="shared" si="23"/>
        <v>82</v>
      </c>
      <c r="AK80" s="113">
        <f t="shared" si="24"/>
        <v>82</v>
      </c>
      <c r="AL80" s="158">
        <f t="shared" si="25"/>
        <v>1.02</v>
      </c>
      <c r="AM80" s="159"/>
      <c r="AN80" s="160">
        <f t="shared" si="16"/>
        <v>1</v>
      </c>
      <c r="AO80" s="160">
        <f t="shared" si="16"/>
        <v>2</v>
      </c>
      <c r="AP80" s="133"/>
      <c r="AQ80" s="134"/>
      <c r="AR80" s="161"/>
      <c r="AS80" s="161"/>
      <c r="AT80" s="161"/>
      <c r="AU80" s="161"/>
      <c r="AV80" s="162"/>
      <c r="AW80" s="137">
        <f t="shared" si="26"/>
        <v>0</v>
      </c>
      <c r="AX80" s="137">
        <f t="shared" si="27"/>
        <v>0</v>
      </c>
    </row>
    <row r="81" ht="46.5" customHeight="1" spans="1:50" s="97" customFormat="1" x14ac:dyDescent="0.25">
      <c r="A81" s="100"/>
      <c r="B81" s="100"/>
      <c r="C81" s="100"/>
      <c r="D81" s="100"/>
      <c r="E81" s="100"/>
      <c r="F81" s="100"/>
      <c r="G81" s="103"/>
      <c r="H81" s="186"/>
      <c r="I81" s="195">
        <v>0.51</v>
      </c>
      <c r="J81" s="107">
        <v>0.49</v>
      </c>
      <c r="K81" s="107"/>
      <c r="L81" s="107"/>
      <c r="M81" s="187"/>
      <c r="N81" s="169">
        <f t="shared" si="14"/>
        <v>1</v>
      </c>
      <c r="O81" s="144">
        <v>1</v>
      </c>
      <c r="P81" s="145">
        <v>15</v>
      </c>
      <c r="Q81" s="113">
        <v>15</v>
      </c>
      <c r="R81" s="113"/>
      <c r="S81" s="113"/>
      <c r="T81" s="146"/>
      <c r="U81" s="148">
        <f t="shared" si="17"/>
        <v>15</v>
      </c>
      <c r="V81" s="149">
        <f t="shared" si="18"/>
        <v>15</v>
      </c>
      <c r="W81" s="189"/>
      <c r="X81" s="199"/>
      <c r="Y81" s="151"/>
      <c r="Z81" s="190"/>
      <c r="AA81" s="153"/>
      <c r="AB81" s="154">
        <f t="shared" si="19"/>
        <v>0</v>
      </c>
      <c r="AC81" s="149">
        <f t="shared" si="20"/>
        <v>0</v>
      </c>
      <c r="AD81" s="125">
        <v>2</v>
      </c>
      <c r="AE81" s="148">
        <f t="shared" si="21"/>
        <v>2</v>
      </c>
      <c r="AF81" s="156"/>
      <c r="AG81" s="156"/>
      <c r="AH81" s="113">
        <f t="shared" si="22"/>
        <v>17</v>
      </c>
      <c r="AI81" s="157">
        <v>65</v>
      </c>
      <c r="AJ81" s="113">
        <f t="shared" si="23"/>
        <v>82</v>
      </c>
      <c r="AK81" s="113">
        <f t="shared" si="24"/>
        <v>82</v>
      </c>
      <c r="AL81" s="158">
        <f t="shared" si="25"/>
        <v>1.02</v>
      </c>
      <c r="AM81" s="159"/>
      <c r="AN81" s="160">
        <f t="shared" si="16"/>
        <v>1</v>
      </c>
      <c r="AO81" s="160">
        <f t="shared" si="16"/>
        <v>2</v>
      </c>
      <c r="AP81" s="133"/>
      <c r="AQ81" s="134"/>
      <c r="AR81" s="161"/>
      <c r="AS81" s="161"/>
      <c r="AT81" s="161"/>
      <c r="AU81" s="161"/>
      <c r="AV81" s="162"/>
      <c r="AW81" s="137">
        <f t="shared" si="26"/>
        <v>0</v>
      </c>
      <c r="AX81" s="137">
        <f t="shared" si="27"/>
        <v>0</v>
      </c>
    </row>
    <row r="82" ht="46.5" customHeight="1" spans="1:50" s="97" customFormat="1" x14ac:dyDescent="0.25">
      <c r="A82" s="100"/>
      <c r="B82" s="100"/>
      <c r="C82" s="100"/>
      <c r="D82" s="100"/>
      <c r="E82" s="100"/>
      <c r="F82" s="100"/>
      <c r="G82" s="103"/>
      <c r="H82" s="186"/>
      <c r="I82" s="195">
        <v>0.51</v>
      </c>
      <c r="J82" s="107">
        <v>0.49</v>
      </c>
      <c r="K82" s="107"/>
      <c r="L82" s="107"/>
      <c r="M82" s="187"/>
      <c r="N82" s="169">
        <f t="shared" si="14"/>
        <v>1</v>
      </c>
      <c r="O82" s="144">
        <v>1</v>
      </c>
      <c r="P82" s="145">
        <v>15</v>
      </c>
      <c r="Q82" s="113">
        <v>15</v>
      </c>
      <c r="R82" s="113"/>
      <c r="S82" s="113"/>
      <c r="T82" s="146"/>
      <c r="U82" s="148">
        <f t="shared" si="17"/>
        <v>15</v>
      </c>
      <c r="V82" s="149">
        <f t="shared" si="18"/>
        <v>15</v>
      </c>
      <c r="W82" s="189"/>
      <c r="X82" s="199"/>
      <c r="Y82" s="151"/>
      <c r="Z82" s="190"/>
      <c r="AA82" s="153"/>
      <c r="AB82" s="154">
        <f t="shared" si="19"/>
        <v>0</v>
      </c>
      <c r="AC82" s="149">
        <f t="shared" si="20"/>
        <v>0</v>
      </c>
      <c r="AD82" s="125">
        <v>2</v>
      </c>
      <c r="AE82" s="148">
        <f t="shared" si="21"/>
        <v>2</v>
      </c>
      <c r="AF82" s="156"/>
      <c r="AG82" s="156"/>
      <c r="AH82" s="113">
        <f t="shared" si="22"/>
        <v>17</v>
      </c>
      <c r="AI82" s="157">
        <v>65</v>
      </c>
      <c r="AJ82" s="113">
        <f t="shared" si="23"/>
        <v>82</v>
      </c>
      <c r="AK82" s="113">
        <f t="shared" si="24"/>
        <v>82</v>
      </c>
      <c r="AL82" s="158">
        <f t="shared" si="25"/>
        <v>1.02</v>
      </c>
      <c r="AM82" s="159"/>
      <c r="AN82" s="160">
        <f t="shared" si="16"/>
        <v>1</v>
      </c>
      <c r="AO82" s="160">
        <f t="shared" si="16"/>
        <v>2</v>
      </c>
      <c r="AP82" s="133"/>
      <c r="AQ82" s="134"/>
      <c r="AR82" s="161"/>
      <c r="AS82" s="161"/>
      <c r="AT82" s="161"/>
      <c r="AU82" s="161"/>
      <c r="AV82" s="162"/>
      <c r="AW82" s="137">
        <f t="shared" si="26"/>
        <v>0</v>
      </c>
      <c r="AX82" s="137">
        <f t="shared" si="27"/>
        <v>0</v>
      </c>
    </row>
    <row r="83" ht="46.5" customHeight="1" spans="1:50" s="97" customFormat="1" x14ac:dyDescent="0.25">
      <c r="A83" s="100"/>
      <c r="B83" s="100"/>
      <c r="C83" s="100"/>
      <c r="D83" s="100"/>
      <c r="E83" s="100"/>
      <c r="F83" s="100"/>
      <c r="G83" s="103"/>
      <c r="H83" s="186"/>
      <c r="I83" s="195">
        <v>0.51</v>
      </c>
      <c r="J83" s="107">
        <v>0.49</v>
      </c>
      <c r="K83" s="107"/>
      <c r="L83" s="107"/>
      <c r="M83" s="187"/>
      <c r="N83" s="169">
        <f t="shared" si="14"/>
        <v>1</v>
      </c>
      <c r="O83" s="144">
        <v>1</v>
      </c>
      <c r="P83" s="145">
        <v>15</v>
      </c>
      <c r="Q83" s="113">
        <v>15</v>
      </c>
      <c r="R83" s="113"/>
      <c r="S83" s="113"/>
      <c r="T83" s="146"/>
      <c r="U83" s="148">
        <f t="shared" si="17"/>
        <v>15</v>
      </c>
      <c r="V83" s="149">
        <f t="shared" si="18"/>
        <v>15</v>
      </c>
      <c r="W83" s="189"/>
      <c r="X83" s="199"/>
      <c r="Y83" s="151"/>
      <c r="Z83" s="190"/>
      <c r="AA83" s="153"/>
      <c r="AB83" s="154">
        <f t="shared" si="19"/>
        <v>0</v>
      </c>
      <c r="AC83" s="149">
        <f t="shared" si="20"/>
        <v>0</v>
      </c>
      <c r="AD83" s="125">
        <v>2</v>
      </c>
      <c r="AE83" s="148">
        <f t="shared" si="21"/>
        <v>2</v>
      </c>
      <c r="AF83" s="156"/>
      <c r="AG83" s="156"/>
      <c r="AH83" s="113">
        <f t="shared" si="22"/>
        <v>17</v>
      </c>
      <c r="AI83" s="157">
        <v>65</v>
      </c>
      <c r="AJ83" s="113">
        <f t="shared" si="23"/>
        <v>82</v>
      </c>
      <c r="AK83" s="113">
        <f t="shared" si="24"/>
        <v>82</v>
      </c>
      <c r="AL83" s="158">
        <f t="shared" si="25"/>
        <v>1.02</v>
      </c>
      <c r="AM83" s="159"/>
      <c r="AN83" s="160">
        <f t="shared" si="16"/>
        <v>1</v>
      </c>
      <c r="AO83" s="160">
        <f t="shared" si="16"/>
        <v>2</v>
      </c>
      <c r="AP83" s="133"/>
      <c r="AQ83" s="134"/>
      <c r="AR83" s="161"/>
      <c r="AS83" s="161"/>
      <c r="AT83" s="161"/>
      <c r="AU83" s="161"/>
      <c r="AV83" s="162"/>
      <c r="AW83" s="137">
        <f t="shared" si="26"/>
        <v>0</v>
      </c>
      <c r="AX83" s="137">
        <f t="shared" si="27"/>
        <v>0</v>
      </c>
    </row>
    <row r="84" ht="46.5" customHeight="1" spans="1:50" s="97" customFormat="1" x14ac:dyDescent="0.25">
      <c r="A84" s="100"/>
      <c r="B84" s="100"/>
      <c r="C84" s="100"/>
      <c r="D84" s="100"/>
      <c r="E84" s="100"/>
      <c r="F84" s="100"/>
      <c r="G84" s="103"/>
      <c r="H84" s="186"/>
      <c r="I84" s="195">
        <v>0.51</v>
      </c>
      <c r="J84" s="107">
        <v>0.49</v>
      </c>
      <c r="K84" s="107"/>
      <c r="L84" s="107"/>
      <c r="M84" s="187"/>
      <c r="N84" s="169">
        <f t="shared" si="14"/>
        <v>1</v>
      </c>
      <c r="O84" s="144">
        <v>1</v>
      </c>
      <c r="P84" s="145">
        <v>15</v>
      </c>
      <c r="Q84" s="113">
        <v>15</v>
      </c>
      <c r="R84" s="113"/>
      <c r="S84" s="113"/>
      <c r="T84" s="146"/>
      <c r="U84" s="148">
        <f t="shared" si="17"/>
        <v>15</v>
      </c>
      <c r="V84" s="149">
        <f t="shared" si="18"/>
        <v>15</v>
      </c>
      <c r="W84" s="189"/>
      <c r="X84" s="199"/>
      <c r="Y84" s="151"/>
      <c r="Z84" s="190"/>
      <c r="AA84" s="153"/>
      <c r="AB84" s="154">
        <f t="shared" si="19"/>
        <v>0</v>
      </c>
      <c r="AC84" s="149">
        <f t="shared" si="20"/>
        <v>0</v>
      </c>
      <c r="AD84" s="125">
        <v>2</v>
      </c>
      <c r="AE84" s="148">
        <f t="shared" si="21"/>
        <v>2</v>
      </c>
      <c r="AF84" s="156"/>
      <c r="AG84" s="156"/>
      <c r="AH84" s="113">
        <f t="shared" si="22"/>
        <v>17</v>
      </c>
      <c r="AI84" s="157">
        <v>65</v>
      </c>
      <c r="AJ84" s="113">
        <f t="shared" si="23"/>
        <v>82</v>
      </c>
      <c r="AK84" s="113">
        <f t="shared" si="24"/>
        <v>82</v>
      </c>
      <c r="AL84" s="158">
        <f t="shared" si="25"/>
        <v>1.02</v>
      </c>
      <c r="AM84" s="159"/>
      <c r="AN84" s="160">
        <f t="shared" si="16"/>
        <v>1</v>
      </c>
      <c r="AO84" s="160">
        <f t="shared" si="16"/>
        <v>2</v>
      </c>
      <c r="AP84" s="133"/>
      <c r="AQ84" s="134"/>
      <c r="AR84" s="161"/>
      <c r="AS84" s="161"/>
      <c r="AT84" s="161"/>
      <c r="AU84" s="161"/>
      <c r="AV84" s="162"/>
      <c r="AW84" s="137">
        <f t="shared" si="26"/>
        <v>0</v>
      </c>
      <c r="AX84" s="137">
        <f t="shared" si="27"/>
        <v>0</v>
      </c>
    </row>
    <row r="85" ht="46.5" customHeight="1" spans="1:50" s="97" customFormat="1" x14ac:dyDescent="0.25">
      <c r="A85" s="100"/>
      <c r="B85" s="100"/>
      <c r="C85" s="100"/>
      <c r="D85" s="100"/>
      <c r="E85" s="100"/>
      <c r="F85" s="100"/>
      <c r="G85" s="103"/>
      <c r="H85" s="186"/>
      <c r="I85" s="195">
        <v>0.51</v>
      </c>
      <c r="J85" s="107">
        <v>0.49</v>
      </c>
      <c r="K85" s="107"/>
      <c r="L85" s="107"/>
      <c r="M85" s="187"/>
      <c r="N85" s="169">
        <f t="shared" si="14"/>
        <v>1</v>
      </c>
      <c r="O85" s="144">
        <v>1</v>
      </c>
      <c r="P85" s="145">
        <v>15</v>
      </c>
      <c r="Q85" s="113">
        <v>15</v>
      </c>
      <c r="R85" s="113"/>
      <c r="S85" s="113"/>
      <c r="T85" s="146"/>
      <c r="U85" s="148">
        <f t="shared" si="17"/>
        <v>15</v>
      </c>
      <c r="V85" s="149">
        <f t="shared" si="18"/>
        <v>15</v>
      </c>
      <c r="W85" s="189"/>
      <c r="X85" s="199"/>
      <c r="Y85" s="151"/>
      <c r="Z85" s="190"/>
      <c r="AA85" s="153"/>
      <c r="AB85" s="154">
        <f t="shared" si="19"/>
        <v>0</v>
      </c>
      <c r="AC85" s="149">
        <f t="shared" si="20"/>
        <v>0</v>
      </c>
      <c r="AD85" s="125">
        <v>2</v>
      </c>
      <c r="AE85" s="148">
        <f t="shared" si="21"/>
        <v>2</v>
      </c>
      <c r="AF85" s="156"/>
      <c r="AG85" s="156"/>
      <c r="AH85" s="113">
        <f t="shared" si="22"/>
        <v>17</v>
      </c>
      <c r="AI85" s="157">
        <v>65</v>
      </c>
      <c r="AJ85" s="113">
        <f t="shared" si="23"/>
        <v>82</v>
      </c>
      <c r="AK85" s="113">
        <f t="shared" si="24"/>
        <v>82</v>
      </c>
      <c r="AL85" s="158">
        <f t="shared" si="25"/>
        <v>1.02</v>
      </c>
      <c r="AM85" s="159"/>
      <c r="AN85" s="160">
        <f t="shared" si="16"/>
        <v>1</v>
      </c>
      <c r="AO85" s="160">
        <f t="shared" si="16"/>
        <v>2</v>
      </c>
      <c r="AP85" s="133"/>
      <c r="AQ85" s="134"/>
      <c r="AR85" s="161"/>
      <c r="AS85" s="161"/>
      <c r="AT85" s="161"/>
      <c r="AU85" s="161"/>
      <c r="AV85" s="162"/>
      <c r="AW85" s="137">
        <f t="shared" si="26"/>
        <v>0</v>
      </c>
      <c r="AX85" s="137">
        <f t="shared" si="27"/>
        <v>0</v>
      </c>
    </row>
    <row r="86" ht="46.5" customHeight="1" spans="1:50" s="97" customFormat="1" x14ac:dyDescent="0.25">
      <c r="A86" s="100"/>
      <c r="B86" s="100"/>
      <c r="C86" s="100"/>
      <c r="D86" s="100"/>
      <c r="E86" s="100"/>
      <c r="F86" s="100"/>
      <c r="G86" s="103"/>
      <c r="H86" s="186"/>
      <c r="I86" s="195">
        <v>0.51</v>
      </c>
      <c r="J86" s="107">
        <v>0.49</v>
      </c>
      <c r="K86" s="107"/>
      <c r="L86" s="107"/>
      <c r="M86" s="187"/>
      <c r="N86" s="169">
        <f t="shared" si="14"/>
        <v>1</v>
      </c>
      <c r="O86" s="144">
        <v>1</v>
      </c>
      <c r="P86" s="145">
        <v>15</v>
      </c>
      <c r="Q86" s="113">
        <v>15</v>
      </c>
      <c r="R86" s="113"/>
      <c r="S86" s="113"/>
      <c r="T86" s="146"/>
      <c r="U86" s="148">
        <f t="shared" si="17"/>
        <v>15</v>
      </c>
      <c r="V86" s="149">
        <f t="shared" si="18"/>
        <v>15</v>
      </c>
      <c r="W86" s="189"/>
      <c r="X86" s="199"/>
      <c r="Y86" s="151"/>
      <c r="Z86" s="190"/>
      <c r="AA86" s="153"/>
      <c r="AB86" s="154">
        <f t="shared" si="19"/>
        <v>0</v>
      </c>
      <c r="AC86" s="149">
        <f t="shared" si="20"/>
        <v>0</v>
      </c>
      <c r="AD86" s="125">
        <v>2</v>
      </c>
      <c r="AE86" s="148">
        <f t="shared" si="21"/>
        <v>2</v>
      </c>
      <c r="AF86" s="156"/>
      <c r="AG86" s="156"/>
      <c r="AH86" s="113">
        <f t="shared" si="22"/>
        <v>17</v>
      </c>
      <c r="AI86" s="157">
        <v>65</v>
      </c>
      <c r="AJ86" s="113">
        <f t="shared" si="23"/>
        <v>82</v>
      </c>
      <c r="AK86" s="113">
        <f t="shared" si="24"/>
        <v>82</v>
      </c>
      <c r="AL86" s="158">
        <f t="shared" si="25"/>
        <v>1.02</v>
      </c>
      <c r="AM86" s="159"/>
      <c r="AN86" s="160">
        <f t="shared" si="16"/>
        <v>1</v>
      </c>
      <c r="AO86" s="160">
        <f t="shared" si="16"/>
        <v>2</v>
      </c>
      <c r="AP86" s="133"/>
      <c r="AQ86" s="134"/>
      <c r="AR86" s="161"/>
      <c r="AS86" s="161"/>
      <c r="AT86" s="161"/>
      <c r="AU86" s="161"/>
      <c r="AV86" s="162"/>
      <c r="AW86" s="137">
        <f t="shared" si="26"/>
        <v>0</v>
      </c>
      <c r="AX86" s="137">
        <f t="shared" si="27"/>
        <v>0</v>
      </c>
    </row>
    <row r="87" ht="46.5" customHeight="1" spans="1:50" s="97" customFormat="1" x14ac:dyDescent="0.25">
      <c r="A87" s="100"/>
      <c r="B87" s="100"/>
      <c r="C87" s="100"/>
      <c r="D87" s="100"/>
      <c r="E87" s="100"/>
      <c r="F87" s="100"/>
      <c r="G87" s="103"/>
      <c r="H87" s="186"/>
      <c r="I87" s="195">
        <v>0.51</v>
      </c>
      <c r="J87" s="107">
        <v>0.49</v>
      </c>
      <c r="K87" s="107"/>
      <c r="L87" s="107"/>
      <c r="M87" s="187"/>
      <c r="N87" s="169">
        <f t="shared" si="14"/>
        <v>1</v>
      </c>
      <c r="O87" s="144">
        <v>1</v>
      </c>
      <c r="P87" s="145">
        <v>15</v>
      </c>
      <c r="Q87" s="113">
        <v>15</v>
      </c>
      <c r="R87" s="113"/>
      <c r="S87" s="113"/>
      <c r="T87" s="146"/>
      <c r="U87" s="148">
        <f t="shared" si="17"/>
        <v>15</v>
      </c>
      <c r="V87" s="149">
        <f t="shared" si="18"/>
        <v>15</v>
      </c>
      <c r="W87" s="189"/>
      <c r="X87" s="199"/>
      <c r="Y87" s="151"/>
      <c r="Z87" s="190"/>
      <c r="AA87" s="153"/>
      <c r="AB87" s="154">
        <f t="shared" si="19"/>
        <v>0</v>
      </c>
      <c r="AC87" s="149">
        <f t="shared" si="20"/>
        <v>0</v>
      </c>
      <c r="AD87" s="125">
        <v>2</v>
      </c>
      <c r="AE87" s="148">
        <f t="shared" si="21"/>
        <v>2</v>
      </c>
      <c r="AF87" s="156"/>
      <c r="AG87" s="156"/>
      <c r="AH87" s="113">
        <f t="shared" si="22"/>
        <v>17</v>
      </c>
      <c r="AI87" s="157">
        <v>65</v>
      </c>
      <c r="AJ87" s="113">
        <f t="shared" si="23"/>
        <v>82</v>
      </c>
      <c r="AK87" s="113">
        <f t="shared" si="24"/>
        <v>82</v>
      </c>
      <c r="AL87" s="158">
        <f t="shared" si="25"/>
        <v>1.02</v>
      </c>
      <c r="AM87" s="159"/>
      <c r="AN87" s="160">
        <f t="shared" si="16"/>
        <v>1</v>
      </c>
      <c r="AO87" s="160">
        <f t="shared" si="16"/>
        <v>2</v>
      </c>
      <c r="AP87" s="133"/>
      <c r="AQ87" s="134"/>
      <c r="AR87" s="161"/>
      <c r="AS87" s="161"/>
      <c r="AT87" s="161"/>
      <c r="AU87" s="161"/>
      <c r="AV87" s="162"/>
      <c r="AW87" s="137">
        <f t="shared" si="26"/>
        <v>0</v>
      </c>
      <c r="AX87" s="137">
        <f t="shared" si="27"/>
        <v>0</v>
      </c>
    </row>
    <row r="88" ht="46.5" customHeight="1" spans="1:50" s="97" customFormat="1" x14ac:dyDescent="0.25">
      <c r="A88" s="100"/>
      <c r="B88" s="100"/>
      <c r="C88" s="100"/>
      <c r="D88" s="100"/>
      <c r="E88" s="100"/>
      <c r="F88" s="100"/>
      <c r="G88" s="103"/>
      <c r="H88" s="186"/>
      <c r="I88" s="195">
        <v>0.51</v>
      </c>
      <c r="J88" s="107">
        <v>0.49</v>
      </c>
      <c r="K88" s="107"/>
      <c r="L88" s="107"/>
      <c r="M88" s="187"/>
      <c r="N88" s="169">
        <f t="shared" si="14"/>
        <v>1</v>
      </c>
      <c r="O88" s="144">
        <v>1</v>
      </c>
      <c r="P88" s="145">
        <v>15</v>
      </c>
      <c r="Q88" s="113">
        <v>15</v>
      </c>
      <c r="R88" s="113"/>
      <c r="S88" s="113"/>
      <c r="T88" s="146"/>
      <c r="U88" s="148">
        <f t="shared" si="17"/>
        <v>15</v>
      </c>
      <c r="V88" s="149">
        <f t="shared" si="18"/>
        <v>15</v>
      </c>
      <c r="W88" s="189"/>
      <c r="X88" s="199"/>
      <c r="Y88" s="151"/>
      <c r="Z88" s="190"/>
      <c r="AA88" s="153"/>
      <c r="AB88" s="154">
        <f t="shared" si="19"/>
        <v>0</v>
      </c>
      <c r="AC88" s="149">
        <f t="shared" si="20"/>
        <v>0</v>
      </c>
      <c r="AD88" s="125">
        <v>2</v>
      </c>
      <c r="AE88" s="148">
        <f t="shared" si="21"/>
        <v>2</v>
      </c>
      <c r="AF88" s="156"/>
      <c r="AG88" s="156"/>
      <c r="AH88" s="113">
        <f t="shared" si="22"/>
        <v>17</v>
      </c>
      <c r="AI88" s="157">
        <v>65</v>
      </c>
      <c r="AJ88" s="113">
        <f t="shared" si="23"/>
        <v>82</v>
      </c>
      <c r="AK88" s="113">
        <f t="shared" si="24"/>
        <v>82</v>
      </c>
      <c r="AL88" s="158">
        <f t="shared" si="25"/>
        <v>1.02</v>
      </c>
      <c r="AM88" s="159"/>
      <c r="AN88" s="160">
        <f t="shared" si="16"/>
        <v>1</v>
      </c>
      <c r="AO88" s="160">
        <f t="shared" si="16"/>
        <v>2</v>
      </c>
      <c r="AP88" s="133"/>
      <c r="AQ88" s="134"/>
      <c r="AR88" s="161"/>
      <c r="AS88" s="161"/>
      <c r="AT88" s="161"/>
      <c r="AU88" s="161"/>
      <c r="AV88" s="162"/>
      <c r="AW88" s="137">
        <f t="shared" si="26"/>
        <v>0</v>
      </c>
      <c r="AX88" s="137">
        <f t="shared" si="27"/>
        <v>0</v>
      </c>
    </row>
    <row r="89" ht="46.5" customHeight="1" spans="1:50" s="97" customFormat="1" x14ac:dyDescent="0.25">
      <c r="A89" s="100"/>
      <c r="B89" s="100"/>
      <c r="C89" s="100"/>
      <c r="D89" s="100"/>
      <c r="E89" s="100"/>
      <c r="F89" s="100"/>
      <c r="G89" s="103"/>
      <c r="H89" s="186"/>
      <c r="I89" s="195">
        <v>0.51</v>
      </c>
      <c r="J89" s="107">
        <v>0.49</v>
      </c>
      <c r="K89" s="107"/>
      <c r="L89" s="107"/>
      <c r="M89" s="187"/>
      <c r="N89" s="169">
        <f t="shared" si="14"/>
        <v>1</v>
      </c>
      <c r="O89" s="144">
        <v>1</v>
      </c>
      <c r="P89" s="145">
        <v>15</v>
      </c>
      <c r="Q89" s="113">
        <v>15</v>
      </c>
      <c r="R89" s="113"/>
      <c r="S89" s="113"/>
      <c r="T89" s="146"/>
      <c r="U89" s="148">
        <f t="shared" si="17"/>
        <v>15</v>
      </c>
      <c r="V89" s="149">
        <f t="shared" si="18"/>
        <v>15</v>
      </c>
      <c r="W89" s="189"/>
      <c r="X89" s="199"/>
      <c r="Y89" s="151"/>
      <c r="Z89" s="190"/>
      <c r="AA89" s="153"/>
      <c r="AB89" s="154">
        <f t="shared" si="19"/>
        <v>0</v>
      </c>
      <c r="AC89" s="149">
        <f t="shared" si="20"/>
        <v>0</v>
      </c>
      <c r="AD89" s="125">
        <v>2</v>
      </c>
      <c r="AE89" s="148">
        <f t="shared" si="21"/>
        <v>2</v>
      </c>
      <c r="AF89" s="156"/>
      <c r="AG89" s="156"/>
      <c r="AH89" s="113">
        <f t="shared" si="22"/>
        <v>17</v>
      </c>
      <c r="AI89" s="157">
        <v>65</v>
      </c>
      <c r="AJ89" s="113">
        <f t="shared" si="23"/>
        <v>82</v>
      </c>
      <c r="AK89" s="113">
        <f t="shared" si="24"/>
        <v>82</v>
      </c>
      <c r="AL89" s="158">
        <f t="shared" si="25"/>
        <v>1.02</v>
      </c>
      <c r="AM89" s="159"/>
      <c r="AN89" s="160">
        <f t="shared" si="16"/>
        <v>1</v>
      </c>
      <c r="AO89" s="160">
        <f t="shared" si="16"/>
        <v>2</v>
      </c>
      <c r="AP89" s="133"/>
      <c r="AQ89" s="134"/>
      <c r="AR89" s="161"/>
      <c r="AS89" s="161"/>
      <c r="AT89" s="161"/>
      <c r="AU89" s="161"/>
      <c r="AV89" s="162"/>
      <c r="AW89" s="137">
        <f t="shared" si="26"/>
        <v>0</v>
      </c>
      <c r="AX89" s="137">
        <f t="shared" si="27"/>
        <v>0</v>
      </c>
    </row>
    <row r="90" ht="46.5" customHeight="1" spans="1:50" s="97" customFormat="1" x14ac:dyDescent="0.25">
      <c r="A90" s="100"/>
      <c r="B90" s="100"/>
      <c r="C90" s="100"/>
      <c r="D90" s="100"/>
      <c r="E90" s="100"/>
      <c r="F90" s="100"/>
      <c r="G90" s="103"/>
      <c r="H90" s="186"/>
      <c r="I90" s="195">
        <v>0.51</v>
      </c>
      <c r="J90" s="107">
        <v>0.49</v>
      </c>
      <c r="K90" s="107"/>
      <c r="L90" s="107"/>
      <c r="M90" s="187"/>
      <c r="N90" s="169">
        <f t="shared" si="14"/>
        <v>1</v>
      </c>
      <c r="O90" s="144">
        <v>1</v>
      </c>
      <c r="P90" s="145">
        <v>15</v>
      </c>
      <c r="Q90" s="113">
        <v>15</v>
      </c>
      <c r="R90" s="113"/>
      <c r="S90" s="113"/>
      <c r="T90" s="146"/>
      <c r="U90" s="148">
        <f t="shared" si="17"/>
        <v>15</v>
      </c>
      <c r="V90" s="149">
        <f t="shared" si="18"/>
        <v>15</v>
      </c>
      <c r="W90" s="189"/>
      <c r="X90" s="199"/>
      <c r="Y90" s="151"/>
      <c r="Z90" s="190"/>
      <c r="AA90" s="153"/>
      <c r="AB90" s="154">
        <f t="shared" si="19"/>
        <v>0</v>
      </c>
      <c r="AC90" s="149">
        <f t="shared" si="20"/>
        <v>0</v>
      </c>
      <c r="AD90" s="125">
        <v>2</v>
      </c>
      <c r="AE90" s="148">
        <f t="shared" si="21"/>
        <v>2</v>
      </c>
      <c r="AF90" s="156"/>
      <c r="AG90" s="156"/>
      <c r="AH90" s="113">
        <f t="shared" si="22"/>
        <v>17</v>
      </c>
      <c r="AI90" s="157">
        <v>65</v>
      </c>
      <c r="AJ90" s="113">
        <f t="shared" si="23"/>
        <v>82</v>
      </c>
      <c r="AK90" s="113">
        <f t="shared" si="24"/>
        <v>82</v>
      </c>
      <c r="AL90" s="158">
        <f t="shared" si="25"/>
        <v>1.02</v>
      </c>
      <c r="AM90" s="159"/>
      <c r="AN90" s="160">
        <f t="shared" si="16"/>
        <v>1</v>
      </c>
      <c r="AO90" s="160">
        <f t="shared" si="16"/>
        <v>2</v>
      </c>
      <c r="AP90" s="133"/>
      <c r="AQ90" s="134"/>
      <c r="AR90" s="161"/>
      <c r="AS90" s="161"/>
      <c r="AT90" s="161"/>
      <c r="AU90" s="161"/>
      <c r="AV90" s="162"/>
      <c r="AW90" s="137">
        <f t="shared" si="26"/>
        <v>0</v>
      </c>
      <c r="AX90" s="137">
        <f t="shared" si="27"/>
        <v>0</v>
      </c>
    </row>
    <row r="91" ht="46.5" customHeight="1" spans="1:50" s="97" customFormat="1" x14ac:dyDescent="0.25">
      <c r="A91" s="100"/>
      <c r="B91" s="100"/>
      <c r="C91" s="100"/>
      <c r="D91" s="100"/>
      <c r="E91" s="100"/>
      <c r="F91" s="100"/>
      <c r="G91" s="103"/>
      <c r="H91" s="186"/>
      <c r="I91" s="195">
        <v>0.51</v>
      </c>
      <c r="J91" s="107">
        <v>0.49</v>
      </c>
      <c r="K91" s="107"/>
      <c r="L91" s="107"/>
      <c r="M91" s="187"/>
      <c r="N91" s="169">
        <f t="shared" si="14"/>
        <v>1</v>
      </c>
      <c r="O91" s="144">
        <v>1</v>
      </c>
      <c r="P91" s="145">
        <v>15</v>
      </c>
      <c r="Q91" s="113">
        <v>15</v>
      </c>
      <c r="R91" s="113"/>
      <c r="S91" s="113"/>
      <c r="T91" s="146"/>
      <c r="U91" s="148">
        <f t="shared" si="17"/>
        <v>15</v>
      </c>
      <c r="V91" s="149">
        <f t="shared" si="18"/>
        <v>15</v>
      </c>
      <c r="W91" s="189"/>
      <c r="X91" s="199"/>
      <c r="Y91" s="151"/>
      <c r="Z91" s="190"/>
      <c r="AA91" s="153"/>
      <c r="AB91" s="154">
        <f t="shared" si="19"/>
        <v>0</v>
      </c>
      <c r="AC91" s="149">
        <f t="shared" si="20"/>
        <v>0</v>
      </c>
      <c r="AD91" s="125">
        <v>2</v>
      </c>
      <c r="AE91" s="148">
        <f t="shared" si="21"/>
        <v>2</v>
      </c>
      <c r="AF91" s="156"/>
      <c r="AG91" s="156"/>
      <c r="AH91" s="113">
        <f t="shared" si="22"/>
        <v>17</v>
      </c>
      <c r="AI91" s="157">
        <v>65</v>
      </c>
      <c r="AJ91" s="113">
        <f t="shared" si="23"/>
        <v>82</v>
      </c>
      <c r="AK91" s="113">
        <f t="shared" si="24"/>
        <v>82</v>
      </c>
      <c r="AL91" s="158">
        <f t="shared" si="25"/>
        <v>1.02</v>
      </c>
      <c r="AM91" s="159"/>
      <c r="AN91" s="160">
        <f t="shared" ref="AN91:AO110" si="28">100%+AM91</f>
        <v>1</v>
      </c>
      <c r="AO91" s="160">
        <f t="shared" si="28"/>
        <v>2</v>
      </c>
      <c r="AP91" s="133"/>
      <c r="AQ91" s="134"/>
      <c r="AR91" s="161"/>
      <c r="AS91" s="161"/>
      <c r="AT91" s="161"/>
      <c r="AU91" s="161"/>
      <c r="AV91" s="162"/>
      <c r="AW91" s="137">
        <f t="shared" si="26"/>
        <v>0</v>
      </c>
      <c r="AX91" s="137">
        <f t="shared" si="27"/>
        <v>0</v>
      </c>
    </row>
    <row r="92" ht="46.5" customHeight="1" spans="1:50" s="97" customFormat="1" x14ac:dyDescent="0.25">
      <c r="A92" s="100"/>
      <c r="B92" s="100"/>
      <c r="C92" s="100"/>
      <c r="D92" s="100"/>
      <c r="E92" s="100"/>
      <c r="F92" s="100"/>
      <c r="G92" s="103"/>
      <c r="H92" s="186"/>
      <c r="I92" s="195">
        <v>0.51</v>
      </c>
      <c r="J92" s="107">
        <v>0.49</v>
      </c>
      <c r="K92" s="107"/>
      <c r="L92" s="107"/>
      <c r="M92" s="187"/>
      <c r="N92" s="169">
        <f t="shared" si="14"/>
        <v>1</v>
      </c>
      <c r="O92" s="144">
        <v>1</v>
      </c>
      <c r="P92" s="145">
        <v>15</v>
      </c>
      <c r="Q92" s="113">
        <v>15</v>
      </c>
      <c r="R92" s="113"/>
      <c r="S92" s="113"/>
      <c r="T92" s="146"/>
      <c r="U92" s="148">
        <f t="shared" si="17"/>
        <v>15</v>
      </c>
      <c r="V92" s="149">
        <f t="shared" si="18"/>
        <v>15</v>
      </c>
      <c r="W92" s="189"/>
      <c r="X92" s="199"/>
      <c r="Y92" s="151"/>
      <c r="Z92" s="190"/>
      <c r="AA92" s="153"/>
      <c r="AB92" s="154">
        <f t="shared" si="19"/>
        <v>0</v>
      </c>
      <c r="AC92" s="149">
        <f t="shared" si="20"/>
        <v>0</v>
      </c>
      <c r="AD92" s="125">
        <v>2</v>
      </c>
      <c r="AE92" s="148">
        <f t="shared" si="21"/>
        <v>2</v>
      </c>
      <c r="AF92" s="156"/>
      <c r="AG92" s="156"/>
      <c r="AH92" s="113">
        <f t="shared" si="22"/>
        <v>17</v>
      </c>
      <c r="AI92" s="157">
        <v>65</v>
      </c>
      <c r="AJ92" s="113">
        <f t="shared" si="23"/>
        <v>82</v>
      </c>
      <c r="AK92" s="113">
        <f t="shared" si="24"/>
        <v>82</v>
      </c>
      <c r="AL92" s="158">
        <f t="shared" si="25"/>
        <v>1.02</v>
      </c>
      <c r="AM92" s="159"/>
      <c r="AN92" s="160">
        <f t="shared" si="28"/>
        <v>1</v>
      </c>
      <c r="AO92" s="160">
        <f t="shared" si="28"/>
        <v>2</v>
      </c>
      <c r="AP92" s="133"/>
      <c r="AQ92" s="134"/>
      <c r="AR92" s="161"/>
      <c r="AS92" s="161"/>
      <c r="AT92" s="161"/>
      <c r="AU92" s="161"/>
      <c r="AV92" s="162"/>
      <c r="AW92" s="137">
        <f t="shared" si="26"/>
        <v>0</v>
      </c>
      <c r="AX92" s="137">
        <f t="shared" si="27"/>
        <v>0</v>
      </c>
    </row>
    <row r="93" ht="46.5" customHeight="1" spans="1:50" s="97" customFormat="1" x14ac:dyDescent="0.25">
      <c r="A93" s="100"/>
      <c r="B93" s="100"/>
      <c r="C93" s="100"/>
      <c r="D93" s="100"/>
      <c r="E93" s="100"/>
      <c r="F93" s="100"/>
      <c r="G93" s="103"/>
      <c r="H93" s="186"/>
      <c r="I93" s="195">
        <v>0.51</v>
      </c>
      <c r="J93" s="107">
        <v>0.49</v>
      </c>
      <c r="K93" s="107"/>
      <c r="L93" s="107"/>
      <c r="M93" s="187"/>
      <c r="N93" s="169">
        <f t="shared" si="14"/>
        <v>1</v>
      </c>
      <c r="O93" s="144">
        <v>1</v>
      </c>
      <c r="P93" s="145">
        <v>15</v>
      </c>
      <c r="Q93" s="113">
        <v>15</v>
      </c>
      <c r="R93" s="113"/>
      <c r="S93" s="113"/>
      <c r="T93" s="146"/>
      <c r="U93" s="148">
        <f t="shared" si="17"/>
        <v>15</v>
      </c>
      <c r="V93" s="149">
        <f t="shared" si="18"/>
        <v>15</v>
      </c>
      <c r="W93" s="189"/>
      <c r="X93" s="199"/>
      <c r="Y93" s="151"/>
      <c r="Z93" s="190"/>
      <c r="AA93" s="153"/>
      <c r="AB93" s="154">
        <f t="shared" si="19"/>
        <v>0</v>
      </c>
      <c r="AC93" s="149">
        <f t="shared" si="20"/>
        <v>0</v>
      </c>
      <c r="AD93" s="125">
        <v>2</v>
      </c>
      <c r="AE93" s="148">
        <f t="shared" si="21"/>
        <v>2</v>
      </c>
      <c r="AF93" s="156"/>
      <c r="AG93" s="156"/>
      <c r="AH93" s="113">
        <f t="shared" si="22"/>
        <v>17</v>
      </c>
      <c r="AI93" s="157">
        <v>65</v>
      </c>
      <c r="AJ93" s="113">
        <f t="shared" si="23"/>
        <v>82</v>
      </c>
      <c r="AK93" s="113">
        <f t="shared" si="24"/>
        <v>82</v>
      </c>
      <c r="AL93" s="158">
        <f t="shared" si="25"/>
        <v>1.02</v>
      </c>
      <c r="AM93" s="159"/>
      <c r="AN93" s="160">
        <f t="shared" si="28"/>
        <v>1</v>
      </c>
      <c r="AO93" s="160">
        <f t="shared" si="28"/>
        <v>2</v>
      </c>
      <c r="AP93" s="133"/>
      <c r="AQ93" s="134"/>
      <c r="AR93" s="161"/>
      <c r="AS93" s="161"/>
      <c r="AT93" s="161"/>
      <c r="AU93" s="161"/>
      <c r="AV93" s="162"/>
      <c r="AW93" s="137">
        <f t="shared" si="26"/>
        <v>0</v>
      </c>
      <c r="AX93" s="137">
        <f t="shared" si="27"/>
        <v>0</v>
      </c>
    </row>
    <row r="94" ht="46.5" customHeight="1" spans="1:50" s="97" customFormat="1" x14ac:dyDescent="0.25">
      <c r="A94" s="100"/>
      <c r="B94" s="100"/>
      <c r="C94" s="100"/>
      <c r="D94" s="100"/>
      <c r="E94" s="100"/>
      <c r="F94" s="100"/>
      <c r="G94" s="103"/>
      <c r="H94" s="186"/>
      <c r="I94" s="195">
        <v>0.51</v>
      </c>
      <c r="J94" s="107">
        <v>0.49</v>
      </c>
      <c r="K94" s="107"/>
      <c r="L94" s="107"/>
      <c r="M94" s="187"/>
      <c r="N94" s="169">
        <f t="shared" si="14"/>
        <v>1</v>
      </c>
      <c r="O94" s="144">
        <v>1</v>
      </c>
      <c r="P94" s="145">
        <v>15</v>
      </c>
      <c r="Q94" s="113">
        <v>15</v>
      </c>
      <c r="R94" s="113"/>
      <c r="S94" s="113"/>
      <c r="T94" s="146"/>
      <c r="U94" s="148">
        <f t="shared" si="17"/>
        <v>15</v>
      </c>
      <c r="V94" s="149">
        <f t="shared" si="18"/>
        <v>15</v>
      </c>
      <c r="W94" s="189"/>
      <c r="X94" s="199"/>
      <c r="Y94" s="151"/>
      <c r="Z94" s="190"/>
      <c r="AA94" s="153"/>
      <c r="AB94" s="154">
        <f t="shared" si="19"/>
        <v>0</v>
      </c>
      <c r="AC94" s="149">
        <f t="shared" si="20"/>
        <v>0</v>
      </c>
      <c r="AD94" s="125">
        <v>2</v>
      </c>
      <c r="AE94" s="148">
        <f t="shared" si="21"/>
        <v>2</v>
      </c>
      <c r="AF94" s="156"/>
      <c r="AG94" s="156"/>
      <c r="AH94" s="113">
        <f t="shared" si="22"/>
        <v>17</v>
      </c>
      <c r="AI94" s="157">
        <v>65</v>
      </c>
      <c r="AJ94" s="113">
        <f t="shared" si="23"/>
        <v>82</v>
      </c>
      <c r="AK94" s="113">
        <f t="shared" si="24"/>
        <v>82</v>
      </c>
      <c r="AL94" s="158">
        <f t="shared" si="25"/>
        <v>1.02</v>
      </c>
      <c r="AM94" s="159"/>
      <c r="AN94" s="160">
        <f t="shared" si="28"/>
        <v>1</v>
      </c>
      <c r="AO94" s="160">
        <f t="shared" si="28"/>
        <v>2</v>
      </c>
      <c r="AP94" s="133"/>
      <c r="AQ94" s="134"/>
      <c r="AR94" s="161"/>
      <c r="AS94" s="161"/>
      <c r="AT94" s="161"/>
      <c r="AU94" s="161"/>
      <c r="AV94" s="162"/>
      <c r="AW94" s="137">
        <f t="shared" si="26"/>
        <v>0</v>
      </c>
      <c r="AX94" s="137">
        <f t="shared" si="27"/>
        <v>0</v>
      </c>
    </row>
    <row r="95" ht="46.5" customHeight="1" spans="1:50" s="97" customFormat="1" x14ac:dyDescent="0.25">
      <c r="A95" s="100"/>
      <c r="B95" s="100"/>
      <c r="C95" s="100"/>
      <c r="D95" s="100"/>
      <c r="E95" s="100"/>
      <c r="F95" s="100"/>
      <c r="G95" s="103"/>
      <c r="H95" s="186"/>
      <c r="I95" s="195">
        <v>0.51</v>
      </c>
      <c r="J95" s="107">
        <v>0.49</v>
      </c>
      <c r="K95" s="107"/>
      <c r="L95" s="107"/>
      <c r="M95" s="187"/>
      <c r="N95" s="169">
        <f t="shared" si="14"/>
        <v>1</v>
      </c>
      <c r="O95" s="144">
        <v>1</v>
      </c>
      <c r="P95" s="145">
        <v>15</v>
      </c>
      <c r="Q95" s="113">
        <v>15</v>
      </c>
      <c r="R95" s="113"/>
      <c r="S95" s="113"/>
      <c r="T95" s="146"/>
      <c r="U95" s="148">
        <f t="shared" si="17"/>
        <v>15</v>
      </c>
      <c r="V95" s="149">
        <f t="shared" si="18"/>
        <v>15</v>
      </c>
      <c r="W95" s="189"/>
      <c r="X95" s="199"/>
      <c r="Y95" s="151"/>
      <c r="Z95" s="190"/>
      <c r="AA95" s="153"/>
      <c r="AB95" s="154">
        <f t="shared" si="19"/>
        <v>0</v>
      </c>
      <c r="AC95" s="149">
        <f t="shared" si="20"/>
        <v>0</v>
      </c>
      <c r="AD95" s="125">
        <v>2</v>
      </c>
      <c r="AE95" s="148">
        <f t="shared" si="21"/>
        <v>2</v>
      </c>
      <c r="AF95" s="156"/>
      <c r="AG95" s="156"/>
      <c r="AH95" s="113">
        <f t="shared" si="22"/>
        <v>17</v>
      </c>
      <c r="AI95" s="157">
        <v>65</v>
      </c>
      <c r="AJ95" s="113">
        <f t="shared" si="23"/>
        <v>82</v>
      </c>
      <c r="AK95" s="113">
        <f t="shared" si="24"/>
        <v>82</v>
      </c>
      <c r="AL95" s="158">
        <f t="shared" si="25"/>
        <v>1.02</v>
      </c>
      <c r="AM95" s="159"/>
      <c r="AN95" s="160">
        <f t="shared" si="28"/>
        <v>1</v>
      </c>
      <c r="AO95" s="160">
        <f t="shared" si="28"/>
        <v>2</v>
      </c>
      <c r="AP95" s="133"/>
      <c r="AQ95" s="134"/>
      <c r="AR95" s="161"/>
      <c r="AS95" s="161"/>
      <c r="AT95" s="161"/>
      <c r="AU95" s="161"/>
      <c r="AV95" s="162"/>
      <c r="AW95" s="137">
        <f t="shared" si="26"/>
        <v>0</v>
      </c>
      <c r="AX95" s="137">
        <f t="shared" si="27"/>
        <v>0</v>
      </c>
    </row>
    <row r="96" ht="46.5" customHeight="1" spans="1:50" s="97" customFormat="1" x14ac:dyDescent="0.25">
      <c r="A96" s="100"/>
      <c r="B96" s="100"/>
      <c r="C96" s="100"/>
      <c r="D96" s="100"/>
      <c r="E96" s="100"/>
      <c r="F96" s="100"/>
      <c r="G96" s="103"/>
      <c r="H96" s="186"/>
      <c r="I96" s="195">
        <v>0.51</v>
      </c>
      <c r="J96" s="107">
        <v>0.49</v>
      </c>
      <c r="K96" s="107"/>
      <c r="L96" s="107"/>
      <c r="M96" s="187"/>
      <c r="N96" s="169">
        <f t="shared" si="14"/>
        <v>1</v>
      </c>
      <c r="O96" s="144">
        <v>1</v>
      </c>
      <c r="P96" s="145">
        <v>15</v>
      </c>
      <c r="Q96" s="113">
        <v>15</v>
      </c>
      <c r="R96" s="113"/>
      <c r="S96" s="113"/>
      <c r="T96" s="146"/>
      <c r="U96" s="148">
        <f t="shared" si="17"/>
        <v>15</v>
      </c>
      <c r="V96" s="149">
        <f t="shared" si="18"/>
        <v>15</v>
      </c>
      <c r="W96" s="189"/>
      <c r="X96" s="199"/>
      <c r="Y96" s="151"/>
      <c r="Z96" s="190"/>
      <c r="AA96" s="153"/>
      <c r="AB96" s="154">
        <f t="shared" si="19"/>
        <v>0</v>
      </c>
      <c r="AC96" s="149">
        <f t="shared" si="20"/>
        <v>0</v>
      </c>
      <c r="AD96" s="125">
        <v>2</v>
      </c>
      <c r="AE96" s="148">
        <f t="shared" si="21"/>
        <v>2</v>
      </c>
      <c r="AF96" s="156"/>
      <c r="AG96" s="156"/>
      <c r="AH96" s="113">
        <f t="shared" si="22"/>
        <v>17</v>
      </c>
      <c r="AI96" s="157">
        <v>65</v>
      </c>
      <c r="AJ96" s="113">
        <f t="shared" si="23"/>
        <v>82</v>
      </c>
      <c r="AK96" s="113">
        <f t="shared" si="24"/>
        <v>82</v>
      </c>
      <c r="AL96" s="158">
        <f t="shared" si="25"/>
        <v>1.02</v>
      </c>
      <c r="AM96" s="159"/>
      <c r="AN96" s="160">
        <f t="shared" si="28"/>
        <v>1</v>
      </c>
      <c r="AO96" s="160">
        <f t="shared" si="28"/>
        <v>2</v>
      </c>
      <c r="AP96" s="133"/>
      <c r="AQ96" s="134"/>
      <c r="AR96" s="161"/>
      <c r="AS96" s="161"/>
      <c r="AT96" s="161"/>
      <c r="AU96" s="161"/>
      <c r="AV96" s="162"/>
      <c r="AW96" s="137">
        <f t="shared" si="26"/>
        <v>0</v>
      </c>
      <c r="AX96" s="137">
        <f t="shared" si="27"/>
        <v>0</v>
      </c>
    </row>
    <row r="97" ht="46.5" customHeight="1" spans="1:50" s="97" customFormat="1" x14ac:dyDescent="0.25">
      <c r="A97" s="100"/>
      <c r="B97" s="100"/>
      <c r="C97" s="100"/>
      <c r="D97" s="100"/>
      <c r="E97" s="100"/>
      <c r="F97" s="100"/>
      <c r="G97" s="103"/>
      <c r="H97" s="186"/>
      <c r="I97" s="195">
        <v>0.51</v>
      </c>
      <c r="J97" s="107">
        <v>0.49</v>
      </c>
      <c r="K97" s="107"/>
      <c r="L97" s="107"/>
      <c r="M97" s="187"/>
      <c r="N97" s="169">
        <f t="shared" si="14"/>
        <v>1</v>
      </c>
      <c r="O97" s="144">
        <v>1</v>
      </c>
      <c r="P97" s="145">
        <v>15</v>
      </c>
      <c r="Q97" s="113">
        <v>15</v>
      </c>
      <c r="R97" s="113"/>
      <c r="S97" s="113"/>
      <c r="T97" s="146"/>
      <c r="U97" s="148">
        <f t="shared" si="17"/>
        <v>15</v>
      </c>
      <c r="V97" s="149">
        <f t="shared" si="18"/>
        <v>15</v>
      </c>
      <c r="W97" s="189"/>
      <c r="X97" s="199"/>
      <c r="Y97" s="151"/>
      <c r="Z97" s="190"/>
      <c r="AA97" s="153"/>
      <c r="AB97" s="154">
        <f t="shared" si="19"/>
        <v>0</v>
      </c>
      <c r="AC97" s="149">
        <f t="shared" si="20"/>
        <v>0</v>
      </c>
      <c r="AD97" s="125">
        <v>2</v>
      </c>
      <c r="AE97" s="148">
        <f t="shared" si="21"/>
        <v>2</v>
      </c>
      <c r="AF97" s="156"/>
      <c r="AG97" s="156"/>
      <c r="AH97" s="113">
        <f t="shared" si="22"/>
        <v>17</v>
      </c>
      <c r="AI97" s="157">
        <v>65</v>
      </c>
      <c r="AJ97" s="113">
        <f t="shared" si="23"/>
        <v>82</v>
      </c>
      <c r="AK97" s="113">
        <f t="shared" si="24"/>
        <v>82</v>
      </c>
      <c r="AL97" s="158">
        <f t="shared" si="25"/>
        <v>1.02</v>
      </c>
      <c r="AM97" s="159"/>
      <c r="AN97" s="160">
        <f t="shared" si="28"/>
        <v>1</v>
      </c>
      <c r="AO97" s="160">
        <f t="shared" si="28"/>
        <v>2</v>
      </c>
      <c r="AP97" s="133"/>
      <c r="AQ97" s="134"/>
      <c r="AR97" s="161"/>
      <c r="AS97" s="161"/>
      <c r="AT97" s="161"/>
      <c r="AU97" s="161"/>
      <c r="AV97" s="162"/>
      <c r="AW97" s="137">
        <f t="shared" si="26"/>
        <v>0</v>
      </c>
      <c r="AX97" s="137">
        <f t="shared" si="27"/>
        <v>0</v>
      </c>
    </row>
    <row r="98" ht="64.5" customHeight="1" spans="1:50" s="56" customFormat="1" x14ac:dyDescent="0.25">
      <c r="A98" s="100"/>
      <c r="B98" s="100"/>
      <c r="C98" s="100"/>
      <c r="D98" s="100"/>
      <c r="E98" s="100"/>
      <c r="F98" s="100"/>
      <c r="G98" s="103"/>
      <c r="H98" s="186"/>
      <c r="I98" s="195">
        <v>0.51</v>
      </c>
      <c r="J98" s="107">
        <v>0.49</v>
      </c>
      <c r="K98" s="107"/>
      <c r="L98" s="107"/>
      <c r="M98" s="187"/>
      <c r="N98" s="169">
        <f t="shared" si="14"/>
        <v>1</v>
      </c>
      <c r="O98" s="144">
        <v>1</v>
      </c>
      <c r="P98" s="145">
        <v>15</v>
      </c>
      <c r="Q98" s="113">
        <v>15</v>
      </c>
      <c r="R98" s="113"/>
      <c r="S98" s="113"/>
      <c r="T98" s="146"/>
      <c r="U98" s="148">
        <f t="shared" si="17"/>
        <v>15</v>
      </c>
      <c r="V98" s="149">
        <f t="shared" si="18"/>
        <v>15</v>
      </c>
      <c r="W98" s="189"/>
      <c r="X98" s="199"/>
      <c r="Y98" s="151"/>
      <c r="Z98" s="190"/>
      <c r="AA98" s="153"/>
      <c r="AB98" s="154">
        <f t="shared" si="19"/>
        <v>0</v>
      </c>
      <c r="AC98" s="149">
        <f t="shared" si="20"/>
        <v>0</v>
      </c>
      <c r="AD98" s="125">
        <v>2</v>
      </c>
      <c r="AE98" s="148">
        <f t="shared" si="21"/>
        <v>2</v>
      </c>
      <c r="AF98" s="156"/>
      <c r="AG98" s="156"/>
      <c r="AH98" s="113">
        <f t="shared" si="22"/>
        <v>17</v>
      </c>
      <c r="AI98" s="157">
        <v>65</v>
      </c>
      <c r="AJ98" s="113">
        <f t="shared" si="23"/>
        <v>82</v>
      </c>
      <c r="AK98" s="113">
        <f t="shared" si="24"/>
        <v>82</v>
      </c>
      <c r="AL98" s="158">
        <f t="shared" si="25"/>
        <v>1.02</v>
      </c>
      <c r="AM98" s="159"/>
      <c r="AN98" s="160">
        <f t="shared" si="28"/>
        <v>1</v>
      </c>
      <c r="AO98" s="160">
        <f t="shared" si="28"/>
        <v>2</v>
      </c>
      <c r="AP98" s="133"/>
      <c r="AQ98" s="134"/>
      <c r="AR98" s="161"/>
      <c r="AS98" s="161"/>
      <c r="AT98" s="161"/>
      <c r="AU98" s="161"/>
      <c r="AV98" s="162"/>
      <c r="AW98" s="137">
        <f t="shared" si="26"/>
        <v>0</v>
      </c>
      <c r="AX98" s="137">
        <f t="shared" si="27"/>
        <v>0</v>
      </c>
    </row>
    <row r="99" ht="46.5" customHeight="1" spans="1:50" s="97" customFormat="1" x14ac:dyDescent="0.25">
      <c r="A99" s="100"/>
      <c r="B99" s="100"/>
      <c r="C99" s="100"/>
      <c r="D99" s="100"/>
      <c r="E99" s="100"/>
      <c r="F99" s="100"/>
      <c r="G99" s="103"/>
      <c r="H99" s="186"/>
      <c r="I99" s="195">
        <v>0.51</v>
      </c>
      <c r="J99" s="107">
        <v>0.49</v>
      </c>
      <c r="K99" s="107"/>
      <c r="L99" s="107"/>
      <c r="M99" s="187"/>
      <c r="N99" s="169">
        <f t="shared" si="14"/>
        <v>1</v>
      </c>
      <c r="O99" s="144">
        <v>1</v>
      </c>
      <c r="P99" s="145">
        <v>15</v>
      </c>
      <c r="Q99" s="113">
        <v>15</v>
      </c>
      <c r="R99" s="113"/>
      <c r="S99" s="113"/>
      <c r="T99" s="146"/>
      <c r="U99" s="148">
        <f t="shared" si="17"/>
        <v>15</v>
      </c>
      <c r="V99" s="149">
        <f t="shared" si="18"/>
        <v>15</v>
      </c>
      <c r="W99" s="189"/>
      <c r="X99" s="199"/>
      <c r="Y99" s="151"/>
      <c r="Z99" s="190"/>
      <c r="AA99" s="153"/>
      <c r="AB99" s="154">
        <f t="shared" si="19"/>
        <v>0</v>
      </c>
      <c r="AC99" s="149">
        <f t="shared" si="20"/>
        <v>0</v>
      </c>
      <c r="AD99" s="125">
        <v>2</v>
      </c>
      <c r="AE99" s="148">
        <f t="shared" si="21"/>
        <v>2</v>
      </c>
      <c r="AF99" s="156"/>
      <c r="AG99" s="156"/>
      <c r="AH99" s="113">
        <f t="shared" si="22"/>
        <v>17</v>
      </c>
      <c r="AI99" s="157">
        <v>65</v>
      </c>
      <c r="AJ99" s="113">
        <f t="shared" si="23"/>
        <v>82</v>
      </c>
      <c r="AK99" s="113">
        <f t="shared" si="24"/>
        <v>82</v>
      </c>
      <c r="AL99" s="158">
        <f t="shared" si="25"/>
        <v>1.02</v>
      </c>
      <c r="AM99" s="159"/>
      <c r="AN99" s="160">
        <f t="shared" si="28"/>
        <v>1</v>
      </c>
      <c r="AO99" s="160">
        <f t="shared" si="28"/>
        <v>2</v>
      </c>
      <c r="AP99" s="133"/>
      <c r="AQ99" s="134"/>
      <c r="AR99" s="161"/>
      <c r="AS99" s="161"/>
      <c r="AT99" s="161"/>
      <c r="AU99" s="161"/>
      <c r="AV99" s="162"/>
      <c r="AW99" s="137">
        <f t="shared" si="26"/>
        <v>0</v>
      </c>
      <c r="AX99" s="137">
        <f t="shared" si="27"/>
        <v>0</v>
      </c>
    </row>
    <row r="100" ht="46.5" customHeight="1" spans="1:50" s="97" customFormat="1" x14ac:dyDescent="0.25">
      <c r="A100" s="100"/>
      <c r="B100" s="100"/>
      <c r="C100" s="100"/>
      <c r="D100" s="100"/>
      <c r="E100" s="100"/>
      <c r="F100" s="100"/>
      <c r="G100" s="103"/>
      <c r="H100" s="186"/>
      <c r="I100" s="195">
        <v>0.51</v>
      </c>
      <c r="J100" s="107">
        <v>0.49</v>
      </c>
      <c r="K100" s="107"/>
      <c r="L100" s="107"/>
      <c r="M100" s="187"/>
      <c r="N100" s="169">
        <f t="shared" si="14"/>
        <v>1</v>
      </c>
      <c r="O100" s="144">
        <v>1</v>
      </c>
      <c r="P100" s="145">
        <v>15</v>
      </c>
      <c r="Q100" s="113">
        <v>15</v>
      </c>
      <c r="R100" s="113"/>
      <c r="S100" s="113"/>
      <c r="T100" s="146"/>
      <c r="U100" s="148">
        <f t="shared" si="17"/>
        <v>15</v>
      </c>
      <c r="V100" s="149">
        <f t="shared" si="18"/>
        <v>15</v>
      </c>
      <c r="W100" s="189"/>
      <c r="X100" s="199"/>
      <c r="Y100" s="151"/>
      <c r="Z100" s="190"/>
      <c r="AA100" s="153"/>
      <c r="AB100" s="154">
        <f t="shared" si="19"/>
        <v>0</v>
      </c>
      <c r="AC100" s="149">
        <f t="shared" si="20"/>
        <v>0</v>
      </c>
      <c r="AD100" s="125">
        <v>2</v>
      </c>
      <c r="AE100" s="148">
        <f t="shared" si="21"/>
        <v>2</v>
      </c>
      <c r="AF100" s="156"/>
      <c r="AG100" s="156"/>
      <c r="AH100" s="113">
        <f t="shared" si="22"/>
        <v>17</v>
      </c>
      <c r="AI100" s="157">
        <v>65</v>
      </c>
      <c r="AJ100" s="113">
        <f t="shared" si="23"/>
        <v>82</v>
      </c>
      <c r="AK100" s="113">
        <f t="shared" si="24"/>
        <v>82</v>
      </c>
      <c r="AL100" s="158">
        <f t="shared" si="25"/>
        <v>1.02</v>
      </c>
      <c r="AM100" s="159"/>
      <c r="AN100" s="160">
        <f t="shared" si="28"/>
        <v>1</v>
      </c>
      <c r="AO100" s="160">
        <f t="shared" si="28"/>
        <v>2</v>
      </c>
      <c r="AP100" s="133"/>
      <c r="AQ100" s="134"/>
      <c r="AR100" s="161"/>
      <c r="AS100" s="161"/>
      <c r="AT100" s="161"/>
      <c r="AU100" s="161"/>
      <c r="AV100" s="162"/>
      <c r="AW100" s="137">
        <f t="shared" si="26"/>
        <v>0</v>
      </c>
      <c r="AX100" s="137">
        <f t="shared" si="27"/>
        <v>0</v>
      </c>
    </row>
    <row r="101" ht="46.5" customHeight="1" spans="1:50" s="97" customFormat="1" x14ac:dyDescent="0.25">
      <c r="A101" s="100"/>
      <c r="B101" s="100"/>
      <c r="C101" s="100"/>
      <c r="D101" s="100"/>
      <c r="E101" s="100"/>
      <c r="F101" s="100"/>
      <c r="G101" s="103"/>
      <c r="H101" s="186"/>
      <c r="I101" s="195">
        <v>0.51</v>
      </c>
      <c r="J101" s="107">
        <v>0.49</v>
      </c>
      <c r="K101" s="107"/>
      <c r="L101" s="107"/>
      <c r="M101" s="187"/>
      <c r="N101" s="169">
        <f t="shared" si="14"/>
        <v>1</v>
      </c>
      <c r="O101" s="144">
        <v>1</v>
      </c>
      <c r="P101" s="145">
        <v>15</v>
      </c>
      <c r="Q101" s="113">
        <v>15</v>
      </c>
      <c r="R101" s="113"/>
      <c r="S101" s="113"/>
      <c r="T101" s="146"/>
      <c r="U101" s="148">
        <f t="shared" si="17"/>
        <v>15</v>
      </c>
      <c r="V101" s="149">
        <f t="shared" si="18"/>
        <v>15</v>
      </c>
      <c r="W101" s="189"/>
      <c r="X101" s="199"/>
      <c r="Y101" s="151"/>
      <c r="Z101" s="190"/>
      <c r="AA101" s="153"/>
      <c r="AB101" s="154">
        <f t="shared" si="19"/>
        <v>0</v>
      </c>
      <c r="AC101" s="149">
        <f t="shared" si="20"/>
        <v>0</v>
      </c>
      <c r="AD101" s="125">
        <v>2</v>
      </c>
      <c r="AE101" s="148">
        <f t="shared" si="21"/>
        <v>2</v>
      </c>
      <c r="AF101" s="156"/>
      <c r="AG101" s="156"/>
      <c r="AH101" s="113">
        <f t="shared" si="22"/>
        <v>17</v>
      </c>
      <c r="AI101" s="157">
        <v>65</v>
      </c>
      <c r="AJ101" s="113">
        <f t="shared" si="23"/>
        <v>82</v>
      </c>
      <c r="AK101" s="113">
        <f t="shared" si="24"/>
        <v>82</v>
      </c>
      <c r="AL101" s="158">
        <f t="shared" si="25"/>
        <v>1.02</v>
      </c>
      <c r="AM101" s="159"/>
      <c r="AN101" s="160">
        <f t="shared" si="28"/>
        <v>1</v>
      </c>
      <c r="AO101" s="160">
        <f t="shared" si="28"/>
        <v>2</v>
      </c>
      <c r="AP101" s="133"/>
      <c r="AQ101" s="134"/>
      <c r="AR101" s="161"/>
      <c r="AS101" s="161"/>
      <c r="AT101" s="161"/>
      <c r="AU101" s="161"/>
      <c r="AV101" s="162"/>
      <c r="AW101" s="137">
        <f t="shared" si="26"/>
        <v>0</v>
      </c>
      <c r="AX101" s="137">
        <f t="shared" si="27"/>
        <v>0</v>
      </c>
    </row>
    <row r="102" ht="47.25" customHeight="1" spans="1:50" s="97" customFormat="1" x14ac:dyDescent="0.25">
      <c r="A102" s="100"/>
      <c r="B102" s="100"/>
      <c r="C102" s="100"/>
      <c r="D102" s="100"/>
      <c r="E102" s="100"/>
      <c r="F102" s="100"/>
      <c r="G102" s="103"/>
      <c r="H102" s="186"/>
      <c r="I102" s="195">
        <v>0.51</v>
      </c>
      <c r="J102" s="107">
        <v>0.49</v>
      </c>
      <c r="K102" s="107"/>
      <c r="L102" s="107"/>
      <c r="M102" s="187"/>
      <c r="N102" s="169">
        <f t="shared" si="14"/>
        <v>1</v>
      </c>
      <c r="O102" s="144">
        <v>1</v>
      </c>
      <c r="P102" s="145">
        <v>15</v>
      </c>
      <c r="Q102" s="113">
        <v>15</v>
      </c>
      <c r="R102" s="113"/>
      <c r="S102" s="113"/>
      <c r="T102" s="146"/>
      <c r="U102" s="148">
        <f t="shared" si="17"/>
        <v>15</v>
      </c>
      <c r="V102" s="149">
        <f t="shared" si="18"/>
        <v>15</v>
      </c>
      <c r="W102" s="189"/>
      <c r="X102" s="199"/>
      <c r="Y102" s="151"/>
      <c r="Z102" s="190"/>
      <c r="AA102" s="153"/>
      <c r="AB102" s="154">
        <f t="shared" si="19"/>
        <v>0</v>
      </c>
      <c r="AC102" s="149">
        <f t="shared" si="20"/>
        <v>0</v>
      </c>
      <c r="AD102" s="125">
        <v>2</v>
      </c>
      <c r="AE102" s="148">
        <f t="shared" si="21"/>
        <v>2</v>
      </c>
      <c r="AF102" s="156"/>
      <c r="AG102" s="156"/>
      <c r="AH102" s="113">
        <f t="shared" si="22"/>
        <v>17</v>
      </c>
      <c r="AI102" s="157">
        <v>65</v>
      </c>
      <c r="AJ102" s="113">
        <f t="shared" si="23"/>
        <v>82</v>
      </c>
      <c r="AK102" s="113">
        <f t="shared" si="24"/>
        <v>82</v>
      </c>
      <c r="AL102" s="158">
        <f t="shared" si="25"/>
        <v>1.02</v>
      </c>
      <c r="AM102" s="159"/>
      <c r="AN102" s="160">
        <f t="shared" si="28"/>
        <v>1</v>
      </c>
      <c r="AO102" s="160">
        <f t="shared" si="28"/>
        <v>2</v>
      </c>
      <c r="AP102" s="133"/>
      <c r="AQ102" s="134"/>
      <c r="AR102" s="161"/>
      <c r="AS102" s="161"/>
      <c r="AT102" s="161"/>
      <c r="AU102" s="161"/>
      <c r="AV102" s="162"/>
      <c r="AW102" s="137">
        <f t="shared" si="26"/>
        <v>0</v>
      </c>
      <c r="AX102" s="137">
        <f t="shared" si="27"/>
        <v>0</v>
      </c>
    </row>
    <row r="103" ht="46.5" customHeight="1" spans="1:50" s="97" customFormat="1" x14ac:dyDescent="0.25">
      <c r="A103" s="100"/>
      <c r="B103" s="100"/>
      <c r="C103" s="100"/>
      <c r="D103" s="100"/>
      <c r="E103" s="100"/>
      <c r="F103" s="100"/>
      <c r="G103" s="103"/>
      <c r="H103" s="186"/>
      <c r="I103" s="195">
        <v>0.51</v>
      </c>
      <c r="J103" s="107">
        <v>0.49</v>
      </c>
      <c r="K103" s="107"/>
      <c r="L103" s="107"/>
      <c r="M103" s="187"/>
      <c r="N103" s="169">
        <f t="shared" si="14"/>
        <v>1</v>
      </c>
      <c r="O103" s="144">
        <v>1</v>
      </c>
      <c r="P103" s="145">
        <v>15</v>
      </c>
      <c r="Q103" s="113">
        <v>15</v>
      </c>
      <c r="R103" s="113"/>
      <c r="S103" s="113"/>
      <c r="T103" s="146"/>
      <c r="U103" s="148">
        <f t="shared" si="17"/>
        <v>15</v>
      </c>
      <c r="V103" s="149">
        <f t="shared" si="18"/>
        <v>15</v>
      </c>
      <c r="W103" s="189"/>
      <c r="X103" s="199"/>
      <c r="Y103" s="151"/>
      <c r="Z103" s="190"/>
      <c r="AA103" s="153"/>
      <c r="AB103" s="154">
        <f t="shared" si="19"/>
        <v>0</v>
      </c>
      <c r="AC103" s="149">
        <f t="shared" si="20"/>
        <v>0</v>
      </c>
      <c r="AD103" s="125">
        <v>2</v>
      </c>
      <c r="AE103" s="148">
        <f t="shared" si="21"/>
        <v>2</v>
      </c>
      <c r="AF103" s="156"/>
      <c r="AG103" s="156"/>
      <c r="AH103" s="113">
        <f t="shared" si="22"/>
        <v>17</v>
      </c>
      <c r="AI103" s="157">
        <v>65</v>
      </c>
      <c r="AJ103" s="113">
        <f t="shared" si="23"/>
        <v>82</v>
      </c>
      <c r="AK103" s="113">
        <f t="shared" si="24"/>
        <v>82</v>
      </c>
      <c r="AL103" s="158">
        <f t="shared" si="25"/>
        <v>1.02</v>
      </c>
      <c r="AM103" s="159"/>
      <c r="AN103" s="160">
        <f t="shared" si="28"/>
        <v>1</v>
      </c>
      <c r="AO103" s="160">
        <f t="shared" si="28"/>
        <v>2</v>
      </c>
      <c r="AP103" s="133"/>
      <c r="AQ103" s="134"/>
      <c r="AR103" s="161"/>
      <c r="AS103" s="161"/>
      <c r="AT103" s="161"/>
      <c r="AU103" s="161"/>
      <c r="AV103" s="162"/>
      <c r="AW103" s="137">
        <f t="shared" si="26"/>
        <v>0</v>
      </c>
      <c r="AX103" s="137">
        <f t="shared" si="27"/>
        <v>0</v>
      </c>
    </row>
    <row r="104" ht="46.5" customHeight="1" spans="1:50" s="97" customFormat="1" x14ac:dyDescent="0.25">
      <c r="A104" s="100"/>
      <c r="B104" s="100"/>
      <c r="C104" s="100"/>
      <c r="D104" s="100"/>
      <c r="E104" s="100"/>
      <c r="F104" s="100"/>
      <c r="G104" s="103"/>
      <c r="H104" s="186"/>
      <c r="I104" s="195">
        <v>0.51</v>
      </c>
      <c r="J104" s="107">
        <v>0.49</v>
      </c>
      <c r="K104" s="107"/>
      <c r="L104" s="107"/>
      <c r="M104" s="187"/>
      <c r="N104" s="169">
        <f t="shared" si="14"/>
        <v>1</v>
      </c>
      <c r="O104" s="144">
        <v>1</v>
      </c>
      <c r="P104" s="145">
        <v>15</v>
      </c>
      <c r="Q104" s="113">
        <v>15</v>
      </c>
      <c r="R104" s="113"/>
      <c r="S104" s="113"/>
      <c r="T104" s="146"/>
      <c r="U104" s="148">
        <f t="shared" si="17"/>
        <v>15</v>
      </c>
      <c r="V104" s="149">
        <f t="shared" si="18"/>
        <v>15</v>
      </c>
      <c r="W104" s="189"/>
      <c r="X104" s="199"/>
      <c r="Y104" s="151"/>
      <c r="Z104" s="190"/>
      <c r="AA104" s="153"/>
      <c r="AB104" s="154">
        <f t="shared" si="19"/>
        <v>0</v>
      </c>
      <c r="AC104" s="149">
        <f t="shared" si="20"/>
        <v>0</v>
      </c>
      <c r="AD104" s="125">
        <v>2</v>
      </c>
      <c r="AE104" s="148">
        <f t="shared" si="21"/>
        <v>2</v>
      </c>
      <c r="AF104" s="156"/>
      <c r="AG104" s="156"/>
      <c r="AH104" s="113">
        <f t="shared" si="22"/>
        <v>17</v>
      </c>
      <c r="AI104" s="157">
        <v>65</v>
      </c>
      <c r="AJ104" s="113">
        <f t="shared" si="23"/>
        <v>82</v>
      </c>
      <c r="AK104" s="113">
        <f t="shared" si="24"/>
        <v>82</v>
      </c>
      <c r="AL104" s="158">
        <f t="shared" si="25"/>
        <v>1.02</v>
      </c>
      <c r="AM104" s="159"/>
      <c r="AN104" s="160">
        <f t="shared" si="28"/>
        <v>1</v>
      </c>
      <c r="AO104" s="160">
        <f t="shared" si="28"/>
        <v>2</v>
      </c>
      <c r="AP104" s="133"/>
      <c r="AQ104" s="134"/>
      <c r="AR104" s="161"/>
      <c r="AS104" s="161"/>
      <c r="AT104" s="161"/>
      <c r="AU104" s="161"/>
      <c r="AV104" s="162"/>
      <c r="AW104" s="137">
        <f t="shared" si="26"/>
        <v>0</v>
      </c>
      <c r="AX104" s="137">
        <f t="shared" si="27"/>
        <v>0</v>
      </c>
    </row>
    <row r="105" ht="46.5" customHeight="1" spans="1:50" s="97" customFormat="1" x14ac:dyDescent="0.25">
      <c r="A105" s="100"/>
      <c r="B105" s="100"/>
      <c r="C105" s="100"/>
      <c r="D105" s="100"/>
      <c r="E105" s="100"/>
      <c r="F105" s="100"/>
      <c r="G105" s="103"/>
      <c r="H105" s="186"/>
      <c r="I105" s="195">
        <v>0.51</v>
      </c>
      <c r="J105" s="107">
        <v>0.49</v>
      </c>
      <c r="K105" s="107"/>
      <c r="L105" s="107"/>
      <c r="M105" s="187"/>
      <c r="N105" s="169">
        <f t="shared" si="14"/>
        <v>1</v>
      </c>
      <c r="O105" s="144">
        <v>1</v>
      </c>
      <c r="P105" s="145">
        <v>15</v>
      </c>
      <c r="Q105" s="113">
        <v>15</v>
      </c>
      <c r="R105" s="113"/>
      <c r="S105" s="113"/>
      <c r="T105" s="146"/>
      <c r="U105" s="148">
        <f t="shared" si="17"/>
        <v>15</v>
      </c>
      <c r="V105" s="149">
        <f t="shared" si="18"/>
        <v>15</v>
      </c>
      <c r="W105" s="189"/>
      <c r="X105" s="199"/>
      <c r="Y105" s="151"/>
      <c r="Z105" s="190"/>
      <c r="AA105" s="153"/>
      <c r="AB105" s="154">
        <f t="shared" si="19"/>
        <v>0</v>
      </c>
      <c r="AC105" s="149">
        <f t="shared" si="20"/>
        <v>0</v>
      </c>
      <c r="AD105" s="125">
        <v>2</v>
      </c>
      <c r="AE105" s="148">
        <f t="shared" si="21"/>
        <v>2</v>
      </c>
      <c r="AF105" s="156"/>
      <c r="AG105" s="156"/>
      <c r="AH105" s="113">
        <f t="shared" si="22"/>
        <v>17</v>
      </c>
      <c r="AI105" s="157">
        <v>65</v>
      </c>
      <c r="AJ105" s="113">
        <f t="shared" si="23"/>
        <v>82</v>
      </c>
      <c r="AK105" s="113">
        <f t="shared" si="24"/>
        <v>82</v>
      </c>
      <c r="AL105" s="158">
        <f t="shared" si="25"/>
        <v>1.02</v>
      </c>
      <c r="AM105" s="159"/>
      <c r="AN105" s="160">
        <f t="shared" si="28"/>
        <v>1</v>
      </c>
      <c r="AO105" s="160">
        <f t="shared" si="28"/>
        <v>2</v>
      </c>
      <c r="AP105" s="133"/>
      <c r="AQ105" s="134"/>
      <c r="AR105" s="161"/>
      <c r="AS105" s="161"/>
      <c r="AT105" s="161"/>
      <c r="AU105" s="161"/>
      <c r="AV105" s="162"/>
      <c r="AW105" s="137">
        <f t="shared" si="26"/>
        <v>0</v>
      </c>
      <c r="AX105" s="137">
        <f t="shared" si="27"/>
        <v>0</v>
      </c>
    </row>
    <row r="106" ht="46.5" customHeight="1" spans="1:50" s="97" customFormat="1" x14ac:dyDescent="0.25">
      <c r="A106" s="100"/>
      <c r="B106" s="100"/>
      <c r="C106" s="100"/>
      <c r="D106" s="100"/>
      <c r="E106" s="100"/>
      <c r="F106" s="100"/>
      <c r="G106" s="103"/>
      <c r="H106" s="186"/>
      <c r="I106" s="195">
        <v>0.51</v>
      </c>
      <c r="J106" s="107">
        <v>0.49</v>
      </c>
      <c r="K106" s="107"/>
      <c r="L106" s="107"/>
      <c r="M106" s="187"/>
      <c r="N106" s="169">
        <f t="shared" si="14"/>
        <v>1</v>
      </c>
      <c r="O106" s="144">
        <v>1</v>
      </c>
      <c r="P106" s="145">
        <v>15</v>
      </c>
      <c r="Q106" s="113">
        <v>15</v>
      </c>
      <c r="R106" s="113"/>
      <c r="S106" s="113"/>
      <c r="T106" s="146"/>
      <c r="U106" s="148">
        <f t="shared" si="17"/>
        <v>15</v>
      </c>
      <c r="V106" s="149">
        <f t="shared" si="18"/>
        <v>15</v>
      </c>
      <c r="W106" s="189"/>
      <c r="X106" s="199"/>
      <c r="Y106" s="151"/>
      <c r="Z106" s="190"/>
      <c r="AA106" s="153"/>
      <c r="AB106" s="154">
        <f t="shared" si="19"/>
        <v>0</v>
      </c>
      <c r="AC106" s="149">
        <f t="shared" si="20"/>
        <v>0</v>
      </c>
      <c r="AD106" s="125">
        <v>2</v>
      </c>
      <c r="AE106" s="148">
        <f t="shared" si="21"/>
        <v>2</v>
      </c>
      <c r="AF106" s="156"/>
      <c r="AG106" s="156"/>
      <c r="AH106" s="113">
        <f t="shared" si="22"/>
        <v>17</v>
      </c>
      <c r="AI106" s="157">
        <v>65</v>
      </c>
      <c r="AJ106" s="113">
        <f t="shared" si="23"/>
        <v>82</v>
      </c>
      <c r="AK106" s="113">
        <f t="shared" si="24"/>
        <v>82</v>
      </c>
      <c r="AL106" s="158">
        <f t="shared" si="25"/>
        <v>1.02</v>
      </c>
      <c r="AM106" s="159"/>
      <c r="AN106" s="160">
        <f t="shared" si="28"/>
        <v>1</v>
      </c>
      <c r="AO106" s="160">
        <f t="shared" si="28"/>
        <v>2</v>
      </c>
      <c r="AP106" s="133"/>
      <c r="AQ106" s="134"/>
      <c r="AR106" s="161"/>
      <c r="AS106" s="161"/>
      <c r="AT106" s="161"/>
      <c r="AU106" s="161"/>
      <c r="AV106" s="162"/>
      <c r="AW106" s="137">
        <f t="shared" si="26"/>
        <v>0</v>
      </c>
      <c r="AX106" s="137">
        <f t="shared" si="27"/>
        <v>0</v>
      </c>
    </row>
    <row r="107" ht="47.25" customHeight="1" spans="1:50" s="56" customFormat="1" x14ac:dyDescent="0.25">
      <c r="A107" s="100"/>
      <c r="B107" s="100"/>
      <c r="C107" s="100"/>
      <c r="D107" s="100"/>
      <c r="E107" s="100"/>
      <c r="F107" s="100"/>
      <c r="G107" s="103"/>
      <c r="H107" s="186"/>
      <c r="I107" s="195">
        <v>0.51</v>
      </c>
      <c r="J107" s="107">
        <v>0.49</v>
      </c>
      <c r="K107" s="107"/>
      <c r="L107" s="107"/>
      <c r="M107" s="187"/>
      <c r="N107" s="169">
        <f t="shared" ref="N107:N136" si="29">SUM(I107:M107)</f>
        <v>1</v>
      </c>
      <c r="O107" s="144">
        <v>1</v>
      </c>
      <c r="P107" s="145">
        <v>15</v>
      </c>
      <c r="Q107" s="113">
        <v>15</v>
      </c>
      <c r="R107" s="113"/>
      <c r="S107" s="113"/>
      <c r="T107" s="146"/>
      <c r="U107" s="148">
        <f t="shared" si="17"/>
        <v>15</v>
      </c>
      <c r="V107" s="149">
        <f t="shared" si="18"/>
        <v>15</v>
      </c>
      <c r="W107" s="189"/>
      <c r="X107" s="199"/>
      <c r="Y107" s="151"/>
      <c r="Z107" s="190"/>
      <c r="AA107" s="153"/>
      <c r="AB107" s="154">
        <f t="shared" si="19"/>
        <v>0</v>
      </c>
      <c r="AC107" s="149">
        <f t="shared" si="20"/>
        <v>0</v>
      </c>
      <c r="AD107" s="125">
        <v>2</v>
      </c>
      <c r="AE107" s="148">
        <f t="shared" si="21"/>
        <v>2</v>
      </c>
      <c r="AF107" s="156"/>
      <c r="AG107" s="156"/>
      <c r="AH107" s="113">
        <f t="shared" si="22"/>
        <v>17</v>
      </c>
      <c r="AI107" s="157">
        <v>65</v>
      </c>
      <c r="AJ107" s="113">
        <f t="shared" si="23"/>
        <v>82</v>
      </c>
      <c r="AK107" s="113">
        <f t="shared" si="24"/>
        <v>82</v>
      </c>
      <c r="AL107" s="158">
        <f t="shared" si="25"/>
        <v>1.02</v>
      </c>
      <c r="AM107" s="159"/>
      <c r="AN107" s="160">
        <f t="shared" si="28"/>
        <v>1</v>
      </c>
      <c r="AO107" s="160">
        <f t="shared" si="28"/>
        <v>2</v>
      </c>
      <c r="AP107" s="133"/>
      <c r="AQ107" s="134"/>
      <c r="AR107" s="161"/>
      <c r="AS107" s="161"/>
      <c r="AT107" s="161"/>
      <c r="AU107" s="161"/>
      <c r="AV107" s="162"/>
      <c r="AW107" s="137">
        <f t="shared" si="26"/>
        <v>0</v>
      </c>
      <c r="AX107" s="137">
        <f t="shared" si="27"/>
        <v>0</v>
      </c>
    </row>
    <row r="108" ht="57" customHeight="1" spans="1:50" s="97" customFormat="1" x14ac:dyDescent="0.25">
      <c r="A108" s="100"/>
      <c r="B108" s="100"/>
      <c r="C108" s="100"/>
      <c r="D108" s="100"/>
      <c r="E108" s="100"/>
      <c r="F108" s="100"/>
      <c r="G108" s="103"/>
      <c r="H108" s="186"/>
      <c r="I108" s="195">
        <v>0.51</v>
      </c>
      <c r="J108" s="107">
        <v>0.49</v>
      </c>
      <c r="K108" s="107"/>
      <c r="L108" s="107"/>
      <c r="M108" s="187"/>
      <c r="N108" s="169">
        <f t="shared" si="29"/>
        <v>1</v>
      </c>
      <c r="O108" s="144">
        <v>1</v>
      </c>
      <c r="P108" s="145">
        <v>15</v>
      </c>
      <c r="Q108" s="113">
        <v>15</v>
      </c>
      <c r="R108" s="113"/>
      <c r="S108" s="113"/>
      <c r="T108" s="146"/>
      <c r="U108" s="148">
        <f t="shared" si="17"/>
        <v>15</v>
      </c>
      <c r="V108" s="149">
        <f t="shared" si="18"/>
        <v>15</v>
      </c>
      <c r="W108" s="189"/>
      <c r="X108" s="199"/>
      <c r="Y108" s="151"/>
      <c r="Z108" s="190"/>
      <c r="AA108" s="153"/>
      <c r="AB108" s="154">
        <f t="shared" si="19"/>
        <v>0</v>
      </c>
      <c r="AC108" s="149">
        <f t="shared" si="20"/>
        <v>0</v>
      </c>
      <c r="AD108" s="125">
        <v>2</v>
      </c>
      <c r="AE108" s="148">
        <f t="shared" si="21"/>
        <v>2</v>
      </c>
      <c r="AF108" s="156"/>
      <c r="AG108" s="156"/>
      <c r="AH108" s="113">
        <f t="shared" si="22"/>
        <v>17</v>
      </c>
      <c r="AI108" s="157">
        <v>65</v>
      </c>
      <c r="AJ108" s="113">
        <f t="shared" si="23"/>
        <v>82</v>
      </c>
      <c r="AK108" s="113">
        <f t="shared" si="24"/>
        <v>82</v>
      </c>
      <c r="AL108" s="158">
        <f t="shared" si="25"/>
        <v>1.02</v>
      </c>
      <c r="AM108" s="159"/>
      <c r="AN108" s="160">
        <f t="shared" si="28"/>
        <v>1</v>
      </c>
      <c r="AO108" s="160">
        <f t="shared" si="28"/>
        <v>2</v>
      </c>
      <c r="AP108" s="133"/>
      <c r="AQ108" s="134"/>
      <c r="AR108" s="161"/>
      <c r="AS108" s="161"/>
      <c r="AT108" s="161"/>
      <c r="AU108" s="161"/>
      <c r="AV108" s="162"/>
      <c r="AW108" s="137">
        <f t="shared" si="26"/>
        <v>0</v>
      </c>
      <c r="AX108" s="137">
        <f t="shared" si="27"/>
        <v>0</v>
      </c>
    </row>
    <row r="109" ht="46.5" customHeight="1" spans="1:50" s="97" customFormat="1" x14ac:dyDescent="0.25">
      <c r="A109" s="100"/>
      <c r="B109" s="100"/>
      <c r="C109" s="100"/>
      <c r="D109" s="100"/>
      <c r="E109" s="100"/>
      <c r="F109" s="100"/>
      <c r="G109" s="103"/>
      <c r="H109" s="186"/>
      <c r="I109" s="195">
        <v>0.51</v>
      </c>
      <c r="J109" s="107">
        <v>0.49</v>
      </c>
      <c r="K109" s="107"/>
      <c r="L109" s="107"/>
      <c r="M109" s="187"/>
      <c r="N109" s="169">
        <f t="shared" si="29"/>
        <v>1</v>
      </c>
      <c r="O109" s="144">
        <v>1</v>
      </c>
      <c r="P109" s="145">
        <v>15</v>
      </c>
      <c r="Q109" s="113">
        <v>15</v>
      </c>
      <c r="R109" s="113"/>
      <c r="S109" s="113"/>
      <c r="T109" s="146"/>
      <c r="U109" s="148">
        <f t="shared" si="17"/>
        <v>15</v>
      </c>
      <c r="V109" s="149">
        <f t="shared" si="18"/>
        <v>15</v>
      </c>
      <c r="W109" s="189"/>
      <c r="X109" s="199"/>
      <c r="Y109" s="151"/>
      <c r="Z109" s="190"/>
      <c r="AA109" s="153"/>
      <c r="AB109" s="154">
        <f t="shared" si="19"/>
        <v>0</v>
      </c>
      <c r="AC109" s="149">
        <f t="shared" si="20"/>
        <v>0</v>
      </c>
      <c r="AD109" s="125">
        <v>2</v>
      </c>
      <c r="AE109" s="148">
        <f t="shared" si="21"/>
        <v>2</v>
      </c>
      <c r="AF109" s="156"/>
      <c r="AG109" s="156"/>
      <c r="AH109" s="113">
        <f t="shared" si="22"/>
        <v>17</v>
      </c>
      <c r="AI109" s="157">
        <v>65</v>
      </c>
      <c r="AJ109" s="113">
        <f t="shared" si="23"/>
        <v>82</v>
      </c>
      <c r="AK109" s="113">
        <f t="shared" si="24"/>
        <v>82</v>
      </c>
      <c r="AL109" s="158">
        <f t="shared" si="25"/>
        <v>1.02</v>
      </c>
      <c r="AM109" s="159"/>
      <c r="AN109" s="160">
        <f t="shared" si="28"/>
        <v>1</v>
      </c>
      <c r="AO109" s="160">
        <f t="shared" si="28"/>
        <v>2</v>
      </c>
      <c r="AP109" s="133"/>
      <c r="AQ109" s="134"/>
      <c r="AR109" s="161"/>
      <c r="AS109" s="161"/>
      <c r="AT109" s="161"/>
      <c r="AU109" s="161"/>
      <c r="AV109" s="162"/>
      <c r="AW109" s="137">
        <f t="shared" si="26"/>
        <v>0</v>
      </c>
      <c r="AX109" s="137">
        <f t="shared" si="27"/>
        <v>0</v>
      </c>
    </row>
    <row r="110" ht="47.25" customHeight="1" spans="1:50" s="56" customFormat="1" x14ac:dyDescent="0.25">
      <c r="A110" s="100"/>
      <c r="B110" s="100"/>
      <c r="C110" s="100"/>
      <c r="D110" s="100"/>
      <c r="E110" s="100"/>
      <c r="F110" s="100"/>
      <c r="G110" s="103"/>
      <c r="H110" s="186"/>
      <c r="I110" s="195">
        <v>0.51</v>
      </c>
      <c r="J110" s="107">
        <v>0.49</v>
      </c>
      <c r="K110" s="107"/>
      <c r="L110" s="107"/>
      <c r="M110" s="187"/>
      <c r="N110" s="169">
        <f t="shared" si="29"/>
        <v>1</v>
      </c>
      <c r="O110" s="144">
        <v>1</v>
      </c>
      <c r="P110" s="145">
        <v>15</v>
      </c>
      <c r="Q110" s="113">
        <v>15</v>
      </c>
      <c r="R110" s="113"/>
      <c r="S110" s="113"/>
      <c r="T110" s="146"/>
      <c r="U110" s="148">
        <f t="shared" si="17"/>
        <v>15</v>
      </c>
      <c r="V110" s="149">
        <f t="shared" si="18"/>
        <v>15</v>
      </c>
      <c r="W110" s="189"/>
      <c r="X110" s="199"/>
      <c r="Y110" s="151"/>
      <c r="Z110" s="190"/>
      <c r="AA110" s="153"/>
      <c r="AB110" s="154">
        <f t="shared" si="19"/>
        <v>0</v>
      </c>
      <c r="AC110" s="149">
        <f t="shared" si="20"/>
        <v>0</v>
      </c>
      <c r="AD110" s="125">
        <v>2</v>
      </c>
      <c r="AE110" s="148">
        <f t="shared" si="21"/>
        <v>2</v>
      </c>
      <c r="AF110" s="156"/>
      <c r="AG110" s="156"/>
      <c r="AH110" s="113">
        <f t="shared" si="22"/>
        <v>17</v>
      </c>
      <c r="AI110" s="157">
        <v>65</v>
      </c>
      <c r="AJ110" s="113">
        <f t="shared" si="23"/>
        <v>82</v>
      </c>
      <c r="AK110" s="113">
        <f t="shared" si="24"/>
        <v>82</v>
      </c>
      <c r="AL110" s="158">
        <f t="shared" si="25"/>
        <v>1.02</v>
      </c>
      <c r="AM110" s="159"/>
      <c r="AN110" s="160">
        <f t="shared" si="28"/>
        <v>1</v>
      </c>
      <c r="AO110" s="160">
        <f t="shared" si="28"/>
        <v>2</v>
      </c>
      <c r="AP110" s="133"/>
      <c r="AQ110" s="134"/>
      <c r="AR110" s="161"/>
      <c r="AS110" s="161"/>
      <c r="AT110" s="161"/>
      <c r="AU110" s="161"/>
      <c r="AV110" s="162"/>
      <c r="AW110" s="137">
        <f t="shared" si="26"/>
        <v>0</v>
      </c>
      <c r="AX110" s="137">
        <f t="shared" si="27"/>
        <v>0</v>
      </c>
    </row>
    <row r="111" ht="46.5" customHeight="1" spans="1:50" s="97" customFormat="1" x14ac:dyDescent="0.25">
      <c r="A111" s="100"/>
      <c r="B111" s="100"/>
      <c r="C111" s="100"/>
      <c r="D111" s="100"/>
      <c r="E111" s="100"/>
      <c r="F111" s="100"/>
      <c r="G111" s="103"/>
      <c r="H111" s="186"/>
      <c r="I111" s="195">
        <v>0.51</v>
      </c>
      <c r="J111" s="107">
        <v>0.49</v>
      </c>
      <c r="K111" s="107"/>
      <c r="L111" s="107"/>
      <c r="M111" s="187"/>
      <c r="N111" s="169">
        <f t="shared" si="29"/>
        <v>1</v>
      </c>
      <c r="O111" s="144">
        <v>1</v>
      </c>
      <c r="P111" s="145">
        <v>15</v>
      </c>
      <c r="Q111" s="113">
        <v>15</v>
      </c>
      <c r="R111" s="113"/>
      <c r="S111" s="113"/>
      <c r="T111" s="146"/>
      <c r="U111" s="148">
        <f t="shared" si="17"/>
        <v>15</v>
      </c>
      <c r="V111" s="149">
        <f t="shared" si="18"/>
        <v>15</v>
      </c>
      <c r="W111" s="189"/>
      <c r="X111" s="199"/>
      <c r="Y111" s="151"/>
      <c r="Z111" s="190"/>
      <c r="AA111" s="153"/>
      <c r="AB111" s="154">
        <f t="shared" si="19"/>
        <v>0</v>
      </c>
      <c r="AC111" s="149">
        <f t="shared" si="20"/>
        <v>0</v>
      </c>
      <c r="AD111" s="125">
        <v>2</v>
      </c>
      <c r="AE111" s="148">
        <f t="shared" si="21"/>
        <v>2</v>
      </c>
      <c r="AF111" s="156"/>
      <c r="AG111" s="156"/>
      <c r="AH111" s="113">
        <f t="shared" si="22"/>
        <v>17</v>
      </c>
      <c r="AI111" s="157">
        <v>65</v>
      </c>
      <c r="AJ111" s="113">
        <f t="shared" si="23"/>
        <v>82</v>
      </c>
      <c r="AK111" s="113">
        <f t="shared" si="24"/>
        <v>82</v>
      </c>
      <c r="AL111" s="158">
        <f t="shared" si="25"/>
        <v>1.02</v>
      </c>
      <c r="AM111" s="159"/>
      <c r="AN111" s="160">
        <f t="shared" ref="AN111:AO130" si="30">100%+AM111</f>
        <v>1</v>
      </c>
      <c r="AO111" s="160">
        <f t="shared" si="30"/>
        <v>2</v>
      </c>
      <c r="AP111" s="133"/>
      <c r="AQ111" s="134"/>
      <c r="AR111" s="161"/>
      <c r="AS111" s="161"/>
      <c r="AT111" s="161"/>
      <c r="AU111" s="161"/>
      <c r="AV111" s="162"/>
      <c r="AW111" s="137">
        <f t="shared" si="26"/>
        <v>0</v>
      </c>
      <c r="AX111" s="137">
        <f t="shared" si="27"/>
        <v>0</v>
      </c>
    </row>
    <row r="112" ht="46.5" customHeight="1" spans="1:50" s="97" customFormat="1" x14ac:dyDescent="0.25">
      <c r="A112" s="100"/>
      <c r="B112" s="100"/>
      <c r="C112" s="100"/>
      <c r="D112" s="100"/>
      <c r="E112" s="100"/>
      <c r="F112" s="100"/>
      <c r="G112" s="103"/>
      <c r="H112" s="186"/>
      <c r="I112" s="195">
        <v>0.51</v>
      </c>
      <c r="J112" s="107">
        <v>0.49</v>
      </c>
      <c r="K112" s="107"/>
      <c r="L112" s="107"/>
      <c r="M112" s="187"/>
      <c r="N112" s="169">
        <f t="shared" si="29"/>
        <v>1</v>
      </c>
      <c r="O112" s="144">
        <v>1</v>
      </c>
      <c r="P112" s="145">
        <v>15</v>
      </c>
      <c r="Q112" s="113">
        <v>15</v>
      </c>
      <c r="R112" s="113"/>
      <c r="S112" s="113"/>
      <c r="T112" s="146"/>
      <c r="U112" s="148">
        <f t="shared" si="17"/>
        <v>15</v>
      </c>
      <c r="V112" s="149">
        <f t="shared" si="18"/>
        <v>15</v>
      </c>
      <c r="W112" s="189"/>
      <c r="X112" s="199"/>
      <c r="Y112" s="151"/>
      <c r="Z112" s="190"/>
      <c r="AA112" s="153"/>
      <c r="AB112" s="154">
        <f t="shared" si="19"/>
        <v>0</v>
      </c>
      <c r="AC112" s="149">
        <f t="shared" si="20"/>
        <v>0</v>
      </c>
      <c r="AD112" s="125">
        <v>2</v>
      </c>
      <c r="AE112" s="148">
        <f t="shared" si="21"/>
        <v>2</v>
      </c>
      <c r="AF112" s="156"/>
      <c r="AG112" s="156"/>
      <c r="AH112" s="113">
        <f t="shared" si="22"/>
        <v>17</v>
      </c>
      <c r="AI112" s="157">
        <v>65</v>
      </c>
      <c r="AJ112" s="113">
        <f t="shared" si="23"/>
        <v>82</v>
      </c>
      <c r="AK112" s="113">
        <f t="shared" si="24"/>
        <v>82</v>
      </c>
      <c r="AL112" s="158">
        <f t="shared" si="25"/>
        <v>1.02</v>
      </c>
      <c r="AM112" s="159"/>
      <c r="AN112" s="160">
        <f t="shared" si="30"/>
        <v>1</v>
      </c>
      <c r="AO112" s="160">
        <f t="shared" si="30"/>
        <v>2</v>
      </c>
      <c r="AP112" s="133"/>
      <c r="AQ112" s="134"/>
      <c r="AR112" s="161"/>
      <c r="AS112" s="161"/>
      <c r="AT112" s="161"/>
      <c r="AU112" s="161"/>
      <c r="AV112" s="162"/>
      <c r="AW112" s="137">
        <f t="shared" si="26"/>
        <v>0</v>
      </c>
      <c r="AX112" s="137">
        <f t="shared" si="27"/>
        <v>0</v>
      </c>
    </row>
    <row r="113" ht="46.5" customHeight="1" spans="1:50" s="97" customFormat="1" x14ac:dyDescent="0.25">
      <c r="A113" s="100"/>
      <c r="B113" s="100"/>
      <c r="C113" s="100"/>
      <c r="D113" s="100"/>
      <c r="E113" s="100"/>
      <c r="F113" s="100"/>
      <c r="G113" s="103"/>
      <c r="H113" s="186"/>
      <c r="I113" s="195">
        <v>0.51</v>
      </c>
      <c r="J113" s="107">
        <v>0.49</v>
      </c>
      <c r="K113" s="107"/>
      <c r="L113" s="107"/>
      <c r="M113" s="187"/>
      <c r="N113" s="169">
        <f t="shared" si="29"/>
        <v>1</v>
      </c>
      <c r="O113" s="144">
        <v>1</v>
      </c>
      <c r="P113" s="145">
        <v>15</v>
      </c>
      <c r="Q113" s="113">
        <v>15</v>
      </c>
      <c r="R113" s="113"/>
      <c r="S113" s="113"/>
      <c r="T113" s="146"/>
      <c r="U113" s="148">
        <f t="shared" si="17"/>
        <v>15</v>
      </c>
      <c r="V113" s="149">
        <f t="shared" si="18"/>
        <v>15</v>
      </c>
      <c r="W113" s="189"/>
      <c r="X113" s="199"/>
      <c r="Y113" s="151"/>
      <c r="Z113" s="190"/>
      <c r="AA113" s="153"/>
      <c r="AB113" s="154">
        <f t="shared" si="19"/>
        <v>0</v>
      </c>
      <c r="AC113" s="149">
        <f t="shared" si="20"/>
        <v>0</v>
      </c>
      <c r="AD113" s="125">
        <v>2</v>
      </c>
      <c r="AE113" s="148">
        <f t="shared" si="21"/>
        <v>2</v>
      </c>
      <c r="AF113" s="156"/>
      <c r="AG113" s="156"/>
      <c r="AH113" s="113">
        <f t="shared" si="22"/>
        <v>17</v>
      </c>
      <c r="AI113" s="157">
        <v>65</v>
      </c>
      <c r="AJ113" s="113">
        <f t="shared" si="23"/>
        <v>82</v>
      </c>
      <c r="AK113" s="113">
        <f t="shared" si="24"/>
        <v>82</v>
      </c>
      <c r="AL113" s="158">
        <f t="shared" si="25"/>
        <v>1.02</v>
      </c>
      <c r="AM113" s="159"/>
      <c r="AN113" s="160">
        <f t="shared" si="30"/>
        <v>1</v>
      </c>
      <c r="AO113" s="160">
        <f t="shared" si="30"/>
        <v>2</v>
      </c>
      <c r="AP113" s="133"/>
      <c r="AQ113" s="134"/>
      <c r="AR113" s="161"/>
      <c r="AS113" s="161"/>
      <c r="AT113" s="161"/>
      <c r="AU113" s="161"/>
      <c r="AV113" s="162"/>
      <c r="AW113" s="137">
        <f t="shared" si="26"/>
        <v>0</v>
      </c>
      <c r="AX113" s="137">
        <f t="shared" si="27"/>
        <v>0</v>
      </c>
    </row>
    <row r="114" ht="53.25" customHeight="1" spans="1:50" s="97" customFormat="1" x14ac:dyDescent="0.25">
      <c r="A114" s="100"/>
      <c r="B114" s="100"/>
      <c r="C114" s="100"/>
      <c r="D114" s="100"/>
      <c r="E114" s="100"/>
      <c r="F114" s="100"/>
      <c r="G114" s="103"/>
      <c r="H114" s="186"/>
      <c r="I114" s="195">
        <v>0.51</v>
      </c>
      <c r="J114" s="107">
        <v>0.49</v>
      </c>
      <c r="K114" s="107"/>
      <c r="L114" s="107"/>
      <c r="M114" s="187"/>
      <c r="N114" s="169">
        <f t="shared" si="29"/>
        <v>1</v>
      </c>
      <c r="O114" s="144">
        <v>1</v>
      </c>
      <c r="P114" s="145">
        <v>15</v>
      </c>
      <c r="Q114" s="113">
        <v>15</v>
      </c>
      <c r="R114" s="113"/>
      <c r="S114" s="113"/>
      <c r="T114" s="146"/>
      <c r="U114" s="148">
        <f t="shared" si="17"/>
        <v>15</v>
      </c>
      <c r="V114" s="149">
        <f t="shared" si="18"/>
        <v>15</v>
      </c>
      <c r="W114" s="189"/>
      <c r="X114" s="199"/>
      <c r="Y114" s="151"/>
      <c r="Z114" s="190"/>
      <c r="AA114" s="153"/>
      <c r="AB114" s="154">
        <f t="shared" si="19"/>
        <v>0</v>
      </c>
      <c r="AC114" s="149">
        <f t="shared" si="20"/>
        <v>0</v>
      </c>
      <c r="AD114" s="125">
        <v>2</v>
      </c>
      <c r="AE114" s="148">
        <f t="shared" si="21"/>
        <v>2</v>
      </c>
      <c r="AF114" s="156"/>
      <c r="AG114" s="156"/>
      <c r="AH114" s="113">
        <f t="shared" si="22"/>
        <v>17</v>
      </c>
      <c r="AI114" s="157">
        <v>65</v>
      </c>
      <c r="AJ114" s="113">
        <f t="shared" si="23"/>
        <v>82</v>
      </c>
      <c r="AK114" s="113">
        <f t="shared" si="24"/>
        <v>82</v>
      </c>
      <c r="AL114" s="158">
        <f t="shared" si="25"/>
        <v>1.02</v>
      </c>
      <c r="AM114" s="159"/>
      <c r="AN114" s="160">
        <f t="shared" si="30"/>
        <v>1</v>
      </c>
      <c r="AO114" s="160">
        <f t="shared" si="30"/>
        <v>2</v>
      </c>
      <c r="AP114" s="133"/>
      <c r="AQ114" s="134"/>
      <c r="AR114" s="161"/>
      <c r="AS114" s="161"/>
      <c r="AT114" s="161"/>
      <c r="AU114" s="161"/>
      <c r="AV114" s="162"/>
      <c r="AW114" s="137">
        <f t="shared" si="26"/>
        <v>0</v>
      </c>
      <c r="AX114" s="137">
        <f t="shared" si="27"/>
        <v>0</v>
      </c>
    </row>
    <row r="115" ht="46.5" customHeight="1" spans="1:50" s="97" customFormat="1" x14ac:dyDescent="0.25">
      <c r="A115" s="100"/>
      <c r="B115" s="100"/>
      <c r="C115" s="100"/>
      <c r="D115" s="100"/>
      <c r="E115" s="100"/>
      <c r="F115" s="100"/>
      <c r="G115" s="103"/>
      <c r="H115" s="186"/>
      <c r="I115" s="195">
        <v>0.51</v>
      </c>
      <c r="J115" s="107">
        <v>0.49</v>
      </c>
      <c r="K115" s="107"/>
      <c r="L115" s="107"/>
      <c r="M115" s="187"/>
      <c r="N115" s="169">
        <f t="shared" si="29"/>
        <v>1</v>
      </c>
      <c r="O115" s="144">
        <v>1</v>
      </c>
      <c r="P115" s="145">
        <v>15</v>
      </c>
      <c r="Q115" s="113">
        <v>15</v>
      </c>
      <c r="R115" s="113"/>
      <c r="S115" s="113"/>
      <c r="T115" s="146"/>
      <c r="U115" s="148">
        <f t="shared" si="17"/>
        <v>15</v>
      </c>
      <c r="V115" s="149">
        <f t="shared" si="18"/>
        <v>15</v>
      </c>
      <c r="W115" s="189"/>
      <c r="X115" s="199"/>
      <c r="Y115" s="151"/>
      <c r="Z115" s="190"/>
      <c r="AA115" s="153"/>
      <c r="AB115" s="154">
        <f t="shared" si="19"/>
        <v>0</v>
      </c>
      <c r="AC115" s="149">
        <f t="shared" si="20"/>
        <v>0</v>
      </c>
      <c r="AD115" s="125">
        <v>2</v>
      </c>
      <c r="AE115" s="148">
        <f t="shared" si="21"/>
        <v>2</v>
      </c>
      <c r="AF115" s="156"/>
      <c r="AG115" s="156"/>
      <c r="AH115" s="113">
        <f t="shared" si="22"/>
        <v>17</v>
      </c>
      <c r="AI115" s="157">
        <v>65</v>
      </c>
      <c r="AJ115" s="113">
        <f t="shared" si="23"/>
        <v>82</v>
      </c>
      <c r="AK115" s="113">
        <f t="shared" si="24"/>
        <v>82</v>
      </c>
      <c r="AL115" s="158">
        <f t="shared" si="25"/>
        <v>1.02</v>
      </c>
      <c r="AM115" s="159"/>
      <c r="AN115" s="160">
        <f t="shared" si="30"/>
        <v>1</v>
      </c>
      <c r="AO115" s="160">
        <f t="shared" si="30"/>
        <v>2</v>
      </c>
      <c r="AP115" s="133"/>
      <c r="AQ115" s="134"/>
      <c r="AR115" s="161"/>
      <c r="AS115" s="161"/>
      <c r="AT115" s="161"/>
      <c r="AU115" s="161"/>
      <c r="AV115" s="162"/>
      <c r="AW115" s="137">
        <f t="shared" si="26"/>
        <v>0</v>
      </c>
      <c r="AX115" s="137">
        <f t="shared" si="27"/>
        <v>0</v>
      </c>
    </row>
    <row r="116" ht="46.5" customHeight="1" spans="1:50" s="97" customFormat="1" x14ac:dyDescent="0.25">
      <c r="A116" s="100"/>
      <c r="B116" s="100"/>
      <c r="C116" s="100"/>
      <c r="D116" s="100"/>
      <c r="E116" s="100"/>
      <c r="F116" s="100"/>
      <c r="G116" s="103"/>
      <c r="H116" s="186"/>
      <c r="I116" s="195">
        <v>0.51</v>
      </c>
      <c r="J116" s="107">
        <v>0.49</v>
      </c>
      <c r="K116" s="107"/>
      <c r="L116" s="107"/>
      <c r="M116" s="187"/>
      <c r="N116" s="169">
        <f t="shared" si="29"/>
        <v>1</v>
      </c>
      <c r="O116" s="144">
        <v>1</v>
      </c>
      <c r="P116" s="145">
        <v>15</v>
      </c>
      <c r="Q116" s="113">
        <v>15</v>
      </c>
      <c r="R116" s="113"/>
      <c r="S116" s="113"/>
      <c r="T116" s="146"/>
      <c r="U116" s="148">
        <f t="shared" si="17"/>
        <v>15</v>
      </c>
      <c r="V116" s="149">
        <f t="shared" si="18"/>
        <v>15</v>
      </c>
      <c r="W116" s="189"/>
      <c r="X116" s="199"/>
      <c r="Y116" s="151"/>
      <c r="Z116" s="190"/>
      <c r="AA116" s="153"/>
      <c r="AB116" s="154">
        <f t="shared" si="19"/>
        <v>0</v>
      </c>
      <c r="AC116" s="149">
        <f t="shared" si="20"/>
        <v>0</v>
      </c>
      <c r="AD116" s="125">
        <v>2</v>
      </c>
      <c r="AE116" s="148">
        <f t="shared" si="21"/>
        <v>2</v>
      </c>
      <c r="AF116" s="156"/>
      <c r="AG116" s="156"/>
      <c r="AH116" s="113">
        <f t="shared" si="22"/>
        <v>17</v>
      </c>
      <c r="AI116" s="157">
        <v>65</v>
      </c>
      <c r="AJ116" s="113">
        <f t="shared" si="23"/>
        <v>82</v>
      </c>
      <c r="AK116" s="113">
        <f t="shared" si="24"/>
        <v>82</v>
      </c>
      <c r="AL116" s="158">
        <f t="shared" si="25"/>
        <v>1.02</v>
      </c>
      <c r="AM116" s="159"/>
      <c r="AN116" s="160">
        <f t="shared" si="30"/>
        <v>1</v>
      </c>
      <c r="AO116" s="160">
        <f t="shared" si="30"/>
        <v>2</v>
      </c>
      <c r="AP116" s="133"/>
      <c r="AQ116" s="134"/>
      <c r="AR116" s="161"/>
      <c r="AS116" s="161"/>
      <c r="AT116" s="161"/>
      <c r="AU116" s="161"/>
      <c r="AV116" s="162"/>
      <c r="AW116" s="137">
        <f t="shared" si="26"/>
        <v>0</v>
      </c>
      <c r="AX116" s="137">
        <f t="shared" si="27"/>
        <v>0</v>
      </c>
    </row>
    <row r="117" ht="46.5" customHeight="1" spans="1:50" s="97" customFormat="1" x14ac:dyDescent="0.25">
      <c r="A117" s="100"/>
      <c r="B117" s="100"/>
      <c r="C117" s="100"/>
      <c r="D117" s="100"/>
      <c r="E117" s="100"/>
      <c r="F117" s="100"/>
      <c r="G117" s="103"/>
      <c r="H117" s="186"/>
      <c r="I117" s="195">
        <v>0.51</v>
      </c>
      <c r="J117" s="107">
        <v>0.49</v>
      </c>
      <c r="K117" s="107"/>
      <c r="L117" s="107"/>
      <c r="M117" s="187"/>
      <c r="N117" s="169">
        <f t="shared" si="29"/>
        <v>1</v>
      </c>
      <c r="O117" s="144">
        <v>1</v>
      </c>
      <c r="P117" s="145">
        <v>15</v>
      </c>
      <c r="Q117" s="113">
        <v>15</v>
      </c>
      <c r="R117" s="113"/>
      <c r="S117" s="113"/>
      <c r="T117" s="146"/>
      <c r="U117" s="148">
        <f t="shared" si="17"/>
        <v>15</v>
      </c>
      <c r="V117" s="149">
        <f t="shared" si="18"/>
        <v>15</v>
      </c>
      <c r="W117" s="189"/>
      <c r="X117" s="199"/>
      <c r="Y117" s="151"/>
      <c r="Z117" s="190"/>
      <c r="AA117" s="153"/>
      <c r="AB117" s="154">
        <f t="shared" si="19"/>
        <v>0</v>
      </c>
      <c r="AC117" s="149">
        <f t="shared" si="20"/>
        <v>0</v>
      </c>
      <c r="AD117" s="125">
        <v>2</v>
      </c>
      <c r="AE117" s="148">
        <f t="shared" si="21"/>
        <v>2</v>
      </c>
      <c r="AF117" s="156"/>
      <c r="AG117" s="156"/>
      <c r="AH117" s="113">
        <f t="shared" si="22"/>
        <v>17</v>
      </c>
      <c r="AI117" s="157">
        <v>65</v>
      </c>
      <c r="AJ117" s="113">
        <f t="shared" si="23"/>
        <v>82</v>
      </c>
      <c r="AK117" s="113">
        <f t="shared" si="24"/>
        <v>82</v>
      </c>
      <c r="AL117" s="158">
        <f t="shared" si="25"/>
        <v>1.02</v>
      </c>
      <c r="AM117" s="159"/>
      <c r="AN117" s="160">
        <f t="shared" si="30"/>
        <v>1</v>
      </c>
      <c r="AO117" s="160">
        <f t="shared" si="30"/>
        <v>2</v>
      </c>
      <c r="AP117" s="133"/>
      <c r="AQ117" s="134"/>
      <c r="AR117" s="161"/>
      <c r="AS117" s="161"/>
      <c r="AT117" s="161"/>
      <c r="AU117" s="161"/>
      <c r="AV117" s="162"/>
      <c r="AW117" s="137">
        <f t="shared" si="26"/>
        <v>0</v>
      </c>
      <c r="AX117" s="137">
        <f t="shared" si="27"/>
        <v>0</v>
      </c>
    </row>
    <row r="118" ht="47.25" customHeight="1" spans="1:50" s="56" customFormat="1" x14ac:dyDescent="0.25">
      <c r="A118" s="100"/>
      <c r="B118" s="100"/>
      <c r="C118" s="100"/>
      <c r="D118" s="100"/>
      <c r="E118" s="100"/>
      <c r="F118" s="100"/>
      <c r="G118" s="103"/>
      <c r="H118" s="186"/>
      <c r="I118" s="195">
        <v>0.51</v>
      </c>
      <c r="J118" s="107">
        <v>0.49</v>
      </c>
      <c r="K118" s="107"/>
      <c r="L118" s="107"/>
      <c r="M118" s="187"/>
      <c r="N118" s="169">
        <f t="shared" si="29"/>
        <v>1</v>
      </c>
      <c r="O118" s="144">
        <v>1</v>
      </c>
      <c r="P118" s="145">
        <v>15</v>
      </c>
      <c r="Q118" s="113">
        <v>15</v>
      </c>
      <c r="R118" s="113"/>
      <c r="S118" s="113"/>
      <c r="T118" s="146"/>
      <c r="U118" s="148">
        <f t="shared" si="17"/>
        <v>15</v>
      </c>
      <c r="V118" s="149">
        <f t="shared" si="18"/>
        <v>15</v>
      </c>
      <c r="W118" s="189"/>
      <c r="X118" s="199"/>
      <c r="Y118" s="151"/>
      <c r="Z118" s="190"/>
      <c r="AA118" s="153"/>
      <c r="AB118" s="154">
        <f t="shared" si="19"/>
        <v>0</v>
      </c>
      <c r="AC118" s="149">
        <f t="shared" si="20"/>
        <v>0</v>
      </c>
      <c r="AD118" s="125">
        <v>2</v>
      </c>
      <c r="AE118" s="148">
        <f t="shared" si="21"/>
        <v>2</v>
      </c>
      <c r="AF118" s="156"/>
      <c r="AG118" s="156"/>
      <c r="AH118" s="113">
        <f t="shared" si="22"/>
        <v>17</v>
      </c>
      <c r="AI118" s="157">
        <v>65</v>
      </c>
      <c r="AJ118" s="113">
        <f t="shared" si="23"/>
        <v>82</v>
      </c>
      <c r="AK118" s="113">
        <f t="shared" si="24"/>
        <v>82</v>
      </c>
      <c r="AL118" s="158">
        <f t="shared" si="25"/>
        <v>1.02</v>
      </c>
      <c r="AM118" s="159"/>
      <c r="AN118" s="160">
        <f t="shared" si="30"/>
        <v>1</v>
      </c>
      <c r="AO118" s="160">
        <f t="shared" si="30"/>
        <v>2</v>
      </c>
      <c r="AP118" s="133"/>
      <c r="AQ118" s="134"/>
      <c r="AR118" s="161"/>
      <c r="AS118" s="161"/>
      <c r="AT118" s="161"/>
      <c r="AU118" s="161"/>
      <c r="AV118" s="162"/>
      <c r="AW118" s="137">
        <f t="shared" si="26"/>
        <v>0</v>
      </c>
      <c r="AX118" s="137">
        <f t="shared" si="27"/>
        <v>0</v>
      </c>
    </row>
    <row r="119" ht="47.25" customHeight="1" spans="1:50" s="56" customFormat="1" x14ac:dyDescent="0.25">
      <c r="A119" s="100"/>
      <c r="B119" s="100"/>
      <c r="C119" s="100"/>
      <c r="D119" s="100"/>
      <c r="E119" s="100"/>
      <c r="F119" s="100"/>
      <c r="G119" s="103"/>
      <c r="H119" s="186"/>
      <c r="I119" s="195">
        <v>0.51</v>
      </c>
      <c r="J119" s="107">
        <v>0.49</v>
      </c>
      <c r="K119" s="107"/>
      <c r="L119" s="107"/>
      <c r="M119" s="187"/>
      <c r="N119" s="169">
        <f t="shared" si="29"/>
        <v>1</v>
      </c>
      <c r="O119" s="144">
        <v>1</v>
      </c>
      <c r="P119" s="145">
        <v>15</v>
      </c>
      <c r="Q119" s="113">
        <v>15</v>
      </c>
      <c r="R119" s="113"/>
      <c r="S119" s="113"/>
      <c r="T119" s="146"/>
      <c r="U119" s="148">
        <f t="shared" si="17"/>
        <v>15</v>
      </c>
      <c r="V119" s="149">
        <f t="shared" si="18"/>
        <v>15</v>
      </c>
      <c r="W119" s="189"/>
      <c r="X119" s="199"/>
      <c r="Y119" s="151"/>
      <c r="Z119" s="190"/>
      <c r="AA119" s="153"/>
      <c r="AB119" s="154">
        <f t="shared" si="19"/>
        <v>0</v>
      </c>
      <c r="AC119" s="149">
        <f t="shared" si="20"/>
        <v>0</v>
      </c>
      <c r="AD119" s="125">
        <v>2</v>
      </c>
      <c r="AE119" s="148">
        <f t="shared" si="21"/>
        <v>2</v>
      </c>
      <c r="AF119" s="156"/>
      <c r="AG119" s="156"/>
      <c r="AH119" s="113">
        <f t="shared" si="22"/>
        <v>17</v>
      </c>
      <c r="AI119" s="157">
        <v>65</v>
      </c>
      <c r="AJ119" s="113">
        <f t="shared" si="23"/>
        <v>82</v>
      </c>
      <c r="AK119" s="113">
        <f t="shared" si="24"/>
        <v>82</v>
      </c>
      <c r="AL119" s="158">
        <f t="shared" si="25"/>
        <v>1.02</v>
      </c>
      <c r="AM119" s="159"/>
      <c r="AN119" s="160">
        <f t="shared" si="30"/>
        <v>1</v>
      </c>
      <c r="AO119" s="160">
        <f t="shared" si="30"/>
        <v>2</v>
      </c>
      <c r="AP119" s="133"/>
      <c r="AQ119" s="134"/>
      <c r="AR119" s="161"/>
      <c r="AS119" s="161"/>
      <c r="AT119" s="161"/>
      <c r="AU119" s="161"/>
      <c r="AV119" s="162"/>
      <c r="AW119" s="137">
        <f t="shared" si="26"/>
        <v>0</v>
      </c>
      <c r="AX119" s="137">
        <f t="shared" si="27"/>
        <v>0</v>
      </c>
    </row>
    <row r="120" ht="46.5" customHeight="1" spans="1:50" s="97" customFormat="1" x14ac:dyDescent="0.25">
      <c r="A120" s="100"/>
      <c r="B120" s="100"/>
      <c r="C120" s="100"/>
      <c r="D120" s="100"/>
      <c r="E120" s="100"/>
      <c r="F120" s="100"/>
      <c r="G120" s="103"/>
      <c r="H120" s="186"/>
      <c r="I120" s="195">
        <v>0.51</v>
      </c>
      <c r="J120" s="107">
        <v>0.49</v>
      </c>
      <c r="K120" s="107"/>
      <c r="L120" s="107"/>
      <c r="M120" s="187"/>
      <c r="N120" s="169">
        <f t="shared" si="29"/>
        <v>1</v>
      </c>
      <c r="O120" s="144">
        <v>1</v>
      </c>
      <c r="P120" s="145">
        <v>15</v>
      </c>
      <c r="Q120" s="113">
        <v>15</v>
      </c>
      <c r="R120" s="113"/>
      <c r="S120" s="113"/>
      <c r="T120" s="146"/>
      <c r="U120" s="148">
        <f t="shared" si="17"/>
        <v>15</v>
      </c>
      <c r="V120" s="149">
        <f t="shared" si="18"/>
        <v>15</v>
      </c>
      <c r="W120" s="189"/>
      <c r="X120" s="199"/>
      <c r="Y120" s="151"/>
      <c r="Z120" s="190"/>
      <c r="AA120" s="153"/>
      <c r="AB120" s="154">
        <f t="shared" si="19"/>
        <v>0</v>
      </c>
      <c r="AC120" s="149">
        <f t="shared" si="20"/>
        <v>0</v>
      </c>
      <c r="AD120" s="125">
        <v>2</v>
      </c>
      <c r="AE120" s="148">
        <f t="shared" si="21"/>
        <v>2</v>
      </c>
      <c r="AF120" s="156"/>
      <c r="AG120" s="156"/>
      <c r="AH120" s="113">
        <f t="shared" si="22"/>
        <v>17</v>
      </c>
      <c r="AI120" s="157">
        <v>65</v>
      </c>
      <c r="AJ120" s="113">
        <f t="shared" si="23"/>
        <v>82</v>
      </c>
      <c r="AK120" s="113">
        <f t="shared" si="24"/>
        <v>82</v>
      </c>
      <c r="AL120" s="158">
        <f t="shared" si="25"/>
        <v>1.02</v>
      </c>
      <c r="AM120" s="159"/>
      <c r="AN120" s="160">
        <f t="shared" si="30"/>
        <v>1</v>
      </c>
      <c r="AO120" s="160">
        <f t="shared" si="30"/>
        <v>2</v>
      </c>
      <c r="AP120" s="133"/>
      <c r="AQ120" s="134"/>
      <c r="AR120" s="161"/>
      <c r="AS120" s="161"/>
      <c r="AT120" s="161"/>
      <c r="AU120" s="161"/>
      <c r="AV120" s="162"/>
      <c r="AW120" s="137">
        <f t="shared" si="26"/>
        <v>0</v>
      </c>
      <c r="AX120" s="137">
        <f t="shared" si="27"/>
        <v>0</v>
      </c>
    </row>
    <row r="121" ht="47.25" customHeight="1" spans="1:50" s="56" customFormat="1" x14ac:dyDescent="0.25">
      <c r="A121" s="100"/>
      <c r="B121" s="100"/>
      <c r="C121" s="100"/>
      <c r="D121" s="100"/>
      <c r="E121" s="100"/>
      <c r="F121" s="100"/>
      <c r="G121" s="103"/>
      <c r="H121" s="186"/>
      <c r="I121" s="195">
        <v>0.51</v>
      </c>
      <c r="J121" s="107">
        <v>0.49</v>
      </c>
      <c r="K121" s="107"/>
      <c r="L121" s="107"/>
      <c r="M121" s="187"/>
      <c r="N121" s="169">
        <f t="shared" si="29"/>
        <v>1</v>
      </c>
      <c r="O121" s="144">
        <v>1</v>
      </c>
      <c r="P121" s="145">
        <v>15</v>
      </c>
      <c r="Q121" s="113">
        <v>15</v>
      </c>
      <c r="R121" s="113"/>
      <c r="S121" s="113"/>
      <c r="T121" s="146"/>
      <c r="U121" s="148">
        <f t="shared" si="17"/>
        <v>15</v>
      </c>
      <c r="V121" s="149">
        <f t="shared" si="18"/>
        <v>15</v>
      </c>
      <c r="W121" s="189"/>
      <c r="X121" s="199"/>
      <c r="Y121" s="151"/>
      <c r="Z121" s="190"/>
      <c r="AA121" s="153"/>
      <c r="AB121" s="154">
        <f t="shared" si="19"/>
        <v>0</v>
      </c>
      <c r="AC121" s="149">
        <f t="shared" si="20"/>
        <v>0</v>
      </c>
      <c r="AD121" s="125">
        <v>2</v>
      </c>
      <c r="AE121" s="148">
        <f t="shared" si="21"/>
        <v>2</v>
      </c>
      <c r="AF121" s="156"/>
      <c r="AG121" s="156"/>
      <c r="AH121" s="113">
        <f t="shared" si="22"/>
        <v>17</v>
      </c>
      <c r="AI121" s="157">
        <v>65</v>
      </c>
      <c r="AJ121" s="113">
        <f t="shared" si="23"/>
        <v>82</v>
      </c>
      <c r="AK121" s="113">
        <f t="shared" si="24"/>
        <v>82</v>
      </c>
      <c r="AL121" s="158">
        <f t="shared" si="25"/>
        <v>1.02</v>
      </c>
      <c r="AM121" s="159"/>
      <c r="AN121" s="160">
        <f t="shared" si="30"/>
        <v>1</v>
      </c>
      <c r="AO121" s="160">
        <f t="shared" si="30"/>
        <v>2</v>
      </c>
      <c r="AP121" s="133"/>
      <c r="AQ121" s="134"/>
      <c r="AR121" s="161"/>
      <c r="AS121" s="161"/>
      <c r="AT121" s="161"/>
      <c r="AU121" s="161"/>
      <c r="AV121" s="162"/>
      <c r="AW121" s="137">
        <f t="shared" si="26"/>
        <v>0</v>
      </c>
      <c r="AX121" s="137">
        <f t="shared" si="27"/>
        <v>0</v>
      </c>
    </row>
    <row r="122" ht="47.25" customHeight="1" spans="1:50" s="97" customFormat="1" x14ac:dyDescent="0.25">
      <c r="A122" s="100"/>
      <c r="B122" s="100"/>
      <c r="C122" s="100"/>
      <c r="D122" s="100"/>
      <c r="E122" s="100"/>
      <c r="F122" s="100"/>
      <c r="G122" s="103"/>
      <c r="H122" s="186"/>
      <c r="I122" s="195">
        <v>0.51</v>
      </c>
      <c r="J122" s="107">
        <v>0.49</v>
      </c>
      <c r="K122" s="107"/>
      <c r="L122" s="107"/>
      <c r="M122" s="187"/>
      <c r="N122" s="169">
        <f t="shared" si="29"/>
        <v>1</v>
      </c>
      <c r="O122" s="144">
        <v>1</v>
      </c>
      <c r="P122" s="145">
        <v>15</v>
      </c>
      <c r="Q122" s="113">
        <v>15</v>
      </c>
      <c r="R122" s="113"/>
      <c r="S122" s="113"/>
      <c r="T122" s="146"/>
      <c r="U122" s="148">
        <f t="shared" si="17"/>
        <v>15</v>
      </c>
      <c r="V122" s="149">
        <f t="shared" si="18"/>
        <v>15</v>
      </c>
      <c r="W122" s="189"/>
      <c r="X122" s="199"/>
      <c r="Y122" s="151"/>
      <c r="Z122" s="190"/>
      <c r="AA122" s="153"/>
      <c r="AB122" s="154">
        <f t="shared" si="19"/>
        <v>0</v>
      </c>
      <c r="AC122" s="149">
        <f t="shared" si="20"/>
        <v>0</v>
      </c>
      <c r="AD122" s="125">
        <v>2</v>
      </c>
      <c r="AE122" s="148">
        <f t="shared" si="21"/>
        <v>2</v>
      </c>
      <c r="AF122" s="156"/>
      <c r="AG122" s="156"/>
      <c r="AH122" s="113">
        <f t="shared" si="22"/>
        <v>17</v>
      </c>
      <c r="AI122" s="157">
        <v>65</v>
      </c>
      <c r="AJ122" s="113">
        <f t="shared" si="23"/>
        <v>82</v>
      </c>
      <c r="AK122" s="113">
        <f t="shared" si="24"/>
        <v>82</v>
      </c>
      <c r="AL122" s="158">
        <f t="shared" si="25"/>
        <v>1.02</v>
      </c>
      <c r="AM122" s="159"/>
      <c r="AN122" s="160">
        <f t="shared" si="30"/>
        <v>1</v>
      </c>
      <c r="AO122" s="160">
        <f t="shared" si="30"/>
        <v>2</v>
      </c>
      <c r="AP122" s="133"/>
      <c r="AQ122" s="134"/>
      <c r="AR122" s="161"/>
      <c r="AS122" s="161"/>
      <c r="AT122" s="161"/>
      <c r="AU122" s="161"/>
      <c r="AV122" s="162"/>
      <c r="AW122" s="137">
        <f t="shared" si="26"/>
        <v>0</v>
      </c>
      <c r="AX122" s="137">
        <f t="shared" si="27"/>
        <v>0</v>
      </c>
    </row>
    <row r="123" ht="47.25" customHeight="1" spans="1:50" s="97" customFormat="1" x14ac:dyDescent="0.25">
      <c r="A123" s="100"/>
      <c r="B123" s="100"/>
      <c r="C123" s="100"/>
      <c r="D123" s="100"/>
      <c r="E123" s="100"/>
      <c r="F123" s="100"/>
      <c r="G123" s="103"/>
      <c r="H123" s="186"/>
      <c r="I123" s="195">
        <v>0.51</v>
      </c>
      <c r="J123" s="107">
        <v>0.49</v>
      </c>
      <c r="K123" s="107"/>
      <c r="L123" s="107"/>
      <c r="M123" s="187"/>
      <c r="N123" s="169">
        <f t="shared" si="29"/>
        <v>1</v>
      </c>
      <c r="O123" s="144">
        <v>1</v>
      </c>
      <c r="P123" s="145">
        <v>15</v>
      </c>
      <c r="Q123" s="113">
        <v>15</v>
      </c>
      <c r="R123" s="113"/>
      <c r="S123" s="113"/>
      <c r="T123" s="146"/>
      <c r="U123" s="148">
        <f t="shared" si="17"/>
        <v>15</v>
      </c>
      <c r="V123" s="149">
        <f t="shared" si="18"/>
        <v>15</v>
      </c>
      <c r="W123" s="189"/>
      <c r="X123" s="199"/>
      <c r="Y123" s="151"/>
      <c r="Z123" s="190"/>
      <c r="AA123" s="153"/>
      <c r="AB123" s="154">
        <f t="shared" si="19"/>
        <v>0</v>
      </c>
      <c r="AC123" s="149">
        <f t="shared" si="20"/>
        <v>0</v>
      </c>
      <c r="AD123" s="125">
        <v>2</v>
      </c>
      <c r="AE123" s="148">
        <f t="shared" si="21"/>
        <v>2</v>
      </c>
      <c r="AF123" s="156"/>
      <c r="AG123" s="156"/>
      <c r="AH123" s="113">
        <f t="shared" si="22"/>
        <v>17</v>
      </c>
      <c r="AI123" s="157">
        <v>65</v>
      </c>
      <c r="AJ123" s="113">
        <f t="shared" si="23"/>
        <v>82</v>
      </c>
      <c r="AK123" s="113">
        <f t="shared" si="24"/>
        <v>82</v>
      </c>
      <c r="AL123" s="158">
        <f t="shared" si="25"/>
        <v>1.02</v>
      </c>
      <c r="AM123" s="159"/>
      <c r="AN123" s="160">
        <f t="shared" si="30"/>
        <v>1</v>
      </c>
      <c r="AO123" s="160">
        <f t="shared" si="30"/>
        <v>2</v>
      </c>
      <c r="AP123" s="133"/>
      <c r="AQ123" s="134"/>
      <c r="AR123" s="161"/>
      <c r="AS123" s="161"/>
      <c r="AT123" s="161"/>
      <c r="AU123" s="161"/>
      <c r="AV123" s="162"/>
      <c r="AW123" s="137">
        <f t="shared" si="26"/>
        <v>0</v>
      </c>
      <c r="AX123" s="137">
        <f t="shared" si="27"/>
        <v>0</v>
      </c>
    </row>
    <row r="124" ht="46.5" customHeight="1" spans="1:50" s="97" customFormat="1" x14ac:dyDescent="0.25">
      <c r="A124" s="100"/>
      <c r="B124" s="100"/>
      <c r="C124" s="100"/>
      <c r="D124" s="100"/>
      <c r="E124" s="100"/>
      <c r="F124" s="100"/>
      <c r="G124" s="103"/>
      <c r="H124" s="186"/>
      <c r="I124" s="195">
        <v>0.51</v>
      </c>
      <c r="J124" s="107">
        <v>0.49</v>
      </c>
      <c r="K124" s="107"/>
      <c r="L124" s="107"/>
      <c r="M124" s="187"/>
      <c r="N124" s="169">
        <f t="shared" si="29"/>
        <v>1</v>
      </c>
      <c r="O124" s="144">
        <v>1</v>
      </c>
      <c r="P124" s="145">
        <v>15</v>
      </c>
      <c r="Q124" s="113">
        <v>15</v>
      </c>
      <c r="R124" s="113"/>
      <c r="S124" s="113"/>
      <c r="T124" s="146"/>
      <c r="U124" s="148">
        <f t="shared" si="17"/>
        <v>15</v>
      </c>
      <c r="V124" s="149">
        <f t="shared" si="18"/>
        <v>15</v>
      </c>
      <c r="W124" s="189"/>
      <c r="X124" s="199"/>
      <c r="Y124" s="151"/>
      <c r="Z124" s="190"/>
      <c r="AA124" s="153"/>
      <c r="AB124" s="154">
        <f t="shared" si="19"/>
        <v>0</v>
      </c>
      <c r="AC124" s="149">
        <f t="shared" si="20"/>
        <v>0</v>
      </c>
      <c r="AD124" s="125">
        <v>2</v>
      </c>
      <c r="AE124" s="148">
        <f t="shared" si="21"/>
        <v>2</v>
      </c>
      <c r="AF124" s="156"/>
      <c r="AG124" s="156"/>
      <c r="AH124" s="113">
        <f t="shared" si="22"/>
        <v>17</v>
      </c>
      <c r="AI124" s="157">
        <v>65</v>
      </c>
      <c r="AJ124" s="113">
        <f t="shared" si="23"/>
        <v>82</v>
      </c>
      <c r="AK124" s="113">
        <f t="shared" si="24"/>
        <v>82</v>
      </c>
      <c r="AL124" s="158">
        <f t="shared" si="25"/>
        <v>1.02</v>
      </c>
      <c r="AM124" s="159"/>
      <c r="AN124" s="160">
        <f t="shared" si="30"/>
        <v>1</v>
      </c>
      <c r="AO124" s="160">
        <f t="shared" si="30"/>
        <v>2</v>
      </c>
      <c r="AP124" s="133"/>
      <c r="AQ124" s="134"/>
      <c r="AR124" s="161"/>
      <c r="AS124" s="161"/>
      <c r="AT124" s="161"/>
      <c r="AU124" s="161"/>
      <c r="AV124" s="162"/>
      <c r="AW124" s="137">
        <f t="shared" si="26"/>
        <v>0</v>
      </c>
      <c r="AX124" s="137">
        <f t="shared" si="27"/>
        <v>0</v>
      </c>
    </row>
    <row r="125" ht="46.5" customHeight="1" spans="1:50" s="97" customFormat="1" x14ac:dyDescent="0.25">
      <c r="A125" s="100"/>
      <c r="B125" s="100"/>
      <c r="C125" s="100"/>
      <c r="D125" s="100"/>
      <c r="E125" s="100"/>
      <c r="F125" s="100"/>
      <c r="G125" s="103"/>
      <c r="H125" s="186"/>
      <c r="I125" s="195">
        <v>0.51</v>
      </c>
      <c r="J125" s="107">
        <v>0.49</v>
      </c>
      <c r="K125" s="107"/>
      <c r="L125" s="107"/>
      <c r="M125" s="187"/>
      <c r="N125" s="169">
        <f t="shared" si="29"/>
        <v>1</v>
      </c>
      <c r="O125" s="144">
        <v>1</v>
      </c>
      <c r="P125" s="145">
        <v>15</v>
      </c>
      <c r="Q125" s="113">
        <v>15</v>
      </c>
      <c r="R125" s="113"/>
      <c r="S125" s="113"/>
      <c r="T125" s="146"/>
      <c r="U125" s="148">
        <f t="shared" si="17"/>
        <v>15</v>
      </c>
      <c r="V125" s="149">
        <f t="shared" si="18"/>
        <v>15</v>
      </c>
      <c r="W125" s="189"/>
      <c r="X125" s="199"/>
      <c r="Y125" s="151"/>
      <c r="Z125" s="190"/>
      <c r="AA125" s="153"/>
      <c r="AB125" s="154">
        <f t="shared" si="19"/>
        <v>0</v>
      </c>
      <c r="AC125" s="149">
        <f t="shared" si="20"/>
        <v>0</v>
      </c>
      <c r="AD125" s="125">
        <v>2</v>
      </c>
      <c r="AE125" s="148">
        <f t="shared" si="21"/>
        <v>2</v>
      </c>
      <c r="AF125" s="156"/>
      <c r="AG125" s="156"/>
      <c r="AH125" s="113">
        <f t="shared" si="22"/>
        <v>17</v>
      </c>
      <c r="AI125" s="157">
        <v>65</v>
      </c>
      <c r="AJ125" s="113">
        <f t="shared" si="23"/>
        <v>82</v>
      </c>
      <c r="AK125" s="113">
        <f t="shared" si="24"/>
        <v>82</v>
      </c>
      <c r="AL125" s="158">
        <f t="shared" si="25"/>
        <v>1.02</v>
      </c>
      <c r="AM125" s="159"/>
      <c r="AN125" s="160">
        <f t="shared" si="30"/>
        <v>1</v>
      </c>
      <c r="AO125" s="160">
        <f t="shared" si="30"/>
        <v>2</v>
      </c>
      <c r="AP125" s="133"/>
      <c r="AQ125" s="134"/>
      <c r="AR125" s="161"/>
      <c r="AS125" s="161"/>
      <c r="AT125" s="161"/>
      <c r="AU125" s="161"/>
      <c r="AV125" s="162"/>
      <c r="AW125" s="137">
        <f t="shared" si="26"/>
        <v>0</v>
      </c>
      <c r="AX125" s="137">
        <f t="shared" si="27"/>
        <v>0</v>
      </c>
    </row>
    <row r="126" ht="47.25" customHeight="1" spans="1:50" s="56" customFormat="1" x14ac:dyDescent="0.25">
      <c r="A126" s="100"/>
      <c r="B126" s="100"/>
      <c r="C126" s="100"/>
      <c r="D126" s="100"/>
      <c r="E126" s="100"/>
      <c r="F126" s="100"/>
      <c r="G126" s="103"/>
      <c r="H126" s="186"/>
      <c r="I126" s="195">
        <v>0.51</v>
      </c>
      <c r="J126" s="107">
        <v>0.49</v>
      </c>
      <c r="K126" s="107"/>
      <c r="L126" s="107"/>
      <c r="M126" s="187"/>
      <c r="N126" s="169">
        <f t="shared" si="29"/>
        <v>1</v>
      </c>
      <c r="O126" s="144">
        <v>1</v>
      </c>
      <c r="P126" s="145">
        <v>15</v>
      </c>
      <c r="Q126" s="113">
        <v>15</v>
      </c>
      <c r="R126" s="113"/>
      <c r="S126" s="113"/>
      <c r="T126" s="146"/>
      <c r="U126" s="148">
        <f t="shared" si="17"/>
        <v>15</v>
      </c>
      <c r="V126" s="149">
        <f t="shared" si="18"/>
        <v>15</v>
      </c>
      <c r="W126" s="189"/>
      <c r="X126" s="199"/>
      <c r="Y126" s="151"/>
      <c r="Z126" s="190"/>
      <c r="AA126" s="153"/>
      <c r="AB126" s="154">
        <f t="shared" si="19"/>
        <v>0</v>
      </c>
      <c r="AC126" s="149">
        <f t="shared" si="20"/>
        <v>0</v>
      </c>
      <c r="AD126" s="125">
        <v>2</v>
      </c>
      <c r="AE126" s="148">
        <f t="shared" si="21"/>
        <v>2</v>
      </c>
      <c r="AF126" s="156"/>
      <c r="AG126" s="156"/>
      <c r="AH126" s="113">
        <f t="shared" si="22"/>
        <v>17</v>
      </c>
      <c r="AI126" s="157">
        <v>65</v>
      </c>
      <c r="AJ126" s="113">
        <f t="shared" si="23"/>
        <v>82</v>
      </c>
      <c r="AK126" s="113">
        <f t="shared" si="24"/>
        <v>82</v>
      </c>
      <c r="AL126" s="158">
        <f t="shared" si="25"/>
        <v>1.02</v>
      </c>
      <c r="AM126" s="159"/>
      <c r="AN126" s="160">
        <f t="shared" si="30"/>
        <v>1</v>
      </c>
      <c r="AO126" s="160">
        <f t="shared" si="30"/>
        <v>2</v>
      </c>
      <c r="AP126" s="133"/>
      <c r="AQ126" s="134"/>
      <c r="AR126" s="161"/>
      <c r="AS126" s="161"/>
      <c r="AT126" s="161"/>
      <c r="AU126" s="161"/>
      <c r="AV126" s="162"/>
      <c r="AW126" s="137">
        <f t="shared" si="26"/>
        <v>0</v>
      </c>
      <c r="AX126" s="137">
        <f t="shared" si="27"/>
        <v>0</v>
      </c>
    </row>
    <row r="127" ht="46.5" customHeight="1" spans="1:50" s="97" customFormat="1" x14ac:dyDescent="0.25">
      <c r="A127" s="100"/>
      <c r="B127" s="100"/>
      <c r="C127" s="100"/>
      <c r="D127" s="100"/>
      <c r="E127" s="100"/>
      <c r="F127" s="100"/>
      <c r="G127" s="103"/>
      <c r="H127" s="186"/>
      <c r="I127" s="195">
        <v>0.51</v>
      </c>
      <c r="J127" s="107">
        <v>0.49</v>
      </c>
      <c r="K127" s="107"/>
      <c r="L127" s="107"/>
      <c r="M127" s="187"/>
      <c r="N127" s="169">
        <f t="shared" si="29"/>
        <v>1</v>
      </c>
      <c r="O127" s="144">
        <v>1</v>
      </c>
      <c r="P127" s="145">
        <v>15</v>
      </c>
      <c r="Q127" s="113">
        <v>15</v>
      </c>
      <c r="R127" s="113"/>
      <c r="S127" s="113"/>
      <c r="T127" s="146"/>
      <c r="U127" s="148">
        <f t="shared" si="17"/>
        <v>15</v>
      </c>
      <c r="V127" s="149">
        <f t="shared" si="18"/>
        <v>15</v>
      </c>
      <c r="W127" s="189"/>
      <c r="X127" s="199"/>
      <c r="Y127" s="151"/>
      <c r="Z127" s="190"/>
      <c r="AA127" s="153"/>
      <c r="AB127" s="154">
        <f t="shared" si="19"/>
        <v>0</v>
      </c>
      <c r="AC127" s="149">
        <f t="shared" si="20"/>
        <v>0</v>
      </c>
      <c r="AD127" s="125">
        <v>2</v>
      </c>
      <c r="AE127" s="148">
        <f t="shared" si="21"/>
        <v>2</v>
      </c>
      <c r="AF127" s="156"/>
      <c r="AG127" s="156"/>
      <c r="AH127" s="113">
        <f t="shared" si="22"/>
        <v>17</v>
      </c>
      <c r="AI127" s="157">
        <v>65</v>
      </c>
      <c r="AJ127" s="113">
        <f t="shared" si="23"/>
        <v>82</v>
      </c>
      <c r="AK127" s="113">
        <f t="shared" si="24"/>
        <v>82</v>
      </c>
      <c r="AL127" s="158">
        <f t="shared" si="25"/>
        <v>1.02</v>
      </c>
      <c r="AM127" s="159"/>
      <c r="AN127" s="160">
        <f t="shared" si="30"/>
        <v>1</v>
      </c>
      <c r="AO127" s="160">
        <f t="shared" si="30"/>
        <v>2</v>
      </c>
      <c r="AP127" s="133"/>
      <c r="AQ127" s="134"/>
      <c r="AR127" s="161"/>
      <c r="AS127" s="161"/>
      <c r="AT127" s="161"/>
      <c r="AU127" s="161"/>
      <c r="AV127" s="162"/>
      <c r="AW127" s="137">
        <f t="shared" si="26"/>
        <v>0</v>
      </c>
      <c r="AX127" s="137">
        <f t="shared" si="27"/>
        <v>0</v>
      </c>
    </row>
    <row r="128" ht="47.25" customHeight="1" spans="1:50" s="56" customFormat="1" x14ac:dyDescent="0.25">
      <c r="A128" s="100"/>
      <c r="B128" s="100"/>
      <c r="C128" s="100"/>
      <c r="D128" s="100"/>
      <c r="E128" s="100"/>
      <c r="F128" s="100"/>
      <c r="G128" s="103"/>
      <c r="H128" s="186"/>
      <c r="I128" s="195">
        <v>0.51</v>
      </c>
      <c r="J128" s="107">
        <v>0.49</v>
      </c>
      <c r="K128" s="107"/>
      <c r="L128" s="107"/>
      <c r="M128" s="187"/>
      <c r="N128" s="169">
        <f t="shared" si="29"/>
        <v>1</v>
      </c>
      <c r="O128" s="144">
        <v>1</v>
      </c>
      <c r="P128" s="145">
        <v>15</v>
      </c>
      <c r="Q128" s="113">
        <v>15</v>
      </c>
      <c r="R128" s="113"/>
      <c r="S128" s="113"/>
      <c r="T128" s="146"/>
      <c r="U128" s="148">
        <f t="shared" si="17"/>
        <v>15</v>
      </c>
      <c r="V128" s="149">
        <f t="shared" si="18"/>
        <v>15</v>
      </c>
      <c r="W128" s="189"/>
      <c r="X128" s="199"/>
      <c r="Y128" s="151"/>
      <c r="Z128" s="190"/>
      <c r="AA128" s="153"/>
      <c r="AB128" s="154">
        <f t="shared" si="19"/>
        <v>0</v>
      </c>
      <c r="AC128" s="149">
        <f t="shared" si="20"/>
        <v>0</v>
      </c>
      <c r="AD128" s="125">
        <v>2</v>
      </c>
      <c r="AE128" s="148">
        <f t="shared" si="21"/>
        <v>2</v>
      </c>
      <c r="AF128" s="156"/>
      <c r="AG128" s="156"/>
      <c r="AH128" s="113">
        <f t="shared" si="22"/>
        <v>17</v>
      </c>
      <c r="AI128" s="157">
        <v>65</v>
      </c>
      <c r="AJ128" s="113">
        <f t="shared" si="23"/>
        <v>82</v>
      </c>
      <c r="AK128" s="113">
        <f t="shared" si="24"/>
        <v>82</v>
      </c>
      <c r="AL128" s="158">
        <f t="shared" si="25"/>
        <v>1.02</v>
      </c>
      <c r="AM128" s="159"/>
      <c r="AN128" s="160">
        <f t="shared" si="30"/>
        <v>1</v>
      </c>
      <c r="AO128" s="160">
        <f t="shared" si="30"/>
        <v>2</v>
      </c>
      <c r="AP128" s="133"/>
      <c r="AQ128" s="134"/>
      <c r="AR128" s="161"/>
      <c r="AS128" s="161"/>
      <c r="AT128" s="161"/>
      <c r="AU128" s="161"/>
      <c r="AV128" s="162"/>
      <c r="AW128" s="137">
        <f t="shared" si="26"/>
        <v>0</v>
      </c>
      <c r="AX128" s="137">
        <f t="shared" si="27"/>
        <v>0</v>
      </c>
    </row>
    <row r="129" ht="46.5" customHeight="1" spans="1:50" s="97" customFormat="1" x14ac:dyDescent="0.25">
      <c r="A129" s="100"/>
      <c r="B129" s="100"/>
      <c r="C129" s="100"/>
      <c r="D129" s="100"/>
      <c r="E129" s="100"/>
      <c r="F129" s="100"/>
      <c r="G129" s="103"/>
      <c r="H129" s="186"/>
      <c r="I129" s="195">
        <v>0.51</v>
      </c>
      <c r="J129" s="107">
        <v>0.49</v>
      </c>
      <c r="K129" s="107"/>
      <c r="L129" s="107"/>
      <c r="M129" s="187"/>
      <c r="N129" s="169">
        <f t="shared" si="29"/>
        <v>1</v>
      </c>
      <c r="O129" s="144">
        <v>1</v>
      </c>
      <c r="P129" s="145">
        <v>15</v>
      </c>
      <c r="Q129" s="113">
        <v>15</v>
      </c>
      <c r="R129" s="113"/>
      <c r="S129" s="113"/>
      <c r="T129" s="146"/>
      <c r="U129" s="148">
        <f t="shared" si="17"/>
        <v>15</v>
      </c>
      <c r="V129" s="149">
        <f t="shared" si="18"/>
        <v>15</v>
      </c>
      <c r="W129" s="189"/>
      <c r="X129" s="199"/>
      <c r="Y129" s="151"/>
      <c r="Z129" s="190"/>
      <c r="AA129" s="153"/>
      <c r="AB129" s="154">
        <f t="shared" si="19"/>
        <v>0</v>
      </c>
      <c r="AC129" s="149">
        <f t="shared" si="20"/>
        <v>0</v>
      </c>
      <c r="AD129" s="125">
        <v>2</v>
      </c>
      <c r="AE129" s="148">
        <f t="shared" si="21"/>
        <v>2</v>
      </c>
      <c r="AF129" s="156"/>
      <c r="AG129" s="156"/>
      <c r="AH129" s="113">
        <f t="shared" si="22"/>
        <v>17</v>
      </c>
      <c r="AI129" s="157">
        <v>65</v>
      </c>
      <c r="AJ129" s="113">
        <f t="shared" si="23"/>
        <v>82</v>
      </c>
      <c r="AK129" s="113">
        <f t="shared" si="24"/>
        <v>82</v>
      </c>
      <c r="AL129" s="158">
        <f t="shared" si="25"/>
        <v>1.02</v>
      </c>
      <c r="AM129" s="159"/>
      <c r="AN129" s="160">
        <f t="shared" si="30"/>
        <v>1</v>
      </c>
      <c r="AO129" s="160">
        <f t="shared" si="30"/>
        <v>2</v>
      </c>
      <c r="AP129" s="133"/>
      <c r="AQ129" s="134"/>
      <c r="AR129" s="161"/>
      <c r="AS129" s="161"/>
      <c r="AT129" s="161"/>
      <c r="AU129" s="161"/>
      <c r="AV129" s="162"/>
      <c r="AW129" s="137">
        <f t="shared" si="26"/>
        <v>0</v>
      </c>
      <c r="AX129" s="137">
        <f t="shared" si="27"/>
        <v>0</v>
      </c>
    </row>
    <row r="130" ht="46.5" customHeight="1" spans="1:50" s="97" customFormat="1" x14ac:dyDescent="0.25">
      <c r="A130" s="100"/>
      <c r="B130" s="100"/>
      <c r="C130" s="100"/>
      <c r="D130" s="100"/>
      <c r="E130" s="100"/>
      <c r="F130" s="100"/>
      <c r="G130" s="103"/>
      <c r="H130" s="186"/>
      <c r="I130" s="195">
        <v>0.51</v>
      </c>
      <c r="J130" s="107">
        <v>0.49</v>
      </c>
      <c r="K130" s="107"/>
      <c r="L130" s="107"/>
      <c r="M130" s="187"/>
      <c r="N130" s="169">
        <f t="shared" si="29"/>
        <v>1</v>
      </c>
      <c r="O130" s="144">
        <v>1</v>
      </c>
      <c r="P130" s="145">
        <v>15</v>
      </c>
      <c r="Q130" s="113">
        <v>15</v>
      </c>
      <c r="R130" s="113"/>
      <c r="S130" s="113"/>
      <c r="T130" s="146"/>
      <c r="U130" s="148">
        <f t="shared" si="17"/>
        <v>15</v>
      </c>
      <c r="V130" s="149">
        <f t="shared" si="18"/>
        <v>15</v>
      </c>
      <c r="W130" s="189"/>
      <c r="X130" s="199"/>
      <c r="Y130" s="151"/>
      <c r="Z130" s="190"/>
      <c r="AA130" s="153"/>
      <c r="AB130" s="154">
        <f t="shared" si="19"/>
        <v>0</v>
      </c>
      <c r="AC130" s="149">
        <f t="shared" si="20"/>
        <v>0</v>
      </c>
      <c r="AD130" s="125">
        <v>2</v>
      </c>
      <c r="AE130" s="148">
        <f t="shared" si="21"/>
        <v>2</v>
      </c>
      <c r="AF130" s="156"/>
      <c r="AG130" s="156"/>
      <c r="AH130" s="113">
        <f t="shared" si="22"/>
        <v>17</v>
      </c>
      <c r="AI130" s="157">
        <v>65</v>
      </c>
      <c r="AJ130" s="113">
        <f t="shared" si="23"/>
        <v>82</v>
      </c>
      <c r="AK130" s="113">
        <f t="shared" si="24"/>
        <v>82</v>
      </c>
      <c r="AL130" s="158">
        <f t="shared" si="25"/>
        <v>1.02</v>
      </c>
      <c r="AM130" s="159"/>
      <c r="AN130" s="160">
        <f t="shared" si="30"/>
        <v>1</v>
      </c>
      <c r="AO130" s="160">
        <f t="shared" si="30"/>
        <v>2</v>
      </c>
      <c r="AP130" s="133"/>
      <c r="AQ130" s="134"/>
      <c r="AR130" s="161"/>
      <c r="AS130" s="161"/>
      <c r="AT130" s="161"/>
      <c r="AU130" s="161"/>
      <c r="AV130" s="162"/>
      <c r="AW130" s="137">
        <f t="shared" si="26"/>
        <v>0</v>
      </c>
      <c r="AX130" s="137">
        <f t="shared" si="27"/>
        <v>0</v>
      </c>
    </row>
    <row r="131" ht="47.25" customHeight="1" spans="1:50" s="97" customFormat="1" x14ac:dyDescent="0.25">
      <c r="A131" s="100"/>
      <c r="B131" s="100"/>
      <c r="C131" s="100"/>
      <c r="D131" s="100"/>
      <c r="E131" s="100"/>
      <c r="F131" s="100"/>
      <c r="G131" s="103"/>
      <c r="H131" s="186"/>
      <c r="I131" s="195">
        <v>0.51</v>
      </c>
      <c r="J131" s="107">
        <v>0.49</v>
      </c>
      <c r="K131" s="107"/>
      <c r="L131" s="107"/>
      <c r="M131" s="187"/>
      <c r="N131" s="169">
        <f t="shared" si="29"/>
        <v>1</v>
      </c>
      <c r="O131" s="144">
        <v>1</v>
      </c>
      <c r="P131" s="145">
        <v>15</v>
      </c>
      <c r="Q131" s="113">
        <v>15</v>
      </c>
      <c r="R131" s="113"/>
      <c r="S131" s="113"/>
      <c r="T131" s="146"/>
      <c r="U131" s="148">
        <f t="shared" si="17"/>
        <v>15</v>
      </c>
      <c r="V131" s="149">
        <f t="shared" si="18"/>
        <v>15</v>
      </c>
      <c r="W131" s="189"/>
      <c r="X131" s="199"/>
      <c r="Y131" s="151"/>
      <c r="Z131" s="190"/>
      <c r="AA131" s="153"/>
      <c r="AB131" s="154">
        <f t="shared" si="19"/>
        <v>0</v>
      </c>
      <c r="AC131" s="149">
        <f t="shared" si="20"/>
        <v>0</v>
      </c>
      <c r="AD131" s="125">
        <v>2</v>
      </c>
      <c r="AE131" s="148">
        <f t="shared" si="21"/>
        <v>2</v>
      </c>
      <c r="AF131" s="156"/>
      <c r="AG131" s="156"/>
      <c r="AH131" s="113">
        <f t="shared" si="22"/>
        <v>17</v>
      </c>
      <c r="AI131" s="157">
        <v>65</v>
      </c>
      <c r="AJ131" s="113">
        <f t="shared" si="23"/>
        <v>82</v>
      </c>
      <c r="AK131" s="113">
        <f t="shared" si="24"/>
        <v>82</v>
      </c>
      <c r="AL131" s="158">
        <f t="shared" si="25"/>
        <v>1.02</v>
      </c>
      <c r="AM131" s="159"/>
      <c r="AN131" s="160">
        <f t="shared" ref="AN131:AO136" si="31">100%+AM131</f>
        <v>1</v>
      </c>
      <c r="AO131" s="160">
        <f t="shared" si="31"/>
        <v>2</v>
      </c>
      <c r="AP131" s="133"/>
      <c r="AQ131" s="134"/>
      <c r="AR131" s="161"/>
      <c r="AS131" s="161"/>
      <c r="AT131" s="161"/>
      <c r="AU131" s="161"/>
      <c r="AV131" s="162"/>
      <c r="AW131" s="137">
        <f t="shared" si="26"/>
        <v>0</v>
      </c>
      <c r="AX131" s="137">
        <f t="shared" si="27"/>
        <v>0</v>
      </c>
    </row>
    <row r="132" ht="47.25" customHeight="1" spans="1:50" s="56" customFormat="1" x14ac:dyDescent="0.25">
      <c r="A132" s="100"/>
      <c r="B132" s="100"/>
      <c r="C132" s="100"/>
      <c r="D132" s="100"/>
      <c r="E132" s="100"/>
      <c r="F132" s="100"/>
      <c r="G132" s="103"/>
      <c r="H132" s="186"/>
      <c r="I132" s="195">
        <v>0.51</v>
      </c>
      <c r="J132" s="107">
        <v>0.49</v>
      </c>
      <c r="K132" s="107"/>
      <c r="L132" s="107"/>
      <c r="M132" s="187"/>
      <c r="N132" s="169">
        <f t="shared" si="29"/>
        <v>1</v>
      </c>
      <c r="O132" s="144">
        <v>1</v>
      </c>
      <c r="P132" s="145">
        <v>15</v>
      </c>
      <c r="Q132" s="113">
        <v>15</v>
      </c>
      <c r="R132" s="113"/>
      <c r="S132" s="113"/>
      <c r="T132" s="146"/>
      <c r="U132" s="148">
        <f t="shared" si="17"/>
        <v>15</v>
      </c>
      <c r="V132" s="149">
        <f t="shared" si="18"/>
        <v>15</v>
      </c>
      <c r="W132" s="189"/>
      <c r="X132" s="199"/>
      <c r="Y132" s="151"/>
      <c r="Z132" s="190"/>
      <c r="AA132" s="153"/>
      <c r="AB132" s="154">
        <f t="shared" si="19"/>
        <v>0</v>
      </c>
      <c r="AC132" s="149">
        <f t="shared" si="20"/>
        <v>0</v>
      </c>
      <c r="AD132" s="125">
        <v>2</v>
      </c>
      <c r="AE132" s="148">
        <f t="shared" si="21"/>
        <v>2</v>
      </c>
      <c r="AF132" s="156"/>
      <c r="AG132" s="156"/>
      <c r="AH132" s="113">
        <f t="shared" si="22"/>
        <v>17</v>
      </c>
      <c r="AI132" s="157">
        <v>65</v>
      </c>
      <c r="AJ132" s="113">
        <f t="shared" si="23"/>
        <v>82</v>
      </c>
      <c r="AK132" s="113">
        <f t="shared" si="24"/>
        <v>82</v>
      </c>
      <c r="AL132" s="158">
        <f t="shared" si="25"/>
        <v>1.02</v>
      </c>
      <c r="AM132" s="159"/>
      <c r="AN132" s="160">
        <f t="shared" si="31"/>
        <v>1</v>
      </c>
      <c r="AO132" s="160">
        <f t="shared" si="31"/>
        <v>2</v>
      </c>
      <c r="AP132" s="133"/>
      <c r="AQ132" s="134"/>
      <c r="AR132" s="161"/>
      <c r="AS132" s="161"/>
      <c r="AT132" s="161"/>
      <c r="AU132" s="161"/>
      <c r="AV132" s="162"/>
      <c r="AW132" s="137">
        <f t="shared" si="26"/>
        <v>0</v>
      </c>
      <c r="AX132" s="137">
        <f t="shared" si="27"/>
        <v>0</v>
      </c>
    </row>
    <row r="133" ht="46.5" customHeight="1" spans="1:50" s="97" customFormat="1" x14ac:dyDescent="0.25">
      <c r="A133" s="100"/>
      <c r="B133" s="100"/>
      <c r="C133" s="100"/>
      <c r="D133" s="100"/>
      <c r="E133" s="100"/>
      <c r="F133" s="100"/>
      <c r="G133" s="103"/>
      <c r="H133" s="186"/>
      <c r="I133" s="195">
        <v>0.51</v>
      </c>
      <c r="J133" s="107">
        <v>0.49</v>
      </c>
      <c r="K133" s="107"/>
      <c r="L133" s="107"/>
      <c r="M133" s="187"/>
      <c r="N133" s="169">
        <f t="shared" si="29"/>
        <v>1</v>
      </c>
      <c r="O133" s="144">
        <v>1</v>
      </c>
      <c r="P133" s="145">
        <v>15</v>
      </c>
      <c r="Q133" s="113">
        <v>15</v>
      </c>
      <c r="R133" s="113"/>
      <c r="S133" s="113"/>
      <c r="T133" s="146"/>
      <c r="U133" s="148">
        <f t="shared" si="17"/>
        <v>15</v>
      </c>
      <c r="V133" s="149">
        <f t="shared" si="18"/>
        <v>15</v>
      </c>
      <c r="W133" s="189"/>
      <c r="X133" s="199"/>
      <c r="Y133" s="151"/>
      <c r="Z133" s="190"/>
      <c r="AA133" s="153"/>
      <c r="AB133" s="154">
        <f t="shared" si="19"/>
        <v>0</v>
      </c>
      <c r="AC133" s="149">
        <f t="shared" si="20"/>
        <v>0</v>
      </c>
      <c r="AD133" s="125">
        <v>2</v>
      </c>
      <c r="AE133" s="148">
        <f t="shared" si="21"/>
        <v>2</v>
      </c>
      <c r="AF133" s="156"/>
      <c r="AG133" s="156"/>
      <c r="AH133" s="113">
        <f t="shared" si="22"/>
        <v>17</v>
      </c>
      <c r="AI133" s="157">
        <v>65</v>
      </c>
      <c r="AJ133" s="113">
        <f t="shared" si="23"/>
        <v>82</v>
      </c>
      <c r="AK133" s="113">
        <f t="shared" si="24"/>
        <v>82</v>
      </c>
      <c r="AL133" s="158">
        <f t="shared" si="25"/>
        <v>1.02</v>
      </c>
      <c r="AM133" s="159"/>
      <c r="AN133" s="160">
        <f t="shared" si="31"/>
        <v>1</v>
      </c>
      <c r="AO133" s="160">
        <f t="shared" si="31"/>
        <v>2</v>
      </c>
      <c r="AP133" s="133"/>
      <c r="AQ133" s="134"/>
      <c r="AR133" s="161"/>
      <c r="AS133" s="161"/>
      <c r="AT133" s="161"/>
      <c r="AU133" s="161"/>
      <c r="AV133" s="162"/>
      <c r="AW133" s="137">
        <f t="shared" si="26"/>
        <v>0</v>
      </c>
      <c r="AX133" s="137">
        <f t="shared" si="27"/>
        <v>0</v>
      </c>
    </row>
    <row r="134" ht="47.25" customHeight="1" spans="1:50" s="56" customFormat="1" x14ac:dyDescent="0.25">
      <c r="A134" s="100"/>
      <c r="B134" s="100"/>
      <c r="C134" s="100"/>
      <c r="D134" s="100"/>
      <c r="E134" s="100"/>
      <c r="F134" s="100"/>
      <c r="G134" s="103"/>
      <c r="H134" s="186"/>
      <c r="I134" s="195">
        <v>0.51</v>
      </c>
      <c r="J134" s="107">
        <v>0.49</v>
      </c>
      <c r="K134" s="107"/>
      <c r="L134" s="107"/>
      <c r="M134" s="187"/>
      <c r="N134" s="169">
        <f t="shared" si="29"/>
        <v>1</v>
      </c>
      <c r="O134" s="144">
        <v>1</v>
      </c>
      <c r="P134" s="145">
        <v>15</v>
      </c>
      <c r="Q134" s="113">
        <v>15</v>
      </c>
      <c r="R134" s="113"/>
      <c r="S134" s="113"/>
      <c r="T134" s="146"/>
      <c r="U134" s="148">
        <f t="shared" si="17"/>
        <v>15</v>
      </c>
      <c r="V134" s="149">
        <f t="shared" si="18"/>
        <v>15</v>
      </c>
      <c r="W134" s="189"/>
      <c r="X134" s="199"/>
      <c r="Y134" s="151"/>
      <c r="Z134" s="190"/>
      <c r="AA134" s="153"/>
      <c r="AB134" s="154">
        <f t="shared" si="19"/>
        <v>0</v>
      </c>
      <c r="AC134" s="149">
        <f t="shared" si="20"/>
        <v>0</v>
      </c>
      <c r="AD134" s="125">
        <v>2</v>
      </c>
      <c r="AE134" s="148">
        <f t="shared" si="21"/>
        <v>2</v>
      </c>
      <c r="AF134" s="156"/>
      <c r="AG134" s="156"/>
      <c r="AH134" s="113">
        <f t="shared" si="22"/>
        <v>17</v>
      </c>
      <c r="AI134" s="157">
        <v>65</v>
      </c>
      <c r="AJ134" s="113">
        <f t="shared" si="23"/>
        <v>82</v>
      </c>
      <c r="AK134" s="113">
        <f t="shared" si="24"/>
        <v>82</v>
      </c>
      <c r="AL134" s="158">
        <f t="shared" si="25"/>
        <v>1.02</v>
      </c>
      <c r="AM134" s="159"/>
      <c r="AN134" s="160">
        <f t="shared" si="31"/>
        <v>1</v>
      </c>
      <c r="AO134" s="160">
        <f t="shared" si="31"/>
        <v>2</v>
      </c>
      <c r="AP134" s="133"/>
      <c r="AQ134" s="134"/>
      <c r="AR134" s="161"/>
      <c r="AS134" s="161"/>
      <c r="AT134" s="161"/>
      <c r="AU134" s="161"/>
      <c r="AV134" s="162"/>
      <c r="AW134" s="137">
        <f t="shared" si="26"/>
        <v>0</v>
      </c>
      <c r="AX134" s="137">
        <f t="shared" si="27"/>
        <v>0</v>
      </c>
    </row>
    <row r="135" ht="47.25" customHeight="1" spans="1:50" s="97" customFormat="1" x14ac:dyDescent="0.25">
      <c r="A135" s="100"/>
      <c r="B135" s="100"/>
      <c r="C135" s="100"/>
      <c r="D135" s="100"/>
      <c r="E135" s="100"/>
      <c r="F135" s="100"/>
      <c r="G135" s="103"/>
      <c r="H135" s="186"/>
      <c r="I135" s="195">
        <v>0.51</v>
      </c>
      <c r="J135" s="107">
        <v>0.49</v>
      </c>
      <c r="K135" s="107"/>
      <c r="L135" s="107"/>
      <c r="M135" s="187"/>
      <c r="N135" s="169">
        <f t="shared" si="29"/>
        <v>1</v>
      </c>
      <c r="O135" s="144">
        <v>1</v>
      </c>
      <c r="P135" s="145">
        <v>15</v>
      </c>
      <c r="Q135" s="113">
        <v>15</v>
      </c>
      <c r="R135" s="113"/>
      <c r="S135" s="113"/>
      <c r="T135" s="146"/>
      <c r="U135" s="148">
        <f t="shared" si="17"/>
        <v>15</v>
      </c>
      <c r="V135" s="149">
        <f t="shared" si="18"/>
        <v>15</v>
      </c>
      <c r="W135" s="189"/>
      <c r="X135" s="199"/>
      <c r="Y135" s="151"/>
      <c r="Z135" s="190"/>
      <c r="AA135" s="153"/>
      <c r="AB135" s="154">
        <f t="shared" si="19"/>
        <v>0</v>
      </c>
      <c r="AC135" s="149">
        <f t="shared" si="20"/>
        <v>0</v>
      </c>
      <c r="AD135" s="125">
        <v>2</v>
      </c>
      <c r="AE135" s="148">
        <f t="shared" si="21"/>
        <v>2</v>
      </c>
      <c r="AF135" s="156"/>
      <c r="AG135" s="156"/>
      <c r="AH135" s="113">
        <f t="shared" si="22"/>
        <v>17</v>
      </c>
      <c r="AI135" s="157">
        <v>65</v>
      </c>
      <c r="AJ135" s="113">
        <f t="shared" si="23"/>
        <v>82</v>
      </c>
      <c r="AK135" s="113">
        <f t="shared" si="24"/>
        <v>82</v>
      </c>
      <c r="AL135" s="158">
        <f t="shared" si="25"/>
        <v>1.02</v>
      </c>
      <c r="AM135" s="159"/>
      <c r="AN135" s="160">
        <f t="shared" si="31"/>
        <v>1</v>
      </c>
      <c r="AO135" s="160">
        <f t="shared" si="31"/>
        <v>2</v>
      </c>
      <c r="AP135" s="133"/>
      <c r="AQ135" s="134"/>
      <c r="AR135" s="161"/>
      <c r="AS135" s="161"/>
      <c r="AT135" s="161"/>
      <c r="AU135" s="161"/>
      <c r="AV135" s="162"/>
      <c r="AW135" s="137">
        <f t="shared" si="26"/>
        <v>0</v>
      </c>
      <c r="AX135" s="137">
        <f t="shared" si="27"/>
        <v>0</v>
      </c>
    </row>
    <row r="136" ht="46.5" customHeight="1" spans="1:50" s="97" customFormat="1" x14ac:dyDescent="0.25">
      <c r="A136" s="100"/>
      <c r="B136" s="100"/>
      <c r="C136" s="100"/>
      <c r="D136" s="100"/>
      <c r="E136" s="100"/>
      <c r="F136" s="100"/>
      <c r="G136" s="103"/>
      <c r="H136" s="186"/>
      <c r="I136" s="195">
        <v>0.51</v>
      </c>
      <c r="J136" s="107">
        <v>0.49</v>
      </c>
      <c r="K136" s="107"/>
      <c r="L136" s="107"/>
      <c r="M136" s="187"/>
      <c r="N136" s="169">
        <f t="shared" si="29"/>
        <v>1</v>
      </c>
      <c r="O136" s="144">
        <v>1</v>
      </c>
      <c r="P136" s="145">
        <v>15</v>
      </c>
      <c r="Q136" s="113">
        <v>15</v>
      </c>
      <c r="R136" s="113"/>
      <c r="S136" s="113"/>
      <c r="T136" s="146"/>
      <c r="U136" s="148">
        <f t="shared" si="17"/>
        <v>15</v>
      </c>
      <c r="V136" s="149">
        <f t="shared" si="18"/>
        <v>15</v>
      </c>
      <c r="W136" s="189"/>
      <c r="X136" s="199"/>
      <c r="Y136" s="151"/>
      <c r="Z136" s="190"/>
      <c r="AA136" s="153"/>
      <c r="AB136" s="154">
        <f t="shared" si="19"/>
        <v>0</v>
      </c>
      <c r="AC136" s="149">
        <f t="shared" si="20"/>
        <v>0</v>
      </c>
      <c r="AD136" s="125">
        <v>2</v>
      </c>
      <c r="AE136" s="148">
        <f t="shared" si="21"/>
        <v>2</v>
      </c>
      <c r="AF136" s="156"/>
      <c r="AG136" s="156"/>
      <c r="AH136" s="113">
        <f t="shared" si="22"/>
        <v>17</v>
      </c>
      <c r="AI136" s="157">
        <v>65</v>
      </c>
      <c r="AJ136" s="113">
        <f t="shared" si="23"/>
        <v>82</v>
      </c>
      <c r="AK136" s="113">
        <f t="shared" si="24"/>
        <v>82</v>
      </c>
      <c r="AL136" s="158">
        <f t="shared" si="25"/>
        <v>1.02</v>
      </c>
      <c r="AM136" s="159"/>
      <c r="AN136" s="160">
        <f t="shared" si="31"/>
        <v>1</v>
      </c>
      <c r="AO136" s="160">
        <f t="shared" si="31"/>
        <v>2</v>
      </c>
      <c r="AP136" s="133"/>
      <c r="AQ136" s="134"/>
      <c r="AR136" s="161"/>
      <c r="AS136" s="161"/>
      <c r="AT136" s="161"/>
      <c r="AU136" s="161"/>
      <c r="AV136" s="162"/>
      <c r="AW136" s="137">
        <f t="shared" si="26"/>
        <v>0</v>
      </c>
      <c r="AX136" s="137">
        <f t="shared" si="27"/>
        <v>0</v>
      </c>
    </row>
  </sheetData>
  <mergeCells count="43">
    <mergeCell ref="D1:E1"/>
    <mergeCell ref="F1:G1"/>
    <mergeCell ref="I1:J1"/>
    <mergeCell ref="Y1:Z1"/>
    <mergeCell ref="AA1:AC1"/>
    <mergeCell ref="AD1:AE1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AG2:AH2"/>
    <mergeCell ref="AI2:AK2"/>
    <mergeCell ref="AS2:AT2"/>
    <mergeCell ref="C3:H3"/>
    <mergeCell ref="I3:M3"/>
    <mergeCell ref="P3:U3"/>
    <mergeCell ref="W3:AE3"/>
    <mergeCell ref="A3:A4"/>
    <mergeCell ref="B3:B4"/>
    <mergeCell ref="N3:N4"/>
    <mergeCell ref="O3:O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6:H6"/>
    <mergeCell ref="A8:H8"/>
    <mergeCell ref="A10:H10"/>
  </mergeCells>
  <pageMargins left="0.7" right="0.7" top="0.75" bottom="0.75" header="0.3" footer="0.3"/>
  <pageSetup paperSize="9" orientation="portrait" horizontalDpi="4294967295" verticalDpi="4294967295" scale="40" fitToWidth="1" fitToHeight="1" firstPageNumber="1" useFirstPageNumber="1" copies="1"/>
</worksheet>
</file>

<file path=xl/worksheets/sheet8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"/>
  <sheetViews>
    <sheetView workbookViewId="0" zoomScale="80" zoomScaleNormal="80">
      <selection activeCell="AK5" sqref="AK5"/>
    </sheetView>
  </sheetViews>
  <sheetFormatPr defaultRowHeight="13.5" outlineLevelRow="0" outlineLevelCol="0" x14ac:dyDescent="0.15" defaultColWidth="8.88671875" customHeight="1"/>
  <cols>
    <col min="1" max="1" width="5.33203125" style="1" customWidth="1"/>
    <col min="2" max="2" width="5.109375" style="2" customWidth="1"/>
    <col min="3" max="3" width="8.33203125" style="295" customWidth="1"/>
    <col min="4" max="4" width="8.33203125" style="4" customWidth="1"/>
    <col min="5" max="5" width="10.44140625" style="4" customWidth="1"/>
    <col min="6" max="7" width="8.33203125" style="4" customWidth="1"/>
    <col min="8" max="8" width="8.109375" style="1" customWidth="1"/>
    <col min="9" max="10" width="9" style="1" customWidth="1"/>
    <col min="11" max="13" width="8.5546875" style="1" customWidth="1"/>
    <col min="14" max="15" width="6.88671875" style="1" customWidth="1"/>
    <col min="16" max="21" width="7.5546875" style="1" customWidth="1"/>
    <col min="22" max="22" width="7.6640625" style="4" hidden="1" customWidth="1"/>
    <col min="23" max="27" width="8.33203125" style="1" customWidth="1"/>
    <col min="28" max="28" width="9" style="1" customWidth="1"/>
    <col min="29" max="29" width="7.6640625" style="4" hidden="1" customWidth="1"/>
    <col min="30" max="31" width="7.6640625" style="4" customWidth="1"/>
    <col min="32" max="32" width="7" style="1" customWidth="1"/>
    <col min="33" max="33" width="6.109375" style="1" customWidth="1"/>
    <col min="34" max="34" width="7.6640625" style="1" customWidth="1"/>
    <col min="35" max="35" width="4.6640625" style="1" customWidth="1"/>
    <col min="36" max="36" width="9.5546875" style="1" customWidth="1"/>
    <col min="37" max="37" width="9.4414062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 customWidth="1"/>
    <col min="49" max="50" width="15.109375" style="1" customWidth="1"/>
    <col min="51" max="16384" width="8.88671875" style="1" customWidth="1"/>
  </cols>
  <sheetData>
    <row r="1" ht="32.25" customHeight="1" spans="3:42" x14ac:dyDescent="0.25">
      <c r="C1" s="5" t="s">
        <v>0</v>
      </c>
      <c r="D1" s="6">
        <v>2576461000</v>
      </c>
      <c r="E1" s="7"/>
      <c r="F1" s="6"/>
      <c r="G1" s="7"/>
      <c r="H1" s="8" t="s">
        <v>1</v>
      </c>
      <c r="I1" s="9">
        <v>2690449000</v>
      </c>
      <c r="J1" s="9"/>
      <c r="K1" s="220" t="s">
        <v>393</v>
      </c>
      <c r="L1" s="11"/>
      <c r="M1" s="11"/>
      <c r="N1" s="12"/>
      <c r="O1" s="12"/>
      <c r="P1" s="12"/>
      <c r="Q1" s="12"/>
      <c r="R1" s="12"/>
      <c r="S1" s="12"/>
      <c r="T1" s="12"/>
      <c r="U1" s="12"/>
      <c r="V1" s="12"/>
      <c r="W1" s="12"/>
      <c r="X1" s="13"/>
      <c r="Y1" s="14" t="s">
        <v>3</v>
      </c>
      <c r="Z1" s="14"/>
      <c r="AA1" s="15" t="s">
        <v>4</v>
      </c>
      <c r="AB1" s="16"/>
      <c r="AC1" s="17"/>
      <c r="AD1" s="18" t="s">
        <v>5</v>
      </c>
      <c r="AE1" s="19"/>
      <c r="AF1" s="20"/>
      <c r="AG1" s="21" t="s">
        <v>260</v>
      </c>
      <c r="AH1" s="22"/>
      <c r="AI1" s="23"/>
      <c r="AJ1" s="24"/>
      <c r="AK1" s="24"/>
      <c r="AL1" s="25" t="s">
        <v>7</v>
      </c>
      <c r="AM1" s="26"/>
      <c r="AN1" s="26"/>
      <c r="AO1" s="26"/>
      <c r="AP1" s="12"/>
    </row>
    <row r="2" ht="29.25" customHeight="1" spans="1:49" s="27" customFormat="1" x14ac:dyDescent="0.25">
      <c r="A2" s="20"/>
      <c r="B2" s="28"/>
      <c r="C2" s="29" t="s">
        <v>8</v>
      </c>
      <c r="D2" s="30">
        <v>2690449000</v>
      </c>
      <c r="E2" s="31"/>
      <c r="F2" s="32"/>
      <c r="G2" s="33"/>
      <c r="H2" s="5" t="s">
        <v>9</v>
      </c>
      <c r="I2" s="34">
        <f>D2*1</f>
        <v>0</v>
      </c>
      <c r="J2" s="32"/>
      <c r="K2" s="35" t="s">
        <v>10</v>
      </c>
      <c r="L2" s="36" t="s">
        <v>11</v>
      </c>
      <c r="M2" s="37" t="s">
        <v>394</v>
      </c>
      <c r="N2" s="37"/>
      <c r="O2" s="37"/>
      <c r="P2" s="37"/>
      <c r="Q2" s="38" t="s">
        <v>395</v>
      </c>
      <c r="R2" s="38"/>
      <c r="S2" s="38"/>
      <c r="T2" s="39"/>
      <c r="U2" s="40"/>
      <c r="V2" s="40"/>
      <c r="W2" s="41"/>
      <c r="X2" s="42"/>
      <c r="Y2" s="43"/>
      <c r="Z2" s="43"/>
      <c r="AA2" s="44">
        <f>I1</f>
        <v>0</v>
      </c>
      <c r="AB2" s="45"/>
      <c r="AC2" s="46"/>
      <c r="AD2" s="47" t="e">
        <f>TRUNC(Y2/AA2,4)</f>
        <v>#DIV/0!</v>
      </c>
      <c r="AE2" s="48"/>
      <c r="AF2" s="49"/>
      <c r="AG2" s="21" t="s">
        <v>13</v>
      </c>
      <c r="AH2" s="22"/>
      <c r="AI2" s="23"/>
      <c r="AJ2" s="24"/>
      <c r="AK2" s="24"/>
      <c r="AL2" s="50"/>
      <c r="AM2" s="50"/>
      <c r="AN2" s="51" t="s">
        <v>14</v>
      </c>
      <c r="AP2" s="1"/>
      <c r="AQ2" s="1"/>
      <c r="AR2" s="52" t="s">
        <v>15</v>
      </c>
      <c r="AS2" s="53">
        <f>AI1</f>
        <v>0</v>
      </c>
      <c r="AT2" s="54"/>
      <c r="AW2" s="55"/>
    </row>
    <row r="3" ht="24.95" customHeight="1" spans="1:50" s="56" customFormat="1" x14ac:dyDescent="0.25">
      <c r="A3" s="57" t="s">
        <v>16</v>
      </c>
      <c r="B3" s="58" t="s">
        <v>17</v>
      </c>
      <c r="C3" s="59" t="s">
        <v>396</v>
      </c>
      <c r="D3" s="60"/>
      <c r="E3" s="60"/>
      <c r="F3" s="60"/>
      <c r="G3" s="60"/>
      <c r="H3" s="61"/>
      <c r="I3" s="59" t="s">
        <v>19</v>
      </c>
      <c r="J3" s="60"/>
      <c r="K3" s="60"/>
      <c r="L3" s="60"/>
      <c r="M3" s="61"/>
      <c r="N3" s="62" t="s">
        <v>20</v>
      </c>
      <c r="O3" s="63" t="s">
        <v>21</v>
      </c>
      <c r="P3" s="59" t="s">
        <v>22</v>
      </c>
      <c r="Q3" s="60"/>
      <c r="R3" s="64"/>
      <c r="S3" s="64"/>
      <c r="T3" s="60"/>
      <c r="U3" s="61"/>
      <c r="V3" s="65"/>
      <c r="W3" s="59" t="s">
        <v>23</v>
      </c>
      <c r="X3" s="60"/>
      <c r="Y3" s="60"/>
      <c r="Z3" s="60"/>
      <c r="AA3" s="60"/>
      <c r="AB3" s="60"/>
      <c r="AC3" s="60"/>
      <c r="AD3" s="60"/>
      <c r="AE3" s="61"/>
      <c r="AF3" s="60"/>
      <c r="AG3" s="60"/>
      <c r="AH3" s="60"/>
      <c r="AI3" s="60"/>
      <c r="AJ3" s="60"/>
      <c r="AK3" s="61"/>
      <c r="AL3" s="66" t="s">
        <v>24</v>
      </c>
      <c r="AM3" s="67" t="s">
        <v>25</v>
      </c>
      <c r="AN3" s="68" t="s">
        <v>26</v>
      </c>
      <c r="AO3" s="69" t="s">
        <v>27</v>
      </c>
      <c r="AP3" s="70" t="s">
        <v>28</v>
      </c>
      <c r="AQ3" s="65" t="s">
        <v>29</v>
      </c>
      <c r="AR3" s="67" t="s">
        <v>30</v>
      </c>
      <c r="AS3" s="65" t="s">
        <v>31</v>
      </c>
      <c r="AT3" s="65" t="s">
        <v>32</v>
      </c>
      <c r="AU3" s="65" t="s">
        <v>33</v>
      </c>
      <c r="AV3" s="71" t="s">
        <v>34</v>
      </c>
      <c r="AW3" s="65" t="s">
        <v>35</v>
      </c>
      <c r="AX3" s="65" t="s">
        <v>36</v>
      </c>
    </row>
    <row r="4" ht="39.75" customHeight="1" spans="1:50" s="56" customFormat="1" x14ac:dyDescent="0.25">
      <c r="A4" s="72"/>
      <c r="B4" s="73"/>
      <c r="C4" s="74" t="s">
        <v>37</v>
      </c>
      <c r="D4" s="75" t="s">
        <v>38</v>
      </c>
      <c r="E4" s="76" t="s">
        <v>39</v>
      </c>
      <c r="F4" s="76" t="s">
        <v>40</v>
      </c>
      <c r="G4" s="77" t="s">
        <v>41</v>
      </c>
      <c r="H4" s="65" t="s">
        <v>397</v>
      </c>
      <c r="I4" s="78" t="s">
        <v>37</v>
      </c>
      <c r="J4" s="79" t="s">
        <v>38</v>
      </c>
      <c r="K4" s="75" t="s">
        <v>39</v>
      </c>
      <c r="L4" s="75" t="s">
        <v>40</v>
      </c>
      <c r="M4" s="80" t="s">
        <v>41</v>
      </c>
      <c r="N4" s="81"/>
      <c r="O4" s="82"/>
      <c r="P4" s="78" t="s">
        <v>37</v>
      </c>
      <c r="Q4" s="79" t="s">
        <v>38</v>
      </c>
      <c r="R4" s="75" t="s">
        <v>39</v>
      </c>
      <c r="S4" s="75" t="s">
        <v>40</v>
      </c>
      <c r="T4" s="80" t="s">
        <v>41</v>
      </c>
      <c r="U4" s="83" t="s">
        <v>42</v>
      </c>
      <c r="V4" s="84" t="s">
        <v>43</v>
      </c>
      <c r="W4" s="85" t="s">
        <v>37</v>
      </c>
      <c r="X4" s="79" t="s">
        <v>38</v>
      </c>
      <c r="Y4" s="79" t="s">
        <v>39</v>
      </c>
      <c r="Z4" s="79" t="s">
        <v>40</v>
      </c>
      <c r="AA4" s="80" t="s">
        <v>41</v>
      </c>
      <c r="AB4" s="86" t="s">
        <v>44</v>
      </c>
      <c r="AC4" s="87" t="s">
        <v>45</v>
      </c>
      <c r="AD4" s="88" t="s">
        <v>46</v>
      </c>
      <c r="AE4" s="88" t="s">
        <v>47</v>
      </c>
      <c r="AF4" s="89" t="s">
        <v>48</v>
      </c>
      <c r="AG4" s="89" t="s">
        <v>49</v>
      </c>
      <c r="AH4" s="90" t="s">
        <v>50</v>
      </c>
      <c r="AI4" s="91" t="s">
        <v>51</v>
      </c>
      <c r="AJ4" s="91"/>
      <c r="AK4" s="91" t="s">
        <v>52</v>
      </c>
      <c r="AL4" s="92"/>
      <c r="AM4" s="93"/>
      <c r="AN4" s="94"/>
      <c r="AO4" s="95"/>
      <c r="AP4" s="70"/>
      <c r="AQ4" s="65"/>
      <c r="AR4" s="93"/>
      <c r="AS4" s="65"/>
      <c r="AT4" s="65"/>
      <c r="AU4" s="65"/>
      <c r="AV4" s="96"/>
      <c r="AW4" s="65"/>
      <c r="AX4" s="65"/>
    </row>
    <row r="5" ht="46.5" customHeight="1" spans="1:50" s="97" customFormat="1" x14ac:dyDescent="0.25">
      <c r="A5" s="98">
        <v>1</v>
      </c>
      <c r="B5" s="163" t="s">
        <v>398</v>
      </c>
      <c r="C5" s="286" t="s">
        <v>59</v>
      </c>
      <c r="D5" s="275" t="s">
        <v>399</v>
      </c>
      <c r="E5" s="163" t="s">
        <v>398</v>
      </c>
      <c r="F5" s="102" t="s">
        <v>398</v>
      </c>
      <c r="G5" s="103" t="s">
        <v>398</v>
      </c>
      <c r="H5" s="171"/>
      <c r="I5" s="291">
        <v>0.7</v>
      </c>
      <c r="J5" s="250">
        <v>0.3</v>
      </c>
      <c r="K5" s="107"/>
      <c r="L5" s="108"/>
      <c r="M5" s="109"/>
      <c r="N5" s="110">
        <f>SUM(I5:M5)</f>
        <v>0</v>
      </c>
      <c r="O5" s="111">
        <v>1</v>
      </c>
      <c r="P5" s="263">
        <v>15</v>
      </c>
      <c r="Q5" s="113">
        <v>15</v>
      </c>
      <c r="R5" s="112"/>
      <c r="S5" s="114"/>
      <c r="T5" s="115"/>
      <c r="U5" s="116">
        <f>ROUND(((P5*I5)+(Q5*J5)+(R5*K5)+(S5*L5)+(T5*M5))*O5,2)</f>
        <v>0</v>
      </c>
      <c r="V5" s="117">
        <f>IF(U5&gt;=15,15,U5)</f>
        <v>0</v>
      </c>
      <c r="W5" s="264">
        <v>39361754000</v>
      </c>
      <c r="X5" s="221">
        <v>710569000</v>
      </c>
      <c r="Y5" s="120"/>
      <c r="Z5" s="121"/>
      <c r="AA5" s="122"/>
      <c r="AB5" s="123" t="e">
        <f>ROUND((((W5*I5)+(X5*J5)+(Y5*K5)+(Z5*L5)+(AA5*M5))/$I$2),2)*13</f>
        <v>#DIV/0!</v>
      </c>
      <c r="AC5" s="124" t="e">
        <f>IF(AB5&gt;=13,13,AB5)</f>
        <v>#DIV/0!</v>
      </c>
      <c r="AD5" s="125">
        <v>3</v>
      </c>
      <c r="AE5" s="116" t="e">
        <f>IF((AC5+AD5)&gt;=15,15,(AC5+AD5))</f>
        <v>#DIV/0!</v>
      </c>
      <c r="AF5" s="126">
        <v>0</v>
      </c>
      <c r="AG5" s="127">
        <v>0</v>
      </c>
      <c r="AH5" s="128" t="e">
        <f>IF((V5+AE5+AF5)&gt;=30,30,(V5+AE5+AF5))</f>
        <v>#DIV/0!</v>
      </c>
      <c r="AI5" s="129">
        <v>65</v>
      </c>
      <c r="AJ5" s="128" t="e">
        <f>V5+AE5+AF5+AI5+AG5</f>
        <v>#DIV/0!</v>
      </c>
      <c r="AK5" s="128" t="e">
        <f>IF(AH5+AI5+AG5&gt;=95,95,AH5+AI5+AG5)</f>
        <v>#DIV/0!</v>
      </c>
      <c r="AL5" s="130" t="e">
        <f>-((50-((176+(45+(50-AH5)))))/200)</f>
        <v>#DIV/0!</v>
      </c>
      <c r="AM5" s="131"/>
      <c r="AN5" s="132">
        <f>100%+AM5</f>
        <v>1</v>
      </c>
      <c r="AO5" s="132">
        <f>100%+AN5</f>
        <v>2</v>
      </c>
      <c r="AP5" s="133"/>
      <c r="AQ5" s="134"/>
      <c r="AR5" s="296">
        <v>36831954000</v>
      </c>
      <c r="AS5" s="135">
        <v>874800000</v>
      </c>
      <c r="AT5" s="135"/>
      <c r="AU5" s="135"/>
      <c r="AV5" s="136"/>
      <c r="AW5" s="137">
        <f>AR5+AS5+AT5+AU5+AV5</f>
        <v>0</v>
      </c>
      <c r="AX5" s="137">
        <f>(AR5*I5)+(AS5*J5)+(AT5*K5)+(AU5*L5)+(AV5*M5)</f>
        <v>0</v>
      </c>
    </row>
    <row r="6" ht="21.95" customHeight="1" spans="1:50" s="97" customFormat="1" x14ac:dyDescent="0.25">
      <c r="A6" s="138" t="s">
        <v>56</v>
      </c>
      <c r="B6" s="139"/>
      <c r="C6" s="139"/>
      <c r="D6" s="139"/>
      <c r="E6" s="139"/>
      <c r="F6" s="139"/>
      <c r="G6" s="139"/>
      <c r="H6" s="140"/>
      <c r="I6" s="142">
        <v>90.73</v>
      </c>
      <c r="J6" s="142">
        <v>85</v>
      </c>
      <c r="K6" s="142"/>
      <c r="L6" s="142"/>
      <c r="M6" s="142"/>
      <c r="N6" s="143">
        <f>I6*I5+J6*J5+K6*K5+L6*L5+M6*M5</f>
        <v>0</v>
      </c>
      <c r="O6" s="144"/>
      <c r="P6" s="145"/>
      <c r="Q6" s="113"/>
      <c r="R6" s="113"/>
      <c r="S6" s="146"/>
      <c r="T6" s="147"/>
      <c r="U6" s="148"/>
      <c r="V6" s="149"/>
      <c r="W6" s="150"/>
      <c r="X6" s="151"/>
      <c r="Y6" s="152"/>
      <c r="Z6" s="151"/>
      <c r="AA6" s="153"/>
      <c r="AB6" s="154"/>
      <c r="AC6" s="149"/>
      <c r="AD6" s="148"/>
      <c r="AE6" s="148"/>
      <c r="AF6" s="155"/>
      <c r="AG6" s="156"/>
      <c r="AH6" s="113"/>
      <c r="AI6" s="157"/>
      <c r="AJ6" s="113"/>
      <c r="AK6" s="113"/>
      <c r="AL6" s="158"/>
      <c r="AM6" s="159"/>
      <c r="AN6" s="160"/>
      <c r="AO6" s="160"/>
      <c r="AP6" s="133"/>
      <c r="AQ6" s="134"/>
      <c r="AR6" s="161"/>
      <c r="AS6" s="161"/>
      <c r="AT6" s="161"/>
      <c r="AU6" s="161"/>
      <c r="AV6" s="162"/>
      <c r="AW6" s="137"/>
      <c r="AX6" s="137"/>
    </row>
    <row r="7" ht="46.5" customHeight="1" spans="1:50" s="97" customFormat="1" x14ac:dyDescent="0.25">
      <c r="A7" s="98">
        <v>2</v>
      </c>
      <c r="B7" s="261" t="s">
        <v>398</v>
      </c>
      <c r="C7" s="102" t="s">
        <v>63</v>
      </c>
      <c r="D7" s="275" t="s">
        <v>400</v>
      </c>
      <c r="E7" s="102" t="s">
        <v>398</v>
      </c>
      <c r="F7" s="163" t="s">
        <v>398</v>
      </c>
      <c r="G7" s="164" t="s">
        <v>398</v>
      </c>
      <c r="H7" s="171"/>
      <c r="I7" s="166">
        <v>0.51</v>
      </c>
      <c r="J7" s="250">
        <v>0.49</v>
      </c>
      <c r="K7" s="107"/>
      <c r="L7" s="167"/>
      <c r="M7" s="168"/>
      <c r="N7" s="169">
        <f>SUM(I7:M7)</f>
        <v>0</v>
      </c>
      <c r="O7" s="144">
        <v>1</v>
      </c>
      <c r="P7" s="112">
        <v>15</v>
      </c>
      <c r="Q7" s="113">
        <v>15</v>
      </c>
      <c r="R7" s="112"/>
      <c r="S7" s="113"/>
      <c r="T7" s="147"/>
      <c r="U7" s="148">
        <f>ROUND(((P7*I7)+(Q7*J7)+(R7*K7)+(S7*L7)+(T7*M7))*O7,2)</f>
        <v>0</v>
      </c>
      <c r="V7" s="149">
        <f>IF(U7&gt;=15,15,U7)</f>
        <v>0</v>
      </c>
      <c r="W7" s="120">
        <v>28147269000</v>
      </c>
      <c r="X7" s="120">
        <v>1369402000</v>
      </c>
      <c r="Y7" s="120"/>
      <c r="Z7" s="151"/>
      <c r="AA7" s="153"/>
      <c r="AB7" s="154" t="e">
        <f>ROUND((((W7*I7)+(X7*J7)+(Y7*K7)+(Z7*L7)+(AA7*M7))/$I$2),2)*13</f>
        <v>#DIV/0!</v>
      </c>
      <c r="AC7" s="149" t="e">
        <f>IF(AB7&gt;=13,13,AB7)</f>
        <v>#DIV/0!</v>
      </c>
      <c r="AD7" s="125">
        <v>2</v>
      </c>
      <c r="AE7" s="148" t="e">
        <f>IF((AC7+AD7)&gt;=15,15,(AC7+AD7))</f>
        <v>#DIV/0!</v>
      </c>
      <c r="AF7" s="155">
        <v>0</v>
      </c>
      <c r="AG7" s="127">
        <v>0</v>
      </c>
      <c r="AH7" s="113" t="e">
        <f>IF((V7+AE7+AF7)&gt;=30,30,(V7+AE7+AF7))</f>
        <v>#DIV/0!</v>
      </c>
      <c r="AI7" s="157">
        <v>65</v>
      </c>
      <c r="AJ7" s="113" t="e">
        <f>V7+AE7+AF7+AI7+AG7</f>
        <v>#DIV/0!</v>
      </c>
      <c r="AK7" s="113" t="e">
        <f>IF(AH7+AI7+AG7&gt;=95,95,AH7+AI7+AG7)</f>
        <v>#DIV/0!</v>
      </c>
      <c r="AL7" s="158" t="e">
        <f>-((50-((176+(45+(50-AH7)))))/200)</f>
        <v>#DIV/0!</v>
      </c>
      <c r="AM7" s="159"/>
      <c r="AN7" s="160">
        <f>100%+AM7</f>
        <v>1</v>
      </c>
      <c r="AO7" s="160">
        <f>100%+AN7</f>
        <v>2</v>
      </c>
      <c r="AP7" s="133"/>
      <c r="AQ7" s="134"/>
      <c r="AR7" s="161">
        <v>4220100000</v>
      </c>
      <c r="AS7" s="161">
        <v>2235700000</v>
      </c>
      <c r="AT7" s="161"/>
      <c r="AU7" s="161"/>
      <c r="AV7" s="162"/>
      <c r="AW7" s="137">
        <f>AR7+AS7+AT7+AU7+AV7</f>
        <v>0</v>
      </c>
      <c r="AX7" s="137">
        <f>(AR7*I7)+(AS7*J7)+(AT7*K7)+(AU7*L7)+(AV7*M7)</f>
        <v>0</v>
      </c>
    </row>
    <row r="8" ht="21.95" customHeight="1" spans="1:50" s="97" customFormat="1" x14ac:dyDescent="0.25">
      <c r="A8" s="138" t="s">
        <v>56</v>
      </c>
      <c r="B8" s="139"/>
      <c r="C8" s="139"/>
      <c r="D8" s="139"/>
      <c r="E8" s="139"/>
      <c r="F8" s="139"/>
      <c r="G8" s="139"/>
      <c r="H8" s="140"/>
      <c r="I8" s="222">
        <v>85</v>
      </c>
      <c r="J8" s="142">
        <v>85</v>
      </c>
      <c r="K8" s="142"/>
      <c r="L8" s="142"/>
      <c r="M8" s="142"/>
      <c r="N8" s="170">
        <f>I8*I7+J8*J7+K8*K7+L8*L7+M8*M7</f>
        <v>0</v>
      </c>
      <c r="O8" s="144"/>
      <c r="P8" s="145"/>
      <c r="Q8" s="113"/>
      <c r="R8" s="113"/>
      <c r="S8" s="146"/>
      <c r="T8" s="147"/>
      <c r="U8" s="148"/>
      <c r="V8" s="149"/>
      <c r="W8" s="150"/>
      <c r="X8" s="151"/>
      <c r="Y8" s="152"/>
      <c r="Z8" s="151"/>
      <c r="AA8" s="153"/>
      <c r="AB8" s="154"/>
      <c r="AC8" s="149"/>
      <c r="AD8" s="148"/>
      <c r="AE8" s="148"/>
      <c r="AF8" s="155"/>
      <c r="AG8" s="156"/>
      <c r="AH8" s="113"/>
      <c r="AI8" s="157"/>
      <c r="AJ8" s="113"/>
      <c r="AK8" s="113"/>
      <c r="AL8" s="158"/>
      <c r="AM8" s="159"/>
      <c r="AN8" s="160"/>
      <c r="AO8" s="160"/>
      <c r="AP8" s="133"/>
      <c r="AQ8" s="134"/>
      <c r="AR8" s="161"/>
      <c r="AS8" s="161"/>
      <c r="AT8" s="161"/>
      <c r="AU8" s="161"/>
      <c r="AV8" s="162"/>
      <c r="AW8" s="137"/>
      <c r="AX8" s="137"/>
    </row>
    <row r="9" ht="46.5" customHeight="1" spans="1:50" s="97" customFormat="1" x14ac:dyDescent="0.25">
      <c r="A9" s="261">
        <v>3</v>
      </c>
      <c r="B9" s="163" t="s">
        <v>398</v>
      </c>
      <c r="C9" s="286" t="s">
        <v>57</v>
      </c>
      <c r="D9" s="275" t="s">
        <v>401</v>
      </c>
      <c r="E9" s="261" t="s">
        <v>402</v>
      </c>
      <c r="F9" s="163" t="s">
        <v>398</v>
      </c>
      <c r="G9" s="103" t="s">
        <v>398</v>
      </c>
      <c r="H9" s="171"/>
      <c r="I9" s="291">
        <v>0.6</v>
      </c>
      <c r="J9" s="250">
        <v>0.3</v>
      </c>
      <c r="K9" s="250">
        <v>0.1</v>
      </c>
      <c r="L9" s="167"/>
      <c r="M9" s="168"/>
      <c r="N9" s="169">
        <f>SUM(I9:M9)</f>
        <v>0</v>
      </c>
      <c r="O9" s="144">
        <v>1</v>
      </c>
      <c r="P9" s="263">
        <v>15</v>
      </c>
      <c r="Q9" s="263">
        <v>11.8</v>
      </c>
      <c r="R9" s="263">
        <v>15</v>
      </c>
      <c r="S9" s="146"/>
      <c r="T9" s="147"/>
      <c r="U9" s="148">
        <f>ROUND(((P9*I9)+(Q9*J9)+(R9*K9)+(S9*L9)+(T9*M9))*O9,2)</f>
        <v>0</v>
      </c>
      <c r="V9" s="149">
        <f>IF(U9&gt;=15,15,U9)</f>
        <v>0</v>
      </c>
      <c r="W9" s="264">
        <v>13410300000</v>
      </c>
      <c r="X9" s="120">
        <v>2319414000</v>
      </c>
      <c r="Y9" s="264">
        <v>1174870000</v>
      </c>
      <c r="Z9" s="151"/>
      <c r="AA9" s="153"/>
      <c r="AB9" s="154" t="e">
        <f>ROUND((((W9*I9)+(X9*J9)+(Y9*K9)+(Z9*L9)+(AA9*M9))/$I$2),2)*13</f>
        <v>#DIV/0!</v>
      </c>
      <c r="AC9" s="149" t="e">
        <f>IF(AB9&gt;=13,13,AB9)</f>
        <v>#DIV/0!</v>
      </c>
      <c r="AD9" s="125">
        <v>2</v>
      </c>
      <c r="AE9" s="148" t="e">
        <f>IF((AC9+AD9)&gt;=15,15,(AC9+AD9))</f>
        <v>#DIV/0!</v>
      </c>
      <c r="AF9" s="155">
        <v>0</v>
      </c>
      <c r="AG9" s="127">
        <v>0</v>
      </c>
      <c r="AH9" s="113" t="e">
        <f>IF((V9+AE9+AF9)&gt;=30,30,(V9+AE9+AF9))</f>
        <v>#DIV/0!</v>
      </c>
      <c r="AI9" s="157">
        <v>65</v>
      </c>
      <c r="AJ9" s="113" t="e">
        <f>V9+AE9+AF9+AI9+AG9</f>
        <v>#DIV/0!</v>
      </c>
      <c r="AK9" s="113" t="e">
        <f>IF(AH9+AI9+AG9&gt;=95,95,AH9+AI9+AG9)</f>
        <v>#DIV/0!</v>
      </c>
      <c r="AL9" s="158" t="e">
        <f>-((50-((176+(45+(50-AH9)))))/200)</f>
        <v>#DIV/0!</v>
      </c>
      <c r="AM9" s="159"/>
      <c r="AN9" s="160">
        <f>100%+AM9</f>
        <v>1</v>
      </c>
      <c r="AO9" s="160">
        <f>100%+AN9</f>
        <v>2</v>
      </c>
      <c r="AP9" s="133"/>
      <c r="AQ9" s="134"/>
      <c r="AR9" s="277">
        <v>4133500000</v>
      </c>
      <c r="AS9" s="161">
        <v>1606300000</v>
      </c>
      <c r="AT9" s="277">
        <v>998600000</v>
      </c>
      <c r="AU9" s="161"/>
      <c r="AV9" s="162"/>
      <c r="AW9" s="172">
        <f>AR9+AS9+AT9+AU9+AV9</f>
        <v>0</v>
      </c>
      <c r="AX9" s="172">
        <f>(AR9*I9)+(AS9*J9)+(AT9*K9)+(AU9*L9)+(AV9*M9)</f>
        <v>0</v>
      </c>
    </row>
    <row r="10" ht="21.95" customHeight="1" spans="1:50" s="97" customFormat="1" x14ac:dyDescent="0.25">
      <c r="A10" s="138" t="s">
        <v>56</v>
      </c>
      <c r="B10" s="139"/>
      <c r="C10" s="139"/>
      <c r="D10" s="139"/>
      <c r="E10" s="139"/>
      <c r="F10" s="139"/>
      <c r="G10" s="139"/>
      <c r="H10" s="140"/>
      <c r="I10" s="297">
        <v>85</v>
      </c>
      <c r="J10" s="142">
        <v>85</v>
      </c>
      <c r="K10" s="297">
        <v>85</v>
      </c>
      <c r="L10" s="142"/>
      <c r="M10" s="142"/>
      <c r="N10" s="170">
        <f>I10*I9+J10*J9+K10*K9+L10*L9+M10*M9</f>
        <v>0</v>
      </c>
      <c r="O10" s="144"/>
      <c r="P10" s="145"/>
      <c r="Q10" s="113"/>
      <c r="R10" s="113"/>
      <c r="S10" s="146"/>
      <c r="T10" s="147"/>
      <c r="U10" s="148"/>
      <c r="V10" s="149"/>
      <c r="W10" s="150"/>
      <c r="X10" s="151"/>
      <c r="Y10" s="152"/>
      <c r="Z10" s="151"/>
      <c r="AA10" s="153"/>
      <c r="AB10" s="154"/>
      <c r="AC10" s="149"/>
      <c r="AD10" s="148"/>
      <c r="AE10" s="148"/>
      <c r="AF10" s="155"/>
      <c r="AG10" s="156"/>
      <c r="AH10" s="113"/>
      <c r="AI10" s="157"/>
      <c r="AJ10" s="113"/>
      <c r="AK10" s="113"/>
      <c r="AL10" s="158"/>
      <c r="AM10" s="159"/>
      <c r="AN10" s="160"/>
      <c r="AO10" s="160"/>
      <c r="AP10" s="133"/>
      <c r="AQ10" s="134"/>
      <c r="AR10" s="161"/>
      <c r="AS10" s="161"/>
      <c r="AT10" s="161"/>
      <c r="AU10" s="161"/>
      <c r="AV10" s="162"/>
      <c r="AW10" s="137"/>
      <c r="AX10" s="137"/>
    </row>
    <row r="11" ht="46.5" customHeight="1" spans="1:50" s="97" customFormat="1" x14ac:dyDescent="0.25">
      <c r="A11" s="98">
        <v>4</v>
      </c>
      <c r="B11" s="196" t="s">
        <v>398</v>
      </c>
      <c r="C11" s="286" t="s">
        <v>54</v>
      </c>
      <c r="D11" s="275" t="s">
        <v>403</v>
      </c>
      <c r="E11" s="261" t="s">
        <v>398</v>
      </c>
      <c r="F11" s="163" t="s">
        <v>398</v>
      </c>
      <c r="G11" s="103" t="s">
        <v>398</v>
      </c>
      <c r="H11" s="171"/>
      <c r="I11" s="291">
        <v>0.7</v>
      </c>
      <c r="J11" s="250">
        <v>0.292</v>
      </c>
      <c r="K11" s="250"/>
      <c r="L11" s="176"/>
      <c r="M11" s="168"/>
      <c r="N11" s="169">
        <f t="shared" ref="N11:N41" si="0">SUM(I11:M11)</f>
        <v>0</v>
      </c>
      <c r="O11" s="144">
        <v>1</v>
      </c>
      <c r="P11" s="263">
        <v>15</v>
      </c>
      <c r="Q11" s="112">
        <v>15</v>
      </c>
      <c r="R11" s="271"/>
      <c r="S11" s="113"/>
      <c r="T11" s="147"/>
      <c r="U11" s="148">
        <f t="shared" ref="U11:U73" si="1">ROUND(((P11*I11)+(Q11*J11)+(R11*K11)+(S11*L11)+(T11*M11))*O11,2)</f>
        <v>0</v>
      </c>
      <c r="V11" s="149">
        <f t="shared" ref="V11:V73" si="2">IF(U11&gt;=15,15,U11)</f>
        <v>0</v>
      </c>
      <c r="W11" s="270">
        <v>75440266000</v>
      </c>
      <c r="X11" s="120">
        <v>746546000</v>
      </c>
      <c r="Y11" s="264"/>
      <c r="Z11" s="151"/>
      <c r="AA11" s="153"/>
      <c r="AB11" s="154" t="e">
        <f t="shared" ref="AB11:AB73" si="3">ROUND((((W11*I11)+(X11*J11)+(Y11*K11)+(Z11*L11)+(AA11*M11))/$I$2),2)*13</f>
        <v>#DIV/0!</v>
      </c>
      <c r="AC11" s="149" t="e">
        <f t="shared" ref="AC11:AC73" si="4">IF(AB11&gt;=13,13,AB11)</f>
        <v>#DIV/0!</v>
      </c>
      <c r="AD11" s="125">
        <v>1.5</v>
      </c>
      <c r="AE11" s="148" t="e">
        <f t="shared" ref="AE11:AE73" si="5">IF((AC11+AD11)&gt;=15,15,(AC11+AD11))</f>
        <v>#DIV/0!</v>
      </c>
      <c r="AF11" s="155">
        <v>1.0499999999999998</v>
      </c>
      <c r="AG11" s="127">
        <v>0</v>
      </c>
      <c r="AH11" s="113" t="e">
        <f t="shared" ref="AH11:AH73" si="6">IF((V11+AE11+AF11)&gt;=30,30,(V11+AE11+AF11))</f>
        <v>#DIV/0!</v>
      </c>
      <c r="AI11" s="157">
        <v>65</v>
      </c>
      <c r="AJ11" s="113" t="e">
        <f t="shared" ref="AJ11:AJ73" si="7">V11+AE11+AF11+AI11+AG11</f>
        <v>#DIV/0!</v>
      </c>
      <c r="AK11" s="113" t="e">
        <f t="shared" ref="AK11:AK73" si="8">IF(AH11+AI11+AG11&gt;=95,95,AH11+AI11+AG11)</f>
        <v>#DIV/0!</v>
      </c>
      <c r="AL11" s="158" t="e">
        <f t="shared" ref="AL11:AL73" si="9">-((50-((176+(45+(50-AH11)))))/200)</f>
        <v>#DIV/0!</v>
      </c>
      <c r="AM11" s="159"/>
      <c r="AN11" s="160">
        <f t="shared" ref="AN11:AO29" si="10">100%+AM11</f>
        <v>1</v>
      </c>
      <c r="AO11" s="160">
        <f>100%+AN11</f>
        <v>2</v>
      </c>
      <c r="AP11" s="133"/>
      <c r="AQ11" s="134"/>
      <c r="AR11" s="277">
        <v>20712000000</v>
      </c>
      <c r="AS11" s="161">
        <v>785500000</v>
      </c>
      <c r="AT11" s="277"/>
      <c r="AU11" s="161"/>
      <c r="AV11" s="162"/>
      <c r="AW11" s="137">
        <f t="shared" ref="AW11:AW73" si="11">AR11+AS11+AT11+AU11+AV11</f>
        <v>0</v>
      </c>
      <c r="AX11" s="137">
        <f t="shared" ref="AX11:AX73" si="12">(AR11*I11)+(AS11*J11)+(AT11*K11)+(AU11*L11)+(AV11*M11)</f>
        <v>0</v>
      </c>
    </row>
    <row r="12" ht="21.95" customHeight="1" spans="1:50" s="97" customFormat="1" x14ac:dyDescent="0.25">
      <c r="A12" s="138" t="s">
        <v>56</v>
      </c>
      <c r="B12" s="139"/>
      <c r="C12" s="139"/>
      <c r="D12" s="139"/>
      <c r="E12" s="139"/>
      <c r="F12" s="139"/>
      <c r="G12" s="139"/>
      <c r="H12" s="140"/>
      <c r="I12" s="297">
        <v>85</v>
      </c>
      <c r="J12" s="142">
        <v>85</v>
      </c>
      <c r="K12" s="297"/>
      <c r="L12" s="142"/>
      <c r="M12" s="142"/>
      <c r="N12" s="170">
        <f>I12*I11+J12*J11+K12*K11+L12*L11+M12*M11</f>
        <v>0</v>
      </c>
      <c r="O12" s="144"/>
      <c r="P12" s="145"/>
      <c r="Q12" s="113"/>
      <c r="R12" s="113"/>
      <c r="S12" s="146"/>
      <c r="T12" s="147"/>
      <c r="U12" s="148"/>
      <c r="V12" s="149"/>
      <c r="W12" s="150"/>
      <c r="X12" s="151"/>
      <c r="Y12" s="152"/>
      <c r="Z12" s="151"/>
      <c r="AA12" s="153"/>
      <c r="AB12" s="154"/>
      <c r="AC12" s="149"/>
      <c r="AD12" s="148"/>
      <c r="AE12" s="148"/>
      <c r="AF12" s="155"/>
      <c r="AG12" s="156"/>
      <c r="AH12" s="113"/>
      <c r="AI12" s="157"/>
      <c r="AJ12" s="113"/>
      <c r="AK12" s="113"/>
      <c r="AL12" s="158"/>
      <c r="AM12" s="159"/>
      <c r="AN12" s="160"/>
      <c r="AO12" s="160"/>
      <c r="AP12" s="133"/>
      <c r="AQ12" s="134"/>
      <c r="AR12" s="161"/>
      <c r="AS12" s="161"/>
      <c r="AT12" s="161"/>
      <c r="AU12" s="161"/>
      <c r="AV12" s="162"/>
      <c r="AW12" s="137"/>
      <c r="AX12" s="137"/>
    </row>
    <row r="13" ht="46.5" customHeight="1" spans="1:50" s="97" customFormat="1" x14ac:dyDescent="0.25">
      <c r="A13" s="98"/>
      <c r="B13" s="196"/>
      <c r="C13" s="286"/>
      <c r="D13" s="286"/>
      <c r="E13" s="163"/>
      <c r="F13" s="163"/>
      <c r="G13" s="103"/>
      <c r="H13" s="171"/>
      <c r="I13" s="291"/>
      <c r="J13" s="250"/>
      <c r="K13" s="107"/>
      <c r="L13" s="167"/>
      <c r="M13" s="168"/>
      <c r="N13" s="169">
        <f t="shared" si="0"/>
        <v>0</v>
      </c>
      <c r="O13" s="144">
        <v>1</v>
      </c>
      <c r="P13" s="263"/>
      <c r="Q13" s="263"/>
      <c r="R13" s="156"/>
      <c r="S13" s="146"/>
      <c r="T13" s="147"/>
      <c r="U13" s="148">
        <f t="shared" si="1"/>
        <v>0</v>
      </c>
      <c r="V13" s="149">
        <f t="shared" si="2"/>
        <v>0</v>
      </c>
      <c r="W13" s="264"/>
      <c r="X13" s="264"/>
      <c r="Y13" s="183"/>
      <c r="Z13" s="151"/>
      <c r="AA13" s="153"/>
      <c r="AB13" s="154" t="e">
        <f t="shared" si="3"/>
        <v>#DIV/0!</v>
      </c>
      <c r="AC13" s="149" t="e">
        <f t="shared" si="4"/>
        <v>#DIV/0!</v>
      </c>
      <c r="AD13" s="125"/>
      <c r="AE13" s="148" t="e">
        <f t="shared" si="5"/>
        <v>#DIV/0!</v>
      </c>
      <c r="AF13" s="155"/>
      <c r="AG13" s="127"/>
      <c r="AH13" s="113" t="e">
        <f t="shared" si="6"/>
        <v>#DIV/0!</v>
      </c>
      <c r="AI13" s="157">
        <v>65</v>
      </c>
      <c r="AJ13" s="113" t="e">
        <f t="shared" si="7"/>
        <v>#DIV/0!</v>
      </c>
      <c r="AK13" s="113" t="e">
        <f t="shared" si="8"/>
        <v>#DIV/0!</v>
      </c>
      <c r="AL13" s="158" t="e">
        <f t="shared" si="9"/>
        <v>#DIV/0!</v>
      </c>
      <c r="AM13" s="159"/>
      <c r="AN13" s="160">
        <f t="shared" si="10"/>
        <v>1</v>
      </c>
      <c r="AO13" s="160">
        <f>100%+AN13</f>
        <v>2</v>
      </c>
      <c r="AP13" s="133">
        <v>521200000</v>
      </c>
      <c r="AQ13" s="134"/>
      <c r="AR13" s="277"/>
      <c r="AS13" s="277"/>
      <c r="AT13" s="161"/>
      <c r="AU13" s="161"/>
      <c r="AV13" s="162"/>
      <c r="AW13" s="137">
        <f t="shared" si="11"/>
        <v>0</v>
      </c>
      <c r="AX13" s="137">
        <f t="shared" si="12"/>
        <v>0</v>
      </c>
    </row>
    <row r="14" ht="21.95" customHeight="1" spans="1:50" s="97" customFormat="1" x14ac:dyDescent="0.25">
      <c r="A14" s="138" t="s">
        <v>56</v>
      </c>
      <c r="B14" s="139"/>
      <c r="C14" s="139"/>
      <c r="D14" s="139"/>
      <c r="E14" s="139"/>
      <c r="F14" s="139"/>
      <c r="G14" s="139"/>
      <c r="H14" s="140"/>
      <c r="I14" s="297"/>
      <c r="J14" s="142"/>
      <c r="K14" s="297"/>
      <c r="L14" s="142"/>
      <c r="M14" s="142"/>
      <c r="N14" s="170">
        <f>I14*I13+J14*J13+K14*K13+L14*L13+M14*M13</f>
        <v>0</v>
      </c>
      <c r="O14" s="144"/>
      <c r="P14" s="145"/>
      <c r="Q14" s="113"/>
      <c r="R14" s="113"/>
      <c r="S14" s="146"/>
      <c r="T14" s="147"/>
      <c r="U14" s="148"/>
      <c r="V14" s="149"/>
      <c r="W14" s="150"/>
      <c r="X14" s="151"/>
      <c r="Y14" s="152"/>
      <c r="Z14" s="151"/>
      <c r="AA14" s="153"/>
      <c r="AB14" s="154"/>
      <c r="AC14" s="149"/>
      <c r="AD14" s="148"/>
      <c r="AE14" s="148"/>
      <c r="AF14" s="155"/>
      <c r="AG14" s="156"/>
      <c r="AH14" s="113"/>
      <c r="AI14" s="157"/>
      <c r="AJ14" s="113"/>
      <c r="AK14" s="113"/>
      <c r="AL14" s="158"/>
      <c r="AM14" s="159"/>
      <c r="AN14" s="160"/>
      <c r="AO14" s="160"/>
      <c r="AP14" s="133"/>
      <c r="AQ14" s="134"/>
      <c r="AR14" s="161"/>
      <c r="AS14" s="161"/>
      <c r="AT14" s="161"/>
      <c r="AU14" s="161"/>
      <c r="AV14" s="162"/>
      <c r="AW14" s="137"/>
      <c r="AX14" s="137"/>
    </row>
    <row r="15" ht="46.5" customHeight="1" spans="1:50" s="97" customFormat="1" x14ac:dyDescent="0.25">
      <c r="A15" s="98"/>
      <c r="B15" s="196"/>
      <c r="C15" s="286"/>
      <c r="D15" s="286"/>
      <c r="E15" s="163"/>
      <c r="F15" s="163"/>
      <c r="G15" s="103"/>
      <c r="H15" s="171"/>
      <c r="I15" s="291"/>
      <c r="J15" s="250"/>
      <c r="K15" s="107"/>
      <c r="L15" s="167"/>
      <c r="M15" s="168"/>
      <c r="N15" s="169">
        <f t="shared" ref="N15" si="13">SUM(I15:M15)</f>
        <v>0</v>
      </c>
      <c r="O15" s="144">
        <v>1</v>
      </c>
      <c r="P15" s="263"/>
      <c r="Q15" s="263"/>
      <c r="R15" s="156"/>
      <c r="S15" s="146"/>
      <c r="T15" s="147"/>
      <c r="U15" s="148">
        <f t="shared" ref="U15" si="14">ROUND(((P15*I15)+(Q15*J15)+(R15*K15)+(S15*L15)+(T15*M15))*O15,2)</f>
        <v>0</v>
      </c>
      <c r="V15" s="149">
        <f t="shared" ref="V15" si="15">IF(U15&gt;=15,15,U15)</f>
        <v>0</v>
      </c>
      <c r="W15" s="264"/>
      <c r="X15" s="264"/>
      <c r="Y15" s="183"/>
      <c r="Z15" s="151"/>
      <c r="AA15" s="153"/>
      <c r="AB15" s="154" t="e">
        <f t="shared" ref="AB15" si="16">ROUND((((W15*I15)+(X15*J15)+(Y15*K15)+(Z15*L15)+(AA15*M15))/$I$2),2)*13</f>
        <v>#DIV/0!</v>
      </c>
      <c r="AC15" s="149" t="e">
        <f t="shared" ref="AC15" si="17">IF(AB15&gt;=13,13,AB15)</f>
        <v>#DIV/0!</v>
      </c>
      <c r="AD15" s="125"/>
      <c r="AE15" s="148" t="e">
        <f t="shared" ref="AE15" si="18">IF((AC15+AD15)&gt;=15,15,(AC15+AD15))</f>
        <v>#DIV/0!</v>
      </c>
      <c r="AF15" s="155"/>
      <c r="AG15" s="127"/>
      <c r="AH15" s="113" t="e">
        <f t="shared" ref="AH15" si="19">IF((V15+AE15+AF15)&gt;=30,30,(V15+AE15+AF15))</f>
        <v>#DIV/0!</v>
      </c>
      <c r="AI15" s="157">
        <v>65</v>
      </c>
      <c r="AJ15" s="113" t="e">
        <f t="shared" ref="AJ15" si="20">V15+AE15+AF15+AI15+AG15</f>
        <v>#DIV/0!</v>
      </c>
      <c r="AK15" s="113" t="e">
        <f t="shared" ref="AK15" si="21">IF(AH15+AI15+AG15&gt;=95,95,AH15+AI15+AG15)</f>
        <v>#DIV/0!</v>
      </c>
      <c r="AL15" s="158" t="e">
        <f t="shared" ref="AL15" si="22">-((50-((176+(45+(50-AH15)))))/200)</f>
        <v>#DIV/0!</v>
      </c>
      <c r="AM15" s="159"/>
      <c r="AN15" s="160">
        <f t="shared" ref="AN15" si="23">100%+AM15</f>
        <v>1</v>
      </c>
      <c r="AO15" s="160">
        <f>100%+AN15</f>
        <v>2</v>
      </c>
      <c r="AP15" s="133">
        <v>521200000</v>
      </c>
      <c r="AQ15" s="134"/>
      <c r="AR15" s="277"/>
      <c r="AS15" s="277"/>
      <c r="AT15" s="161"/>
      <c r="AU15" s="161"/>
      <c r="AV15" s="162"/>
      <c r="AW15" s="137">
        <f t="shared" ref="AW15" si="24">AR15+AS15+AT15+AU15+AV15</f>
        <v>0</v>
      </c>
      <c r="AX15" s="137">
        <f t="shared" ref="AX15" si="25">(AR15*I15)+(AS15*J15)+(AT15*K15)+(AU15*L15)+(AV15*M15)</f>
        <v>0</v>
      </c>
    </row>
    <row r="16" ht="21.95" customHeight="1" spans="1:50" s="97" customFormat="1" x14ac:dyDescent="0.25">
      <c r="A16" s="138" t="s">
        <v>56</v>
      </c>
      <c r="B16" s="139"/>
      <c r="C16" s="139"/>
      <c r="D16" s="139"/>
      <c r="E16" s="139"/>
      <c r="F16" s="139"/>
      <c r="G16" s="139"/>
      <c r="H16" s="140"/>
      <c r="I16" s="297"/>
      <c r="J16" s="142"/>
      <c r="K16" s="297"/>
      <c r="L16" s="142"/>
      <c r="M16" s="142"/>
      <c r="N16" s="170">
        <f>I16*I15+J16*J15+K16*K15+L16*L15+M16*M15</f>
        <v>0</v>
      </c>
      <c r="O16" s="144"/>
      <c r="P16" s="145"/>
      <c r="Q16" s="113"/>
      <c r="R16" s="113"/>
      <c r="S16" s="146"/>
      <c r="T16" s="147"/>
      <c r="U16" s="148"/>
      <c r="V16" s="149"/>
      <c r="W16" s="150"/>
      <c r="X16" s="151"/>
      <c r="Y16" s="152"/>
      <c r="Z16" s="151"/>
      <c r="AA16" s="153"/>
      <c r="AB16" s="154"/>
      <c r="AC16" s="149"/>
      <c r="AD16" s="148"/>
      <c r="AE16" s="148"/>
      <c r="AF16" s="155"/>
      <c r="AG16" s="156"/>
      <c r="AH16" s="113"/>
      <c r="AI16" s="157"/>
      <c r="AJ16" s="113"/>
      <c r="AK16" s="113"/>
      <c r="AL16" s="158"/>
      <c r="AM16" s="159"/>
      <c r="AN16" s="160"/>
      <c r="AO16" s="160"/>
      <c r="AP16" s="133"/>
      <c r="AQ16" s="134"/>
      <c r="AR16" s="161"/>
      <c r="AS16" s="161"/>
      <c r="AT16" s="161"/>
      <c r="AU16" s="161"/>
      <c r="AV16" s="162"/>
      <c r="AW16" s="137"/>
      <c r="AX16" s="137"/>
    </row>
    <row r="17" ht="46.5" customHeight="1" spans="1:50" s="97" customFormat="1" x14ac:dyDescent="0.25">
      <c r="A17" s="98"/>
      <c r="B17" s="99"/>
      <c r="C17" s="102"/>
      <c r="D17" s="102"/>
      <c r="E17" s="224"/>
      <c r="F17" s="224"/>
      <c r="G17" s="103"/>
      <c r="H17" s="186"/>
      <c r="I17" s="166"/>
      <c r="J17" s="107"/>
      <c r="K17" s="107"/>
      <c r="L17" s="107"/>
      <c r="M17" s="187"/>
      <c r="N17" s="169">
        <f t="shared" si="0"/>
        <v>0</v>
      </c>
      <c r="O17" s="144">
        <v>1</v>
      </c>
      <c r="P17" s="112"/>
      <c r="Q17" s="112"/>
      <c r="R17" s="113"/>
      <c r="S17" s="113"/>
      <c r="T17" s="146"/>
      <c r="U17" s="148">
        <f t="shared" si="1"/>
        <v>0</v>
      </c>
      <c r="V17" s="149">
        <f t="shared" si="2"/>
        <v>0</v>
      </c>
      <c r="W17" s="188"/>
      <c r="X17" s="161"/>
      <c r="Y17" s="189"/>
      <c r="Z17" s="190"/>
      <c r="AA17" s="153"/>
      <c r="AB17" s="154" t="e">
        <f t="shared" si="3"/>
        <v>#DIV/0!</v>
      </c>
      <c r="AC17" s="149" t="e">
        <f t="shared" si="4"/>
        <v>#DIV/0!</v>
      </c>
      <c r="AD17" s="125"/>
      <c r="AE17" s="148" t="e">
        <f t="shared" si="5"/>
        <v>#DIV/0!</v>
      </c>
      <c r="AF17" s="156"/>
      <c r="AG17" s="127"/>
      <c r="AH17" s="113" t="e">
        <f t="shared" si="6"/>
        <v>#DIV/0!</v>
      </c>
      <c r="AI17" s="157">
        <v>65</v>
      </c>
      <c r="AJ17" s="113" t="e">
        <f t="shared" si="7"/>
        <v>#DIV/0!</v>
      </c>
      <c r="AK17" s="113" t="e">
        <f t="shared" si="8"/>
        <v>#DIV/0!</v>
      </c>
      <c r="AL17" s="158" t="e">
        <f t="shared" si="9"/>
        <v>#DIV/0!</v>
      </c>
      <c r="AM17" s="159"/>
      <c r="AN17" s="160">
        <f t="shared" si="10"/>
        <v>1</v>
      </c>
      <c r="AO17" s="160">
        <f>100%+AN17</f>
        <v>2</v>
      </c>
      <c r="AP17" s="133">
        <v>792800000</v>
      </c>
      <c r="AQ17" s="134"/>
      <c r="AR17" s="161"/>
      <c r="AS17" s="161"/>
      <c r="AT17" s="161"/>
      <c r="AU17" s="161"/>
      <c r="AV17" s="162"/>
      <c r="AW17" s="137">
        <f t="shared" si="11"/>
        <v>0</v>
      </c>
      <c r="AX17" s="137">
        <f t="shared" si="12"/>
        <v>0</v>
      </c>
    </row>
    <row r="18" ht="21.95" customHeight="1" spans="1:50" s="97" customFormat="1" x14ac:dyDescent="0.25">
      <c r="A18" s="138" t="s">
        <v>56</v>
      </c>
      <c r="B18" s="139"/>
      <c r="C18" s="139"/>
      <c r="D18" s="139"/>
      <c r="E18" s="139"/>
      <c r="F18" s="139"/>
      <c r="G18" s="139"/>
      <c r="H18" s="140"/>
      <c r="I18" s="297"/>
      <c r="J18" s="142"/>
      <c r="K18" s="297"/>
      <c r="L18" s="142"/>
      <c r="M18" s="142"/>
      <c r="N18" s="170">
        <f>I18*I17+J18*J17+K18*K17+L18*L17+M18*M17</f>
        <v>0</v>
      </c>
      <c r="O18" s="144"/>
      <c r="P18" s="145"/>
      <c r="Q18" s="113"/>
      <c r="R18" s="113"/>
      <c r="S18" s="146"/>
      <c r="T18" s="147"/>
      <c r="U18" s="148"/>
      <c r="V18" s="149"/>
      <c r="W18" s="150"/>
      <c r="X18" s="151"/>
      <c r="Y18" s="152"/>
      <c r="Z18" s="151"/>
      <c r="AA18" s="153"/>
      <c r="AB18" s="154"/>
      <c r="AC18" s="149"/>
      <c r="AD18" s="148"/>
      <c r="AE18" s="148"/>
      <c r="AF18" s="155"/>
      <c r="AG18" s="156"/>
      <c r="AH18" s="113"/>
      <c r="AI18" s="157"/>
      <c r="AJ18" s="113"/>
      <c r="AK18" s="113"/>
      <c r="AL18" s="158"/>
      <c r="AM18" s="159"/>
      <c r="AN18" s="160"/>
      <c r="AO18" s="160"/>
      <c r="AP18" s="133"/>
      <c r="AQ18" s="134"/>
      <c r="AR18" s="161"/>
      <c r="AS18" s="161"/>
      <c r="AT18" s="161"/>
      <c r="AU18" s="161"/>
      <c r="AV18" s="162"/>
      <c r="AW18" s="137"/>
      <c r="AX18" s="137"/>
    </row>
    <row r="19" ht="46.5" customHeight="1" spans="1:50" s="97" customFormat="1" x14ac:dyDescent="0.25">
      <c r="A19" s="98"/>
      <c r="B19" s="102"/>
      <c r="C19" s="102"/>
      <c r="D19" s="102"/>
      <c r="E19" s="100"/>
      <c r="F19" s="100"/>
      <c r="G19" s="103"/>
      <c r="H19" s="186"/>
      <c r="I19" s="166"/>
      <c r="J19" s="107"/>
      <c r="K19" s="107"/>
      <c r="L19" s="107"/>
      <c r="M19" s="187"/>
      <c r="N19" s="169">
        <f t="shared" si="0"/>
        <v>0</v>
      </c>
      <c r="O19" s="144">
        <v>1</v>
      </c>
      <c r="P19" s="145"/>
      <c r="Q19" s="113"/>
      <c r="R19" s="113"/>
      <c r="S19" s="113"/>
      <c r="T19" s="146"/>
      <c r="U19" s="148">
        <f t="shared" si="1"/>
        <v>0</v>
      </c>
      <c r="V19" s="149">
        <f t="shared" si="2"/>
        <v>0</v>
      </c>
      <c r="W19" s="192"/>
      <c r="X19" s="183"/>
      <c r="Y19" s="120"/>
      <c r="Z19" s="190"/>
      <c r="AA19" s="153"/>
      <c r="AB19" s="154" t="e">
        <f t="shared" si="3"/>
        <v>#DIV/0!</v>
      </c>
      <c r="AC19" s="149" t="e">
        <f t="shared" si="4"/>
        <v>#DIV/0!</v>
      </c>
      <c r="AD19" s="125"/>
      <c r="AE19" s="148" t="e">
        <f t="shared" si="5"/>
        <v>#DIV/0!</v>
      </c>
      <c r="AF19" s="156"/>
      <c r="AG19" s="127"/>
      <c r="AH19" s="113" t="e">
        <f t="shared" si="6"/>
        <v>#DIV/0!</v>
      </c>
      <c r="AI19" s="157">
        <v>65</v>
      </c>
      <c r="AJ19" s="113" t="e">
        <f t="shared" si="7"/>
        <v>#DIV/0!</v>
      </c>
      <c r="AK19" s="113" t="e">
        <f t="shared" si="8"/>
        <v>#DIV/0!</v>
      </c>
      <c r="AL19" s="158" t="e">
        <f t="shared" si="9"/>
        <v>#DIV/0!</v>
      </c>
      <c r="AM19" s="159"/>
      <c r="AN19" s="160">
        <f t="shared" si="10"/>
        <v>1</v>
      </c>
      <c r="AO19" s="160">
        <f>100%+AN19</f>
        <v>2</v>
      </c>
      <c r="AP19" s="133">
        <v>3385700000</v>
      </c>
      <c r="AQ19" s="134"/>
      <c r="AR19" s="161"/>
      <c r="AS19" s="161"/>
      <c r="AT19" s="161"/>
      <c r="AU19" s="161"/>
      <c r="AV19" s="162"/>
      <c r="AW19" s="137">
        <f t="shared" si="11"/>
        <v>0</v>
      </c>
      <c r="AX19" s="137">
        <f t="shared" si="12"/>
        <v>0</v>
      </c>
    </row>
    <row r="20" ht="21.95" customHeight="1" spans="1:50" s="97" customFormat="1" x14ac:dyDescent="0.25">
      <c r="A20" s="138" t="s">
        <v>56</v>
      </c>
      <c r="B20" s="139"/>
      <c r="C20" s="139"/>
      <c r="D20" s="139"/>
      <c r="E20" s="139"/>
      <c r="F20" s="139"/>
      <c r="G20" s="139"/>
      <c r="H20" s="140"/>
      <c r="I20" s="297"/>
      <c r="J20" s="142"/>
      <c r="K20" s="297"/>
      <c r="L20" s="142"/>
      <c r="M20" s="142"/>
      <c r="N20" s="170">
        <f>I20*I19+J20*J19+K20*K19+L20*L19+M20*M19</f>
        <v>0</v>
      </c>
      <c r="O20" s="144"/>
      <c r="P20" s="145"/>
      <c r="Q20" s="113"/>
      <c r="R20" s="113"/>
      <c r="S20" s="146"/>
      <c r="T20" s="147"/>
      <c r="U20" s="148"/>
      <c r="V20" s="149"/>
      <c r="W20" s="150"/>
      <c r="X20" s="151"/>
      <c r="Y20" s="152"/>
      <c r="Z20" s="151"/>
      <c r="AA20" s="153"/>
      <c r="AB20" s="154"/>
      <c r="AC20" s="149"/>
      <c r="AD20" s="148"/>
      <c r="AE20" s="148"/>
      <c r="AF20" s="155"/>
      <c r="AG20" s="156"/>
      <c r="AH20" s="113"/>
      <c r="AI20" s="157"/>
      <c r="AJ20" s="113"/>
      <c r="AK20" s="113"/>
      <c r="AL20" s="158"/>
      <c r="AM20" s="159"/>
      <c r="AN20" s="160"/>
      <c r="AO20" s="160"/>
      <c r="AP20" s="133"/>
      <c r="AQ20" s="134"/>
      <c r="AR20" s="161"/>
      <c r="AS20" s="161"/>
      <c r="AT20" s="161"/>
      <c r="AU20" s="161"/>
      <c r="AV20" s="162"/>
      <c r="AW20" s="137"/>
      <c r="AX20" s="137"/>
    </row>
    <row r="21" ht="46.5" customHeight="1" spans="1:50" s="97" customFormat="1" x14ac:dyDescent="0.25">
      <c r="A21" s="98"/>
      <c r="B21" s="196"/>
      <c r="C21" s="102"/>
      <c r="D21" s="102"/>
      <c r="E21" s="100"/>
      <c r="F21" s="100"/>
      <c r="G21" s="103"/>
      <c r="H21" s="186"/>
      <c r="I21" s="195"/>
      <c r="J21" s="107"/>
      <c r="K21" s="107"/>
      <c r="L21" s="107"/>
      <c r="M21" s="187"/>
      <c r="N21" s="169">
        <f t="shared" si="0"/>
        <v>0</v>
      </c>
      <c r="O21" s="144">
        <v>1</v>
      </c>
      <c r="P21" s="113"/>
      <c r="Q21" s="113"/>
      <c r="R21" s="156"/>
      <c r="S21" s="113"/>
      <c r="T21" s="146"/>
      <c r="U21" s="148">
        <f t="shared" si="1"/>
        <v>0</v>
      </c>
      <c r="V21" s="149">
        <f t="shared" si="2"/>
        <v>0</v>
      </c>
      <c r="W21" s="197"/>
      <c r="X21" s="120"/>
      <c r="Y21" s="183"/>
      <c r="Z21" s="190"/>
      <c r="AA21" s="153"/>
      <c r="AB21" s="154" t="e">
        <f t="shared" si="3"/>
        <v>#DIV/0!</v>
      </c>
      <c r="AC21" s="149" t="e">
        <f t="shared" si="4"/>
        <v>#DIV/0!</v>
      </c>
      <c r="AD21" s="125"/>
      <c r="AE21" s="148" t="e">
        <f t="shared" si="5"/>
        <v>#DIV/0!</v>
      </c>
      <c r="AF21" s="156"/>
      <c r="AG21" s="127"/>
      <c r="AH21" s="113" t="e">
        <f t="shared" si="6"/>
        <v>#DIV/0!</v>
      </c>
      <c r="AI21" s="157">
        <v>65</v>
      </c>
      <c r="AJ21" s="113" t="e">
        <f t="shared" si="7"/>
        <v>#DIV/0!</v>
      </c>
      <c r="AK21" s="113" t="e">
        <f t="shared" si="8"/>
        <v>#DIV/0!</v>
      </c>
      <c r="AL21" s="158" t="e">
        <f t="shared" si="9"/>
        <v>#DIV/0!</v>
      </c>
      <c r="AM21" s="159"/>
      <c r="AN21" s="160">
        <f t="shared" si="10"/>
        <v>1</v>
      </c>
      <c r="AO21" s="160">
        <f>100%+AN21</f>
        <v>2</v>
      </c>
      <c r="AP21" s="133">
        <v>10872600000</v>
      </c>
      <c r="AQ21" s="134"/>
      <c r="AR21" s="161"/>
      <c r="AS21" s="161"/>
      <c r="AT21" s="161"/>
      <c r="AU21" s="161"/>
      <c r="AV21" s="162"/>
      <c r="AW21" s="137">
        <f t="shared" si="11"/>
        <v>0</v>
      </c>
      <c r="AX21" s="137">
        <f t="shared" si="12"/>
        <v>0</v>
      </c>
    </row>
    <row r="22" ht="21.95" customHeight="1" spans="1:50" s="97" customFormat="1" x14ac:dyDescent="0.25">
      <c r="A22" s="138" t="s">
        <v>56</v>
      </c>
      <c r="B22" s="139"/>
      <c r="C22" s="139"/>
      <c r="D22" s="139"/>
      <c r="E22" s="139"/>
      <c r="F22" s="139"/>
      <c r="G22" s="139"/>
      <c r="H22" s="140"/>
      <c r="I22" s="297"/>
      <c r="J22" s="142"/>
      <c r="K22" s="297"/>
      <c r="L22" s="142"/>
      <c r="M22" s="142"/>
      <c r="N22" s="170">
        <f>I22*I21+J22*J21+K22*K21+L22*L21+M22*M21</f>
        <v>0</v>
      </c>
      <c r="O22" s="144"/>
      <c r="P22" s="145"/>
      <c r="Q22" s="113"/>
      <c r="R22" s="113"/>
      <c r="S22" s="146"/>
      <c r="T22" s="147"/>
      <c r="U22" s="148"/>
      <c r="V22" s="149"/>
      <c r="W22" s="150"/>
      <c r="X22" s="151"/>
      <c r="Y22" s="152"/>
      <c r="Z22" s="151"/>
      <c r="AA22" s="153"/>
      <c r="AB22" s="154"/>
      <c r="AC22" s="149"/>
      <c r="AD22" s="148"/>
      <c r="AE22" s="148"/>
      <c r="AF22" s="155"/>
      <c r="AG22" s="156"/>
      <c r="AH22" s="113"/>
      <c r="AI22" s="157"/>
      <c r="AJ22" s="113"/>
      <c r="AK22" s="113"/>
      <c r="AL22" s="158"/>
      <c r="AM22" s="159"/>
      <c r="AN22" s="160"/>
      <c r="AO22" s="160"/>
      <c r="AP22" s="133"/>
      <c r="AQ22" s="134"/>
      <c r="AR22" s="161"/>
      <c r="AS22" s="161"/>
      <c r="AT22" s="161"/>
      <c r="AU22" s="161"/>
      <c r="AV22" s="162"/>
      <c r="AW22" s="137"/>
      <c r="AX22" s="137"/>
    </row>
    <row r="23" ht="46.5" customHeight="1" spans="1:50" s="97" customFormat="1" x14ac:dyDescent="0.25">
      <c r="A23" s="239"/>
      <c r="B23" s="100"/>
      <c r="C23" s="253"/>
      <c r="D23" s="102"/>
      <c r="E23" s="100"/>
      <c r="F23" s="100"/>
      <c r="G23" s="103"/>
      <c r="H23" s="186"/>
      <c r="I23" s="254"/>
      <c r="J23" s="250"/>
      <c r="K23" s="107"/>
      <c r="L23" s="107"/>
      <c r="M23" s="187"/>
      <c r="N23" s="169">
        <f t="shared" si="0"/>
        <v>0</v>
      </c>
      <c r="O23" s="144">
        <v>1</v>
      </c>
      <c r="P23" s="255"/>
      <c r="Q23" s="268"/>
      <c r="R23" s="113"/>
      <c r="S23" s="113"/>
      <c r="T23" s="146"/>
      <c r="U23" s="148">
        <f t="shared" si="1"/>
        <v>0</v>
      </c>
      <c r="V23" s="149">
        <f t="shared" si="2"/>
        <v>0</v>
      </c>
      <c r="W23" s="256"/>
      <c r="X23" s="252"/>
      <c r="Y23" s="151"/>
      <c r="Z23" s="190"/>
      <c r="AA23" s="153"/>
      <c r="AB23" s="154" t="e">
        <f t="shared" si="3"/>
        <v>#DIV/0!</v>
      </c>
      <c r="AC23" s="149" t="e">
        <f t="shared" si="4"/>
        <v>#DIV/0!</v>
      </c>
      <c r="AD23" s="125"/>
      <c r="AE23" s="148" t="e">
        <f t="shared" si="5"/>
        <v>#DIV/0!</v>
      </c>
      <c r="AF23" s="156"/>
      <c r="AG23" s="127"/>
      <c r="AH23" s="113" t="e">
        <f t="shared" si="6"/>
        <v>#DIV/0!</v>
      </c>
      <c r="AI23" s="157">
        <v>65</v>
      </c>
      <c r="AJ23" s="113" t="e">
        <f t="shared" si="7"/>
        <v>#DIV/0!</v>
      </c>
      <c r="AK23" s="113" t="e">
        <f t="shared" si="8"/>
        <v>#DIV/0!</v>
      </c>
      <c r="AL23" s="158" t="e">
        <f t="shared" si="9"/>
        <v>#DIV/0!</v>
      </c>
      <c r="AM23" s="159"/>
      <c r="AN23" s="160">
        <f t="shared" si="10"/>
        <v>1</v>
      </c>
      <c r="AO23" s="160">
        <f>100%+AN23</f>
        <v>2</v>
      </c>
      <c r="AP23" s="298">
        <v>8501300000</v>
      </c>
      <c r="AQ23" s="134"/>
      <c r="AR23" s="277"/>
      <c r="AS23" s="161"/>
      <c r="AT23" s="161"/>
      <c r="AU23" s="161"/>
      <c r="AV23" s="162"/>
      <c r="AW23" s="137">
        <f t="shared" si="11"/>
        <v>0</v>
      </c>
      <c r="AX23" s="137">
        <f t="shared" si="12"/>
        <v>0</v>
      </c>
    </row>
    <row r="24" ht="21.95" customHeight="1" spans="1:50" s="97" customFormat="1" x14ac:dyDescent="0.25">
      <c r="A24" s="138" t="s">
        <v>56</v>
      </c>
      <c r="B24" s="139"/>
      <c r="C24" s="139"/>
      <c r="D24" s="139"/>
      <c r="E24" s="139"/>
      <c r="F24" s="139"/>
      <c r="G24" s="139"/>
      <c r="H24" s="140"/>
      <c r="I24" s="297"/>
      <c r="J24" s="142"/>
      <c r="K24" s="297"/>
      <c r="L24" s="142"/>
      <c r="M24" s="142"/>
      <c r="N24" s="170">
        <f>I24*I23+J24*J23+K24*K23+L24*L23+M24*M23</f>
        <v>0</v>
      </c>
      <c r="O24" s="144"/>
      <c r="P24" s="145"/>
      <c r="Q24" s="113"/>
      <c r="R24" s="113"/>
      <c r="S24" s="146"/>
      <c r="T24" s="147"/>
      <c r="U24" s="148"/>
      <c r="V24" s="149"/>
      <c r="W24" s="150"/>
      <c r="X24" s="151"/>
      <c r="Y24" s="152"/>
      <c r="Z24" s="151"/>
      <c r="AA24" s="153"/>
      <c r="AB24" s="154"/>
      <c r="AC24" s="149"/>
      <c r="AD24" s="148"/>
      <c r="AE24" s="148"/>
      <c r="AF24" s="155"/>
      <c r="AG24" s="156"/>
      <c r="AH24" s="113"/>
      <c r="AI24" s="157"/>
      <c r="AJ24" s="113"/>
      <c r="AK24" s="113"/>
      <c r="AL24" s="158"/>
      <c r="AM24" s="159"/>
      <c r="AN24" s="160"/>
      <c r="AO24" s="160"/>
      <c r="AP24" s="133"/>
      <c r="AQ24" s="134"/>
      <c r="AR24" s="161"/>
      <c r="AS24" s="161"/>
      <c r="AT24" s="161"/>
      <c r="AU24" s="161"/>
      <c r="AV24" s="162"/>
      <c r="AW24" s="137"/>
      <c r="AX24" s="137"/>
    </row>
    <row r="25" ht="46.5" customHeight="1" spans="1:50" s="97" customFormat="1" x14ac:dyDescent="0.25">
      <c r="A25" s="239"/>
      <c r="B25" s="100"/>
      <c r="C25" s="102"/>
      <c r="D25" s="100"/>
      <c r="E25" s="100"/>
      <c r="F25" s="100"/>
      <c r="G25" s="103"/>
      <c r="H25" s="186"/>
      <c r="I25" s="254"/>
      <c r="J25" s="107"/>
      <c r="K25" s="107"/>
      <c r="L25" s="107"/>
      <c r="M25" s="187"/>
      <c r="N25" s="169">
        <f t="shared" si="0"/>
        <v>0</v>
      </c>
      <c r="O25" s="144">
        <v>1</v>
      </c>
      <c r="P25" s="255"/>
      <c r="Q25" s="113"/>
      <c r="R25" s="113"/>
      <c r="S25" s="113"/>
      <c r="T25" s="146"/>
      <c r="U25" s="148">
        <f t="shared" si="1"/>
        <v>0</v>
      </c>
      <c r="V25" s="149">
        <f t="shared" si="2"/>
        <v>0</v>
      </c>
      <c r="W25" s="256"/>
      <c r="X25" s="199"/>
      <c r="Y25" s="151"/>
      <c r="Z25" s="190"/>
      <c r="AA25" s="153"/>
      <c r="AB25" s="154" t="e">
        <f t="shared" si="3"/>
        <v>#DIV/0!</v>
      </c>
      <c r="AC25" s="149" t="e">
        <f t="shared" si="4"/>
        <v>#DIV/0!</v>
      </c>
      <c r="AD25" s="125"/>
      <c r="AE25" s="148" t="e">
        <f t="shared" si="5"/>
        <v>#DIV/0!</v>
      </c>
      <c r="AF25" s="156"/>
      <c r="AG25" s="127"/>
      <c r="AH25" s="113" t="e">
        <f t="shared" si="6"/>
        <v>#DIV/0!</v>
      </c>
      <c r="AI25" s="157">
        <v>65</v>
      </c>
      <c r="AJ25" s="113" t="e">
        <f t="shared" si="7"/>
        <v>#DIV/0!</v>
      </c>
      <c r="AK25" s="113" t="e">
        <f t="shared" si="8"/>
        <v>#DIV/0!</v>
      </c>
      <c r="AL25" s="158" t="e">
        <f t="shared" si="9"/>
        <v>#DIV/0!</v>
      </c>
      <c r="AM25" s="159"/>
      <c r="AN25" s="160">
        <f t="shared" si="10"/>
        <v>1</v>
      </c>
      <c r="AO25" s="160">
        <f>100%+AN25</f>
        <v>2</v>
      </c>
      <c r="AP25" s="133">
        <v>4931800000</v>
      </c>
      <c r="AQ25" s="134"/>
      <c r="AR25" s="161"/>
      <c r="AS25" s="161"/>
      <c r="AT25" s="161"/>
      <c r="AU25" s="161"/>
      <c r="AV25" s="162"/>
      <c r="AW25" s="137">
        <f t="shared" si="11"/>
        <v>0</v>
      </c>
      <c r="AX25" s="137">
        <f t="shared" si="12"/>
        <v>0</v>
      </c>
    </row>
    <row r="26" ht="21.95" customHeight="1" spans="1:50" s="97" customFormat="1" x14ac:dyDescent="0.25">
      <c r="A26" s="299" t="s">
        <v>56</v>
      </c>
      <c r="B26" s="300"/>
      <c r="C26" s="300"/>
      <c r="D26" s="300"/>
      <c r="E26" s="300"/>
      <c r="F26" s="300"/>
      <c r="G26" s="300"/>
      <c r="H26" s="301"/>
      <c r="I26" s="297"/>
      <c r="J26" s="107"/>
      <c r="K26" s="142"/>
      <c r="L26" s="142"/>
      <c r="M26" s="142"/>
      <c r="N26" s="170">
        <f>I26*I25+J26*J25+K26*K25+L26*L25+M26*M25</f>
        <v>0</v>
      </c>
      <c r="O26" s="144"/>
      <c r="P26" s="145"/>
      <c r="Q26" s="113"/>
      <c r="R26" s="113"/>
      <c r="S26" s="146"/>
      <c r="T26" s="147"/>
      <c r="U26" s="148"/>
      <c r="V26" s="149"/>
      <c r="W26" s="150"/>
      <c r="X26" s="151"/>
      <c r="Y26" s="152"/>
      <c r="Z26" s="151"/>
      <c r="AA26" s="153"/>
      <c r="AB26" s="154"/>
      <c r="AC26" s="149"/>
      <c r="AD26" s="148"/>
      <c r="AE26" s="148"/>
      <c r="AF26" s="155"/>
      <c r="AG26" s="156"/>
      <c r="AH26" s="113"/>
      <c r="AI26" s="157"/>
      <c r="AJ26" s="113"/>
      <c r="AK26" s="113"/>
      <c r="AL26" s="158"/>
      <c r="AM26" s="159"/>
      <c r="AN26" s="160"/>
      <c r="AO26" s="160"/>
      <c r="AP26" s="133"/>
      <c r="AQ26" s="134"/>
      <c r="AR26" s="161"/>
      <c r="AS26" s="161"/>
      <c r="AT26" s="161"/>
      <c r="AU26" s="161"/>
      <c r="AV26" s="162"/>
      <c r="AW26" s="137"/>
      <c r="AX26" s="137"/>
    </row>
    <row r="27" ht="46.5" customHeight="1" spans="1:50" s="97" customFormat="1" x14ac:dyDescent="0.25">
      <c r="A27" s="100"/>
      <c r="B27" s="100"/>
      <c r="C27" s="100"/>
      <c r="D27" s="100"/>
      <c r="E27" s="100"/>
      <c r="F27" s="100"/>
      <c r="G27" s="103"/>
      <c r="H27" s="186"/>
      <c r="I27" s="195"/>
      <c r="J27" s="107"/>
      <c r="K27" s="107"/>
      <c r="L27" s="107"/>
      <c r="M27" s="187"/>
      <c r="N27" s="169">
        <f t="shared" si="0"/>
        <v>0</v>
      </c>
      <c r="O27" s="144">
        <v>1</v>
      </c>
      <c r="P27" s="145"/>
      <c r="Q27" s="113"/>
      <c r="R27" s="113"/>
      <c r="S27" s="113"/>
      <c r="T27" s="146"/>
      <c r="U27" s="148">
        <f t="shared" si="1"/>
        <v>0</v>
      </c>
      <c r="V27" s="149">
        <f t="shared" si="2"/>
        <v>0</v>
      </c>
      <c r="W27" s="189"/>
      <c r="X27" s="199"/>
      <c r="Y27" s="151"/>
      <c r="Z27" s="190"/>
      <c r="AA27" s="153"/>
      <c r="AB27" s="154" t="e">
        <f t="shared" si="3"/>
        <v>#DIV/0!</v>
      </c>
      <c r="AC27" s="149" t="e">
        <f t="shared" si="4"/>
        <v>#DIV/0!</v>
      </c>
      <c r="AD27" s="125"/>
      <c r="AE27" s="148" t="e">
        <f t="shared" si="5"/>
        <v>#DIV/0!</v>
      </c>
      <c r="AF27" s="156"/>
      <c r="AG27" s="156"/>
      <c r="AH27" s="113" t="e">
        <f t="shared" si="6"/>
        <v>#DIV/0!</v>
      </c>
      <c r="AI27" s="157">
        <v>65</v>
      </c>
      <c r="AJ27" s="113" t="e">
        <f t="shared" si="7"/>
        <v>#DIV/0!</v>
      </c>
      <c r="AK27" s="113" t="e">
        <f t="shared" si="8"/>
        <v>#DIV/0!</v>
      </c>
      <c r="AL27" s="158" t="e">
        <f t="shared" si="9"/>
        <v>#DIV/0!</v>
      </c>
      <c r="AM27" s="159"/>
      <c r="AN27" s="160">
        <f t="shared" si="10"/>
        <v>1</v>
      </c>
      <c r="AO27" s="160">
        <f t="shared" si="10"/>
        <v>2</v>
      </c>
      <c r="AP27" s="133"/>
      <c r="AQ27" s="134"/>
      <c r="AR27" s="161"/>
      <c r="AS27" s="161"/>
      <c r="AT27" s="161"/>
      <c r="AU27" s="161"/>
      <c r="AV27" s="162"/>
      <c r="AW27" s="137">
        <f t="shared" si="11"/>
        <v>0</v>
      </c>
      <c r="AX27" s="137">
        <f t="shared" si="12"/>
        <v>0</v>
      </c>
    </row>
    <row r="28" ht="21.95" customHeight="1" spans="1:50" s="97" customFormat="1" x14ac:dyDescent="0.25">
      <c r="A28" s="299" t="s">
        <v>56</v>
      </c>
      <c r="B28" s="300"/>
      <c r="C28" s="300"/>
      <c r="D28" s="300"/>
      <c r="E28" s="300"/>
      <c r="F28" s="300"/>
      <c r="G28" s="300"/>
      <c r="H28" s="301"/>
      <c r="I28" s="297"/>
      <c r="J28" s="107"/>
      <c r="K28" s="142"/>
      <c r="L28" s="142"/>
      <c r="M28" s="142"/>
      <c r="N28" s="170">
        <f>I28*I27+J28*J27+K28*K27+L28*L27+M28*M27</f>
        <v>0</v>
      </c>
      <c r="O28" s="144"/>
      <c r="P28" s="145"/>
      <c r="Q28" s="113"/>
      <c r="R28" s="113"/>
      <c r="S28" s="146"/>
      <c r="T28" s="147"/>
      <c r="U28" s="148"/>
      <c r="V28" s="149"/>
      <c r="W28" s="150"/>
      <c r="X28" s="151"/>
      <c r="Y28" s="152"/>
      <c r="Z28" s="151"/>
      <c r="AA28" s="153"/>
      <c r="AB28" s="154"/>
      <c r="AC28" s="149"/>
      <c r="AD28" s="148"/>
      <c r="AE28" s="148"/>
      <c r="AF28" s="155"/>
      <c r="AG28" s="156"/>
      <c r="AH28" s="113"/>
      <c r="AI28" s="157"/>
      <c r="AJ28" s="113"/>
      <c r="AK28" s="113"/>
      <c r="AL28" s="158"/>
      <c r="AM28" s="159"/>
      <c r="AN28" s="160"/>
      <c r="AO28" s="160"/>
      <c r="AP28" s="133"/>
      <c r="AQ28" s="134"/>
      <c r="AR28" s="161"/>
      <c r="AS28" s="161"/>
      <c r="AT28" s="161"/>
      <c r="AU28" s="161"/>
      <c r="AV28" s="162"/>
      <c r="AW28" s="137"/>
      <c r="AX28" s="137"/>
    </row>
    <row r="29" ht="46.5" customHeight="1" spans="1:50" s="97" customFormat="1" x14ac:dyDescent="0.25">
      <c r="A29" s="100"/>
      <c r="B29" s="100"/>
      <c r="C29" s="100"/>
      <c r="D29" s="100"/>
      <c r="E29" s="100"/>
      <c r="F29" s="100"/>
      <c r="G29" s="103"/>
      <c r="H29" s="186"/>
      <c r="I29" s="195"/>
      <c r="J29" s="107"/>
      <c r="K29" s="107"/>
      <c r="L29" s="107"/>
      <c r="M29" s="187"/>
      <c r="N29" s="169">
        <f t="shared" si="0"/>
        <v>0</v>
      </c>
      <c r="O29" s="144">
        <v>1</v>
      </c>
      <c r="P29" s="145"/>
      <c r="Q29" s="113"/>
      <c r="R29" s="113"/>
      <c r="S29" s="113"/>
      <c r="T29" s="146"/>
      <c r="U29" s="148">
        <f t="shared" si="1"/>
        <v>0</v>
      </c>
      <c r="V29" s="149">
        <f t="shared" si="2"/>
        <v>0</v>
      </c>
      <c r="W29" s="189"/>
      <c r="X29" s="199"/>
      <c r="Y29" s="151"/>
      <c r="Z29" s="190"/>
      <c r="AA29" s="153"/>
      <c r="AB29" s="154" t="e">
        <f t="shared" si="3"/>
        <v>#DIV/0!</v>
      </c>
      <c r="AC29" s="149" t="e">
        <f t="shared" si="4"/>
        <v>#DIV/0!</v>
      </c>
      <c r="AD29" s="125"/>
      <c r="AE29" s="148" t="e">
        <f t="shared" si="5"/>
        <v>#DIV/0!</v>
      </c>
      <c r="AF29" s="156"/>
      <c r="AG29" s="156"/>
      <c r="AH29" s="113" t="e">
        <f t="shared" si="6"/>
        <v>#DIV/0!</v>
      </c>
      <c r="AI29" s="157">
        <v>65</v>
      </c>
      <c r="AJ29" s="113" t="e">
        <f t="shared" si="7"/>
        <v>#DIV/0!</v>
      </c>
      <c r="AK29" s="113" t="e">
        <f t="shared" si="8"/>
        <v>#DIV/0!</v>
      </c>
      <c r="AL29" s="158" t="e">
        <f t="shared" si="9"/>
        <v>#DIV/0!</v>
      </c>
      <c r="AM29" s="159"/>
      <c r="AN29" s="160">
        <f t="shared" si="10"/>
        <v>1</v>
      </c>
      <c r="AO29" s="160">
        <f t="shared" si="10"/>
        <v>2</v>
      </c>
      <c r="AP29" s="133"/>
      <c r="AQ29" s="134"/>
      <c r="AR29" s="161"/>
      <c r="AS29" s="161"/>
      <c r="AT29" s="161"/>
      <c r="AU29" s="161"/>
      <c r="AV29" s="162"/>
      <c r="AW29" s="137">
        <f t="shared" si="11"/>
        <v>0</v>
      </c>
      <c r="AX29" s="137">
        <f t="shared" si="12"/>
        <v>0</v>
      </c>
    </row>
    <row r="30" ht="21.95" customHeight="1" spans="1:50" s="97" customFormat="1" x14ac:dyDescent="0.25">
      <c r="A30" s="299" t="s">
        <v>56</v>
      </c>
      <c r="B30" s="300"/>
      <c r="C30" s="300"/>
      <c r="D30" s="300"/>
      <c r="E30" s="300"/>
      <c r="F30" s="300"/>
      <c r="G30" s="300"/>
      <c r="H30" s="301"/>
      <c r="I30" s="297"/>
      <c r="J30" s="107"/>
      <c r="K30" s="142"/>
      <c r="L30" s="142"/>
      <c r="M30" s="142"/>
      <c r="N30" s="170">
        <f>I30*I29+J30*J29+K30*K29+L30*L29+M30*M29</f>
        <v>0</v>
      </c>
      <c r="O30" s="144"/>
      <c r="P30" s="145"/>
      <c r="Q30" s="113"/>
      <c r="R30" s="113"/>
      <c r="S30" s="146"/>
      <c r="T30" s="147"/>
      <c r="U30" s="148"/>
      <c r="V30" s="149"/>
      <c r="W30" s="150"/>
      <c r="X30" s="151"/>
      <c r="Y30" s="152"/>
      <c r="Z30" s="151"/>
      <c r="AA30" s="153"/>
      <c r="AB30" s="154"/>
      <c r="AC30" s="149"/>
      <c r="AD30" s="148"/>
      <c r="AE30" s="148"/>
      <c r="AF30" s="155"/>
      <c r="AG30" s="156"/>
      <c r="AH30" s="113"/>
      <c r="AI30" s="157"/>
      <c r="AJ30" s="113"/>
      <c r="AK30" s="113"/>
      <c r="AL30" s="158"/>
      <c r="AM30" s="159"/>
      <c r="AN30" s="160"/>
      <c r="AO30" s="160"/>
      <c r="AP30" s="133"/>
      <c r="AQ30" s="134"/>
      <c r="AR30" s="161"/>
      <c r="AS30" s="161"/>
      <c r="AT30" s="161"/>
      <c r="AU30" s="161"/>
      <c r="AV30" s="162"/>
      <c r="AW30" s="137"/>
      <c r="AX30" s="137"/>
    </row>
    <row r="31" ht="46.5" customHeight="1" spans="1:50" s="97" customFormat="1" x14ac:dyDescent="0.25">
      <c r="A31" s="100"/>
      <c r="B31" s="100"/>
      <c r="C31" s="100"/>
      <c r="D31" s="100"/>
      <c r="E31" s="100"/>
      <c r="F31" s="100"/>
      <c r="G31" s="103"/>
      <c r="H31" s="186"/>
      <c r="I31" s="195"/>
      <c r="J31" s="107"/>
      <c r="K31" s="107"/>
      <c r="L31" s="107"/>
      <c r="M31" s="187"/>
      <c r="N31" s="169">
        <f t="shared" si="0"/>
        <v>0</v>
      </c>
      <c r="O31" s="144">
        <v>1</v>
      </c>
      <c r="P31" s="145"/>
      <c r="Q31" s="113"/>
      <c r="R31" s="113"/>
      <c r="S31" s="113"/>
      <c r="T31" s="146"/>
      <c r="U31" s="148">
        <f t="shared" si="1"/>
        <v>0</v>
      </c>
      <c r="V31" s="149">
        <f t="shared" si="2"/>
        <v>0</v>
      </c>
      <c r="W31" s="189"/>
      <c r="X31" s="199"/>
      <c r="Y31" s="151"/>
      <c r="Z31" s="190"/>
      <c r="AA31" s="153"/>
      <c r="AB31" s="154" t="e">
        <f t="shared" si="3"/>
        <v>#DIV/0!</v>
      </c>
      <c r="AC31" s="149" t="e">
        <f t="shared" si="4"/>
        <v>#DIV/0!</v>
      </c>
      <c r="AD31" s="125"/>
      <c r="AE31" s="148" t="e">
        <f t="shared" si="5"/>
        <v>#DIV/0!</v>
      </c>
      <c r="AF31" s="156"/>
      <c r="AG31" s="156"/>
      <c r="AH31" s="113" t="e">
        <f t="shared" si="6"/>
        <v>#DIV/0!</v>
      </c>
      <c r="AI31" s="157">
        <v>65</v>
      </c>
      <c r="AJ31" s="113" t="e">
        <f t="shared" si="7"/>
        <v>#DIV/0!</v>
      </c>
      <c r="AK31" s="113" t="e">
        <f t="shared" si="8"/>
        <v>#DIV/0!</v>
      </c>
      <c r="AL31" s="158" t="e">
        <f t="shared" si="9"/>
        <v>#DIV/0!</v>
      </c>
      <c r="AM31" s="159"/>
      <c r="AN31" s="160">
        <f t="shared" ref="AN31:AO49" si="26">100%+AM31</f>
        <v>1</v>
      </c>
      <c r="AO31" s="160">
        <f t="shared" si="26"/>
        <v>2</v>
      </c>
      <c r="AP31" s="133"/>
      <c r="AQ31" s="134"/>
      <c r="AR31" s="161"/>
      <c r="AS31" s="161"/>
      <c r="AT31" s="161"/>
      <c r="AU31" s="161"/>
      <c r="AV31" s="162"/>
      <c r="AW31" s="137">
        <f t="shared" si="11"/>
        <v>0</v>
      </c>
      <c r="AX31" s="137">
        <f t="shared" si="12"/>
        <v>0</v>
      </c>
    </row>
    <row r="32" ht="21.95" customHeight="1" spans="1:50" s="97" customFormat="1" x14ac:dyDescent="0.25">
      <c r="A32" s="299" t="s">
        <v>56</v>
      </c>
      <c r="B32" s="300"/>
      <c r="C32" s="300"/>
      <c r="D32" s="300"/>
      <c r="E32" s="300"/>
      <c r="F32" s="300"/>
      <c r="G32" s="300"/>
      <c r="H32" s="301"/>
      <c r="I32" s="297"/>
      <c r="J32" s="107"/>
      <c r="K32" s="142"/>
      <c r="L32" s="142"/>
      <c r="M32" s="142"/>
      <c r="N32" s="170">
        <f>I32*I31+J32*J31+K32*K31+L32*L31+M32*M31</f>
        <v>0</v>
      </c>
      <c r="O32" s="144"/>
      <c r="P32" s="145"/>
      <c r="Q32" s="113"/>
      <c r="R32" s="113"/>
      <c r="S32" s="146"/>
      <c r="T32" s="147"/>
      <c r="U32" s="148"/>
      <c r="V32" s="149"/>
      <c r="W32" s="150"/>
      <c r="X32" s="151"/>
      <c r="Y32" s="152"/>
      <c r="Z32" s="151"/>
      <c r="AA32" s="153"/>
      <c r="AB32" s="154"/>
      <c r="AC32" s="149"/>
      <c r="AD32" s="148"/>
      <c r="AE32" s="148"/>
      <c r="AF32" s="155"/>
      <c r="AG32" s="156"/>
      <c r="AH32" s="113"/>
      <c r="AI32" s="157"/>
      <c r="AJ32" s="113"/>
      <c r="AK32" s="113"/>
      <c r="AL32" s="158"/>
      <c r="AM32" s="159"/>
      <c r="AN32" s="160"/>
      <c r="AO32" s="160"/>
      <c r="AP32" s="133"/>
      <c r="AQ32" s="134"/>
      <c r="AR32" s="161"/>
      <c r="AS32" s="161"/>
      <c r="AT32" s="161"/>
      <c r="AU32" s="161"/>
      <c r="AV32" s="162"/>
      <c r="AW32" s="137"/>
      <c r="AX32" s="137"/>
    </row>
    <row r="33" ht="46.5" customHeight="1" spans="1:50" s="97" customFormat="1" x14ac:dyDescent="0.25">
      <c r="A33" s="100"/>
      <c r="B33" s="100"/>
      <c r="C33" s="100"/>
      <c r="D33" s="100"/>
      <c r="E33" s="100"/>
      <c r="F33" s="100"/>
      <c r="G33" s="103"/>
      <c r="H33" s="186"/>
      <c r="I33" s="195"/>
      <c r="J33" s="107"/>
      <c r="K33" s="107"/>
      <c r="L33" s="107"/>
      <c r="M33" s="187"/>
      <c r="N33" s="169">
        <f t="shared" si="0"/>
        <v>0</v>
      </c>
      <c r="O33" s="144">
        <v>1</v>
      </c>
      <c r="P33" s="145"/>
      <c r="Q33" s="113"/>
      <c r="R33" s="113"/>
      <c r="S33" s="113"/>
      <c r="T33" s="146"/>
      <c r="U33" s="148">
        <f t="shared" si="1"/>
        <v>0</v>
      </c>
      <c r="V33" s="149">
        <f t="shared" si="2"/>
        <v>0</v>
      </c>
      <c r="W33" s="189"/>
      <c r="X33" s="199"/>
      <c r="Y33" s="151"/>
      <c r="Z33" s="190"/>
      <c r="AA33" s="153"/>
      <c r="AB33" s="154" t="e">
        <f t="shared" si="3"/>
        <v>#DIV/0!</v>
      </c>
      <c r="AC33" s="149" t="e">
        <f t="shared" si="4"/>
        <v>#DIV/0!</v>
      </c>
      <c r="AD33" s="125"/>
      <c r="AE33" s="148" t="e">
        <f t="shared" si="5"/>
        <v>#DIV/0!</v>
      </c>
      <c r="AF33" s="156"/>
      <c r="AG33" s="156"/>
      <c r="AH33" s="113" t="e">
        <f t="shared" si="6"/>
        <v>#DIV/0!</v>
      </c>
      <c r="AI33" s="157">
        <v>65</v>
      </c>
      <c r="AJ33" s="113" t="e">
        <f t="shared" si="7"/>
        <v>#DIV/0!</v>
      </c>
      <c r="AK33" s="113" t="e">
        <f t="shared" si="8"/>
        <v>#DIV/0!</v>
      </c>
      <c r="AL33" s="158" t="e">
        <f t="shared" si="9"/>
        <v>#DIV/0!</v>
      </c>
      <c r="AM33" s="159"/>
      <c r="AN33" s="160">
        <f t="shared" si="26"/>
        <v>1</v>
      </c>
      <c r="AO33" s="160">
        <f t="shared" si="26"/>
        <v>2</v>
      </c>
      <c r="AP33" s="133"/>
      <c r="AQ33" s="134"/>
      <c r="AR33" s="161"/>
      <c r="AS33" s="161"/>
      <c r="AT33" s="161"/>
      <c r="AU33" s="161"/>
      <c r="AV33" s="162"/>
      <c r="AW33" s="137">
        <f t="shared" si="11"/>
        <v>0</v>
      </c>
      <c r="AX33" s="137">
        <f t="shared" si="12"/>
        <v>0</v>
      </c>
    </row>
    <row r="34" ht="21.95" customHeight="1" spans="1:50" s="97" customFormat="1" x14ac:dyDescent="0.25">
      <c r="A34" s="299" t="s">
        <v>56</v>
      </c>
      <c r="B34" s="300"/>
      <c r="C34" s="300"/>
      <c r="D34" s="300"/>
      <c r="E34" s="300"/>
      <c r="F34" s="300"/>
      <c r="G34" s="300"/>
      <c r="H34" s="301"/>
      <c r="I34" s="297"/>
      <c r="J34" s="107"/>
      <c r="K34" s="142"/>
      <c r="L34" s="142"/>
      <c r="M34" s="142"/>
      <c r="N34" s="170">
        <f>I34*I33+J34*J33+K34*K33+L34*L33+M34*M33</f>
        <v>0</v>
      </c>
      <c r="O34" s="144"/>
      <c r="P34" s="145"/>
      <c r="Q34" s="113"/>
      <c r="R34" s="113"/>
      <c r="S34" s="146"/>
      <c r="T34" s="147"/>
      <c r="U34" s="148"/>
      <c r="V34" s="149"/>
      <c r="W34" s="150"/>
      <c r="X34" s="151"/>
      <c r="Y34" s="152"/>
      <c r="Z34" s="151"/>
      <c r="AA34" s="153"/>
      <c r="AB34" s="154"/>
      <c r="AC34" s="149"/>
      <c r="AD34" s="148"/>
      <c r="AE34" s="148"/>
      <c r="AF34" s="155"/>
      <c r="AG34" s="156"/>
      <c r="AH34" s="113"/>
      <c r="AI34" s="157"/>
      <c r="AJ34" s="113"/>
      <c r="AK34" s="113"/>
      <c r="AL34" s="158"/>
      <c r="AM34" s="159"/>
      <c r="AN34" s="160"/>
      <c r="AO34" s="160"/>
      <c r="AP34" s="133"/>
      <c r="AQ34" s="134"/>
      <c r="AR34" s="161"/>
      <c r="AS34" s="161"/>
      <c r="AT34" s="161"/>
      <c r="AU34" s="161"/>
      <c r="AV34" s="162"/>
      <c r="AW34" s="137"/>
      <c r="AX34" s="137"/>
    </row>
    <row r="35" ht="46.5" customHeight="1" spans="1:50" s="97" customFormat="1" x14ac:dyDescent="0.25">
      <c r="A35" s="100"/>
      <c r="B35" s="100"/>
      <c r="C35" s="100"/>
      <c r="D35" s="100"/>
      <c r="E35" s="100"/>
      <c r="F35" s="100"/>
      <c r="G35" s="103"/>
      <c r="H35" s="186"/>
      <c r="I35" s="195"/>
      <c r="J35" s="107"/>
      <c r="K35" s="107"/>
      <c r="L35" s="107"/>
      <c r="M35" s="187"/>
      <c r="N35" s="169">
        <f t="shared" si="0"/>
        <v>0</v>
      </c>
      <c r="O35" s="144">
        <v>1</v>
      </c>
      <c r="P35" s="145"/>
      <c r="Q35" s="113"/>
      <c r="R35" s="113"/>
      <c r="S35" s="113"/>
      <c r="T35" s="146"/>
      <c r="U35" s="148">
        <f t="shared" si="1"/>
        <v>0</v>
      </c>
      <c r="V35" s="149">
        <f t="shared" si="2"/>
        <v>0</v>
      </c>
      <c r="W35" s="189"/>
      <c r="X35" s="199"/>
      <c r="Y35" s="151"/>
      <c r="Z35" s="190"/>
      <c r="AA35" s="153"/>
      <c r="AB35" s="154" t="e">
        <f t="shared" si="3"/>
        <v>#DIV/0!</v>
      </c>
      <c r="AC35" s="149" t="e">
        <f t="shared" si="4"/>
        <v>#DIV/0!</v>
      </c>
      <c r="AD35" s="125"/>
      <c r="AE35" s="148" t="e">
        <f t="shared" si="5"/>
        <v>#DIV/0!</v>
      </c>
      <c r="AF35" s="156"/>
      <c r="AG35" s="156"/>
      <c r="AH35" s="113" t="e">
        <f t="shared" si="6"/>
        <v>#DIV/0!</v>
      </c>
      <c r="AI35" s="157">
        <v>65</v>
      </c>
      <c r="AJ35" s="113" t="e">
        <f t="shared" si="7"/>
        <v>#DIV/0!</v>
      </c>
      <c r="AK35" s="113" t="e">
        <f t="shared" si="8"/>
        <v>#DIV/0!</v>
      </c>
      <c r="AL35" s="158" t="e">
        <f t="shared" si="9"/>
        <v>#DIV/0!</v>
      </c>
      <c r="AM35" s="159"/>
      <c r="AN35" s="160">
        <f t="shared" si="26"/>
        <v>1</v>
      </c>
      <c r="AO35" s="160">
        <f t="shared" si="26"/>
        <v>2</v>
      </c>
      <c r="AP35" s="133"/>
      <c r="AQ35" s="134"/>
      <c r="AR35" s="161"/>
      <c r="AS35" s="161"/>
      <c r="AT35" s="161"/>
      <c r="AU35" s="161"/>
      <c r="AV35" s="162"/>
      <c r="AW35" s="137">
        <f t="shared" si="11"/>
        <v>0</v>
      </c>
      <c r="AX35" s="137">
        <f t="shared" si="12"/>
        <v>0</v>
      </c>
    </row>
    <row r="36" ht="21.95" customHeight="1" spans="1:50" s="97" customFormat="1" x14ac:dyDescent="0.25">
      <c r="A36" s="299" t="s">
        <v>56</v>
      </c>
      <c r="B36" s="300"/>
      <c r="C36" s="300"/>
      <c r="D36" s="300"/>
      <c r="E36" s="300"/>
      <c r="F36" s="300"/>
      <c r="G36" s="300"/>
      <c r="H36" s="301"/>
      <c r="I36" s="297"/>
      <c r="J36" s="107"/>
      <c r="K36" s="142"/>
      <c r="L36" s="142"/>
      <c r="M36" s="142"/>
      <c r="N36" s="170">
        <f>I36*I35+J36*J35+K36*K35+L36*L35+M36*M35</f>
        <v>0</v>
      </c>
      <c r="O36" s="144"/>
      <c r="P36" s="145"/>
      <c r="Q36" s="113"/>
      <c r="R36" s="113"/>
      <c r="S36" s="146"/>
      <c r="T36" s="147"/>
      <c r="U36" s="148"/>
      <c r="V36" s="149"/>
      <c r="W36" s="150"/>
      <c r="X36" s="151"/>
      <c r="Y36" s="152"/>
      <c r="Z36" s="151"/>
      <c r="AA36" s="153"/>
      <c r="AB36" s="154"/>
      <c r="AC36" s="149"/>
      <c r="AD36" s="148"/>
      <c r="AE36" s="148"/>
      <c r="AF36" s="155"/>
      <c r="AG36" s="156"/>
      <c r="AH36" s="113"/>
      <c r="AI36" s="157"/>
      <c r="AJ36" s="113"/>
      <c r="AK36" s="113"/>
      <c r="AL36" s="158"/>
      <c r="AM36" s="159"/>
      <c r="AN36" s="160"/>
      <c r="AO36" s="160"/>
      <c r="AP36" s="133"/>
      <c r="AQ36" s="134"/>
      <c r="AR36" s="161"/>
      <c r="AS36" s="161"/>
      <c r="AT36" s="161"/>
      <c r="AU36" s="161"/>
      <c r="AV36" s="162"/>
      <c r="AW36" s="137"/>
      <c r="AX36" s="137"/>
    </row>
    <row r="37" ht="46.5" customHeight="1" spans="1:50" s="97" customFormat="1" x14ac:dyDescent="0.25">
      <c r="A37" s="100"/>
      <c r="B37" s="100"/>
      <c r="C37" s="100"/>
      <c r="D37" s="100"/>
      <c r="E37" s="100"/>
      <c r="F37" s="100"/>
      <c r="G37" s="103"/>
      <c r="H37" s="186"/>
      <c r="I37" s="195"/>
      <c r="J37" s="107"/>
      <c r="K37" s="107"/>
      <c r="L37" s="107"/>
      <c r="M37" s="187"/>
      <c r="N37" s="169">
        <f t="shared" si="0"/>
        <v>0</v>
      </c>
      <c r="O37" s="144">
        <v>1</v>
      </c>
      <c r="P37" s="145"/>
      <c r="Q37" s="113"/>
      <c r="R37" s="113"/>
      <c r="S37" s="113"/>
      <c r="T37" s="146"/>
      <c r="U37" s="148">
        <f t="shared" si="1"/>
        <v>0</v>
      </c>
      <c r="V37" s="149">
        <f t="shared" si="2"/>
        <v>0</v>
      </c>
      <c r="W37" s="189"/>
      <c r="X37" s="199"/>
      <c r="Y37" s="151"/>
      <c r="Z37" s="190"/>
      <c r="AA37" s="153"/>
      <c r="AB37" s="154" t="e">
        <f t="shared" si="3"/>
        <v>#DIV/0!</v>
      </c>
      <c r="AC37" s="149" t="e">
        <f t="shared" si="4"/>
        <v>#DIV/0!</v>
      </c>
      <c r="AD37" s="125"/>
      <c r="AE37" s="148" t="e">
        <f t="shared" si="5"/>
        <v>#DIV/0!</v>
      </c>
      <c r="AF37" s="156"/>
      <c r="AG37" s="156"/>
      <c r="AH37" s="113" t="e">
        <f t="shared" si="6"/>
        <v>#DIV/0!</v>
      </c>
      <c r="AI37" s="157">
        <v>65</v>
      </c>
      <c r="AJ37" s="113" t="e">
        <f t="shared" si="7"/>
        <v>#DIV/0!</v>
      </c>
      <c r="AK37" s="113" t="e">
        <f t="shared" si="8"/>
        <v>#DIV/0!</v>
      </c>
      <c r="AL37" s="158" t="e">
        <f t="shared" si="9"/>
        <v>#DIV/0!</v>
      </c>
      <c r="AM37" s="159"/>
      <c r="AN37" s="160">
        <f t="shared" si="26"/>
        <v>1</v>
      </c>
      <c r="AO37" s="160">
        <f t="shared" si="26"/>
        <v>2</v>
      </c>
      <c r="AP37" s="133"/>
      <c r="AQ37" s="134"/>
      <c r="AR37" s="161"/>
      <c r="AS37" s="161"/>
      <c r="AT37" s="161"/>
      <c r="AU37" s="161"/>
      <c r="AV37" s="162"/>
      <c r="AW37" s="137">
        <f t="shared" si="11"/>
        <v>0</v>
      </c>
      <c r="AX37" s="137">
        <f t="shared" si="12"/>
        <v>0</v>
      </c>
    </row>
    <row r="38" ht="21.95" customHeight="1" spans="1:50" s="97" customFormat="1" x14ac:dyDescent="0.25">
      <c r="A38" s="299" t="s">
        <v>56</v>
      </c>
      <c r="B38" s="300"/>
      <c r="C38" s="300"/>
      <c r="D38" s="300"/>
      <c r="E38" s="300"/>
      <c r="F38" s="300"/>
      <c r="G38" s="300"/>
      <c r="H38" s="301"/>
      <c r="I38" s="297"/>
      <c r="J38" s="107"/>
      <c r="K38" s="142"/>
      <c r="L38" s="142"/>
      <c r="M38" s="142"/>
      <c r="N38" s="170">
        <f>I38*I37+J38*J37+K38*K37+L38*L37+M38*M37</f>
        <v>0</v>
      </c>
      <c r="O38" s="144"/>
      <c r="P38" s="145"/>
      <c r="Q38" s="113"/>
      <c r="R38" s="113"/>
      <c r="S38" s="146"/>
      <c r="T38" s="147"/>
      <c r="U38" s="148"/>
      <c r="V38" s="149"/>
      <c r="W38" s="150"/>
      <c r="X38" s="151"/>
      <c r="Y38" s="152"/>
      <c r="Z38" s="151"/>
      <c r="AA38" s="153"/>
      <c r="AB38" s="154"/>
      <c r="AC38" s="149"/>
      <c r="AD38" s="148"/>
      <c r="AE38" s="148"/>
      <c r="AF38" s="155"/>
      <c r="AG38" s="156"/>
      <c r="AH38" s="113"/>
      <c r="AI38" s="157"/>
      <c r="AJ38" s="113"/>
      <c r="AK38" s="113"/>
      <c r="AL38" s="158"/>
      <c r="AM38" s="159"/>
      <c r="AN38" s="160"/>
      <c r="AO38" s="160"/>
      <c r="AP38" s="133"/>
      <c r="AQ38" s="134"/>
      <c r="AR38" s="161"/>
      <c r="AS38" s="161"/>
      <c r="AT38" s="161"/>
      <c r="AU38" s="161"/>
      <c r="AV38" s="162"/>
      <c r="AW38" s="137"/>
      <c r="AX38" s="137"/>
    </row>
    <row r="39" ht="46.5" customHeight="1" spans="1:50" s="97" customFormat="1" x14ac:dyDescent="0.25">
      <c r="A39" s="100"/>
      <c r="B39" s="100"/>
      <c r="C39" s="100"/>
      <c r="D39" s="100"/>
      <c r="E39" s="100"/>
      <c r="F39" s="100"/>
      <c r="G39" s="103"/>
      <c r="H39" s="186"/>
      <c r="I39" s="195"/>
      <c r="J39" s="107"/>
      <c r="K39" s="107"/>
      <c r="L39" s="107"/>
      <c r="M39" s="187"/>
      <c r="N39" s="169">
        <f t="shared" si="0"/>
        <v>0</v>
      </c>
      <c r="O39" s="144">
        <v>1</v>
      </c>
      <c r="P39" s="145"/>
      <c r="Q39" s="113"/>
      <c r="R39" s="113"/>
      <c r="S39" s="113"/>
      <c r="T39" s="146"/>
      <c r="U39" s="148">
        <f t="shared" si="1"/>
        <v>0</v>
      </c>
      <c r="V39" s="149">
        <f t="shared" si="2"/>
        <v>0</v>
      </c>
      <c r="W39" s="189"/>
      <c r="X39" s="199"/>
      <c r="Y39" s="151"/>
      <c r="Z39" s="190"/>
      <c r="AA39" s="153"/>
      <c r="AB39" s="154" t="e">
        <f t="shared" si="3"/>
        <v>#DIV/0!</v>
      </c>
      <c r="AC39" s="149" t="e">
        <f t="shared" si="4"/>
        <v>#DIV/0!</v>
      </c>
      <c r="AD39" s="125"/>
      <c r="AE39" s="148" t="e">
        <f t="shared" si="5"/>
        <v>#DIV/0!</v>
      </c>
      <c r="AF39" s="156"/>
      <c r="AG39" s="156"/>
      <c r="AH39" s="113" t="e">
        <f t="shared" si="6"/>
        <v>#DIV/0!</v>
      </c>
      <c r="AI39" s="157">
        <v>65</v>
      </c>
      <c r="AJ39" s="113" t="e">
        <f t="shared" si="7"/>
        <v>#DIV/0!</v>
      </c>
      <c r="AK39" s="113" t="e">
        <f t="shared" si="8"/>
        <v>#DIV/0!</v>
      </c>
      <c r="AL39" s="158" t="e">
        <f t="shared" si="9"/>
        <v>#DIV/0!</v>
      </c>
      <c r="AM39" s="159"/>
      <c r="AN39" s="160">
        <f t="shared" si="26"/>
        <v>1</v>
      </c>
      <c r="AO39" s="160">
        <f t="shared" si="26"/>
        <v>2</v>
      </c>
      <c r="AP39" s="133"/>
      <c r="AQ39" s="134"/>
      <c r="AR39" s="161"/>
      <c r="AS39" s="161"/>
      <c r="AT39" s="161"/>
      <c r="AU39" s="161"/>
      <c r="AV39" s="162"/>
      <c r="AW39" s="137">
        <f t="shared" si="11"/>
        <v>0</v>
      </c>
      <c r="AX39" s="137">
        <f t="shared" si="12"/>
        <v>0</v>
      </c>
    </row>
    <row r="40" ht="21.95" customHeight="1" spans="1:50" s="97" customFormat="1" x14ac:dyDescent="0.25">
      <c r="A40" s="299" t="s">
        <v>56</v>
      </c>
      <c r="B40" s="300"/>
      <c r="C40" s="300"/>
      <c r="D40" s="300"/>
      <c r="E40" s="300"/>
      <c r="F40" s="300"/>
      <c r="G40" s="300"/>
      <c r="H40" s="301"/>
      <c r="I40" s="297"/>
      <c r="J40" s="107"/>
      <c r="K40" s="142"/>
      <c r="L40" s="142"/>
      <c r="M40" s="142"/>
      <c r="N40" s="170">
        <f>I40*I39+J40*J39+K40*K39+L40*L39+M40*M39</f>
        <v>0</v>
      </c>
      <c r="O40" s="144"/>
      <c r="P40" s="145"/>
      <c r="Q40" s="113"/>
      <c r="R40" s="113"/>
      <c r="S40" s="146"/>
      <c r="T40" s="147"/>
      <c r="U40" s="148"/>
      <c r="V40" s="149"/>
      <c r="W40" s="150"/>
      <c r="X40" s="151"/>
      <c r="Y40" s="152"/>
      <c r="Z40" s="151"/>
      <c r="AA40" s="153"/>
      <c r="AB40" s="154"/>
      <c r="AC40" s="149"/>
      <c r="AD40" s="148"/>
      <c r="AE40" s="148"/>
      <c r="AF40" s="155"/>
      <c r="AG40" s="156"/>
      <c r="AH40" s="113"/>
      <c r="AI40" s="157"/>
      <c r="AJ40" s="113"/>
      <c r="AK40" s="113"/>
      <c r="AL40" s="158"/>
      <c r="AM40" s="159"/>
      <c r="AN40" s="160"/>
      <c r="AO40" s="160"/>
      <c r="AP40" s="133"/>
      <c r="AQ40" s="134"/>
      <c r="AR40" s="161"/>
      <c r="AS40" s="161"/>
      <c r="AT40" s="161"/>
      <c r="AU40" s="161"/>
      <c r="AV40" s="162"/>
      <c r="AW40" s="137"/>
      <c r="AX40" s="137"/>
    </row>
    <row r="41" ht="46.5" customHeight="1" spans="1:50" s="97" customFormat="1" x14ac:dyDescent="0.25">
      <c r="A41" s="100"/>
      <c r="B41" s="100"/>
      <c r="C41" s="100"/>
      <c r="D41" s="100"/>
      <c r="E41" s="100"/>
      <c r="F41" s="100"/>
      <c r="G41" s="103"/>
      <c r="H41" s="186"/>
      <c r="I41" s="195"/>
      <c r="J41" s="107"/>
      <c r="K41" s="107"/>
      <c r="L41" s="107"/>
      <c r="M41" s="187"/>
      <c r="N41" s="169">
        <f t="shared" si="0"/>
        <v>0</v>
      </c>
      <c r="O41" s="144">
        <v>1</v>
      </c>
      <c r="P41" s="145"/>
      <c r="Q41" s="113"/>
      <c r="R41" s="113"/>
      <c r="S41" s="113"/>
      <c r="T41" s="146"/>
      <c r="U41" s="148">
        <f t="shared" si="1"/>
        <v>0</v>
      </c>
      <c r="V41" s="149">
        <f t="shared" si="2"/>
        <v>0</v>
      </c>
      <c r="W41" s="189"/>
      <c r="X41" s="199"/>
      <c r="Y41" s="151"/>
      <c r="Z41" s="190"/>
      <c r="AA41" s="153"/>
      <c r="AB41" s="154" t="e">
        <f t="shared" si="3"/>
        <v>#DIV/0!</v>
      </c>
      <c r="AC41" s="149" t="e">
        <f t="shared" si="4"/>
        <v>#DIV/0!</v>
      </c>
      <c r="AD41" s="125"/>
      <c r="AE41" s="148" t="e">
        <f t="shared" si="5"/>
        <v>#DIV/0!</v>
      </c>
      <c r="AF41" s="156"/>
      <c r="AG41" s="156"/>
      <c r="AH41" s="113" t="e">
        <f t="shared" si="6"/>
        <v>#DIV/0!</v>
      </c>
      <c r="AI41" s="157">
        <v>65</v>
      </c>
      <c r="AJ41" s="113" t="e">
        <f t="shared" si="7"/>
        <v>#DIV/0!</v>
      </c>
      <c r="AK41" s="113" t="e">
        <f t="shared" si="8"/>
        <v>#DIV/0!</v>
      </c>
      <c r="AL41" s="158" t="e">
        <f t="shared" si="9"/>
        <v>#DIV/0!</v>
      </c>
      <c r="AM41" s="159"/>
      <c r="AN41" s="160">
        <f t="shared" si="26"/>
        <v>1</v>
      </c>
      <c r="AO41" s="160">
        <f t="shared" si="26"/>
        <v>2</v>
      </c>
      <c r="AP41" s="133"/>
      <c r="AQ41" s="134"/>
      <c r="AR41" s="161"/>
      <c r="AS41" s="161"/>
      <c r="AT41" s="161"/>
      <c r="AU41" s="161"/>
      <c r="AV41" s="162"/>
      <c r="AW41" s="137">
        <f t="shared" si="11"/>
        <v>0</v>
      </c>
      <c r="AX41" s="137">
        <f t="shared" si="12"/>
        <v>0</v>
      </c>
    </row>
    <row r="42" ht="21.95" customHeight="1" spans="1:50" s="97" customFormat="1" x14ac:dyDescent="0.25">
      <c r="A42" s="299" t="s">
        <v>56</v>
      </c>
      <c r="B42" s="300"/>
      <c r="C42" s="300"/>
      <c r="D42" s="300"/>
      <c r="E42" s="300"/>
      <c r="F42" s="300"/>
      <c r="G42" s="300"/>
      <c r="H42" s="301"/>
      <c r="I42" s="297"/>
      <c r="J42" s="107"/>
      <c r="K42" s="142"/>
      <c r="L42" s="142"/>
      <c r="M42" s="142"/>
      <c r="N42" s="170">
        <f>I42*I41+J42*J41+K42*K41+L42*L41+M42*M41</f>
        <v>0</v>
      </c>
      <c r="O42" s="144"/>
      <c r="P42" s="145"/>
      <c r="Q42" s="113"/>
      <c r="R42" s="113"/>
      <c r="S42" s="146"/>
      <c r="T42" s="147"/>
      <c r="U42" s="148"/>
      <c r="V42" s="149"/>
      <c r="W42" s="150"/>
      <c r="X42" s="151"/>
      <c r="Y42" s="152"/>
      <c r="Z42" s="151"/>
      <c r="AA42" s="153"/>
      <c r="AB42" s="154"/>
      <c r="AC42" s="149"/>
      <c r="AD42" s="148"/>
      <c r="AE42" s="148"/>
      <c r="AF42" s="155"/>
      <c r="AG42" s="156"/>
      <c r="AH42" s="113"/>
      <c r="AI42" s="157"/>
      <c r="AJ42" s="113"/>
      <c r="AK42" s="113"/>
      <c r="AL42" s="158"/>
      <c r="AM42" s="159"/>
      <c r="AN42" s="160"/>
      <c r="AO42" s="160"/>
      <c r="AP42" s="133"/>
      <c r="AQ42" s="134"/>
      <c r="AR42" s="161"/>
      <c r="AS42" s="161"/>
      <c r="AT42" s="161"/>
      <c r="AU42" s="161"/>
      <c r="AV42" s="162"/>
      <c r="AW42" s="137"/>
      <c r="AX42" s="137"/>
    </row>
    <row r="43" ht="46.5" customHeight="1" spans="1:50" s="97" customFormat="1" x14ac:dyDescent="0.25">
      <c r="A43" s="100"/>
      <c r="B43" s="100"/>
      <c r="C43" s="100"/>
      <c r="D43" s="100"/>
      <c r="E43" s="100"/>
      <c r="F43" s="100"/>
      <c r="G43" s="103"/>
      <c r="H43" s="186"/>
      <c r="I43" s="195"/>
      <c r="J43" s="107"/>
      <c r="K43" s="107"/>
      <c r="L43" s="107"/>
      <c r="M43" s="187"/>
      <c r="N43" s="169">
        <f t="shared" ref="N43:N105" si="27">SUM(I43:M43)</f>
        <v>0</v>
      </c>
      <c r="O43" s="144">
        <v>1</v>
      </c>
      <c r="P43" s="145"/>
      <c r="Q43" s="113"/>
      <c r="R43" s="113"/>
      <c r="S43" s="113"/>
      <c r="T43" s="146"/>
      <c r="U43" s="148">
        <f t="shared" si="1"/>
        <v>0</v>
      </c>
      <c r="V43" s="149">
        <f t="shared" si="2"/>
        <v>0</v>
      </c>
      <c r="W43" s="189"/>
      <c r="X43" s="199"/>
      <c r="Y43" s="151"/>
      <c r="Z43" s="190"/>
      <c r="AA43" s="153"/>
      <c r="AB43" s="154" t="e">
        <f t="shared" si="3"/>
        <v>#DIV/0!</v>
      </c>
      <c r="AC43" s="149" t="e">
        <f t="shared" si="4"/>
        <v>#DIV/0!</v>
      </c>
      <c r="AD43" s="125"/>
      <c r="AE43" s="148" t="e">
        <f t="shared" si="5"/>
        <v>#DIV/0!</v>
      </c>
      <c r="AF43" s="156"/>
      <c r="AG43" s="156"/>
      <c r="AH43" s="113" t="e">
        <f t="shared" si="6"/>
        <v>#DIV/0!</v>
      </c>
      <c r="AI43" s="157">
        <v>65</v>
      </c>
      <c r="AJ43" s="113" t="e">
        <f t="shared" si="7"/>
        <v>#DIV/0!</v>
      </c>
      <c r="AK43" s="113" t="e">
        <f t="shared" si="8"/>
        <v>#DIV/0!</v>
      </c>
      <c r="AL43" s="158" t="e">
        <f t="shared" si="9"/>
        <v>#DIV/0!</v>
      </c>
      <c r="AM43" s="159"/>
      <c r="AN43" s="160">
        <f t="shared" si="26"/>
        <v>1</v>
      </c>
      <c r="AO43" s="160">
        <f t="shared" si="26"/>
        <v>2</v>
      </c>
      <c r="AP43" s="133"/>
      <c r="AQ43" s="134"/>
      <c r="AR43" s="161"/>
      <c r="AS43" s="161"/>
      <c r="AT43" s="161"/>
      <c r="AU43" s="161"/>
      <c r="AV43" s="162"/>
      <c r="AW43" s="137">
        <f t="shared" si="11"/>
        <v>0</v>
      </c>
      <c r="AX43" s="137">
        <f t="shared" si="12"/>
        <v>0</v>
      </c>
    </row>
    <row r="44" ht="21.95" customHeight="1" spans="1:50" s="97" customFormat="1" x14ac:dyDescent="0.25">
      <c r="A44" s="299" t="s">
        <v>56</v>
      </c>
      <c r="B44" s="300"/>
      <c r="C44" s="300"/>
      <c r="D44" s="300"/>
      <c r="E44" s="300"/>
      <c r="F44" s="300"/>
      <c r="G44" s="300"/>
      <c r="H44" s="301"/>
      <c r="I44" s="297"/>
      <c r="J44" s="107"/>
      <c r="K44" s="142"/>
      <c r="L44" s="142"/>
      <c r="M44" s="142"/>
      <c r="N44" s="170">
        <f>I44*I43+J44*J43+K44*K43+L44*L43+M44*M43</f>
        <v>0</v>
      </c>
      <c r="O44" s="144"/>
      <c r="P44" s="145"/>
      <c r="Q44" s="113"/>
      <c r="R44" s="113"/>
      <c r="S44" s="146"/>
      <c r="T44" s="147"/>
      <c r="U44" s="148"/>
      <c r="V44" s="149"/>
      <c r="W44" s="150"/>
      <c r="X44" s="151"/>
      <c r="Y44" s="152"/>
      <c r="Z44" s="151"/>
      <c r="AA44" s="153"/>
      <c r="AB44" s="154"/>
      <c r="AC44" s="149"/>
      <c r="AD44" s="148"/>
      <c r="AE44" s="148"/>
      <c r="AF44" s="155"/>
      <c r="AG44" s="156"/>
      <c r="AH44" s="113"/>
      <c r="AI44" s="157"/>
      <c r="AJ44" s="113"/>
      <c r="AK44" s="113"/>
      <c r="AL44" s="158"/>
      <c r="AM44" s="159"/>
      <c r="AN44" s="160"/>
      <c r="AO44" s="160"/>
      <c r="AP44" s="133"/>
      <c r="AQ44" s="134"/>
      <c r="AR44" s="161"/>
      <c r="AS44" s="161"/>
      <c r="AT44" s="161"/>
      <c r="AU44" s="161"/>
      <c r="AV44" s="162"/>
      <c r="AW44" s="137"/>
      <c r="AX44" s="137"/>
    </row>
    <row r="45" ht="46.5" customHeight="1" spans="1:50" s="97" customFormat="1" x14ac:dyDescent="0.25">
      <c r="A45" s="100"/>
      <c r="B45" s="100"/>
      <c r="C45" s="100"/>
      <c r="D45" s="100"/>
      <c r="E45" s="100"/>
      <c r="F45" s="100"/>
      <c r="G45" s="103"/>
      <c r="H45" s="186"/>
      <c r="I45" s="195"/>
      <c r="J45" s="107"/>
      <c r="K45" s="107"/>
      <c r="L45" s="107"/>
      <c r="M45" s="187"/>
      <c r="N45" s="169">
        <f t="shared" si="27"/>
        <v>0</v>
      </c>
      <c r="O45" s="144">
        <v>1</v>
      </c>
      <c r="P45" s="145"/>
      <c r="Q45" s="113"/>
      <c r="R45" s="113"/>
      <c r="S45" s="113"/>
      <c r="T45" s="146"/>
      <c r="U45" s="148">
        <f t="shared" si="1"/>
        <v>0</v>
      </c>
      <c r="V45" s="149">
        <f t="shared" si="2"/>
        <v>0</v>
      </c>
      <c r="W45" s="189"/>
      <c r="X45" s="199"/>
      <c r="Y45" s="151"/>
      <c r="Z45" s="190"/>
      <c r="AA45" s="153"/>
      <c r="AB45" s="154" t="e">
        <f t="shared" si="3"/>
        <v>#DIV/0!</v>
      </c>
      <c r="AC45" s="149" t="e">
        <f t="shared" si="4"/>
        <v>#DIV/0!</v>
      </c>
      <c r="AD45" s="125"/>
      <c r="AE45" s="148" t="e">
        <f t="shared" si="5"/>
        <v>#DIV/0!</v>
      </c>
      <c r="AF45" s="156"/>
      <c r="AG45" s="156"/>
      <c r="AH45" s="113" t="e">
        <f t="shared" si="6"/>
        <v>#DIV/0!</v>
      </c>
      <c r="AI45" s="157">
        <v>65</v>
      </c>
      <c r="AJ45" s="113" t="e">
        <f t="shared" si="7"/>
        <v>#DIV/0!</v>
      </c>
      <c r="AK45" s="113" t="e">
        <f t="shared" si="8"/>
        <v>#DIV/0!</v>
      </c>
      <c r="AL45" s="158" t="e">
        <f t="shared" si="9"/>
        <v>#DIV/0!</v>
      </c>
      <c r="AM45" s="159"/>
      <c r="AN45" s="160">
        <f t="shared" si="26"/>
        <v>1</v>
      </c>
      <c r="AO45" s="160">
        <f t="shared" si="26"/>
        <v>2</v>
      </c>
      <c r="AP45" s="133"/>
      <c r="AQ45" s="134"/>
      <c r="AR45" s="161"/>
      <c r="AS45" s="161"/>
      <c r="AT45" s="161"/>
      <c r="AU45" s="161"/>
      <c r="AV45" s="162"/>
      <c r="AW45" s="137">
        <f t="shared" si="11"/>
        <v>0</v>
      </c>
      <c r="AX45" s="137">
        <f t="shared" si="12"/>
        <v>0</v>
      </c>
    </row>
    <row r="46" ht="21.95" customHeight="1" spans="1:50" s="97" customFormat="1" x14ac:dyDescent="0.25">
      <c r="A46" s="299" t="s">
        <v>56</v>
      </c>
      <c r="B46" s="300"/>
      <c r="C46" s="300"/>
      <c r="D46" s="300"/>
      <c r="E46" s="300"/>
      <c r="F46" s="300"/>
      <c r="G46" s="300"/>
      <c r="H46" s="301"/>
      <c r="I46" s="297"/>
      <c r="J46" s="107"/>
      <c r="K46" s="142"/>
      <c r="L46" s="142"/>
      <c r="M46" s="142"/>
      <c r="N46" s="170">
        <f>I46*I45+J46*J45+K46*K45+L46*L45+M46*M45</f>
        <v>0</v>
      </c>
      <c r="O46" s="144"/>
      <c r="P46" s="145"/>
      <c r="Q46" s="113"/>
      <c r="R46" s="113"/>
      <c r="S46" s="146"/>
      <c r="T46" s="147"/>
      <c r="U46" s="148"/>
      <c r="V46" s="149"/>
      <c r="W46" s="150"/>
      <c r="X46" s="151"/>
      <c r="Y46" s="152"/>
      <c r="Z46" s="151"/>
      <c r="AA46" s="153"/>
      <c r="AB46" s="154"/>
      <c r="AC46" s="149"/>
      <c r="AD46" s="148"/>
      <c r="AE46" s="148"/>
      <c r="AF46" s="155"/>
      <c r="AG46" s="156"/>
      <c r="AH46" s="113"/>
      <c r="AI46" s="157"/>
      <c r="AJ46" s="113"/>
      <c r="AK46" s="113"/>
      <c r="AL46" s="158"/>
      <c r="AM46" s="159"/>
      <c r="AN46" s="160"/>
      <c r="AO46" s="160"/>
      <c r="AP46" s="133"/>
      <c r="AQ46" s="134"/>
      <c r="AR46" s="161"/>
      <c r="AS46" s="161"/>
      <c r="AT46" s="161"/>
      <c r="AU46" s="161"/>
      <c r="AV46" s="162"/>
      <c r="AW46" s="137"/>
      <c r="AX46" s="137"/>
    </row>
    <row r="47" ht="46.5" customHeight="1" spans="1:50" s="97" customFormat="1" x14ac:dyDescent="0.25">
      <c r="A47" s="100"/>
      <c r="B47" s="100"/>
      <c r="C47" s="100"/>
      <c r="D47" s="100"/>
      <c r="E47" s="100"/>
      <c r="F47" s="100"/>
      <c r="G47" s="103"/>
      <c r="H47" s="186"/>
      <c r="I47" s="195"/>
      <c r="J47" s="107"/>
      <c r="K47" s="107"/>
      <c r="L47" s="107"/>
      <c r="M47" s="187"/>
      <c r="N47" s="169">
        <f t="shared" si="27"/>
        <v>0</v>
      </c>
      <c r="O47" s="144">
        <v>1</v>
      </c>
      <c r="P47" s="145"/>
      <c r="Q47" s="113"/>
      <c r="R47" s="113"/>
      <c r="S47" s="113"/>
      <c r="T47" s="146"/>
      <c r="U47" s="148">
        <f t="shared" si="1"/>
        <v>0</v>
      </c>
      <c r="V47" s="149">
        <f t="shared" si="2"/>
        <v>0</v>
      </c>
      <c r="W47" s="189"/>
      <c r="X47" s="199"/>
      <c r="Y47" s="151"/>
      <c r="Z47" s="190"/>
      <c r="AA47" s="153"/>
      <c r="AB47" s="154" t="e">
        <f t="shared" si="3"/>
        <v>#DIV/0!</v>
      </c>
      <c r="AC47" s="149" t="e">
        <f t="shared" si="4"/>
        <v>#DIV/0!</v>
      </c>
      <c r="AD47" s="125"/>
      <c r="AE47" s="148" t="e">
        <f t="shared" si="5"/>
        <v>#DIV/0!</v>
      </c>
      <c r="AF47" s="156"/>
      <c r="AG47" s="156"/>
      <c r="AH47" s="113" t="e">
        <f t="shared" si="6"/>
        <v>#DIV/0!</v>
      </c>
      <c r="AI47" s="157">
        <v>65</v>
      </c>
      <c r="AJ47" s="113" t="e">
        <f t="shared" si="7"/>
        <v>#DIV/0!</v>
      </c>
      <c r="AK47" s="113" t="e">
        <f t="shared" si="8"/>
        <v>#DIV/0!</v>
      </c>
      <c r="AL47" s="158" t="e">
        <f t="shared" si="9"/>
        <v>#DIV/0!</v>
      </c>
      <c r="AM47" s="159"/>
      <c r="AN47" s="160">
        <f t="shared" si="26"/>
        <v>1</v>
      </c>
      <c r="AO47" s="160">
        <f t="shared" si="26"/>
        <v>2</v>
      </c>
      <c r="AP47" s="133"/>
      <c r="AQ47" s="134"/>
      <c r="AR47" s="161"/>
      <c r="AS47" s="161"/>
      <c r="AT47" s="161"/>
      <c r="AU47" s="161"/>
      <c r="AV47" s="162"/>
      <c r="AW47" s="137">
        <f t="shared" si="11"/>
        <v>0</v>
      </c>
      <c r="AX47" s="137">
        <f t="shared" si="12"/>
        <v>0</v>
      </c>
    </row>
    <row r="48" ht="21.95" customHeight="1" spans="1:50" s="97" customFormat="1" x14ac:dyDescent="0.25">
      <c r="A48" s="299" t="s">
        <v>56</v>
      </c>
      <c r="B48" s="300"/>
      <c r="C48" s="300"/>
      <c r="D48" s="300"/>
      <c r="E48" s="300"/>
      <c r="F48" s="300"/>
      <c r="G48" s="300"/>
      <c r="H48" s="301"/>
      <c r="I48" s="297"/>
      <c r="J48" s="107"/>
      <c r="K48" s="142"/>
      <c r="L48" s="142"/>
      <c r="M48" s="142"/>
      <c r="N48" s="170">
        <f>I48*I47+J48*J47+K48*K47+L48*L47+M48*M47</f>
        <v>0</v>
      </c>
      <c r="O48" s="144"/>
      <c r="P48" s="145"/>
      <c r="Q48" s="113"/>
      <c r="R48" s="113"/>
      <c r="S48" s="146"/>
      <c r="T48" s="147"/>
      <c r="U48" s="148"/>
      <c r="V48" s="149"/>
      <c r="W48" s="150"/>
      <c r="X48" s="151"/>
      <c r="Y48" s="152"/>
      <c r="Z48" s="151"/>
      <c r="AA48" s="153"/>
      <c r="AB48" s="154"/>
      <c r="AC48" s="149"/>
      <c r="AD48" s="148"/>
      <c r="AE48" s="148"/>
      <c r="AF48" s="155"/>
      <c r="AG48" s="156"/>
      <c r="AH48" s="113"/>
      <c r="AI48" s="157"/>
      <c r="AJ48" s="113"/>
      <c r="AK48" s="113"/>
      <c r="AL48" s="158"/>
      <c r="AM48" s="159"/>
      <c r="AN48" s="160"/>
      <c r="AO48" s="160"/>
      <c r="AP48" s="133"/>
      <c r="AQ48" s="134"/>
      <c r="AR48" s="161"/>
      <c r="AS48" s="161"/>
      <c r="AT48" s="161"/>
      <c r="AU48" s="161"/>
      <c r="AV48" s="162"/>
      <c r="AW48" s="137"/>
      <c r="AX48" s="137"/>
    </row>
    <row r="49" ht="46.5" customHeight="1" spans="1:50" s="97" customFormat="1" x14ac:dyDescent="0.25">
      <c r="A49" s="100"/>
      <c r="B49" s="100"/>
      <c r="C49" s="100"/>
      <c r="D49" s="100"/>
      <c r="E49" s="100"/>
      <c r="F49" s="100"/>
      <c r="G49" s="103"/>
      <c r="H49" s="186"/>
      <c r="I49" s="195"/>
      <c r="J49" s="107"/>
      <c r="K49" s="107"/>
      <c r="L49" s="107"/>
      <c r="M49" s="187"/>
      <c r="N49" s="169">
        <f t="shared" si="27"/>
        <v>0</v>
      </c>
      <c r="O49" s="144">
        <v>1</v>
      </c>
      <c r="P49" s="145"/>
      <c r="Q49" s="113"/>
      <c r="R49" s="113"/>
      <c r="S49" s="113"/>
      <c r="T49" s="146"/>
      <c r="U49" s="148">
        <f t="shared" si="1"/>
        <v>0</v>
      </c>
      <c r="V49" s="149">
        <f t="shared" si="2"/>
        <v>0</v>
      </c>
      <c r="W49" s="189"/>
      <c r="X49" s="199"/>
      <c r="Y49" s="151"/>
      <c r="Z49" s="190"/>
      <c r="AA49" s="153"/>
      <c r="AB49" s="154" t="e">
        <f t="shared" si="3"/>
        <v>#DIV/0!</v>
      </c>
      <c r="AC49" s="149" t="e">
        <f t="shared" si="4"/>
        <v>#DIV/0!</v>
      </c>
      <c r="AD49" s="125"/>
      <c r="AE49" s="148" t="e">
        <f t="shared" si="5"/>
        <v>#DIV/0!</v>
      </c>
      <c r="AF49" s="156"/>
      <c r="AG49" s="156"/>
      <c r="AH49" s="113" t="e">
        <f t="shared" si="6"/>
        <v>#DIV/0!</v>
      </c>
      <c r="AI49" s="157">
        <v>65</v>
      </c>
      <c r="AJ49" s="113" t="e">
        <f t="shared" si="7"/>
        <v>#DIV/0!</v>
      </c>
      <c r="AK49" s="113" t="e">
        <f t="shared" si="8"/>
        <v>#DIV/0!</v>
      </c>
      <c r="AL49" s="158" t="e">
        <f t="shared" si="9"/>
        <v>#DIV/0!</v>
      </c>
      <c r="AM49" s="159"/>
      <c r="AN49" s="160">
        <f t="shared" si="26"/>
        <v>1</v>
      </c>
      <c r="AO49" s="160">
        <f t="shared" si="26"/>
        <v>2</v>
      </c>
      <c r="AP49" s="133"/>
      <c r="AQ49" s="134"/>
      <c r="AR49" s="161"/>
      <c r="AS49" s="161"/>
      <c r="AT49" s="161"/>
      <c r="AU49" s="161"/>
      <c r="AV49" s="162"/>
      <c r="AW49" s="137">
        <f t="shared" si="11"/>
        <v>0</v>
      </c>
      <c r="AX49" s="137">
        <f t="shared" si="12"/>
        <v>0</v>
      </c>
    </row>
    <row r="50" ht="21.95" customHeight="1" spans="1:50" s="97" customFormat="1" x14ac:dyDescent="0.25">
      <c r="A50" s="299" t="s">
        <v>56</v>
      </c>
      <c r="B50" s="300"/>
      <c r="C50" s="300"/>
      <c r="D50" s="300"/>
      <c r="E50" s="300"/>
      <c r="F50" s="300"/>
      <c r="G50" s="300"/>
      <c r="H50" s="301"/>
      <c r="I50" s="297"/>
      <c r="J50" s="107"/>
      <c r="K50" s="142"/>
      <c r="L50" s="142"/>
      <c r="M50" s="142"/>
      <c r="N50" s="170">
        <f>I50*I49+J50*J49+K50*K49+L50*L49+M50*M49</f>
        <v>0</v>
      </c>
      <c r="O50" s="144"/>
      <c r="P50" s="145"/>
      <c r="Q50" s="113"/>
      <c r="R50" s="113"/>
      <c r="S50" s="146"/>
      <c r="T50" s="147"/>
      <c r="U50" s="148"/>
      <c r="V50" s="149"/>
      <c r="W50" s="150"/>
      <c r="X50" s="151"/>
      <c r="Y50" s="152"/>
      <c r="Z50" s="151"/>
      <c r="AA50" s="153"/>
      <c r="AB50" s="154"/>
      <c r="AC50" s="149"/>
      <c r="AD50" s="148"/>
      <c r="AE50" s="148"/>
      <c r="AF50" s="155"/>
      <c r="AG50" s="156"/>
      <c r="AH50" s="113"/>
      <c r="AI50" s="157"/>
      <c r="AJ50" s="113"/>
      <c r="AK50" s="113"/>
      <c r="AL50" s="158"/>
      <c r="AM50" s="159"/>
      <c r="AN50" s="160"/>
      <c r="AO50" s="160"/>
      <c r="AP50" s="133"/>
      <c r="AQ50" s="134"/>
      <c r="AR50" s="161"/>
      <c r="AS50" s="161"/>
      <c r="AT50" s="161"/>
      <c r="AU50" s="161"/>
      <c r="AV50" s="162"/>
      <c r="AW50" s="137"/>
      <c r="AX50" s="137"/>
    </row>
    <row r="51" ht="46.5" customHeight="1" spans="1:50" s="97" customFormat="1" x14ac:dyDescent="0.25">
      <c r="A51" s="100"/>
      <c r="B51" s="100"/>
      <c r="C51" s="100"/>
      <c r="D51" s="100"/>
      <c r="E51" s="100"/>
      <c r="F51" s="100"/>
      <c r="G51" s="103"/>
      <c r="H51" s="186"/>
      <c r="I51" s="195"/>
      <c r="J51" s="107"/>
      <c r="K51" s="107"/>
      <c r="L51" s="107"/>
      <c r="M51" s="187"/>
      <c r="N51" s="169">
        <f t="shared" si="27"/>
        <v>0</v>
      </c>
      <c r="O51" s="144">
        <v>1</v>
      </c>
      <c r="P51" s="145"/>
      <c r="Q51" s="113"/>
      <c r="R51" s="113"/>
      <c r="S51" s="113"/>
      <c r="T51" s="146"/>
      <c r="U51" s="148">
        <f t="shared" si="1"/>
        <v>0</v>
      </c>
      <c r="V51" s="149">
        <f t="shared" si="2"/>
        <v>0</v>
      </c>
      <c r="W51" s="189"/>
      <c r="X51" s="199"/>
      <c r="Y51" s="151"/>
      <c r="Z51" s="190"/>
      <c r="AA51" s="153"/>
      <c r="AB51" s="154" t="e">
        <f t="shared" si="3"/>
        <v>#DIV/0!</v>
      </c>
      <c r="AC51" s="149" t="e">
        <f t="shared" si="4"/>
        <v>#DIV/0!</v>
      </c>
      <c r="AD51" s="125"/>
      <c r="AE51" s="148" t="e">
        <f t="shared" si="5"/>
        <v>#DIV/0!</v>
      </c>
      <c r="AF51" s="156"/>
      <c r="AG51" s="156"/>
      <c r="AH51" s="113" t="e">
        <f t="shared" si="6"/>
        <v>#DIV/0!</v>
      </c>
      <c r="AI51" s="157">
        <v>65</v>
      </c>
      <c r="AJ51" s="113" t="e">
        <f t="shared" si="7"/>
        <v>#DIV/0!</v>
      </c>
      <c r="AK51" s="113" t="e">
        <f t="shared" si="8"/>
        <v>#DIV/0!</v>
      </c>
      <c r="AL51" s="158" t="e">
        <f t="shared" si="9"/>
        <v>#DIV/0!</v>
      </c>
      <c r="AM51" s="159"/>
      <c r="AN51" s="160">
        <f t="shared" ref="AN51:AO69" si="28">100%+AM51</f>
        <v>1</v>
      </c>
      <c r="AO51" s="160">
        <f t="shared" si="28"/>
        <v>2</v>
      </c>
      <c r="AP51" s="133"/>
      <c r="AQ51" s="134"/>
      <c r="AR51" s="161"/>
      <c r="AS51" s="161"/>
      <c r="AT51" s="161"/>
      <c r="AU51" s="161"/>
      <c r="AV51" s="162"/>
      <c r="AW51" s="137">
        <f t="shared" si="11"/>
        <v>0</v>
      </c>
      <c r="AX51" s="137">
        <f t="shared" si="12"/>
        <v>0</v>
      </c>
    </row>
    <row r="52" ht="21.95" customHeight="1" spans="1:50" s="97" customFormat="1" x14ac:dyDescent="0.25">
      <c r="A52" s="299" t="s">
        <v>56</v>
      </c>
      <c r="B52" s="300"/>
      <c r="C52" s="300"/>
      <c r="D52" s="300"/>
      <c r="E52" s="300"/>
      <c r="F52" s="300"/>
      <c r="G52" s="300"/>
      <c r="H52" s="301"/>
      <c r="I52" s="297"/>
      <c r="J52" s="107"/>
      <c r="K52" s="142"/>
      <c r="L52" s="142"/>
      <c r="M52" s="142"/>
      <c r="N52" s="170">
        <f>I52*I51+J52*J51+K52*K51+L52*L51+M52*M51</f>
        <v>0</v>
      </c>
      <c r="O52" s="144"/>
      <c r="P52" s="145"/>
      <c r="Q52" s="113"/>
      <c r="R52" s="113"/>
      <c r="S52" s="146"/>
      <c r="T52" s="147"/>
      <c r="U52" s="148"/>
      <c r="V52" s="149"/>
      <c r="W52" s="150"/>
      <c r="X52" s="151"/>
      <c r="Y52" s="152"/>
      <c r="Z52" s="151"/>
      <c r="AA52" s="153"/>
      <c r="AB52" s="154"/>
      <c r="AC52" s="149"/>
      <c r="AD52" s="148"/>
      <c r="AE52" s="148"/>
      <c r="AF52" s="155"/>
      <c r="AG52" s="156"/>
      <c r="AH52" s="113"/>
      <c r="AI52" s="157"/>
      <c r="AJ52" s="113"/>
      <c r="AK52" s="113"/>
      <c r="AL52" s="158"/>
      <c r="AM52" s="159"/>
      <c r="AN52" s="160"/>
      <c r="AO52" s="160"/>
      <c r="AP52" s="133"/>
      <c r="AQ52" s="134"/>
      <c r="AR52" s="161"/>
      <c r="AS52" s="161"/>
      <c r="AT52" s="161"/>
      <c r="AU52" s="161"/>
      <c r="AV52" s="162"/>
      <c r="AW52" s="137"/>
      <c r="AX52" s="137"/>
    </row>
    <row r="53" ht="46.5" customHeight="1" spans="1:50" s="97" customFormat="1" x14ac:dyDescent="0.25">
      <c r="A53" s="100"/>
      <c r="B53" s="100"/>
      <c r="C53" s="100"/>
      <c r="D53" s="100"/>
      <c r="E53" s="100"/>
      <c r="F53" s="100"/>
      <c r="G53" s="103"/>
      <c r="H53" s="186"/>
      <c r="I53" s="195"/>
      <c r="J53" s="107"/>
      <c r="K53" s="107"/>
      <c r="L53" s="107"/>
      <c r="M53" s="187"/>
      <c r="N53" s="169">
        <f t="shared" si="27"/>
        <v>0</v>
      </c>
      <c r="O53" s="144">
        <v>1</v>
      </c>
      <c r="P53" s="145"/>
      <c r="Q53" s="113"/>
      <c r="R53" s="113"/>
      <c r="S53" s="113"/>
      <c r="T53" s="146"/>
      <c r="U53" s="148">
        <f t="shared" si="1"/>
        <v>0</v>
      </c>
      <c r="V53" s="149">
        <f t="shared" si="2"/>
        <v>0</v>
      </c>
      <c r="W53" s="189"/>
      <c r="X53" s="199"/>
      <c r="Y53" s="151"/>
      <c r="Z53" s="190"/>
      <c r="AA53" s="153"/>
      <c r="AB53" s="154" t="e">
        <f t="shared" si="3"/>
        <v>#DIV/0!</v>
      </c>
      <c r="AC53" s="149" t="e">
        <f t="shared" si="4"/>
        <v>#DIV/0!</v>
      </c>
      <c r="AD53" s="125"/>
      <c r="AE53" s="148" t="e">
        <f t="shared" si="5"/>
        <v>#DIV/0!</v>
      </c>
      <c r="AF53" s="156"/>
      <c r="AG53" s="156"/>
      <c r="AH53" s="113" t="e">
        <f t="shared" si="6"/>
        <v>#DIV/0!</v>
      </c>
      <c r="AI53" s="157">
        <v>65</v>
      </c>
      <c r="AJ53" s="113" t="e">
        <f t="shared" si="7"/>
        <v>#DIV/0!</v>
      </c>
      <c r="AK53" s="113" t="e">
        <f t="shared" si="8"/>
        <v>#DIV/0!</v>
      </c>
      <c r="AL53" s="158" t="e">
        <f t="shared" si="9"/>
        <v>#DIV/0!</v>
      </c>
      <c r="AM53" s="159"/>
      <c r="AN53" s="160">
        <f t="shared" si="28"/>
        <v>1</v>
      </c>
      <c r="AO53" s="160">
        <f t="shared" si="28"/>
        <v>2</v>
      </c>
      <c r="AP53" s="133"/>
      <c r="AQ53" s="134"/>
      <c r="AR53" s="161"/>
      <c r="AS53" s="161"/>
      <c r="AT53" s="161"/>
      <c r="AU53" s="161"/>
      <c r="AV53" s="162"/>
      <c r="AW53" s="137">
        <f t="shared" si="11"/>
        <v>0</v>
      </c>
      <c r="AX53" s="137">
        <f t="shared" si="12"/>
        <v>0</v>
      </c>
    </row>
    <row r="54" ht="21.95" customHeight="1" spans="1:50" s="97" customFormat="1" x14ac:dyDescent="0.25">
      <c r="A54" s="299" t="s">
        <v>56</v>
      </c>
      <c r="B54" s="300"/>
      <c r="C54" s="300"/>
      <c r="D54" s="300"/>
      <c r="E54" s="300"/>
      <c r="F54" s="300"/>
      <c r="G54" s="300"/>
      <c r="H54" s="301"/>
      <c r="I54" s="297"/>
      <c r="J54" s="107"/>
      <c r="K54" s="142"/>
      <c r="L54" s="142"/>
      <c r="M54" s="142"/>
      <c r="N54" s="170">
        <f>I54*I53+J54*J53+K54*K53+L54*L53+M54*M53</f>
        <v>0</v>
      </c>
      <c r="O54" s="144"/>
      <c r="P54" s="145"/>
      <c r="Q54" s="113"/>
      <c r="R54" s="113"/>
      <c r="S54" s="146"/>
      <c r="T54" s="147"/>
      <c r="U54" s="148"/>
      <c r="V54" s="149"/>
      <c r="W54" s="150"/>
      <c r="X54" s="151"/>
      <c r="Y54" s="152"/>
      <c r="Z54" s="151"/>
      <c r="AA54" s="153"/>
      <c r="AB54" s="154"/>
      <c r="AC54" s="149"/>
      <c r="AD54" s="148"/>
      <c r="AE54" s="148"/>
      <c r="AF54" s="155"/>
      <c r="AG54" s="156"/>
      <c r="AH54" s="113"/>
      <c r="AI54" s="157"/>
      <c r="AJ54" s="113"/>
      <c r="AK54" s="113"/>
      <c r="AL54" s="158"/>
      <c r="AM54" s="159"/>
      <c r="AN54" s="160"/>
      <c r="AO54" s="160"/>
      <c r="AP54" s="133"/>
      <c r="AQ54" s="134"/>
      <c r="AR54" s="161"/>
      <c r="AS54" s="161"/>
      <c r="AT54" s="161"/>
      <c r="AU54" s="161"/>
      <c r="AV54" s="162"/>
      <c r="AW54" s="137"/>
      <c r="AX54" s="137"/>
    </row>
    <row r="55" ht="46.5" customHeight="1" spans="1:50" s="97" customFormat="1" x14ac:dyDescent="0.25">
      <c r="A55" s="100"/>
      <c r="B55" s="100"/>
      <c r="C55" s="100"/>
      <c r="D55" s="100"/>
      <c r="E55" s="100"/>
      <c r="F55" s="100"/>
      <c r="G55" s="103"/>
      <c r="H55" s="186"/>
      <c r="I55" s="195"/>
      <c r="J55" s="107"/>
      <c r="K55" s="107"/>
      <c r="L55" s="107"/>
      <c r="M55" s="187"/>
      <c r="N55" s="169">
        <f t="shared" si="27"/>
        <v>0</v>
      </c>
      <c r="O55" s="144">
        <v>1</v>
      </c>
      <c r="P55" s="145"/>
      <c r="Q55" s="113"/>
      <c r="R55" s="113"/>
      <c r="S55" s="113"/>
      <c r="T55" s="146"/>
      <c r="U55" s="148">
        <f t="shared" si="1"/>
        <v>0</v>
      </c>
      <c r="V55" s="149">
        <f t="shared" si="2"/>
        <v>0</v>
      </c>
      <c r="W55" s="189"/>
      <c r="X55" s="199"/>
      <c r="Y55" s="151"/>
      <c r="Z55" s="190"/>
      <c r="AA55" s="153"/>
      <c r="AB55" s="154" t="e">
        <f t="shared" si="3"/>
        <v>#DIV/0!</v>
      </c>
      <c r="AC55" s="149" t="e">
        <f t="shared" si="4"/>
        <v>#DIV/0!</v>
      </c>
      <c r="AD55" s="125"/>
      <c r="AE55" s="148" t="e">
        <f t="shared" si="5"/>
        <v>#DIV/0!</v>
      </c>
      <c r="AF55" s="156"/>
      <c r="AG55" s="156"/>
      <c r="AH55" s="113" t="e">
        <f t="shared" si="6"/>
        <v>#DIV/0!</v>
      </c>
      <c r="AI55" s="157">
        <v>65</v>
      </c>
      <c r="AJ55" s="113" t="e">
        <f t="shared" si="7"/>
        <v>#DIV/0!</v>
      </c>
      <c r="AK55" s="113" t="e">
        <f t="shared" si="8"/>
        <v>#DIV/0!</v>
      </c>
      <c r="AL55" s="158" t="e">
        <f t="shared" si="9"/>
        <v>#DIV/0!</v>
      </c>
      <c r="AM55" s="159"/>
      <c r="AN55" s="160">
        <f t="shared" si="28"/>
        <v>1</v>
      </c>
      <c r="AO55" s="160">
        <f t="shared" si="28"/>
        <v>2</v>
      </c>
      <c r="AP55" s="133"/>
      <c r="AQ55" s="134"/>
      <c r="AR55" s="161"/>
      <c r="AS55" s="161"/>
      <c r="AT55" s="161"/>
      <c r="AU55" s="161"/>
      <c r="AV55" s="162"/>
      <c r="AW55" s="137">
        <f t="shared" si="11"/>
        <v>0</v>
      </c>
      <c r="AX55" s="137">
        <f t="shared" si="12"/>
        <v>0</v>
      </c>
    </row>
    <row r="56" ht="21.95" customHeight="1" spans="1:50" s="97" customFormat="1" x14ac:dyDescent="0.25">
      <c r="A56" s="299" t="s">
        <v>56</v>
      </c>
      <c r="B56" s="300"/>
      <c r="C56" s="300"/>
      <c r="D56" s="300"/>
      <c r="E56" s="300"/>
      <c r="F56" s="300"/>
      <c r="G56" s="300"/>
      <c r="H56" s="301"/>
      <c r="I56" s="297"/>
      <c r="J56" s="107"/>
      <c r="K56" s="142"/>
      <c r="L56" s="142"/>
      <c r="M56" s="142"/>
      <c r="N56" s="170">
        <f>I56*I55+J56*J55+K56*K55+L56*L55+M56*M55</f>
        <v>0</v>
      </c>
      <c r="O56" s="144"/>
      <c r="P56" s="145"/>
      <c r="Q56" s="113"/>
      <c r="R56" s="113"/>
      <c r="S56" s="146"/>
      <c r="T56" s="147"/>
      <c r="U56" s="148"/>
      <c r="V56" s="149"/>
      <c r="W56" s="150"/>
      <c r="X56" s="151"/>
      <c r="Y56" s="152"/>
      <c r="Z56" s="151"/>
      <c r="AA56" s="153"/>
      <c r="AB56" s="154"/>
      <c r="AC56" s="149"/>
      <c r="AD56" s="148"/>
      <c r="AE56" s="148"/>
      <c r="AF56" s="155"/>
      <c r="AG56" s="156"/>
      <c r="AH56" s="113"/>
      <c r="AI56" s="157"/>
      <c r="AJ56" s="113"/>
      <c r="AK56" s="113"/>
      <c r="AL56" s="158"/>
      <c r="AM56" s="159"/>
      <c r="AN56" s="160"/>
      <c r="AO56" s="160"/>
      <c r="AP56" s="133"/>
      <c r="AQ56" s="134"/>
      <c r="AR56" s="161"/>
      <c r="AS56" s="161"/>
      <c r="AT56" s="161"/>
      <c r="AU56" s="161"/>
      <c r="AV56" s="162"/>
      <c r="AW56" s="137"/>
      <c r="AX56" s="137"/>
    </row>
    <row r="57" ht="46.5" customHeight="1" spans="1:50" s="97" customFormat="1" x14ac:dyDescent="0.25">
      <c r="A57" s="100"/>
      <c r="B57" s="100"/>
      <c r="C57" s="100"/>
      <c r="D57" s="100"/>
      <c r="E57" s="100"/>
      <c r="F57" s="100"/>
      <c r="G57" s="103"/>
      <c r="H57" s="186"/>
      <c r="I57" s="195"/>
      <c r="J57" s="107"/>
      <c r="K57" s="107"/>
      <c r="L57" s="107"/>
      <c r="M57" s="187"/>
      <c r="N57" s="169">
        <f t="shared" si="27"/>
        <v>0</v>
      </c>
      <c r="O57" s="144">
        <v>1</v>
      </c>
      <c r="P57" s="145"/>
      <c r="Q57" s="113"/>
      <c r="R57" s="113"/>
      <c r="S57" s="113"/>
      <c r="T57" s="146"/>
      <c r="U57" s="148">
        <f t="shared" si="1"/>
        <v>0</v>
      </c>
      <c r="V57" s="149">
        <f t="shared" si="2"/>
        <v>0</v>
      </c>
      <c r="W57" s="189"/>
      <c r="X57" s="199"/>
      <c r="Y57" s="151"/>
      <c r="Z57" s="190"/>
      <c r="AA57" s="153"/>
      <c r="AB57" s="154" t="e">
        <f t="shared" si="3"/>
        <v>#DIV/0!</v>
      </c>
      <c r="AC57" s="149" t="e">
        <f t="shared" si="4"/>
        <v>#DIV/0!</v>
      </c>
      <c r="AD57" s="125"/>
      <c r="AE57" s="148" t="e">
        <f t="shared" si="5"/>
        <v>#DIV/0!</v>
      </c>
      <c r="AF57" s="156"/>
      <c r="AG57" s="156"/>
      <c r="AH57" s="113" t="e">
        <f t="shared" si="6"/>
        <v>#DIV/0!</v>
      </c>
      <c r="AI57" s="157">
        <v>65</v>
      </c>
      <c r="AJ57" s="113" t="e">
        <f t="shared" si="7"/>
        <v>#DIV/0!</v>
      </c>
      <c r="AK57" s="113" t="e">
        <f t="shared" si="8"/>
        <v>#DIV/0!</v>
      </c>
      <c r="AL57" s="158" t="e">
        <f t="shared" si="9"/>
        <v>#DIV/0!</v>
      </c>
      <c r="AM57" s="159"/>
      <c r="AN57" s="160">
        <f t="shared" si="28"/>
        <v>1</v>
      </c>
      <c r="AO57" s="160">
        <f t="shared" si="28"/>
        <v>2</v>
      </c>
      <c r="AP57" s="133"/>
      <c r="AQ57" s="134"/>
      <c r="AR57" s="161"/>
      <c r="AS57" s="161"/>
      <c r="AT57" s="161"/>
      <c r="AU57" s="161"/>
      <c r="AV57" s="162"/>
      <c r="AW57" s="137">
        <f t="shared" si="11"/>
        <v>0</v>
      </c>
      <c r="AX57" s="137">
        <f t="shared" si="12"/>
        <v>0</v>
      </c>
    </row>
    <row r="58" ht="21.95" customHeight="1" spans="1:50" s="97" customFormat="1" x14ac:dyDescent="0.25">
      <c r="A58" s="299" t="s">
        <v>56</v>
      </c>
      <c r="B58" s="300"/>
      <c r="C58" s="300"/>
      <c r="D58" s="300"/>
      <c r="E58" s="300"/>
      <c r="F58" s="300"/>
      <c r="G58" s="300"/>
      <c r="H58" s="301"/>
      <c r="I58" s="297"/>
      <c r="J58" s="107"/>
      <c r="K58" s="142"/>
      <c r="L58" s="142"/>
      <c r="M58" s="142"/>
      <c r="N58" s="170">
        <f>I58*I57+J58*J57+K58*K57+L58*L57+M58*M57</f>
        <v>0</v>
      </c>
      <c r="O58" s="144"/>
      <c r="P58" s="145"/>
      <c r="Q58" s="113"/>
      <c r="R58" s="113"/>
      <c r="S58" s="146"/>
      <c r="T58" s="147"/>
      <c r="U58" s="148"/>
      <c r="V58" s="149"/>
      <c r="W58" s="150"/>
      <c r="X58" s="151"/>
      <c r="Y58" s="152"/>
      <c r="Z58" s="151"/>
      <c r="AA58" s="153"/>
      <c r="AB58" s="154"/>
      <c r="AC58" s="149"/>
      <c r="AD58" s="148"/>
      <c r="AE58" s="148"/>
      <c r="AF58" s="155"/>
      <c r="AG58" s="156"/>
      <c r="AH58" s="113"/>
      <c r="AI58" s="157"/>
      <c r="AJ58" s="113"/>
      <c r="AK58" s="113"/>
      <c r="AL58" s="158"/>
      <c r="AM58" s="159"/>
      <c r="AN58" s="160"/>
      <c r="AO58" s="160"/>
      <c r="AP58" s="133"/>
      <c r="AQ58" s="134"/>
      <c r="AR58" s="161"/>
      <c r="AS58" s="161"/>
      <c r="AT58" s="161"/>
      <c r="AU58" s="161"/>
      <c r="AV58" s="162"/>
      <c r="AW58" s="137"/>
      <c r="AX58" s="137"/>
    </row>
    <row r="59" ht="46.5" customHeight="1" spans="1:50" s="97" customFormat="1" x14ac:dyDescent="0.25">
      <c r="A59" s="100"/>
      <c r="B59" s="100"/>
      <c r="C59" s="100"/>
      <c r="D59" s="100"/>
      <c r="E59" s="100"/>
      <c r="F59" s="100"/>
      <c r="G59" s="103"/>
      <c r="H59" s="186"/>
      <c r="I59" s="195"/>
      <c r="J59" s="107"/>
      <c r="K59" s="107"/>
      <c r="L59" s="107"/>
      <c r="M59" s="187"/>
      <c r="N59" s="169">
        <f t="shared" si="27"/>
        <v>0</v>
      </c>
      <c r="O59" s="144">
        <v>1</v>
      </c>
      <c r="P59" s="145"/>
      <c r="Q59" s="113"/>
      <c r="R59" s="113"/>
      <c r="S59" s="113"/>
      <c r="T59" s="146"/>
      <c r="U59" s="148">
        <f t="shared" si="1"/>
        <v>0</v>
      </c>
      <c r="V59" s="149">
        <f t="shared" si="2"/>
        <v>0</v>
      </c>
      <c r="W59" s="189"/>
      <c r="X59" s="199"/>
      <c r="Y59" s="151"/>
      <c r="Z59" s="190"/>
      <c r="AA59" s="153"/>
      <c r="AB59" s="154" t="e">
        <f t="shared" si="3"/>
        <v>#DIV/0!</v>
      </c>
      <c r="AC59" s="149" t="e">
        <f t="shared" si="4"/>
        <v>#DIV/0!</v>
      </c>
      <c r="AD59" s="125"/>
      <c r="AE59" s="148" t="e">
        <f t="shared" si="5"/>
        <v>#DIV/0!</v>
      </c>
      <c r="AF59" s="156"/>
      <c r="AG59" s="156"/>
      <c r="AH59" s="113" t="e">
        <f t="shared" si="6"/>
        <v>#DIV/0!</v>
      </c>
      <c r="AI59" s="157">
        <v>65</v>
      </c>
      <c r="AJ59" s="113" t="e">
        <f t="shared" si="7"/>
        <v>#DIV/0!</v>
      </c>
      <c r="AK59" s="113" t="e">
        <f t="shared" si="8"/>
        <v>#DIV/0!</v>
      </c>
      <c r="AL59" s="158" t="e">
        <f t="shared" si="9"/>
        <v>#DIV/0!</v>
      </c>
      <c r="AM59" s="159"/>
      <c r="AN59" s="160">
        <f t="shared" si="28"/>
        <v>1</v>
      </c>
      <c r="AO59" s="160">
        <f t="shared" si="28"/>
        <v>2</v>
      </c>
      <c r="AP59" s="133"/>
      <c r="AQ59" s="134"/>
      <c r="AR59" s="161"/>
      <c r="AS59" s="161"/>
      <c r="AT59" s="161"/>
      <c r="AU59" s="161"/>
      <c r="AV59" s="162"/>
      <c r="AW59" s="137">
        <f t="shared" si="11"/>
        <v>0</v>
      </c>
      <c r="AX59" s="137">
        <f t="shared" si="12"/>
        <v>0</v>
      </c>
    </row>
    <row r="60" ht="21.95" customHeight="1" spans="1:50" s="97" customFormat="1" x14ac:dyDescent="0.25">
      <c r="A60" s="299" t="s">
        <v>56</v>
      </c>
      <c r="B60" s="300"/>
      <c r="C60" s="300"/>
      <c r="D60" s="300"/>
      <c r="E60" s="300"/>
      <c r="F60" s="300"/>
      <c r="G60" s="300"/>
      <c r="H60" s="301"/>
      <c r="I60" s="297"/>
      <c r="J60" s="107"/>
      <c r="K60" s="142"/>
      <c r="L60" s="142"/>
      <c r="M60" s="142"/>
      <c r="N60" s="170">
        <f>I60*I59+J60*J59+K60*K59+L60*L59+M60*M59</f>
        <v>0</v>
      </c>
      <c r="O60" s="144"/>
      <c r="P60" s="145"/>
      <c r="Q60" s="113"/>
      <c r="R60" s="113"/>
      <c r="S60" s="146"/>
      <c r="T60" s="147"/>
      <c r="U60" s="148"/>
      <c r="V60" s="149"/>
      <c r="W60" s="150"/>
      <c r="X60" s="151"/>
      <c r="Y60" s="152"/>
      <c r="Z60" s="151"/>
      <c r="AA60" s="153"/>
      <c r="AB60" s="154"/>
      <c r="AC60" s="149"/>
      <c r="AD60" s="148"/>
      <c r="AE60" s="148"/>
      <c r="AF60" s="155"/>
      <c r="AG60" s="156"/>
      <c r="AH60" s="113"/>
      <c r="AI60" s="157"/>
      <c r="AJ60" s="113"/>
      <c r="AK60" s="113"/>
      <c r="AL60" s="158"/>
      <c r="AM60" s="159"/>
      <c r="AN60" s="160"/>
      <c r="AO60" s="160"/>
      <c r="AP60" s="133"/>
      <c r="AQ60" s="134"/>
      <c r="AR60" s="161"/>
      <c r="AS60" s="161"/>
      <c r="AT60" s="161"/>
      <c r="AU60" s="161"/>
      <c r="AV60" s="162"/>
      <c r="AW60" s="137"/>
      <c r="AX60" s="137"/>
    </row>
    <row r="61" ht="46.5" customHeight="1" spans="1:50" s="97" customFormat="1" x14ac:dyDescent="0.25">
      <c r="A61" s="100"/>
      <c r="B61" s="100"/>
      <c r="C61" s="100"/>
      <c r="D61" s="100"/>
      <c r="E61" s="100"/>
      <c r="F61" s="100"/>
      <c r="G61" s="103"/>
      <c r="H61" s="186"/>
      <c r="I61" s="195"/>
      <c r="J61" s="107"/>
      <c r="K61" s="107"/>
      <c r="L61" s="107"/>
      <c r="M61" s="187"/>
      <c r="N61" s="169">
        <f t="shared" si="27"/>
        <v>0</v>
      </c>
      <c r="O61" s="144">
        <v>1</v>
      </c>
      <c r="P61" s="145"/>
      <c r="Q61" s="113"/>
      <c r="R61" s="113"/>
      <c r="S61" s="113"/>
      <c r="T61" s="146"/>
      <c r="U61" s="148">
        <f t="shared" si="1"/>
        <v>0</v>
      </c>
      <c r="V61" s="149">
        <f t="shared" si="2"/>
        <v>0</v>
      </c>
      <c r="W61" s="189"/>
      <c r="X61" s="199"/>
      <c r="Y61" s="151"/>
      <c r="Z61" s="190"/>
      <c r="AA61" s="153"/>
      <c r="AB61" s="154" t="e">
        <f t="shared" si="3"/>
        <v>#DIV/0!</v>
      </c>
      <c r="AC61" s="149" t="e">
        <f t="shared" si="4"/>
        <v>#DIV/0!</v>
      </c>
      <c r="AD61" s="125"/>
      <c r="AE61" s="148" t="e">
        <f t="shared" si="5"/>
        <v>#DIV/0!</v>
      </c>
      <c r="AF61" s="156"/>
      <c r="AG61" s="156"/>
      <c r="AH61" s="113" t="e">
        <f t="shared" si="6"/>
        <v>#DIV/0!</v>
      </c>
      <c r="AI61" s="157">
        <v>65</v>
      </c>
      <c r="AJ61" s="113" t="e">
        <f t="shared" si="7"/>
        <v>#DIV/0!</v>
      </c>
      <c r="AK61" s="113" t="e">
        <f t="shared" si="8"/>
        <v>#DIV/0!</v>
      </c>
      <c r="AL61" s="158" t="e">
        <f t="shared" si="9"/>
        <v>#DIV/0!</v>
      </c>
      <c r="AM61" s="159"/>
      <c r="AN61" s="160">
        <f t="shared" si="28"/>
        <v>1</v>
      </c>
      <c r="AO61" s="160">
        <f t="shared" si="28"/>
        <v>2</v>
      </c>
      <c r="AP61" s="133"/>
      <c r="AQ61" s="134"/>
      <c r="AR61" s="161"/>
      <c r="AS61" s="161"/>
      <c r="AT61" s="161"/>
      <c r="AU61" s="161"/>
      <c r="AV61" s="162"/>
      <c r="AW61" s="137">
        <f t="shared" si="11"/>
        <v>0</v>
      </c>
      <c r="AX61" s="137">
        <f t="shared" si="12"/>
        <v>0</v>
      </c>
    </row>
    <row r="62" ht="21.95" customHeight="1" spans="1:50" s="97" customFormat="1" x14ac:dyDescent="0.25">
      <c r="A62" s="299" t="s">
        <v>56</v>
      </c>
      <c r="B62" s="300"/>
      <c r="C62" s="300"/>
      <c r="D62" s="300"/>
      <c r="E62" s="300"/>
      <c r="F62" s="300"/>
      <c r="G62" s="300"/>
      <c r="H62" s="301"/>
      <c r="I62" s="297"/>
      <c r="J62" s="107"/>
      <c r="K62" s="142"/>
      <c r="L62" s="142"/>
      <c r="M62" s="142"/>
      <c r="N62" s="170">
        <f>I62*I61+J62*J61+K62*K61+L62*L61+M62*M61</f>
        <v>0</v>
      </c>
      <c r="O62" s="144"/>
      <c r="P62" s="145"/>
      <c r="Q62" s="113"/>
      <c r="R62" s="113"/>
      <c r="S62" s="146"/>
      <c r="T62" s="147"/>
      <c r="U62" s="148"/>
      <c r="V62" s="149"/>
      <c r="W62" s="150"/>
      <c r="X62" s="151"/>
      <c r="Y62" s="152"/>
      <c r="Z62" s="151"/>
      <c r="AA62" s="153"/>
      <c r="AB62" s="154"/>
      <c r="AC62" s="149"/>
      <c r="AD62" s="148"/>
      <c r="AE62" s="148"/>
      <c r="AF62" s="155"/>
      <c r="AG62" s="156"/>
      <c r="AH62" s="113"/>
      <c r="AI62" s="157"/>
      <c r="AJ62" s="113"/>
      <c r="AK62" s="113"/>
      <c r="AL62" s="158"/>
      <c r="AM62" s="159"/>
      <c r="AN62" s="160"/>
      <c r="AO62" s="160"/>
      <c r="AP62" s="133"/>
      <c r="AQ62" s="134"/>
      <c r="AR62" s="161"/>
      <c r="AS62" s="161"/>
      <c r="AT62" s="161"/>
      <c r="AU62" s="161"/>
      <c r="AV62" s="162"/>
      <c r="AW62" s="137"/>
      <c r="AX62" s="137"/>
    </row>
    <row r="63" ht="46.5" customHeight="1" spans="1:50" s="97" customFormat="1" x14ac:dyDescent="0.25">
      <c r="A63" s="100"/>
      <c r="B63" s="100"/>
      <c r="C63" s="100"/>
      <c r="D63" s="100"/>
      <c r="E63" s="100"/>
      <c r="F63" s="100"/>
      <c r="G63" s="103"/>
      <c r="H63" s="186"/>
      <c r="I63" s="195"/>
      <c r="J63" s="107"/>
      <c r="K63" s="107"/>
      <c r="L63" s="107"/>
      <c r="M63" s="187"/>
      <c r="N63" s="169">
        <f t="shared" si="27"/>
        <v>0</v>
      </c>
      <c r="O63" s="144">
        <v>1</v>
      </c>
      <c r="P63" s="145"/>
      <c r="Q63" s="113"/>
      <c r="R63" s="113"/>
      <c r="S63" s="113"/>
      <c r="T63" s="146"/>
      <c r="U63" s="148">
        <f t="shared" si="1"/>
        <v>0</v>
      </c>
      <c r="V63" s="149">
        <f t="shared" si="2"/>
        <v>0</v>
      </c>
      <c r="W63" s="189"/>
      <c r="X63" s="199"/>
      <c r="Y63" s="151"/>
      <c r="Z63" s="190"/>
      <c r="AA63" s="153"/>
      <c r="AB63" s="154" t="e">
        <f t="shared" si="3"/>
        <v>#DIV/0!</v>
      </c>
      <c r="AC63" s="149" t="e">
        <f t="shared" si="4"/>
        <v>#DIV/0!</v>
      </c>
      <c r="AD63" s="125"/>
      <c r="AE63" s="148" t="e">
        <f t="shared" si="5"/>
        <v>#DIV/0!</v>
      </c>
      <c r="AF63" s="156"/>
      <c r="AG63" s="156"/>
      <c r="AH63" s="113" t="e">
        <f t="shared" si="6"/>
        <v>#DIV/0!</v>
      </c>
      <c r="AI63" s="157">
        <v>65</v>
      </c>
      <c r="AJ63" s="113" t="e">
        <f t="shared" si="7"/>
        <v>#DIV/0!</v>
      </c>
      <c r="AK63" s="113" t="e">
        <f t="shared" si="8"/>
        <v>#DIV/0!</v>
      </c>
      <c r="AL63" s="158" t="e">
        <f t="shared" si="9"/>
        <v>#DIV/0!</v>
      </c>
      <c r="AM63" s="159"/>
      <c r="AN63" s="160">
        <f t="shared" si="28"/>
        <v>1</v>
      </c>
      <c r="AO63" s="160">
        <f t="shared" si="28"/>
        <v>2</v>
      </c>
      <c r="AP63" s="133"/>
      <c r="AQ63" s="134"/>
      <c r="AR63" s="161"/>
      <c r="AS63" s="161"/>
      <c r="AT63" s="161"/>
      <c r="AU63" s="161"/>
      <c r="AV63" s="162"/>
      <c r="AW63" s="137">
        <f t="shared" si="11"/>
        <v>0</v>
      </c>
      <c r="AX63" s="137">
        <f t="shared" si="12"/>
        <v>0</v>
      </c>
    </row>
    <row r="64" ht="21.95" customHeight="1" spans="1:50" s="97" customFormat="1" x14ac:dyDescent="0.25">
      <c r="A64" s="299" t="s">
        <v>56</v>
      </c>
      <c r="B64" s="300"/>
      <c r="C64" s="300"/>
      <c r="D64" s="300"/>
      <c r="E64" s="300"/>
      <c r="F64" s="300"/>
      <c r="G64" s="300"/>
      <c r="H64" s="301"/>
      <c r="I64" s="297"/>
      <c r="J64" s="107"/>
      <c r="K64" s="142"/>
      <c r="L64" s="142"/>
      <c r="M64" s="142"/>
      <c r="N64" s="170">
        <f>I64*I63+J64*J63+K64*K63+L64*L63+M64*M63</f>
        <v>0</v>
      </c>
      <c r="O64" s="144"/>
      <c r="P64" s="145"/>
      <c r="Q64" s="113"/>
      <c r="R64" s="113"/>
      <c r="S64" s="146"/>
      <c r="T64" s="147"/>
      <c r="U64" s="148"/>
      <c r="V64" s="149"/>
      <c r="W64" s="150"/>
      <c r="X64" s="151"/>
      <c r="Y64" s="152"/>
      <c r="Z64" s="151"/>
      <c r="AA64" s="153"/>
      <c r="AB64" s="154"/>
      <c r="AC64" s="149"/>
      <c r="AD64" s="148"/>
      <c r="AE64" s="148"/>
      <c r="AF64" s="155"/>
      <c r="AG64" s="156"/>
      <c r="AH64" s="113"/>
      <c r="AI64" s="157"/>
      <c r="AJ64" s="113"/>
      <c r="AK64" s="113"/>
      <c r="AL64" s="158"/>
      <c r="AM64" s="159"/>
      <c r="AN64" s="160"/>
      <c r="AO64" s="160"/>
      <c r="AP64" s="133"/>
      <c r="AQ64" s="134"/>
      <c r="AR64" s="161"/>
      <c r="AS64" s="161"/>
      <c r="AT64" s="161"/>
      <c r="AU64" s="161"/>
      <c r="AV64" s="162"/>
      <c r="AW64" s="137"/>
      <c r="AX64" s="137"/>
    </row>
    <row r="65" ht="46.5" customHeight="1" spans="1:50" s="97" customFormat="1" x14ac:dyDescent="0.25">
      <c r="A65" s="100"/>
      <c r="B65" s="100"/>
      <c r="C65" s="100"/>
      <c r="D65" s="100"/>
      <c r="E65" s="100"/>
      <c r="F65" s="100"/>
      <c r="G65" s="103"/>
      <c r="H65" s="186"/>
      <c r="I65" s="195"/>
      <c r="J65" s="107"/>
      <c r="K65" s="107"/>
      <c r="L65" s="107"/>
      <c r="M65" s="187"/>
      <c r="N65" s="169">
        <f t="shared" si="27"/>
        <v>0</v>
      </c>
      <c r="O65" s="144">
        <v>1</v>
      </c>
      <c r="P65" s="145"/>
      <c r="Q65" s="113"/>
      <c r="R65" s="113"/>
      <c r="S65" s="113"/>
      <c r="T65" s="146"/>
      <c r="U65" s="148">
        <f t="shared" si="1"/>
        <v>0</v>
      </c>
      <c r="V65" s="149">
        <f t="shared" si="2"/>
        <v>0</v>
      </c>
      <c r="W65" s="189"/>
      <c r="X65" s="199"/>
      <c r="Y65" s="151"/>
      <c r="Z65" s="190"/>
      <c r="AA65" s="153"/>
      <c r="AB65" s="154" t="e">
        <f t="shared" si="3"/>
        <v>#DIV/0!</v>
      </c>
      <c r="AC65" s="149" t="e">
        <f t="shared" si="4"/>
        <v>#DIV/0!</v>
      </c>
      <c r="AD65" s="125"/>
      <c r="AE65" s="148" t="e">
        <f t="shared" si="5"/>
        <v>#DIV/0!</v>
      </c>
      <c r="AF65" s="156"/>
      <c r="AG65" s="156"/>
      <c r="AH65" s="113" t="e">
        <f t="shared" si="6"/>
        <v>#DIV/0!</v>
      </c>
      <c r="AI65" s="157">
        <v>65</v>
      </c>
      <c r="AJ65" s="113" t="e">
        <f t="shared" si="7"/>
        <v>#DIV/0!</v>
      </c>
      <c r="AK65" s="113" t="e">
        <f t="shared" si="8"/>
        <v>#DIV/0!</v>
      </c>
      <c r="AL65" s="158" t="e">
        <f t="shared" si="9"/>
        <v>#DIV/0!</v>
      </c>
      <c r="AM65" s="159"/>
      <c r="AN65" s="160">
        <f t="shared" si="28"/>
        <v>1</v>
      </c>
      <c r="AO65" s="160">
        <f t="shared" si="28"/>
        <v>2</v>
      </c>
      <c r="AP65" s="133"/>
      <c r="AQ65" s="134"/>
      <c r="AR65" s="161"/>
      <c r="AS65" s="161"/>
      <c r="AT65" s="161"/>
      <c r="AU65" s="161"/>
      <c r="AV65" s="162"/>
      <c r="AW65" s="137">
        <f t="shared" si="11"/>
        <v>0</v>
      </c>
      <c r="AX65" s="137">
        <f t="shared" si="12"/>
        <v>0</v>
      </c>
    </row>
    <row r="66" ht="21.95" customHeight="1" spans="1:50" s="97" customFormat="1" x14ac:dyDescent="0.25">
      <c r="A66" s="299" t="s">
        <v>56</v>
      </c>
      <c r="B66" s="300"/>
      <c r="C66" s="300"/>
      <c r="D66" s="300"/>
      <c r="E66" s="300"/>
      <c r="F66" s="300"/>
      <c r="G66" s="300"/>
      <c r="H66" s="301"/>
      <c r="I66" s="297"/>
      <c r="J66" s="107"/>
      <c r="K66" s="142"/>
      <c r="L66" s="142"/>
      <c r="M66" s="142"/>
      <c r="N66" s="170">
        <f>I66*I65+J66*J65+K66*K65+L66*L65+M66*M65</f>
        <v>0</v>
      </c>
      <c r="O66" s="144"/>
      <c r="P66" s="145"/>
      <c r="Q66" s="113"/>
      <c r="R66" s="113"/>
      <c r="S66" s="146"/>
      <c r="T66" s="147"/>
      <c r="U66" s="148"/>
      <c r="V66" s="149"/>
      <c r="W66" s="150"/>
      <c r="X66" s="151"/>
      <c r="Y66" s="152"/>
      <c r="Z66" s="151"/>
      <c r="AA66" s="153"/>
      <c r="AB66" s="154"/>
      <c r="AC66" s="149"/>
      <c r="AD66" s="148"/>
      <c r="AE66" s="148"/>
      <c r="AF66" s="155"/>
      <c r="AG66" s="156"/>
      <c r="AH66" s="113"/>
      <c r="AI66" s="157"/>
      <c r="AJ66" s="113"/>
      <c r="AK66" s="113"/>
      <c r="AL66" s="158"/>
      <c r="AM66" s="159"/>
      <c r="AN66" s="160"/>
      <c r="AO66" s="160"/>
      <c r="AP66" s="133"/>
      <c r="AQ66" s="134"/>
      <c r="AR66" s="161"/>
      <c r="AS66" s="161"/>
      <c r="AT66" s="161"/>
      <c r="AU66" s="161"/>
      <c r="AV66" s="162"/>
      <c r="AW66" s="137"/>
      <c r="AX66" s="137"/>
    </row>
    <row r="67" ht="46.5" customHeight="1" spans="1:50" s="97" customFormat="1" x14ac:dyDescent="0.25">
      <c r="A67" s="100"/>
      <c r="B67" s="100"/>
      <c r="C67" s="100"/>
      <c r="D67" s="100"/>
      <c r="E67" s="100"/>
      <c r="F67" s="100"/>
      <c r="G67" s="103"/>
      <c r="H67" s="186"/>
      <c r="I67" s="195"/>
      <c r="J67" s="107"/>
      <c r="K67" s="107"/>
      <c r="L67" s="107"/>
      <c r="M67" s="187"/>
      <c r="N67" s="169">
        <f t="shared" si="27"/>
        <v>0</v>
      </c>
      <c r="O67" s="144">
        <v>1</v>
      </c>
      <c r="P67" s="145"/>
      <c r="Q67" s="113"/>
      <c r="R67" s="113"/>
      <c r="S67" s="113"/>
      <c r="T67" s="146"/>
      <c r="U67" s="148">
        <f t="shared" si="1"/>
        <v>0</v>
      </c>
      <c r="V67" s="149">
        <f t="shared" si="2"/>
        <v>0</v>
      </c>
      <c r="W67" s="189"/>
      <c r="X67" s="199"/>
      <c r="Y67" s="151"/>
      <c r="Z67" s="190"/>
      <c r="AA67" s="153"/>
      <c r="AB67" s="154" t="e">
        <f t="shared" si="3"/>
        <v>#DIV/0!</v>
      </c>
      <c r="AC67" s="149" t="e">
        <f t="shared" si="4"/>
        <v>#DIV/0!</v>
      </c>
      <c r="AD67" s="125"/>
      <c r="AE67" s="148" t="e">
        <f t="shared" si="5"/>
        <v>#DIV/0!</v>
      </c>
      <c r="AF67" s="156"/>
      <c r="AG67" s="156"/>
      <c r="AH67" s="113" t="e">
        <f t="shared" si="6"/>
        <v>#DIV/0!</v>
      </c>
      <c r="AI67" s="157">
        <v>65</v>
      </c>
      <c r="AJ67" s="113" t="e">
        <f t="shared" si="7"/>
        <v>#DIV/0!</v>
      </c>
      <c r="AK67" s="113" t="e">
        <f t="shared" si="8"/>
        <v>#DIV/0!</v>
      </c>
      <c r="AL67" s="158" t="e">
        <f t="shared" si="9"/>
        <v>#DIV/0!</v>
      </c>
      <c r="AM67" s="159"/>
      <c r="AN67" s="160">
        <f t="shared" si="28"/>
        <v>1</v>
      </c>
      <c r="AO67" s="160">
        <f t="shared" si="28"/>
        <v>2</v>
      </c>
      <c r="AP67" s="133"/>
      <c r="AQ67" s="134"/>
      <c r="AR67" s="161"/>
      <c r="AS67" s="161"/>
      <c r="AT67" s="161"/>
      <c r="AU67" s="161"/>
      <c r="AV67" s="162"/>
      <c r="AW67" s="137">
        <f t="shared" si="11"/>
        <v>0</v>
      </c>
      <c r="AX67" s="137">
        <f t="shared" si="12"/>
        <v>0</v>
      </c>
    </row>
    <row r="68" ht="21.95" customHeight="1" spans="1:50" s="97" customFormat="1" x14ac:dyDescent="0.25">
      <c r="A68" s="299" t="s">
        <v>56</v>
      </c>
      <c r="B68" s="300"/>
      <c r="C68" s="300"/>
      <c r="D68" s="300"/>
      <c r="E68" s="300"/>
      <c r="F68" s="300"/>
      <c r="G68" s="300"/>
      <c r="H68" s="301"/>
      <c r="I68" s="297"/>
      <c r="J68" s="107"/>
      <c r="K68" s="142"/>
      <c r="L68" s="142"/>
      <c r="M68" s="142"/>
      <c r="N68" s="170">
        <f>I68*I67+J68*J67+K68*K67+L68*L67+M68*M67</f>
        <v>0</v>
      </c>
      <c r="O68" s="144"/>
      <c r="P68" s="145"/>
      <c r="Q68" s="113"/>
      <c r="R68" s="113"/>
      <c r="S68" s="146"/>
      <c r="T68" s="147"/>
      <c r="U68" s="148"/>
      <c r="V68" s="149"/>
      <c r="W68" s="150"/>
      <c r="X68" s="151"/>
      <c r="Y68" s="152"/>
      <c r="Z68" s="151"/>
      <c r="AA68" s="153"/>
      <c r="AB68" s="154"/>
      <c r="AC68" s="149"/>
      <c r="AD68" s="148"/>
      <c r="AE68" s="148"/>
      <c r="AF68" s="155"/>
      <c r="AG68" s="156"/>
      <c r="AH68" s="113"/>
      <c r="AI68" s="157"/>
      <c r="AJ68" s="113"/>
      <c r="AK68" s="113"/>
      <c r="AL68" s="158"/>
      <c r="AM68" s="159"/>
      <c r="AN68" s="160"/>
      <c r="AO68" s="160"/>
      <c r="AP68" s="133"/>
      <c r="AQ68" s="134"/>
      <c r="AR68" s="161"/>
      <c r="AS68" s="161"/>
      <c r="AT68" s="161"/>
      <c r="AU68" s="161"/>
      <c r="AV68" s="162"/>
      <c r="AW68" s="137"/>
      <c r="AX68" s="137"/>
    </row>
    <row r="69" ht="46.5" customHeight="1" spans="1:50" s="97" customFormat="1" x14ac:dyDescent="0.25">
      <c r="A69" s="100"/>
      <c r="B69" s="100"/>
      <c r="C69" s="100"/>
      <c r="D69" s="100"/>
      <c r="E69" s="100"/>
      <c r="F69" s="100"/>
      <c r="G69" s="103"/>
      <c r="H69" s="186"/>
      <c r="I69" s="195"/>
      <c r="J69" s="107"/>
      <c r="K69" s="107"/>
      <c r="L69" s="107"/>
      <c r="M69" s="187"/>
      <c r="N69" s="169">
        <f t="shared" si="27"/>
        <v>0</v>
      </c>
      <c r="O69" s="144">
        <v>1</v>
      </c>
      <c r="P69" s="145"/>
      <c r="Q69" s="113"/>
      <c r="R69" s="113"/>
      <c r="S69" s="113"/>
      <c r="T69" s="146"/>
      <c r="U69" s="148">
        <f t="shared" si="1"/>
        <v>0</v>
      </c>
      <c r="V69" s="149">
        <f t="shared" si="2"/>
        <v>0</v>
      </c>
      <c r="W69" s="189"/>
      <c r="X69" s="199"/>
      <c r="Y69" s="151"/>
      <c r="Z69" s="190"/>
      <c r="AA69" s="153"/>
      <c r="AB69" s="154" t="e">
        <f t="shared" si="3"/>
        <v>#DIV/0!</v>
      </c>
      <c r="AC69" s="149" t="e">
        <f t="shared" si="4"/>
        <v>#DIV/0!</v>
      </c>
      <c r="AD69" s="125"/>
      <c r="AE69" s="148" t="e">
        <f t="shared" si="5"/>
        <v>#DIV/0!</v>
      </c>
      <c r="AF69" s="156"/>
      <c r="AG69" s="156"/>
      <c r="AH69" s="113" t="e">
        <f t="shared" si="6"/>
        <v>#DIV/0!</v>
      </c>
      <c r="AI69" s="157">
        <v>65</v>
      </c>
      <c r="AJ69" s="113" t="e">
        <f t="shared" si="7"/>
        <v>#DIV/0!</v>
      </c>
      <c r="AK69" s="113" t="e">
        <f t="shared" si="8"/>
        <v>#DIV/0!</v>
      </c>
      <c r="AL69" s="158" t="e">
        <f t="shared" si="9"/>
        <v>#DIV/0!</v>
      </c>
      <c r="AM69" s="159"/>
      <c r="AN69" s="160">
        <f t="shared" si="28"/>
        <v>1</v>
      </c>
      <c r="AO69" s="160">
        <f t="shared" si="28"/>
        <v>2</v>
      </c>
      <c r="AP69" s="133"/>
      <c r="AQ69" s="134"/>
      <c r="AR69" s="161"/>
      <c r="AS69" s="161"/>
      <c r="AT69" s="161"/>
      <c r="AU69" s="161"/>
      <c r="AV69" s="162"/>
      <c r="AW69" s="137">
        <f t="shared" si="11"/>
        <v>0</v>
      </c>
      <c r="AX69" s="137">
        <f t="shared" si="12"/>
        <v>0</v>
      </c>
    </row>
    <row r="70" ht="21.95" customHeight="1" spans="1:50" s="97" customFormat="1" x14ac:dyDescent="0.25">
      <c r="A70" s="299" t="s">
        <v>56</v>
      </c>
      <c r="B70" s="300"/>
      <c r="C70" s="300"/>
      <c r="D70" s="300"/>
      <c r="E70" s="300"/>
      <c r="F70" s="300"/>
      <c r="G70" s="300"/>
      <c r="H70" s="301"/>
      <c r="I70" s="297"/>
      <c r="J70" s="107"/>
      <c r="K70" s="142"/>
      <c r="L70" s="142"/>
      <c r="M70" s="142"/>
      <c r="N70" s="170">
        <f>I70*I69+J70*J69+K70*K69+L70*L69+M70*M69</f>
        <v>0</v>
      </c>
      <c r="O70" s="144"/>
      <c r="P70" s="145"/>
      <c r="Q70" s="113"/>
      <c r="R70" s="113"/>
      <c r="S70" s="146"/>
      <c r="T70" s="147"/>
      <c r="U70" s="148"/>
      <c r="V70" s="149"/>
      <c r="W70" s="150"/>
      <c r="X70" s="151"/>
      <c r="Y70" s="152"/>
      <c r="Z70" s="151"/>
      <c r="AA70" s="153"/>
      <c r="AB70" s="154"/>
      <c r="AC70" s="149"/>
      <c r="AD70" s="148"/>
      <c r="AE70" s="148"/>
      <c r="AF70" s="155"/>
      <c r="AG70" s="156"/>
      <c r="AH70" s="113"/>
      <c r="AI70" s="157"/>
      <c r="AJ70" s="113"/>
      <c r="AK70" s="113"/>
      <c r="AL70" s="158"/>
      <c r="AM70" s="159"/>
      <c r="AN70" s="160"/>
      <c r="AO70" s="160"/>
      <c r="AP70" s="133"/>
      <c r="AQ70" s="134"/>
      <c r="AR70" s="161"/>
      <c r="AS70" s="161"/>
      <c r="AT70" s="161"/>
      <c r="AU70" s="161"/>
      <c r="AV70" s="162"/>
      <c r="AW70" s="137"/>
      <c r="AX70" s="137"/>
    </row>
    <row r="71" ht="46.5" customHeight="1" spans="1:50" s="97" customFormat="1" x14ac:dyDescent="0.25">
      <c r="A71" s="100"/>
      <c r="B71" s="100"/>
      <c r="C71" s="100"/>
      <c r="D71" s="100"/>
      <c r="E71" s="100"/>
      <c r="F71" s="100"/>
      <c r="G71" s="103"/>
      <c r="H71" s="186"/>
      <c r="I71" s="195"/>
      <c r="J71" s="107"/>
      <c r="K71" s="107"/>
      <c r="L71" s="107"/>
      <c r="M71" s="187"/>
      <c r="N71" s="169">
        <f t="shared" si="27"/>
        <v>0</v>
      </c>
      <c r="O71" s="144">
        <v>1</v>
      </c>
      <c r="P71" s="145"/>
      <c r="Q71" s="113"/>
      <c r="R71" s="113"/>
      <c r="S71" s="113"/>
      <c r="T71" s="146"/>
      <c r="U71" s="148">
        <f t="shared" si="1"/>
        <v>0</v>
      </c>
      <c r="V71" s="149">
        <f t="shared" si="2"/>
        <v>0</v>
      </c>
      <c r="W71" s="189"/>
      <c r="X71" s="199"/>
      <c r="Y71" s="151"/>
      <c r="Z71" s="190"/>
      <c r="AA71" s="153"/>
      <c r="AB71" s="154" t="e">
        <f t="shared" si="3"/>
        <v>#DIV/0!</v>
      </c>
      <c r="AC71" s="149" t="e">
        <f t="shared" si="4"/>
        <v>#DIV/0!</v>
      </c>
      <c r="AD71" s="125"/>
      <c r="AE71" s="148" t="e">
        <f t="shared" si="5"/>
        <v>#DIV/0!</v>
      </c>
      <c r="AF71" s="156"/>
      <c r="AG71" s="156"/>
      <c r="AH71" s="113" t="e">
        <f t="shared" si="6"/>
        <v>#DIV/0!</v>
      </c>
      <c r="AI71" s="157">
        <v>65</v>
      </c>
      <c r="AJ71" s="113" t="e">
        <f t="shared" si="7"/>
        <v>#DIV/0!</v>
      </c>
      <c r="AK71" s="113" t="e">
        <f t="shared" si="8"/>
        <v>#DIV/0!</v>
      </c>
      <c r="AL71" s="158" t="e">
        <f t="shared" si="9"/>
        <v>#DIV/0!</v>
      </c>
      <c r="AM71" s="159"/>
      <c r="AN71" s="160">
        <f t="shared" ref="AN71:AO89" si="29">100%+AM71</f>
        <v>1</v>
      </c>
      <c r="AO71" s="160">
        <f t="shared" si="29"/>
        <v>2</v>
      </c>
      <c r="AP71" s="133"/>
      <c r="AQ71" s="134"/>
      <c r="AR71" s="161"/>
      <c r="AS71" s="161"/>
      <c r="AT71" s="161"/>
      <c r="AU71" s="161"/>
      <c r="AV71" s="162"/>
      <c r="AW71" s="137">
        <f t="shared" si="11"/>
        <v>0</v>
      </c>
      <c r="AX71" s="137">
        <f t="shared" si="12"/>
        <v>0</v>
      </c>
    </row>
    <row r="72" ht="21.95" customHeight="1" spans="1:50" s="97" customFormat="1" x14ac:dyDescent="0.25">
      <c r="A72" s="299" t="s">
        <v>56</v>
      </c>
      <c r="B72" s="300"/>
      <c r="C72" s="300"/>
      <c r="D72" s="300"/>
      <c r="E72" s="300"/>
      <c r="F72" s="300"/>
      <c r="G72" s="300"/>
      <c r="H72" s="301"/>
      <c r="I72" s="297"/>
      <c r="J72" s="107"/>
      <c r="K72" s="142"/>
      <c r="L72" s="142"/>
      <c r="M72" s="142"/>
      <c r="N72" s="170">
        <f>I72*I71+J72*J71+K72*K71+L72*L71+M72*M71</f>
        <v>0</v>
      </c>
      <c r="O72" s="144"/>
      <c r="P72" s="145"/>
      <c r="Q72" s="113"/>
      <c r="R72" s="113"/>
      <c r="S72" s="146"/>
      <c r="T72" s="147"/>
      <c r="U72" s="148"/>
      <c r="V72" s="149"/>
      <c r="W72" s="150"/>
      <c r="X72" s="151"/>
      <c r="Y72" s="152"/>
      <c r="Z72" s="151"/>
      <c r="AA72" s="153"/>
      <c r="AB72" s="154"/>
      <c r="AC72" s="149"/>
      <c r="AD72" s="148"/>
      <c r="AE72" s="148"/>
      <c r="AF72" s="155"/>
      <c r="AG72" s="156"/>
      <c r="AH72" s="113"/>
      <c r="AI72" s="157"/>
      <c r="AJ72" s="113"/>
      <c r="AK72" s="113"/>
      <c r="AL72" s="158"/>
      <c r="AM72" s="159"/>
      <c r="AN72" s="160"/>
      <c r="AO72" s="160"/>
      <c r="AP72" s="133"/>
      <c r="AQ72" s="134"/>
      <c r="AR72" s="161"/>
      <c r="AS72" s="161"/>
      <c r="AT72" s="161"/>
      <c r="AU72" s="161"/>
      <c r="AV72" s="162"/>
      <c r="AW72" s="137"/>
      <c r="AX72" s="137"/>
    </row>
    <row r="73" ht="46.5" customHeight="1" spans="1:50" s="97" customFormat="1" x14ac:dyDescent="0.25">
      <c r="A73" s="100"/>
      <c r="B73" s="100"/>
      <c r="C73" s="100"/>
      <c r="D73" s="100"/>
      <c r="E73" s="100"/>
      <c r="F73" s="100"/>
      <c r="G73" s="103"/>
      <c r="H73" s="186"/>
      <c r="I73" s="195"/>
      <c r="J73" s="107"/>
      <c r="K73" s="107"/>
      <c r="L73" s="107"/>
      <c r="M73" s="187"/>
      <c r="N73" s="169">
        <f t="shared" si="27"/>
        <v>0</v>
      </c>
      <c r="O73" s="144">
        <v>1</v>
      </c>
      <c r="P73" s="145"/>
      <c r="Q73" s="113"/>
      <c r="R73" s="113"/>
      <c r="S73" s="113"/>
      <c r="T73" s="146"/>
      <c r="U73" s="148">
        <f t="shared" si="1"/>
        <v>0</v>
      </c>
      <c r="V73" s="149">
        <f t="shared" si="2"/>
        <v>0</v>
      </c>
      <c r="W73" s="189"/>
      <c r="X73" s="199"/>
      <c r="Y73" s="151"/>
      <c r="Z73" s="190"/>
      <c r="AA73" s="153"/>
      <c r="AB73" s="154" t="e">
        <f t="shared" si="3"/>
        <v>#DIV/0!</v>
      </c>
      <c r="AC73" s="149" t="e">
        <f t="shared" si="4"/>
        <v>#DIV/0!</v>
      </c>
      <c r="AD73" s="125"/>
      <c r="AE73" s="148" t="e">
        <f t="shared" si="5"/>
        <v>#DIV/0!</v>
      </c>
      <c r="AF73" s="156"/>
      <c r="AG73" s="156"/>
      <c r="AH73" s="113" t="e">
        <f t="shared" si="6"/>
        <v>#DIV/0!</v>
      </c>
      <c r="AI73" s="157">
        <v>65</v>
      </c>
      <c r="AJ73" s="113" t="e">
        <f t="shared" si="7"/>
        <v>#DIV/0!</v>
      </c>
      <c r="AK73" s="113" t="e">
        <f t="shared" si="8"/>
        <v>#DIV/0!</v>
      </c>
      <c r="AL73" s="158" t="e">
        <f t="shared" si="9"/>
        <v>#DIV/0!</v>
      </c>
      <c r="AM73" s="159"/>
      <c r="AN73" s="160">
        <f t="shared" si="29"/>
        <v>1</v>
      </c>
      <c r="AO73" s="160">
        <f t="shared" si="29"/>
        <v>2</v>
      </c>
      <c r="AP73" s="133"/>
      <c r="AQ73" s="134"/>
      <c r="AR73" s="161"/>
      <c r="AS73" s="161"/>
      <c r="AT73" s="161"/>
      <c r="AU73" s="161"/>
      <c r="AV73" s="162"/>
      <c r="AW73" s="137">
        <f t="shared" si="11"/>
        <v>0</v>
      </c>
      <c r="AX73" s="137">
        <f t="shared" si="12"/>
        <v>0</v>
      </c>
    </row>
    <row r="74" ht="21.95" customHeight="1" spans="1:50" s="97" customFormat="1" x14ac:dyDescent="0.25">
      <c r="A74" s="299" t="s">
        <v>56</v>
      </c>
      <c r="B74" s="300"/>
      <c r="C74" s="300"/>
      <c r="D74" s="300"/>
      <c r="E74" s="300"/>
      <c r="F74" s="300"/>
      <c r="G74" s="300"/>
      <c r="H74" s="301"/>
      <c r="I74" s="297"/>
      <c r="J74" s="107"/>
      <c r="K74" s="142"/>
      <c r="L74" s="142"/>
      <c r="M74" s="142"/>
      <c r="N74" s="170">
        <f>I74*I73+J74*J73+K74*K73+L74*L73+M74*M73</f>
        <v>0</v>
      </c>
      <c r="O74" s="144"/>
      <c r="P74" s="145"/>
      <c r="Q74" s="113"/>
      <c r="R74" s="113"/>
      <c r="S74" s="146"/>
      <c r="T74" s="147"/>
      <c r="U74" s="148"/>
      <c r="V74" s="149"/>
      <c r="W74" s="150"/>
      <c r="X74" s="151"/>
      <c r="Y74" s="152"/>
      <c r="Z74" s="151"/>
      <c r="AA74" s="153"/>
      <c r="AB74" s="154"/>
      <c r="AC74" s="149"/>
      <c r="AD74" s="148"/>
      <c r="AE74" s="148"/>
      <c r="AF74" s="155"/>
      <c r="AG74" s="156"/>
      <c r="AH74" s="113"/>
      <c r="AI74" s="157"/>
      <c r="AJ74" s="113"/>
      <c r="AK74" s="113"/>
      <c r="AL74" s="158"/>
      <c r="AM74" s="159"/>
      <c r="AN74" s="160"/>
      <c r="AO74" s="160"/>
      <c r="AP74" s="133"/>
      <c r="AQ74" s="134"/>
      <c r="AR74" s="161"/>
      <c r="AS74" s="161"/>
      <c r="AT74" s="161"/>
      <c r="AU74" s="161"/>
      <c r="AV74" s="162"/>
      <c r="AW74" s="137"/>
      <c r="AX74" s="137"/>
    </row>
    <row r="75" ht="46.5" customHeight="1" spans="1:50" s="97" customFormat="1" x14ac:dyDescent="0.25">
      <c r="A75" s="100"/>
      <c r="B75" s="100"/>
      <c r="C75" s="100"/>
      <c r="D75" s="100"/>
      <c r="E75" s="100"/>
      <c r="F75" s="100"/>
      <c r="G75" s="103"/>
      <c r="H75" s="186"/>
      <c r="I75" s="195"/>
      <c r="J75" s="107"/>
      <c r="K75" s="107"/>
      <c r="L75" s="107"/>
      <c r="M75" s="187"/>
      <c r="N75" s="169">
        <f t="shared" si="27"/>
        <v>0</v>
      </c>
      <c r="O75" s="144">
        <v>1</v>
      </c>
      <c r="P75" s="145"/>
      <c r="Q75" s="113"/>
      <c r="R75" s="113"/>
      <c r="S75" s="113"/>
      <c r="T75" s="146"/>
      <c r="U75" s="148">
        <f t="shared" ref="U75:U136" si="30">ROUND(((P75*I75)+(Q75*J75)+(R75*K75)+(S75*L75)+(T75*M75))*O75,2)</f>
        <v>0</v>
      </c>
      <c r="V75" s="149">
        <f t="shared" ref="V75:V136" si="31">IF(U75&gt;=15,15,U75)</f>
        <v>0</v>
      </c>
      <c r="W75" s="189"/>
      <c r="X75" s="199"/>
      <c r="Y75" s="151"/>
      <c r="Z75" s="190"/>
      <c r="AA75" s="153"/>
      <c r="AB75" s="154" t="e">
        <f t="shared" ref="AB75:AB136" si="32">ROUND((((W75*I75)+(X75*J75)+(Y75*K75)+(Z75*L75)+(AA75*M75))/$I$2),2)*13</f>
        <v>#DIV/0!</v>
      </c>
      <c r="AC75" s="149" t="e">
        <f t="shared" ref="AC75:AC136" si="33">IF(AB75&gt;=13,13,AB75)</f>
        <v>#DIV/0!</v>
      </c>
      <c r="AD75" s="125"/>
      <c r="AE75" s="148" t="e">
        <f t="shared" ref="AE75:AE136" si="34">IF((AC75+AD75)&gt;=15,15,(AC75+AD75))</f>
        <v>#DIV/0!</v>
      </c>
      <c r="AF75" s="156"/>
      <c r="AG75" s="156"/>
      <c r="AH75" s="113" t="e">
        <f t="shared" ref="AH75:AH136" si="35">IF((V75+AE75+AF75)&gt;=30,30,(V75+AE75+AF75))</f>
        <v>#DIV/0!</v>
      </c>
      <c r="AI75" s="157">
        <v>65</v>
      </c>
      <c r="AJ75" s="113" t="e">
        <f t="shared" ref="AJ75:AJ136" si="36">V75+AE75+AF75+AI75+AG75</f>
        <v>#DIV/0!</v>
      </c>
      <c r="AK75" s="113" t="e">
        <f t="shared" ref="AK75:AK136" si="37">IF(AH75+AI75+AG75&gt;=95,95,AH75+AI75+AG75)</f>
        <v>#DIV/0!</v>
      </c>
      <c r="AL75" s="158" t="e">
        <f t="shared" ref="AL75:AL136" si="38">-((50-((176+(45+(50-AH75)))))/200)</f>
        <v>#DIV/0!</v>
      </c>
      <c r="AM75" s="159"/>
      <c r="AN75" s="160">
        <f t="shared" si="29"/>
        <v>1</v>
      </c>
      <c r="AO75" s="160">
        <f t="shared" si="29"/>
        <v>2</v>
      </c>
      <c r="AP75" s="133"/>
      <c r="AQ75" s="134"/>
      <c r="AR75" s="161"/>
      <c r="AS75" s="161"/>
      <c r="AT75" s="161"/>
      <c r="AU75" s="161"/>
      <c r="AV75" s="162"/>
      <c r="AW75" s="137">
        <f t="shared" ref="AW75:AW136" si="39">AR75+AS75+AT75+AU75+AV75</f>
        <v>0</v>
      </c>
      <c r="AX75" s="137">
        <f t="shared" ref="AX75:AX136" si="40">(AR75*I75)+(AS75*J75)+(AT75*K75)+(AU75*L75)+(AV75*M75)</f>
        <v>0</v>
      </c>
    </row>
    <row r="76" ht="21.95" customHeight="1" spans="1:50" s="97" customFormat="1" x14ac:dyDescent="0.25">
      <c r="A76" s="299" t="s">
        <v>56</v>
      </c>
      <c r="B76" s="300"/>
      <c r="C76" s="300"/>
      <c r="D76" s="300"/>
      <c r="E76" s="300"/>
      <c r="F76" s="300"/>
      <c r="G76" s="300"/>
      <c r="H76" s="301"/>
      <c r="I76" s="297"/>
      <c r="J76" s="107"/>
      <c r="K76" s="142"/>
      <c r="L76" s="142"/>
      <c r="M76" s="142"/>
      <c r="N76" s="170">
        <f>I76*I75+J76*J75+K76*K75+L76*L75+M76*M75</f>
        <v>0</v>
      </c>
      <c r="O76" s="144"/>
      <c r="P76" s="145"/>
      <c r="Q76" s="113"/>
      <c r="R76" s="113"/>
      <c r="S76" s="146"/>
      <c r="T76" s="147"/>
      <c r="U76" s="148"/>
      <c r="V76" s="149"/>
      <c r="W76" s="150"/>
      <c r="X76" s="151"/>
      <c r="Y76" s="152"/>
      <c r="Z76" s="151"/>
      <c r="AA76" s="153"/>
      <c r="AB76" s="154"/>
      <c r="AC76" s="149"/>
      <c r="AD76" s="148"/>
      <c r="AE76" s="148"/>
      <c r="AF76" s="155"/>
      <c r="AG76" s="156"/>
      <c r="AH76" s="113"/>
      <c r="AI76" s="157"/>
      <c r="AJ76" s="113"/>
      <c r="AK76" s="113"/>
      <c r="AL76" s="158"/>
      <c r="AM76" s="159"/>
      <c r="AN76" s="160"/>
      <c r="AO76" s="160"/>
      <c r="AP76" s="133"/>
      <c r="AQ76" s="134"/>
      <c r="AR76" s="161"/>
      <c r="AS76" s="161"/>
      <c r="AT76" s="161"/>
      <c r="AU76" s="161"/>
      <c r="AV76" s="162"/>
      <c r="AW76" s="137"/>
      <c r="AX76" s="137"/>
    </row>
    <row r="77" ht="46.5" customHeight="1" spans="1:50" s="97" customFormat="1" x14ac:dyDescent="0.25">
      <c r="A77" s="100"/>
      <c r="B77" s="100"/>
      <c r="C77" s="100"/>
      <c r="D77" s="100"/>
      <c r="E77" s="100"/>
      <c r="F77" s="100"/>
      <c r="G77" s="103"/>
      <c r="H77" s="186"/>
      <c r="I77" s="195"/>
      <c r="J77" s="107"/>
      <c r="K77" s="107"/>
      <c r="L77" s="107"/>
      <c r="M77" s="187"/>
      <c r="N77" s="169">
        <f t="shared" si="27"/>
        <v>0</v>
      </c>
      <c r="O77" s="144">
        <v>1</v>
      </c>
      <c r="P77" s="145"/>
      <c r="Q77" s="113"/>
      <c r="R77" s="113"/>
      <c r="S77" s="113"/>
      <c r="T77" s="146"/>
      <c r="U77" s="148">
        <f t="shared" si="30"/>
        <v>0</v>
      </c>
      <c r="V77" s="149">
        <f t="shared" si="31"/>
        <v>0</v>
      </c>
      <c r="W77" s="189"/>
      <c r="X77" s="199"/>
      <c r="Y77" s="151"/>
      <c r="Z77" s="190"/>
      <c r="AA77" s="153"/>
      <c r="AB77" s="154" t="e">
        <f t="shared" si="32"/>
        <v>#DIV/0!</v>
      </c>
      <c r="AC77" s="149" t="e">
        <f t="shared" si="33"/>
        <v>#DIV/0!</v>
      </c>
      <c r="AD77" s="125"/>
      <c r="AE77" s="148" t="e">
        <f t="shared" si="34"/>
        <v>#DIV/0!</v>
      </c>
      <c r="AF77" s="156"/>
      <c r="AG77" s="156"/>
      <c r="AH77" s="113" t="e">
        <f t="shared" si="35"/>
        <v>#DIV/0!</v>
      </c>
      <c r="AI77" s="157">
        <v>65</v>
      </c>
      <c r="AJ77" s="113" t="e">
        <f t="shared" si="36"/>
        <v>#DIV/0!</v>
      </c>
      <c r="AK77" s="113" t="e">
        <f t="shared" si="37"/>
        <v>#DIV/0!</v>
      </c>
      <c r="AL77" s="158" t="e">
        <f t="shared" si="38"/>
        <v>#DIV/0!</v>
      </c>
      <c r="AM77" s="159"/>
      <c r="AN77" s="160">
        <f t="shared" si="29"/>
        <v>1</v>
      </c>
      <c r="AO77" s="160">
        <f t="shared" si="29"/>
        <v>2</v>
      </c>
      <c r="AP77" s="133"/>
      <c r="AQ77" s="134"/>
      <c r="AR77" s="161"/>
      <c r="AS77" s="161"/>
      <c r="AT77" s="161"/>
      <c r="AU77" s="161"/>
      <c r="AV77" s="162"/>
      <c r="AW77" s="137">
        <f t="shared" si="39"/>
        <v>0</v>
      </c>
      <c r="AX77" s="137">
        <f t="shared" si="40"/>
        <v>0</v>
      </c>
    </row>
    <row r="78" ht="21.95" customHeight="1" spans="1:50" s="97" customFormat="1" x14ac:dyDescent="0.25">
      <c r="A78" s="299" t="s">
        <v>56</v>
      </c>
      <c r="B78" s="300"/>
      <c r="C78" s="300"/>
      <c r="D78" s="300"/>
      <c r="E78" s="300"/>
      <c r="F78" s="300"/>
      <c r="G78" s="300"/>
      <c r="H78" s="301"/>
      <c r="I78" s="297"/>
      <c r="J78" s="107"/>
      <c r="K78" s="142"/>
      <c r="L78" s="142"/>
      <c r="M78" s="142"/>
      <c r="N78" s="170">
        <f>I78*I77+J78*J77+K78*K77+L78*L77+M78*M77</f>
        <v>0</v>
      </c>
      <c r="O78" s="144"/>
      <c r="P78" s="145"/>
      <c r="Q78" s="113"/>
      <c r="R78" s="113"/>
      <c r="S78" s="146"/>
      <c r="T78" s="147"/>
      <c r="U78" s="148"/>
      <c r="V78" s="149"/>
      <c r="W78" s="150"/>
      <c r="X78" s="151"/>
      <c r="Y78" s="152"/>
      <c r="Z78" s="151"/>
      <c r="AA78" s="153"/>
      <c r="AB78" s="154"/>
      <c r="AC78" s="149"/>
      <c r="AD78" s="148"/>
      <c r="AE78" s="148"/>
      <c r="AF78" s="155"/>
      <c r="AG78" s="156"/>
      <c r="AH78" s="113"/>
      <c r="AI78" s="157"/>
      <c r="AJ78" s="113"/>
      <c r="AK78" s="113"/>
      <c r="AL78" s="158"/>
      <c r="AM78" s="159"/>
      <c r="AN78" s="160"/>
      <c r="AO78" s="160"/>
      <c r="AP78" s="133"/>
      <c r="AQ78" s="134"/>
      <c r="AR78" s="161"/>
      <c r="AS78" s="161"/>
      <c r="AT78" s="161"/>
      <c r="AU78" s="161"/>
      <c r="AV78" s="162"/>
      <c r="AW78" s="137"/>
      <c r="AX78" s="137"/>
    </row>
    <row r="79" ht="46.5" customHeight="1" spans="1:50" s="97" customFormat="1" x14ac:dyDescent="0.25">
      <c r="A79" s="100"/>
      <c r="B79" s="100"/>
      <c r="C79" s="100"/>
      <c r="D79" s="100"/>
      <c r="E79" s="100"/>
      <c r="F79" s="100"/>
      <c r="G79" s="103"/>
      <c r="H79" s="186"/>
      <c r="I79" s="195"/>
      <c r="J79" s="107"/>
      <c r="K79" s="107"/>
      <c r="L79" s="107"/>
      <c r="M79" s="187"/>
      <c r="N79" s="169">
        <f t="shared" si="27"/>
        <v>0</v>
      </c>
      <c r="O79" s="144">
        <v>1</v>
      </c>
      <c r="P79" s="145"/>
      <c r="Q79" s="113"/>
      <c r="R79" s="113"/>
      <c r="S79" s="113"/>
      <c r="T79" s="146"/>
      <c r="U79" s="148">
        <f t="shared" si="30"/>
        <v>0</v>
      </c>
      <c r="V79" s="149">
        <f t="shared" si="31"/>
        <v>0</v>
      </c>
      <c r="W79" s="189"/>
      <c r="X79" s="199"/>
      <c r="Y79" s="151"/>
      <c r="Z79" s="190"/>
      <c r="AA79" s="153"/>
      <c r="AB79" s="154" t="e">
        <f t="shared" si="32"/>
        <v>#DIV/0!</v>
      </c>
      <c r="AC79" s="149" t="e">
        <f t="shared" si="33"/>
        <v>#DIV/0!</v>
      </c>
      <c r="AD79" s="125"/>
      <c r="AE79" s="148" t="e">
        <f t="shared" si="34"/>
        <v>#DIV/0!</v>
      </c>
      <c r="AF79" s="156"/>
      <c r="AG79" s="156"/>
      <c r="AH79" s="113" t="e">
        <f t="shared" si="35"/>
        <v>#DIV/0!</v>
      </c>
      <c r="AI79" s="157">
        <v>65</v>
      </c>
      <c r="AJ79" s="113" t="e">
        <f t="shared" si="36"/>
        <v>#DIV/0!</v>
      </c>
      <c r="AK79" s="113" t="e">
        <f t="shared" si="37"/>
        <v>#DIV/0!</v>
      </c>
      <c r="AL79" s="158" t="e">
        <f t="shared" si="38"/>
        <v>#DIV/0!</v>
      </c>
      <c r="AM79" s="159"/>
      <c r="AN79" s="160">
        <f t="shared" si="29"/>
        <v>1</v>
      </c>
      <c r="AO79" s="160">
        <f t="shared" si="29"/>
        <v>2</v>
      </c>
      <c r="AP79" s="133"/>
      <c r="AQ79" s="134"/>
      <c r="AR79" s="161"/>
      <c r="AS79" s="161"/>
      <c r="AT79" s="161"/>
      <c r="AU79" s="161"/>
      <c r="AV79" s="162"/>
      <c r="AW79" s="137">
        <f t="shared" si="39"/>
        <v>0</v>
      </c>
      <c r="AX79" s="137">
        <f t="shared" si="40"/>
        <v>0</v>
      </c>
    </row>
    <row r="80" ht="21.95" customHeight="1" spans="1:50" s="97" customFormat="1" x14ac:dyDescent="0.25">
      <c r="A80" s="299" t="s">
        <v>56</v>
      </c>
      <c r="B80" s="300"/>
      <c r="C80" s="300"/>
      <c r="D80" s="300"/>
      <c r="E80" s="300"/>
      <c r="F80" s="300"/>
      <c r="G80" s="300"/>
      <c r="H80" s="301"/>
      <c r="I80" s="297"/>
      <c r="J80" s="107"/>
      <c r="K80" s="142"/>
      <c r="L80" s="142"/>
      <c r="M80" s="142"/>
      <c r="N80" s="170">
        <f>I80*I79+J80*J79+K80*K79+L80*L79+M80*M79</f>
        <v>0</v>
      </c>
      <c r="O80" s="144"/>
      <c r="P80" s="145"/>
      <c r="Q80" s="113"/>
      <c r="R80" s="113"/>
      <c r="S80" s="146"/>
      <c r="T80" s="147"/>
      <c r="U80" s="148"/>
      <c r="V80" s="149"/>
      <c r="W80" s="150"/>
      <c r="X80" s="151"/>
      <c r="Y80" s="152"/>
      <c r="Z80" s="151"/>
      <c r="AA80" s="153"/>
      <c r="AB80" s="154"/>
      <c r="AC80" s="149"/>
      <c r="AD80" s="148"/>
      <c r="AE80" s="148"/>
      <c r="AF80" s="155"/>
      <c r="AG80" s="156"/>
      <c r="AH80" s="113"/>
      <c r="AI80" s="157"/>
      <c r="AJ80" s="113"/>
      <c r="AK80" s="113"/>
      <c r="AL80" s="158"/>
      <c r="AM80" s="159"/>
      <c r="AN80" s="160"/>
      <c r="AO80" s="160"/>
      <c r="AP80" s="133"/>
      <c r="AQ80" s="134"/>
      <c r="AR80" s="161"/>
      <c r="AS80" s="161"/>
      <c r="AT80" s="161"/>
      <c r="AU80" s="161"/>
      <c r="AV80" s="162"/>
      <c r="AW80" s="137"/>
      <c r="AX80" s="137"/>
    </row>
    <row r="81" ht="46.5" customHeight="1" spans="1:50" s="97" customFormat="1" x14ac:dyDescent="0.25">
      <c r="A81" s="100"/>
      <c r="B81" s="100"/>
      <c r="C81" s="100"/>
      <c r="D81" s="100"/>
      <c r="E81" s="100"/>
      <c r="F81" s="100"/>
      <c r="G81" s="103"/>
      <c r="H81" s="186"/>
      <c r="I81" s="195"/>
      <c r="J81" s="107"/>
      <c r="K81" s="107"/>
      <c r="L81" s="107"/>
      <c r="M81" s="187"/>
      <c r="N81" s="169">
        <f t="shared" si="27"/>
        <v>0</v>
      </c>
      <c r="O81" s="144">
        <v>1</v>
      </c>
      <c r="P81" s="145"/>
      <c r="Q81" s="113"/>
      <c r="R81" s="113"/>
      <c r="S81" s="113"/>
      <c r="T81" s="146"/>
      <c r="U81" s="148">
        <f t="shared" si="30"/>
        <v>0</v>
      </c>
      <c r="V81" s="149">
        <f t="shared" si="31"/>
        <v>0</v>
      </c>
      <c r="W81" s="189"/>
      <c r="X81" s="199"/>
      <c r="Y81" s="151"/>
      <c r="Z81" s="190"/>
      <c r="AA81" s="153"/>
      <c r="AB81" s="154" t="e">
        <f t="shared" si="32"/>
        <v>#DIV/0!</v>
      </c>
      <c r="AC81" s="149" t="e">
        <f t="shared" si="33"/>
        <v>#DIV/0!</v>
      </c>
      <c r="AD81" s="125"/>
      <c r="AE81" s="148" t="e">
        <f t="shared" si="34"/>
        <v>#DIV/0!</v>
      </c>
      <c r="AF81" s="156"/>
      <c r="AG81" s="156"/>
      <c r="AH81" s="113" t="e">
        <f t="shared" si="35"/>
        <v>#DIV/0!</v>
      </c>
      <c r="AI81" s="157">
        <v>65</v>
      </c>
      <c r="AJ81" s="113" t="e">
        <f t="shared" si="36"/>
        <v>#DIV/0!</v>
      </c>
      <c r="AK81" s="113" t="e">
        <f t="shared" si="37"/>
        <v>#DIV/0!</v>
      </c>
      <c r="AL81" s="158" t="e">
        <f t="shared" si="38"/>
        <v>#DIV/0!</v>
      </c>
      <c r="AM81" s="159"/>
      <c r="AN81" s="160">
        <f t="shared" si="29"/>
        <v>1</v>
      </c>
      <c r="AO81" s="160">
        <f t="shared" si="29"/>
        <v>2</v>
      </c>
      <c r="AP81" s="133"/>
      <c r="AQ81" s="134"/>
      <c r="AR81" s="161"/>
      <c r="AS81" s="161"/>
      <c r="AT81" s="161"/>
      <c r="AU81" s="161"/>
      <c r="AV81" s="162"/>
      <c r="AW81" s="137">
        <f t="shared" si="39"/>
        <v>0</v>
      </c>
      <c r="AX81" s="137">
        <f t="shared" si="40"/>
        <v>0</v>
      </c>
    </row>
    <row r="82" ht="21.95" customHeight="1" spans="1:50" s="97" customFormat="1" x14ac:dyDescent="0.25">
      <c r="A82" s="299" t="s">
        <v>56</v>
      </c>
      <c r="B82" s="300"/>
      <c r="C82" s="300"/>
      <c r="D82" s="300"/>
      <c r="E82" s="300"/>
      <c r="F82" s="300"/>
      <c r="G82" s="300"/>
      <c r="H82" s="301"/>
      <c r="I82" s="297"/>
      <c r="J82" s="107"/>
      <c r="K82" s="142"/>
      <c r="L82" s="142"/>
      <c r="M82" s="142"/>
      <c r="N82" s="170">
        <f>I82*I81+J82*J81+K82*K81+L82*L81+M82*M81</f>
        <v>0</v>
      </c>
      <c r="O82" s="144"/>
      <c r="P82" s="145"/>
      <c r="Q82" s="113"/>
      <c r="R82" s="113"/>
      <c r="S82" s="146"/>
      <c r="T82" s="147"/>
      <c r="U82" s="148"/>
      <c r="V82" s="149"/>
      <c r="W82" s="150"/>
      <c r="X82" s="151"/>
      <c r="Y82" s="152"/>
      <c r="Z82" s="151"/>
      <c r="AA82" s="153"/>
      <c r="AB82" s="154"/>
      <c r="AC82" s="149"/>
      <c r="AD82" s="148"/>
      <c r="AE82" s="148"/>
      <c r="AF82" s="155"/>
      <c r="AG82" s="156"/>
      <c r="AH82" s="113"/>
      <c r="AI82" s="157"/>
      <c r="AJ82" s="113"/>
      <c r="AK82" s="113"/>
      <c r="AL82" s="158"/>
      <c r="AM82" s="159"/>
      <c r="AN82" s="160"/>
      <c r="AO82" s="160"/>
      <c r="AP82" s="133"/>
      <c r="AQ82" s="134"/>
      <c r="AR82" s="161"/>
      <c r="AS82" s="161"/>
      <c r="AT82" s="161"/>
      <c r="AU82" s="161"/>
      <c r="AV82" s="162"/>
      <c r="AW82" s="137"/>
      <c r="AX82" s="137"/>
    </row>
    <row r="83" ht="46.5" customHeight="1" spans="1:50" s="97" customFormat="1" x14ac:dyDescent="0.25">
      <c r="A83" s="100"/>
      <c r="B83" s="100"/>
      <c r="C83" s="100"/>
      <c r="D83" s="100"/>
      <c r="E83" s="100"/>
      <c r="F83" s="100"/>
      <c r="G83" s="103"/>
      <c r="H83" s="186"/>
      <c r="I83" s="195"/>
      <c r="J83" s="107"/>
      <c r="K83" s="107"/>
      <c r="L83" s="107"/>
      <c r="M83" s="187"/>
      <c r="N83" s="169">
        <f t="shared" si="27"/>
        <v>0</v>
      </c>
      <c r="O83" s="144">
        <v>1</v>
      </c>
      <c r="P83" s="145"/>
      <c r="Q83" s="113"/>
      <c r="R83" s="113"/>
      <c r="S83" s="113"/>
      <c r="T83" s="146"/>
      <c r="U83" s="148">
        <f t="shared" si="30"/>
        <v>0</v>
      </c>
      <c r="V83" s="149">
        <f t="shared" si="31"/>
        <v>0</v>
      </c>
      <c r="W83" s="189"/>
      <c r="X83" s="199"/>
      <c r="Y83" s="151"/>
      <c r="Z83" s="190"/>
      <c r="AA83" s="153"/>
      <c r="AB83" s="154" t="e">
        <f t="shared" si="32"/>
        <v>#DIV/0!</v>
      </c>
      <c r="AC83" s="149" t="e">
        <f t="shared" si="33"/>
        <v>#DIV/0!</v>
      </c>
      <c r="AD83" s="125"/>
      <c r="AE83" s="148" t="e">
        <f t="shared" si="34"/>
        <v>#DIV/0!</v>
      </c>
      <c r="AF83" s="156"/>
      <c r="AG83" s="156"/>
      <c r="AH83" s="113" t="e">
        <f t="shared" si="35"/>
        <v>#DIV/0!</v>
      </c>
      <c r="AI83" s="157">
        <v>65</v>
      </c>
      <c r="AJ83" s="113" t="e">
        <f t="shared" si="36"/>
        <v>#DIV/0!</v>
      </c>
      <c r="AK83" s="113" t="e">
        <f t="shared" si="37"/>
        <v>#DIV/0!</v>
      </c>
      <c r="AL83" s="158" t="e">
        <f t="shared" si="38"/>
        <v>#DIV/0!</v>
      </c>
      <c r="AM83" s="159"/>
      <c r="AN83" s="160">
        <f t="shared" si="29"/>
        <v>1</v>
      </c>
      <c r="AO83" s="160">
        <f t="shared" si="29"/>
        <v>2</v>
      </c>
      <c r="AP83" s="133"/>
      <c r="AQ83" s="134"/>
      <c r="AR83" s="161"/>
      <c r="AS83" s="161"/>
      <c r="AT83" s="161"/>
      <c r="AU83" s="161"/>
      <c r="AV83" s="162"/>
      <c r="AW83" s="137">
        <f t="shared" si="39"/>
        <v>0</v>
      </c>
      <c r="AX83" s="137">
        <f t="shared" si="40"/>
        <v>0</v>
      </c>
    </row>
    <row r="84" ht="21.95" customHeight="1" spans="1:50" s="97" customFormat="1" x14ac:dyDescent="0.25">
      <c r="A84" s="299" t="s">
        <v>56</v>
      </c>
      <c r="B84" s="300"/>
      <c r="C84" s="300"/>
      <c r="D84" s="300"/>
      <c r="E84" s="300"/>
      <c r="F84" s="300"/>
      <c r="G84" s="300"/>
      <c r="H84" s="301"/>
      <c r="I84" s="297"/>
      <c r="J84" s="107"/>
      <c r="K84" s="142"/>
      <c r="L84" s="142"/>
      <c r="M84" s="142"/>
      <c r="N84" s="170">
        <f>I84*I83+J84*J83+K84*K83+L84*L83+M84*M83</f>
        <v>0</v>
      </c>
      <c r="O84" s="144"/>
      <c r="P84" s="145"/>
      <c r="Q84" s="113"/>
      <c r="R84" s="113"/>
      <c r="S84" s="146"/>
      <c r="T84" s="147"/>
      <c r="U84" s="148"/>
      <c r="V84" s="149"/>
      <c r="W84" s="150"/>
      <c r="X84" s="151"/>
      <c r="Y84" s="152"/>
      <c r="Z84" s="151"/>
      <c r="AA84" s="153"/>
      <c r="AB84" s="154"/>
      <c r="AC84" s="149"/>
      <c r="AD84" s="148"/>
      <c r="AE84" s="148"/>
      <c r="AF84" s="155"/>
      <c r="AG84" s="156"/>
      <c r="AH84" s="113"/>
      <c r="AI84" s="157"/>
      <c r="AJ84" s="113"/>
      <c r="AK84" s="113"/>
      <c r="AL84" s="158"/>
      <c r="AM84" s="159"/>
      <c r="AN84" s="160"/>
      <c r="AO84" s="160"/>
      <c r="AP84" s="133"/>
      <c r="AQ84" s="134"/>
      <c r="AR84" s="161"/>
      <c r="AS84" s="161"/>
      <c r="AT84" s="161"/>
      <c r="AU84" s="161"/>
      <c r="AV84" s="162"/>
      <c r="AW84" s="137"/>
      <c r="AX84" s="137"/>
    </row>
    <row r="85" ht="46.5" customHeight="1" spans="1:50" s="97" customFormat="1" x14ac:dyDescent="0.25">
      <c r="A85" s="100"/>
      <c r="B85" s="100"/>
      <c r="C85" s="100"/>
      <c r="D85" s="100"/>
      <c r="E85" s="100"/>
      <c r="F85" s="100"/>
      <c r="G85" s="103"/>
      <c r="H85" s="186"/>
      <c r="I85" s="195"/>
      <c r="J85" s="107"/>
      <c r="K85" s="107"/>
      <c r="L85" s="107"/>
      <c r="M85" s="187"/>
      <c r="N85" s="169">
        <f t="shared" si="27"/>
        <v>0</v>
      </c>
      <c r="O85" s="144">
        <v>1</v>
      </c>
      <c r="P85" s="145"/>
      <c r="Q85" s="113"/>
      <c r="R85" s="113"/>
      <c r="S85" s="113"/>
      <c r="T85" s="146"/>
      <c r="U85" s="148">
        <f t="shared" si="30"/>
        <v>0</v>
      </c>
      <c r="V85" s="149">
        <f t="shared" si="31"/>
        <v>0</v>
      </c>
      <c r="W85" s="189"/>
      <c r="X85" s="199"/>
      <c r="Y85" s="151"/>
      <c r="Z85" s="190"/>
      <c r="AA85" s="153"/>
      <c r="AB85" s="154" t="e">
        <f t="shared" si="32"/>
        <v>#DIV/0!</v>
      </c>
      <c r="AC85" s="149" t="e">
        <f t="shared" si="33"/>
        <v>#DIV/0!</v>
      </c>
      <c r="AD85" s="125"/>
      <c r="AE85" s="148" t="e">
        <f t="shared" si="34"/>
        <v>#DIV/0!</v>
      </c>
      <c r="AF85" s="156"/>
      <c r="AG85" s="156"/>
      <c r="AH85" s="113" t="e">
        <f t="shared" si="35"/>
        <v>#DIV/0!</v>
      </c>
      <c r="AI85" s="157">
        <v>65</v>
      </c>
      <c r="AJ85" s="113" t="e">
        <f t="shared" si="36"/>
        <v>#DIV/0!</v>
      </c>
      <c r="AK85" s="113" t="e">
        <f t="shared" si="37"/>
        <v>#DIV/0!</v>
      </c>
      <c r="AL85" s="158" t="e">
        <f t="shared" si="38"/>
        <v>#DIV/0!</v>
      </c>
      <c r="AM85" s="159"/>
      <c r="AN85" s="160">
        <f t="shared" si="29"/>
        <v>1</v>
      </c>
      <c r="AO85" s="160">
        <f t="shared" si="29"/>
        <v>2</v>
      </c>
      <c r="AP85" s="133"/>
      <c r="AQ85" s="134"/>
      <c r="AR85" s="161"/>
      <c r="AS85" s="161"/>
      <c r="AT85" s="161"/>
      <c r="AU85" s="161"/>
      <c r="AV85" s="162"/>
      <c r="AW85" s="137">
        <f t="shared" si="39"/>
        <v>0</v>
      </c>
      <c r="AX85" s="137">
        <f t="shared" si="40"/>
        <v>0</v>
      </c>
    </row>
    <row r="86" ht="21.95" customHeight="1" spans="1:50" s="97" customFormat="1" x14ac:dyDescent="0.25">
      <c r="A86" s="299" t="s">
        <v>56</v>
      </c>
      <c r="B86" s="300"/>
      <c r="C86" s="300"/>
      <c r="D86" s="300"/>
      <c r="E86" s="300"/>
      <c r="F86" s="300"/>
      <c r="G86" s="300"/>
      <c r="H86" s="301"/>
      <c r="I86" s="297"/>
      <c r="J86" s="107"/>
      <c r="K86" s="142"/>
      <c r="L86" s="142"/>
      <c r="M86" s="142"/>
      <c r="N86" s="170">
        <f>I86*I85+J86*J85+K86*K85+L86*L85+M86*M85</f>
        <v>0</v>
      </c>
      <c r="O86" s="144"/>
      <c r="P86" s="145"/>
      <c r="Q86" s="113"/>
      <c r="R86" s="113"/>
      <c r="S86" s="146"/>
      <c r="T86" s="147"/>
      <c r="U86" s="148"/>
      <c r="V86" s="149"/>
      <c r="W86" s="150"/>
      <c r="X86" s="151"/>
      <c r="Y86" s="152"/>
      <c r="Z86" s="151"/>
      <c r="AA86" s="153"/>
      <c r="AB86" s="154"/>
      <c r="AC86" s="149"/>
      <c r="AD86" s="148"/>
      <c r="AE86" s="148"/>
      <c r="AF86" s="155"/>
      <c r="AG86" s="156"/>
      <c r="AH86" s="113"/>
      <c r="AI86" s="157"/>
      <c r="AJ86" s="113"/>
      <c r="AK86" s="113"/>
      <c r="AL86" s="158"/>
      <c r="AM86" s="159"/>
      <c r="AN86" s="160"/>
      <c r="AO86" s="160"/>
      <c r="AP86" s="133"/>
      <c r="AQ86" s="134"/>
      <c r="AR86" s="161"/>
      <c r="AS86" s="161"/>
      <c r="AT86" s="161"/>
      <c r="AU86" s="161"/>
      <c r="AV86" s="162"/>
      <c r="AW86" s="137"/>
      <c r="AX86" s="137"/>
    </row>
    <row r="87" ht="46.5" customHeight="1" spans="1:50" s="97" customFormat="1" x14ac:dyDescent="0.25">
      <c r="A87" s="100"/>
      <c r="B87" s="100"/>
      <c r="C87" s="100"/>
      <c r="D87" s="100"/>
      <c r="E87" s="100"/>
      <c r="F87" s="100"/>
      <c r="G87" s="103"/>
      <c r="H87" s="186"/>
      <c r="I87" s="195"/>
      <c r="J87" s="107"/>
      <c r="K87" s="107"/>
      <c r="L87" s="107"/>
      <c r="M87" s="187"/>
      <c r="N87" s="169">
        <f t="shared" si="27"/>
        <v>0</v>
      </c>
      <c r="O87" s="144">
        <v>1</v>
      </c>
      <c r="P87" s="145"/>
      <c r="Q87" s="113"/>
      <c r="R87" s="113"/>
      <c r="S87" s="113"/>
      <c r="T87" s="146"/>
      <c r="U87" s="148">
        <f t="shared" si="30"/>
        <v>0</v>
      </c>
      <c r="V87" s="149">
        <f t="shared" si="31"/>
        <v>0</v>
      </c>
      <c r="W87" s="189"/>
      <c r="X87" s="199"/>
      <c r="Y87" s="151"/>
      <c r="Z87" s="190"/>
      <c r="AA87" s="153"/>
      <c r="AB87" s="154" t="e">
        <f t="shared" si="32"/>
        <v>#DIV/0!</v>
      </c>
      <c r="AC87" s="149" t="e">
        <f t="shared" si="33"/>
        <v>#DIV/0!</v>
      </c>
      <c r="AD87" s="125"/>
      <c r="AE87" s="148" t="e">
        <f t="shared" si="34"/>
        <v>#DIV/0!</v>
      </c>
      <c r="AF87" s="156"/>
      <c r="AG87" s="156"/>
      <c r="AH87" s="113" t="e">
        <f t="shared" si="35"/>
        <v>#DIV/0!</v>
      </c>
      <c r="AI87" s="157">
        <v>65</v>
      </c>
      <c r="AJ87" s="113" t="e">
        <f t="shared" si="36"/>
        <v>#DIV/0!</v>
      </c>
      <c r="AK87" s="113" t="e">
        <f t="shared" si="37"/>
        <v>#DIV/0!</v>
      </c>
      <c r="AL87" s="158" t="e">
        <f t="shared" si="38"/>
        <v>#DIV/0!</v>
      </c>
      <c r="AM87" s="159"/>
      <c r="AN87" s="160">
        <f t="shared" si="29"/>
        <v>1</v>
      </c>
      <c r="AO87" s="160">
        <f t="shared" si="29"/>
        <v>2</v>
      </c>
      <c r="AP87" s="133"/>
      <c r="AQ87" s="134"/>
      <c r="AR87" s="161"/>
      <c r="AS87" s="161"/>
      <c r="AT87" s="161"/>
      <c r="AU87" s="161"/>
      <c r="AV87" s="162"/>
      <c r="AW87" s="137">
        <f t="shared" si="39"/>
        <v>0</v>
      </c>
      <c r="AX87" s="137">
        <f t="shared" si="40"/>
        <v>0</v>
      </c>
    </row>
    <row r="88" ht="21.95" customHeight="1" spans="1:50" s="97" customFormat="1" x14ac:dyDescent="0.25">
      <c r="A88" s="299" t="s">
        <v>56</v>
      </c>
      <c r="B88" s="300"/>
      <c r="C88" s="300"/>
      <c r="D88" s="300"/>
      <c r="E88" s="300"/>
      <c r="F88" s="300"/>
      <c r="G88" s="300"/>
      <c r="H88" s="301"/>
      <c r="I88" s="297"/>
      <c r="J88" s="107"/>
      <c r="K88" s="142"/>
      <c r="L88" s="142"/>
      <c r="M88" s="142"/>
      <c r="N88" s="170">
        <f>I88*I87+J88*J87+K88*K87+L88*L87+M88*M87</f>
        <v>0</v>
      </c>
      <c r="O88" s="144"/>
      <c r="P88" s="145"/>
      <c r="Q88" s="113"/>
      <c r="R88" s="113"/>
      <c r="S88" s="146"/>
      <c r="T88" s="147"/>
      <c r="U88" s="148"/>
      <c r="V88" s="149"/>
      <c r="W88" s="150"/>
      <c r="X88" s="151"/>
      <c r="Y88" s="152"/>
      <c r="Z88" s="151"/>
      <c r="AA88" s="153"/>
      <c r="AB88" s="154"/>
      <c r="AC88" s="149"/>
      <c r="AD88" s="148"/>
      <c r="AE88" s="148"/>
      <c r="AF88" s="155"/>
      <c r="AG88" s="156"/>
      <c r="AH88" s="113"/>
      <c r="AI88" s="157"/>
      <c r="AJ88" s="113"/>
      <c r="AK88" s="113"/>
      <c r="AL88" s="158"/>
      <c r="AM88" s="159"/>
      <c r="AN88" s="160"/>
      <c r="AO88" s="160"/>
      <c r="AP88" s="133"/>
      <c r="AQ88" s="134"/>
      <c r="AR88" s="161"/>
      <c r="AS88" s="161"/>
      <c r="AT88" s="161"/>
      <c r="AU88" s="161"/>
      <c r="AV88" s="162"/>
      <c r="AW88" s="137"/>
      <c r="AX88" s="137"/>
    </row>
    <row r="89" ht="46.5" customHeight="1" spans="1:50" s="97" customFormat="1" x14ac:dyDescent="0.25">
      <c r="A89" s="100"/>
      <c r="B89" s="100"/>
      <c r="C89" s="100"/>
      <c r="D89" s="100"/>
      <c r="E89" s="100"/>
      <c r="F89" s="100"/>
      <c r="G89" s="103"/>
      <c r="H89" s="186"/>
      <c r="I89" s="195"/>
      <c r="J89" s="107"/>
      <c r="K89" s="107"/>
      <c r="L89" s="107"/>
      <c r="M89" s="187"/>
      <c r="N89" s="169">
        <f t="shared" si="27"/>
        <v>0</v>
      </c>
      <c r="O89" s="144">
        <v>1</v>
      </c>
      <c r="P89" s="145"/>
      <c r="Q89" s="113"/>
      <c r="R89" s="113"/>
      <c r="S89" s="113"/>
      <c r="T89" s="146"/>
      <c r="U89" s="148">
        <f t="shared" si="30"/>
        <v>0</v>
      </c>
      <c r="V89" s="149">
        <f t="shared" si="31"/>
        <v>0</v>
      </c>
      <c r="W89" s="189"/>
      <c r="X89" s="199"/>
      <c r="Y89" s="151"/>
      <c r="Z89" s="190"/>
      <c r="AA89" s="153"/>
      <c r="AB89" s="154" t="e">
        <f t="shared" si="32"/>
        <v>#DIV/0!</v>
      </c>
      <c r="AC89" s="149" t="e">
        <f t="shared" si="33"/>
        <v>#DIV/0!</v>
      </c>
      <c r="AD89" s="125"/>
      <c r="AE89" s="148" t="e">
        <f t="shared" si="34"/>
        <v>#DIV/0!</v>
      </c>
      <c r="AF89" s="156"/>
      <c r="AG89" s="156"/>
      <c r="AH89" s="113" t="e">
        <f t="shared" si="35"/>
        <v>#DIV/0!</v>
      </c>
      <c r="AI89" s="157">
        <v>65</v>
      </c>
      <c r="AJ89" s="113" t="e">
        <f t="shared" si="36"/>
        <v>#DIV/0!</v>
      </c>
      <c r="AK89" s="113" t="e">
        <f t="shared" si="37"/>
        <v>#DIV/0!</v>
      </c>
      <c r="AL89" s="158" t="e">
        <f t="shared" si="38"/>
        <v>#DIV/0!</v>
      </c>
      <c r="AM89" s="159"/>
      <c r="AN89" s="160">
        <f t="shared" si="29"/>
        <v>1</v>
      </c>
      <c r="AO89" s="160">
        <f t="shared" si="29"/>
        <v>2</v>
      </c>
      <c r="AP89" s="133"/>
      <c r="AQ89" s="134"/>
      <c r="AR89" s="161"/>
      <c r="AS89" s="161"/>
      <c r="AT89" s="161"/>
      <c r="AU89" s="161"/>
      <c r="AV89" s="162"/>
      <c r="AW89" s="137">
        <f t="shared" si="39"/>
        <v>0</v>
      </c>
      <c r="AX89" s="137">
        <f t="shared" si="40"/>
        <v>0</v>
      </c>
    </row>
    <row r="90" ht="21.95" customHeight="1" spans="1:50" s="97" customFormat="1" x14ac:dyDescent="0.25">
      <c r="A90" s="299" t="s">
        <v>56</v>
      </c>
      <c r="B90" s="300"/>
      <c r="C90" s="300"/>
      <c r="D90" s="300"/>
      <c r="E90" s="300"/>
      <c r="F90" s="300"/>
      <c r="G90" s="300"/>
      <c r="H90" s="301"/>
      <c r="I90" s="297"/>
      <c r="J90" s="107"/>
      <c r="K90" s="142"/>
      <c r="L90" s="142"/>
      <c r="M90" s="142"/>
      <c r="N90" s="170">
        <f>I90*I89+J90*J89+K90*K89+L90*L89+M90*M89</f>
        <v>0</v>
      </c>
      <c r="O90" s="144"/>
      <c r="P90" s="145"/>
      <c r="Q90" s="113"/>
      <c r="R90" s="113"/>
      <c r="S90" s="146"/>
      <c r="T90" s="147"/>
      <c r="U90" s="148"/>
      <c r="V90" s="149"/>
      <c r="W90" s="150"/>
      <c r="X90" s="151"/>
      <c r="Y90" s="152"/>
      <c r="Z90" s="151"/>
      <c r="AA90" s="153"/>
      <c r="AB90" s="154"/>
      <c r="AC90" s="149"/>
      <c r="AD90" s="148"/>
      <c r="AE90" s="148"/>
      <c r="AF90" s="155"/>
      <c r="AG90" s="156"/>
      <c r="AH90" s="113"/>
      <c r="AI90" s="157"/>
      <c r="AJ90" s="113"/>
      <c r="AK90" s="113"/>
      <c r="AL90" s="158"/>
      <c r="AM90" s="159"/>
      <c r="AN90" s="160"/>
      <c r="AO90" s="160"/>
      <c r="AP90" s="133"/>
      <c r="AQ90" s="134"/>
      <c r="AR90" s="161"/>
      <c r="AS90" s="161"/>
      <c r="AT90" s="161"/>
      <c r="AU90" s="161"/>
      <c r="AV90" s="162"/>
      <c r="AW90" s="137"/>
      <c r="AX90" s="137"/>
    </row>
    <row r="91" ht="46.5" customHeight="1" spans="1:50" s="97" customFormat="1" x14ac:dyDescent="0.25">
      <c r="A91" s="100"/>
      <c r="B91" s="100"/>
      <c r="C91" s="100"/>
      <c r="D91" s="100"/>
      <c r="E91" s="100"/>
      <c r="F91" s="100"/>
      <c r="G91" s="103"/>
      <c r="H91" s="186"/>
      <c r="I91" s="195"/>
      <c r="J91" s="107"/>
      <c r="K91" s="107"/>
      <c r="L91" s="107"/>
      <c r="M91" s="187"/>
      <c r="N91" s="169">
        <f t="shared" si="27"/>
        <v>0</v>
      </c>
      <c r="O91" s="144">
        <v>1</v>
      </c>
      <c r="P91" s="145"/>
      <c r="Q91" s="113"/>
      <c r="R91" s="113"/>
      <c r="S91" s="113"/>
      <c r="T91" s="146"/>
      <c r="U91" s="148">
        <f t="shared" si="30"/>
        <v>0</v>
      </c>
      <c r="V91" s="149">
        <f t="shared" si="31"/>
        <v>0</v>
      </c>
      <c r="W91" s="189"/>
      <c r="X91" s="199"/>
      <c r="Y91" s="151"/>
      <c r="Z91" s="190"/>
      <c r="AA91" s="153"/>
      <c r="AB91" s="154" t="e">
        <f t="shared" si="32"/>
        <v>#DIV/0!</v>
      </c>
      <c r="AC91" s="149" t="e">
        <f t="shared" si="33"/>
        <v>#DIV/0!</v>
      </c>
      <c r="AD91" s="125"/>
      <c r="AE91" s="148" t="e">
        <f t="shared" si="34"/>
        <v>#DIV/0!</v>
      </c>
      <c r="AF91" s="156"/>
      <c r="AG91" s="156"/>
      <c r="AH91" s="113" t="e">
        <f t="shared" si="35"/>
        <v>#DIV/0!</v>
      </c>
      <c r="AI91" s="157">
        <v>65</v>
      </c>
      <c r="AJ91" s="113" t="e">
        <f t="shared" si="36"/>
        <v>#DIV/0!</v>
      </c>
      <c r="AK91" s="113" t="e">
        <f t="shared" si="37"/>
        <v>#DIV/0!</v>
      </c>
      <c r="AL91" s="158" t="e">
        <f t="shared" si="38"/>
        <v>#DIV/0!</v>
      </c>
      <c r="AM91" s="159"/>
      <c r="AN91" s="160">
        <f t="shared" ref="AN91:AO109" si="41">100%+AM91</f>
        <v>1</v>
      </c>
      <c r="AO91" s="160">
        <f t="shared" si="41"/>
        <v>2</v>
      </c>
      <c r="AP91" s="133"/>
      <c r="AQ91" s="134"/>
      <c r="AR91" s="161"/>
      <c r="AS91" s="161"/>
      <c r="AT91" s="161"/>
      <c r="AU91" s="161"/>
      <c r="AV91" s="162"/>
      <c r="AW91" s="137">
        <f t="shared" si="39"/>
        <v>0</v>
      </c>
      <c r="AX91" s="137">
        <f t="shared" si="40"/>
        <v>0</v>
      </c>
    </row>
    <row r="92" ht="21.95" customHeight="1" spans="1:50" s="97" customFormat="1" x14ac:dyDescent="0.25">
      <c r="A92" s="299" t="s">
        <v>56</v>
      </c>
      <c r="B92" s="300"/>
      <c r="C92" s="300"/>
      <c r="D92" s="300"/>
      <c r="E92" s="300"/>
      <c r="F92" s="300"/>
      <c r="G92" s="300"/>
      <c r="H92" s="301"/>
      <c r="I92" s="297"/>
      <c r="J92" s="107"/>
      <c r="K92" s="142"/>
      <c r="L92" s="142"/>
      <c r="M92" s="142"/>
      <c r="N92" s="170">
        <f>I92*I91+J92*J91+K92*K91+L92*L91+M92*M91</f>
        <v>0</v>
      </c>
      <c r="O92" s="144"/>
      <c r="P92" s="145"/>
      <c r="Q92" s="113"/>
      <c r="R92" s="113"/>
      <c r="S92" s="146"/>
      <c r="T92" s="147"/>
      <c r="U92" s="148"/>
      <c r="V92" s="149"/>
      <c r="W92" s="150"/>
      <c r="X92" s="151"/>
      <c r="Y92" s="152"/>
      <c r="Z92" s="151"/>
      <c r="AA92" s="153"/>
      <c r="AB92" s="154"/>
      <c r="AC92" s="149"/>
      <c r="AD92" s="148"/>
      <c r="AE92" s="148"/>
      <c r="AF92" s="155"/>
      <c r="AG92" s="156"/>
      <c r="AH92" s="113"/>
      <c r="AI92" s="157"/>
      <c r="AJ92" s="113"/>
      <c r="AK92" s="113"/>
      <c r="AL92" s="158"/>
      <c r="AM92" s="159"/>
      <c r="AN92" s="160"/>
      <c r="AO92" s="160"/>
      <c r="AP92" s="133"/>
      <c r="AQ92" s="134"/>
      <c r="AR92" s="161"/>
      <c r="AS92" s="161"/>
      <c r="AT92" s="161"/>
      <c r="AU92" s="161"/>
      <c r="AV92" s="162"/>
      <c r="AW92" s="137"/>
      <c r="AX92" s="137"/>
    </row>
    <row r="93" ht="46.5" customHeight="1" spans="1:50" s="97" customFormat="1" x14ac:dyDescent="0.25">
      <c r="A93" s="100"/>
      <c r="B93" s="100"/>
      <c r="C93" s="100"/>
      <c r="D93" s="100"/>
      <c r="E93" s="100"/>
      <c r="F93" s="100"/>
      <c r="G93" s="103"/>
      <c r="H93" s="186"/>
      <c r="I93" s="195"/>
      <c r="J93" s="107"/>
      <c r="K93" s="107"/>
      <c r="L93" s="107"/>
      <c r="M93" s="187"/>
      <c r="N93" s="169">
        <f t="shared" si="27"/>
        <v>0</v>
      </c>
      <c r="O93" s="144">
        <v>1</v>
      </c>
      <c r="P93" s="145"/>
      <c r="Q93" s="113"/>
      <c r="R93" s="113"/>
      <c r="S93" s="113"/>
      <c r="T93" s="146"/>
      <c r="U93" s="148">
        <f t="shared" si="30"/>
        <v>0</v>
      </c>
      <c r="V93" s="149">
        <f t="shared" si="31"/>
        <v>0</v>
      </c>
      <c r="W93" s="189"/>
      <c r="X93" s="199"/>
      <c r="Y93" s="151"/>
      <c r="Z93" s="190"/>
      <c r="AA93" s="153"/>
      <c r="AB93" s="154" t="e">
        <f t="shared" si="32"/>
        <v>#DIV/0!</v>
      </c>
      <c r="AC93" s="149" t="e">
        <f t="shared" si="33"/>
        <v>#DIV/0!</v>
      </c>
      <c r="AD93" s="125"/>
      <c r="AE93" s="148" t="e">
        <f t="shared" si="34"/>
        <v>#DIV/0!</v>
      </c>
      <c r="AF93" s="156"/>
      <c r="AG93" s="156"/>
      <c r="AH93" s="113" t="e">
        <f t="shared" si="35"/>
        <v>#DIV/0!</v>
      </c>
      <c r="AI93" s="157">
        <v>65</v>
      </c>
      <c r="AJ93" s="113" t="e">
        <f t="shared" si="36"/>
        <v>#DIV/0!</v>
      </c>
      <c r="AK93" s="113" t="e">
        <f t="shared" si="37"/>
        <v>#DIV/0!</v>
      </c>
      <c r="AL93" s="158" t="e">
        <f t="shared" si="38"/>
        <v>#DIV/0!</v>
      </c>
      <c r="AM93" s="159"/>
      <c r="AN93" s="160">
        <f t="shared" si="41"/>
        <v>1</v>
      </c>
      <c r="AO93" s="160">
        <f t="shared" si="41"/>
        <v>2</v>
      </c>
      <c r="AP93" s="133"/>
      <c r="AQ93" s="134"/>
      <c r="AR93" s="161"/>
      <c r="AS93" s="161"/>
      <c r="AT93" s="161"/>
      <c r="AU93" s="161"/>
      <c r="AV93" s="162"/>
      <c r="AW93" s="137">
        <f t="shared" si="39"/>
        <v>0</v>
      </c>
      <c r="AX93" s="137">
        <f t="shared" si="40"/>
        <v>0</v>
      </c>
    </row>
    <row r="94" ht="21.95" customHeight="1" spans="1:50" s="97" customFormat="1" x14ac:dyDescent="0.25">
      <c r="A94" s="299" t="s">
        <v>56</v>
      </c>
      <c r="B94" s="300"/>
      <c r="C94" s="300"/>
      <c r="D94" s="300"/>
      <c r="E94" s="300"/>
      <c r="F94" s="300"/>
      <c r="G94" s="300"/>
      <c r="H94" s="301"/>
      <c r="I94" s="297"/>
      <c r="J94" s="107"/>
      <c r="K94" s="142"/>
      <c r="L94" s="142"/>
      <c r="M94" s="142"/>
      <c r="N94" s="170">
        <f>I94*I93+J94*J93+K94*K93+L94*L93+M94*M93</f>
        <v>0</v>
      </c>
      <c r="O94" s="144"/>
      <c r="P94" s="145"/>
      <c r="Q94" s="113"/>
      <c r="R94" s="113"/>
      <c r="S94" s="146"/>
      <c r="T94" s="147"/>
      <c r="U94" s="148"/>
      <c r="V94" s="149"/>
      <c r="W94" s="150"/>
      <c r="X94" s="151"/>
      <c r="Y94" s="152"/>
      <c r="Z94" s="151"/>
      <c r="AA94" s="153"/>
      <c r="AB94" s="154"/>
      <c r="AC94" s="149"/>
      <c r="AD94" s="148"/>
      <c r="AE94" s="148"/>
      <c r="AF94" s="155"/>
      <c r="AG94" s="156"/>
      <c r="AH94" s="113"/>
      <c r="AI94" s="157"/>
      <c r="AJ94" s="113"/>
      <c r="AK94" s="113"/>
      <c r="AL94" s="158"/>
      <c r="AM94" s="159"/>
      <c r="AN94" s="160"/>
      <c r="AO94" s="160"/>
      <c r="AP94" s="133"/>
      <c r="AQ94" s="134"/>
      <c r="AR94" s="161"/>
      <c r="AS94" s="161"/>
      <c r="AT94" s="161"/>
      <c r="AU94" s="161"/>
      <c r="AV94" s="162"/>
      <c r="AW94" s="137"/>
      <c r="AX94" s="137"/>
    </row>
    <row r="95" ht="46.5" customHeight="1" spans="1:50" s="97" customFormat="1" x14ac:dyDescent="0.25">
      <c r="A95" s="100"/>
      <c r="B95" s="100"/>
      <c r="C95" s="100"/>
      <c r="D95" s="100"/>
      <c r="E95" s="100"/>
      <c r="F95" s="100"/>
      <c r="G95" s="103"/>
      <c r="H95" s="186"/>
      <c r="I95" s="195"/>
      <c r="J95" s="107"/>
      <c r="K95" s="107"/>
      <c r="L95" s="107"/>
      <c r="M95" s="187"/>
      <c r="N95" s="169">
        <f t="shared" si="27"/>
        <v>0</v>
      </c>
      <c r="O95" s="144">
        <v>1</v>
      </c>
      <c r="P95" s="145"/>
      <c r="Q95" s="113"/>
      <c r="R95" s="113"/>
      <c r="S95" s="113"/>
      <c r="T95" s="146"/>
      <c r="U95" s="148">
        <f t="shared" si="30"/>
        <v>0</v>
      </c>
      <c r="V95" s="149">
        <f t="shared" si="31"/>
        <v>0</v>
      </c>
      <c r="W95" s="189"/>
      <c r="X95" s="199"/>
      <c r="Y95" s="151"/>
      <c r="Z95" s="190"/>
      <c r="AA95" s="153"/>
      <c r="AB95" s="154" t="e">
        <f t="shared" si="32"/>
        <v>#DIV/0!</v>
      </c>
      <c r="AC95" s="149" t="e">
        <f t="shared" si="33"/>
        <v>#DIV/0!</v>
      </c>
      <c r="AD95" s="125"/>
      <c r="AE95" s="148" t="e">
        <f t="shared" si="34"/>
        <v>#DIV/0!</v>
      </c>
      <c r="AF95" s="156"/>
      <c r="AG95" s="156"/>
      <c r="AH95" s="113" t="e">
        <f t="shared" si="35"/>
        <v>#DIV/0!</v>
      </c>
      <c r="AI95" s="157">
        <v>65</v>
      </c>
      <c r="AJ95" s="113" t="e">
        <f t="shared" si="36"/>
        <v>#DIV/0!</v>
      </c>
      <c r="AK95" s="113" t="e">
        <f t="shared" si="37"/>
        <v>#DIV/0!</v>
      </c>
      <c r="AL95" s="158" t="e">
        <f t="shared" si="38"/>
        <v>#DIV/0!</v>
      </c>
      <c r="AM95" s="159"/>
      <c r="AN95" s="160">
        <f t="shared" si="41"/>
        <v>1</v>
      </c>
      <c r="AO95" s="160">
        <f t="shared" si="41"/>
        <v>2</v>
      </c>
      <c r="AP95" s="133"/>
      <c r="AQ95" s="134"/>
      <c r="AR95" s="161"/>
      <c r="AS95" s="161"/>
      <c r="AT95" s="161"/>
      <c r="AU95" s="161"/>
      <c r="AV95" s="162"/>
      <c r="AW95" s="137">
        <f t="shared" si="39"/>
        <v>0</v>
      </c>
      <c r="AX95" s="137">
        <f t="shared" si="40"/>
        <v>0</v>
      </c>
    </row>
    <row r="96" ht="21.95" customHeight="1" spans="1:50" s="97" customFormat="1" x14ac:dyDescent="0.25">
      <c r="A96" s="299" t="s">
        <v>56</v>
      </c>
      <c r="B96" s="300"/>
      <c r="C96" s="300"/>
      <c r="D96" s="300"/>
      <c r="E96" s="300"/>
      <c r="F96" s="300"/>
      <c r="G96" s="300"/>
      <c r="H96" s="301"/>
      <c r="I96" s="297"/>
      <c r="J96" s="107"/>
      <c r="K96" s="142"/>
      <c r="L96" s="142"/>
      <c r="M96" s="142"/>
      <c r="N96" s="170">
        <f>I96*I95+J96*J95+K96*K95+L96*L95+M96*M95</f>
        <v>0</v>
      </c>
      <c r="O96" s="144"/>
      <c r="P96" s="145"/>
      <c r="Q96" s="113"/>
      <c r="R96" s="113"/>
      <c r="S96" s="146"/>
      <c r="T96" s="147"/>
      <c r="U96" s="148"/>
      <c r="V96" s="149"/>
      <c r="W96" s="150"/>
      <c r="X96" s="151"/>
      <c r="Y96" s="152"/>
      <c r="Z96" s="151"/>
      <c r="AA96" s="153"/>
      <c r="AB96" s="154"/>
      <c r="AC96" s="149"/>
      <c r="AD96" s="148"/>
      <c r="AE96" s="148"/>
      <c r="AF96" s="155"/>
      <c r="AG96" s="156"/>
      <c r="AH96" s="113"/>
      <c r="AI96" s="157"/>
      <c r="AJ96" s="113"/>
      <c r="AK96" s="113"/>
      <c r="AL96" s="158"/>
      <c r="AM96" s="159"/>
      <c r="AN96" s="160"/>
      <c r="AO96" s="160"/>
      <c r="AP96" s="133"/>
      <c r="AQ96" s="134"/>
      <c r="AR96" s="161"/>
      <c r="AS96" s="161"/>
      <c r="AT96" s="161"/>
      <c r="AU96" s="161"/>
      <c r="AV96" s="162"/>
      <c r="AW96" s="137"/>
      <c r="AX96" s="137"/>
    </row>
    <row r="97" ht="46.5" customHeight="1" spans="1:50" s="97" customFormat="1" x14ac:dyDescent="0.25">
      <c r="A97" s="100"/>
      <c r="B97" s="100"/>
      <c r="C97" s="100"/>
      <c r="D97" s="100"/>
      <c r="E97" s="100"/>
      <c r="F97" s="100"/>
      <c r="G97" s="103"/>
      <c r="H97" s="186"/>
      <c r="I97" s="195"/>
      <c r="J97" s="107"/>
      <c r="K97" s="107"/>
      <c r="L97" s="107"/>
      <c r="M97" s="187"/>
      <c r="N97" s="169">
        <f t="shared" si="27"/>
        <v>0</v>
      </c>
      <c r="O97" s="144">
        <v>1</v>
      </c>
      <c r="P97" s="145"/>
      <c r="Q97" s="113"/>
      <c r="R97" s="113"/>
      <c r="S97" s="113"/>
      <c r="T97" s="146"/>
      <c r="U97" s="148">
        <f t="shared" si="30"/>
        <v>0</v>
      </c>
      <c r="V97" s="149">
        <f t="shared" si="31"/>
        <v>0</v>
      </c>
      <c r="W97" s="189"/>
      <c r="X97" s="199"/>
      <c r="Y97" s="151"/>
      <c r="Z97" s="190"/>
      <c r="AA97" s="153"/>
      <c r="AB97" s="154" t="e">
        <f t="shared" si="32"/>
        <v>#DIV/0!</v>
      </c>
      <c r="AC97" s="149" t="e">
        <f t="shared" si="33"/>
        <v>#DIV/0!</v>
      </c>
      <c r="AD97" s="125"/>
      <c r="AE97" s="148" t="e">
        <f t="shared" si="34"/>
        <v>#DIV/0!</v>
      </c>
      <c r="AF97" s="156"/>
      <c r="AG97" s="156"/>
      <c r="AH97" s="113" t="e">
        <f t="shared" si="35"/>
        <v>#DIV/0!</v>
      </c>
      <c r="AI97" s="157">
        <v>65</v>
      </c>
      <c r="AJ97" s="113" t="e">
        <f t="shared" si="36"/>
        <v>#DIV/0!</v>
      </c>
      <c r="AK97" s="113" t="e">
        <f t="shared" si="37"/>
        <v>#DIV/0!</v>
      </c>
      <c r="AL97" s="158" t="e">
        <f t="shared" si="38"/>
        <v>#DIV/0!</v>
      </c>
      <c r="AM97" s="159"/>
      <c r="AN97" s="160">
        <f t="shared" si="41"/>
        <v>1</v>
      </c>
      <c r="AO97" s="160">
        <f t="shared" si="41"/>
        <v>2</v>
      </c>
      <c r="AP97" s="133"/>
      <c r="AQ97" s="134"/>
      <c r="AR97" s="161"/>
      <c r="AS97" s="161"/>
      <c r="AT97" s="161"/>
      <c r="AU97" s="161"/>
      <c r="AV97" s="162"/>
      <c r="AW97" s="137">
        <f t="shared" si="39"/>
        <v>0</v>
      </c>
      <c r="AX97" s="137">
        <f t="shared" si="40"/>
        <v>0</v>
      </c>
    </row>
    <row r="98" ht="21.95" customHeight="1" spans="1:50" s="97" customFormat="1" x14ac:dyDescent="0.25">
      <c r="A98" s="299" t="s">
        <v>56</v>
      </c>
      <c r="B98" s="300"/>
      <c r="C98" s="300"/>
      <c r="D98" s="300"/>
      <c r="E98" s="300"/>
      <c r="F98" s="300"/>
      <c r="G98" s="300"/>
      <c r="H98" s="301"/>
      <c r="I98" s="297"/>
      <c r="J98" s="107"/>
      <c r="K98" s="142"/>
      <c r="L98" s="142"/>
      <c r="M98" s="142"/>
      <c r="N98" s="170">
        <f>I98*I97+J98*J97+K98*K97+L98*L97+M98*M97</f>
        <v>0</v>
      </c>
      <c r="O98" s="144"/>
      <c r="P98" s="145"/>
      <c r="Q98" s="113"/>
      <c r="R98" s="113"/>
      <c r="S98" s="146"/>
      <c r="T98" s="147"/>
      <c r="U98" s="148"/>
      <c r="V98" s="149"/>
      <c r="W98" s="150"/>
      <c r="X98" s="151"/>
      <c r="Y98" s="152"/>
      <c r="Z98" s="151"/>
      <c r="AA98" s="153"/>
      <c r="AB98" s="154"/>
      <c r="AC98" s="149"/>
      <c r="AD98" s="148"/>
      <c r="AE98" s="148"/>
      <c r="AF98" s="155"/>
      <c r="AG98" s="156"/>
      <c r="AH98" s="113"/>
      <c r="AI98" s="157"/>
      <c r="AJ98" s="113"/>
      <c r="AK98" s="113"/>
      <c r="AL98" s="158"/>
      <c r="AM98" s="159"/>
      <c r="AN98" s="160"/>
      <c r="AO98" s="160"/>
      <c r="AP98" s="133"/>
      <c r="AQ98" s="134"/>
      <c r="AR98" s="161"/>
      <c r="AS98" s="161"/>
      <c r="AT98" s="161"/>
      <c r="AU98" s="161"/>
      <c r="AV98" s="162"/>
      <c r="AW98" s="137"/>
      <c r="AX98" s="137"/>
    </row>
    <row r="99" ht="46.5" customHeight="1" spans="1:50" s="97" customFormat="1" x14ac:dyDescent="0.25">
      <c r="A99" s="100"/>
      <c r="B99" s="100"/>
      <c r="C99" s="100"/>
      <c r="D99" s="100"/>
      <c r="E99" s="100"/>
      <c r="F99" s="100"/>
      <c r="G99" s="103"/>
      <c r="H99" s="186"/>
      <c r="I99" s="195"/>
      <c r="J99" s="107"/>
      <c r="K99" s="107"/>
      <c r="L99" s="107"/>
      <c r="M99" s="187"/>
      <c r="N99" s="169">
        <f t="shared" si="27"/>
        <v>0</v>
      </c>
      <c r="O99" s="144">
        <v>1</v>
      </c>
      <c r="P99" s="145"/>
      <c r="Q99" s="113"/>
      <c r="R99" s="113"/>
      <c r="S99" s="113"/>
      <c r="T99" s="146"/>
      <c r="U99" s="148">
        <f t="shared" si="30"/>
        <v>0</v>
      </c>
      <c r="V99" s="149">
        <f t="shared" si="31"/>
        <v>0</v>
      </c>
      <c r="W99" s="189"/>
      <c r="X99" s="199"/>
      <c r="Y99" s="151"/>
      <c r="Z99" s="190"/>
      <c r="AA99" s="153"/>
      <c r="AB99" s="154" t="e">
        <f t="shared" si="32"/>
        <v>#DIV/0!</v>
      </c>
      <c r="AC99" s="149" t="e">
        <f t="shared" si="33"/>
        <v>#DIV/0!</v>
      </c>
      <c r="AD99" s="125"/>
      <c r="AE99" s="148" t="e">
        <f t="shared" si="34"/>
        <v>#DIV/0!</v>
      </c>
      <c r="AF99" s="156"/>
      <c r="AG99" s="156"/>
      <c r="AH99" s="113" t="e">
        <f t="shared" si="35"/>
        <v>#DIV/0!</v>
      </c>
      <c r="AI99" s="157">
        <v>65</v>
      </c>
      <c r="AJ99" s="113" t="e">
        <f t="shared" si="36"/>
        <v>#DIV/0!</v>
      </c>
      <c r="AK99" s="113" t="e">
        <f t="shared" si="37"/>
        <v>#DIV/0!</v>
      </c>
      <c r="AL99" s="158" t="e">
        <f t="shared" si="38"/>
        <v>#DIV/0!</v>
      </c>
      <c r="AM99" s="159"/>
      <c r="AN99" s="160">
        <f t="shared" si="41"/>
        <v>1</v>
      </c>
      <c r="AO99" s="160">
        <f t="shared" si="41"/>
        <v>2</v>
      </c>
      <c r="AP99" s="133"/>
      <c r="AQ99" s="134"/>
      <c r="AR99" s="161"/>
      <c r="AS99" s="161"/>
      <c r="AT99" s="161"/>
      <c r="AU99" s="161"/>
      <c r="AV99" s="162"/>
      <c r="AW99" s="137">
        <f t="shared" si="39"/>
        <v>0</v>
      </c>
      <c r="AX99" s="137">
        <f t="shared" si="40"/>
        <v>0</v>
      </c>
    </row>
    <row r="100" ht="21.95" customHeight="1" spans="1:50" s="97" customFormat="1" x14ac:dyDescent="0.25">
      <c r="A100" s="299" t="s">
        <v>56</v>
      </c>
      <c r="B100" s="300"/>
      <c r="C100" s="300"/>
      <c r="D100" s="300"/>
      <c r="E100" s="300"/>
      <c r="F100" s="300"/>
      <c r="G100" s="300"/>
      <c r="H100" s="301"/>
      <c r="I100" s="297"/>
      <c r="J100" s="107"/>
      <c r="K100" s="142"/>
      <c r="L100" s="142"/>
      <c r="M100" s="142"/>
      <c r="N100" s="170">
        <f>I100*I99+J100*J99+K100*K99+L100*L99+M100*M99</f>
        <v>0</v>
      </c>
      <c r="O100" s="144"/>
      <c r="P100" s="145"/>
      <c r="Q100" s="113"/>
      <c r="R100" s="113"/>
      <c r="S100" s="146"/>
      <c r="T100" s="147"/>
      <c r="U100" s="148"/>
      <c r="V100" s="149"/>
      <c r="W100" s="150"/>
      <c r="X100" s="151"/>
      <c r="Y100" s="152"/>
      <c r="Z100" s="151"/>
      <c r="AA100" s="153"/>
      <c r="AB100" s="154"/>
      <c r="AC100" s="149"/>
      <c r="AD100" s="148"/>
      <c r="AE100" s="148"/>
      <c r="AF100" s="155"/>
      <c r="AG100" s="156"/>
      <c r="AH100" s="113"/>
      <c r="AI100" s="157"/>
      <c r="AJ100" s="113"/>
      <c r="AK100" s="113"/>
      <c r="AL100" s="158"/>
      <c r="AM100" s="159"/>
      <c r="AN100" s="160"/>
      <c r="AO100" s="160"/>
      <c r="AP100" s="133"/>
      <c r="AQ100" s="134"/>
      <c r="AR100" s="161"/>
      <c r="AS100" s="161"/>
      <c r="AT100" s="161"/>
      <c r="AU100" s="161"/>
      <c r="AV100" s="162"/>
      <c r="AW100" s="137"/>
      <c r="AX100" s="137"/>
    </row>
    <row r="101" ht="46.5" customHeight="1" spans="1:50" s="97" customFormat="1" x14ac:dyDescent="0.25">
      <c r="A101" s="100"/>
      <c r="B101" s="100"/>
      <c r="C101" s="100"/>
      <c r="D101" s="100"/>
      <c r="E101" s="100"/>
      <c r="F101" s="100"/>
      <c r="G101" s="103"/>
      <c r="H101" s="186"/>
      <c r="I101" s="195"/>
      <c r="J101" s="107"/>
      <c r="K101" s="107"/>
      <c r="L101" s="107"/>
      <c r="M101" s="187"/>
      <c r="N101" s="169">
        <f t="shared" si="27"/>
        <v>0</v>
      </c>
      <c r="O101" s="144">
        <v>1</v>
      </c>
      <c r="P101" s="145"/>
      <c r="Q101" s="113"/>
      <c r="R101" s="113"/>
      <c r="S101" s="113"/>
      <c r="T101" s="146"/>
      <c r="U101" s="148">
        <f t="shared" si="30"/>
        <v>0</v>
      </c>
      <c r="V101" s="149">
        <f t="shared" si="31"/>
        <v>0</v>
      </c>
      <c r="W101" s="189"/>
      <c r="X101" s="199"/>
      <c r="Y101" s="151"/>
      <c r="Z101" s="190"/>
      <c r="AA101" s="153"/>
      <c r="AB101" s="154" t="e">
        <f t="shared" si="32"/>
        <v>#DIV/0!</v>
      </c>
      <c r="AC101" s="149" t="e">
        <f t="shared" si="33"/>
        <v>#DIV/0!</v>
      </c>
      <c r="AD101" s="125"/>
      <c r="AE101" s="148" t="e">
        <f t="shared" si="34"/>
        <v>#DIV/0!</v>
      </c>
      <c r="AF101" s="156"/>
      <c r="AG101" s="156"/>
      <c r="AH101" s="113" t="e">
        <f t="shared" si="35"/>
        <v>#DIV/0!</v>
      </c>
      <c r="AI101" s="157">
        <v>65</v>
      </c>
      <c r="AJ101" s="113" t="e">
        <f t="shared" si="36"/>
        <v>#DIV/0!</v>
      </c>
      <c r="AK101" s="113" t="e">
        <f t="shared" si="37"/>
        <v>#DIV/0!</v>
      </c>
      <c r="AL101" s="158" t="e">
        <f t="shared" si="38"/>
        <v>#DIV/0!</v>
      </c>
      <c r="AM101" s="159"/>
      <c r="AN101" s="160">
        <f t="shared" si="41"/>
        <v>1</v>
      </c>
      <c r="AO101" s="160">
        <f t="shared" si="41"/>
        <v>2</v>
      </c>
      <c r="AP101" s="133"/>
      <c r="AQ101" s="134"/>
      <c r="AR101" s="161"/>
      <c r="AS101" s="161"/>
      <c r="AT101" s="161"/>
      <c r="AU101" s="161"/>
      <c r="AV101" s="162"/>
      <c r="AW101" s="137">
        <f t="shared" si="39"/>
        <v>0</v>
      </c>
      <c r="AX101" s="137">
        <f t="shared" si="40"/>
        <v>0</v>
      </c>
    </row>
    <row r="102" ht="21.95" customHeight="1" spans="1:50" s="97" customFormat="1" x14ac:dyDescent="0.25">
      <c r="A102" s="299" t="s">
        <v>56</v>
      </c>
      <c r="B102" s="300"/>
      <c r="C102" s="300"/>
      <c r="D102" s="300"/>
      <c r="E102" s="300"/>
      <c r="F102" s="300"/>
      <c r="G102" s="300"/>
      <c r="H102" s="301"/>
      <c r="I102" s="297"/>
      <c r="J102" s="107"/>
      <c r="K102" s="142"/>
      <c r="L102" s="142"/>
      <c r="M102" s="142"/>
      <c r="N102" s="170">
        <f>I102*I101+J102*J101+K102*K101+L102*L101+M102*M101</f>
        <v>0</v>
      </c>
      <c r="O102" s="144"/>
      <c r="P102" s="145"/>
      <c r="Q102" s="113"/>
      <c r="R102" s="113"/>
      <c r="S102" s="146"/>
      <c r="T102" s="147"/>
      <c r="U102" s="148"/>
      <c r="V102" s="149"/>
      <c r="W102" s="150"/>
      <c r="X102" s="151"/>
      <c r="Y102" s="152"/>
      <c r="Z102" s="151"/>
      <c r="AA102" s="153"/>
      <c r="AB102" s="154"/>
      <c r="AC102" s="149"/>
      <c r="AD102" s="148"/>
      <c r="AE102" s="148"/>
      <c r="AF102" s="155"/>
      <c r="AG102" s="156"/>
      <c r="AH102" s="113"/>
      <c r="AI102" s="157"/>
      <c r="AJ102" s="113"/>
      <c r="AK102" s="113"/>
      <c r="AL102" s="158"/>
      <c r="AM102" s="159"/>
      <c r="AN102" s="160"/>
      <c r="AO102" s="160"/>
      <c r="AP102" s="133"/>
      <c r="AQ102" s="134"/>
      <c r="AR102" s="161"/>
      <c r="AS102" s="161"/>
      <c r="AT102" s="161"/>
      <c r="AU102" s="161"/>
      <c r="AV102" s="162"/>
      <c r="AW102" s="137"/>
      <c r="AX102" s="137"/>
    </row>
    <row r="103" ht="46.5" customHeight="1" spans="1:50" s="97" customFormat="1" x14ac:dyDescent="0.25">
      <c r="A103" s="100"/>
      <c r="B103" s="100"/>
      <c r="C103" s="100"/>
      <c r="D103" s="100"/>
      <c r="E103" s="100"/>
      <c r="F103" s="100"/>
      <c r="G103" s="103"/>
      <c r="H103" s="186"/>
      <c r="I103" s="195"/>
      <c r="J103" s="107"/>
      <c r="K103" s="107"/>
      <c r="L103" s="107"/>
      <c r="M103" s="187"/>
      <c r="N103" s="169">
        <f t="shared" si="27"/>
        <v>0</v>
      </c>
      <c r="O103" s="144">
        <v>1</v>
      </c>
      <c r="P103" s="145"/>
      <c r="Q103" s="113"/>
      <c r="R103" s="113"/>
      <c r="S103" s="113"/>
      <c r="T103" s="146"/>
      <c r="U103" s="148">
        <f t="shared" si="30"/>
        <v>0</v>
      </c>
      <c r="V103" s="149">
        <f t="shared" si="31"/>
        <v>0</v>
      </c>
      <c r="W103" s="189"/>
      <c r="X103" s="199"/>
      <c r="Y103" s="151"/>
      <c r="Z103" s="190"/>
      <c r="AA103" s="153"/>
      <c r="AB103" s="154" t="e">
        <f t="shared" si="32"/>
        <v>#DIV/0!</v>
      </c>
      <c r="AC103" s="149" t="e">
        <f t="shared" si="33"/>
        <v>#DIV/0!</v>
      </c>
      <c r="AD103" s="125"/>
      <c r="AE103" s="148" t="e">
        <f t="shared" si="34"/>
        <v>#DIV/0!</v>
      </c>
      <c r="AF103" s="156"/>
      <c r="AG103" s="156"/>
      <c r="AH103" s="113" t="e">
        <f t="shared" si="35"/>
        <v>#DIV/0!</v>
      </c>
      <c r="AI103" s="157">
        <v>65</v>
      </c>
      <c r="AJ103" s="113" t="e">
        <f t="shared" si="36"/>
        <v>#DIV/0!</v>
      </c>
      <c r="AK103" s="113" t="e">
        <f t="shared" si="37"/>
        <v>#DIV/0!</v>
      </c>
      <c r="AL103" s="158" t="e">
        <f t="shared" si="38"/>
        <v>#DIV/0!</v>
      </c>
      <c r="AM103" s="159"/>
      <c r="AN103" s="160">
        <f t="shared" si="41"/>
        <v>1</v>
      </c>
      <c r="AO103" s="160">
        <f t="shared" si="41"/>
        <v>2</v>
      </c>
      <c r="AP103" s="133"/>
      <c r="AQ103" s="134"/>
      <c r="AR103" s="161"/>
      <c r="AS103" s="161"/>
      <c r="AT103" s="161"/>
      <c r="AU103" s="161"/>
      <c r="AV103" s="162"/>
      <c r="AW103" s="137">
        <f t="shared" si="39"/>
        <v>0</v>
      </c>
      <c r="AX103" s="137">
        <f t="shared" si="40"/>
        <v>0</v>
      </c>
    </row>
    <row r="104" ht="21.95" customHeight="1" spans="1:50" s="97" customFormat="1" x14ac:dyDescent="0.25">
      <c r="A104" s="299" t="s">
        <v>56</v>
      </c>
      <c r="B104" s="300"/>
      <c r="C104" s="300"/>
      <c r="D104" s="300"/>
      <c r="E104" s="300"/>
      <c r="F104" s="300"/>
      <c r="G104" s="300"/>
      <c r="H104" s="301"/>
      <c r="I104" s="297"/>
      <c r="J104" s="107"/>
      <c r="K104" s="142"/>
      <c r="L104" s="142"/>
      <c r="M104" s="142"/>
      <c r="N104" s="170">
        <f>I104*I103+J104*J103+K104*K103+L104*L103+M104*M103</f>
        <v>0</v>
      </c>
      <c r="O104" s="144"/>
      <c r="P104" s="145"/>
      <c r="Q104" s="113"/>
      <c r="R104" s="113"/>
      <c r="S104" s="146"/>
      <c r="T104" s="147"/>
      <c r="U104" s="148"/>
      <c r="V104" s="149"/>
      <c r="W104" s="150"/>
      <c r="X104" s="151"/>
      <c r="Y104" s="152"/>
      <c r="Z104" s="151"/>
      <c r="AA104" s="153"/>
      <c r="AB104" s="154"/>
      <c r="AC104" s="149"/>
      <c r="AD104" s="148"/>
      <c r="AE104" s="148"/>
      <c r="AF104" s="155"/>
      <c r="AG104" s="156"/>
      <c r="AH104" s="113"/>
      <c r="AI104" s="157"/>
      <c r="AJ104" s="113"/>
      <c r="AK104" s="113"/>
      <c r="AL104" s="158"/>
      <c r="AM104" s="159"/>
      <c r="AN104" s="160"/>
      <c r="AO104" s="160"/>
      <c r="AP104" s="133"/>
      <c r="AQ104" s="134"/>
      <c r="AR104" s="161"/>
      <c r="AS104" s="161"/>
      <c r="AT104" s="161"/>
      <c r="AU104" s="161"/>
      <c r="AV104" s="162"/>
      <c r="AW104" s="137"/>
      <c r="AX104" s="137"/>
    </row>
    <row r="105" ht="46.5" customHeight="1" spans="1:50" s="97" customFormat="1" x14ac:dyDescent="0.25">
      <c r="A105" s="100"/>
      <c r="B105" s="100"/>
      <c r="C105" s="100"/>
      <c r="D105" s="100"/>
      <c r="E105" s="100"/>
      <c r="F105" s="100"/>
      <c r="G105" s="103"/>
      <c r="H105" s="186"/>
      <c r="I105" s="195"/>
      <c r="J105" s="107"/>
      <c r="K105" s="107"/>
      <c r="L105" s="107"/>
      <c r="M105" s="187"/>
      <c r="N105" s="169">
        <f t="shared" si="27"/>
        <v>0</v>
      </c>
      <c r="O105" s="144">
        <v>1</v>
      </c>
      <c r="P105" s="145"/>
      <c r="Q105" s="113"/>
      <c r="R105" s="113"/>
      <c r="S105" s="113"/>
      <c r="T105" s="146"/>
      <c r="U105" s="148">
        <f t="shared" si="30"/>
        <v>0</v>
      </c>
      <c r="V105" s="149">
        <f t="shared" si="31"/>
        <v>0</v>
      </c>
      <c r="W105" s="189"/>
      <c r="X105" s="199"/>
      <c r="Y105" s="151"/>
      <c r="Z105" s="190"/>
      <c r="AA105" s="153"/>
      <c r="AB105" s="154" t="e">
        <f t="shared" si="32"/>
        <v>#DIV/0!</v>
      </c>
      <c r="AC105" s="149" t="e">
        <f t="shared" si="33"/>
        <v>#DIV/0!</v>
      </c>
      <c r="AD105" s="125"/>
      <c r="AE105" s="148" t="e">
        <f t="shared" si="34"/>
        <v>#DIV/0!</v>
      </c>
      <c r="AF105" s="156"/>
      <c r="AG105" s="156"/>
      <c r="AH105" s="113" t="e">
        <f t="shared" si="35"/>
        <v>#DIV/0!</v>
      </c>
      <c r="AI105" s="157">
        <v>65</v>
      </c>
      <c r="AJ105" s="113" t="e">
        <f t="shared" si="36"/>
        <v>#DIV/0!</v>
      </c>
      <c r="AK105" s="113" t="e">
        <f t="shared" si="37"/>
        <v>#DIV/0!</v>
      </c>
      <c r="AL105" s="158" t="e">
        <f t="shared" si="38"/>
        <v>#DIV/0!</v>
      </c>
      <c r="AM105" s="159"/>
      <c r="AN105" s="160">
        <f t="shared" si="41"/>
        <v>1</v>
      </c>
      <c r="AO105" s="160">
        <f t="shared" si="41"/>
        <v>2</v>
      </c>
      <c r="AP105" s="133"/>
      <c r="AQ105" s="134"/>
      <c r="AR105" s="161"/>
      <c r="AS105" s="161"/>
      <c r="AT105" s="161"/>
      <c r="AU105" s="161"/>
      <c r="AV105" s="162"/>
      <c r="AW105" s="137">
        <f t="shared" si="39"/>
        <v>0</v>
      </c>
      <c r="AX105" s="137">
        <f t="shared" si="40"/>
        <v>0</v>
      </c>
    </row>
    <row r="106" ht="21.95" customHeight="1" spans="1:50" s="97" customFormat="1" x14ac:dyDescent="0.25">
      <c r="A106" s="299" t="s">
        <v>56</v>
      </c>
      <c r="B106" s="300"/>
      <c r="C106" s="300"/>
      <c r="D106" s="300"/>
      <c r="E106" s="300"/>
      <c r="F106" s="300"/>
      <c r="G106" s="300"/>
      <c r="H106" s="301"/>
      <c r="I106" s="297"/>
      <c r="J106" s="107"/>
      <c r="K106" s="142"/>
      <c r="L106" s="142"/>
      <c r="M106" s="142"/>
      <c r="N106" s="170">
        <f>I106*I105+J106*J105+K106*K105+L106*L105+M106*M105</f>
        <v>0</v>
      </c>
      <c r="O106" s="144"/>
      <c r="P106" s="145"/>
      <c r="Q106" s="113"/>
      <c r="R106" s="113"/>
      <c r="S106" s="146"/>
      <c r="T106" s="147"/>
      <c r="U106" s="148"/>
      <c r="V106" s="149"/>
      <c r="W106" s="150"/>
      <c r="X106" s="151"/>
      <c r="Y106" s="152"/>
      <c r="Z106" s="151"/>
      <c r="AA106" s="153"/>
      <c r="AB106" s="154"/>
      <c r="AC106" s="149"/>
      <c r="AD106" s="148"/>
      <c r="AE106" s="148"/>
      <c r="AF106" s="155"/>
      <c r="AG106" s="156"/>
      <c r="AH106" s="113"/>
      <c r="AI106" s="157"/>
      <c r="AJ106" s="113"/>
      <c r="AK106" s="113"/>
      <c r="AL106" s="158"/>
      <c r="AM106" s="159"/>
      <c r="AN106" s="160"/>
      <c r="AO106" s="160"/>
      <c r="AP106" s="133"/>
      <c r="AQ106" s="134"/>
      <c r="AR106" s="161"/>
      <c r="AS106" s="161"/>
      <c r="AT106" s="161"/>
      <c r="AU106" s="161"/>
      <c r="AV106" s="162"/>
      <c r="AW106" s="137"/>
      <c r="AX106" s="137"/>
    </row>
    <row r="107" ht="47.25" customHeight="1" spans="1:50" s="56" customFormat="1" x14ac:dyDescent="0.25">
      <c r="A107" s="100"/>
      <c r="B107" s="100"/>
      <c r="C107" s="100"/>
      <c r="D107" s="100"/>
      <c r="E107" s="100"/>
      <c r="F107" s="100"/>
      <c r="G107" s="103"/>
      <c r="H107" s="186"/>
      <c r="I107" s="195"/>
      <c r="J107" s="107"/>
      <c r="K107" s="107"/>
      <c r="L107" s="107"/>
      <c r="M107" s="187"/>
      <c r="N107" s="169">
        <f t="shared" ref="N107:N136" si="42">SUM(I107:M107)</f>
        <v>0</v>
      </c>
      <c r="O107" s="144">
        <v>1</v>
      </c>
      <c r="P107" s="145"/>
      <c r="Q107" s="113"/>
      <c r="R107" s="113"/>
      <c r="S107" s="113"/>
      <c r="T107" s="146"/>
      <c r="U107" s="148">
        <f t="shared" si="30"/>
        <v>0</v>
      </c>
      <c r="V107" s="149">
        <f t="shared" si="31"/>
        <v>0</v>
      </c>
      <c r="W107" s="189"/>
      <c r="X107" s="199"/>
      <c r="Y107" s="151"/>
      <c r="Z107" s="190"/>
      <c r="AA107" s="153"/>
      <c r="AB107" s="154" t="e">
        <f t="shared" si="32"/>
        <v>#DIV/0!</v>
      </c>
      <c r="AC107" s="149" t="e">
        <f t="shared" si="33"/>
        <v>#DIV/0!</v>
      </c>
      <c r="AD107" s="125"/>
      <c r="AE107" s="148" t="e">
        <f t="shared" si="34"/>
        <v>#DIV/0!</v>
      </c>
      <c r="AF107" s="156"/>
      <c r="AG107" s="156"/>
      <c r="AH107" s="113" t="e">
        <f t="shared" si="35"/>
        <v>#DIV/0!</v>
      </c>
      <c r="AI107" s="157">
        <v>65</v>
      </c>
      <c r="AJ107" s="113" t="e">
        <f t="shared" si="36"/>
        <v>#DIV/0!</v>
      </c>
      <c r="AK107" s="113" t="e">
        <f t="shared" si="37"/>
        <v>#DIV/0!</v>
      </c>
      <c r="AL107" s="158" t="e">
        <f t="shared" si="38"/>
        <v>#DIV/0!</v>
      </c>
      <c r="AM107" s="159"/>
      <c r="AN107" s="160">
        <f t="shared" si="41"/>
        <v>1</v>
      </c>
      <c r="AO107" s="160">
        <f t="shared" si="41"/>
        <v>2</v>
      </c>
      <c r="AP107" s="133"/>
      <c r="AQ107" s="134"/>
      <c r="AR107" s="161"/>
      <c r="AS107" s="161"/>
      <c r="AT107" s="161"/>
      <c r="AU107" s="161"/>
      <c r="AV107" s="162"/>
      <c r="AW107" s="137">
        <f t="shared" si="39"/>
        <v>0</v>
      </c>
      <c r="AX107" s="137">
        <f t="shared" si="40"/>
        <v>0</v>
      </c>
    </row>
    <row r="108" ht="21.95" customHeight="1" spans="1:50" s="97" customFormat="1" x14ac:dyDescent="0.25">
      <c r="A108" s="299" t="s">
        <v>56</v>
      </c>
      <c r="B108" s="300"/>
      <c r="C108" s="300"/>
      <c r="D108" s="300"/>
      <c r="E108" s="300"/>
      <c r="F108" s="300"/>
      <c r="G108" s="300"/>
      <c r="H108" s="301"/>
      <c r="I108" s="297"/>
      <c r="J108" s="107"/>
      <c r="K108" s="142"/>
      <c r="L108" s="142"/>
      <c r="M108" s="142"/>
      <c r="N108" s="170">
        <f>I108*I107+J108*J107+K108*K107+L108*L107+M108*M107</f>
        <v>0</v>
      </c>
      <c r="O108" s="144"/>
      <c r="P108" s="145"/>
      <c r="Q108" s="113"/>
      <c r="R108" s="113"/>
      <c r="S108" s="146"/>
      <c r="T108" s="147"/>
      <c r="U108" s="148"/>
      <c r="V108" s="149"/>
      <c r="W108" s="150"/>
      <c r="X108" s="151"/>
      <c r="Y108" s="152"/>
      <c r="Z108" s="151"/>
      <c r="AA108" s="153"/>
      <c r="AB108" s="154"/>
      <c r="AC108" s="149"/>
      <c r="AD108" s="148"/>
      <c r="AE108" s="148"/>
      <c r="AF108" s="155"/>
      <c r="AG108" s="156"/>
      <c r="AH108" s="113"/>
      <c r="AI108" s="157"/>
      <c r="AJ108" s="113"/>
      <c r="AK108" s="113"/>
      <c r="AL108" s="158"/>
      <c r="AM108" s="159"/>
      <c r="AN108" s="160"/>
      <c r="AO108" s="160"/>
      <c r="AP108" s="133"/>
      <c r="AQ108" s="134"/>
      <c r="AR108" s="161"/>
      <c r="AS108" s="161"/>
      <c r="AT108" s="161"/>
      <c r="AU108" s="161"/>
      <c r="AV108" s="162"/>
      <c r="AW108" s="137"/>
      <c r="AX108" s="137"/>
    </row>
    <row r="109" ht="46.5" customHeight="1" spans="1:50" s="97" customFormat="1" x14ac:dyDescent="0.25">
      <c r="A109" s="100"/>
      <c r="B109" s="100"/>
      <c r="C109" s="100"/>
      <c r="D109" s="100"/>
      <c r="E109" s="100"/>
      <c r="F109" s="100"/>
      <c r="G109" s="103"/>
      <c r="H109" s="186"/>
      <c r="I109" s="195"/>
      <c r="J109" s="107"/>
      <c r="K109" s="107"/>
      <c r="L109" s="107"/>
      <c r="M109" s="187"/>
      <c r="N109" s="169">
        <f t="shared" si="42"/>
        <v>0</v>
      </c>
      <c r="O109" s="144">
        <v>1</v>
      </c>
      <c r="P109" s="145"/>
      <c r="Q109" s="113"/>
      <c r="R109" s="113"/>
      <c r="S109" s="113"/>
      <c r="T109" s="146"/>
      <c r="U109" s="148">
        <f t="shared" si="30"/>
        <v>0</v>
      </c>
      <c r="V109" s="149">
        <f t="shared" si="31"/>
        <v>0</v>
      </c>
      <c r="W109" s="189"/>
      <c r="X109" s="199"/>
      <c r="Y109" s="151"/>
      <c r="Z109" s="190"/>
      <c r="AA109" s="153"/>
      <c r="AB109" s="154" t="e">
        <f t="shared" si="32"/>
        <v>#DIV/0!</v>
      </c>
      <c r="AC109" s="149" t="e">
        <f t="shared" si="33"/>
        <v>#DIV/0!</v>
      </c>
      <c r="AD109" s="125"/>
      <c r="AE109" s="148" t="e">
        <f t="shared" si="34"/>
        <v>#DIV/0!</v>
      </c>
      <c r="AF109" s="156"/>
      <c r="AG109" s="156"/>
      <c r="AH109" s="113" t="e">
        <f t="shared" si="35"/>
        <v>#DIV/0!</v>
      </c>
      <c r="AI109" s="157">
        <v>65</v>
      </c>
      <c r="AJ109" s="113" t="e">
        <f t="shared" si="36"/>
        <v>#DIV/0!</v>
      </c>
      <c r="AK109" s="113" t="e">
        <f t="shared" si="37"/>
        <v>#DIV/0!</v>
      </c>
      <c r="AL109" s="158" t="e">
        <f t="shared" si="38"/>
        <v>#DIV/0!</v>
      </c>
      <c r="AM109" s="159"/>
      <c r="AN109" s="160">
        <f t="shared" si="41"/>
        <v>1</v>
      </c>
      <c r="AO109" s="160">
        <f t="shared" si="41"/>
        <v>2</v>
      </c>
      <c r="AP109" s="133"/>
      <c r="AQ109" s="134"/>
      <c r="AR109" s="161"/>
      <c r="AS109" s="161"/>
      <c r="AT109" s="161"/>
      <c r="AU109" s="161"/>
      <c r="AV109" s="162"/>
      <c r="AW109" s="137">
        <f t="shared" si="39"/>
        <v>0</v>
      </c>
      <c r="AX109" s="137">
        <f t="shared" si="40"/>
        <v>0</v>
      </c>
    </row>
    <row r="110" ht="21.95" customHeight="1" spans="1:50" s="97" customFormat="1" x14ac:dyDescent="0.25">
      <c r="A110" s="299" t="s">
        <v>56</v>
      </c>
      <c r="B110" s="300"/>
      <c r="C110" s="300"/>
      <c r="D110" s="300"/>
      <c r="E110" s="300"/>
      <c r="F110" s="300"/>
      <c r="G110" s="300"/>
      <c r="H110" s="301"/>
      <c r="I110" s="297"/>
      <c r="J110" s="107"/>
      <c r="K110" s="142"/>
      <c r="L110" s="142"/>
      <c r="M110" s="142"/>
      <c r="N110" s="170">
        <f>I110*I109+J110*J109+K110*K109+L110*L109+M110*M109</f>
        <v>0</v>
      </c>
      <c r="O110" s="144"/>
      <c r="P110" s="145"/>
      <c r="Q110" s="113"/>
      <c r="R110" s="113"/>
      <c r="S110" s="146"/>
      <c r="T110" s="147"/>
      <c r="U110" s="148"/>
      <c r="V110" s="149"/>
      <c r="W110" s="150"/>
      <c r="X110" s="151"/>
      <c r="Y110" s="152"/>
      <c r="Z110" s="151"/>
      <c r="AA110" s="153"/>
      <c r="AB110" s="154"/>
      <c r="AC110" s="149"/>
      <c r="AD110" s="148"/>
      <c r="AE110" s="148"/>
      <c r="AF110" s="155"/>
      <c r="AG110" s="156"/>
      <c r="AH110" s="113"/>
      <c r="AI110" s="157"/>
      <c r="AJ110" s="113"/>
      <c r="AK110" s="113"/>
      <c r="AL110" s="158"/>
      <c r="AM110" s="159"/>
      <c r="AN110" s="160"/>
      <c r="AO110" s="160"/>
      <c r="AP110" s="133"/>
      <c r="AQ110" s="134"/>
      <c r="AR110" s="161"/>
      <c r="AS110" s="161"/>
      <c r="AT110" s="161"/>
      <c r="AU110" s="161"/>
      <c r="AV110" s="162"/>
      <c r="AW110" s="137"/>
      <c r="AX110" s="137"/>
    </row>
    <row r="111" ht="46.5" customHeight="1" spans="1:50" s="97" customFormat="1" x14ac:dyDescent="0.25">
      <c r="A111" s="100"/>
      <c r="B111" s="100"/>
      <c r="C111" s="100"/>
      <c r="D111" s="100"/>
      <c r="E111" s="100"/>
      <c r="F111" s="100"/>
      <c r="G111" s="103"/>
      <c r="H111" s="186"/>
      <c r="I111" s="195"/>
      <c r="J111" s="107"/>
      <c r="K111" s="107"/>
      <c r="L111" s="107"/>
      <c r="M111" s="187"/>
      <c r="N111" s="169">
        <f t="shared" si="42"/>
        <v>0</v>
      </c>
      <c r="O111" s="144">
        <v>1</v>
      </c>
      <c r="P111" s="145"/>
      <c r="Q111" s="113"/>
      <c r="R111" s="113"/>
      <c r="S111" s="113"/>
      <c r="T111" s="146"/>
      <c r="U111" s="148">
        <f t="shared" si="30"/>
        <v>0</v>
      </c>
      <c r="V111" s="149">
        <f t="shared" si="31"/>
        <v>0</v>
      </c>
      <c r="W111" s="189"/>
      <c r="X111" s="199"/>
      <c r="Y111" s="151"/>
      <c r="Z111" s="190"/>
      <c r="AA111" s="153"/>
      <c r="AB111" s="154" t="e">
        <f t="shared" si="32"/>
        <v>#DIV/0!</v>
      </c>
      <c r="AC111" s="149" t="e">
        <f t="shared" si="33"/>
        <v>#DIV/0!</v>
      </c>
      <c r="AD111" s="125"/>
      <c r="AE111" s="148" t="e">
        <f t="shared" si="34"/>
        <v>#DIV/0!</v>
      </c>
      <c r="AF111" s="156"/>
      <c r="AG111" s="156"/>
      <c r="AH111" s="113" t="e">
        <f t="shared" si="35"/>
        <v>#DIV/0!</v>
      </c>
      <c r="AI111" s="157">
        <v>65</v>
      </c>
      <c r="AJ111" s="113" t="e">
        <f t="shared" si="36"/>
        <v>#DIV/0!</v>
      </c>
      <c r="AK111" s="113" t="e">
        <f t="shared" si="37"/>
        <v>#DIV/0!</v>
      </c>
      <c r="AL111" s="158" t="e">
        <f t="shared" si="38"/>
        <v>#DIV/0!</v>
      </c>
      <c r="AM111" s="159"/>
      <c r="AN111" s="160">
        <f t="shared" ref="AN111:AO130" si="43">100%+AM111</f>
        <v>1</v>
      </c>
      <c r="AO111" s="160">
        <f t="shared" si="43"/>
        <v>2</v>
      </c>
      <c r="AP111" s="133"/>
      <c r="AQ111" s="134"/>
      <c r="AR111" s="161"/>
      <c r="AS111" s="161"/>
      <c r="AT111" s="161"/>
      <c r="AU111" s="161"/>
      <c r="AV111" s="162"/>
      <c r="AW111" s="137">
        <f t="shared" si="39"/>
        <v>0</v>
      </c>
      <c r="AX111" s="137">
        <f t="shared" si="40"/>
        <v>0</v>
      </c>
    </row>
    <row r="112" ht="21.95" customHeight="1" spans="1:50" s="97" customFormat="1" x14ac:dyDescent="0.25">
      <c r="A112" s="299" t="s">
        <v>56</v>
      </c>
      <c r="B112" s="300"/>
      <c r="C112" s="300"/>
      <c r="D112" s="300"/>
      <c r="E112" s="300"/>
      <c r="F112" s="300"/>
      <c r="G112" s="300"/>
      <c r="H112" s="301"/>
      <c r="I112" s="297"/>
      <c r="J112" s="107"/>
      <c r="K112" s="142"/>
      <c r="L112" s="142"/>
      <c r="M112" s="142"/>
      <c r="N112" s="170">
        <f>I112*I111+J112*J111+K112*K111+L112*L111+M112*M111</f>
        <v>0</v>
      </c>
      <c r="O112" s="144"/>
      <c r="P112" s="145"/>
      <c r="Q112" s="113"/>
      <c r="R112" s="113"/>
      <c r="S112" s="146"/>
      <c r="T112" s="147"/>
      <c r="U112" s="148"/>
      <c r="V112" s="149"/>
      <c r="W112" s="150"/>
      <c r="X112" s="151"/>
      <c r="Y112" s="152"/>
      <c r="Z112" s="151"/>
      <c r="AA112" s="153"/>
      <c r="AB112" s="154"/>
      <c r="AC112" s="149"/>
      <c r="AD112" s="148"/>
      <c r="AE112" s="148"/>
      <c r="AF112" s="155"/>
      <c r="AG112" s="156"/>
      <c r="AH112" s="113"/>
      <c r="AI112" s="157"/>
      <c r="AJ112" s="113"/>
      <c r="AK112" s="113"/>
      <c r="AL112" s="158"/>
      <c r="AM112" s="159"/>
      <c r="AN112" s="160"/>
      <c r="AO112" s="160"/>
      <c r="AP112" s="133"/>
      <c r="AQ112" s="134"/>
      <c r="AR112" s="161"/>
      <c r="AS112" s="161"/>
      <c r="AT112" s="161"/>
      <c r="AU112" s="161"/>
      <c r="AV112" s="162"/>
      <c r="AW112" s="137"/>
      <c r="AX112" s="137"/>
    </row>
    <row r="113" ht="46.5" customHeight="1" spans="1:50" s="97" customFormat="1" x14ac:dyDescent="0.25">
      <c r="A113" s="100"/>
      <c r="B113" s="100"/>
      <c r="C113" s="100"/>
      <c r="D113" s="100"/>
      <c r="E113" s="100"/>
      <c r="F113" s="100"/>
      <c r="G113" s="103"/>
      <c r="H113" s="186"/>
      <c r="I113" s="195"/>
      <c r="J113" s="107"/>
      <c r="K113" s="107"/>
      <c r="L113" s="107"/>
      <c r="M113" s="187"/>
      <c r="N113" s="169">
        <f t="shared" si="42"/>
        <v>0</v>
      </c>
      <c r="O113" s="144">
        <v>1</v>
      </c>
      <c r="P113" s="145"/>
      <c r="Q113" s="113"/>
      <c r="R113" s="113"/>
      <c r="S113" s="113"/>
      <c r="T113" s="146"/>
      <c r="U113" s="148">
        <f t="shared" si="30"/>
        <v>0</v>
      </c>
      <c r="V113" s="149">
        <f t="shared" si="31"/>
        <v>0</v>
      </c>
      <c r="W113" s="189"/>
      <c r="X113" s="199"/>
      <c r="Y113" s="151"/>
      <c r="Z113" s="190"/>
      <c r="AA113" s="153"/>
      <c r="AB113" s="154" t="e">
        <f t="shared" si="32"/>
        <v>#DIV/0!</v>
      </c>
      <c r="AC113" s="149" t="e">
        <f t="shared" si="33"/>
        <v>#DIV/0!</v>
      </c>
      <c r="AD113" s="125">
        <v>2</v>
      </c>
      <c r="AE113" s="148" t="e">
        <f t="shared" si="34"/>
        <v>#DIV/0!</v>
      </c>
      <c r="AF113" s="156"/>
      <c r="AG113" s="156"/>
      <c r="AH113" s="113" t="e">
        <f t="shared" si="35"/>
        <v>#DIV/0!</v>
      </c>
      <c r="AI113" s="157">
        <v>65</v>
      </c>
      <c r="AJ113" s="113" t="e">
        <f t="shared" si="36"/>
        <v>#DIV/0!</v>
      </c>
      <c r="AK113" s="113" t="e">
        <f t="shared" si="37"/>
        <v>#DIV/0!</v>
      </c>
      <c r="AL113" s="158" t="e">
        <f t="shared" si="38"/>
        <v>#DIV/0!</v>
      </c>
      <c r="AM113" s="159"/>
      <c r="AN113" s="160">
        <f t="shared" si="43"/>
        <v>1</v>
      </c>
      <c r="AO113" s="160">
        <f t="shared" si="43"/>
        <v>2</v>
      </c>
      <c r="AP113" s="133"/>
      <c r="AQ113" s="134"/>
      <c r="AR113" s="161"/>
      <c r="AS113" s="161"/>
      <c r="AT113" s="161"/>
      <c r="AU113" s="161"/>
      <c r="AV113" s="162"/>
      <c r="AW113" s="137">
        <f t="shared" si="39"/>
        <v>0</v>
      </c>
      <c r="AX113" s="137">
        <f t="shared" si="40"/>
        <v>0</v>
      </c>
    </row>
    <row r="114" ht="21.95" customHeight="1" spans="1:50" s="97" customFormat="1" x14ac:dyDescent="0.25">
      <c r="A114" s="299" t="s">
        <v>56</v>
      </c>
      <c r="B114" s="300"/>
      <c r="C114" s="300"/>
      <c r="D114" s="300"/>
      <c r="E114" s="300"/>
      <c r="F114" s="300"/>
      <c r="G114" s="300"/>
      <c r="H114" s="301"/>
      <c r="I114" s="297"/>
      <c r="J114" s="107"/>
      <c r="K114" s="142"/>
      <c r="L114" s="142"/>
      <c r="M114" s="142"/>
      <c r="N114" s="170">
        <f>I114*I113+J114*J113+K114*K113+L114*L113+M114*M113</f>
        <v>0</v>
      </c>
      <c r="O114" s="144"/>
      <c r="P114" s="145"/>
      <c r="Q114" s="113"/>
      <c r="R114" s="113"/>
      <c r="S114" s="146"/>
      <c r="T114" s="147"/>
      <c r="U114" s="148"/>
      <c r="V114" s="149"/>
      <c r="W114" s="150"/>
      <c r="X114" s="151"/>
      <c r="Y114" s="152"/>
      <c r="Z114" s="151"/>
      <c r="AA114" s="153"/>
      <c r="AB114" s="154"/>
      <c r="AC114" s="149"/>
      <c r="AD114" s="148"/>
      <c r="AE114" s="148"/>
      <c r="AF114" s="155"/>
      <c r="AG114" s="156"/>
      <c r="AH114" s="113"/>
      <c r="AI114" s="157"/>
      <c r="AJ114" s="113"/>
      <c r="AK114" s="113"/>
      <c r="AL114" s="158"/>
      <c r="AM114" s="159"/>
      <c r="AN114" s="160"/>
      <c r="AO114" s="160"/>
      <c r="AP114" s="133"/>
      <c r="AQ114" s="134"/>
      <c r="AR114" s="161"/>
      <c r="AS114" s="161"/>
      <c r="AT114" s="161"/>
      <c r="AU114" s="161"/>
      <c r="AV114" s="162"/>
      <c r="AW114" s="137"/>
      <c r="AX114" s="137"/>
    </row>
    <row r="115" ht="46.5" customHeight="1" spans="1:50" s="97" customFormat="1" x14ac:dyDescent="0.25">
      <c r="A115" s="100"/>
      <c r="B115" s="100"/>
      <c r="C115" s="100"/>
      <c r="D115" s="100"/>
      <c r="E115" s="100"/>
      <c r="F115" s="100"/>
      <c r="G115" s="103"/>
      <c r="H115" s="186"/>
      <c r="I115" s="195"/>
      <c r="J115" s="107"/>
      <c r="K115" s="107"/>
      <c r="L115" s="107"/>
      <c r="M115" s="187"/>
      <c r="N115" s="169">
        <f t="shared" si="42"/>
        <v>0</v>
      </c>
      <c r="O115" s="144">
        <v>1</v>
      </c>
      <c r="P115" s="145"/>
      <c r="Q115" s="113"/>
      <c r="R115" s="113"/>
      <c r="S115" s="113"/>
      <c r="T115" s="146"/>
      <c r="U115" s="148">
        <f t="shared" si="30"/>
        <v>0</v>
      </c>
      <c r="V115" s="149">
        <f t="shared" si="31"/>
        <v>0</v>
      </c>
      <c r="W115" s="189"/>
      <c r="X115" s="199"/>
      <c r="Y115" s="151"/>
      <c r="Z115" s="190"/>
      <c r="AA115" s="153"/>
      <c r="AB115" s="154" t="e">
        <f t="shared" si="32"/>
        <v>#DIV/0!</v>
      </c>
      <c r="AC115" s="149" t="e">
        <f t="shared" si="33"/>
        <v>#DIV/0!</v>
      </c>
      <c r="AD115" s="125">
        <v>2</v>
      </c>
      <c r="AE115" s="148" t="e">
        <f t="shared" si="34"/>
        <v>#DIV/0!</v>
      </c>
      <c r="AF115" s="156"/>
      <c r="AG115" s="156"/>
      <c r="AH115" s="113" t="e">
        <f t="shared" si="35"/>
        <v>#DIV/0!</v>
      </c>
      <c r="AI115" s="157">
        <v>65</v>
      </c>
      <c r="AJ115" s="113" t="e">
        <f t="shared" si="36"/>
        <v>#DIV/0!</v>
      </c>
      <c r="AK115" s="113" t="e">
        <f t="shared" si="37"/>
        <v>#DIV/0!</v>
      </c>
      <c r="AL115" s="158" t="e">
        <f t="shared" si="38"/>
        <v>#DIV/0!</v>
      </c>
      <c r="AM115" s="159"/>
      <c r="AN115" s="160">
        <f t="shared" si="43"/>
        <v>1</v>
      </c>
      <c r="AO115" s="160">
        <f t="shared" si="43"/>
        <v>2</v>
      </c>
      <c r="AP115" s="133"/>
      <c r="AQ115" s="134"/>
      <c r="AR115" s="161"/>
      <c r="AS115" s="161"/>
      <c r="AT115" s="161"/>
      <c r="AU115" s="161"/>
      <c r="AV115" s="162"/>
      <c r="AW115" s="137">
        <f t="shared" si="39"/>
        <v>0</v>
      </c>
      <c r="AX115" s="137">
        <f t="shared" si="40"/>
        <v>0</v>
      </c>
    </row>
    <row r="116" ht="21.95" customHeight="1" spans="1:50" s="97" customFormat="1" x14ac:dyDescent="0.25">
      <c r="A116" s="299" t="s">
        <v>56</v>
      </c>
      <c r="B116" s="300"/>
      <c r="C116" s="300"/>
      <c r="D116" s="300"/>
      <c r="E116" s="300"/>
      <c r="F116" s="300"/>
      <c r="G116" s="300"/>
      <c r="H116" s="301"/>
      <c r="I116" s="297"/>
      <c r="J116" s="107"/>
      <c r="K116" s="142"/>
      <c r="L116" s="142"/>
      <c r="M116" s="142"/>
      <c r="N116" s="170">
        <f>I116*I115+J116*J115+K116*K115+L116*L115+M116*M115</f>
        <v>0</v>
      </c>
      <c r="O116" s="144"/>
      <c r="P116" s="145"/>
      <c r="Q116" s="113"/>
      <c r="R116" s="113"/>
      <c r="S116" s="146"/>
      <c r="T116" s="147"/>
      <c r="U116" s="148"/>
      <c r="V116" s="149"/>
      <c r="W116" s="150"/>
      <c r="X116" s="151"/>
      <c r="Y116" s="152"/>
      <c r="Z116" s="151"/>
      <c r="AA116" s="153"/>
      <c r="AB116" s="154"/>
      <c r="AC116" s="149"/>
      <c r="AD116" s="148"/>
      <c r="AE116" s="148"/>
      <c r="AF116" s="155"/>
      <c r="AG116" s="156"/>
      <c r="AH116" s="113"/>
      <c r="AI116" s="157"/>
      <c r="AJ116" s="113"/>
      <c r="AK116" s="113"/>
      <c r="AL116" s="158"/>
      <c r="AM116" s="159"/>
      <c r="AN116" s="160"/>
      <c r="AO116" s="160"/>
      <c r="AP116" s="133"/>
      <c r="AQ116" s="134"/>
      <c r="AR116" s="161"/>
      <c r="AS116" s="161"/>
      <c r="AT116" s="161"/>
      <c r="AU116" s="161"/>
      <c r="AV116" s="162"/>
      <c r="AW116" s="137"/>
      <c r="AX116" s="137"/>
    </row>
    <row r="117" ht="46.5" customHeight="1" spans="1:50" s="97" customFormat="1" x14ac:dyDescent="0.25">
      <c r="A117" s="100"/>
      <c r="B117" s="100"/>
      <c r="C117" s="100"/>
      <c r="D117" s="100"/>
      <c r="E117" s="100"/>
      <c r="F117" s="100"/>
      <c r="G117" s="103"/>
      <c r="H117" s="186"/>
      <c r="I117" s="195"/>
      <c r="J117" s="107"/>
      <c r="K117" s="107"/>
      <c r="L117" s="107"/>
      <c r="M117" s="187"/>
      <c r="N117" s="169">
        <f t="shared" si="42"/>
        <v>0</v>
      </c>
      <c r="O117" s="144">
        <v>1</v>
      </c>
      <c r="P117" s="145"/>
      <c r="Q117" s="113"/>
      <c r="R117" s="113"/>
      <c r="S117" s="113"/>
      <c r="T117" s="146"/>
      <c r="U117" s="148">
        <f t="shared" si="30"/>
        <v>0</v>
      </c>
      <c r="V117" s="149">
        <f t="shared" si="31"/>
        <v>0</v>
      </c>
      <c r="W117" s="189"/>
      <c r="X117" s="199"/>
      <c r="Y117" s="151"/>
      <c r="Z117" s="190"/>
      <c r="AA117" s="153"/>
      <c r="AB117" s="154" t="e">
        <f t="shared" si="32"/>
        <v>#DIV/0!</v>
      </c>
      <c r="AC117" s="149" t="e">
        <f t="shared" si="33"/>
        <v>#DIV/0!</v>
      </c>
      <c r="AD117" s="125">
        <v>2</v>
      </c>
      <c r="AE117" s="148" t="e">
        <f t="shared" si="34"/>
        <v>#DIV/0!</v>
      </c>
      <c r="AF117" s="156"/>
      <c r="AG117" s="156"/>
      <c r="AH117" s="113" t="e">
        <f t="shared" si="35"/>
        <v>#DIV/0!</v>
      </c>
      <c r="AI117" s="157">
        <v>65</v>
      </c>
      <c r="AJ117" s="113" t="e">
        <f t="shared" si="36"/>
        <v>#DIV/0!</v>
      </c>
      <c r="AK117" s="113" t="e">
        <f t="shared" si="37"/>
        <v>#DIV/0!</v>
      </c>
      <c r="AL117" s="158" t="e">
        <f t="shared" si="38"/>
        <v>#DIV/0!</v>
      </c>
      <c r="AM117" s="159"/>
      <c r="AN117" s="160">
        <f t="shared" si="43"/>
        <v>1</v>
      </c>
      <c r="AO117" s="160">
        <f t="shared" si="43"/>
        <v>2</v>
      </c>
      <c r="AP117" s="133"/>
      <c r="AQ117" s="134"/>
      <c r="AR117" s="161"/>
      <c r="AS117" s="161"/>
      <c r="AT117" s="161"/>
      <c r="AU117" s="161"/>
      <c r="AV117" s="162"/>
      <c r="AW117" s="137">
        <f t="shared" si="39"/>
        <v>0</v>
      </c>
      <c r="AX117" s="137">
        <f t="shared" si="40"/>
        <v>0</v>
      </c>
    </row>
    <row r="118" ht="47.25" customHeight="1" spans="1:50" s="56" customFormat="1" x14ac:dyDescent="0.25">
      <c r="A118" s="100"/>
      <c r="B118" s="100"/>
      <c r="C118" s="100"/>
      <c r="D118" s="100"/>
      <c r="E118" s="100"/>
      <c r="F118" s="100"/>
      <c r="G118" s="103"/>
      <c r="H118" s="186"/>
      <c r="I118" s="195"/>
      <c r="J118" s="107"/>
      <c r="K118" s="107"/>
      <c r="L118" s="107"/>
      <c r="M118" s="187"/>
      <c r="N118" s="169">
        <f t="shared" si="42"/>
        <v>0</v>
      </c>
      <c r="O118" s="144">
        <v>1</v>
      </c>
      <c r="P118" s="145"/>
      <c r="Q118" s="113"/>
      <c r="R118" s="113"/>
      <c r="S118" s="113"/>
      <c r="T118" s="146"/>
      <c r="U118" s="148">
        <f t="shared" si="30"/>
        <v>0</v>
      </c>
      <c r="V118" s="149">
        <f t="shared" si="31"/>
        <v>0</v>
      </c>
      <c r="W118" s="189"/>
      <c r="X118" s="199"/>
      <c r="Y118" s="151"/>
      <c r="Z118" s="190"/>
      <c r="AA118" s="153"/>
      <c r="AB118" s="154" t="e">
        <f t="shared" si="32"/>
        <v>#DIV/0!</v>
      </c>
      <c r="AC118" s="149" t="e">
        <f t="shared" si="33"/>
        <v>#DIV/0!</v>
      </c>
      <c r="AD118" s="125">
        <v>2</v>
      </c>
      <c r="AE118" s="148" t="e">
        <f t="shared" si="34"/>
        <v>#DIV/0!</v>
      </c>
      <c r="AF118" s="156"/>
      <c r="AG118" s="156"/>
      <c r="AH118" s="113" t="e">
        <f t="shared" si="35"/>
        <v>#DIV/0!</v>
      </c>
      <c r="AI118" s="157">
        <v>65</v>
      </c>
      <c r="AJ118" s="113" t="e">
        <f t="shared" si="36"/>
        <v>#DIV/0!</v>
      </c>
      <c r="AK118" s="113" t="e">
        <f t="shared" si="37"/>
        <v>#DIV/0!</v>
      </c>
      <c r="AL118" s="158" t="e">
        <f t="shared" si="38"/>
        <v>#DIV/0!</v>
      </c>
      <c r="AM118" s="159"/>
      <c r="AN118" s="160">
        <f t="shared" si="43"/>
        <v>1</v>
      </c>
      <c r="AO118" s="160">
        <f t="shared" si="43"/>
        <v>2</v>
      </c>
      <c r="AP118" s="133"/>
      <c r="AQ118" s="134"/>
      <c r="AR118" s="161"/>
      <c r="AS118" s="161"/>
      <c r="AT118" s="161"/>
      <c r="AU118" s="161"/>
      <c r="AV118" s="162"/>
      <c r="AW118" s="137">
        <f t="shared" si="39"/>
        <v>0</v>
      </c>
      <c r="AX118" s="137">
        <f t="shared" si="40"/>
        <v>0</v>
      </c>
    </row>
    <row r="119" ht="47.25" customHeight="1" spans="1:50" s="56" customFormat="1" x14ac:dyDescent="0.25">
      <c r="A119" s="100"/>
      <c r="B119" s="100"/>
      <c r="C119" s="100"/>
      <c r="D119" s="100"/>
      <c r="E119" s="100"/>
      <c r="F119" s="100"/>
      <c r="G119" s="103"/>
      <c r="H119" s="186"/>
      <c r="I119" s="195"/>
      <c r="J119" s="107"/>
      <c r="K119" s="107"/>
      <c r="L119" s="107"/>
      <c r="M119" s="187"/>
      <c r="N119" s="169">
        <f t="shared" si="42"/>
        <v>0</v>
      </c>
      <c r="O119" s="144">
        <v>1</v>
      </c>
      <c r="P119" s="145"/>
      <c r="Q119" s="113"/>
      <c r="R119" s="113"/>
      <c r="S119" s="113"/>
      <c r="T119" s="146"/>
      <c r="U119" s="148">
        <f t="shared" si="30"/>
        <v>0</v>
      </c>
      <c r="V119" s="149">
        <f t="shared" si="31"/>
        <v>0</v>
      </c>
      <c r="W119" s="189"/>
      <c r="X119" s="199"/>
      <c r="Y119" s="151"/>
      <c r="Z119" s="190"/>
      <c r="AA119" s="153"/>
      <c r="AB119" s="154" t="e">
        <f t="shared" si="32"/>
        <v>#DIV/0!</v>
      </c>
      <c r="AC119" s="149" t="e">
        <f t="shared" si="33"/>
        <v>#DIV/0!</v>
      </c>
      <c r="AD119" s="125">
        <v>2</v>
      </c>
      <c r="AE119" s="148" t="e">
        <f t="shared" si="34"/>
        <v>#DIV/0!</v>
      </c>
      <c r="AF119" s="156"/>
      <c r="AG119" s="156"/>
      <c r="AH119" s="113" t="e">
        <f t="shared" si="35"/>
        <v>#DIV/0!</v>
      </c>
      <c r="AI119" s="157">
        <v>65</v>
      </c>
      <c r="AJ119" s="113" t="e">
        <f t="shared" si="36"/>
        <v>#DIV/0!</v>
      </c>
      <c r="AK119" s="113" t="e">
        <f t="shared" si="37"/>
        <v>#DIV/0!</v>
      </c>
      <c r="AL119" s="158" t="e">
        <f t="shared" si="38"/>
        <v>#DIV/0!</v>
      </c>
      <c r="AM119" s="159"/>
      <c r="AN119" s="160">
        <f t="shared" si="43"/>
        <v>1</v>
      </c>
      <c r="AO119" s="160">
        <f t="shared" si="43"/>
        <v>2</v>
      </c>
      <c r="AP119" s="133"/>
      <c r="AQ119" s="134"/>
      <c r="AR119" s="161"/>
      <c r="AS119" s="161"/>
      <c r="AT119" s="161"/>
      <c r="AU119" s="161"/>
      <c r="AV119" s="162"/>
      <c r="AW119" s="137">
        <f t="shared" si="39"/>
        <v>0</v>
      </c>
      <c r="AX119" s="137">
        <f t="shared" si="40"/>
        <v>0</v>
      </c>
    </row>
    <row r="120" ht="46.5" customHeight="1" spans="1:50" s="97" customFormat="1" x14ac:dyDescent="0.25">
      <c r="A120" s="100"/>
      <c r="B120" s="100"/>
      <c r="C120" s="100"/>
      <c r="D120" s="100"/>
      <c r="E120" s="100"/>
      <c r="F120" s="100"/>
      <c r="G120" s="103"/>
      <c r="H120" s="186"/>
      <c r="I120" s="195"/>
      <c r="J120" s="107"/>
      <c r="K120" s="107"/>
      <c r="L120" s="107"/>
      <c r="M120" s="187"/>
      <c r="N120" s="169">
        <f t="shared" si="42"/>
        <v>0</v>
      </c>
      <c r="O120" s="144">
        <v>1</v>
      </c>
      <c r="P120" s="145"/>
      <c r="Q120" s="113"/>
      <c r="R120" s="113"/>
      <c r="S120" s="113"/>
      <c r="T120" s="146"/>
      <c r="U120" s="148">
        <f t="shared" si="30"/>
        <v>0</v>
      </c>
      <c r="V120" s="149">
        <f t="shared" si="31"/>
        <v>0</v>
      </c>
      <c r="W120" s="189"/>
      <c r="X120" s="199"/>
      <c r="Y120" s="151"/>
      <c r="Z120" s="190"/>
      <c r="AA120" s="153"/>
      <c r="AB120" s="154" t="e">
        <f t="shared" si="32"/>
        <v>#DIV/0!</v>
      </c>
      <c r="AC120" s="149" t="e">
        <f t="shared" si="33"/>
        <v>#DIV/0!</v>
      </c>
      <c r="AD120" s="125">
        <v>2</v>
      </c>
      <c r="AE120" s="148" t="e">
        <f t="shared" si="34"/>
        <v>#DIV/0!</v>
      </c>
      <c r="AF120" s="156"/>
      <c r="AG120" s="156"/>
      <c r="AH120" s="113" t="e">
        <f t="shared" si="35"/>
        <v>#DIV/0!</v>
      </c>
      <c r="AI120" s="157">
        <v>65</v>
      </c>
      <c r="AJ120" s="113" t="e">
        <f t="shared" si="36"/>
        <v>#DIV/0!</v>
      </c>
      <c r="AK120" s="113" t="e">
        <f t="shared" si="37"/>
        <v>#DIV/0!</v>
      </c>
      <c r="AL120" s="158" t="e">
        <f t="shared" si="38"/>
        <v>#DIV/0!</v>
      </c>
      <c r="AM120" s="159"/>
      <c r="AN120" s="160">
        <f t="shared" si="43"/>
        <v>1</v>
      </c>
      <c r="AO120" s="160">
        <f t="shared" si="43"/>
        <v>2</v>
      </c>
      <c r="AP120" s="133"/>
      <c r="AQ120" s="134"/>
      <c r="AR120" s="161"/>
      <c r="AS120" s="161"/>
      <c r="AT120" s="161"/>
      <c r="AU120" s="161"/>
      <c r="AV120" s="162"/>
      <c r="AW120" s="137">
        <f t="shared" si="39"/>
        <v>0</v>
      </c>
      <c r="AX120" s="137">
        <f t="shared" si="40"/>
        <v>0</v>
      </c>
    </row>
    <row r="121" ht="47.25" customHeight="1" spans="1:50" s="56" customFormat="1" x14ac:dyDescent="0.25">
      <c r="A121" s="100"/>
      <c r="B121" s="100"/>
      <c r="C121" s="100"/>
      <c r="D121" s="100"/>
      <c r="E121" s="100"/>
      <c r="F121" s="100"/>
      <c r="G121" s="103"/>
      <c r="H121" s="186"/>
      <c r="I121" s="195"/>
      <c r="J121" s="107"/>
      <c r="K121" s="107"/>
      <c r="L121" s="107"/>
      <c r="M121" s="187"/>
      <c r="N121" s="169">
        <f t="shared" si="42"/>
        <v>0</v>
      </c>
      <c r="O121" s="144">
        <v>1</v>
      </c>
      <c r="P121" s="145"/>
      <c r="Q121" s="113"/>
      <c r="R121" s="113"/>
      <c r="S121" s="113"/>
      <c r="T121" s="146"/>
      <c r="U121" s="148">
        <f t="shared" si="30"/>
        <v>0</v>
      </c>
      <c r="V121" s="149">
        <f t="shared" si="31"/>
        <v>0</v>
      </c>
      <c r="W121" s="189"/>
      <c r="X121" s="199"/>
      <c r="Y121" s="151"/>
      <c r="Z121" s="190"/>
      <c r="AA121" s="153"/>
      <c r="AB121" s="154" t="e">
        <f t="shared" si="32"/>
        <v>#DIV/0!</v>
      </c>
      <c r="AC121" s="149" t="e">
        <f t="shared" si="33"/>
        <v>#DIV/0!</v>
      </c>
      <c r="AD121" s="125">
        <v>2</v>
      </c>
      <c r="AE121" s="148" t="e">
        <f t="shared" si="34"/>
        <v>#DIV/0!</v>
      </c>
      <c r="AF121" s="156"/>
      <c r="AG121" s="156"/>
      <c r="AH121" s="113" t="e">
        <f t="shared" si="35"/>
        <v>#DIV/0!</v>
      </c>
      <c r="AI121" s="157">
        <v>65</v>
      </c>
      <c r="AJ121" s="113" t="e">
        <f t="shared" si="36"/>
        <v>#DIV/0!</v>
      </c>
      <c r="AK121" s="113" t="e">
        <f t="shared" si="37"/>
        <v>#DIV/0!</v>
      </c>
      <c r="AL121" s="158" t="e">
        <f t="shared" si="38"/>
        <v>#DIV/0!</v>
      </c>
      <c r="AM121" s="159"/>
      <c r="AN121" s="160">
        <f t="shared" si="43"/>
        <v>1</v>
      </c>
      <c r="AO121" s="160">
        <f t="shared" si="43"/>
        <v>2</v>
      </c>
      <c r="AP121" s="133"/>
      <c r="AQ121" s="134"/>
      <c r="AR121" s="161"/>
      <c r="AS121" s="161"/>
      <c r="AT121" s="161"/>
      <c r="AU121" s="161"/>
      <c r="AV121" s="162"/>
      <c r="AW121" s="137">
        <f t="shared" si="39"/>
        <v>0</v>
      </c>
      <c r="AX121" s="137">
        <f t="shared" si="40"/>
        <v>0</v>
      </c>
    </row>
    <row r="122" ht="47.25" customHeight="1" spans="1:50" s="97" customFormat="1" x14ac:dyDescent="0.25">
      <c r="A122" s="100"/>
      <c r="B122" s="100"/>
      <c r="C122" s="100"/>
      <c r="D122" s="100"/>
      <c r="E122" s="100"/>
      <c r="F122" s="100"/>
      <c r="G122" s="103"/>
      <c r="H122" s="186"/>
      <c r="I122" s="195"/>
      <c r="J122" s="107"/>
      <c r="K122" s="107"/>
      <c r="L122" s="107"/>
      <c r="M122" s="187"/>
      <c r="N122" s="169">
        <f t="shared" si="42"/>
        <v>0</v>
      </c>
      <c r="O122" s="144">
        <v>1</v>
      </c>
      <c r="P122" s="145"/>
      <c r="Q122" s="113"/>
      <c r="R122" s="113"/>
      <c r="S122" s="113"/>
      <c r="T122" s="146"/>
      <c r="U122" s="148">
        <f t="shared" si="30"/>
        <v>0</v>
      </c>
      <c r="V122" s="149">
        <f t="shared" si="31"/>
        <v>0</v>
      </c>
      <c r="W122" s="189"/>
      <c r="X122" s="199"/>
      <c r="Y122" s="151"/>
      <c r="Z122" s="190"/>
      <c r="AA122" s="153"/>
      <c r="AB122" s="154" t="e">
        <f t="shared" si="32"/>
        <v>#DIV/0!</v>
      </c>
      <c r="AC122" s="149" t="e">
        <f t="shared" si="33"/>
        <v>#DIV/0!</v>
      </c>
      <c r="AD122" s="125">
        <v>2</v>
      </c>
      <c r="AE122" s="148" t="e">
        <f t="shared" si="34"/>
        <v>#DIV/0!</v>
      </c>
      <c r="AF122" s="156"/>
      <c r="AG122" s="156"/>
      <c r="AH122" s="113" t="e">
        <f t="shared" si="35"/>
        <v>#DIV/0!</v>
      </c>
      <c r="AI122" s="157">
        <v>65</v>
      </c>
      <c r="AJ122" s="113" t="e">
        <f t="shared" si="36"/>
        <v>#DIV/0!</v>
      </c>
      <c r="AK122" s="113" t="e">
        <f t="shared" si="37"/>
        <v>#DIV/0!</v>
      </c>
      <c r="AL122" s="158" t="e">
        <f t="shared" si="38"/>
        <v>#DIV/0!</v>
      </c>
      <c r="AM122" s="159"/>
      <c r="AN122" s="160">
        <f t="shared" si="43"/>
        <v>1</v>
      </c>
      <c r="AO122" s="160">
        <f t="shared" si="43"/>
        <v>2</v>
      </c>
      <c r="AP122" s="133"/>
      <c r="AQ122" s="134"/>
      <c r="AR122" s="161"/>
      <c r="AS122" s="161"/>
      <c r="AT122" s="161"/>
      <c r="AU122" s="161"/>
      <c r="AV122" s="162"/>
      <c r="AW122" s="137">
        <f t="shared" si="39"/>
        <v>0</v>
      </c>
      <c r="AX122" s="137">
        <f t="shared" si="40"/>
        <v>0</v>
      </c>
    </row>
    <row r="123" ht="47.25" customHeight="1" spans="1:50" s="97" customFormat="1" x14ac:dyDescent="0.25">
      <c r="A123" s="100"/>
      <c r="B123" s="100"/>
      <c r="C123" s="100"/>
      <c r="D123" s="100"/>
      <c r="E123" s="100"/>
      <c r="F123" s="100"/>
      <c r="G123" s="103"/>
      <c r="H123" s="186"/>
      <c r="I123" s="195"/>
      <c r="J123" s="107"/>
      <c r="K123" s="107"/>
      <c r="L123" s="107"/>
      <c r="M123" s="187"/>
      <c r="N123" s="169">
        <f t="shared" si="42"/>
        <v>0</v>
      </c>
      <c r="O123" s="144">
        <v>1</v>
      </c>
      <c r="P123" s="145"/>
      <c r="Q123" s="113"/>
      <c r="R123" s="113"/>
      <c r="S123" s="113"/>
      <c r="T123" s="146"/>
      <c r="U123" s="148">
        <f t="shared" si="30"/>
        <v>0</v>
      </c>
      <c r="V123" s="149">
        <f t="shared" si="31"/>
        <v>0</v>
      </c>
      <c r="W123" s="189"/>
      <c r="X123" s="199"/>
      <c r="Y123" s="151"/>
      <c r="Z123" s="190"/>
      <c r="AA123" s="153"/>
      <c r="AB123" s="154" t="e">
        <f t="shared" si="32"/>
        <v>#DIV/0!</v>
      </c>
      <c r="AC123" s="149" t="e">
        <f t="shared" si="33"/>
        <v>#DIV/0!</v>
      </c>
      <c r="AD123" s="125">
        <v>2</v>
      </c>
      <c r="AE123" s="148" t="e">
        <f t="shared" si="34"/>
        <v>#DIV/0!</v>
      </c>
      <c r="AF123" s="156"/>
      <c r="AG123" s="156"/>
      <c r="AH123" s="113" t="e">
        <f t="shared" si="35"/>
        <v>#DIV/0!</v>
      </c>
      <c r="AI123" s="157">
        <v>65</v>
      </c>
      <c r="AJ123" s="113" t="e">
        <f t="shared" si="36"/>
        <v>#DIV/0!</v>
      </c>
      <c r="AK123" s="113" t="e">
        <f t="shared" si="37"/>
        <v>#DIV/0!</v>
      </c>
      <c r="AL123" s="158" t="e">
        <f t="shared" si="38"/>
        <v>#DIV/0!</v>
      </c>
      <c r="AM123" s="159"/>
      <c r="AN123" s="160">
        <f t="shared" si="43"/>
        <v>1</v>
      </c>
      <c r="AO123" s="160">
        <f t="shared" si="43"/>
        <v>2</v>
      </c>
      <c r="AP123" s="133"/>
      <c r="AQ123" s="134"/>
      <c r="AR123" s="161"/>
      <c r="AS123" s="161"/>
      <c r="AT123" s="161"/>
      <c r="AU123" s="161"/>
      <c r="AV123" s="162"/>
      <c r="AW123" s="137">
        <f t="shared" si="39"/>
        <v>0</v>
      </c>
      <c r="AX123" s="137">
        <f t="shared" si="40"/>
        <v>0</v>
      </c>
    </row>
    <row r="124" ht="46.5" customHeight="1" spans="1:50" s="97" customFormat="1" x14ac:dyDescent="0.25">
      <c r="A124" s="100"/>
      <c r="B124" s="100"/>
      <c r="C124" s="100"/>
      <c r="D124" s="100"/>
      <c r="E124" s="100"/>
      <c r="F124" s="100"/>
      <c r="G124" s="103"/>
      <c r="H124" s="186"/>
      <c r="I124" s="195"/>
      <c r="J124" s="107"/>
      <c r="K124" s="107"/>
      <c r="L124" s="107"/>
      <c r="M124" s="187"/>
      <c r="N124" s="169">
        <f t="shared" si="42"/>
        <v>0</v>
      </c>
      <c r="O124" s="144">
        <v>1</v>
      </c>
      <c r="P124" s="145"/>
      <c r="Q124" s="113"/>
      <c r="R124" s="113"/>
      <c r="S124" s="113"/>
      <c r="T124" s="146"/>
      <c r="U124" s="148">
        <f t="shared" si="30"/>
        <v>0</v>
      </c>
      <c r="V124" s="149">
        <f t="shared" si="31"/>
        <v>0</v>
      </c>
      <c r="W124" s="189"/>
      <c r="X124" s="199"/>
      <c r="Y124" s="151"/>
      <c r="Z124" s="190"/>
      <c r="AA124" s="153"/>
      <c r="AB124" s="154" t="e">
        <f t="shared" si="32"/>
        <v>#DIV/0!</v>
      </c>
      <c r="AC124" s="149" t="e">
        <f t="shared" si="33"/>
        <v>#DIV/0!</v>
      </c>
      <c r="AD124" s="125">
        <v>2</v>
      </c>
      <c r="AE124" s="148" t="e">
        <f t="shared" si="34"/>
        <v>#DIV/0!</v>
      </c>
      <c r="AF124" s="156"/>
      <c r="AG124" s="156"/>
      <c r="AH124" s="113" t="e">
        <f t="shared" si="35"/>
        <v>#DIV/0!</v>
      </c>
      <c r="AI124" s="157">
        <v>65</v>
      </c>
      <c r="AJ124" s="113" t="e">
        <f t="shared" si="36"/>
        <v>#DIV/0!</v>
      </c>
      <c r="AK124" s="113" t="e">
        <f t="shared" si="37"/>
        <v>#DIV/0!</v>
      </c>
      <c r="AL124" s="158" t="e">
        <f t="shared" si="38"/>
        <v>#DIV/0!</v>
      </c>
      <c r="AM124" s="159"/>
      <c r="AN124" s="160">
        <f t="shared" si="43"/>
        <v>1</v>
      </c>
      <c r="AO124" s="160">
        <f t="shared" si="43"/>
        <v>2</v>
      </c>
      <c r="AP124" s="133"/>
      <c r="AQ124" s="134"/>
      <c r="AR124" s="161"/>
      <c r="AS124" s="161"/>
      <c r="AT124" s="161"/>
      <c r="AU124" s="161"/>
      <c r="AV124" s="162"/>
      <c r="AW124" s="137">
        <f t="shared" si="39"/>
        <v>0</v>
      </c>
      <c r="AX124" s="137">
        <f t="shared" si="40"/>
        <v>0</v>
      </c>
    </row>
    <row r="125" ht="46.5" customHeight="1" spans="1:50" s="97" customFormat="1" x14ac:dyDescent="0.25">
      <c r="A125" s="100"/>
      <c r="B125" s="100"/>
      <c r="C125" s="100"/>
      <c r="D125" s="100"/>
      <c r="E125" s="100"/>
      <c r="F125" s="100"/>
      <c r="G125" s="103"/>
      <c r="H125" s="186"/>
      <c r="I125" s="195"/>
      <c r="J125" s="107"/>
      <c r="K125" s="107"/>
      <c r="L125" s="107"/>
      <c r="M125" s="187"/>
      <c r="N125" s="169">
        <f t="shared" si="42"/>
        <v>0</v>
      </c>
      <c r="O125" s="144">
        <v>1</v>
      </c>
      <c r="P125" s="145"/>
      <c r="Q125" s="113"/>
      <c r="R125" s="113"/>
      <c r="S125" s="113"/>
      <c r="T125" s="146"/>
      <c r="U125" s="148">
        <f t="shared" si="30"/>
        <v>0</v>
      </c>
      <c r="V125" s="149">
        <f t="shared" si="31"/>
        <v>0</v>
      </c>
      <c r="W125" s="189"/>
      <c r="X125" s="199"/>
      <c r="Y125" s="151"/>
      <c r="Z125" s="190"/>
      <c r="AA125" s="153"/>
      <c r="AB125" s="154" t="e">
        <f t="shared" si="32"/>
        <v>#DIV/0!</v>
      </c>
      <c r="AC125" s="149" t="e">
        <f t="shared" si="33"/>
        <v>#DIV/0!</v>
      </c>
      <c r="AD125" s="125">
        <v>2</v>
      </c>
      <c r="AE125" s="148" t="e">
        <f t="shared" si="34"/>
        <v>#DIV/0!</v>
      </c>
      <c r="AF125" s="156"/>
      <c r="AG125" s="156"/>
      <c r="AH125" s="113" t="e">
        <f t="shared" si="35"/>
        <v>#DIV/0!</v>
      </c>
      <c r="AI125" s="157">
        <v>65</v>
      </c>
      <c r="AJ125" s="113" t="e">
        <f t="shared" si="36"/>
        <v>#DIV/0!</v>
      </c>
      <c r="AK125" s="113" t="e">
        <f t="shared" si="37"/>
        <v>#DIV/0!</v>
      </c>
      <c r="AL125" s="158" t="e">
        <f t="shared" si="38"/>
        <v>#DIV/0!</v>
      </c>
      <c r="AM125" s="159"/>
      <c r="AN125" s="160">
        <f t="shared" si="43"/>
        <v>1</v>
      </c>
      <c r="AO125" s="160">
        <f t="shared" si="43"/>
        <v>2</v>
      </c>
      <c r="AP125" s="133"/>
      <c r="AQ125" s="134"/>
      <c r="AR125" s="161"/>
      <c r="AS125" s="161"/>
      <c r="AT125" s="161"/>
      <c r="AU125" s="161"/>
      <c r="AV125" s="162"/>
      <c r="AW125" s="137">
        <f t="shared" si="39"/>
        <v>0</v>
      </c>
      <c r="AX125" s="137">
        <f t="shared" si="40"/>
        <v>0</v>
      </c>
    </row>
    <row r="126" ht="47.25" customHeight="1" spans="1:50" s="56" customFormat="1" x14ac:dyDescent="0.25">
      <c r="A126" s="100"/>
      <c r="B126" s="100"/>
      <c r="C126" s="100"/>
      <c r="D126" s="100"/>
      <c r="E126" s="100"/>
      <c r="F126" s="100"/>
      <c r="G126" s="103"/>
      <c r="H126" s="186"/>
      <c r="I126" s="195"/>
      <c r="J126" s="107"/>
      <c r="K126" s="107"/>
      <c r="L126" s="107"/>
      <c r="M126" s="187"/>
      <c r="N126" s="169">
        <f t="shared" si="42"/>
        <v>0</v>
      </c>
      <c r="O126" s="144">
        <v>1</v>
      </c>
      <c r="P126" s="145"/>
      <c r="Q126" s="113"/>
      <c r="R126" s="113"/>
      <c r="S126" s="113"/>
      <c r="T126" s="146"/>
      <c r="U126" s="148">
        <f t="shared" si="30"/>
        <v>0</v>
      </c>
      <c r="V126" s="149">
        <f t="shared" si="31"/>
        <v>0</v>
      </c>
      <c r="W126" s="189"/>
      <c r="X126" s="199"/>
      <c r="Y126" s="151"/>
      <c r="Z126" s="190"/>
      <c r="AA126" s="153"/>
      <c r="AB126" s="154" t="e">
        <f t="shared" si="32"/>
        <v>#DIV/0!</v>
      </c>
      <c r="AC126" s="149" t="e">
        <f t="shared" si="33"/>
        <v>#DIV/0!</v>
      </c>
      <c r="AD126" s="125">
        <v>2</v>
      </c>
      <c r="AE126" s="148" t="e">
        <f t="shared" si="34"/>
        <v>#DIV/0!</v>
      </c>
      <c r="AF126" s="156"/>
      <c r="AG126" s="156"/>
      <c r="AH126" s="113" t="e">
        <f t="shared" si="35"/>
        <v>#DIV/0!</v>
      </c>
      <c r="AI126" s="157">
        <v>65</v>
      </c>
      <c r="AJ126" s="113" t="e">
        <f t="shared" si="36"/>
        <v>#DIV/0!</v>
      </c>
      <c r="AK126" s="113" t="e">
        <f t="shared" si="37"/>
        <v>#DIV/0!</v>
      </c>
      <c r="AL126" s="158" t="e">
        <f t="shared" si="38"/>
        <v>#DIV/0!</v>
      </c>
      <c r="AM126" s="159"/>
      <c r="AN126" s="160">
        <f t="shared" si="43"/>
        <v>1</v>
      </c>
      <c r="AO126" s="160">
        <f t="shared" si="43"/>
        <v>2</v>
      </c>
      <c r="AP126" s="133"/>
      <c r="AQ126" s="134"/>
      <c r="AR126" s="161"/>
      <c r="AS126" s="161"/>
      <c r="AT126" s="161"/>
      <c r="AU126" s="161"/>
      <c r="AV126" s="162"/>
      <c r="AW126" s="137">
        <f t="shared" si="39"/>
        <v>0</v>
      </c>
      <c r="AX126" s="137">
        <f t="shared" si="40"/>
        <v>0</v>
      </c>
    </row>
    <row r="127" ht="46.5" customHeight="1" spans="1:50" s="97" customFormat="1" x14ac:dyDescent="0.25">
      <c r="A127" s="100"/>
      <c r="B127" s="100"/>
      <c r="C127" s="100"/>
      <c r="D127" s="100"/>
      <c r="E127" s="100"/>
      <c r="F127" s="100"/>
      <c r="G127" s="103"/>
      <c r="H127" s="186"/>
      <c r="I127" s="195"/>
      <c r="J127" s="107"/>
      <c r="K127" s="107"/>
      <c r="L127" s="107"/>
      <c r="M127" s="187"/>
      <c r="N127" s="169">
        <f t="shared" si="42"/>
        <v>0</v>
      </c>
      <c r="O127" s="144">
        <v>1</v>
      </c>
      <c r="P127" s="145"/>
      <c r="Q127" s="113"/>
      <c r="R127" s="113"/>
      <c r="S127" s="113"/>
      <c r="T127" s="146"/>
      <c r="U127" s="148">
        <f t="shared" si="30"/>
        <v>0</v>
      </c>
      <c r="V127" s="149">
        <f t="shared" si="31"/>
        <v>0</v>
      </c>
      <c r="W127" s="189"/>
      <c r="X127" s="199"/>
      <c r="Y127" s="151"/>
      <c r="Z127" s="190"/>
      <c r="AA127" s="153"/>
      <c r="AB127" s="154" t="e">
        <f t="shared" si="32"/>
        <v>#DIV/0!</v>
      </c>
      <c r="AC127" s="149" t="e">
        <f t="shared" si="33"/>
        <v>#DIV/0!</v>
      </c>
      <c r="AD127" s="125">
        <v>2</v>
      </c>
      <c r="AE127" s="148" t="e">
        <f t="shared" si="34"/>
        <v>#DIV/0!</v>
      </c>
      <c r="AF127" s="156"/>
      <c r="AG127" s="156"/>
      <c r="AH127" s="113" t="e">
        <f t="shared" si="35"/>
        <v>#DIV/0!</v>
      </c>
      <c r="AI127" s="157">
        <v>65</v>
      </c>
      <c r="AJ127" s="113" t="e">
        <f t="shared" si="36"/>
        <v>#DIV/0!</v>
      </c>
      <c r="AK127" s="113" t="e">
        <f t="shared" si="37"/>
        <v>#DIV/0!</v>
      </c>
      <c r="AL127" s="158" t="e">
        <f t="shared" si="38"/>
        <v>#DIV/0!</v>
      </c>
      <c r="AM127" s="159"/>
      <c r="AN127" s="160">
        <f t="shared" si="43"/>
        <v>1</v>
      </c>
      <c r="AO127" s="160">
        <f t="shared" si="43"/>
        <v>2</v>
      </c>
      <c r="AP127" s="133"/>
      <c r="AQ127" s="134"/>
      <c r="AR127" s="161"/>
      <c r="AS127" s="161"/>
      <c r="AT127" s="161"/>
      <c r="AU127" s="161"/>
      <c r="AV127" s="162"/>
      <c r="AW127" s="137">
        <f t="shared" si="39"/>
        <v>0</v>
      </c>
      <c r="AX127" s="137">
        <f t="shared" si="40"/>
        <v>0</v>
      </c>
    </row>
    <row r="128" ht="47.25" customHeight="1" spans="1:50" s="56" customFormat="1" x14ac:dyDescent="0.25">
      <c r="A128" s="100"/>
      <c r="B128" s="100"/>
      <c r="C128" s="100"/>
      <c r="D128" s="100"/>
      <c r="E128" s="100"/>
      <c r="F128" s="100"/>
      <c r="G128" s="103"/>
      <c r="H128" s="186"/>
      <c r="I128" s="195"/>
      <c r="J128" s="107"/>
      <c r="K128" s="107"/>
      <c r="L128" s="107"/>
      <c r="M128" s="187"/>
      <c r="N128" s="169">
        <f t="shared" si="42"/>
        <v>0</v>
      </c>
      <c r="O128" s="144">
        <v>1</v>
      </c>
      <c r="P128" s="145"/>
      <c r="Q128" s="113"/>
      <c r="R128" s="113"/>
      <c r="S128" s="113"/>
      <c r="T128" s="146"/>
      <c r="U128" s="148">
        <f t="shared" si="30"/>
        <v>0</v>
      </c>
      <c r="V128" s="149">
        <f t="shared" si="31"/>
        <v>0</v>
      </c>
      <c r="W128" s="189"/>
      <c r="X128" s="199"/>
      <c r="Y128" s="151"/>
      <c r="Z128" s="190"/>
      <c r="AA128" s="153"/>
      <c r="AB128" s="154" t="e">
        <f t="shared" si="32"/>
        <v>#DIV/0!</v>
      </c>
      <c r="AC128" s="149" t="e">
        <f t="shared" si="33"/>
        <v>#DIV/0!</v>
      </c>
      <c r="AD128" s="125">
        <v>2</v>
      </c>
      <c r="AE128" s="148" t="e">
        <f t="shared" si="34"/>
        <v>#DIV/0!</v>
      </c>
      <c r="AF128" s="156"/>
      <c r="AG128" s="156"/>
      <c r="AH128" s="113" t="e">
        <f t="shared" si="35"/>
        <v>#DIV/0!</v>
      </c>
      <c r="AI128" s="157">
        <v>65</v>
      </c>
      <c r="AJ128" s="113" t="e">
        <f t="shared" si="36"/>
        <v>#DIV/0!</v>
      </c>
      <c r="AK128" s="113" t="e">
        <f t="shared" si="37"/>
        <v>#DIV/0!</v>
      </c>
      <c r="AL128" s="158" t="e">
        <f t="shared" si="38"/>
        <v>#DIV/0!</v>
      </c>
      <c r="AM128" s="159"/>
      <c r="AN128" s="160">
        <f t="shared" si="43"/>
        <v>1</v>
      </c>
      <c r="AO128" s="160">
        <f t="shared" si="43"/>
        <v>2</v>
      </c>
      <c r="AP128" s="133"/>
      <c r="AQ128" s="134"/>
      <c r="AR128" s="161"/>
      <c r="AS128" s="161"/>
      <c r="AT128" s="161"/>
      <c r="AU128" s="161"/>
      <c r="AV128" s="162"/>
      <c r="AW128" s="137">
        <f t="shared" si="39"/>
        <v>0</v>
      </c>
      <c r="AX128" s="137">
        <f t="shared" si="40"/>
        <v>0</v>
      </c>
    </row>
    <row r="129" ht="46.5" customHeight="1" spans="1:50" s="97" customFormat="1" x14ac:dyDescent="0.25">
      <c r="A129" s="100"/>
      <c r="B129" s="100"/>
      <c r="C129" s="100"/>
      <c r="D129" s="100"/>
      <c r="E129" s="100"/>
      <c r="F129" s="100"/>
      <c r="G129" s="103"/>
      <c r="H129" s="186"/>
      <c r="I129" s="195">
        <v>0.51</v>
      </c>
      <c r="J129" s="107">
        <v>0.49</v>
      </c>
      <c r="K129" s="107"/>
      <c r="L129" s="107"/>
      <c r="M129" s="187"/>
      <c r="N129" s="169">
        <f t="shared" si="42"/>
        <v>1</v>
      </c>
      <c r="O129" s="144">
        <v>1</v>
      </c>
      <c r="P129" s="145"/>
      <c r="Q129" s="113"/>
      <c r="R129" s="113"/>
      <c r="S129" s="113"/>
      <c r="T129" s="146"/>
      <c r="U129" s="148">
        <f t="shared" si="30"/>
        <v>0</v>
      </c>
      <c r="V129" s="149">
        <f t="shared" si="31"/>
        <v>0</v>
      </c>
      <c r="W129" s="189"/>
      <c r="X129" s="199"/>
      <c r="Y129" s="151"/>
      <c r="Z129" s="190"/>
      <c r="AA129" s="153"/>
      <c r="AB129" s="154" t="e">
        <f t="shared" si="32"/>
        <v>#DIV/0!</v>
      </c>
      <c r="AC129" s="149" t="e">
        <f t="shared" si="33"/>
        <v>#DIV/0!</v>
      </c>
      <c r="AD129" s="125">
        <v>2</v>
      </c>
      <c r="AE129" s="148" t="e">
        <f t="shared" si="34"/>
        <v>#DIV/0!</v>
      </c>
      <c r="AF129" s="156"/>
      <c r="AG129" s="156"/>
      <c r="AH129" s="113" t="e">
        <f t="shared" si="35"/>
        <v>#DIV/0!</v>
      </c>
      <c r="AI129" s="157">
        <v>65</v>
      </c>
      <c r="AJ129" s="113" t="e">
        <f t="shared" si="36"/>
        <v>#DIV/0!</v>
      </c>
      <c r="AK129" s="113" t="e">
        <f t="shared" si="37"/>
        <v>#DIV/0!</v>
      </c>
      <c r="AL129" s="158" t="e">
        <f t="shared" si="38"/>
        <v>#DIV/0!</v>
      </c>
      <c r="AM129" s="159"/>
      <c r="AN129" s="160">
        <f t="shared" si="43"/>
        <v>1</v>
      </c>
      <c r="AO129" s="160">
        <f t="shared" si="43"/>
        <v>2</v>
      </c>
      <c r="AP129" s="133"/>
      <c r="AQ129" s="134"/>
      <c r="AR129" s="161"/>
      <c r="AS129" s="161"/>
      <c r="AT129" s="161"/>
      <c r="AU129" s="161"/>
      <c r="AV129" s="162"/>
      <c r="AW129" s="137">
        <f t="shared" si="39"/>
        <v>0</v>
      </c>
      <c r="AX129" s="137">
        <f t="shared" si="40"/>
        <v>0</v>
      </c>
    </row>
    <row r="130" ht="46.5" customHeight="1" spans="1:50" s="97" customFormat="1" x14ac:dyDescent="0.25">
      <c r="A130" s="100"/>
      <c r="B130" s="100"/>
      <c r="C130" s="100"/>
      <c r="D130" s="100"/>
      <c r="E130" s="100"/>
      <c r="F130" s="100"/>
      <c r="G130" s="103"/>
      <c r="H130" s="186"/>
      <c r="I130" s="195">
        <v>0.51</v>
      </c>
      <c r="J130" s="107">
        <v>0.49</v>
      </c>
      <c r="K130" s="107"/>
      <c r="L130" s="107"/>
      <c r="M130" s="187"/>
      <c r="N130" s="169">
        <f t="shared" si="42"/>
        <v>1</v>
      </c>
      <c r="O130" s="144">
        <v>1</v>
      </c>
      <c r="P130" s="145"/>
      <c r="Q130" s="113"/>
      <c r="R130" s="113"/>
      <c r="S130" s="113"/>
      <c r="T130" s="146"/>
      <c r="U130" s="148">
        <f t="shared" si="30"/>
        <v>0</v>
      </c>
      <c r="V130" s="149">
        <f t="shared" si="31"/>
        <v>0</v>
      </c>
      <c r="W130" s="189"/>
      <c r="X130" s="199"/>
      <c r="Y130" s="151"/>
      <c r="Z130" s="190"/>
      <c r="AA130" s="153"/>
      <c r="AB130" s="154" t="e">
        <f t="shared" si="32"/>
        <v>#DIV/0!</v>
      </c>
      <c r="AC130" s="149" t="e">
        <f t="shared" si="33"/>
        <v>#DIV/0!</v>
      </c>
      <c r="AD130" s="125">
        <v>2</v>
      </c>
      <c r="AE130" s="148" t="e">
        <f t="shared" si="34"/>
        <v>#DIV/0!</v>
      </c>
      <c r="AF130" s="156"/>
      <c r="AG130" s="156"/>
      <c r="AH130" s="113" t="e">
        <f t="shared" si="35"/>
        <v>#DIV/0!</v>
      </c>
      <c r="AI130" s="157">
        <v>65</v>
      </c>
      <c r="AJ130" s="113" t="e">
        <f t="shared" si="36"/>
        <v>#DIV/0!</v>
      </c>
      <c r="AK130" s="113" t="e">
        <f t="shared" si="37"/>
        <v>#DIV/0!</v>
      </c>
      <c r="AL130" s="158" t="e">
        <f t="shared" si="38"/>
        <v>#DIV/0!</v>
      </c>
      <c r="AM130" s="159"/>
      <c r="AN130" s="160">
        <f t="shared" si="43"/>
        <v>1</v>
      </c>
      <c r="AO130" s="160">
        <f t="shared" si="43"/>
        <v>2</v>
      </c>
      <c r="AP130" s="133"/>
      <c r="AQ130" s="134"/>
      <c r="AR130" s="161"/>
      <c r="AS130" s="161"/>
      <c r="AT130" s="161"/>
      <c r="AU130" s="161"/>
      <c r="AV130" s="162"/>
      <c r="AW130" s="137">
        <f t="shared" si="39"/>
        <v>0</v>
      </c>
      <c r="AX130" s="137">
        <f t="shared" si="40"/>
        <v>0</v>
      </c>
    </row>
    <row r="131" ht="47.25" customHeight="1" spans="1:50" s="97" customFormat="1" x14ac:dyDescent="0.25">
      <c r="A131" s="100"/>
      <c r="B131" s="100"/>
      <c r="C131" s="100"/>
      <c r="D131" s="100"/>
      <c r="E131" s="100"/>
      <c r="F131" s="100"/>
      <c r="G131" s="103"/>
      <c r="H131" s="186"/>
      <c r="I131" s="195">
        <v>0.51</v>
      </c>
      <c r="J131" s="107">
        <v>0.49</v>
      </c>
      <c r="K131" s="107"/>
      <c r="L131" s="107"/>
      <c r="M131" s="187"/>
      <c r="N131" s="169">
        <f t="shared" si="42"/>
        <v>1</v>
      </c>
      <c r="O131" s="144">
        <v>1</v>
      </c>
      <c r="P131" s="145"/>
      <c r="Q131" s="113"/>
      <c r="R131" s="113"/>
      <c r="S131" s="113"/>
      <c r="T131" s="146"/>
      <c r="U131" s="148">
        <f t="shared" si="30"/>
        <v>0</v>
      </c>
      <c r="V131" s="149">
        <f t="shared" si="31"/>
        <v>0</v>
      </c>
      <c r="W131" s="189"/>
      <c r="X131" s="199"/>
      <c r="Y131" s="151"/>
      <c r="Z131" s="190"/>
      <c r="AA131" s="153"/>
      <c r="AB131" s="154" t="e">
        <f t="shared" si="32"/>
        <v>#DIV/0!</v>
      </c>
      <c r="AC131" s="149" t="e">
        <f t="shared" si="33"/>
        <v>#DIV/0!</v>
      </c>
      <c r="AD131" s="125">
        <v>2</v>
      </c>
      <c r="AE131" s="148" t="e">
        <f t="shared" si="34"/>
        <v>#DIV/0!</v>
      </c>
      <c r="AF131" s="156"/>
      <c r="AG131" s="156"/>
      <c r="AH131" s="113" t="e">
        <f t="shared" si="35"/>
        <v>#DIV/0!</v>
      </c>
      <c r="AI131" s="157">
        <v>65</v>
      </c>
      <c r="AJ131" s="113" t="e">
        <f t="shared" si="36"/>
        <v>#DIV/0!</v>
      </c>
      <c r="AK131" s="113" t="e">
        <f t="shared" si="37"/>
        <v>#DIV/0!</v>
      </c>
      <c r="AL131" s="158" t="e">
        <f t="shared" si="38"/>
        <v>#DIV/0!</v>
      </c>
      <c r="AM131" s="159"/>
      <c r="AN131" s="160">
        <f t="shared" ref="AN131:AO136" si="44">100%+AM131</f>
        <v>1</v>
      </c>
      <c r="AO131" s="160">
        <f t="shared" si="44"/>
        <v>2</v>
      </c>
      <c r="AP131" s="133"/>
      <c r="AQ131" s="134"/>
      <c r="AR131" s="161"/>
      <c r="AS131" s="161"/>
      <c r="AT131" s="161"/>
      <c r="AU131" s="161"/>
      <c r="AV131" s="162"/>
      <c r="AW131" s="137">
        <f t="shared" si="39"/>
        <v>0</v>
      </c>
      <c r="AX131" s="137">
        <f t="shared" si="40"/>
        <v>0</v>
      </c>
    </row>
    <row r="132" ht="47.25" customHeight="1" spans="1:50" s="56" customFormat="1" x14ac:dyDescent="0.25">
      <c r="A132" s="100"/>
      <c r="B132" s="100"/>
      <c r="C132" s="100"/>
      <c r="D132" s="100"/>
      <c r="E132" s="100"/>
      <c r="F132" s="100"/>
      <c r="G132" s="103"/>
      <c r="H132" s="186"/>
      <c r="I132" s="195">
        <v>0.51</v>
      </c>
      <c r="J132" s="107">
        <v>0.49</v>
      </c>
      <c r="K132" s="107"/>
      <c r="L132" s="107"/>
      <c r="M132" s="187"/>
      <c r="N132" s="169">
        <f t="shared" si="42"/>
        <v>1</v>
      </c>
      <c r="O132" s="144">
        <v>1</v>
      </c>
      <c r="P132" s="145"/>
      <c r="Q132" s="113"/>
      <c r="R132" s="113"/>
      <c r="S132" s="113"/>
      <c r="T132" s="146"/>
      <c r="U132" s="148">
        <f t="shared" si="30"/>
        <v>0</v>
      </c>
      <c r="V132" s="149">
        <f t="shared" si="31"/>
        <v>0</v>
      </c>
      <c r="W132" s="189"/>
      <c r="X132" s="199"/>
      <c r="Y132" s="151"/>
      <c r="Z132" s="190"/>
      <c r="AA132" s="153"/>
      <c r="AB132" s="154" t="e">
        <f t="shared" si="32"/>
        <v>#DIV/0!</v>
      </c>
      <c r="AC132" s="149" t="e">
        <f t="shared" si="33"/>
        <v>#DIV/0!</v>
      </c>
      <c r="AD132" s="125">
        <v>2</v>
      </c>
      <c r="AE132" s="148" t="e">
        <f t="shared" si="34"/>
        <v>#DIV/0!</v>
      </c>
      <c r="AF132" s="156"/>
      <c r="AG132" s="156"/>
      <c r="AH132" s="113" t="e">
        <f t="shared" si="35"/>
        <v>#DIV/0!</v>
      </c>
      <c r="AI132" s="157">
        <v>65</v>
      </c>
      <c r="AJ132" s="113" t="e">
        <f t="shared" si="36"/>
        <v>#DIV/0!</v>
      </c>
      <c r="AK132" s="113" t="e">
        <f t="shared" si="37"/>
        <v>#DIV/0!</v>
      </c>
      <c r="AL132" s="158" t="e">
        <f t="shared" si="38"/>
        <v>#DIV/0!</v>
      </c>
      <c r="AM132" s="159"/>
      <c r="AN132" s="160">
        <f t="shared" si="44"/>
        <v>1</v>
      </c>
      <c r="AO132" s="160">
        <f t="shared" si="44"/>
        <v>2</v>
      </c>
      <c r="AP132" s="133"/>
      <c r="AQ132" s="134"/>
      <c r="AR132" s="161"/>
      <c r="AS132" s="161"/>
      <c r="AT132" s="161"/>
      <c r="AU132" s="161"/>
      <c r="AV132" s="162"/>
      <c r="AW132" s="137">
        <f t="shared" si="39"/>
        <v>0</v>
      </c>
      <c r="AX132" s="137">
        <f t="shared" si="40"/>
        <v>0</v>
      </c>
    </row>
    <row r="133" ht="46.5" customHeight="1" spans="1:50" s="97" customFormat="1" x14ac:dyDescent="0.25">
      <c r="A133" s="100"/>
      <c r="B133" s="100"/>
      <c r="C133" s="100"/>
      <c r="D133" s="100"/>
      <c r="E133" s="100"/>
      <c r="F133" s="100"/>
      <c r="G133" s="103"/>
      <c r="H133" s="186"/>
      <c r="I133" s="195">
        <v>0.51</v>
      </c>
      <c r="J133" s="107">
        <v>0.49</v>
      </c>
      <c r="K133" s="107"/>
      <c r="L133" s="107"/>
      <c r="M133" s="187"/>
      <c r="N133" s="169">
        <f t="shared" si="42"/>
        <v>1</v>
      </c>
      <c r="O133" s="144">
        <v>1</v>
      </c>
      <c r="P133" s="145">
        <v>15</v>
      </c>
      <c r="Q133" s="113">
        <v>15</v>
      </c>
      <c r="R133" s="113"/>
      <c r="S133" s="113"/>
      <c r="T133" s="146"/>
      <c r="U133" s="148">
        <f t="shared" si="30"/>
        <v>15</v>
      </c>
      <c r="V133" s="149">
        <f t="shared" si="31"/>
        <v>15</v>
      </c>
      <c r="W133" s="189"/>
      <c r="X133" s="199"/>
      <c r="Y133" s="151"/>
      <c r="Z133" s="190"/>
      <c r="AA133" s="153"/>
      <c r="AB133" s="154" t="e">
        <f t="shared" si="32"/>
        <v>#DIV/0!</v>
      </c>
      <c r="AC133" s="149" t="e">
        <f t="shared" si="33"/>
        <v>#DIV/0!</v>
      </c>
      <c r="AD133" s="125">
        <v>2</v>
      </c>
      <c r="AE133" s="148" t="e">
        <f t="shared" si="34"/>
        <v>#DIV/0!</v>
      </c>
      <c r="AF133" s="156"/>
      <c r="AG133" s="156"/>
      <c r="AH133" s="113" t="e">
        <f t="shared" si="35"/>
        <v>#DIV/0!</v>
      </c>
      <c r="AI133" s="157">
        <v>65</v>
      </c>
      <c r="AJ133" s="113" t="e">
        <f t="shared" si="36"/>
        <v>#DIV/0!</v>
      </c>
      <c r="AK133" s="113" t="e">
        <f t="shared" si="37"/>
        <v>#DIV/0!</v>
      </c>
      <c r="AL133" s="158" t="e">
        <f t="shared" si="38"/>
        <v>#DIV/0!</v>
      </c>
      <c r="AM133" s="159"/>
      <c r="AN133" s="160">
        <f t="shared" si="44"/>
        <v>1</v>
      </c>
      <c r="AO133" s="160">
        <f t="shared" si="44"/>
        <v>2</v>
      </c>
      <c r="AP133" s="133"/>
      <c r="AQ133" s="134"/>
      <c r="AR133" s="161"/>
      <c r="AS133" s="161"/>
      <c r="AT133" s="161"/>
      <c r="AU133" s="161"/>
      <c r="AV133" s="162"/>
      <c r="AW133" s="137">
        <f t="shared" si="39"/>
        <v>0</v>
      </c>
      <c r="AX133" s="137">
        <f t="shared" si="40"/>
        <v>0</v>
      </c>
    </row>
    <row r="134" ht="47.25" customHeight="1" spans="1:50" s="56" customFormat="1" x14ac:dyDescent="0.25">
      <c r="A134" s="100"/>
      <c r="B134" s="100"/>
      <c r="C134" s="100"/>
      <c r="D134" s="100"/>
      <c r="E134" s="100"/>
      <c r="F134" s="100"/>
      <c r="G134" s="103"/>
      <c r="H134" s="186"/>
      <c r="I134" s="195">
        <v>0.51</v>
      </c>
      <c r="J134" s="107">
        <v>0.49</v>
      </c>
      <c r="K134" s="107"/>
      <c r="L134" s="107"/>
      <c r="M134" s="187"/>
      <c r="N134" s="169">
        <f t="shared" si="42"/>
        <v>1</v>
      </c>
      <c r="O134" s="144">
        <v>1</v>
      </c>
      <c r="P134" s="145">
        <v>15</v>
      </c>
      <c r="Q134" s="113">
        <v>15</v>
      </c>
      <c r="R134" s="113"/>
      <c r="S134" s="113"/>
      <c r="T134" s="146"/>
      <c r="U134" s="148">
        <f t="shared" si="30"/>
        <v>15</v>
      </c>
      <c r="V134" s="149">
        <f t="shared" si="31"/>
        <v>15</v>
      </c>
      <c r="W134" s="189"/>
      <c r="X134" s="199"/>
      <c r="Y134" s="151"/>
      <c r="Z134" s="190"/>
      <c r="AA134" s="153"/>
      <c r="AB134" s="154" t="e">
        <f t="shared" si="32"/>
        <v>#DIV/0!</v>
      </c>
      <c r="AC134" s="149" t="e">
        <f t="shared" si="33"/>
        <v>#DIV/0!</v>
      </c>
      <c r="AD134" s="125">
        <v>2</v>
      </c>
      <c r="AE134" s="148" t="e">
        <f t="shared" si="34"/>
        <v>#DIV/0!</v>
      </c>
      <c r="AF134" s="156"/>
      <c r="AG134" s="156"/>
      <c r="AH134" s="113" t="e">
        <f t="shared" si="35"/>
        <v>#DIV/0!</v>
      </c>
      <c r="AI134" s="157">
        <v>65</v>
      </c>
      <c r="AJ134" s="113" t="e">
        <f t="shared" si="36"/>
        <v>#DIV/0!</v>
      </c>
      <c r="AK134" s="113" t="e">
        <f t="shared" si="37"/>
        <v>#DIV/0!</v>
      </c>
      <c r="AL134" s="158" t="e">
        <f t="shared" si="38"/>
        <v>#DIV/0!</v>
      </c>
      <c r="AM134" s="159"/>
      <c r="AN134" s="160">
        <f t="shared" si="44"/>
        <v>1</v>
      </c>
      <c r="AO134" s="160">
        <f t="shared" si="44"/>
        <v>2</v>
      </c>
      <c r="AP134" s="133"/>
      <c r="AQ134" s="134"/>
      <c r="AR134" s="161"/>
      <c r="AS134" s="161"/>
      <c r="AT134" s="161"/>
      <c r="AU134" s="161"/>
      <c r="AV134" s="162"/>
      <c r="AW134" s="137">
        <f t="shared" si="39"/>
        <v>0</v>
      </c>
      <c r="AX134" s="137">
        <f t="shared" si="40"/>
        <v>0</v>
      </c>
    </row>
    <row r="135" ht="47.25" customHeight="1" spans="1:50" s="97" customFormat="1" x14ac:dyDescent="0.25">
      <c r="A135" s="100"/>
      <c r="B135" s="100"/>
      <c r="C135" s="100"/>
      <c r="D135" s="100"/>
      <c r="E135" s="100"/>
      <c r="F135" s="100"/>
      <c r="G135" s="103"/>
      <c r="H135" s="186"/>
      <c r="I135" s="195">
        <v>0.51</v>
      </c>
      <c r="J135" s="107">
        <v>0.49</v>
      </c>
      <c r="K135" s="107"/>
      <c r="L135" s="107"/>
      <c r="M135" s="187"/>
      <c r="N135" s="169">
        <f t="shared" si="42"/>
        <v>1</v>
      </c>
      <c r="O135" s="144">
        <v>1</v>
      </c>
      <c r="P135" s="145">
        <v>15</v>
      </c>
      <c r="Q135" s="113">
        <v>15</v>
      </c>
      <c r="R135" s="113"/>
      <c r="S135" s="113"/>
      <c r="T135" s="146"/>
      <c r="U135" s="148">
        <f t="shared" si="30"/>
        <v>15</v>
      </c>
      <c r="V135" s="149">
        <f t="shared" si="31"/>
        <v>15</v>
      </c>
      <c r="W135" s="189"/>
      <c r="X135" s="199"/>
      <c r="Y135" s="151"/>
      <c r="Z135" s="190"/>
      <c r="AA135" s="153"/>
      <c r="AB135" s="154" t="e">
        <f t="shared" si="32"/>
        <v>#DIV/0!</v>
      </c>
      <c r="AC135" s="149" t="e">
        <f t="shared" si="33"/>
        <v>#DIV/0!</v>
      </c>
      <c r="AD135" s="125">
        <v>2</v>
      </c>
      <c r="AE135" s="148" t="e">
        <f t="shared" si="34"/>
        <v>#DIV/0!</v>
      </c>
      <c r="AF135" s="156"/>
      <c r="AG135" s="156"/>
      <c r="AH135" s="113" t="e">
        <f t="shared" si="35"/>
        <v>#DIV/0!</v>
      </c>
      <c r="AI135" s="157">
        <v>65</v>
      </c>
      <c r="AJ135" s="113" t="e">
        <f t="shared" si="36"/>
        <v>#DIV/0!</v>
      </c>
      <c r="AK135" s="113" t="e">
        <f t="shared" si="37"/>
        <v>#DIV/0!</v>
      </c>
      <c r="AL135" s="158" t="e">
        <f t="shared" si="38"/>
        <v>#DIV/0!</v>
      </c>
      <c r="AM135" s="159"/>
      <c r="AN135" s="160">
        <f t="shared" si="44"/>
        <v>1</v>
      </c>
      <c r="AO135" s="160">
        <f t="shared" si="44"/>
        <v>2</v>
      </c>
      <c r="AP135" s="133"/>
      <c r="AQ135" s="134"/>
      <c r="AR135" s="161"/>
      <c r="AS135" s="161"/>
      <c r="AT135" s="161"/>
      <c r="AU135" s="161"/>
      <c r="AV135" s="162"/>
      <c r="AW135" s="137">
        <f t="shared" si="39"/>
        <v>0</v>
      </c>
      <c r="AX135" s="137">
        <f t="shared" si="40"/>
        <v>0</v>
      </c>
    </row>
    <row r="136" ht="46.5" customHeight="1" spans="1:50" s="97" customFormat="1" x14ac:dyDescent="0.25">
      <c r="A136" s="100"/>
      <c r="B136" s="100"/>
      <c r="C136" s="100"/>
      <c r="D136" s="100"/>
      <c r="E136" s="100"/>
      <c r="F136" s="100"/>
      <c r="G136" s="103"/>
      <c r="H136" s="186"/>
      <c r="I136" s="195">
        <v>0.51</v>
      </c>
      <c r="J136" s="107">
        <v>0.49</v>
      </c>
      <c r="K136" s="107"/>
      <c r="L136" s="107"/>
      <c r="M136" s="187"/>
      <c r="N136" s="169">
        <f t="shared" si="42"/>
        <v>1</v>
      </c>
      <c r="O136" s="144">
        <v>1</v>
      </c>
      <c r="P136" s="145">
        <v>15</v>
      </c>
      <c r="Q136" s="113">
        <v>15</v>
      </c>
      <c r="R136" s="113"/>
      <c r="S136" s="113"/>
      <c r="T136" s="146"/>
      <c r="U136" s="148">
        <f t="shared" si="30"/>
        <v>15</v>
      </c>
      <c r="V136" s="149">
        <f t="shared" si="31"/>
        <v>15</v>
      </c>
      <c r="W136" s="189"/>
      <c r="X136" s="199"/>
      <c r="Y136" s="151"/>
      <c r="Z136" s="190"/>
      <c r="AA136" s="153"/>
      <c r="AB136" s="154" t="e">
        <f t="shared" si="32"/>
        <v>#DIV/0!</v>
      </c>
      <c r="AC136" s="149" t="e">
        <f t="shared" si="33"/>
        <v>#DIV/0!</v>
      </c>
      <c r="AD136" s="125">
        <v>2</v>
      </c>
      <c r="AE136" s="148" t="e">
        <f t="shared" si="34"/>
        <v>#DIV/0!</v>
      </c>
      <c r="AF136" s="156"/>
      <c r="AG136" s="156"/>
      <c r="AH136" s="113" t="e">
        <f t="shared" si="35"/>
        <v>#DIV/0!</v>
      </c>
      <c r="AI136" s="157">
        <v>65</v>
      </c>
      <c r="AJ136" s="113" t="e">
        <f t="shared" si="36"/>
        <v>#DIV/0!</v>
      </c>
      <c r="AK136" s="113" t="e">
        <f t="shared" si="37"/>
        <v>#DIV/0!</v>
      </c>
      <c r="AL136" s="158" t="e">
        <f t="shared" si="38"/>
        <v>#DIV/0!</v>
      </c>
      <c r="AM136" s="159"/>
      <c r="AN136" s="160">
        <f t="shared" si="44"/>
        <v>1</v>
      </c>
      <c r="AO136" s="160">
        <f t="shared" si="44"/>
        <v>2</v>
      </c>
      <c r="AP136" s="133"/>
      <c r="AQ136" s="134"/>
      <c r="AR136" s="161"/>
      <c r="AS136" s="161"/>
      <c r="AT136" s="161"/>
      <c r="AU136" s="161"/>
      <c r="AV136" s="162"/>
      <c r="AW136" s="137">
        <f t="shared" si="39"/>
        <v>0</v>
      </c>
      <c r="AX136" s="137">
        <f t="shared" si="40"/>
        <v>0</v>
      </c>
    </row>
  </sheetData>
  <mergeCells count="96">
    <mergeCell ref="D1:E1"/>
    <mergeCell ref="F1:G1"/>
    <mergeCell ref="I1:J1"/>
    <mergeCell ref="Y1:Z1"/>
    <mergeCell ref="AA1:AC1"/>
    <mergeCell ref="AD1:AE1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AG2:AH2"/>
    <mergeCell ref="AI2:AK2"/>
    <mergeCell ref="AS2:AT2"/>
    <mergeCell ref="C3:H3"/>
    <mergeCell ref="I3:M3"/>
    <mergeCell ref="P3:U3"/>
    <mergeCell ref="W3:AE3"/>
    <mergeCell ref="A3:A4"/>
    <mergeCell ref="B3:B4"/>
    <mergeCell ref="N3:N4"/>
    <mergeCell ref="O3:O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6:H6"/>
    <mergeCell ref="A8:H8"/>
    <mergeCell ref="A10:H10"/>
    <mergeCell ref="A12:H12"/>
    <mergeCell ref="A14:H14"/>
    <mergeCell ref="A16:H16"/>
    <mergeCell ref="A18:H18"/>
    <mergeCell ref="A20:H20"/>
    <mergeCell ref="A22:H22"/>
    <mergeCell ref="A24:H24"/>
    <mergeCell ref="A26:H26"/>
    <mergeCell ref="A28:H28"/>
    <mergeCell ref="A30:H30"/>
    <mergeCell ref="A32:H32"/>
    <mergeCell ref="A34:H34"/>
    <mergeCell ref="A36:H36"/>
    <mergeCell ref="A38:H38"/>
    <mergeCell ref="A40:H40"/>
    <mergeCell ref="A42:H42"/>
    <mergeCell ref="A44:H44"/>
    <mergeCell ref="A46:H46"/>
    <mergeCell ref="A48:H48"/>
    <mergeCell ref="A50:H50"/>
    <mergeCell ref="A52:H52"/>
    <mergeCell ref="A54:H54"/>
    <mergeCell ref="A56:H56"/>
    <mergeCell ref="A58:H58"/>
    <mergeCell ref="A60:H60"/>
    <mergeCell ref="A62:H62"/>
    <mergeCell ref="A64:H64"/>
    <mergeCell ref="A66:H66"/>
    <mergeCell ref="A68:H68"/>
    <mergeCell ref="A70:H70"/>
    <mergeCell ref="A72:H72"/>
    <mergeCell ref="A74:H74"/>
    <mergeCell ref="A76:H76"/>
    <mergeCell ref="A78:H78"/>
    <mergeCell ref="A80:H80"/>
    <mergeCell ref="A82:H82"/>
    <mergeCell ref="A84:H84"/>
    <mergeCell ref="A86:H86"/>
    <mergeCell ref="A88:H88"/>
    <mergeCell ref="A90:H90"/>
    <mergeCell ref="A92:H92"/>
    <mergeCell ref="A94:H94"/>
    <mergeCell ref="A96:H96"/>
    <mergeCell ref="A98:H98"/>
    <mergeCell ref="A100:H100"/>
    <mergeCell ref="A102:H102"/>
    <mergeCell ref="A104:H104"/>
    <mergeCell ref="A106:H106"/>
    <mergeCell ref="A108:H108"/>
    <mergeCell ref="A110:H110"/>
    <mergeCell ref="A112:H112"/>
    <mergeCell ref="A114:H114"/>
    <mergeCell ref="A116:H116"/>
  </mergeCells>
  <pageMargins left="0.7" right="0.7" top="0.75" bottom="0.75" header="0.3" footer="0.3"/>
  <pageSetup paperSize="9" orientation="portrait" horizontalDpi="4294967295" verticalDpi="4294967295" scale="4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서울권조명기구교체공사</vt:lpstr>
      <vt:lpstr>의왕월암 공공주택지구</vt:lpstr>
      <vt:lpstr>밀양아리랑</vt:lpstr>
      <vt:lpstr>여수국동(소방)</vt:lpstr>
      <vt:lpstr>강원권임대주택</vt:lpstr>
      <vt:lpstr>남양주진접2(소방)</vt:lpstr>
      <vt:lpstr>사천선인</vt:lpstr>
      <vt:lpstr>구리갈매역세권 공공주택지구</vt:lpstr>
      <vt:lpstr>의정부우정(통신)</vt:lpstr>
      <vt:lpstr>대구연호(통신)</vt:lpstr>
      <vt:lpstr>경산대임(소방)</vt:lpstr>
      <vt:lpstr>양주회천택지개발사업</vt:lpstr>
      <vt:lpstr>인천계양</vt:lpstr>
      <vt:lpstr>양주회천(3단계)(통신)</vt:lpstr>
      <vt:lpstr>하남감일(소방)</vt:lpstr>
      <vt:lpstr>부천괴안(소방)</vt:lpstr>
      <vt:lpstr>인천계양(통신)</vt:lpstr>
      <vt:lpstr>양식</vt:lpstr>
    </vt:vector>
  </TitlesOfParts>
  <Company>auney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auney</dc:creator>
  <cp:lastModifiedBy>user</cp:lastModifiedBy>
  <dcterms:created xsi:type="dcterms:W3CDTF">2018-02-19T04:04:34Z</dcterms:created>
  <dcterms:modified xsi:type="dcterms:W3CDTF">2026-01-12T06:14:27Z</dcterms:modified>
</cp:coreProperties>
</file>