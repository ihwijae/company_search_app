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omments/comment5.xml" ContentType="application/vnd.openxmlformats-officedocument.spreadsheetml.comments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32760" yWindow="32760" windowWidth="32760" windowHeight="32760" tabRatio="600" firstSheet="0" activeTab="3" autoFilterDateGrouping="1"/>
  </bookViews>
  <sheets>
    <sheet xmlns:r="http://schemas.openxmlformats.org/officeDocument/2006/relationships" name="서울" sheetId="1" state="visible" r:id="rId1"/>
    <sheet xmlns:r="http://schemas.openxmlformats.org/officeDocument/2006/relationships" name="경기" sheetId="2" state="visible" r:id="rId2"/>
    <sheet xmlns:r="http://schemas.openxmlformats.org/officeDocument/2006/relationships" name="인천" sheetId="3" state="visible" r:id="rId3"/>
    <sheet xmlns:r="http://schemas.openxmlformats.org/officeDocument/2006/relationships" name="강원" sheetId="4" state="visible" r:id="rId4"/>
    <sheet xmlns:r="http://schemas.openxmlformats.org/officeDocument/2006/relationships" name="충남" sheetId="5" state="visible" r:id="rId5"/>
    <sheet xmlns:r="http://schemas.openxmlformats.org/officeDocument/2006/relationships" name="충북" sheetId="6" state="visible" r:id="rId6"/>
    <sheet xmlns:r="http://schemas.openxmlformats.org/officeDocument/2006/relationships" name="대전" sheetId="7" state="visible" r:id="rId7"/>
    <sheet xmlns:r="http://schemas.openxmlformats.org/officeDocument/2006/relationships" name="부산" sheetId="8" state="visible" r:id="rId8"/>
    <sheet xmlns:r="http://schemas.openxmlformats.org/officeDocument/2006/relationships" name="경남" sheetId="9" state="visible" r:id="rId9"/>
    <sheet xmlns:r="http://schemas.openxmlformats.org/officeDocument/2006/relationships" name="경북" sheetId="10" state="visible" r:id="rId10"/>
    <sheet xmlns:r="http://schemas.openxmlformats.org/officeDocument/2006/relationships" name="전남" sheetId="11" state="visible" r:id="rId11"/>
    <sheet xmlns:r="http://schemas.openxmlformats.org/officeDocument/2006/relationships" name="전북" sheetId="12" state="visible" r:id="rId12"/>
    <sheet xmlns:r="http://schemas.openxmlformats.org/officeDocument/2006/relationships" name="광주" sheetId="13" state="visible" r:id="rId13"/>
    <sheet xmlns:r="http://schemas.openxmlformats.org/officeDocument/2006/relationships" name="울산" sheetId="14" state="visible" r:id="rId14"/>
    <sheet xmlns:r="http://schemas.openxmlformats.org/officeDocument/2006/relationships" name="대구" sheetId="15" state="visible" r:id="rId15"/>
    <sheet xmlns:r="http://schemas.openxmlformats.org/officeDocument/2006/relationships" name="세종" sheetId="16" state="visible" r:id="rId16"/>
    <sheet xmlns:r="http://schemas.openxmlformats.org/officeDocument/2006/relationships" name="제주" sheetId="17" state="visible" r:id="rId17"/>
  </sheets>
  <definedNames>
    <definedName name="_xlnm.Print_Titles" localSheetId="0">'서울'!$1:$2</definedName>
    <definedName name="_xlnm.Print_Area" localSheetId="0">'서울'!$A$1:$M$97</definedName>
    <definedName name="_xlnm.Print_Titles" localSheetId="1">'경기'!$1:$2</definedName>
    <definedName name="_xlnm.Print_Area" localSheetId="1">'경기'!$A$1:$M$113</definedName>
    <definedName name="_xlnm.Print_Titles" localSheetId="2">'인천'!$1:$2</definedName>
    <definedName name="_xlnm.Print_Area" localSheetId="2">'인천'!$A$1:$M$33</definedName>
    <definedName name="_xlnm.Print_Titles" localSheetId="3">'강원'!$1:$2</definedName>
    <definedName name="_xlnm.Print_Area" localSheetId="3">'강원'!$A$1:$M$33</definedName>
    <definedName name="_xlnm.Print_Titles" localSheetId="4">'충남'!$1:$2</definedName>
    <definedName name="_xlnm.Print_Area" localSheetId="4">'충남'!$A$1:$M$17</definedName>
    <definedName name="_xlnm.Print_Titles" localSheetId="5">'충북'!$1:$2</definedName>
    <definedName name="_xlnm.Print_Area" localSheetId="5">'충북'!$A$1:$M$17</definedName>
    <definedName name="_xlnm.Print_Titles" localSheetId="6">'대전'!$1:$2</definedName>
    <definedName name="_xlnm.Print_Area" localSheetId="6">'대전'!$A$1:$M$17</definedName>
    <definedName name="_xlnm.Print_Titles" localSheetId="7">'부산'!$1:$2</definedName>
    <definedName name="_xlnm.Print_Area" localSheetId="7">'부산'!$A$1:$M$17</definedName>
    <definedName name="_xlnm.Print_Titles" localSheetId="8">'경남'!$1:$2</definedName>
    <definedName name="_xlnm.Print_Area" localSheetId="8">'경남'!$A$1:$M$17</definedName>
    <definedName name="_xlnm.Print_Titles" localSheetId="9">'경북'!$1:$2</definedName>
    <definedName name="_xlnm.Print_Area" localSheetId="9">'경북'!$A$1:$M$17</definedName>
    <definedName name="_xlnm.Print_Titles" localSheetId="10">'전남'!$1:$2</definedName>
    <definedName name="_xlnm.Print_Area" localSheetId="10">'전남'!$A$1:$M$33</definedName>
    <definedName name="_xlnm.Print_Titles" localSheetId="11">'전북'!$1:$2</definedName>
    <definedName name="_xlnm.Print_Area" localSheetId="11">'전북'!$A$1:$M$17</definedName>
    <definedName name="_xlnm.Print_Titles" localSheetId="12">'광주'!$1:$2</definedName>
    <definedName name="_xlnm.Print_Area" localSheetId="12">'광주'!$A$1:$M$17</definedName>
    <definedName name="_xlnm.Print_Titles" localSheetId="13">'울산'!$1:$2</definedName>
    <definedName name="_xlnm.Print_Area" localSheetId="13">'울산'!$A$1:$M$17</definedName>
    <definedName name="_xlnm.Print_Titles" localSheetId="14">'대구'!$1:$2</definedName>
    <definedName name="_xlnm.Print_Area" localSheetId="14">'대구'!$A$1:$M$17</definedName>
    <definedName name="_xlnm.Print_Titles" localSheetId="15">'세종'!$1:$2</definedName>
    <definedName name="_xlnm.Print_Area" localSheetId="15">'세종'!$A$1:$M$33</definedName>
    <definedName name="_xlnm.Print_Titles" localSheetId="16">'제주'!$1:$2</definedName>
    <definedName name="_xlnm.Print_Area" localSheetId="16">'제주'!$A$1:$M$17</definedName>
  </definedNames>
  <calcPr calcId="162913" fullCalcOnLoad="1"/>
</workbook>
</file>

<file path=xl/styles.xml><?xml version="1.0" encoding="utf-8"?>
<styleSheet xmlns="http://schemas.openxmlformats.org/spreadsheetml/2006/main">
  <numFmts count="8">
    <numFmt numFmtId="164" formatCode="_-* #,##0_-;\-* #,##0_-;_-* &quot;-&quot;_-;_-@_-"/>
    <numFmt numFmtId="165" formatCode="_-* #,##0.00_-;\-* #,##0.00_-;_-* &quot;-&quot;??_-;_-@_-"/>
    <numFmt numFmtId="166" formatCode="#,##0_ "/>
    <numFmt numFmtId="167" formatCode="0_);[Red]\(0\)"/>
    <numFmt numFmtId="168" formatCode="0.00_ "/>
    <numFmt numFmtId="169" formatCode="0.0%"/>
    <numFmt numFmtId="170" formatCode="_-* #,##0.0000000_-;\-* #,##0.0000000_-;_-* &quot;-&quot;_-;_-@_-"/>
    <numFmt numFmtId="171" formatCode="000\-000"/>
  </numFmts>
  <fonts count="90">
    <font>
      <name val="돋움"/>
      <charset val="129"/>
      <family val="3"/>
      <sz val="11"/>
    </font>
    <font>
      <name val="맑은 고딕"/>
      <charset val="129"/>
      <family val="3"/>
      <color indexed="9"/>
      <sz val="11"/>
    </font>
    <font>
      <name val="맑은 고딕"/>
      <charset val="129"/>
      <family val="3"/>
      <color indexed="10"/>
      <sz val="11"/>
    </font>
    <font>
      <name val="바탕체"/>
      <charset val="129"/>
      <family val="1"/>
      <sz val="12"/>
    </font>
    <font>
      <name val="돋움"/>
      <charset val="129"/>
      <family val="3"/>
      <sz val="8"/>
    </font>
    <font>
      <name val="돋움"/>
      <charset val="129"/>
      <family val="3"/>
      <b val="1"/>
      <sz val="11"/>
    </font>
    <font>
      <name val="돋움"/>
      <charset val="129"/>
      <family val="3"/>
      <b val="1"/>
      <sz val="8"/>
    </font>
    <font>
      <name val="돋움"/>
      <charset val="129"/>
      <family val="3"/>
      <b val="1"/>
      <sz val="9"/>
    </font>
    <font>
      <name val="돋움"/>
      <charset val="129"/>
      <family val="3"/>
      <sz val="9"/>
    </font>
    <font>
      <name val="돋움"/>
      <charset val="129"/>
      <family val="3"/>
      <sz val="10"/>
    </font>
    <font>
      <name val="돋움"/>
      <charset val="129"/>
      <family val="3"/>
      <b val="1"/>
      <sz val="12"/>
    </font>
    <font>
      <name val="돋움"/>
      <charset val="129"/>
      <family val="3"/>
      <b val="1"/>
      <color indexed="12"/>
      <sz val="20"/>
    </font>
    <font>
      <name val="돋움"/>
      <charset val="129"/>
      <family val="3"/>
      <b val="1"/>
      <sz val="10"/>
    </font>
    <font>
      <name val="돋움"/>
      <charset val="129"/>
      <family val="3"/>
      <sz val="12"/>
    </font>
    <font>
      <name val="돋움"/>
      <charset val="129"/>
      <family val="3"/>
      <b val="1"/>
      <color indexed="12"/>
      <sz val="20"/>
    </font>
    <font>
      <name val="돋움"/>
      <charset val="129"/>
      <family val="3"/>
      <sz val="11"/>
    </font>
    <font>
      <name val="돋움"/>
      <charset val="129"/>
      <family val="3"/>
      <b val="1"/>
      <sz val="12"/>
    </font>
    <font>
      <name val="돋움"/>
      <charset val="129"/>
      <family val="3"/>
      <b val="1"/>
      <sz val="11"/>
    </font>
    <font>
      <name val="돋움"/>
      <charset val="129"/>
      <family val="3"/>
      <b val="1"/>
      <sz val="8"/>
    </font>
    <font>
      <name val="돋움"/>
      <charset val="129"/>
      <family val="3"/>
      <sz val="9"/>
    </font>
    <font>
      <name val="돋움"/>
      <charset val="129"/>
      <family val="3"/>
      <b val="1"/>
      <sz val="9"/>
    </font>
    <font>
      <name val="돋움"/>
      <charset val="129"/>
      <family val="3"/>
      <sz val="8"/>
    </font>
    <font>
      <name val="돋움"/>
      <charset val="129"/>
      <family val="3"/>
      <b val="1"/>
      <sz val="7.5"/>
    </font>
    <font>
      <name val="돋움"/>
      <charset val="129"/>
      <family val="3"/>
      <b val="1"/>
      <sz val="7"/>
    </font>
    <font>
      <name val="돋움"/>
      <charset val="129"/>
      <family val="3"/>
      <b val="1"/>
      <color rgb="FFFF0000"/>
      <sz val="9"/>
    </font>
    <font>
      <name val="돋움"/>
      <charset val="129"/>
      <family val="3"/>
      <color theme="1"/>
      <sz val="9"/>
    </font>
    <font>
      <name val="돋움"/>
      <charset val="129"/>
      <family val="3"/>
      <b val="1"/>
      <color theme="1"/>
      <sz val="9"/>
    </font>
    <font>
      <name val="돋움"/>
      <charset val="129"/>
      <family val="3"/>
      <b val="1"/>
      <color rgb="FFFF0000"/>
      <sz val="8"/>
    </font>
    <font>
      <name val="돋움"/>
      <charset val="129"/>
      <family val="3"/>
      <b val="1"/>
      <color theme="1"/>
      <sz val="10"/>
    </font>
    <font>
      <name val="돋음"/>
      <charset val="129"/>
      <family val="3"/>
      <b val="1"/>
      <color theme="1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b val="1"/>
      <color rgb="FFFF0000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b val="1"/>
      <color rgb="FFFF0000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b val="1"/>
      <color rgb="FFFF0000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b val="1"/>
      <color rgb="FFFF0000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b val="1"/>
      <color rgb="FFFF0000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b val="1"/>
      <color rgb="FFFF0000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b val="1"/>
      <color rgb="FFFF0000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b val="1"/>
      <color rgb="FFFF0000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b val="1"/>
      <color rgb="FFFF0000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b val="1"/>
      <color rgb="FFFF0000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b val="1"/>
      <color rgb="FFFF0000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b val="1"/>
      <color rgb="FFFF0000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b val="1"/>
      <color rgb="FFFF0000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b val="1"/>
      <color rgb="FFFF0000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b val="1"/>
      <color rgb="FFFF0000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b val="1"/>
      <color rgb="FFFF0000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b val="1"/>
      <color rgb="FFFF0000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b val="1"/>
      <color rgb="FFFF0000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b val="1"/>
      <color rgb="FFFF0000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b val="1"/>
      <color rgb="FFFF0000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b val="1"/>
      <color rgb="FFFF0000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b val="1"/>
      <color rgb="FFFF0000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b val="1"/>
      <color rgb="FFFF0000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b val="1"/>
      <color rgb="FFFF0000"/>
      <sz val="9"/>
    </font>
    <font>
      <name val="돋움"/>
      <charset val="129"/>
      <family val="3"/>
      <b val="1"/>
      <sz val="12"/>
    </font>
    <font>
      <name val="돋움"/>
      <charset val="129"/>
      <family val="3"/>
      <color rgb="FF000000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b val="1"/>
      <sz val="12"/>
    </font>
    <font>
      <color rgb="00000000"/>
      <sz val="9"/>
    </font>
  </fonts>
  <fills count="50">
    <fill>
      <patternFill/>
    </fill>
    <fill>
      <patternFill patternType="gray125"/>
    </fill>
    <fill>
      <patternFill patternType="solid">
        <fgColor indexed="36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3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rgb="FFD9D9D9"/>
        <bgColor rgb="FFD9D9D9"/>
      </patternFill>
    </fill>
    <fill>
      <patternFill patternType="solid">
        <fgColor theme="6" tint="0.7999816888943144"/>
        <bgColor indexed="65"/>
      </patternFill>
    </fill>
    <fill>
      <patternFill patternType="solid">
        <fgColor rgb="FFD9D9D9"/>
        <bgColor rgb="FFD9D9D9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799981688894314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7">
    <xf numFmtId="0" fontId="15" fillId="0" borderId="0"/>
    <xf numFmtId="0" fontId="1" fillId="2" borderId="0" applyAlignment="1">
      <alignment vertical="center"/>
    </xf>
    <xf numFmtId="0" fontId="2" fillId="0" borderId="0" applyAlignment="1">
      <alignment vertical="center"/>
    </xf>
    <xf numFmtId="9" fontId="15" fillId="0" borderId="0"/>
    <xf numFmtId="41" fontId="15" fillId="0" borderId="0"/>
    <xf numFmtId="41" fontId="15" fillId="0" borderId="0"/>
    <xf numFmtId="0" fontId="3" fillId="0" borderId="0"/>
  </cellStyleXfs>
  <cellXfs count="950">
    <xf numFmtId="0" fontId="0" fillId="0" borderId="0" pivotButton="0" quotePrefix="0" xfId="0"/>
    <xf numFmtId="0" fontId="8" fillId="6" borderId="1" applyAlignment="1" pivotButton="0" quotePrefix="0" xfId="0">
      <alignment horizontal="center" vertical="center"/>
    </xf>
    <xf numFmtId="10" fontId="8" fillId="6" borderId="1" applyAlignment="1" pivotButton="0" quotePrefix="0" xfId="3">
      <alignment horizontal="center" vertical="center"/>
    </xf>
    <xf numFmtId="49" fontId="7" fillId="6" borderId="1" applyAlignment="1" pivotButton="0" quotePrefix="0" xfId="4">
      <alignment horizontal="center" vertical="center"/>
    </xf>
    <xf numFmtId="49" fontId="8" fillId="6" borderId="1" applyAlignment="1" pivotButton="0" quotePrefix="0" xfId="4">
      <alignment horizontal="center" vertical="center"/>
    </xf>
    <xf numFmtId="49" fontId="8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49" fontId="7" fillId="6" borderId="1" applyAlignment="1" pivotButton="0" quotePrefix="0" xfId="4">
      <alignment horizontal="center" vertical="center" wrapText="1"/>
    </xf>
    <xf numFmtId="0" fontId="0" fillId="0" borderId="0" applyAlignment="1" pivotButton="0" quotePrefix="0" xfId="0">
      <alignment horizontal="center"/>
    </xf>
    <xf numFmtId="0" fontId="8" fillId="0" borderId="1" applyAlignment="1" pivotButton="0" quotePrefix="0" xfId="0">
      <alignment horizontal="center" vertical="center"/>
    </xf>
    <xf numFmtId="10" fontId="8" fillId="0" borderId="1" applyAlignment="1" pivotButton="0" quotePrefix="0" xfId="3">
      <alignment horizontal="center" vertical="center"/>
    </xf>
    <xf numFmtId="0" fontId="8" fillId="0" borderId="1" applyAlignment="1" pivotButton="0" quotePrefix="0" xfId="3">
      <alignment horizontal="center" vertical="center"/>
    </xf>
    <xf numFmtId="49" fontId="7" fillId="0" borderId="1" applyAlignment="1" pivotButton="0" quotePrefix="0" xfId="4">
      <alignment horizontal="center" vertical="center"/>
    </xf>
    <xf numFmtId="0" fontId="5" fillId="3" borderId="0" applyAlignment="1" pivotButton="0" quotePrefix="0" xfId="0">
      <alignment horizontal="center" wrapText="1"/>
    </xf>
    <xf numFmtId="0" fontId="8" fillId="3" borderId="0" applyAlignment="1" pivotButton="0" quotePrefix="0" xfId="0">
      <alignment horizontal="center"/>
    </xf>
    <xf numFmtId="0" fontId="0" fillId="3" borderId="0" applyAlignment="1" pivotButton="0" quotePrefix="0" xfId="0">
      <alignment horizontal="center" wrapText="1"/>
    </xf>
    <xf numFmtId="0" fontId="0" fillId="0" borderId="0" pivotButton="0" quotePrefix="0" xfId="0"/>
    <xf numFmtId="0" fontId="8" fillId="3" borderId="0" pivotButton="0" quotePrefix="0" xfId="0"/>
    <xf numFmtId="0" fontId="10" fillId="3" borderId="0" pivotButton="0" quotePrefix="0" xfId="0"/>
    <xf numFmtId="0" fontId="0" fillId="3" borderId="0" applyAlignment="1" pivotButton="0" quotePrefix="0" xfId="0">
      <alignment wrapText="1"/>
    </xf>
    <xf numFmtId="0" fontId="10" fillId="3" borderId="0" applyAlignment="1" pivotButton="0" quotePrefix="0" xfId="0">
      <alignment horizontal="center"/>
    </xf>
    <xf numFmtId="49" fontId="0" fillId="3" borderId="0" pivotButton="0" quotePrefix="0" xfId="0"/>
    <xf numFmtId="49" fontId="0" fillId="3" borderId="0" applyAlignment="1" pivotButton="0" quotePrefix="0" xfId="0">
      <alignment horizontal="center"/>
    </xf>
    <xf numFmtId="0" fontId="0" fillId="3" borderId="0" pivotButton="0" quotePrefix="0" xfId="0"/>
    <xf numFmtId="0" fontId="10" fillId="3" borderId="0" applyAlignment="1" pivotButton="0" quotePrefix="0" xfId="0">
      <alignment wrapText="1"/>
    </xf>
    <xf numFmtId="0" fontId="13" fillId="0" borderId="0" pivotButton="0" quotePrefix="0" xfId="0"/>
    <xf numFmtId="0" fontId="15" fillId="0" borderId="0" applyAlignment="1" pivotButton="0" quotePrefix="0" xfId="0">
      <alignment horizontal="center"/>
    </xf>
    <xf numFmtId="0" fontId="17" fillId="3" borderId="0" applyAlignment="1" pivotButton="0" quotePrefix="0" xfId="0">
      <alignment horizontal="center" wrapText="1"/>
    </xf>
    <xf numFmtId="0" fontId="15" fillId="6" borderId="0" applyAlignment="1" pivotButton="0" quotePrefix="0" xfId="0">
      <alignment horizontal="center"/>
    </xf>
    <xf numFmtId="0" fontId="19" fillId="3" borderId="0" applyAlignment="1" pivotButton="0" quotePrefix="0" xfId="0">
      <alignment horizontal="center"/>
    </xf>
    <xf numFmtId="0" fontId="16" fillId="3" borderId="0" applyAlignment="1" pivotButton="0" quotePrefix="0" xfId="0">
      <alignment horizontal="center" wrapText="1"/>
    </xf>
    <xf numFmtId="0" fontId="19" fillId="6" borderId="1" applyAlignment="1" pivotButton="0" quotePrefix="0" xfId="0">
      <alignment horizontal="center" vertical="center"/>
    </xf>
    <xf numFmtId="0" fontId="21" fillId="6" borderId="1" applyAlignment="1" pivotButton="0" quotePrefix="0" xfId="0">
      <alignment horizontal="center" vertical="center"/>
    </xf>
    <xf numFmtId="49" fontId="19" fillId="6" borderId="1" applyAlignment="1" pivotButton="0" quotePrefix="0" xfId="4">
      <alignment horizontal="center" vertical="center"/>
    </xf>
    <xf numFmtId="0" fontId="15" fillId="3" borderId="0" applyAlignment="1" pivotButton="0" quotePrefix="0" xfId="0">
      <alignment horizontal="center" wrapText="1"/>
    </xf>
    <xf numFmtId="10" fontId="19" fillId="6" borderId="1" applyAlignment="1" pivotButton="0" quotePrefix="0" xfId="3">
      <alignment horizontal="center" vertical="center"/>
    </xf>
    <xf numFmtId="0" fontId="17" fillId="3" borderId="0" applyAlignment="1" pivotButton="0" quotePrefix="0" xfId="0">
      <alignment horizontal="center"/>
    </xf>
    <xf numFmtId="49" fontId="20" fillId="0" borderId="1" applyAlignment="1" pivotButton="0" quotePrefix="0" xfId="4">
      <alignment horizontal="center" vertical="center" wrapText="1"/>
    </xf>
    <xf numFmtId="0" fontId="19" fillId="0" borderId="1" applyAlignment="1" pivotButton="0" quotePrefix="0" xfId="0">
      <alignment horizontal="center" vertical="center"/>
    </xf>
    <xf numFmtId="49" fontId="19" fillId="0" borderId="1" applyAlignment="1" pivotButton="0" quotePrefix="0" xfId="0">
      <alignment horizontal="center" vertical="center"/>
    </xf>
    <xf numFmtId="10" fontId="19" fillId="0" borderId="1" applyAlignment="1" pivotButton="0" quotePrefix="0" xfId="3">
      <alignment horizontal="center" vertical="center"/>
    </xf>
    <xf numFmtId="0" fontId="19" fillId="0" borderId="1" applyAlignment="1" pivotButton="0" quotePrefix="0" xfId="3">
      <alignment horizontal="center" vertical="center"/>
    </xf>
    <xf numFmtId="0" fontId="19" fillId="0" borderId="1" applyAlignment="1" pivotButton="0" quotePrefix="0" xfId="0">
      <alignment horizontal="center" vertical="center" wrapText="1"/>
    </xf>
    <xf numFmtId="49" fontId="21" fillId="0" borderId="1" applyAlignment="1" pivotButton="0" quotePrefix="0" xfId="4">
      <alignment horizontal="center" vertical="center" wrapText="1"/>
    </xf>
    <xf numFmtId="0" fontId="19" fillId="0" borderId="1" applyAlignment="1" pivotButton="0" quotePrefix="0" xfId="6">
      <alignment horizontal="center" vertical="center"/>
    </xf>
    <xf numFmtId="49" fontId="19" fillId="0" borderId="1" applyAlignment="1" pivotButton="0" quotePrefix="0" xfId="4">
      <alignment horizontal="center" vertical="center"/>
    </xf>
    <xf numFmtId="0" fontId="21" fillId="0" borderId="1" applyAlignment="1" pivotButton="0" quotePrefix="0" xfId="0">
      <alignment horizontal="center" vertical="center"/>
    </xf>
    <xf numFmtId="10" fontId="25" fillId="0" borderId="1" applyAlignment="1" pivotButton="0" quotePrefix="0" xfId="3">
      <alignment horizontal="center" vertical="center"/>
    </xf>
    <xf numFmtId="10" fontId="24" fillId="0" borderId="1" applyAlignment="1" pivotButton="0" quotePrefix="0" xfId="3">
      <alignment horizontal="center" vertical="center"/>
    </xf>
    <xf numFmtId="49" fontId="7" fillId="0" borderId="1" applyAlignment="1" pivotButton="0" quotePrefix="0" xfId="4">
      <alignment horizontal="center" vertical="center" wrapText="1"/>
    </xf>
    <xf numFmtId="49" fontId="20" fillId="0" borderId="1" applyAlignment="1" pivotButton="0" quotePrefix="0" xfId="4">
      <alignment horizontal="center" vertical="center"/>
    </xf>
    <xf numFmtId="0" fontId="15" fillId="0" borderId="1" applyAlignment="1" pivotButton="0" quotePrefix="0" xfId="0">
      <alignment horizontal="center"/>
    </xf>
    <xf numFmtId="49" fontId="18" fillId="0" borderId="1" applyAlignment="1" pivotButton="0" quotePrefix="0" xfId="4">
      <alignment horizontal="center" vertical="center" wrapText="1"/>
    </xf>
    <xf numFmtId="0" fontId="8" fillId="0" borderId="1" applyAlignment="1" pivotButton="0" quotePrefix="0" xfId="6">
      <alignment horizontal="center" vertical="center"/>
    </xf>
    <xf numFmtId="49" fontId="8" fillId="0" borderId="1" applyAlignment="1" pivotButton="0" quotePrefix="0" xfId="4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49" fontId="6" fillId="0" borderId="1" applyAlignment="1" pivotButton="0" quotePrefix="0" xfId="4">
      <alignment horizontal="center" vertical="center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49" fontId="8" fillId="0" borderId="1" applyAlignment="1" pivotButton="0" quotePrefix="0" xfId="0">
      <alignment horizontal="center" vertical="center"/>
    </xf>
    <xf numFmtId="10" fontId="8" fillId="0" borderId="1" applyAlignment="1" pivotButton="0" quotePrefix="1" xfId="3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49" fontId="9" fillId="0" borderId="1" applyAlignment="1" pivotButton="0" quotePrefix="0" xfId="4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49" fontId="25" fillId="6" borderId="1" applyAlignment="1" pivotButton="0" quotePrefix="0" xfId="4">
      <alignment horizontal="center" vertical="center"/>
    </xf>
    <xf numFmtId="10" fontId="24" fillId="6" borderId="1" applyAlignment="1" pivotButton="0" quotePrefix="0" xfId="3">
      <alignment horizontal="center" vertical="center"/>
    </xf>
    <xf numFmtId="0" fontId="8" fillId="6" borderId="1" applyAlignment="1" pivotButton="0" quotePrefix="0" xfId="3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18" fillId="4" borderId="1" applyAlignment="1" pivotButton="0" quotePrefix="0" xfId="0">
      <alignment horizontal="center" vertical="center"/>
    </xf>
    <xf numFmtId="0" fontId="20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22" fillId="4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/>
    </xf>
    <xf numFmtId="0" fontId="23" fillId="4" borderId="1" applyAlignment="1" pivotButton="0" quotePrefix="0" xfId="0">
      <alignment horizontal="center" vertical="center"/>
    </xf>
    <xf numFmtId="0" fontId="19" fillId="6" borderId="1" applyAlignment="1" pivotButton="0" quotePrefix="0" xfId="3">
      <alignment horizontal="center" vertical="center"/>
    </xf>
    <xf numFmtId="10" fontId="25" fillId="6" borderId="1" applyAlignment="1" pivotButton="0" quotePrefix="0" xfId="3">
      <alignment horizontal="center" vertical="center"/>
    </xf>
    <xf numFmtId="0" fontId="7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/>
    </xf>
    <xf numFmtId="49" fontId="19" fillId="6" borderId="1" applyAlignment="1" pivotButton="0" quotePrefix="0" xfId="0">
      <alignment horizontal="center" vertical="center"/>
    </xf>
    <xf numFmtId="0" fontId="19" fillId="6" borderId="1" applyAlignment="1" pivotButton="0" quotePrefix="0" xfId="0">
      <alignment horizontal="center" vertical="center" wrapText="1"/>
    </xf>
    <xf numFmtId="49" fontId="21" fillId="6" borderId="1" applyAlignment="1" pivotButton="0" quotePrefix="0" xfId="4">
      <alignment horizontal="center" vertical="center" wrapText="1"/>
    </xf>
    <xf numFmtId="3" fontId="8" fillId="6" borderId="1" applyAlignment="1" pivotButton="0" quotePrefix="0" xfId="4">
      <alignment horizontal="center" vertical="center"/>
    </xf>
    <xf numFmtId="0" fontId="27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/>
    </xf>
    <xf numFmtId="49" fontId="8" fillId="6" borderId="1" applyAlignment="1" pivotButton="0" quotePrefix="0" xfId="0">
      <alignment horizontal="center"/>
    </xf>
    <xf numFmtId="10" fontId="8" fillId="6" borderId="1" applyAlignment="1" pivotButton="0" quotePrefix="0" xfId="3">
      <alignment horizontal="center"/>
    </xf>
    <xf numFmtId="0" fontId="19" fillId="6" borderId="1" applyAlignment="1" pivotButton="0" quotePrefix="0" xfId="6">
      <alignment horizontal="center" vertical="center"/>
    </xf>
    <xf numFmtId="0" fontId="8" fillId="6" borderId="1" applyAlignment="1" pivotButton="0" quotePrefix="0" xfId="6">
      <alignment horizontal="center" vertical="center"/>
    </xf>
    <xf numFmtId="14" fontId="8" fillId="6" borderId="1" applyAlignment="1" pivotButton="0" quotePrefix="0" xfId="3">
      <alignment horizontal="center" vertical="center"/>
    </xf>
    <xf numFmtId="49" fontId="9" fillId="6" borderId="1" applyAlignment="1" pivotButton="0" quotePrefix="0" xfId="0">
      <alignment horizontal="center" vertical="center"/>
    </xf>
    <xf numFmtId="49" fontId="2" fillId="6" borderId="1" applyAlignment="1" pivotButton="0" quotePrefix="0" xfId="2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19" fillId="8" borderId="1" applyAlignment="1" pivotButton="0" quotePrefix="0" xfId="0">
      <alignment horizontal="center" vertical="center"/>
    </xf>
    <xf numFmtId="10" fontId="24" fillId="8" borderId="1" applyAlignment="1" pivotButton="0" quotePrefix="0" xfId="3">
      <alignment horizontal="center" vertical="center"/>
    </xf>
    <xf numFmtId="10" fontId="19" fillId="8" borderId="1" applyAlignment="1" pivotButton="0" quotePrefix="0" xfId="3">
      <alignment horizontal="center" vertical="center"/>
    </xf>
    <xf numFmtId="10" fontId="25" fillId="8" borderId="1" applyAlignment="1" pivotButton="0" quotePrefix="0" xfId="3">
      <alignment horizontal="center" vertical="center"/>
    </xf>
    <xf numFmtId="0" fontId="8" fillId="8" borderId="1" applyAlignment="1" pivotButton="0" quotePrefix="0" xfId="3">
      <alignment horizontal="center" vertical="center"/>
    </xf>
    <xf numFmtId="49" fontId="7" fillId="8" borderId="1" applyAlignment="1" pivotButton="0" quotePrefix="0" xfId="4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10" fontId="8" fillId="8" borderId="1" applyAlignment="1" pivotButton="0" quotePrefix="0" xfId="3">
      <alignment horizontal="center" vertical="center"/>
    </xf>
    <xf numFmtId="49" fontId="21" fillId="0" borderId="1" applyAlignment="1" pivotButton="0" quotePrefix="0" xfId="4">
      <alignment horizontal="center" vertical="center"/>
    </xf>
    <xf numFmtId="49" fontId="7" fillId="8" borderId="1" applyAlignment="1" pivotButton="0" quotePrefix="0" xfId="4">
      <alignment horizontal="center" vertical="center"/>
    </xf>
    <xf numFmtId="0" fontId="9" fillId="0" borderId="0" applyAlignment="1" pivotButton="0" quotePrefix="0" xfId="0">
      <alignment horizontal="center"/>
    </xf>
    <xf numFmtId="14" fontId="8" fillId="0" borderId="1" applyAlignment="1" pivotButton="0" quotePrefix="0" xfId="3">
      <alignment horizontal="center" vertical="center"/>
    </xf>
    <xf numFmtId="49" fontId="8" fillId="8" borderId="1" applyAlignment="1" pivotButton="0" quotePrefix="0" xfId="4">
      <alignment horizontal="center" vertical="center"/>
    </xf>
    <xf numFmtId="0" fontId="7" fillId="0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49" fontId="8" fillId="8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49" fontId="8" fillId="8" borderId="1" applyAlignment="1" pivotButton="0" quotePrefix="0" xfId="3">
      <alignment horizontal="center" vertical="center"/>
    </xf>
    <xf numFmtId="49" fontId="7" fillId="0" borderId="1" applyAlignment="1" pivotButton="0" quotePrefix="0" xfId="0">
      <alignment horizontal="center" vertical="center" wrapText="1"/>
    </xf>
    <xf numFmtId="49" fontId="9" fillId="8" borderId="1" applyAlignment="1" pivotButton="0" quotePrefix="0" xfId="0">
      <alignment horizontal="center" vertical="center"/>
    </xf>
    <xf numFmtId="49" fontId="9" fillId="0" borderId="1" applyAlignment="1" pivotButton="0" quotePrefix="0" xfId="0">
      <alignment horizontal="center" vertical="center"/>
    </xf>
    <xf numFmtId="49" fontId="25" fillId="8" borderId="1" applyAlignment="1" pivotButton="0" quotePrefix="0" xfId="4">
      <alignment horizontal="center" vertical="center"/>
    </xf>
    <xf numFmtId="49" fontId="26" fillId="8" borderId="1" applyAlignment="1" pivotButton="0" quotePrefix="0" xfId="0">
      <alignment horizontal="center" vertical="center" wrapText="1"/>
    </xf>
    <xf numFmtId="0" fontId="25" fillId="8" borderId="1" applyAlignment="1" pivotButton="0" quotePrefix="0" xfId="0">
      <alignment horizontal="center" vertical="center" wrapText="1"/>
    </xf>
    <xf numFmtId="49" fontId="25" fillId="0" borderId="1" applyAlignment="1" pivotButton="0" quotePrefix="0" xfId="4">
      <alignment horizontal="center" vertical="center"/>
    </xf>
    <xf numFmtId="10" fontId="8" fillId="8" borderId="1" applyAlignment="1" pivotButton="0" quotePrefix="0" xfId="4">
      <alignment horizontal="center" vertical="center"/>
    </xf>
    <xf numFmtId="0" fontId="7" fillId="0" borderId="1" applyAlignment="1" pivotButton="0" quotePrefix="0" xfId="6">
      <alignment horizontal="center" vertical="center"/>
    </xf>
    <xf numFmtId="0" fontId="8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8" fillId="8" borderId="1" applyAlignment="1" pivotButton="0" quotePrefix="0" xfId="0">
      <alignment horizontal="center"/>
    </xf>
    <xf numFmtId="49" fontId="8" fillId="8" borderId="1" applyAlignment="1" pivotButton="0" quotePrefix="0" xfId="0">
      <alignment horizontal="center"/>
    </xf>
    <xf numFmtId="10" fontId="24" fillId="8" borderId="1" applyAlignment="1" pivotButton="0" quotePrefix="0" xfId="3">
      <alignment horizontal="center"/>
    </xf>
    <xf numFmtId="0" fontId="7" fillId="8" borderId="1" applyAlignment="1" pivotButton="0" quotePrefix="0" xfId="0">
      <alignment horizontal="center" vertical="center"/>
    </xf>
    <xf numFmtId="49" fontId="8" fillId="8" borderId="1" applyAlignment="1" pivotButton="0" quotePrefix="1" xfId="4">
      <alignment horizontal="center" vertical="center"/>
    </xf>
    <xf numFmtId="49" fontId="8" fillId="0" borderId="1" applyAlignment="1" pivotButton="0" quotePrefix="1" xfId="4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30" fillId="9" borderId="1" applyAlignment="1" pivotButton="0" quotePrefix="0" xfId="0">
      <alignment horizontal="center" vertical="center"/>
    </xf>
    <xf numFmtId="10" fontId="30" fillId="9" borderId="1" applyAlignment="1" pivotButton="0" quotePrefix="0" xfId="3">
      <alignment horizontal="center" vertical="center"/>
    </xf>
    <xf numFmtId="10" fontId="8" fillId="9" borderId="1" applyAlignment="1" pivotButton="0" quotePrefix="0" xfId="3">
      <alignment horizontal="center" vertical="center"/>
    </xf>
    <xf numFmtId="0" fontId="8" fillId="9" borderId="1" applyAlignment="1" pivotButton="0" quotePrefix="0" xfId="3">
      <alignment horizontal="center" vertical="center"/>
    </xf>
    <xf numFmtId="0" fontId="8" fillId="9" borderId="1" applyAlignment="1" pivotButton="0" quotePrefix="0" xfId="0">
      <alignment horizontal="center" vertical="center" wrapText="1"/>
    </xf>
    <xf numFmtId="0" fontId="19" fillId="9" borderId="1" applyAlignment="1" pivotButton="0" quotePrefix="0" xfId="0">
      <alignment horizontal="center" vertical="center"/>
    </xf>
    <xf numFmtId="49" fontId="30" fillId="9" borderId="1" applyAlignment="1" pivotButton="0" quotePrefix="0" xfId="0">
      <alignment horizontal="center" vertical="center"/>
    </xf>
    <xf numFmtId="0" fontId="19" fillId="9" borderId="1" applyAlignment="1" pivotButton="0" quotePrefix="0" xfId="3">
      <alignment horizontal="center" vertical="center"/>
    </xf>
    <xf numFmtId="49" fontId="30" fillId="9" borderId="1" applyAlignment="1" pivotButton="0" quotePrefix="0" xfId="4">
      <alignment horizontal="center" vertical="center"/>
    </xf>
    <xf numFmtId="49" fontId="8" fillId="9" borderId="1" applyAlignment="1" pivotButton="0" quotePrefix="0" xfId="4">
      <alignment horizontal="center" vertical="center"/>
    </xf>
    <xf numFmtId="10" fontId="31" fillId="9" borderId="1" applyAlignment="1" pivotButton="0" quotePrefix="0" xfId="3">
      <alignment horizontal="center" vertical="center"/>
    </xf>
    <xf numFmtId="49" fontId="7" fillId="9" borderId="1" applyAlignment="1" pivotButton="0" quotePrefix="0" xfId="4">
      <alignment horizontal="center" vertical="center"/>
    </xf>
    <xf numFmtId="49" fontId="7" fillId="9" borderId="1" applyAlignment="1" pivotButton="0" quotePrefix="0" xfId="4">
      <alignment horizontal="center" vertical="center" wrapText="1"/>
    </xf>
    <xf numFmtId="0" fontId="8" fillId="10" borderId="1" applyAlignment="1" pivotButton="0" quotePrefix="0" xfId="0">
      <alignment horizontal="center" vertical="center"/>
    </xf>
    <xf numFmtId="10" fontId="32" fillId="10" borderId="1" applyAlignment="1" pivotButton="0" quotePrefix="0" xfId="3">
      <alignment horizontal="center" vertical="center"/>
    </xf>
    <xf numFmtId="0" fontId="8" fillId="10" borderId="1" applyAlignment="1" pivotButton="0" quotePrefix="0" xfId="0">
      <alignment horizontal="center" vertical="center" wrapText="1"/>
    </xf>
    <xf numFmtId="49" fontId="32" fillId="10" borderId="1" applyAlignment="1" pivotButton="0" quotePrefix="0" xfId="4">
      <alignment horizontal="center" vertical="center"/>
    </xf>
    <xf numFmtId="0" fontId="8" fillId="10" borderId="1" applyAlignment="1" pivotButton="0" quotePrefix="0" xfId="3">
      <alignment horizontal="center" vertical="center"/>
    </xf>
    <xf numFmtId="0" fontId="4" fillId="10" borderId="1" applyAlignment="1" pivotButton="0" quotePrefix="0" xfId="0">
      <alignment horizontal="center" vertical="center"/>
    </xf>
    <xf numFmtId="49" fontId="32" fillId="10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49" fontId="7" fillId="12" borderId="1" applyAlignment="1" pivotButton="0" quotePrefix="0" xfId="4">
      <alignment horizontal="center" vertical="center" wrapText="1"/>
    </xf>
    <xf numFmtId="49" fontId="7" fillId="11" borderId="1" applyAlignment="1" pivotButton="0" quotePrefix="0" xfId="4">
      <alignment horizontal="center" vertical="center" wrapText="1"/>
    </xf>
    <xf numFmtId="49" fontId="20" fillId="11" borderId="1" applyAlignment="1" pivotButton="0" quotePrefix="0" xfId="4">
      <alignment horizontal="center" vertical="center" wrapText="1"/>
    </xf>
    <xf numFmtId="49" fontId="7" fillId="11" borderId="1" applyAlignment="1" pivotButton="0" quotePrefix="0" xfId="5">
      <alignment horizontal="center" vertical="center" wrapText="1"/>
    </xf>
    <xf numFmtId="49" fontId="18" fillId="11" borderId="1" applyAlignment="1" pivotButton="0" quotePrefix="0" xfId="4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49" fontId="29" fillId="12" borderId="1" applyAlignment="1" pivotButton="0" quotePrefix="0" xfId="1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49" fontId="7" fillId="11" borderId="1" applyAlignment="1" pivotButton="0" quotePrefix="0" xfId="0">
      <alignment horizontal="center" vertical="center" wrapText="1"/>
    </xf>
    <xf numFmtId="0" fontId="25" fillId="0" borderId="1" applyAlignment="1" pivotButton="0" quotePrefix="0" xfId="0">
      <alignment horizontal="center" vertical="center" wrapText="1"/>
    </xf>
    <xf numFmtId="10" fontId="7" fillId="11" borderId="1" applyAlignment="1" pivotButton="0" quotePrefix="0" xfId="3">
      <alignment horizontal="center" vertical="center" wrapText="1"/>
    </xf>
    <xf numFmtId="49" fontId="34" fillId="12" borderId="1" applyAlignment="1" pivotButton="0" quotePrefix="0" xfId="4">
      <alignment horizontal="center" vertical="center"/>
    </xf>
    <xf numFmtId="10" fontId="35" fillId="12" borderId="1" applyAlignment="1" pivotButton="0" quotePrefix="0" xfId="3">
      <alignment horizontal="center" vertical="center"/>
    </xf>
    <xf numFmtId="10" fontId="34" fillId="12" borderId="1" applyAlignment="1" pivotButton="0" quotePrefix="0" xfId="3">
      <alignment horizontal="center" vertical="center"/>
    </xf>
    <xf numFmtId="10" fontId="8" fillId="12" borderId="1" applyAlignment="1" pivotButton="0" quotePrefix="0" xfId="3">
      <alignment horizontal="center" vertical="center"/>
    </xf>
    <xf numFmtId="0" fontId="8" fillId="12" borderId="1" applyAlignment="1" pivotButton="0" quotePrefix="0" xfId="0">
      <alignment horizontal="center" vertical="center"/>
    </xf>
    <xf numFmtId="0" fontId="34" fillId="12" borderId="1" applyAlignment="1" pivotButton="0" quotePrefix="0" xfId="0">
      <alignment horizontal="center" vertical="center"/>
    </xf>
    <xf numFmtId="49" fontId="8" fillId="12" borderId="1" applyAlignment="1" pivotButton="0" quotePrefix="0" xfId="4">
      <alignment horizontal="center" vertical="center"/>
    </xf>
    <xf numFmtId="49" fontId="7" fillId="12" borderId="1" applyAlignment="1" pivotButton="0" quotePrefix="0" xfId="4">
      <alignment horizontal="center" vertical="center"/>
    </xf>
    <xf numFmtId="0" fontId="19" fillId="12" borderId="1" applyAlignment="1" pivotButton="0" quotePrefix="0" xfId="0">
      <alignment horizontal="center" vertical="center"/>
    </xf>
    <xf numFmtId="0" fontId="19" fillId="12" borderId="1" applyAlignment="1" pivotButton="0" quotePrefix="0" xfId="3">
      <alignment horizontal="center" vertical="center"/>
    </xf>
    <xf numFmtId="0" fontId="8" fillId="12" borderId="1" applyAlignment="1" pivotButton="0" quotePrefix="0" xfId="3">
      <alignment horizontal="center" vertical="center"/>
    </xf>
    <xf numFmtId="10" fontId="8" fillId="7" borderId="1" applyAlignment="1" pivotButton="0" quotePrefix="0" xfId="3">
      <alignment horizontal="center" vertical="center"/>
    </xf>
    <xf numFmtId="49" fontId="36" fillId="13" borderId="1" applyAlignment="1" pivotButton="0" quotePrefix="0" xfId="4">
      <alignment horizontal="center" vertical="center"/>
    </xf>
    <xf numFmtId="10" fontId="36" fillId="13" borderId="1" applyAlignment="1" pivotButton="0" quotePrefix="0" xfId="3">
      <alignment horizontal="center" vertical="center"/>
    </xf>
    <xf numFmtId="0" fontId="8" fillId="13" borderId="1" applyAlignment="1" pivotButton="0" quotePrefix="0" xfId="3">
      <alignment horizontal="center" vertical="center"/>
    </xf>
    <xf numFmtId="0" fontId="7" fillId="13" borderId="1" applyAlignment="1" pivotButton="0" quotePrefix="0" xfId="0">
      <alignment horizontal="center" vertical="center"/>
    </xf>
    <xf numFmtId="0" fontId="36" fillId="13" borderId="1" applyAlignment="1" pivotButton="0" quotePrefix="0" xfId="0">
      <alignment horizontal="center" vertical="center"/>
    </xf>
    <xf numFmtId="0" fontId="8" fillId="13" borderId="1" applyAlignment="1" pivotButton="0" quotePrefix="0" xfId="0">
      <alignment horizontal="center" vertical="center"/>
    </xf>
    <xf numFmtId="0" fontId="0" fillId="13" borderId="0" applyAlignment="1" pivotButton="0" quotePrefix="0" xfId="0">
      <alignment horizontal="center"/>
    </xf>
    <xf numFmtId="10" fontId="37" fillId="13" borderId="1" applyAlignment="1" pivotButton="0" quotePrefix="0" xfId="3">
      <alignment horizontal="center" vertical="center"/>
    </xf>
    <xf numFmtId="10" fontId="8" fillId="13" borderId="1" applyAlignment="1" pivotButton="0" quotePrefix="0" xfId="3">
      <alignment horizontal="center" vertical="center"/>
    </xf>
    <xf numFmtId="0" fontId="7" fillId="13" borderId="1" applyAlignment="1" pivotButton="0" quotePrefix="0" xfId="0">
      <alignment horizontal="center" vertical="center" wrapText="1"/>
    </xf>
    <xf numFmtId="0" fontId="8" fillId="14" borderId="1" applyAlignment="1" pivotButton="0" quotePrefix="0" xfId="0">
      <alignment horizontal="center" vertical="center"/>
    </xf>
    <xf numFmtId="0" fontId="38" fillId="14" borderId="1" applyAlignment="1" pivotButton="0" quotePrefix="0" xfId="0">
      <alignment horizontal="center" vertical="center"/>
    </xf>
    <xf numFmtId="0" fontId="19" fillId="14" borderId="1" applyAlignment="1" pivotButton="0" quotePrefix="0" xfId="0">
      <alignment horizontal="center" vertical="center"/>
    </xf>
    <xf numFmtId="10" fontId="39" fillId="14" borderId="1" applyAlignment="1" pivotButton="0" quotePrefix="0" xfId="3">
      <alignment horizontal="center" vertical="center"/>
    </xf>
    <xf numFmtId="0" fontId="19" fillId="14" borderId="1" applyAlignment="1" pivotButton="0" quotePrefix="0" xfId="3">
      <alignment horizontal="center" vertical="center"/>
    </xf>
    <xf numFmtId="49" fontId="7" fillId="14" borderId="1" applyAlignment="1" pivotButton="0" quotePrefix="0" xfId="4">
      <alignment horizontal="center" vertical="center" wrapText="1"/>
    </xf>
    <xf numFmtId="0" fontId="8" fillId="14" borderId="1" applyAlignment="1" pivotButton="0" quotePrefix="0" xfId="0">
      <alignment horizontal="center" vertical="center" wrapText="1"/>
    </xf>
    <xf numFmtId="0" fontId="8" fillId="15" borderId="1" applyAlignment="1" pivotButton="0" quotePrefix="0" xfId="0">
      <alignment horizontal="center" vertical="center"/>
    </xf>
    <xf numFmtId="0" fontId="40" fillId="15" borderId="1" applyAlignment="1" pivotButton="0" quotePrefix="0" xfId="0">
      <alignment horizontal="center" vertical="center"/>
    </xf>
    <xf numFmtId="10" fontId="40" fillId="15" borderId="1" applyAlignment="1" pivotButton="0" quotePrefix="0" xfId="3">
      <alignment horizontal="center" vertical="center"/>
    </xf>
    <xf numFmtId="0" fontId="8" fillId="15" borderId="1" applyAlignment="1" pivotButton="0" quotePrefix="0" xfId="3">
      <alignment horizontal="center" vertical="center"/>
    </xf>
    <xf numFmtId="49" fontId="7" fillId="15" borderId="1" applyAlignment="1" pivotButton="0" quotePrefix="0" xfId="5">
      <alignment horizontal="center" vertical="center" wrapText="1"/>
    </xf>
    <xf numFmtId="49" fontId="41" fillId="16" borderId="1" applyAlignment="1" pivotButton="0" quotePrefix="0" xfId="4">
      <alignment horizontal="center" vertical="center"/>
    </xf>
    <xf numFmtId="10" fontId="41" fillId="16" borderId="1" applyAlignment="1" pivotButton="0" quotePrefix="0" xfId="3">
      <alignment horizontal="center" vertical="center"/>
    </xf>
    <xf numFmtId="10" fontId="19" fillId="16" borderId="1" applyAlignment="1" pivotButton="0" quotePrefix="0" xfId="3">
      <alignment horizontal="center" vertical="center"/>
    </xf>
    <xf numFmtId="49" fontId="7" fillId="16" borderId="1" applyAlignment="1" pivotButton="0" quotePrefix="0" xfId="4">
      <alignment horizontal="center" vertical="center" wrapText="1"/>
    </xf>
    <xf numFmtId="0" fontId="8" fillId="16" borderId="1" applyAlignment="1" pivotButton="0" quotePrefix="0" xfId="0">
      <alignment horizontal="center" vertical="center" wrapText="1"/>
    </xf>
    <xf numFmtId="0" fontId="8" fillId="16" borderId="1" applyAlignment="1" pivotButton="0" quotePrefix="0" xfId="0">
      <alignment horizontal="center" vertical="center"/>
    </xf>
    <xf numFmtId="0" fontId="41" fillId="16" borderId="1" applyAlignment="1" pivotButton="0" quotePrefix="0" xfId="0">
      <alignment horizontal="center" vertical="center"/>
    </xf>
    <xf numFmtId="10" fontId="32" fillId="16" borderId="1" applyAlignment="1" pivotButton="0" quotePrefix="0" xfId="3">
      <alignment horizontal="center" vertical="center"/>
    </xf>
    <xf numFmtId="10" fontId="8" fillId="16" borderId="1" applyAlignment="1" pivotButton="0" quotePrefix="0" xfId="3">
      <alignment horizontal="center" vertical="center"/>
    </xf>
    <xf numFmtId="0" fontId="7" fillId="16" borderId="1" applyAlignment="1" pivotButton="0" quotePrefix="0" xfId="6">
      <alignment horizontal="center" vertical="center"/>
    </xf>
    <xf numFmtId="10" fontId="42" fillId="16" borderId="1" applyAlignment="1" pivotButton="0" quotePrefix="0" xfId="3">
      <alignment horizontal="center" vertical="center"/>
    </xf>
    <xf numFmtId="0" fontId="8" fillId="16" borderId="1" applyAlignment="1" pivotButton="0" quotePrefix="0" xfId="3">
      <alignment horizontal="center" vertical="center"/>
    </xf>
    <xf numFmtId="0" fontId="7" fillId="16" borderId="1" applyAlignment="1" pivotButton="0" quotePrefix="0" xfId="0">
      <alignment horizontal="center" vertical="center" wrapText="1"/>
    </xf>
    <xf numFmtId="49" fontId="43" fillId="17" borderId="1" applyAlignment="1" pivotButton="0" quotePrefix="0" xfId="4">
      <alignment horizontal="center" vertical="center"/>
    </xf>
    <xf numFmtId="49" fontId="8" fillId="17" borderId="1" applyAlignment="1" pivotButton="0" quotePrefix="0" xfId="4">
      <alignment horizontal="center" vertical="center"/>
    </xf>
    <xf numFmtId="10" fontId="24" fillId="17" borderId="1" applyAlignment="1" pivotButton="0" quotePrefix="0" xfId="3">
      <alignment horizontal="center" vertical="center"/>
    </xf>
    <xf numFmtId="0" fontId="8" fillId="17" borderId="1" applyAlignment="1" pivotButton="0" quotePrefix="0" xfId="3">
      <alignment horizontal="center" vertical="center"/>
    </xf>
    <xf numFmtId="0" fontId="8" fillId="17" borderId="1" applyAlignment="1" pivotButton="0" quotePrefix="0" xfId="0">
      <alignment horizontal="center" vertical="center"/>
    </xf>
    <xf numFmtId="0" fontId="43" fillId="17" borderId="1" applyAlignment="1" pivotButton="0" quotePrefix="0" xfId="0">
      <alignment horizontal="center" vertical="center"/>
    </xf>
    <xf numFmtId="10" fontId="44" fillId="17" borderId="1" applyAlignment="1" pivotButton="0" quotePrefix="0" xfId="3">
      <alignment horizontal="center" vertical="center"/>
    </xf>
    <xf numFmtId="10" fontId="43" fillId="17" borderId="1" applyAlignment="1" pivotButton="0" quotePrefix="0" xfId="3">
      <alignment horizontal="center" vertical="center"/>
    </xf>
    <xf numFmtId="0" fontId="8" fillId="17" borderId="1" applyAlignment="1" pivotButton="0" quotePrefix="0" xfId="0">
      <alignment horizontal="center" vertical="center" wrapText="1"/>
    </xf>
    <xf numFmtId="49" fontId="7" fillId="17" borderId="1" applyAlignment="1" pivotButton="0" quotePrefix="0" xfId="4">
      <alignment horizontal="center" vertical="center"/>
    </xf>
    <xf numFmtId="49" fontId="8" fillId="17" borderId="1" applyAlignment="1" pivotButton="0" quotePrefix="0" xfId="3">
      <alignment horizontal="center" vertical="center"/>
    </xf>
    <xf numFmtId="49" fontId="7" fillId="17" borderId="1" applyAlignment="1" pivotButton="0" quotePrefix="0" xfId="0">
      <alignment horizontal="center" vertical="center" wrapText="1"/>
    </xf>
    <xf numFmtId="49" fontId="9" fillId="17" borderId="1" applyAlignment="1" pivotButton="0" quotePrefix="0" xfId="0">
      <alignment horizontal="center" vertical="center"/>
    </xf>
    <xf numFmtId="10" fontId="8" fillId="17" borderId="1" applyAlignment="1" pivotButton="0" quotePrefix="0" xfId="3">
      <alignment horizontal="center" vertical="center"/>
    </xf>
    <xf numFmtId="49" fontId="7" fillId="17" borderId="1" applyAlignment="1" pivotButton="0" quotePrefix="0" xfId="4">
      <alignment horizontal="center" vertical="center" wrapText="1"/>
    </xf>
    <xf numFmtId="49" fontId="43" fillId="17" borderId="1" applyAlignment="1" pivotButton="0" quotePrefix="0" xfId="0">
      <alignment horizontal="center" vertical="center"/>
    </xf>
    <xf numFmtId="49" fontId="45" fillId="18" borderId="1" applyAlignment="1" pivotButton="0" quotePrefix="0" xfId="4">
      <alignment horizontal="center" vertical="center"/>
    </xf>
    <xf numFmtId="10" fontId="45" fillId="18" borderId="1" applyAlignment="1" pivotButton="0" quotePrefix="0" xfId="3">
      <alignment horizontal="center" vertical="center"/>
    </xf>
    <xf numFmtId="0" fontId="8" fillId="18" borderId="1" applyAlignment="1" pivotButton="0" quotePrefix="0" xfId="3">
      <alignment horizontal="center" vertical="center"/>
    </xf>
    <xf numFmtId="0" fontId="8" fillId="18" borderId="1" applyAlignment="1" pivotButton="0" quotePrefix="0" xfId="0">
      <alignment horizontal="center" vertical="center" wrapText="1"/>
    </xf>
    <xf numFmtId="0" fontId="8" fillId="18" borderId="1" applyAlignment="1" pivotButton="0" quotePrefix="0" xfId="0">
      <alignment horizontal="center" vertical="center"/>
    </xf>
    <xf numFmtId="49" fontId="45" fillId="18" borderId="1" applyAlignment="1" pivotButton="0" quotePrefix="0" xfId="0">
      <alignment horizontal="center" vertical="center"/>
    </xf>
    <xf numFmtId="10" fontId="8" fillId="18" borderId="1" applyAlignment="1" pivotButton="0" quotePrefix="0" xfId="3">
      <alignment horizontal="center" vertical="center"/>
    </xf>
    <xf numFmtId="0" fontId="7" fillId="18" borderId="1" applyAlignment="1" pivotButton="0" quotePrefix="0" xfId="0">
      <alignment horizontal="center" vertical="center" wrapText="1"/>
    </xf>
    <xf numFmtId="0" fontId="45" fillId="18" borderId="1" applyAlignment="1" pivotButton="0" quotePrefix="0" xfId="0">
      <alignment horizontal="center" vertical="center"/>
    </xf>
    <xf numFmtId="10" fontId="46" fillId="18" borderId="1" applyAlignment="1" pivotButton="0" quotePrefix="0" xfId="3">
      <alignment horizontal="center" vertical="center"/>
    </xf>
    <xf numFmtId="14" fontId="8" fillId="18" borderId="1" applyAlignment="1" pivotButton="0" quotePrefix="0" xfId="3">
      <alignment horizontal="center" vertical="center"/>
    </xf>
    <xf numFmtId="49" fontId="7" fillId="18" borderId="1" applyAlignment="1" pivotButton="0" quotePrefix="0" xfId="4">
      <alignment horizontal="center" vertical="center" wrapText="1"/>
    </xf>
    <xf numFmtId="49" fontId="7" fillId="18" borderId="1" applyAlignment="1" pivotButton="0" quotePrefix="0" xfId="4">
      <alignment horizontal="center" vertical="center"/>
    </xf>
    <xf numFmtId="10" fontId="41" fillId="18" borderId="1" applyAlignment="1" pivotButton="0" quotePrefix="0" xfId="3">
      <alignment horizontal="center" vertical="center"/>
    </xf>
    <xf numFmtId="0" fontId="45" fillId="18" borderId="1" applyAlignment="1" pivotButton="0" quotePrefix="0" xfId="6">
      <alignment horizontal="center" vertical="center"/>
    </xf>
    <xf numFmtId="0" fontId="8" fillId="18" borderId="1" applyAlignment="1" pivotButton="0" quotePrefix="0" xfId="6">
      <alignment horizontal="center" vertical="center"/>
    </xf>
    <xf numFmtId="0" fontId="19" fillId="18" borderId="1" applyAlignment="1" pivotButton="0" quotePrefix="0" xfId="0">
      <alignment horizontal="center" vertical="center"/>
    </xf>
    <xf numFmtId="49" fontId="7" fillId="18" borderId="1" applyAlignment="1" pivotButton="0" quotePrefix="0" xfId="0">
      <alignment horizontal="center" vertical="center" wrapText="1"/>
    </xf>
    <xf numFmtId="0" fontId="8" fillId="19" borderId="1" applyAlignment="1" pivotButton="0" quotePrefix="0" xfId="0">
      <alignment horizontal="center" vertical="center"/>
    </xf>
    <xf numFmtId="0" fontId="47" fillId="19" borderId="1" applyAlignment="1" pivotButton="0" quotePrefix="0" xfId="0">
      <alignment horizontal="center" vertical="center"/>
    </xf>
    <xf numFmtId="0" fontId="19" fillId="19" borderId="1" applyAlignment="1" pivotButton="0" quotePrefix="0" xfId="0">
      <alignment horizontal="center" vertical="center"/>
    </xf>
    <xf numFmtId="10" fontId="48" fillId="19" borderId="1" applyAlignment="1" pivotButton="0" quotePrefix="0" xfId="3">
      <alignment horizontal="center" vertical="center"/>
    </xf>
    <xf numFmtId="0" fontId="8" fillId="19" borderId="1" applyAlignment="1" pivotButton="0" quotePrefix="0" xfId="3">
      <alignment horizontal="center" vertical="center"/>
    </xf>
    <xf numFmtId="49" fontId="7" fillId="19" borderId="1" applyAlignment="1" pivotButton="0" quotePrefix="0" xfId="4">
      <alignment horizontal="center" vertical="center" wrapText="1"/>
    </xf>
    <xf numFmtId="49" fontId="7" fillId="19" borderId="1" applyAlignment="1" pivotButton="0" quotePrefix="0" xfId="0">
      <alignment horizontal="center" vertical="center" wrapText="1"/>
    </xf>
    <xf numFmtId="49" fontId="47" fillId="19" borderId="1" applyAlignment="1" pivotButton="0" quotePrefix="0" xfId="4">
      <alignment horizontal="center" vertical="center"/>
    </xf>
    <xf numFmtId="10" fontId="47" fillId="19" borderId="1" applyAlignment="1" pivotButton="0" quotePrefix="0" xfId="3">
      <alignment horizontal="center" vertical="center"/>
    </xf>
    <xf numFmtId="10" fontId="8" fillId="19" borderId="1" applyAlignment="1" pivotButton="0" quotePrefix="0" xfId="3">
      <alignment horizontal="center" vertical="center"/>
    </xf>
    <xf numFmtId="49" fontId="8" fillId="19" borderId="1" applyAlignment="1" pivotButton="0" quotePrefix="0" xfId="4">
      <alignment horizontal="center" vertical="center"/>
    </xf>
    <xf numFmtId="49" fontId="7" fillId="19" borderId="1" applyAlignment="1" pivotButton="0" quotePrefix="0" xfId="4">
      <alignment horizontal="center" vertical="center"/>
    </xf>
    <xf numFmtId="49" fontId="49" fillId="20" borderId="1" applyAlignment="1" pivotButton="0" quotePrefix="0" xfId="4">
      <alignment horizontal="center" vertical="center"/>
    </xf>
    <xf numFmtId="10" fontId="49" fillId="20" borderId="1" applyAlignment="1" pivotButton="0" quotePrefix="0" xfId="3">
      <alignment horizontal="center" vertical="center"/>
    </xf>
    <xf numFmtId="0" fontId="8" fillId="20" borderId="1" applyAlignment="1" pivotButton="0" quotePrefix="0" xfId="3">
      <alignment horizontal="center" vertical="center"/>
    </xf>
    <xf numFmtId="0" fontId="8" fillId="20" borderId="1" applyAlignment="1" pivotButton="0" quotePrefix="0" xfId="0">
      <alignment horizontal="center" vertical="center"/>
    </xf>
    <xf numFmtId="0" fontId="49" fillId="20" borderId="1" applyAlignment="1" pivotButton="0" quotePrefix="0" xfId="0">
      <alignment horizontal="center" vertical="center"/>
    </xf>
    <xf numFmtId="10" fontId="50" fillId="20" borderId="1" applyAlignment="1" pivotButton="0" quotePrefix="0" xfId="3">
      <alignment horizontal="center" vertical="center"/>
    </xf>
    <xf numFmtId="10" fontId="8" fillId="20" borderId="1" applyAlignment="1" pivotButton="0" quotePrefix="0" xfId="3">
      <alignment horizontal="center" vertical="center"/>
    </xf>
    <xf numFmtId="0" fontId="7" fillId="20" borderId="1" applyAlignment="1" pivotButton="0" quotePrefix="0" xfId="6">
      <alignment horizontal="center" vertical="center"/>
    </xf>
    <xf numFmtId="49" fontId="7" fillId="20" borderId="1" applyAlignment="1" pivotButton="0" quotePrefix="0" xfId="4">
      <alignment horizontal="center" vertical="center"/>
    </xf>
    <xf numFmtId="10" fontId="33" fillId="20" borderId="1" applyAlignment="1" pivotButton="0" quotePrefix="0" xfId="3">
      <alignment horizontal="center" vertical="center"/>
    </xf>
    <xf numFmtId="10" fontId="32" fillId="20" borderId="1" applyAlignment="1" pivotButton="0" quotePrefix="0" xfId="3">
      <alignment horizontal="center" vertical="center"/>
    </xf>
    <xf numFmtId="49" fontId="7" fillId="20" borderId="1" applyAlignment="1" pivotButton="0" quotePrefix="0" xfId="0">
      <alignment horizontal="center" vertical="center" wrapText="1"/>
    </xf>
    <xf numFmtId="49" fontId="7" fillId="20" borderId="1" applyAlignment="1" pivotButton="0" quotePrefix="0" xfId="4">
      <alignment horizontal="center" vertical="center" wrapText="1"/>
    </xf>
    <xf numFmtId="49" fontId="7" fillId="21" borderId="1" applyAlignment="1" pivotButton="0" quotePrefix="0" xfId="4">
      <alignment horizontal="center" vertical="center" wrapText="1"/>
    </xf>
    <xf numFmtId="49" fontId="51" fillId="21" borderId="1" applyAlignment="1" pivotButton="0" quotePrefix="0" xfId="4">
      <alignment horizontal="center" vertical="center"/>
    </xf>
    <xf numFmtId="10" fontId="51" fillId="21" borderId="1" applyAlignment="1" pivotButton="0" quotePrefix="0" xfId="3">
      <alignment horizontal="center" vertical="center"/>
    </xf>
    <xf numFmtId="0" fontId="8" fillId="21" borderId="1" applyAlignment="1" pivotButton="0" quotePrefix="0" xfId="3">
      <alignment horizontal="center" vertical="center"/>
    </xf>
    <xf numFmtId="0" fontId="8" fillId="21" borderId="1" applyAlignment="1" pivotButton="0" quotePrefix="0" xfId="0">
      <alignment horizontal="center" vertical="center" wrapText="1"/>
    </xf>
    <xf numFmtId="0" fontId="25" fillId="21" borderId="1" applyAlignment="1" pivotButton="0" quotePrefix="0" xfId="3">
      <alignment horizontal="center" vertical="center"/>
    </xf>
    <xf numFmtId="0" fontId="26" fillId="21" borderId="1" applyAlignment="1" pivotButton="0" quotePrefix="0" xfId="0">
      <alignment horizontal="center" vertical="center" wrapText="1"/>
    </xf>
    <xf numFmtId="49" fontId="26" fillId="21" borderId="1" applyAlignment="1" pivotButton="0" quotePrefix="0" xfId="0">
      <alignment horizontal="center" vertical="center" wrapText="1"/>
    </xf>
    <xf numFmtId="0" fontId="25" fillId="21" borderId="1" applyAlignment="1" pivotButton="0" quotePrefix="0" xfId="0">
      <alignment horizontal="center" vertical="center" wrapText="1"/>
    </xf>
    <xf numFmtId="0" fontId="8" fillId="21" borderId="1" applyAlignment="1" pivotButton="0" quotePrefix="0" xfId="0">
      <alignment horizontal="center" vertical="center"/>
    </xf>
    <xf numFmtId="0" fontId="51" fillId="21" borderId="1" applyAlignment="1" pivotButton="0" quotePrefix="0" xfId="0">
      <alignment horizontal="center" vertical="center"/>
    </xf>
    <xf numFmtId="10" fontId="52" fillId="21" borderId="1" applyAlignment="1" pivotButton="0" quotePrefix="0" xfId="3">
      <alignment horizontal="center" vertical="center"/>
    </xf>
    <xf numFmtId="0" fontId="8" fillId="21" borderId="1" applyAlignment="1" pivotButton="0" quotePrefix="0" xfId="0">
      <alignment horizontal="center" wrapText="1"/>
    </xf>
    <xf numFmtId="10" fontId="8" fillId="21" borderId="1" applyAlignment="1" pivotButton="0" quotePrefix="0" xfId="3">
      <alignment horizontal="center" vertical="center"/>
    </xf>
    <xf numFmtId="49" fontId="7" fillId="21" borderId="1" applyAlignment="1" pivotButton="0" quotePrefix="0" xfId="0">
      <alignment horizontal="center" vertical="center" wrapText="1"/>
    </xf>
    <xf numFmtId="49" fontId="53" fillId="22" borderId="1" applyAlignment="1" pivotButton="0" quotePrefix="0" xfId="4">
      <alignment horizontal="center" vertical="center"/>
    </xf>
    <xf numFmtId="10" fontId="53" fillId="22" borderId="1" applyAlignment="1" pivotButton="0" quotePrefix="0" xfId="3">
      <alignment horizontal="center" vertical="center"/>
    </xf>
    <xf numFmtId="10" fontId="54" fillId="22" borderId="1" applyAlignment="1" pivotButton="0" quotePrefix="0" xfId="3">
      <alignment horizontal="center" vertical="center"/>
    </xf>
    <xf numFmtId="0" fontId="8" fillId="22" borderId="1" applyAlignment="1" pivotButton="0" quotePrefix="0" xfId="3">
      <alignment horizontal="center" vertical="center"/>
    </xf>
    <xf numFmtId="0" fontId="8" fillId="22" borderId="1" applyAlignment="1" pivotButton="0" quotePrefix="0" xfId="0">
      <alignment horizontal="center" vertical="center"/>
    </xf>
    <xf numFmtId="0" fontId="53" fillId="22" borderId="1" applyAlignment="1" pivotButton="0" quotePrefix="0" xfId="0">
      <alignment horizontal="center" vertical="center"/>
    </xf>
    <xf numFmtId="0" fontId="8" fillId="22" borderId="1" applyAlignment="1" pivotButton="0" quotePrefix="0" xfId="3">
      <alignment horizontal="center" vertical="center" wrapText="1"/>
    </xf>
    <xf numFmtId="10" fontId="8" fillId="22" borderId="1" applyAlignment="1" pivotButton="0" quotePrefix="0" xfId="3">
      <alignment horizontal="center" vertical="center" wrapText="1"/>
    </xf>
    <xf numFmtId="0" fontId="8" fillId="22" borderId="1" applyAlignment="1" pivotButton="0" quotePrefix="0" xfId="0">
      <alignment horizontal="center" vertical="center" wrapText="1"/>
    </xf>
    <xf numFmtId="0" fontId="19" fillId="22" borderId="1" applyAlignment="1" pivotButton="0" quotePrefix="0" xfId="0">
      <alignment horizontal="center" vertical="center"/>
    </xf>
    <xf numFmtId="0" fontId="19" fillId="22" borderId="1" applyAlignment="1" pivotButton="0" quotePrefix="0" xfId="3">
      <alignment horizontal="center" vertical="center"/>
    </xf>
    <xf numFmtId="49" fontId="7" fillId="22" borderId="1" applyAlignment="1" pivotButton="0" quotePrefix="0" xfId="4">
      <alignment horizontal="center" vertical="center" wrapText="1"/>
    </xf>
    <xf numFmtId="10" fontId="8" fillId="22" borderId="1" applyAlignment="1" pivotButton="0" quotePrefix="0" xfId="3">
      <alignment horizontal="center" vertical="center"/>
    </xf>
    <xf numFmtId="10" fontId="36" fillId="22" borderId="1" applyAlignment="1" pivotButton="0" quotePrefix="0" xfId="3">
      <alignment horizontal="center" vertical="center"/>
    </xf>
    <xf numFmtId="10" fontId="19" fillId="22" borderId="1" applyAlignment="1" pivotButton="0" quotePrefix="0" xfId="3">
      <alignment horizontal="center" vertical="center"/>
    </xf>
    <xf numFmtId="49" fontId="8" fillId="22" borderId="1" applyAlignment="1" pivotButton="0" quotePrefix="0" xfId="4">
      <alignment horizontal="center" vertical="center" wrapText="1"/>
    </xf>
    <xf numFmtId="0" fontId="8" fillId="23" borderId="1" applyAlignment="1" pivotButton="0" quotePrefix="0" xfId="0">
      <alignment horizontal="center" vertical="center"/>
    </xf>
    <xf numFmtId="0" fontId="55" fillId="23" borderId="1" applyAlignment="1" pivotButton="0" quotePrefix="0" xfId="0">
      <alignment horizontal="center" vertical="center"/>
    </xf>
    <xf numFmtId="10" fontId="56" fillId="23" borderId="1" applyAlignment="1" pivotButton="0" quotePrefix="0" xfId="3">
      <alignment horizontal="center" vertical="center"/>
    </xf>
    <xf numFmtId="0" fontId="55" fillId="23" borderId="1" applyAlignment="1" pivotButton="0" quotePrefix="0" xfId="3">
      <alignment horizontal="center" vertical="center"/>
    </xf>
    <xf numFmtId="49" fontId="8" fillId="23" borderId="1" applyAlignment="1" pivotButton="0" quotePrefix="0" xfId="4">
      <alignment horizontal="center" vertical="center"/>
    </xf>
    <xf numFmtId="49" fontId="7" fillId="23" borderId="1" applyAlignment="1" pivotButton="0" quotePrefix="0" xfId="4">
      <alignment horizontal="center" vertical="center" wrapText="1"/>
    </xf>
    <xf numFmtId="0" fontId="8" fillId="24" borderId="1" applyAlignment="1" pivotButton="0" quotePrefix="0" xfId="0">
      <alignment horizontal="center" vertical="center"/>
    </xf>
    <xf numFmtId="0" fontId="57" fillId="24" borderId="1" applyAlignment="1" pivotButton="0" quotePrefix="0" xfId="0">
      <alignment horizontal="center" vertical="center"/>
    </xf>
    <xf numFmtId="0" fontId="19" fillId="24" borderId="1" applyAlignment="1" pivotButton="0" quotePrefix="0" xfId="0">
      <alignment horizontal="center" vertical="center"/>
    </xf>
    <xf numFmtId="10" fontId="58" fillId="24" borderId="1" applyAlignment="1" pivotButton="0" quotePrefix="0" xfId="3">
      <alignment horizontal="center" vertical="center"/>
    </xf>
    <xf numFmtId="0" fontId="8" fillId="24" borderId="1" applyAlignment="1" pivotButton="0" quotePrefix="0" xfId="3">
      <alignment horizontal="center" vertical="center"/>
    </xf>
    <xf numFmtId="49" fontId="7" fillId="24" borderId="1" applyAlignment="1" pivotButton="0" quotePrefix="0" xfId="4">
      <alignment horizontal="center" vertical="center" wrapText="1"/>
    </xf>
    <xf numFmtId="0" fontId="8" fillId="25" borderId="1" applyAlignment="1" pivotButton="0" quotePrefix="0" xfId="0">
      <alignment horizontal="center" vertical="center"/>
    </xf>
    <xf numFmtId="0" fontId="59" fillId="25" borderId="1" applyAlignment="1" pivotButton="0" quotePrefix="0" xfId="0">
      <alignment horizontal="center" vertical="center"/>
    </xf>
    <xf numFmtId="10" fontId="60" fillId="25" borderId="1" applyAlignment="1" pivotButton="0" quotePrefix="0" xfId="3">
      <alignment horizontal="center" vertical="center"/>
    </xf>
    <xf numFmtId="10" fontId="8" fillId="25" borderId="1" applyAlignment="1" pivotButton="0" quotePrefix="0" xfId="3">
      <alignment horizontal="center" vertical="center"/>
    </xf>
    <xf numFmtId="0" fontId="8" fillId="11" borderId="1" applyAlignment="1" pivotButton="0" quotePrefix="0" xfId="0">
      <alignment horizontal="center" vertical="center"/>
    </xf>
    <xf numFmtId="10" fontId="8" fillId="11" borderId="1" applyAlignment="1" pivotButton="0" quotePrefix="0" xfId="3">
      <alignment horizontal="center" vertical="center"/>
    </xf>
    <xf numFmtId="0" fontId="43" fillId="6" borderId="1" applyAlignment="1" pivotButton="0" quotePrefix="0" xfId="0">
      <alignment horizontal="center" vertical="center"/>
    </xf>
    <xf numFmtId="10" fontId="8" fillId="6" borderId="1" applyAlignment="1" pivotButton="0" quotePrefix="0" xfId="4">
      <alignment horizontal="center" vertical="center"/>
    </xf>
    <xf numFmtId="10" fontId="36" fillId="6" borderId="1" applyAlignment="1" pivotButton="0" quotePrefix="0" xfId="3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8" fillId="6" borderId="1" applyAlignment="1" pivotButton="0" quotePrefix="0" xfId="0">
      <alignment horizontal="center" vertical="center" wrapText="1"/>
    </xf>
    <xf numFmtId="49" fontId="6" fillId="11" borderId="1" applyAlignment="1" pivotButton="0" quotePrefix="0" xfId="4">
      <alignment horizontal="center" vertical="center" wrapText="1"/>
    </xf>
    <xf numFmtId="0" fontId="47" fillId="6" borderId="1" applyAlignment="1" pivotButton="0" quotePrefix="0" xfId="0">
      <alignment horizontal="center" vertical="center"/>
    </xf>
    <xf numFmtId="0" fontId="55" fillId="6" borderId="1" applyAlignment="1" pivotButton="0" quotePrefix="0" xfId="0">
      <alignment horizontal="center" vertical="center"/>
    </xf>
    <xf numFmtId="10" fontId="47" fillId="6" borderId="1" applyAlignment="1" pivotButton="0" quotePrefix="0" xfId="3">
      <alignment horizontal="center" vertical="center"/>
    </xf>
    <xf numFmtId="10" fontId="56" fillId="6" borderId="1" applyAlignment="1" pivotButton="0" quotePrefix="0" xfId="3">
      <alignment horizontal="center" vertical="center"/>
    </xf>
    <xf numFmtId="0" fontId="55" fillId="6" borderId="1" applyAlignment="1" pivotButton="0" quotePrefix="0" xfId="3">
      <alignment horizontal="center" vertical="center"/>
    </xf>
    <xf numFmtId="0" fontId="0" fillId="6" borderId="0" applyAlignment="1" pivotButton="0" quotePrefix="0" xfId="0">
      <alignment horizontal="center"/>
    </xf>
    <xf numFmtId="0" fontId="8" fillId="26" borderId="1" applyAlignment="1" pivotButton="0" quotePrefix="0" xfId="0">
      <alignment horizontal="center" vertical="center"/>
    </xf>
    <xf numFmtId="0" fontId="61" fillId="26" borderId="0" applyAlignment="1" pivotButton="0" quotePrefix="0" xfId="0">
      <alignment horizontal="center"/>
    </xf>
    <xf numFmtId="10" fontId="61" fillId="26" borderId="1" applyAlignment="1" pivotButton="0" quotePrefix="0" xfId="3">
      <alignment horizontal="center" vertical="center"/>
    </xf>
    <xf numFmtId="14" fontId="8" fillId="26" borderId="1" applyAlignment="1" pivotButton="0" quotePrefix="0" xfId="3">
      <alignment horizontal="center" vertical="center"/>
    </xf>
    <xf numFmtId="49" fontId="7" fillId="26" borderId="1" applyAlignment="1" pivotButton="0" quotePrefix="0" xfId="4">
      <alignment horizontal="center" vertical="center" wrapText="1"/>
    </xf>
    <xf numFmtId="0" fontId="61" fillId="26" borderId="1" applyAlignment="1" pivotButton="0" quotePrefix="0" xfId="0">
      <alignment horizontal="center" vertical="center"/>
    </xf>
    <xf numFmtId="10" fontId="8" fillId="26" borderId="1" applyAlignment="1" pivotButton="0" quotePrefix="0" xfId="3">
      <alignment horizontal="center" vertical="center"/>
    </xf>
    <xf numFmtId="0" fontId="8" fillId="27" borderId="1" applyAlignment="1" pivotButton="0" quotePrefix="0" xfId="0">
      <alignment horizontal="center" vertical="center"/>
    </xf>
    <xf numFmtId="0" fontId="62" fillId="27" borderId="1" applyAlignment="1" pivotButton="0" quotePrefix="0" xfId="0">
      <alignment horizontal="center" vertical="center"/>
    </xf>
    <xf numFmtId="10" fontId="62" fillId="27" borderId="1" applyAlignment="1" pivotButton="0" quotePrefix="0" xfId="3">
      <alignment horizontal="center" vertical="center"/>
    </xf>
    <xf numFmtId="14" fontId="8" fillId="27" borderId="1" applyAlignment="1" pivotButton="0" quotePrefix="0" xfId="3">
      <alignment horizontal="center" vertical="center"/>
    </xf>
    <xf numFmtId="49" fontId="7" fillId="27" borderId="1" applyAlignment="1" pivotButton="0" quotePrefix="0" xfId="4">
      <alignment horizontal="center" vertical="center" wrapText="1"/>
    </xf>
    <xf numFmtId="10" fontId="63" fillId="27" borderId="1" applyAlignment="1" pivotButton="0" quotePrefix="0" xfId="3">
      <alignment horizontal="center" vertical="center"/>
    </xf>
    <xf numFmtId="10" fontId="8" fillId="27" borderId="1" applyAlignment="1" pivotButton="0" quotePrefix="0" xfId="3">
      <alignment horizontal="center" vertical="center"/>
    </xf>
    <xf numFmtId="0" fontId="8" fillId="27" borderId="1" applyAlignment="1" pivotButton="0" quotePrefix="0" xfId="3">
      <alignment horizontal="center" vertical="center"/>
    </xf>
    <xf numFmtId="49" fontId="7" fillId="27" borderId="1" applyAlignment="1" pivotButton="0" quotePrefix="0" xfId="4">
      <alignment horizontal="center" vertical="center"/>
    </xf>
    <xf numFmtId="0" fontId="8" fillId="27" borderId="1" applyAlignment="1" pivotButton="0" quotePrefix="0" xfId="0">
      <alignment horizontal="center" vertical="center" wrapText="1"/>
    </xf>
    <xf numFmtId="0" fontId="8" fillId="28" borderId="1" applyAlignment="1" pivotButton="0" quotePrefix="0" xfId="0">
      <alignment horizontal="center" vertical="center"/>
    </xf>
    <xf numFmtId="49" fontId="64" fillId="28" borderId="1" applyAlignment="1" pivotButton="0" quotePrefix="0" xfId="4">
      <alignment horizontal="center" vertical="center"/>
    </xf>
    <xf numFmtId="10" fontId="64" fillId="28" borderId="1" applyAlignment="1" pivotButton="0" quotePrefix="0" xfId="3">
      <alignment horizontal="center" vertical="center"/>
    </xf>
    <xf numFmtId="0" fontId="8" fillId="28" borderId="1" applyAlignment="1" pivotButton="0" quotePrefix="0" xfId="3">
      <alignment horizontal="center" vertical="center"/>
    </xf>
    <xf numFmtId="0" fontId="8" fillId="28" borderId="1" applyAlignment="1" pivotButton="0" quotePrefix="0" xfId="0">
      <alignment horizontal="center" vertical="center" wrapText="1"/>
    </xf>
    <xf numFmtId="0" fontId="8" fillId="29" borderId="1" applyAlignment="1" pivotButton="0" quotePrefix="0" xfId="0">
      <alignment horizontal="center" vertical="center"/>
    </xf>
    <xf numFmtId="0" fontId="65" fillId="29" borderId="1" applyAlignment="1" pivotButton="0" quotePrefix="0" xfId="0">
      <alignment horizontal="center" vertical="center"/>
    </xf>
    <xf numFmtId="10" fontId="65" fillId="29" borderId="1" applyAlignment="1" pivotButton="0" quotePrefix="0" xfId="3">
      <alignment horizontal="center" vertical="center"/>
    </xf>
    <xf numFmtId="10" fontId="8" fillId="29" borderId="1" applyAlignment="1" pivotButton="0" quotePrefix="0" xfId="3">
      <alignment horizontal="center" vertical="center"/>
    </xf>
    <xf numFmtId="49" fontId="7" fillId="29" borderId="1" applyAlignment="1" pivotButton="0" quotePrefix="0" xfId="4">
      <alignment horizontal="center" vertical="center" wrapText="1"/>
    </xf>
    <xf numFmtId="49" fontId="65" fillId="29" borderId="1" applyAlignment="1" pivotButton="0" quotePrefix="0" xfId="0">
      <alignment horizontal="center" vertical="center"/>
    </xf>
    <xf numFmtId="0" fontId="8" fillId="29" borderId="1" applyAlignment="1" pivotButton="0" quotePrefix="0" xfId="3">
      <alignment horizontal="center" vertical="center"/>
    </xf>
    <xf numFmtId="0" fontId="7" fillId="29" borderId="1" applyAlignment="1" pivotButton="0" quotePrefix="0" xfId="0">
      <alignment horizontal="center" vertical="center" wrapText="1"/>
    </xf>
    <xf numFmtId="0" fontId="8" fillId="29" borderId="1" applyAlignment="1" pivotButton="0" quotePrefix="0" xfId="0">
      <alignment horizontal="center" vertical="center" wrapText="1"/>
    </xf>
    <xf numFmtId="49" fontId="65" fillId="29" borderId="1" applyAlignment="1" pivotButton="0" quotePrefix="0" xfId="4">
      <alignment horizontal="center" vertical="center"/>
    </xf>
    <xf numFmtId="10" fontId="66" fillId="29" borderId="1" applyAlignment="1" pivotButton="0" quotePrefix="0" xfId="3">
      <alignment horizontal="center" vertical="center"/>
    </xf>
    <xf numFmtId="49" fontId="67" fillId="30" borderId="1" applyAlignment="1" pivotButton="0" quotePrefix="0" xfId="4">
      <alignment horizontal="center" vertical="center"/>
    </xf>
    <xf numFmtId="49" fontId="8" fillId="30" borderId="1" applyAlignment="1" pivotButton="0" quotePrefix="0" xfId="4">
      <alignment horizontal="center" vertical="center"/>
    </xf>
    <xf numFmtId="10" fontId="67" fillId="30" borderId="1" applyAlignment="1" pivotButton="0" quotePrefix="0" xfId="3">
      <alignment horizontal="center" vertical="center"/>
    </xf>
    <xf numFmtId="10" fontId="68" fillId="30" borderId="1" applyAlignment="1" pivotButton="0" quotePrefix="0" xfId="3">
      <alignment horizontal="center" vertical="center"/>
    </xf>
    <xf numFmtId="0" fontId="67" fillId="30" borderId="1" applyAlignment="1" pivotButton="0" quotePrefix="0" xfId="3">
      <alignment horizontal="center" vertical="center"/>
    </xf>
    <xf numFmtId="10" fontId="51" fillId="30" borderId="1" applyAlignment="1" pivotButton="0" quotePrefix="0" xfId="3">
      <alignment horizontal="center" vertical="center"/>
    </xf>
    <xf numFmtId="0" fontId="8" fillId="30" borderId="1" applyAlignment="1" pivotButton="0" quotePrefix="0" xfId="3">
      <alignment horizontal="center" vertical="center"/>
    </xf>
    <xf numFmtId="0" fontId="8" fillId="30" borderId="1" applyAlignment="1" pivotButton="0" quotePrefix="0" xfId="0">
      <alignment horizontal="center" vertical="center"/>
    </xf>
    <xf numFmtId="49" fontId="7" fillId="30" borderId="1" applyAlignment="1" pivotButton="0" quotePrefix="0" xfId="4">
      <alignment horizontal="center" vertical="center" wrapText="1"/>
    </xf>
    <xf numFmtId="0" fontId="67" fillId="30" borderId="1" applyAlignment="1" pivotButton="0" quotePrefix="0" xfId="0">
      <alignment horizontal="center" vertical="center"/>
    </xf>
    <xf numFmtId="0" fontId="8" fillId="30" borderId="1" applyAlignment="1" pivotButton="0" quotePrefix="0" xfId="0">
      <alignment horizontal="center" vertical="center" wrapText="1"/>
    </xf>
    <xf numFmtId="0" fontId="7" fillId="30" borderId="1" applyAlignment="1" pivotButton="0" quotePrefix="0" xfId="0">
      <alignment horizontal="center" vertical="center" wrapText="1"/>
    </xf>
    <xf numFmtId="0" fontId="8" fillId="31" borderId="1" applyAlignment="1" pivotButton="0" quotePrefix="0" xfId="0">
      <alignment horizontal="center" vertical="center"/>
    </xf>
    <xf numFmtId="49" fontId="69" fillId="31" borderId="1" applyAlignment="1" pivotButton="0" quotePrefix="0" xfId="4">
      <alignment horizontal="center" vertical="center"/>
    </xf>
    <xf numFmtId="10" fontId="64" fillId="31" borderId="1" applyAlignment="1" pivotButton="0" quotePrefix="0" xfId="3">
      <alignment horizontal="center" vertical="center"/>
    </xf>
    <xf numFmtId="0" fontId="8" fillId="31" borderId="1" applyAlignment="1" pivotButton="0" quotePrefix="0" xfId="3">
      <alignment horizontal="center" vertical="center"/>
    </xf>
    <xf numFmtId="0" fontId="8" fillId="31" borderId="1" applyAlignment="1" pivotButton="0" quotePrefix="0" xfId="0">
      <alignment horizontal="center" vertical="center" wrapText="1"/>
    </xf>
    <xf numFmtId="10" fontId="36" fillId="31" borderId="1" applyAlignment="1" pivotButton="0" quotePrefix="0" xfId="3">
      <alignment horizontal="center" vertical="center"/>
    </xf>
    <xf numFmtId="0" fontId="69" fillId="31" borderId="1" applyAlignment="1" pivotButton="0" quotePrefix="0" xfId="0">
      <alignment horizontal="center" vertical="center"/>
    </xf>
    <xf numFmtId="49" fontId="7" fillId="31" borderId="1" applyAlignment="1" pivotButton="0" quotePrefix="0" xfId="4">
      <alignment horizontal="center" vertical="center"/>
    </xf>
    <xf numFmtId="10" fontId="70" fillId="31" borderId="1" applyAlignment="1" pivotButton="0" quotePrefix="0" xfId="3">
      <alignment horizontal="center" vertical="center"/>
    </xf>
    <xf numFmtId="49" fontId="7" fillId="31" borderId="1" applyAlignment="1" pivotButton="0" quotePrefix="0" xfId="4">
      <alignment horizontal="center" vertical="center" wrapText="1"/>
    </xf>
    <xf numFmtId="49" fontId="71" fillId="32" borderId="1" applyAlignment="1" pivotButton="0" quotePrefix="0" xfId="4">
      <alignment horizontal="center" vertical="center"/>
    </xf>
    <xf numFmtId="10" fontId="71" fillId="32" borderId="1" applyAlignment="1" pivotButton="0" quotePrefix="0" xfId="3">
      <alignment horizontal="center" vertical="center"/>
    </xf>
    <xf numFmtId="10" fontId="72" fillId="32" borderId="1" applyAlignment="1" pivotButton="0" quotePrefix="0" xfId="3">
      <alignment horizontal="center" vertical="center"/>
    </xf>
    <xf numFmtId="0" fontId="8" fillId="33" borderId="1" applyAlignment="1" pivotButton="0" quotePrefix="0" xfId="0">
      <alignment horizontal="center" vertical="center"/>
    </xf>
    <xf numFmtId="0" fontId="73" fillId="33" borderId="1" applyAlignment="1" pivotButton="0" quotePrefix="0" xfId="0">
      <alignment horizontal="center" vertical="center"/>
    </xf>
    <xf numFmtId="10" fontId="74" fillId="33" borderId="1" applyAlignment="1" pivotButton="0" quotePrefix="0" xfId="3">
      <alignment horizontal="center" vertical="center"/>
    </xf>
    <xf numFmtId="0" fontId="8" fillId="33" borderId="1" applyAlignment="1" pivotButton="0" quotePrefix="0" xfId="3">
      <alignment horizontal="center" vertical="center"/>
    </xf>
    <xf numFmtId="49" fontId="7" fillId="33" borderId="1" applyAlignment="1" pivotButton="0" quotePrefix="0" xfId="4">
      <alignment horizontal="center" vertical="center" wrapText="1"/>
    </xf>
    <xf numFmtId="49" fontId="7" fillId="33" borderId="1" applyAlignment="1" pivotButton="0" quotePrefix="0" xfId="4">
      <alignment horizontal="center" vertical="center"/>
    </xf>
    <xf numFmtId="49" fontId="22" fillId="4" borderId="1" applyAlignment="1" pivotButton="0" quotePrefix="0" xfId="0">
      <alignment horizontal="center" vertical="center"/>
    </xf>
    <xf numFmtId="49" fontId="7" fillId="34" borderId="1" applyAlignment="1" pivotButton="0" quotePrefix="0" xfId="5">
      <alignment horizontal="center" vertical="center" wrapText="1"/>
    </xf>
    <xf numFmtId="49" fontId="7" fillId="34" borderId="1" applyAlignment="1" pivotButton="0" quotePrefix="0" xfId="4">
      <alignment horizontal="center" vertical="center"/>
    </xf>
    <xf numFmtId="49" fontId="64" fillId="6" borderId="1" applyAlignment="1" pivotButton="0" quotePrefix="0" xfId="4">
      <alignment horizontal="center" vertical="center"/>
    </xf>
    <xf numFmtId="10" fontId="64" fillId="6" borderId="1" applyAlignment="1" pivotButton="0" quotePrefix="0" xfId="3">
      <alignment horizontal="center" vertical="center"/>
    </xf>
    <xf numFmtId="0" fontId="7" fillId="35" borderId="1" applyAlignment="1" pivotButton="0" quotePrefix="0" xfId="0">
      <alignment horizontal="center" vertical="center" wrapText="1"/>
    </xf>
    <xf numFmtId="0" fontId="8" fillId="36" borderId="1" applyAlignment="1" pivotButton="0" quotePrefix="0" xfId="0">
      <alignment horizontal="center"/>
    </xf>
    <xf numFmtId="49" fontId="75" fillId="36" borderId="1" applyAlignment="1" pivotButton="0" quotePrefix="0" xfId="0">
      <alignment horizontal="center"/>
    </xf>
    <xf numFmtId="10" fontId="76" fillId="36" borderId="1" applyAlignment="1" pivotButton="0" quotePrefix="0" xfId="3">
      <alignment horizontal="center"/>
    </xf>
    <xf numFmtId="0" fontId="8" fillId="37" borderId="1" applyAlignment="1" pivotButton="0" quotePrefix="0" xfId="0">
      <alignment horizontal="center" vertical="center"/>
    </xf>
    <xf numFmtId="49" fontId="77" fillId="37" borderId="1" applyAlignment="1" pivotButton="0" quotePrefix="0" xfId="4">
      <alignment horizontal="center" vertical="center"/>
    </xf>
    <xf numFmtId="10" fontId="78" fillId="37" borderId="1" applyAlignment="1" pivotButton="0" quotePrefix="0" xfId="3">
      <alignment horizontal="center" vertical="center"/>
    </xf>
    <xf numFmtId="10" fontId="77" fillId="37" borderId="1" applyAlignment="1" pivotButton="0" quotePrefix="0" xfId="3">
      <alignment horizontal="center" vertical="center"/>
    </xf>
    <xf numFmtId="0" fontId="77" fillId="37" borderId="1" applyAlignment="1" pivotButton="0" quotePrefix="0" xfId="3">
      <alignment horizontal="center" vertical="center"/>
    </xf>
    <xf numFmtId="0" fontId="8" fillId="37" borderId="1" applyAlignment="1" pivotButton="0" quotePrefix="0" xfId="0">
      <alignment horizontal="center" vertical="center" wrapText="1"/>
    </xf>
    <xf numFmtId="10" fontId="8" fillId="37" borderId="1" applyAlignment="1" pivotButton="0" quotePrefix="0" xfId="3">
      <alignment horizontal="center" vertical="center"/>
    </xf>
    <xf numFmtId="49" fontId="7" fillId="38" borderId="1" applyAlignment="1" pivotButton="0" quotePrefix="0" xfId="4">
      <alignment horizontal="center" vertical="center" wrapText="1"/>
    </xf>
    <xf numFmtId="0" fontId="8" fillId="39" borderId="1" applyAlignment="1" pivotButton="0" quotePrefix="0" xfId="0">
      <alignment horizontal="center" vertical="center"/>
    </xf>
    <xf numFmtId="0" fontId="79" fillId="39" borderId="1" applyAlignment="1" pivotButton="0" quotePrefix="0" xfId="0">
      <alignment horizontal="center" vertical="center"/>
    </xf>
    <xf numFmtId="10" fontId="79" fillId="39" borderId="1" applyAlignment="1" pivotButton="0" quotePrefix="0" xfId="3">
      <alignment horizontal="center" vertical="center"/>
    </xf>
    <xf numFmtId="10" fontId="8" fillId="39" borderId="1" applyAlignment="1" pivotButton="0" quotePrefix="0" xfId="3">
      <alignment horizontal="center" vertical="center"/>
    </xf>
    <xf numFmtId="0" fontId="28" fillId="39" borderId="1" applyAlignment="1" pivotButton="0" quotePrefix="0" xfId="0">
      <alignment horizontal="center" vertical="center" wrapText="1"/>
    </xf>
    <xf numFmtId="0" fontId="19" fillId="39" borderId="1" applyAlignment="1" pivotButton="0" quotePrefix="0" xfId="0">
      <alignment horizontal="center" vertical="center"/>
    </xf>
    <xf numFmtId="0" fontId="19" fillId="39" borderId="1" applyAlignment="1" pivotButton="0" quotePrefix="0" xfId="3">
      <alignment horizontal="center" vertical="center"/>
    </xf>
    <xf numFmtId="49" fontId="7" fillId="39" borderId="1" applyAlignment="1" pivotButton="0" quotePrefix="0" xfId="4">
      <alignment horizontal="center" vertical="center" wrapText="1"/>
    </xf>
    <xf numFmtId="0" fontId="15" fillId="40" borderId="1" applyAlignment="1" pivotButton="0" quotePrefix="0" xfId="0">
      <alignment horizontal="center"/>
    </xf>
    <xf numFmtId="0" fontId="8" fillId="41" borderId="1" applyAlignment="1" pivotButton="0" quotePrefix="0" xfId="0">
      <alignment horizontal="center" vertical="center"/>
    </xf>
    <xf numFmtId="0" fontId="80" fillId="41" borderId="1" applyAlignment="1" pivotButton="0" quotePrefix="0" xfId="0">
      <alignment horizontal="center" vertical="center"/>
    </xf>
    <xf numFmtId="10" fontId="30" fillId="41" borderId="1" applyAlignment="1" pivotButton="0" quotePrefix="0" xfId="3">
      <alignment horizontal="center" vertical="center"/>
    </xf>
    <xf numFmtId="0" fontId="8" fillId="41" borderId="1" applyAlignment="1" pivotButton="0" quotePrefix="0" xfId="3">
      <alignment horizontal="center" vertical="center"/>
    </xf>
    <xf numFmtId="0" fontId="81" fillId="42" borderId="1" applyAlignment="1" pivotButton="0" quotePrefix="0" xfId="0">
      <alignment horizontal="center" vertical="center"/>
    </xf>
    <xf numFmtId="0" fontId="8" fillId="42" borderId="1" applyAlignment="1" pivotButton="0" quotePrefix="0" xfId="0">
      <alignment horizontal="center" vertical="center"/>
    </xf>
    <xf numFmtId="10" fontId="81" fillId="42" borderId="1" applyAlignment="1" pivotButton="0" quotePrefix="0" xfId="3">
      <alignment horizontal="center" vertical="center"/>
    </xf>
    <xf numFmtId="14" fontId="81" fillId="42" borderId="1" applyAlignment="1" pivotButton="0" quotePrefix="0" xfId="3">
      <alignment horizontal="center" vertical="center"/>
    </xf>
    <xf numFmtId="49" fontId="7" fillId="42" borderId="1" applyAlignment="1" pivotButton="0" quotePrefix="0" xfId="4">
      <alignment horizontal="center" vertical="center" wrapText="1"/>
    </xf>
    <xf numFmtId="49" fontId="29" fillId="42" borderId="1" applyAlignment="1" pivotButton="0" quotePrefix="0" xfId="1">
      <alignment horizontal="center" vertical="center" wrapText="1"/>
    </xf>
    <xf numFmtId="0" fontId="82" fillId="43" borderId="1" applyAlignment="1" pivotButton="0" quotePrefix="0" xfId="0">
      <alignment horizontal="center" vertical="center"/>
    </xf>
    <xf numFmtId="10" fontId="82" fillId="43" borderId="1" applyAlignment="1" pivotButton="0" quotePrefix="0" xfId="3">
      <alignment horizontal="center" vertical="center"/>
    </xf>
    <xf numFmtId="49" fontId="82" fillId="43" borderId="1" applyAlignment="1" pivotButton="0" quotePrefix="0" xfId="4">
      <alignment horizontal="center" vertical="center"/>
    </xf>
    <xf numFmtId="0" fontId="8" fillId="43" borderId="1" applyAlignment="1" pivotButton="0" quotePrefix="0" xfId="3">
      <alignment horizontal="center" vertical="center"/>
    </xf>
    <xf numFmtId="0" fontId="8" fillId="43" borderId="1" applyAlignment="1" pivotButton="0" quotePrefix="0" xfId="0">
      <alignment horizontal="center" vertical="center" wrapText="1"/>
    </xf>
    <xf numFmtId="0" fontId="8" fillId="43" borderId="1" applyAlignment="1" pivotButton="0" quotePrefix="0" xfId="0">
      <alignment horizontal="center" vertical="center"/>
    </xf>
    <xf numFmtId="10" fontId="8" fillId="43" borderId="1" applyAlignment="1" pivotButton="0" quotePrefix="0" xfId="3">
      <alignment horizontal="center" vertical="center"/>
    </xf>
    <xf numFmtId="0" fontId="7" fillId="43" borderId="1" applyAlignment="1" pivotButton="0" quotePrefix="0" xfId="0">
      <alignment horizontal="center" vertical="center" wrapText="1"/>
    </xf>
    <xf numFmtId="49" fontId="83" fillId="44" borderId="1" applyAlignment="1" pivotButton="0" quotePrefix="0" xfId="4">
      <alignment horizontal="center" vertical="center"/>
    </xf>
    <xf numFmtId="10" fontId="82" fillId="44" borderId="1" applyAlignment="1" pivotButton="0" quotePrefix="0" xfId="3">
      <alignment horizontal="center" vertical="center"/>
    </xf>
    <xf numFmtId="0" fontId="8" fillId="44" borderId="1" applyAlignment="1" pivotButton="0" quotePrefix="0" xfId="3">
      <alignment horizontal="center" vertical="center"/>
    </xf>
    <xf numFmtId="0" fontId="8" fillId="44" borderId="1" applyAlignment="1" pivotButton="0" quotePrefix="0" xfId="0">
      <alignment horizontal="center" vertical="center"/>
    </xf>
    <xf numFmtId="10" fontId="84" fillId="44" borderId="1" applyAlignment="1" pivotButton="0" quotePrefix="0" xfId="3">
      <alignment horizontal="center" vertical="center"/>
    </xf>
    <xf numFmtId="10" fontId="83" fillId="44" borderId="1" applyAlignment="1" pivotButton="0" quotePrefix="0" xfId="3">
      <alignment horizontal="center" vertical="center"/>
    </xf>
    <xf numFmtId="0" fontId="4" fillId="44" borderId="1" applyAlignment="1" pivotButton="0" quotePrefix="0" xfId="0">
      <alignment horizontal="center" vertical="center"/>
    </xf>
    <xf numFmtId="0" fontId="83" fillId="44" borderId="1" applyAlignment="1" pivotButton="0" quotePrefix="0" xfId="0">
      <alignment horizontal="center" vertical="center"/>
    </xf>
    <xf numFmtId="10" fontId="8" fillId="44" borderId="1" applyAlignment="1" pivotButton="0" quotePrefix="0" xfId="3">
      <alignment horizontal="center" vertical="center"/>
    </xf>
    <xf numFmtId="49" fontId="7" fillId="44" borderId="1" applyAlignment="1" pivotButton="0" quotePrefix="0" xfId="4">
      <alignment horizontal="center" vertical="center"/>
    </xf>
    <xf numFmtId="49" fontId="7" fillId="44" borderId="1" applyAlignment="1" pivotButton="0" quotePrefix="0" xfId="4">
      <alignment horizontal="center" vertical="center" wrapText="1"/>
    </xf>
    <xf numFmtId="0" fontId="83" fillId="44" borderId="1" applyAlignment="1" pivotButton="0" quotePrefix="0" xfId="3">
      <alignment horizontal="center" vertical="center"/>
    </xf>
    <xf numFmtId="10" fontId="49" fillId="44" borderId="1" applyAlignment="1" pivotButton="0" quotePrefix="0" xfId="3">
      <alignment horizontal="center" vertical="center"/>
    </xf>
    <xf numFmtId="0" fontId="7" fillId="44" borderId="1" applyAlignment="1" pivotButton="0" quotePrefix="0" xfId="0">
      <alignment horizontal="center" vertical="center" wrapText="1"/>
    </xf>
    <xf numFmtId="10" fontId="53" fillId="44" borderId="1" applyAlignment="1" pivotButton="0" quotePrefix="0" xfId="3">
      <alignment horizontal="center" vertical="center"/>
    </xf>
    <xf numFmtId="10" fontId="54" fillId="44" borderId="1" applyAlignment="1" pivotButton="0" quotePrefix="0" xfId="3">
      <alignment horizontal="center" vertical="center"/>
    </xf>
    <xf numFmtId="0" fontId="83" fillId="44" borderId="1" applyAlignment="1" pivotButton="0" quotePrefix="0" xfId="0">
      <alignment horizontal="center" vertical="center" wrapText="1"/>
    </xf>
    <xf numFmtId="0" fontId="85" fillId="45" borderId="1" applyAlignment="1" pivotButton="0" quotePrefix="0" xfId="0">
      <alignment horizontal="center" vertical="center" wrapText="1"/>
    </xf>
    <xf numFmtId="49" fontId="83" fillId="44" borderId="1" applyAlignment="1" pivotButton="0" quotePrefix="0" xfId="4">
      <alignment horizontal="center" vertical="center" wrapText="1"/>
    </xf>
    <xf numFmtId="0" fontId="8" fillId="46" borderId="1" applyAlignment="1" pivotButton="0" quotePrefix="0" xfId="0">
      <alignment horizontal="center" vertical="center"/>
    </xf>
    <xf numFmtId="0" fontId="86" fillId="46" borderId="1" applyAlignment="1" pivotButton="0" quotePrefix="0" xfId="0">
      <alignment horizontal="center" vertical="center"/>
    </xf>
    <xf numFmtId="10" fontId="86" fillId="46" borderId="1" applyAlignment="1" pivotButton="0" quotePrefix="0" xfId="3">
      <alignment horizontal="center" vertical="center"/>
    </xf>
    <xf numFmtId="10" fontId="8" fillId="46" borderId="1" applyAlignment="1" pivotButton="0" quotePrefix="0" xfId="3">
      <alignment horizontal="center" vertical="center"/>
    </xf>
    <xf numFmtId="0" fontId="10" fillId="45" borderId="1" applyAlignment="1" pivotButton="0" quotePrefix="0" xfId="0">
      <alignment horizontal="center" vertical="center" wrapText="1"/>
    </xf>
    <xf numFmtId="164" fontId="45" fillId="18" borderId="1" applyAlignment="1" pivotButton="0" quotePrefix="0" xfId="4">
      <alignment horizontal="center" vertical="center"/>
    </xf>
    <xf numFmtId="164" fontId="19" fillId="6" borderId="1" applyAlignment="1" pivotButton="0" quotePrefix="0" xfId="4">
      <alignment horizontal="center" vertical="center"/>
    </xf>
    <xf numFmtId="164" fontId="30" fillId="9" borderId="1" applyAlignment="1" pivotButton="0" quotePrefix="0" xfId="4">
      <alignment horizontal="center" vertical="center"/>
    </xf>
    <xf numFmtId="164" fontId="19" fillId="6" borderId="1" applyAlignment="1" pivotButton="0" quotePrefix="0" xfId="6">
      <alignment horizontal="center" vertical="center"/>
    </xf>
    <xf numFmtId="164" fontId="19" fillId="0" borderId="1" applyAlignment="1" pivotButton="0" quotePrefix="0" xfId="4">
      <alignment horizontal="center" vertical="center"/>
    </xf>
    <xf numFmtId="164" fontId="34" fillId="12" borderId="1" applyAlignment="1" pivotButton="0" quotePrefix="0" xfId="4">
      <alignment horizontal="center" vertical="center"/>
    </xf>
    <xf numFmtId="165" fontId="15" fillId="3" borderId="0" applyAlignment="1" pivotButton="0" quotePrefix="0" xfId="0">
      <alignment horizontal="center"/>
    </xf>
    <xf numFmtId="165" fontId="18" fillId="4" borderId="1" applyAlignment="1" pivotButton="0" quotePrefix="0" xfId="0">
      <alignment horizontal="center" vertical="center"/>
    </xf>
    <xf numFmtId="165" fontId="18" fillId="4" borderId="1" applyAlignment="1" pivotButton="0" quotePrefix="0" xfId="0">
      <alignment horizontal="center" vertical="center" wrapText="1"/>
    </xf>
    <xf numFmtId="164" fontId="7" fillId="16" borderId="1" applyAlignment="1" pivotButton="0" quotePrefix="0" xfId="4">
      <alignment horizontal="center" vertical="center" wrapText="1"/>
    </xf>
    <xf numFmtId="164" fontId="20" fillId="11" borderId="1" applyAlignment="1" pivotButton="0" quotePrefix="0" xfId="4">
      <alignment horizontal="center" vertical="center" wrapText="1"/>
    </xf>
    <xf numFmtId="164" fontId="20" fillId="0" borderId="1" applyAlignment="1" pivotButton="0" quotePrefix="0" xfId="4">
      <alignment horizontal="center" vertical="center" wrapText="1"/>
    </xf>
    <xf numFmtId="164" fontId="7" fillId="12" borderId="1" applyAlignment="1" pivotButton="0" quotePrefix="0" xfId="4">
      <alignment horizontal="center" vertical="center" wrapText="1"/>
    </xf>
    <xf numFmtId="164" fontId="7" fillId="11" borderId="1" applyAlignment="1" pivotButton="0" quotePrefix="0" xfId="4">
      <alignment horizontal="center" vertical="center" wrapText="1"/>
    </xf>
    <xf numFmtId="164" fontId="7" fillId="18" borderId="1" applyAlignment="1" pivotButton="0" quotePrefix="0" xfId="4">
      <alignment horizontal="center" vertical="center" wrapText="1"/>
    </xf>
    <xf numFmtId="164" fontId="20" fillId="9" borderId="1" applyAlignment="1" pivotButton="0" quotePrefix="0" xfId="4">
      <alignment horizontal="center" vertical="center" wrapText="1"/>
    </xf>
    <xf numFmtId="164" fontId="20" fillId="6" borderId="1" applyAlignment="1" pivotButton="0" quotePrefix="0" xfId="4">
      <alignment horizontal="center" vertical="center" wrapText="1"/>
    </xf>
    <xf numFmtId="164" fontId="7" fillId="9" borderId="1" applyAlignment="1" pivotButton="0" quotePrefix="0" xfId="4">
      <alignment horizontal="center" vertical="center" wrapText="1"/>
    </xf>
    <xf numFmtId="164" fontId="8" fillId="6" borderId="1" applyAlignment="1" pivotButton="0" quotePrefix="0" xfId="4">
      <alignment horizontal="center" vertical="center" wrapText="1"/>
    </xf>
    <xf numFmtId="164" fontId="36" fillId="22" borderId="1" applyAlignment="1" pivotButton="0" quotePrefix="0" xfId="4">
      <alignment horizontal="center" vertical="center"/>
    </xf>
    <xf numFmtId="164" fontId="8" fillId="6" borderId="1" applyAlignment="1" pivotButton="0" quotePrefix="0" xfId="4">
      <alignment horizontal="center" vertical="center"/>
    </xf>
    <xf numFmtId="164" fontId="19" fillId="0" borderId="1" applyAlignment="1" pivotButton="0" quotePrefix="0" xfId="0">
      <alignment horizontal="center" vertical="center"/>
    </xf>
    <xf numFmtId="164" fontId="45" fillId="18" borderId="1" applyAlignment="1" pivotButton="0" quotePrefix="0" xfId="6">
      <alignment horizontal="center" vertical="center"/>
    </xf>
    <xf numFmtId="164" fontId="19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4">
      <alignment horizontal="center" vertical="center" wrapText="1"/>
    </xf>
    <xf numFmtId="164" fontId="20" fillId="0" borderId="1" applyAlignment="1" pivotButton="0" quotePrefix="0" xfId="4">
      <alignment horizontal="center" vertical="center"/>
    </xf>
    <xf numFmtId="164" fontId="20" fillId="18" borderId="1" applyAlignment="1" pivotButton="0" quotePrefix="0" xfId="4">
      <alignment horizontal="center" vertical="center" wrapText="1"/>
    </xf>
    <xf numFmtId="164" fontId="57" fillId="24" borderId="1" applyAlignment="1" pivotButton="0" quotePrefix="0" xfId="4">
      <alignment horizontal="center" vertical="center"/>
    </xf>
    <xf numFmtId="164" fontId="47" fillId="19" borderId="1" applyAlignment="1" pivotButton="0" quotePrefix="0" xfId="4">
      <alignment horizontal="center" vertical="center"/>
    </xf>
    <xf numFmtId="164" fontId="53" fillId="22" borderId="1" applyAlignment="1" pivotButton="0" quotePrefix="0" xfId="4">
      <alignment horizontal="center" vertical="center"/>
    </xf>
    <xf numFmtId="164" fontId="83" fillId="44" borderId="1" applyAlignment="1" pivotButton="0" quotePrefix="0" xfId="4">
      <alignment horizontal="center" vertical="center"/>
    </xf>
    <xf numFmtId="164" fontId="7" fillId="30" borderId="1" applyAlignment="1" pivotButton="0" quotePrefix="0" xfId="4">
      <alignment horizontal="center" vertical="center" wrapText="1"/>
    </xf>
    <xf numFmtId="164" fontId="7" fillId="22" borderId="1" applyAlignment="1" pivotButton="0" quotePrefix="0" xfId="4">
      <alignment horizontal="center" vertical="center" wrapText="1"/>
    </xf>
    <xf numFmtId="164" fontId="8" fillId="24" borderId="1" applyAlignment="1" pivotButton="0" quotePrefix="0" xfId="4">
      <alignment horizontal="center" vertical="center" wrapText="1"/>
    </xf>
    <xf numFmtId="164" fontId="8" fillId="19" borderId="1" applyAlignment="1" pivotButton="0" quotePrefix="0" xfId="4">
      <alignment horizontal="center" vertical="center" wrapText="1"/>
    </xf>
    <xf numFmtId="164" fontId="53" fillId="22" borderId="1" applyAlignment="1" pivotButton="0" quotePrefix="0" xfId="0">
      <alignment horizontal="center" vertical="center"/>
    </xf>
    <xf numFmtId="164" fontId="19" fillId="0" borderId="1" applyAlignment="1" pivotButton="0" quotePrefix="0" xfId="4">
      <alignment horizontal="center" vertical="center" wrapText="1"/>
    </xf>
    <xf numFmtId="164" fontId="53" fillId="22" borderId="1" applyAlignment="1" pivotButton="0" quotePrefix="0" xfId="4">
      <alignment horizontal="center" vertical="center" wrapText="1"/>
    </xf>
    <xf numFmtId="165" fontId="15" fillId="0" borderId="0" applyAlignment="1" pivotButton="0" quotePrefix="0" xfId="0">
      <alignment horizontal="center"/>
    </xf>
    <xf numFmtId="164" fontId="38" fillId="14" borderId="1" applyAlignment="1" pivotButton="0" quotePrefix="0" xfId="4">
      <alignment horizontal="center" vertical="center"/>
    </xf>
    <xf numFmtId="164" fontId="8" fillId="0" borderId="1" applyAlignment="1" pivotButton="0" quotePrefix="0" xfId="4">
      <alignment horizontal="center" vertical="center"/>
    </xf>
    <xf numFmtId="164" fontId="19" fillId="8" borderId="1" applyAlignment="1" pivotButton="0" quotePrefix="0" xfId="0">
      <alignment horizontal="center" vertical="center"/>
    </xf>
    <xf numFmtId="164" fontId="8" fillId="0" borderId="1" applyAlignment="1" pivotButton="0" quotePrefix="0" xfId="5">
      <alignment horizontal="center" vertical="center"/>
    </xf>
    <xf numFmtId="164" fontId="19" fillId="6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164" fontId="19" fillId="6" borderId="1" applyAlignment="1" pivotButton="0" quotePrefix="0" xfId="4">
      <alignment horizontal="center" vertical="center" wrapText="1"/>
    </xf>
    <xf numFmtId="164" fontId="8" fillId="0" borderId="1" applyAlignment="1" pivotButton="0" quotePrefix="0" xfId="4">
      <alignment horizontal="center" vertical="center" wrapText="1"/>
    </xf>
    <xf numFmtId="164" fontId="8" fillId="0" borderId="1" applyAlignment="1" pivotButton="0" quotePrefix="0" xfId="5">
      <alignment horizontal="center" vertical="center" wrapText="1"/>
    </xf>
    <xf numFmtId="164" fontId="19" fillId="8" borderId="1" applyAlignment="1" pivotButton="0" quotePrefix="0" xfId="4">
      <alignment horizontal="center" vertical="center"/>
    </xf>
    <xf numFmtId="164" fontId="19" fillId="0" borderId="1" applyAlignment="1" pivotButton="0" quotePrefix="0" xfId="6">
      <alignment horizontal="center" vertical="center"/>
    </xf>
    <xf numFmtId="164" fontId="8" fillId="16" borderId="1" applyAlignment="1" pivotButton="0" quotePrefix="0" xfId="4">
      <alignment horizontal="center" vertical="center"/>
    </xf>
    <xf numFmtId="164" fontId="19" fillId="16" borderId="1" applyAlignment="1" pivotButton="0" quotePrefix="0" xfId="4">
      <alignment horizontal="center" vertical="center"/>
    </xf>
    <xf numFmtId="164" fontId="41" fillId="16" borderId="1" applyAlignment="1" pivotButton="0" quotePrefix="0" xfId="4">
      <alignment horizontal="center" vertical="center"/>
    </xf>
    <xf numFmtId="165" fontId="15" fillId="0" borderId="1" applyAlignment="1" pivotButton="0" quotePrefix="0" xfId="0">
      <alignment horizontal="center"/>
    </xf>
    <xf numFmtId="164" fontId="20" fillId="12" borderId="1" applyAlignment="1" pivotButton="0" quotePrefix="0" xfId="4">
      <alignment horizontal="center" vertical="center" wrapText="1"/>
    </xf>
    <xf numFmtId="164" fontId="19" fillId="18" borderId="1" applyAlignment="1" pivotButton="0" quotePrefix="0" xfId="4">
      <alignment horizontal="center" vertical="center" wrapText="1"/>
    </xf>
    <xf numFmtId="164" fontId="8" fillId="12" borderId="1" applyAlignment="1" pivotButton="0" quotePrefix="0" xfId="4">
      <alignment horizontal="center" vertical="center" wrapText="1"/>
    </xf>
    <xf numFmtId="164" fontId="36" fillId="13" borderId="1" applyAlignment="1" pivotButton="0" quotePrefix="0" xfId="4">
      <alignment horizontal="center" vertical="center"/>
    </xf>
    <xf numFmtId="164" fontId="43" fillId="17" borderId="1" applyAlignment="1" pivotButton="0" quotePrefix="0" xfId="4">
      <alignment horizontal="center" vertical="center"/>
    </xf>
    <xf numFmtId="164" fontId="73" fillId="33" borderId="1" applyAlignment="1" pivotButton="0" quotePrefix="0" xfId="4">
      <alignment horizontal="center" vertical="center"/>
    </xf>
    <xf numFmtId="164" fontId="83" fillId="44" borderId="1" applyAlignment="1" pivotButton="0" quotePrefix="0" xfId="4">
      <alignment horizontal="center" vertical="center" wrapText="1"/>
    </xf>
    <xf numFmtId="164" fontId="20" fillId="13" borderId="1" applyAlignment="1" pivotButton="0" quotePrefix="0" xfId="4">
      <alignment horizontal="center" vertical="center" wrapText="1"/>
    </xf>
    <xf numFmtId="164" fontId="20" fillId="44" borderId="1" applyAlignment="1" pivotButton="0" quotePrefix="0" xfId="4">
      <alignment horizontal="center" vertical="center" wrapText="1"/>
    </xf>
    <xf numFmtId="164" fontId="8" fillId="13" borderId="1" applyAlignment="1" pivotButton="0" quotePrefix="0" xfId="4">
      <alignment horizontal="center" vertical="center" wrapText="1"/>
    </xf>
    <xf numFmtId="164" fontId="8" fillId="44" borderId="1" applyAlignment="1" pivotButton="0" quotePrefix="0" xfId="4">
      <alignment horizontal="center" vertical="center" wrapText="1"/>
    </xf>
    <xf numFmtId="164" fontId="8" fillId="8" borderId="1" applyAlignment="1" pivotButton="0" quotePrefix="0" xfId="4">
      <alignment horizontal="center" vertical="center"/>
    </xf>
    <xf numFmtId="164" fontId="55" fillId="23" borderId="1" applyAlignment="1" pivotButton="0" quotePrefix="0" xfId="4">
      <alignment horizontal="center" vertical="center"/>
    </xf>
    <xf numFmtId="164" fontId="61" fillId="26" borderId="1" applyAlignment="1" pivotButton="0" quotePrefix="0" xfId="4">
      <alignment horizontal="center" vertical="center"/>
    </xf>
    <xf numFmtId="164" fontId="20" fillId="26" borderId="1" applyAlignment="1" pivotButton="0" quotePrefix="0" xfId="4">
      <alignment horizontal="center" vertical="center" wrapText="1"/>
    </xf>
    <xf numFmtId="164" fontId="8" fillId="8" borderId="1" applyAlignment="1" pivotButton="0" quotePrefix="0" xfId="4">
      <alignment horizontal="center" vertical="center" wrapText="1"/>
    </xf>
    <xf numFmtId="164" fontId="81" fillId="42" borderId="1" applyAlignment="1" pivotButton="0" quotePrefix="0" xfId="4">
      <alignment horizontal="center" vertical="center"/>
    </xf>
    <xf numFmtId="164" fontId="47" fillId="6" borderId="1" applyAlignment="1" pivotButton="0" quotePrefix="0" xfId="4">
      <alignment horizontal="center" vertical="center"/>
    </xf>
    <xf numFmtId="164" fontId="55" fillId="6" borderId="1" applyAlignment="1" pivotButton="0" quotePrefix="0" xfId="4">
      <alignment horizontal="center" vertical="center"/>
    </xf>
    <xf numFmtId="164" fontId="7" fillId="42" borderId="1" applyAlignment="1" pivotButton="0" quotePrefix="0" xfId="4">
      <alignment horizontal="center" vertical="center" wrapText="1"/>
    </xf>
    <xf numFmtId="164" fontId="7" fillId="6" borderId="1" applyAlignment="1" pivotButton="0" quotePrefix="0" xfId="4">
      <alignment horizontal="center" vertical="center" wrapText="1"/>
    </xf>
    <xf numFmtId="164" fontId="8" fillId="21" borderId="1" applyAlignment="1" pivotButton="0" quotePrefix="0" xfId="4">
      <alignment horizontal="center" vertical="center"/>
    </xf>
    <xf numFmtId="164" fontId="8" fillId="17" borderId="1" applyAlignment="1" pivotButton="0" quotePrefix="0" xfId="4">
      <alignment horizontal="center" vertical="center"/>
    </xf>
    <xf numFmtId="164" fontId="51" fillId="21" borderId="1" applyAlignment="1" pivotButton="0" quotePrefix="0" xfId="4">
      <alignment horizontal="center" vertical="center"/>
    </xf>
    <xf numFmtId="165" fontId="0" fillId="3" borderId="0" applyAlignment="1" pivotButton="0" quotePrefix="0" xfId="0">
      <alignment horizontal="center"/>
    </xf>
    <xf numFmtId="165" fontId="6" fillId="4" borderId="1" applyAlignment="1" pivotButton="0" quotePrefix="0" xfId="0">
      <alignment horizontal="center" vertical="center"/>
    </xf>
    <xf numFmtId="165" fontId="6" fillId="4" borderId="1" applyAlignment="1" pivotButton="0" quotePrefix="0" xfId="0">
      <alignment horizontal="center" vertical="center" wrapText="1"/>
    </xf>
    <xf numFmtId="164" fontId="7" fillId="21" borderId="1" applyAlignment="1" pivotButton="0" quotePrefix="0" xfId="4">
      <alignment horizontal="center" vertical="center" wrapText="1"/>
    </xf>
    <xf numFmtId="164" fontId="7" fillId="17" borderId="1" applyAlignment="1" pivotButton="0" quotePrefix="0" xfId="4">
      <alignment horizontal="center" vertical="center" wrapText="1"/>
    </xf>
    <xf numFmtId="164" fontId="7" fillId="8" borderId="1" applyAlignment="1" pivotButton="0" quotePrefix="0" xfId="4">
      <alignment horizontal="center" vertical="center" wrapText="1"/>
    </xf>
    <xf numFmtId="164" fontId="8" fillId="43" borderId="1" applyAlignment="1" pivotButton="0" quotePrefix="0" xfId="4">
      <alignment horizontal="center" vertical="center"/>
    </xf>
    <xf numFmtId="164" fontId="8" fillId="20" borderId="1" applyAlignment="1" pivotButton="0" quotePrefix="0" xfId="4">
      <alignment horizontal="center" vertical="center"/>
    </xf>
    <xf numFmtId="164" fontId="82" fillId="43" borderId="1" applyAlignment="1" pivotButton="0" quotePrefix="0" xfId="4">
      <alignment horizontal="center" vertical="center"/>
    </xf>
    <xf numFmtId="164" fontId="49" fillId="20" borderId="1" applyAlignment="1" pivotButton="0" quotePrefix="0" xfId="4">
      <alignment horizontal="center" vertical="center"/>
    </xf>
    <xf numFmtId="164" fontId="7" fillId="43" borderId="1" applyAlignment="1" pivotButton="0" quotePrefix="0" xfId="4">
      <alignment horizontal="center" vertical="center" wrapText="1"/>
    </xf>
    <xf numFmtId="164" fontId="7" fillId="20" borderId="1" applyAlignment="1" pivotButton="0" quotePrefix="0" xfId="4">
      <alignment horizontal="center" vertical="center" wrapText="1"/>
    </xf>
    <xf numFmtId="164" fontId="8" fillId="22" borderId="1" applyAlignment="1" pivotButton="0" quotePrefix="0" xfId="4">
      <alignment horizontal="center" vertical="center"/>
    </xf>
    <xf numFmtId="164" fontId="7" fillId="0" borderId="1" applyAlignment="1" pivotButton="0" quotePrefix="0" xfId="4">
      <alignment horizontal="center" vertical="center"/>
    </xf>
    <xf numFmtId="164" fontId="8" fillId="6" borderId="1" applyAlignment="1" pivotButton="0" quotePrefix="0" xfId="0">
      <alignment horizontal="center" vertical="center"/>
    </xf>
    <xf numFmtId="166" fontId="8" fillId="0" borderId="1" applyAlignment="1" pivotButton="0" quotePrefix="0" xfId="4">
      <alignment horizontal="center" vertical="center"/>
    </xf>
    <xf numFmtId="164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6">
      <alignment horizontal="center" vertical="center"/>
    </xf>
    <xf numFmtId="164" fontId="40" fillId="15" borderId="1" applyAlignment="1" pivotButton="0" quotePrefix="0" xfId="4">
      <alignment horizontal="center" vertical="center"/>
    </xf>
    <xf numFmtId="164" fontId="69" fillId="31" borderId="1" applyAlignment="1" pivotButton="0" quotePrefix="0" xfId="4">
      <alignment horizontal="center" vertical="center"/>
    </xf>
    <xf numFmtId="164" fontId="8" fillId="6" borderId="1" applyAlignment="1" pivotButton="0" quotePrefix="0" xfId="0">
      <alignment horizontal="center" vertical="center" wrapText="1"/>
    </xf>
    <xf numFmtId="164" fontId="7" fillId="31" borderId="1" applyAlignment="1" pivotButton="0" quotePrefix="0" xfId="4">
      <alignment horizontal="center" vertical="center" wrapText="1"/>
    </xf>
    <xf numFmtId="164" fontId="7" fillId="15" borderId="1" applyAlignment="1" pivotButton="0" quotePrefix="0" xfId="4">
      <alignment horizontal="center" vertical="center" wrapText="1"/>
    </xf>
    <xf numFmtId="164" fontId="9" fillId="15" borderId="1" applyAlignment="1" pivotButton="0" quotePrefix="0" xfId="4">
      <alignment horizontal="center" vertical="center" wrapText="1"/>
    </xf>
    <xf numFmtId="164" fontId="8" fillId="18" borderId="1" applyAlignment="1" pivotButton="0" quotePrefix="0" xfId="4">
      <alignment horizontal="center" vertical="center"/>
    </xf>
    <xf numFmtId="164" fontId="8" fillId="8" borderId="1" applyAlignment="1" pivotButton="0" quotePrefix="0" xfId="0">
      <alignment horizontal="center" vertical="center"/>
    </xf>
    <xf numFmtId="164" fontId="8" fillId="8" borderId="1" applyAlignment="1" pivotButton="0" quotePrefix="0" xfId="0">
      <alignment horizontal="center" vertical="center" wrapText="1"/>
    </xf>
    <xf numFmtId="164" fontId="7" fillId="19" borderId="1" applyAlignment="1" pivotButton="0" quotePrefix="0" xfId="4">
      <alignment horizontal="center" vertical="center" wrapText="1"/>
    </xf>
    <xf numFmtId="164" fontId="62" fillId="27" borderId="1" applyAlignment="1" pivotButton="0" quotePrefix="0" xfId="4">
      <alignment horizontal="center" vertical="center"/>
    </xf>
    <xf numFmtId="164" fontId="7" fillId="27" borderId="1" applyAlignment="1" pivotButton="0" quotePrefix="0" xfId="4">
      <alignment horizontal="center" vertical="center"/>
    </xf>
    <xf numFmtId="164" fontId="7" fillId="6" borderId="1" applyAlignment="1" pivotButton="0" quotePrefix="0" xfId="4">
      <alignment horizontal="center" vertical="center"/>
    </xf>
    <xf numFmtId="164" fontId="7" fillId="13" borderId="1" applyAlignment="1" pivotButton="0" quotePrefix="0" xfId="4">
      <alignment horizontal="center" vertical="center"/>
    </xf>
    <xf numFmtId="164" fontId="7" fillId="13" borderId="1" applyAlignment="1" pivotButton="0" quotePrefix="0" xfId="4">
      <alignment horizontal="center" vertical="center" wrapText="1"/>
    </xf>
    <xf numFmtId="164" fontId="8" fillId="30" borderId="1" applyAlignment="1" pivotButton="0" quotePrefix="0" xfId="4">
      <alignment horizontal="center" vertical="center"/>
    </xf>
    <xf numFmtId="164" fontId="8" fillId="10" borderId="1" applyAlignment="1" pivotButton="0" quotePrefix="0" xfId="4">
      <alignment horizontal="center" vertical="center"/>
    </xf>
    <xf numFmtId="164" fontId="8" fillId="44" borderId="1" applyAlignment="1" pivotButton="0" quotePrefix="0" xfId="4">
      <alignment horizontal="center" vertical="center"/>
    </xf>
    <xf numFmtId="164" fontId="51" fillId="30" borderId="1" applyAlignment="1" pivotButton="0" quotePrefix="0" xfId="4">
      <alignment horizontal="center" vertical="center"/>
    </xf>
    <xf numFmtId="164" fontId="32" fillId="10" borderId="1" applyAlignment="1" pivotButton="0" quotePrefix="0" xfId="4">
      <alignment horizontal="center" vertical="center"/>
    </xf>
    <xf numFmtId="164" fontId="53" fillId="44" borderId="1" applyAlignment="1" pivotButton="0" quotePrefix="0" xfId="4">
      <alignment horizontal="center" vertical="center"/>
    </xf>
    <xf numFmtId="164" fontId="7" fillId="38" borderId="1" applyAlignment="1" pivotButton="0" quotePrefix="0" xfId="4">
      <alignment horizontal="center" vertical="center" wrapText="1"/>
    </xf>
    <xf numFmtId="164" fontId="7" fillId="10" borderId="1" applyAlignment="1" pivotButton="0" quotePrefix="0" xfId="4">
      <alignment horizontal="center" vertical="center" wrapText="1"/>
    </xf>
    <xf numFmtId="164" fontId="7" fillId="44" borderId="1" applyAlignment="1" pivotButton="0" quotePrefix="0" xfId="4">
      <alignment horizontal="center" vertical="center" wrapText="1"/>
    </xf>
    <xf numFmtId="164" fontId="30" fillId="9" borderId="1" applyAlignment="1" pivotButton="0" quotePrefix="0" xfId="0">
      <alignment horizontal="center" vertical="center"/>
    </xf>
    <xf numFmtId="164" fontId="32" fillId="20" borderId="1" applyAlignment="1" pivotButton="0" quotePrefix="0" xfId="4">
      <alignment horizontal="center" vertical="center"/>
    </xf>
    <xf numFmtId="164" fontId="8" fillId="9" borderId="1" applyAlignment="1" pivotButton="0" quotePrefix="0" xfId="4">
      <alignment horizontal="center" vertical="center"/>
    </xf>
    <xf numFmtId="164" fontId="8" fillId="29" borderId="1" applyAlignment="1" pivotButton="0" quotePrefix="0" xfId="4">
      <alignment horizontal="center" vertical="center"/>
    </xf>
    <xf numFmtId="164" fontId="59" fillId="25" borderId="1" applyAlignment="1" pivotButton="0" quotePrefix="0" xfId="0">
      <alignment horizontal="center" vertical="center"/>
    </xf>
    <xf numFmtId="164" fontId="65" fillId="29" borderId="1" applyAlignment="1" pivotButton="0" quotePrefix="0" xfId="4">
      <alignment horizontal="center" vertical="center"/>
    </xf>
    <xf numFmtId="164" fontId="7" fillId="27" borderId="1" applyAlignment="1" pivotButton="0" quotePrefix="0" xfId="4">
      <alignment horizontal="center" vertical="center" wrapText="1"/>
    </xf>
    <xf numFmtId="164" fontId="7" fillId="25" borderId="1" applyAlignment="1" pivotButton="0" quotePrefix="0" xfId="4">
      <alignment horizontal="center" vertical="center" wrapText="1"/>
    </xf>
    <xf numFmtId="164" fontId="7" fillId="29" borderId="1" applyAlignment="1" pivotButton="0" quotePrefix="0" xfId="4">
      <alignment horizontal="center" vertical="center" wrapText="1"/>
    </xf>
    <xf numFmtId="164" fontId="8" fillId="19" borderId="1" applyAlignment="1" pivotButton="0" quotePrefix="0" xfId="4">
      <alignment horizontal="center" vertical="center"/>
    </xf>
    <xf numFmtId="164" fontId="25" fillId="37" borderId="1" applyAlignment="1" pivotButton="0" quotePrefix="0" xfId="4">
      <alignment horizontal="center" vertical="center"/>
    </xf>
    <xf numFmtId="164" fontId="25" fillId="21" borderId="1" applyAlignment="1" pivotButton="0" quotePrefix="0" xfId="4">
      <alignment horizontal="center" vertical="center"/>
    </xf>
    <xf numFmtId="164" fontId="25" fillId="20" borderId="1" applyAlignment="1" pivotButton="0" quotePrefix="0" xfId="4">
      <alignment horizontal="center" vertical="center"/>
    </xf>
    <xf numFmtId="164" fontId="32" fillId="37" borderId="1" applyAlignment="1" pivotButton="0" quotePrefix="0" xfId="4">
      <alignment horizontal="center" vertical="center"/>
    </xf>
    <xf numFmtId="164" fontId="8" fillId="27" borderId="1" applyAlignment="1" pivotButton="0" quotePrefix="0" xfId="4">
      <alignment horizontal="center" vertical="center"/>
    </xf>
    <xf numFmtId="164" fontId="8" fillId="11" borderId="1" applyAlignment="1" pivotButton="0" quotePrefix="0" xfId="4">
      <alignment horizontal="center" vertical="center"/>
    </xf>
    <xf numFmtId="164" fontId="79" fillId="39" borderId="1" applyAlignment="1" pivotButton="0" quotePrefix="0" xfId="4">
      <alignment horizontal="center" vertical="center"/>
    </xf>
    <xf numFmtId="164" fontId="67" fillId="30" borderId="1" applyAlignment="1" pivotButton="0" quotePrefix="0" xfId="4">
      <alignment horizontal="center" vertical="center"/>
    </xf>
    <xf numFmtId="164" fontId="51" fillId="21" borderId="1" applyAlignment="1" pivotButton="0" quotePrefix="0" xfId="0">
      <alignment horizontal="center" vertical="center"/>
    </xf>
    <xf numFmtId="165" fontId="12" fillId="4" borderId="1" applyAlignment="1" pivotButton="0" quotePrefix="0" xfId="0">
      <alignment horizontal="center" vertical="center"/>
    </xf>
    <xf numFmtId="165" fontId="12" fillId="4" borderId="1" applyAlignment="1" pivotButton="0" quotePrefix="0" xfId="0">
      <alignment horizontal="center" vertical="center" wrapText="1"/>
    </xf>
    <xf numFmtId="0" fontId="88" fillId="47" borderId="1" applyAlignment="1" pivotButton="0" quotePrefix="0" xfId="0">
      <alignment horizontal="center" vertical="center" wrapText="1"/>
    </xf>
    <xf numFmtId="0" fontId="87" fillId="48" borderId="1" applyAlignment="1" pivotButton="0" quotePrefix="0" xfId="0">
      <alignment horizontal="center" vertical="center"/>
    </xf>
    <xf numFmtId="164" fontId="25" fillId="6" borderId="1" applyAlignment="1" pivotButton="0" quotePrefix="0" xfId="4">
      <alignment horizontal="center" vertical="center"/>
    </xf>
    <xf numFmtId="164" fontId="87" fillId="48" borderId="1" applyAlignment="1" pivotButton="0" quotePrefix="0" xfId="4">
      <alignment horizontal="center" vertical="center"/>
    </xf>
    <xf numFmtId="10" fontId="87" fillId="48" borderId="1" applyAlignment="1" pivotButton="0" quotePrefix="0" xfId="3">
      <alignment horizontal="center" vertical="center"/>
    </xf>
    <xf numFmtId="164" fontId="87" fillId="48" borderId="1" applyAlignment="1" pivotButton="0" quotePrefix="0" xfId="4">
      <alignment horizontal="center" vertical="center" wrapText="1"/>
    </xf>
    <xf numFmtId="164" fontId="25" fillId="0" borderId="1" applyAlignment="1" pivotButton="0" quotePrefix="0" xfId="4">
      <alignment horizontal="center" vertical="center"/>
    </xf>
    <xf numFmtId="164" fontId="8" fillId="31" borderId="1" applyAlignment="1" pivotButton="0" quotePrefix="0" xfId="4">
      <alignment horizontal="center" vertical="center"/>
    </xf>
    <xf numFmtId="164" fontId="36" fillId="31" borderId="1" applyAlignment="1" pivotButton="0" quotePrefix="0" xfId="4">
      <alignment horizontal="center" vertical="center"/>
    </xf>
    <xf numFmtId="164" fontId="80" fillId="41" borderId="1" applyAlignment="1" pivotButton="0" quotePrefix="0" xfId="4">
      <alignment horizontal="center" vertical="center"/>
    </xf>
    <xf numFmtId="167" fontId="8" fillId="8" borderId="1" applyAlignment="1" pivotButton="0" quotePrefix="0" xfId="3">
      <alignment horizontal="center" vertical="center"/>
    </xf>
    <xf numFmtId="164" fontId="7" fillId="41" borderId="1" applyAlignment="1" pivotButton="0" quotePrefix="0" xfId="4">
      <alignment horizontal="center" vertical="center" wrapText="1"/>
    </xf>
    <xf numFmtId="167" fontId="8" fillId="6" borderId="1" applyAlignment="1" pivotButton="0" quotePrefix="0" xfId="3">
      <alignment horizontal="center" vertical="center"/>
    </xf>
    <xf numFmtId="164" fontId="64" fillId="6" borderId="1" applyAlignment="1" pivotButton="0" quotePrefix="0" xfId="4">
      <alignment horizontal="center" vertical="center"/>
    </xf>
    <xf numFmtId="164" fontId="62" fillId="27" borderId="1" applyAlignment="1" pivotButton="0" quotePrefix="0" xfId="0">
      <alignment horizontal="center" vertical="center"/>
    </xf>
    <xf numFmtId="164" fontId="62" fillId="27" borderId="1" applyAlignment="1" pivotButton="0" quotePrefix="0" xfId="0">
      <alignment horizontal="center" vertical="center" wrapText="1"/>
    </xf>
    <xf numFmtId="165" fontId="15" fillId="0" borderId="0" applyAlignment="1" pivotButton="0" quotePrefix="0" xfId="0">
      <alignment horizontal="center" vertical="top"/>
    </xf>
    <xf numFmtId="164" fontId="7" fillId="8" borderId="1" applyAlignment="1" pivotButton="0" quotePrefix="0" xfId="4">
      <alignment horizontal="center" vertical="center"/>
    </xf>
    <xf numFmtId="164" fontId="36" fillId="31" borderId="1" applyAlignment="1" pivotButton="0" quotePrefix="0" xfId="0">
      <alignment horizontal="center" vertical="center"/>
    </xf>
    <xf numFmtId="164" fontId="36" fillId="31" borderId="1" applyAlignment="1" pivotButton="0" quotePrefix="0" xfId="0">
      <alignment horizontal="center" vertical="center" wrapText="1"/>
    </xf>
    <xf numFmtId="164" fontId="7" fillId="44" borderId="1" applyAlignment="1" pivotButton="0" quotePrefix="0" xfId="4">
      <alignment horizontal="center" vertical="center"/>
    </xf>
    <xf numFmtId="164" fontId="8" fillId="28" borderId="1" applyAlignment="1" pivotButton="0" quotePrefix="0" xfId="4">
      <alignment horizontal="center" vertical="center"/>
    </xf>
    <xf numFmtId="164" fontId="8" fillId="37" borderId="1" applyAlignment="1" pivotButton="0" quotePrefix="0" xfId="4">
      <alignment horizontal="center" vertical="center"/>
    </xf>
    <xf numFmtId="164" fontId="64" fillId="28" borderId="1" applyAlignment="1" pivotButton="0" quotePrefix="0" xfId="4">
      <alignment horizontal="center" vertical="center"/>
    </xf>
    <xf numFmtId="164" fontId="64" fillId="31" borderId="1" applyAlignment="1" pivotButton="0" quotePrefix="0" xfId="4">
      <alignment horizontal="center" vertical="center"/>
    </xf>
    <xf numFmtId="164" fontId="77" fillId="37" borderId="1" applyAlignment="1" pivotButton="0" quotePrefix="0" xfId="4">
      <alignment horizontal="center" vertical="center"/>
    </xf>
    <xf numFmtId="164" fontId="36" fillId="6" borderId="1" applyAlignment="1" pivotButton="0" quotePrefix="0" xfId="0">
      <alignment horizontal="center" vertical="center"/>
    </xf>
    <xf numFmtId="164" fontId="36" fillId="6" borderId="1" applyAlignment="1" pivotButton="0" quotePrefix="0" xfId="0">
      <alignment horizontal="center" vertical="center" wrapText="1"/>
    </xf>
    <xf numFmtId="164" fontId="7" fillId="28" borderId="1" applyAlignment="1" pivotButton="0" quotePrefix="0" xfId="4">
      <alignment horizontal="center" vertical="center"/>
    </xf>
    <xf numFmtId="164" fontId="7" fillId="31" borderId="1" applyAlignment="1" pivotButton="0" quotePrefix="0" xfId="4">
      <alignment horizontal="center" vertical="center"/>
    </xf>
    <xf numFmtId="164" fontId="7" fillId="37" borderId="1" applyAlignment="1" pivotButton="0" quotePrefix="0" xfId="4">
      <alignment horizontal="center" vertical="center"/>
    </xf>
    <xf numFmtId="165" fontId="0" fillId="3" borderId="0" pivotButton="0" quotePrefix="0" xfId="0"/>
    <xf numFmtId="164" fontId="7" fillId="34" borderId="1" applyAlignment="1" pivotButton="0" quotePrefix="0" xfId="4">
      <alignment horizontal="center" vertical="center" wrapText="1"/>
    </xf>
    <xf numFmtId="164" fontId="6" fillId="12" borderId="1" applyAlignment="1" pivotButton="0" quotePrefix="0" xfId="4">
      <alignment horizontal="center" vertical="center" wrapText="1"/>
    </xf>
    <xf numFmtId="164" fontId="8" fillId="13" borderId="1" applyAlignment="1" pivotButton="0" quotePrefix="0" xfId="4">
      <alignment horizontal="center" vertical="center"/>
    </xf>
    <xf numFmtId="164" fontId="8" fillId="6" borderId="1" applyAlignment="1" pivotButton="0" quotePrefix="0" xfId="4">
      <alignment horizontal="right" vertical="center"/>
    </xf>
    <xf numFmtId="164" fontId="45" fillId="18" borderId="1" applyAlignment="1" pivotButton="0" quotePrefix="0" xfId="4">
      <alignment horizontal="right" vertical="center"/>
    </xf>
    <xf numFmtId="164" fontId="82" fillId="44" borderId="1" applyAlignment="1" pivotButton="0" quotePrefix="0" xfId="4">
      <alignment horizontal="center" vertical="center"/>
    </xf>
    <xf numFmtId="164" fontId="45" fillId="18" borderId="1" applyAlignment="1" pivotButton="0" quotePrefix="1" xfId="4">
      <alignment horizontal="right" vertical="center"/>
    </xf>
    <xf numFmtId="164" fontId="6" fillId="34" borderId="1" applyAlignment="1" pivotButton="0" quotePrefix="0" xfId="4">
      <alignment horizontal="center" vertical="center" wrapText="1"/>
    </xf>
    <xf numFmtId="164" fontId="6" fillId="11" borderId="1" applyAlignment="1" pivotButton="0" quotePrefix="0" xfId="4">
      <alignment horizontal="center" vertical="center" wrapText="1"/>
    </xf>
    <xf numFmtId="164" fontId="8" fillId="16" borderId="1" applyAlignment="1" pivotButton="0" quotePrefix="0" xfId="4">
      <alignment horizontal="center" vertical="center" wrapText="1"/>
    </xf>
    <xf numFmtId="164" fontId="45" fillId="18" borderId="1" applyAlignment="1" pivotButton="0" quotePrefix="0" xfId="0">
      <alignment horizontal="center" vertical="center"/>
    </xf>
    <xf numFmtId="168" fontId="8" fillId="0" borderId="1" applyAlignment="1" pivotButton="0" quotePrefix="0" xfId="3">
      <alignment horizontal="center" vertical="center"/>
    </xf>
    <xf numFmtId="164" fontId="8" fillId="11" borderId="1" applyAlignment="1" pivotButton="0" quotePrefix="0" xfId="4">
      <alignment horizontal="center" vertical="center" wrapText="1"/>
    </xf>
    <xf numFmtId="164" fontId="30" fillId="30" borderId="1" applyAlignment="1" pivotButton="0" quotePrefix="0" xfId="4">
      <alignment horizontal="center" vertical="center"/>
    </xf>
    <xf numFmtId="164" fontId="67" fillId="30" borderId="1" applyAlignment="1" pivotButton="0" quotePrefix="0" xfId="4">
      <alignment horizontal="center" vertical="center" wrapText="1"/>
    </xf>
    <xf numFmtId="164" fontId="8" fillId="6" borderId="1" applyAlignment="1" pivotButton="0" quotePrefix="0" xfId="4">
      <alignment horizontal="center"/>
    </xf>
    <xf numFmtId="165" fontId="8" fillId="6" borderId="1" applyAlignment="1" pivotButton="0" quotePrefix="0" xfId="0">
      <alignment horizontal="center" vertical="center"/>
    </xf>
    <xf numFmtId="164" fontId="32" fillId="16" borderId="1" applyAlignment="1" pivotButton="0" quotePrefix="0" xfId="0">
      <alignment horizontal="center" vertical="center"/>
    </xf>
    <xf numFmtId="164" fontId="49" fillId="20" borderId="1" applyAlignment="1" pivotButton="0" quotePrefix="0" xfId="0">
      <alignment horizontal="center" vertical="center"/>
    </xf>
    <xf numFmtId="164" fontId="8" fillId="8" borderId="1" applyAlignment="1" pivotButton="0" quotePrefix="0" xfId="4">
      <alignment horizontal="center"/>
    </xf>
    <xf numFmtId="164" fontId="75" fillId="36" borderId="1" applyAlignment="1" pivotButton="0" quotePrefix="0" xfId="4">
      <alignment horizontal="center"/>
    </xf>
    <xf numFmtId="164" fontId="32" fillId="16" borderId="1" applyAlignment="1" pivotButton="0" quotePrefix="0" xfId="0">
      <alignment horizontal="center" vertical="center" wrapText="1"/>
    </xf>
    <xf numFmtId="164" fontId="49" fillId="20" borderId="1" applyAlignment="1" pivotButton="0" quotePrefix="0" xfId="0">
      <alignment horizontal="center" vertical="center" wrapText="1"/>
    </xf>
    <xf numFmtId="165" fontId="8" fillId="8" borderId="1" applyAlignment="1" pivotButton="0" quotePrefix="0" xfId="0">
      <alignment horizontal="center" vertical="center"/>
    </xf>
    <xf numFmtId="165" fontId="75" fillId="36" borderId="1" applyAlignment="1" pivotButton="0" quotePrefix="0" xfId="0">
      <alignment horizontal="center" vertical="center"/>
    </xf>
    <xf numFmtId="164" fontId="41" fillId="18" borderId="1" applyAlignment="1" pivotButton="0" quotePrefix="0" xfId="4">
      <alignment horizontal="center" vertical="center"/>
    </xf>
    <xf numFmtId="164" fontId="7" fillId="18" borderId="1" applyAlignment="1" pivotButton="0" quotePrefix="0" xfId="4">
      <alignment horizontal="center" vertical="center"/>
    </xf>
    <xf numFmtId="164" fontId="49" fillId="44" borderId="1" applyAlignment="1" pivotButton="0" quotePrefix="0" xfId="4">
      <alignment horizontal="center" vertical="center"/>
    </xf>
    <xf numFmtId="169" fontId="8" fillId="0" borderId="1" applyAlignment="1" pivotButton="0" quotePrefix="0" xfId="3">
      <alignment horizontal="center" vertical="center"/>
    </xf>
    <xf numFmtId="165" fontId="7" fillId="4" borderId="1" applyAlignment="1" pivotButton="0" quotePrefix="0" xfId="0">
      <alignment horizontal="center" vertical="center"/>
    </xf>
    <xf numFmtId="165" fontId="7" fillId="4" borderId="1" applyAlignment="1" pivotButton="0" quotePrefix="0" xfId="0">
      <alignment horizontal="center" vertical="center" wrapText="1"/>
    </xf>
    <xf numFmtId="164" fontId="25" fillId="8" borderId="1" applyAlignment="1" pivotButton="0" quotePrefix="0" xfId="4">
      <alignment horizontal="center" vertical="center"/>
    </xf>
    <xf numFmtId="164" fontId="8" fillId="32" borderId="1" applyAlignment="1" pivotButton="0" quotePrefix="0" xfId="4">
      <alignment horizontal="center" vertical="center"/>
    </xf>
    <xf numFmtId="164" fontId="71" fillId="32" borderId="1" applyAlignment="1" pivotButton="0" quotePrefix="0" xfId="4">
      <alignment horizontal="center" vertical="center"/>
    </xf>
    <xf numFmtId="170" fontId="8" fillId="44" borderId="1" applyAlignment="1" pivotButton="0" quotePrefix="0" xfId="4">
      <alignment horizontal="center" vertical="center"/>
    </xf>
    <xf numFmtId="164" fontId="7" fillId="32" borderId="1" applyAlignment="1" pivotButton="0" quotePrefix="0" xfId="4">
      <alignment horizontal="center" vertical="center" wrapText="1"/>
    </xf>
    <xf numFmtId="164" fontId="25" fillId="0" borderId="1" applyAlignment="1" pivotButton="0" quotePrefix="0" xfId="4">
      <alignment horizontal="center" vertical="center" wrapText="1"/>
    </xf>
    <xf numFmtId="164" fontId="7" fillId="32" borderId="1" applyAlignment="1" pivotButton="0" quotePrefix="0" xfId="4">
      <alignment horizontal="center" vertical="center"/>
    </xf>
    <xf numFmtId="164" fontId="25" fillId="8" borderId="1" applyAlignment="1" pivotButton="0" quotePrefix="0" xfId="4">
      <alignment horizontal="center" vertical="center" wrapText="1"/>
    </xf>
    <xf numFmtId="164" fontId="71" fillId="32" borderId="1" applyAlignment="1" pivotButton="0" quotePrefix="0" xfId="4">
      <alignment horizontal="center" vertical="center" wrapText="1"/>
    </xf>
    <xf numFmtId="164" fontId="7" fillId="28" borderId="1" applyAlignment="1" pivotButton="0" quotePrefix="0" xfId="4">
      <alignment horizontal="center" vertical="center" wrapText="1"/>
    </xf>
    <xf numFmtId="164" fontId="7" fillId="9" borderId="1" applyAlignment="1" pivotButton="0" quotePrefix="0" xfId="4">
      <alignment horizontal="center" vertical="center"/>
    </xf>
    <xf numFmtId="164" fontId="8" fillId="12" borderId="1" applyAlignment="1" pivotButton="0" quotePrefix="0" xfId="4">
      <alignment horizontal="center" vertical="center"/>
    </xf>
    <xf numFmtId="164" fontId="34" fillId="12" borderId="1" applyAlignment="1" pivotButton="0" quotePrefix="0" xfId="0">
      <alignment horizontal="center" vertical="center"/>
    </xf>
    <xf numFmtId="164" fontId="83" fillId="44" borderId="1" applyAlignment="1" pivotButton="0" quotePrefix="0" xfId="0">
      <alignment horizontal="center" vertical="center"/>
    </xf>
    <xf numFmtId="164" fontId="34" fillId="12" borderId="1" applyAlignment="1" pivotButton="0" quotePrefix="1" xfId="4">
      <alignment horizontal="right" vertical="center"/>
    </xf>
    <xf numFmtId="164" fontId="34" fillId="12" borderId="1" applyAlignment="1" pivotButton="0" quotePrefix="0" xfId="0">
      <alignment horizontal="center" vertical="center" wrapText="1"/>
    </xf>
    <xf numFmtId="164" fontId="83" fillId="44" borderId="1" applyAlignment="1" pivotButton="0" quotePrefix="0" xfId="0">
      <alignment horizontal="center" vertical="center" wrapText="1"/>
    </xf>
    <xf numFmtId="164" fontId="7" fillId="12" borderId="1" applyAlignment="1" pivotButton="0" quotePrefix="0" xfId="4">
      <alignment horizontal="center" vertical="center"/>
    </xf>
    <xf numFmtId="164" fontId="86" fillId="46" borderId="1" applyAlignment="1" pivotButton="0" quotePrefix="0" xfId="0">
      <alignment horizontal="center" vertical="center"/>
    </xf>
    <xf numFmtId="164" fontId="7" fillId="46" borderId="1" applyAlignment="1" pivotButton="0" quotePrefix="0" xfId="4">
      <alignment horizontal="center" vertical="center"/>
    </xf>
    <xf numFmtId="164" fontId="79" fillId="39" borderId="1" applyAlignment="1" pivotButton="0" quotePrefix="0" xfId="0">
      <alignment horizontal="center" vertical="center"/>
    </xf>
    <xf numFmtId="164" fontId="8" fillId="7" borderId="1" applyAlignment="1" pivotButton="0" quotePrefix="0" xfId="0">
      <alignment horizontal="center" vertical="center"/>
    </xf>
    <xf numFmtId="164" fontId="82" fillId="43" borderId="1" applyAlignment="1" pivotButton="0" quotePrefix="0" xfId="0">
      <alignment horizontal="center" vertical="center"/>
    </xf>
    <xf numFmtId="164" fontId="7" fillId="7" borderId="1" applyAlignment="1" pivotButton="0" quotePrefix="0" xfId="4">
      <alignment horizontal="center" vertical="center" wrapText="1"/>
    </xf>
    <xf numFmtId="164" fontId="7" fillId="39" borderId="1" applyAlignment="1" pivotButton="0" quotePrefix="0" xfId="4">
      <alignment horizontal="center" vertical="center"/>
    </xf>
    <xf numFmtId="164" fontId="8" fillId="48" borderId="1" applyAlignment="1" pivotButton="0" quotePrefix="0" xfId="4">
      <alignment horizontal="center" vertical="center"/>
    </xf>
    <xf numFmtId="49" fontId="87" fillId="48" borderId="1" applyAlignment="1" pivotButton="0" quotePrefix="0" xfId="4">
      <alignment horizontal="center" vertical="center"/>
    </xf>
    <xf numFmtId="0" fontId="8" fillId="48" borderId="1" applyAlignment="1" pivotButton="0" quotePrefix="0" xfId="3">
      <alignment horizontal="center" vertical="center"/>
    </xf>
    <xf numFmtId="164" fontId="7" fillId="48" borderId="1" applyAlignment="1" pivotButton="0" quotePrefix="0" xfId="4">
      <alignment horizontal="center" vertical="center" wrapText="1"/>
    </xf>
    <xf numFmtId="0" fontId="8" fillId="48" borderId="1" applyAlignment="1" pivotButton="0" quotePrefix="0" xfId="0">
      <alignment horizontal="center" vertical="center"/>
    </xf>
    <xf numFmtId="49" fontId="83" fillId="6" borderId="1" applyAlignment="1" pivotButton="0" quotePrefix="0" xfId="4">
      <alignment horizontal="center" vertical="center"/>
    </xf>
    <xf numFmtId="164" fontId="83" fillId="6" borderId="1" applyAlignment="1" pivotButton="0" quotePrefix="0" xfId="4">
      <alignment horizontal="center" vertical="center"/>
    </xf>
    <xf numFmtId="10" fontId="83" fillId="6" borderId="1" applyAlignment="1" pivotButton="0" quotePrefix="0" xfId="3">
      <alignment horizontal="center" vertical="center"/>
    </xf>
    <xf numFmtId="0" fontId="14" fillId="5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1" fillId="5" borderId="1" applyAlignment="1" pivotButton="0" quotePrefix="0" xfId="0">
      <alignment horizontal="center" vertical="center"/>
    </xf>
    <xf numFmtId="171" fontId="11" fillId="5" borderId="1" applyAlignment="1" applyProtection="1" pivotButton="0" quotePrefix="0" xfId="0">
      <alignment horizontal="center" vertic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11" fillId="5" borderId="1" applyAlignment="1" pivotButton="0" quotePrefix="0" xfId="0">
      <alignment horizontal="center"/>
    </xf>
    <xf numFmtId="49" fontId="49" fillId="6" borderId="1" applyAlignment="1" pivotButton="0" quotePrefix="0" xfId="4">
      <alignment horizontal="center" vertical="center"/>
    </xf>
    <xf numFmtId="164" fontId="32" fillId="6" borderId="1" applyAlignment="1" pivotButton="0" quotePrefix="0" xfId="4">
      <alignment horizontal="center" vertical="center"/>
    </xf>
    <xf numFmtId="10" fontId="33" fillId="6" borderId="1" applyAlignment="1" pivotButton="0" quotePrefix="0" xfId="3">
      <alignment horizontal="center" vertical="center"/>
    </xf>
    <xf numFmtId="10" fontId="32" fillId="6" borderId="1" applyAlignment="1" pivotButton="0" quotePrefix="0" xfId="3">
      <alignment horizontal="center" vertical="center"/>
    </xf>
    <xf numFmtId="49" fontId="7" fillId="6" borderId="1" applyAlignment="1" pivotButton="0" quotePrefix="0" xfId="0">
      <alignment horizontal="center" vertical="center" wrapText="1"/>
    </xf>
    <xf numFmtId="164" fontId="45" fillId="18" borderId="1" applyAlignment="1" pivotButton="0" quotePrefix="0" xfId="4">
      <alignment horizontal="center" vertical="center"/>
    </xf>
    <xf numFmtId="164" fontId="19" fillId="6" borderId="1" applyAlignment="1" pivotButton="0" quotePrefix="0" xfId="4">
      <alignment horizontal="center" vertical="center"/>
    </xf>
    <xf numFmtId="164" fontId="30" fillId="9" borderId="1" applyAlignment="1" pivotButton="0" quotePrefix="0" xfId="4">
      <alignment horizontal="center" vertical="center"/>
    </xf>
    <xf numFmtId="164" fontId="19" fillId="6" borderId="1" applyAlignment="1" pivotButton="0" quotePrefix="0" xfId="6">
      <alignment horizontal="center" vertical="center"/>
    </xf>
    <xf numFmtId="164" fontId="19" fillId="0" borderId="1" applyAlignment="1" pivotButton="0" quotePrefix="0" xfId="4">
      <alignment horizontal="center" vertical="center"/>
    </xf>
    <xf numFmtId="164" fontId="34" fillId="12" borderId="1" applyAlignment="1" pivotButton="0" quotePrefix="0" xfId="4">
      <alignment horizontal="center" vertical="center"/>
    </xf>
    <xf numFmtId="165" fontId="15" fillId="3" borderId="0" applyAlignment="1" pivotButton="0" quotePrefix="0" xfId="0">
      <alignment horizontal="center"/>
    </xf>
    <xf numFmtId="165" fontId="18" fillId="4" borderId="1" applyAlignment="1" pivotButton="0" quotePrefix="0" xfId="0">
      <alignment horizontal="center" vertical="center"/>
    </xf>
    <xf numFmtId="165" fontId="18" fillId="4" borderId="1" applyAlignment="1" pivotButton="0" quotePrefix="0" xfId="0">
      <alignment horizontal="center" vertical="center" wrapText="1"/>
    </xf>
    <xf numFmtId="164" fontId="7" fillId="16" borderId="1" applyAlignment="1" pivotButton="0" quotePrefix="0" xfId="4">
      <alignment horizontal="center" vertical="center" wrapText="1"/>
    </xf>
    <xf numFmtId="164" fontId="20" fillId="11" borderId="1" applyAlignment="1" pivotButton="0" quotePrefix="0" xfId="4">
      <alignment horizontal="center" vertical="center" wrapText="1"/>
    </xf>
    <xf numFmtId="164" fontId="20" fillId="0" borderId="1" applyAlignment="1" pivotButton="0" quotePrefix="0" xfId="4">
      <alignment horizontal="center" vertical="center" wrapText="1"/>
    </xf>
    <xf numFmtId="164" fontId="7" fillId="12" borderId="1" applyAlignment="1" pivotButton="0" quotePrefix="0" xfId="4">
      <alignment horizontal="center" vertical="center" wrapText="1"/>
    </xf>
    <xf numFmtId="164" fontId="7" fillId="11" borderId="1" applyAlignment="1" pivotButton="0" quotePrefix="0" xfId="4">
      <alignment horizontal="center" vertical="center" wrapText="1"/>
    </xf>
    <xf numFmtId="164" fontId="7" fillId="18" borderId="1" applyAlignment="1" pivotButton="0" quotePrefix="0" xfId="4">
      <alignment horizontal="center" vertical="center" wrapText="1"/>
    </xf>
    <xf numFmtId="164" fontId="20" fillId="9" borderId="1" applyAlignment="1" pivotButton="0" quotePrefix="0" xfId="4">
      <alignment horizontal="center" vertical="center" wrapText="1"/>
    </xf>
    <xf numFmtId="164" fontId="20" fillId="6" borderId="1" applyAlignment="1" pivotButton="0" quotePrefix="0" xfId="4">
      <alignment horizontal="center" vertical="center" wrapText="1"/>
    </xf>
    <xf numFmtId="164" fontId="7" fillId="9" borderId="1" applyAlignment="1" pivotButton="0" quotePrefix="0" xfId="4">
      <alignment horizontal="center" vertical="center" wrapText="1"/>
    </xf>
    <xf numFmtId="164" fontId="8" fillId="6" borderId="1" applyAlignment="1" pivotButton="0" quotePrefix="0" xfId="4">
      <alignment horizontal="center" vertical="center" wrapText="1"/>
    </xf>
    <xf numFmtId="164" fontId="36" fillId="22" borderId="1" applyAlignment="1" pivotButton="0" quotePrefix="0" xfId="4">
      <alignment horizontal="center" vertical="center"/>
    </xf>
    <xf numFmtId="164" fontId="8" fillId="6" borderId="1" applyAlignment="1" pivotButton="0" quotePrefix="0" xfId="4">
      <alignment horizontal="center" vertical="center"/>
    </xf>
    <xf numFmtId="164" fontId="19" fillId="0" borderId="1" applyAlignment="1" pivotButton="0" quotePrefix="0" xfId="0">
      <alignment horizontal="center" vertical="center"/>
    </xf>
    <xf numFmtId="164" fontId="45" fillId="18" borderId="1" applyAlignment="1" pivotButton="0" quotePrefix="0" xfId="6">
      <alignment horizontal="center" vertical="center"/>
    </xf>
    <xf numFmtId="164" fontId="19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4">
      <alignment horizontal="center" vertical="center" wrapText="1"/>
    </xf>
    <xf numFmtId="164" fontId="20" fillId="0" borderId="1" applyAlignment="1" pivotButton="0" quotePrefix="0" xfId="4">
      <alignment horizontal="center" vertical="center"/>
    </xf>
    <xf numFmtId="164" fontId="20" fillId="18" borderId="1" applyAlignment="1" pivotButton="0" quotePrefix="0" xfId="4">
      <alignment horizontal="center" vertical="center" wrapText="1"/>
    </xf>
    <xf numFmtId="164" fontId="57" fillId="24" borderId="1" applyAlignment="1" pivotButton="0" quotePrefix="0" xfId="4">
      <alignment horizontal="center" vertical="center"/>
    </xf>
    <xf numFmtId="164" fontId="47" fillId="19" borderId="1" applyAlignment="1" pivotButton="0" quotePrefix="0" xfId="4">
      <alignment horizontal="center" vertical="center"/>
    </xf>
    <xf numFmtId="164" fontId="53" fillId="22" borderId="1" applyAlignment="1" pivotButton="0" quotePrefix="0" xfId="4">
      <alignment horizontal="center" vertical="center"/>
    </xf>
    <xf numFmtId="164" fontId="83" fillId="44" borderId="1" applyAlignment="1" pivotButton="0" quotePrefix="0" xfId="4">
      <alignment horizontal="center" vertical="center"/>
    </xf>
    <xf numFmtId="164" fontId="7" fillId="30" borderId="1" applyAlignment="1" pivotButton="0" quotePrefix="0" xfId="4">
      <alignment horizontal="center" vertical="center" wrapText="1"/>
    </xf>
    <xf numFmtId="164" fontId="7" fillId="22" borderId="1" applyAlignment="1" pivotButton="0" quotePrefix="0" xfId="4">
      <alignment horizontal="center" vertical="center" wrapText="1"/>
    </xf>
    <xf numFmtId="164" fontId="8" fillId="24" borderId="1" applyAlignment="1" pivotButton="0" quotePrefix="0" xfId="4">
      <alignment horizontal="center" vertical="center" wrapText="1"/>
    </xf>
    <xf numFmtId="164" fontId="8" fillId="19" borderId="1" applyAlignment="1" pivotButton="0" quotePrefix="0" xfId="4">
      <alignment horizontal="center" vertical="center" wrapText="1"/>
    </xf>
    <xf numFmtId="164" fontId="53" fillId="22" borderId="1" applyAlignment="1" pivotButton="0" quotePrefix="0" xfId="0">
      <alignment horizontal="center" vertical="center"/>
    </xf>
    <xf numFmtId="164" fontId="19" fillId="0" borderId="1" applyAlignment="1" pivotButton="0" quotePrefix="0" xfId="4">
      <alignment horizontal="center" vertical="center" wrapText="1"/>
    </xf>
    <xf numFmtId="164" fontId="53" fillId="22" borderId="1" applyAlignment="1" pivotButton="0" quotePrefix="0" xfId="4">
      <alignment horizontal="center" vertical="center" wrapText="1"/>
    </xf>
    <xf numFmtId="165" fontId="15" fillId="0" borderId="0" applyAlignment="1" pivotButton="0" quotePrefix="0" xfId="0">
      <alignment horizontal="center"/>
    </xf>
    <xf numFmtId="164" fontId="38" fillId="14" borderId="1" applyAlignment="1" pivotButton="0" quotePrefix="0" xfId="4">
      <alignment horizontal="center" vertical="center"/>
    </xf>
    <xf numFmtId="164" fontId="8" fillId="0" borderId="1" applyAlignment="1" pivotButton="0" quotePrefix="0" xfId="4">
      <alignment horizontal="center" vertical="center"/>
    </xf>
    <xf numFmtId="164" fontId="19" fillId="8" borderId="1" applyAlignment="1" pivotButton="0" quotePrefix="0" xfId="0">
      <alignment horizontal="center" vertical="center"/>
    </xf>
    <xf numFmtId="164" fontId="8" fillId="0" borderId="1" applyAlignment="1" pivotButton="0" quotePrefix="0" xfId="5">
      <alignment horizontal="center" vertical="center"/>
    </xf>
    <xf numFmtId="164" fontId="19" fillId="6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164" fontId="19" fillId="6" borderId="1" applyAlignment="1" pivotButton="0" quotePrefix="0" xfId="4">
      <alignment horizontal="center" vertical="center" wrapText="1"/>
    </xf>
    <xf numFmtId="164" fontId="8" fillId="0" borderId="1" applyAlignment="1" pivotButton="0" quotePrefix="0" xfId="4">
      <alignment horizontal="center" vertical="center" wrapText="1"/>
    </xf>
    <xf numFmtId="164" fontId="8" fillId="0" borderId="1" applyAlignment="1" pivotButton="0" quotePrefix="0" xfId="5">
      <alignment horizontal="center" vertical="center" wrapText="1"/>
    </xf>
    <xf numFmtId="164" fontId="19" fillId="8" borderId="1" applyAlignment="1" pivotButton="0" quotePrefix="0" xfId="4">
      <alignment horizontal="center" vertical="center"/>
    </xf>
    <xf numFmtId="164" fontId="19" fillId="0" borderId="1" applyAlignment="1" pivotButton="0" quotePrefix="0" xfId="6">
      <alignment horizontal="center" vertical="center"/>
    </xf>
    <xf numFmtId="164" fontId="8" fillId="16" borderId="1" applyAlignment="1" pivotButton="0" quotePrefix="0" xfId="4">
      <alignment horizontal="center" vertical="center"/>
    </xf>
    <xf numFmtId="164" fontId="19" fillId="16" borderId="1" applyAlignment="1" pivotButton="0" quotePrefix="0" xfId="4">
      <alignment horizontal="center" vertical="center"/>
    </xf>
    <xf numFmtId="164" fontId="41" fillId="16" borderId="1" applyAlignment="1" pivotButton="0" quotePrefix="0" xfId="4">
      <alignment horizontal="center" vertical="center"/>
    </xf>
    <xf numFmtId="165" fontId="15" fillId="0" borderId="1" applyAlignment="1" pivotButton="0" quotePrefix="0" xfId="0">
      <alignment horizontal="center"/>
    </xf>
    <xf numFmtId="164" fontId="20" fillId="12" borderId="1" applyAlignment="1" pivotButton="0" quotePrefix="0" xfId="4">
      <alignment horizontal="center" vertical="center" wrapText="1"/>
    </xf>
    <xf numFmtId="164" fontId="19" fillId="18" borderId="1" applyAlignment="1" pivotButton="0" quotePrefix="0" xfId="4">
      <alignment horizontal="center" vertical="center" wrapText="1"/>
    </xf>
    <xf numFmtId="164" fontId="8" fillId="12" borderId="1" applyAlignment="1" pivotButton="0" quotePrefix="0" xfId="4">
      <alignment horizontal="center" vertical="center" wrapText="1"/>
    </xf>
    <xf numFmtId="164" fontId="36" fillId="13" borderId="1" applyAlignment="1" pivotButton="0" quotePrefix="0" xfId="4">
      <alignment horizontal="center" vertical="center"/>
    </xf>
    <xf numFmtId="164" fontId="43" fillId="17" borderId="1" applyAlignment="1" pivotButton="0" quotePrefix="0" xfId="4">
      <alignment horizontal="center" vertical="center"/>
    </xf>
    <xf numFmtId="164" fontId="73" fillId="33" borderId="1" applyAlignment="1" pivotButton="0" quotePrefix="0" xfId="4">
      <alignment horizontal="center" vertical="center"/>
    </xf>
    <xf numFmtId="164" fontId="83" fillId="44" borderId="1" applyAlignment="1" pivotButton="0" quotePrefix="0" xfId="4">
      <alignment horizontal="center" vertical="center" wrapText="1"/>
    </xf>
    <xf numFmtId="164" fontId="20" fillId="13" borderId="1" applyAlignment="1" pivotButton="0" quotePrefix="0" xfId="4">
      <alignment horizontal="center" vertical="center" wrapText="1"/>
    </xf>
    <xf numFmtId="164" fontId="20" fillId="44" borderId="1" applyAlignment="1" pivotButton="0" quotePrefix="0" xfId="4">
      <alignment horizontal="center" vertical="center" wrapText="1"/>
    </xf>
    <xf numFmtId="164" fontId="8" fillId="13" borderId="1" applyAlignment="1" pivotButton="0" quotePrefix="0" xfId="4">
      <alignment horizontal="center" vertical="center" wrapText="1"/>
    </xf>
    <xf numFmtId="164" fontId="8" fillId="44" borderId="1" applyAlignment="1" pivotButton="0" quotePrefix="0" xfId="4">
      <alignment horizontal="center" vertical="center" wrapText="1"/>
    </xf>
    <xf numFmtId="164" fontId="8" fillId="8" borderId="1" applyAlignment="1" pivotButton="0" quotePrefix="0" xfId="4">
      <alignment horizontal="center" vertical="center"/>
    </xf>
    <xf numFmtId="164" fontId="55" fillId="23" borderId="1" applyAlignment="1" pivotButton="0" quotePrefix="0" xfId="4">
      <alignment horizontal="center" vertical="center"/>
    </xf>
    <xf numFmtId="164" fontId="61" fillId="26" borderId="1" applyAlignment="1" pivotButton="0" quotePrefix="0" xfId="4">
      <alignment horizontal="center" vertical="center"/>
    </xf>
    <xf numFmtId="164" fontId="20" fillId="26" borderId="1" applyAlignment="1" pivotButton="0" quotePrefix="0" xfId="4">
      <alignment horizontal="center" vertical="center" wrapText="1"/>
    </xf>
    <xf numFmtId="164" fontId="8" fillId="8" borderId="1" applyAlignment="1" pivotButton="0" quotePrefix="0" xfId="4">
      <alignment horizontal="center" vertical="center" wrapText="1"/>
    </xf>
    <xf numFmtId="164" fontId="81" fillId="42" borderId="1" applyAlignment="1" pivotButton="0" quotePrefix="0" xfId="4">
      <alignment horizontal="center" vertical="center"/>
    </xf>
    <xf numFmtId="164" fontId="47" fillId="6" borderId="1" applyAlignment="1" pivotButton="0" quotePrefix="0" xfId="4">
      <alignment horizontal="center" vertical="center"/>
    </xf>
    <xf numFmtId="164" fontId="55" fillId="6" borderId="1" applyAlignment="1" pivotButton="0" quotePrefix="0" xfId="4">
      <alignment horizontal="center" vertical="center"/>
    </xf>
    <xf numFmtId="164" fontId="7" fillId="42" borderId="1" applyAlignment="1" pivotButton="0" quotePrefix="0" xfId="4">
      <alignment horizontal="center" vertical="center" wrapText="1"/>
    </xf>
    <xf numFmtId="164" fontId="7" fillId="6" borderId="1" applyAlignment="1" pivotButton="0" quotePrefix="0" xfId="4">
      <alignment horizontal="center" vertical="center" wrapText="1"/>
    </xf>
    <xf numFmtId="164" fontId="8" fillId="21" borderId="1" applyAlignment="1" pivotButton="0" quotePrefix="0" xfId="4">
      <alignment horizontal="center" vertical="center"/>
    </xf>
    <xf numFmtId="164" fontId="8" fillId="17" borderId="1" applyAlignment="1" pivotButton="0" quotePrefix="0" xfId="4">
      <alignment horizontal="center" vertical="center"/>
    </xf>
    <xf numFmtId="164" fontId="51" fillId="21" borderId="1" applyAlignment="1" pivotButton="0" quotePrefix="0" xfId="4">
      <alignment horizontal="center" vertical="center"/>
    </xf>
    <xf numFmtId="165" fontId="0" fillId="3" borderId="0" applyAlignment="1" pivotButton="0" quotePrefix="0" xfId="0">
      <alignment horizontal="center"/>
    </xf>
    <xf numFmtId="165" fontId="6" fillId="4" borderId="1" applyAlignment="1" pivotButton="0" quotePrefix="0" xfId="0">
      <alignment horizontal="center" vertical="center"/>
    </xf>
    <xf numFmtId="165" fontId="6" fillId="4" borderId="1" applyAlignment="1" pivotButton="0" quotePrefix="0" xfId="0">
      <alignment horizontal="center" vertical="center" wrapText="1"/>
    </xf>
    <xf numFmtId="164" fontId="7" fillId="21" borderId="1" applyAlignment="1" pivotButton="0" quotePrefix="0" xfId="4">
      <alignment horizontal="center" vertical="center" wrapText="1"/>
    </xf>
    <xf numFmtId="164" fontId="7" fillId="17" borderId="1" applyAlignment="1" pivotButton="0" quotePrefix="0" xfId="4">
      <alignment horizontal="center" vertical="center" wrapText="1"/>
    </xf>
    <xf numFmtId="164" fontId="7" fillId="8" borderId="1" applyAlignment="1" pivotButton="0" quotePrefix="0" xfId="4">
      <alignment horizontal="center" vertical="center" wrapText="1"/>
    </xf>
    <xf numFmtId="164" fontId="8" fillId="43" borderId="1" applyAlignment="1" pivotButton="0" quotePrefix="0" xfId="4">
      <alignment horizontal="center" vertical="center"/>
    </xf>
    <xf numFmtId="164" fontId="8" fillId="20" borderId="1" applyAlignment="1" pivotButton="0" quotePrefix="0" xfId="4">
      <alignment horizontal="center" vertical="center"/>
    </xf>
    <xf numFmtId="164" fontId="82" fillId="43" borderId="1" applyAlignment="1" pivotButton="0" quotePrefix="0" xfId="4">
      <alignment horizontal="center" vertical="center"/>
    </xf>
    <xf numFmtId="164" fontId="49" fillId="20" borderId="1" applyAlignment="1" pivotButton="0" quotePrefix="0" xfId="4">
      <alignment horizontal="center" vertical="center"/>
    </xf>
    <xf numFmtId="164" fontId="7" fillId="43" borderId="1" applyAlignment="1" pivotButton="0" quotePrefix="0" xfId="4">
      <alignment horizontal="center" vertical="center" wrapText="1"/>
    </xf>
    <xf numFmtId="164" fontId="7" fillId="20" borderId="1" applyAlignment="1" pivotButton="0" quotePrefix="0" xfId="4">
      <alignment horizontal="center" vertical="center" wrapText="1"/>
    </xf>
    <xf numFmtId="164" fontId="8" fillId="22" borderId="1" applyAlignment="1" pivotButton="0" quotePrefix="0" xfId="4">
      <alignment horizontal="center" vertical="center"/>
    </xf>
    <xf numFmtId="164" fontId="7" fillId="0" borderId="1" applyAlignment="1" pivotButton="0" quotePrefix="0" xfId="4">
      <alignment horizontal="center" vertical="center"/>
    </xf>
    <xf numFmtId="164" fontId="8" fillId="6" borderId="1" applyAlignment="1" pivotButton="0" quotePrefix="0" xfId="0">
      <alignment horizontal="center" vertical="center"/>
    </xf>
    <xf numFmtId="166" fontId="8" fillId="0" borderId="1" applyAlignment="1" pivotButton="0" quotePrefix="0" xfId="4">
      <alignment horizontal="center" vertical="center"/>
    </xf>
    <xf numFmtId="164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6">
      <alignment horizontal="center" vertical="center"/>
    </xf>
    <xf numFmtId="164" fontId="40" fillId="15" borderId="1" applyAlignment="1" pivotButton="0" quotePrefix="0" xfId="4">
      <alignment horizontal="center" vertical="center"/>
    </xf>
    <xf numFmtId="164" fontId="69" fillId="31" borderId="1" applyAlignment="1" pivotButton="0" quotePrefix="0" xfId="4">
      <alignment horizontal="center" vertical="center"/>
    </xf>
    <xf numFmtId="164" fontId="8" fillId="6" borderId="1" applyAlignment="1" pivotButton="0" quotePrefix="0" xfId="0">
      <alignment horizontal="center" vertical="center" wrapText="1"/>
    </xf>
    <xf numFmtId="164" fontId="7" fillId="31" borderId="1" applyAlignment="1" pivotButton="0" quotePrefix="0" xfId="4">
      <alignment horizontal="center" vertical="center" wrapText="1"/>
    </xf>
    <xf numFmtId="164" fontId="7" fillId="15" borderId="1" applyAlignment="1" pivotButton="0" quotePrefix="0" xfId="4">
      <alignment horizontal="center" vertical="center" wrapText="1"/>
    </xf>
    <xf numFmtId="164" fontId="9" fillId="15" borderId="1" applyAlignment="1" pivotButton="0" quotePrefix="0" xfId="4">
      <alignment horizontal="center" vertical="center" wrapText="1"/>
    </xf>
    <xf numFmtId="164" fontId="8" fillId="18" borderId="1" applyAlignment="1" pivotButton="0" quotePrefix="0" xfId="4">
      <alignment horizontal="center" vertical="center"/>
    </xf>
    <xf numFmtId="164" fontId="8" fillId="8" borderId="1" applyAlignment="1" pivotButton="0" quotePrefix="0" xfId="0">
      <alignment horizontal="center" vertical="center"/>
    </xf>
    <xf numFmtId="164" fontId="8" fillId="8" borderId="1" applyAlignment="1" pivotButton="0" quotePrefix="0" xfId="0">
      <alignment horizontal="center" vertical="center" wrapText="1"/>
    </xf>
    <xf numFmtId="164" fontId="7" fillId="19" borderId="1" applyAlignment="1" pivotButton="0" quotePrefix="0" xfId="4">
      <alignment horizontal="center" vertical="center" wrapText="1"/>
    </xf>
    <xf numFmtId="164" fontId="62" fillId="27" borderId="1" applyAlignment="1" pivotButton="0" quotePrefix="0" xfId="4">
      <alignment horizontal="center" vertical="center"/>
    </xf>
    <xf numFmtId="164" fontId="7" fillId="27" borderId="1" applyAlignment="1" pivotButton="0" quotePrefix="0" xfId="4">
      <alignment horizontal="center" vertical="center"/>
    </xf>
    <xf numFmtId="164" fontId="7" fillId="6" borderId="1" applyAlignment="1" pivotButton="0" quotePrefix="0" xfId="4">
      <alignment horizontal="center" vertical="center"/>
    </xf>
    <xf numFmtId="164" fontId="7" fillId="13" borderId="1" applyAlignment="1" pivotButton="0" quotePrefix="0" xfId="4">
      <alignment horizontal="center" vertical="center"/>
    </xf>
    <xf numFmtId="164" fontId="7" fillId="13" borderId="1" applyAlignment="1" pivotButton="0" quotePrefix="0" xfId="4">
      <alignment horizontal="center" vertical="center" wrapText="1"/>
    </xf>
    <xf numFmtId="164" fontId="8" fillId="30" borderId="1" applyAlignment="1" pivotButton="0" quotePrefix="0" xfId="4">
      <alignment horizontal="center" vertical="center"/>
    </xf>
    <xf numFmtId="164" fontId="8" fillId="10" borderId="1" applyAlignment="1" pivotButton="0" quotePrefix="0" xfId="4">
      <alignment horizontal="center" vertical="center"/>
    </xf>
    <xf numFmtId="164" fontId="8" fillId="44" borderId="1" applyAlignment="1" pivotButton="0" quotePrefix="0" xfId="4">
      <alignment horizontal="center" vertical="center"/>
    </xf>
    <xf numFmtId="164" fontId="8" fillId="48" borderId="1" applyAlignment="1" pivotButton="0" quotePrefix="0" xfId="4">
      <alignment horizontal="center" vertical="center"/>
    </xf>
    <xf numFmtId="164" fontId="51" fillId="30" borderId="1" applyAlignment="1" pivotButton="0" quotePrefix="0" xfId="4">
      <alignment horizontal="center" vertical="center"/>
    </xf>
    <xf numFmtId="164" fontId="32" fillId="10" borderId="1" applyAlignment="1" pivotButton="0" quotePrefix="0" xfId="4">
      <alignment horizontal="center" vertical="center"/>
    </xf>
    <xf numFmtId="164" fontId="53" fillId="44" borderId="1" applyAlignment="1" pivotButton="0" quotePrefix="0" xfId="4">
      <alignment horizontal="center" vertical="center"/>
    </xf>
    <xf numFmtId="164" fontId="87" fillId="48" borderId="1" applyAlignment="1" pivotButton="0" quotePrefix="0" xfId="4">
      <alignment horizontal="center" vertical="center"/>
    </xf>
    <xf numFmtId="164" fontId="7" fillId="38" borderId="1" applyAlignment="1" pivotButton="0" quotePrefix="0" xfId="4">
      <alignment horizontal="center" vertical="center" wrapText="1"/>
    </xf>
    <xf numFmtId="164" fontId="7" fillId="10" borderId="1" applyAlignment="1" pivotButton="0" quotePrefix="0" xfId="4">
      <alignment horizontal="center" vertical="center" wrapText="1"/>
    </xf>
    <xf numFmtId="164" fontId="7" fillId="44" borderId="1" applyAlignment="1" pivotButton="0" quotePrefix="0" xfId="4">
      <alignment horizontal="center" vertical="center" wrapText="1"/>
    </xf>
    <xf numFmtId="164" fontId="7" fillId="48" borderId="1" applyAlignment="1" pivotButton="0" quotePrefix="0" xfId="4">
      <alignment horizontal="center" vertical="center" wrapText="1"/>
    </xf>
    <xf numFmtId="164" fontId="30" fillId="9" borderId="1" applyAlignment="1" pivotButton="0" quotePrefix="0" xfId="0">
      <alignment horizontal="center" vertical="center"/>
    </xf>
    <xf numFmtId="164" fontId="32" fillId="6" borderId="1" applyAlignment="1" pivotButton="0" quotePrefix="0" xfId="4">
      <alignment horizontal="center" vertical="center"/>
    </xf>
    <xf numFmtId="164" fontId="8" fillId="9" borderId="1" applyAlignment="1" pivotButton="0" quotePrefix="0" xfId="4">
      <alignment horizontal="center" vertical="center"/>
    </xf>
    <xf numFmtId="164" fontId="8" fillId="29" borderId="1" applyAlignment="1" pivotButton="0" quotePrefix="0" xfId="4">
      <alignment horizontal="center" vertical="center"/>
    </xf>
    <xf numFmtId="164" fontId="83" fillId="6" borderId="1" applyAlignment="1" pivotButton="0" quotePrefix="0" xfId="4">
      <alignment horizontal="center" vertical="center"/>
    </xf>
    <xf numFmtId="164" fontId="59" fillId="25" borderId="1" applyAlignment="1" pivotButton="0" quotePrefix="0" xfId="0">
      <alignment horizontal="center" vertical="center"/>
    </xf>
    <xf numFmtId="164" fontId="65" fillId="29" borderId="1" applyAlignment="1" pivotButton="0" quotePrefix="0" xfId="4">
      <alignment horizontal="center" vertical="center"/>
    </xf>
    <xf numFmtId="164" fontId="7" fillId="27" borderId="1" applyAlignment="1" pivotButton="0" quotePrefix="0" xfId="4">
      <alignment horizontal="center" vertical="center" wrapText="1"/>
    </xf>
    <xf numFmtId="164" fontId="7" fillId="25" borderId="1" applyAlignment="1" pivotButton="0" quotePrefix="0" xfId="4">
      <alignment horizontal="center" vertical="center" wrapText="1"/>
    </xf>
    <xf numFmtId="164" fontId="7" fillId="29" borderId="1" applyAlignment="1" pivotButton="0" quotePrefix="0" xfId="4">
      <alignment horizontal="center" vertical="center" wrapText="1"/>
    </xf>
    <xf numFmtId="164" fontId="8" fillId="19" borderId="1" applyAlignment="1" pivotButton="0" quotePrefix="0" xfId="4">
      <alignment horizontal="center" vertical="center"/>
    </xf>
    <xf numFmtId="164" fontId="25" fillId="37" borderId="1" applyAlignment="1" pivotButton="0" quotePrefix="0" xfId="4">
      <alignment horizontal="center" vertical="center"/>
    </xf>
    <xf numFmtId="164" fontId="25" fillId="21" borderId="1" applyAlignment="1" pivotButton="0" quotePrefix="0" xfId="4">
      <alignment horizontal="center" vertical="center"/>
    </xf>
    <xf numFmtId="164" fontId="25" fillId="20" borderId="1" applyAlignment="1" pivotButton="0" quotePrefix="0" xfId="4">
      <alignment horizontal="center" vertical="center"/>
    </xf>
    <xf numFmtId="164" fontId="32" fillId="37" borderId="1" applyAlignment="1" pivotButton="0" quotePrefix="0" xfId="4">
      <alignment horizontal="center" vertical="center"/>
    </xf>
    <xf numFmtId="164" fontId="8" fillId="27" borderId="1" applyAlignment="1" pivotButton="0" quotePrefix="0" xfId="4">
      <alignment horizontal="center" vertical="center"/>
    </xf>
    <xf numFmtId="164" fontId="8" fillId="11" borderId="1" applyAlignment="1" pivotButton="0" quotePrefix="0" xfId="4">
      <alignment horizontal="center" vertical="center"/>
    </xf>
    <xf numFmtId="164" fontId="79" fillId="39" borderId="1" applyAlignment="1" pivotButton="0" quotePrefix="0" xfId="4">
      <alignment horizontal="center" vertical="center"/>
    </xf>
    <xf numFmtId="164" fontId="67" fillId="30" borderId="1" applyAlignment="1" pivotButton="0" quotePrefix="0" xfId="4">
      <alignment horizontal="center" vertical="center"/>
    </xf>
    <xf numFmtId="164" fontId="51" fillId="21" borderId="1" applyAlignment="1" pivotButton="0" quotePrefix="0" xfId="0">
      <alignment horizontal="center" vertical="center"/>
    </xf>
    <xf numFmtId="165" fontId="12" fillId="4" borderId="1" applyAlignment="1" pivotButton="0" quotePrefix="0" xfId="0">
      <alignment horizontal="center" vertical="center"/>
    </xf>
    <xf numFmtId="165" fontId="12" fillId="4" borderId="1" applyAlignment="1" pivotButton="0" quotePrefix="0" xfId="0">
      <alignment horizontal="center" vertical="center" wrapText="1"/>
    </xf>
    <xf numFmtId="164" fontId="25" fillId="6" borderId="1" applyAlignment="1" pivotButton="0" quotePrefix="0" xfId="4">
      <alignment horizontal="center" vertical="center"/>
    </xf>
    <xf numFmtId="164" fontId="87" fillId="48" borderId="1" applyAlignment="1" pivotButton="0" quotePrefix="0" xfId="4">
      <alignment horizontal="center" vertical="center" wrapText="1"/>
    </xf>
    <xf numFmtId="164" fontId="25" fillId="0" borderId="1" applyAlignment="1" pivotButton="0" quotePrefix="0" xfId="4">
      <alignment horizontal="center" vertical="center"/>
    </xf>
    <xf numFmtId="164" fontId="8" fillId="31" borderId="1" applyAlignment="1" pivotButton="0" quotePrefix="0" xfId="4">
      <alignment horizontal="center" vertical="center"/>
    </xf>
    <xf numFmtId="164" fontId="36" fillId="31" borderId="1" applyAlignment="1" pivotButton="0" quotePrefix="0" xfId="4">
      <alignment horizontal="center" vertical="center"/>
    </xf>
    <xf numFmtId="164" fontId="80" fillId="41" borderId="1" applyAlignment="1" pivotButton="0" quotePrefix="0" xfId="4">
      <alignment horizontal="center" vertical="center"/>
    </xf>
    <xf numFmtId="167" fontId="8" fillId="8" borderId="1" applyAlignment="1" pivotButton="0" quotePrefix="0" xfId="3">
      <alignment horizontal="center" vertical="center"/>
    </xf>
    <xf numFmtId="164" fontId="7" fillId="41" borderId="1" applyAlignment="1" pivotButton="0" quotePrefix="0" xfId="4">
      <alignment horizontal="center" vertical="center" wrapText="1"/>
    </xf>
    <xf numFmtId="167" fontId="8" fillId="6" borderId="1" applyAlignment="1" pivotButton="0" quotePrefix="0" xfId="3">
      <alignment horizontal="center" vertical="center"/>
    </xf>
    <xf numFmtId="171" fontId="11" fillId="5" borderId="1" applyAlignment="1" applyProtection="1" pivotButton="0" quotePrefix="0" xfId="0">
      <alignment horizontal="center" vertical="center"/>
      <protection locked="0" hidden="0"/>
    </xf>
    <xf numFmtId="164" fontId="64" fillId="6" borderId="1" applyAlignment="1" pivotButton="0" quotePrefix="0" xfId="4">
      <alignment horizontal="center" vertical="center"/>
    </xf>
    <xf numFmtId="164" fontId="62" fillId="27" borderId="1" applyAlignment="1" pivotButton="0" quotePrefix="0" xfId="0">
      <alignment horizontal="center" vertical="center"/>
    </xf>
    <xf numFmtId="164" fontId="62" fillId="27" borderId="1" applyAlignment="1" pivotButton="0" quotePrefix="0" xfId="0">
      <alignment horizontal="center" vertical="center" wrapText="1"/>
    </xf>
    <xf numFmtId="165" fontId="15" fillId="0" borderId="0" applyAlignment="1" pivotButton="0" quotePrefix="0" xfId="0">
      <alignment horizontal="center" vertical="top"/>
    </xf>
    <xf numFmtId="164" fontId="7" fillId="8" borderId="1" applyAlignment="1" pivotButton="0" quotePrefix="0" xfId="4">
      <alignment horizontal="center" vertical="center"/>
    </xf>
    <xf numFmtId="164" fontId="36" fillId="31" borderId="1" applyAlignment="1" pivotButton="0" quotePrefix="0" xfId="0">
      <alignment horizontal="center" vertical="center"/>
    </xf>
    <xf numFmtId="164" fontId="36" fillId="31" borderId="1" applyAlignment="1" pivotButton="0" quotePrefix="0" xfId="0">
      <alignment horizontal="center" vertical="center" wrapText="1"/>
    </xf>
    <xf numFmtId="164" fontId="7" fillId="44" borderId="1" applyAlignment="1" pivotButton="0" quotePrefix="0" xfId="4">
      <alignment horizontal="center" vertical="center"/>
    </xf>
    <xf numFmtId="164" fontId="8" fillId="28" borderId="1" applyAlignment="1" pivotButton="0" quotePrefix="0" xfId="4">
      <alignment horizontal="center" vertical="center"/>
    </xf>
    <xf numFmtId="164" fontId="8" fillId="37" borderId="1" applyAlignment="1" pivotButton="0" quotePrefix="0" xfId="4">
      <alignment horizontal="center" vertical="center"/>
    </xf>
    <xf numFmtId="164" fontId="64" fillId="28" borderId="1" applyAlignment="1" pivotButton="0" quotePrefix="0" xfId="4">
      <alignment horizontal="center" vertical="center"/>
    </xf>
    <xf numFmtId="164" fontId="64" fillId="31" borderId="1" applyAlignment="1" pivotButton="0" quotePrefix="0" xfId="4">
      <alignment horizontal="center" vertical="center"/>
    </xf>
    <xf numFmtId="164" fontId="77" fillId="37" borderId="1" applyAlignment="1" pivotButton="0" quotePrefix="0" xfId="4">
      <alignment horizontal="center" vertical="center"/>
    </xf>
    <xf numFmtId="164" fontId="32" fillId="20" borderId="1" applyAlignment="1" pivotButton="0" quotePrefix="0" xfId="4">
      <alignment horizontal="center" vertical="center"/>
    </xf>
    <xf numFmtId="164" fontId="36" fillId="6" borderId="1" applyAlignment="1" pivotButton="0" quotePrefix="0" xfId="0">
      <alignment horizontal="center" vertical="center"/>
    </xf>
    <xf numFmtId="164" fontId="36" fillId="6" borderId="1" applyAlignment="1" pivotButton="0" quotePrefix="0" xfId="0">
      <alignment horizontal="center" vertical="center" wrapText="1"/>
    </xf>
    <xf numFmtId="164" fontId="7" fillId="28" borderId="1" applyAlignment="1" pivotButton="0" quotePrefix="0" xfId="4">
      <alignment horizontal="center" vertical="center"/>
    </xf>
    <xf numFmtId="164" fontId="7" fillId="31" borderId="1" applyAlignment="1" pivotButton="0" quotePrefix="0" xfId="4">
      <alignment horizontal="center" vertical="center"/>
    </xf>
    <xf numFmtId="164" fontId="7" fillId="37" borderId="1" applyAlignment="1" pivotButton="0" quotePrefix="0" xfId="4">
      <alignment horizontal="center" vertical="center"/>
    </xf>
    <xf numFmtId="165" fontId="0" fillId="3" borderId="0" pivotButton="0" quotePrefix="0" xfId="0"/>
    <xf numFmtId="164" fontId="7" fillId="34" borderId="1" applyAlignment="1" pivotButton="0" quotePrefix="0" xfId="4">
      <alignment horizontal="center" vertical="center" wrapText="1"/>
    </xf>
    <xf numFmtId="164" fontId="6" fillId="12" borderId="1" applyAlignment="1" pivotButton="0" quotePrefix="0" xfId="4">
      <alignment horizontal="center" vertical="center" wrapText="1"/>
    </xf>
    <xf numFmtId="164" fontId="8" fillId="13" borderId="1" applyAlignment="1" pivotButton="0" quotePrefix="0" xfId="4">
      <alignment horizontal="center" vertical="center"/>
    </xf>
    <xf numFmtId="164" fontId="8" fillId="6" borderId="1" applyAlignment="1" pivotButton="0" quotePrefix="0" xfId="4">
      <alignment horizontal="right" vertical="center"/>
    </xf>
    <xf numFmtId="164" fontId="45" fillId="18" borderId="1" applyAlignment="1" pivotButton="0" quotePrefix="0" xfId="4">
      <alignment horizontal="right" vertical="center"/>
    </xf>
    <xf numFmtId="164" fontId="82" fillId="44" borderId="1" applyAlignment="1" pivotButton="0" quotePrefix="0" xfId="4">
      <alignment horizontal="center" vertical="center"/>
    </xf>
    <xf numFmtId="164" fontId="45" fillId="18" borderId="1" applyAlignment="1" pivotButton="0" quotePrefix="1" xfId="4">
      <alignment horizontal="right" vertical="center"/>
    </xf>
    <xf numFmtId="164" fontId="6" fillId="34" borderId="1" applyAlignment="1" pivotButton="0" quotePrefix="0" xfId="4">
      <alignment horizontal="center" vertical="center" wrapText="1"/>
    </xf>
    <xf numFmtId="164" fontId="6" fillId="11" borderId="1" applyAlignment="1" pivotButton="0" quotePrefix="0" xfId="4">
      <alignment horizontal="center" vertical="center" wrapText="1"/>
    </xf>
    <xf numFmtId="164" fontId="8" fillId="16" borderId="1" applyAlignment="1" pivotButton="0" quotePrefix="0" xfId="4">
      <alignment horizontal="center" vertical="center" wrapText="1"/>
    </xf>
    <xf numFmtId="164" fontId="45" fillId="18" borderId="1" applyAlignment="1" pivotButton="0" quotePrefix="0" xfId="0">
      <alignment horizontal="center" vertical="center"/>
    </xf>
    <xf numFmtId="168" fontId="8" fillId="0" borderId="1" applyAlignment="1" pivotButton="0" quotePrefix="0" xfId="3">
      <alignment horizontal="center" vertical="center"/>
    </xf>
    <xf numFmtId="164" fontId="8" fillId="11" borderId="1" applyAlignment="1" pivotButton="0" quotePrefix="0" xfId="4">
      <alignment horizontal="center" vertical="center" wrapText="1"/>
    </xf>
    <xf numFmtId="164" fontId="30" fillId="30" borderId="1" applyAlignment="1" pivotButton="0" quotePrefix="0" xfId="4">
      <alignment horizontal="center" vertical="center"/>
    </xf>
    <xf numFmtId="164" fontId="67" fillId="30" borderId="1" applyAlignment="1" pivotButton="0" quotePrefix="0" xfId="4">
      <alignment horizontal="center" vertical="center" wrapText="1"/>
    </xf>
    <xf numFmtId="164" fontId="8" fillId="6" borderId="1" applyAlignment="1" pivotButton="0" quotePrefix="0" xfId="4">
      <alignment horizontal="center"/>
    </xf>
    <xf numFmtId="165" fontId="8" fillId="6" borderId="1" applyAlignment="1" pivotButton="0" quotePrefix="0" xfId="0">
      <alignment horizontal="center" vertical="center"/>
    </xf>
    <xf numFmtId="164" fontId="32" fillId="16" borderId="1" applyAlignment="1" pivotButton="0" quotePrefix="0" xfId="0">
      <alignment horizontal="center" vertical="center"/>
    </xf>
    <xf numFmtId="164" fontId="49" fillId="20" borderId="1" applyAlignment="1" pivotButton="0" quotePrefix="0" xfId="0">
      <alignment horizontal="center" vertical="center"/>
    </xf>
    <xf numFmtId="164" fontId="8" fillId="8" borderId="1" applyAlignment="1" pivotButton="0" quotePrefix="0" xfId="4">
      <alignment horizontal="center"/>
    </xf>
    <xf numFmtId="164" fontId="75" fillId="36" borderId="1" applyAlignment="1" pivotButton="0" quotePrefix="0" xfId="4">
      <alignment horizontal="center"/>
    </xf>
    <xf numFmtId="164" fontId="32" fillId="16" borderId="1" applyAlignment="1" pivotButton="0" quotePrefix="0" xfId="0">
      <alignment horizontal="center" vertical="center" wrapText="1"/>
    </xf>
    <xf numFmtId="164" fontId="49" fillId="20" borderId="1" applyAlignment="1" pivotButton="0" quotePrefix="0" xfId="0">
      <alignment horizontal="center" vertical="center" wrapText="1"/>
    </xf>
    <xf numFmtId="165" fontId="8" fillId="8" borderId="1" applyAlignment="1" pivotButton="0" quotePrefix="0" xfId="0">
      <alignment horizontal="center" vertical="center"/>
    </xf>
    <xf numFmtId="165" fontId="75" fillId="36" borderId="1" applyAlignment="1" pivotButton="0" quotePrefix="0" xfId="0">
      <alignment horizontal="center" vertical="center"/>
    </xf>
    <xf numFmtId="164" fontId="41" fillId="18" borderId="1" applyAlignment="1" pivotButton="0" quotePrefix="0" xfId="4">
      <alignment horizontal="center" vertical="center"/>
    </xf>
    <xf numFmtId="164" fontId="7" fillId="18" borderId="1" applyAlignment="1" pivotButton="0" quotePrefix="0" xfId="4">
      <alignment horizontal="center" vertical="center"/>
    </xf>
    <xf numFmtId="164" fontId="49" fillId="44" borderId="1" applyAlignment="1" pivotButton="0" quotePrefix="0" xfId="4">
      <alignment horizontal="center" vertical="center"/>
    </xf>
    <xf numFmtId="169" fontId="8" fillId="0" borderId="1" applyAlignment="1" pivotButton="0" quotePrefix="0" xfId="3">
      <alignment horizontal="center" vertical="center"/>
    </xf>
    <xf numFmtId="165" fontId="7" fillId="4" borderId="1" applyAlignment="1" pivotButton="0" quotePrefix="0" xfId="0">
      <alignment horizontal="center" vertical="center"/>
    </xf>
    <xf numFmtId="165" fontId="7" fillId="4" borderId="1" applyAlignment="1" pivotButton="0" quotePrefix="0" xfId="0">
      <alignment horizontal="center" vertical="center" wrapText="1"/>
    </xf>
    <xf numFmtId="164" fontId="7" fillId="49" borderId="1" applyAlignment="1" pivotButton="0" quotePrefix="0" xfId="4">
      <alignment horizontal="center" vertical="center" wrapText="1"/>
    </xf>
    <xf numFmtId="164" fontId="25" fillId="8" borderId="1" applyAlignment="1" pivotButton="0" quotePrefix="0" xfId="4">
      <alignment horizontal="center" vertical="center"/>
    </xf>
    <xf numFmtId="164" fontId="8" fillId="32" borderId="1" applyAlignment="1" pivotButton="0" quotePrefix="0" xfId="4">
      <alignment horizontal="center" vertical="center"/>
    </xf>
    <xf numFmtId="164" fontId="71" fillId="32" borderId="1" applyAlignment="1" pivotButton="0" quotePrefix="0" xfId="4">
      <alignment horizontal="center" vertical="center"/>
    </xf>
    <xf numFmtId="170" fontId="8" fillId="44" borderId="1" applyAlignment="1" pivotButton="0" quotePrefix="0" xfId="4">
      <alignment horizontal="center" vertical="center"/>
    </xf>
    <xf numFmtId="164" fontId="7" fillId="32" borderId="1" applyAlignment="1" pivotButton="0" quotePrefix="0" xfId="4">
      <alignment horizontal="center" vertical="center" wrapText="1"/>
    </xf>
    <xf numFmtId="164" fontId="25" fillId="0" borderId="1" applyAlignment="1" pivotButton="0" quotePrefix="0" xfId="4">
      <alignment horizontal="center" vertical="center" wrapText="1"/>
    </xf>
    <xf numFmtId="164" fontId="7" fillId="32" borderId="1" applyAlignment="1" pivotButton="0" quotePrefix="0" xfId="4">
      <alignment horizontal="center" vertical="center"/>
    </xf>
    <xf numFmtId="164" fontId="25" fillId="8" borderId="1" applyAlignment="1" pivotButton="0" quotePrefix="0" xfId="4">
      <alignment horizontal="center" vertical="center" wrapText="1"/>
    </xf>
    <xf numFmtId="164" fontId="71" fillId="32" borderId="1" applyAlignment="1" pivotButton="0" quotePrefix="0" xfId="4">
      <alignment horizontal="center" vertical="center" wrapText="1"/>
    </xf>
    <xf numFmtId="164" fontId="7" fillId="28" borderId="1" applyAlignment="1" pivotButton="0" quotePrefix="0" xfId="4">
      <alignment horizontal="center" vertical="center" wrapText="1"/>
    </xf>
    <xf numFmtId="164" fontId="7" fillId="9" borderId="1" applyAlignment="1" pivotButton="0" quotePrefix="0" xfId="4">
      <alignment horizontal="center" vertical="center"/>
    </xf>
    <xf numFmtId="164" fontId="8" fillId="12" borderId="1" applyAlignment="1" pivotButton="0" quotePrefix="0" xfId="4">
      <alignment horizontal="center" vertical="center"/>
    </xf>
    <xf numFmtId="164" fontId="34" fillId="12" borderId="1" applyAlignment="1" pivotButton="0" quotePrefix="0" xfId="0">
      <alignment horizontal="center" vertical="center"/>
    </xf>
    <xf numFmtId="164" fontId="83" fillId="44" borderId="1" applyAlignment="1" pivotButton="0" quotePrefix="0" xfId="0">
      <alignment horizontal="center" vertical="center"/>
    </xf>
    <xf numFmtId="164" fontId="34" fillId="12" borderId="1" applyAlignment="1" pivotButton="0" quotePrefix="1" xfId="4">
      <alignment horizontal="right" vertical="center"/>
    </xf>
    <xf numFmtId="164" fontId="34" fillId="12" borderId="1" applyAlignment="1" pivotButton="0" quotePrefix="0" xfId="0">
      <alignment horizontal="center" vertical="center" wrapText="1"/>
    </xf>
    <xf numFmtId="164" fontId="83" fillId="44" borderId="1" applyAlignment="1" pivotButton="0" quotePrefix="0" xfId="0">
      <alignment horizontal="center" vertical="center" wrapText="1"/>
    </xf>
    <xf numFmtId="164" fontId="7" fillId="12" borderId="1" applyAlignment="1" pivotButton="0" quotePrefix="0" xfId="4">
      <alignment horizontal="center" vertical="center"/>
    </xf>
    <xf numFmtId="164" fontId="86" fillId="46" borderId="1" applyAlignment="1" pivotButton="0" quotePrefix="0" xfId="0">
      <alignment horizontal="center" vertical="center"/>
    </xf>
    <xf numFmtId="164" fontId="7" fillId="46" borderId="1" applyAlignment="1" pivotButton="0" quotePrefix="0" xfId="4">
      <alignment horizontal="center" vertical="center"/>
    </xf>
    <xf numFmtId="164" fontId="79" fillId="39" borderId="1" applyAlignment="1" pivotButton="0" quotePrefix="0" xfId="0">
      <alignment horizontal="center" vertical="center"/>
    </xf>
    <xf numFmtId="164" fontId="8" fillId="7" borderId="1" applyAlignment="1" pivotButton="0" quotePrefix="0" xfId="0">
      <alignment horizontal="center" vertical="center"/>
    </xf>
    <xf numFmtId="164" fontId="82" fillId="43" borderId="1" applyAlignment="1" pivotButton="0" quotePrefix="0" xfId="0">
      <alignment horizontal="center" vertical="center"/>
    </xf>
    <xf numFmtId="164" fontId="7" fillId="7" borderId="1" applyAlignment="1" pivotButton="0" quotePrefix="0" xfId="4">
      <alignment horizontal="center" vertical="center" wrapText="1"/>
    </xf>
    <xf numFmtId="164" fontId="7" fillId="39" borderId="1" applyAlignment="1" pivotButton="0" quotePrefix="0" xfId="4">
      <alignment horizontal="center" vertical="center"/>
    </xf>
    <xf numFmtId="0" fontId="8" fillId="49" borderId="1" applyAlignment="1" pivotButton="0" quotePrefix="0" xfId="0">
      <alignment horizontal="center" vertical="center"/>
    </xf>
    <xf numFmtId="0" fontId="89" fillId="49" borderId="1" applyAlignment="1" pivotButton="0" quotePrefix="0" xfId="0">
      <alignment horizontal="center" vertical="center"/>
    </xf>
    <xf numFmtId="164" fontId="89" fillId="49" borderId="1" applyAlignment="1" pivotButton="0" quotePrefix="0" xfId="0">
      <alignment horizontal="center" vertical="center"/>
    </xf>
    <xf numFmtId="10" fontId="89" fillId="49" borderId="1" applyAlignment="1" pivotButton="0" quotePrefix="0" xfId="3">
      <alignment horizontal="center" vertical="center"/>
    </xf>
    <xf numFmtId="10" fontId="8" fillId="49" borderId="1" applyAlignment="1" pivotButton="0" quotePrefix="0" xfId="3">
      <alignment horizontal="center" vertical="center"/>
    </xf>
    <xf numFmtId="0" fontId="0" fillId="49" borderId="1" applyAlignment="1" pivotButton="0" quotePrefix="0" xfId="0">
      <alignment horizontal="center" vertical="center"/>
    </xf>
  </cellXfs>
  <cellStyles count="7">
    <cellStyle name="표준" xfId="0" builtinId="0"/>
    <cellStyle name="강조색4" xfId="1" builtinId="41"/>
    <cellStyle name="경고문" xfId="2" builtinId="11"/>
    <cellStyle name="백분율" xfId="3" builtinId="5"/>
    <cellStyle name="쉼표 [0]" xfId="4" builtinId="6"/>
    <cellStyle name="쉼표 [0] 2" xfId="5"/>
    <cellStyle name="표준_Sheet1" xf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comments/comment1.xml><?xml version="1.0" encoding="utf-8"?>
<comments xmlns="http://schemas.openxmlformats.org/spreadsheetml/2006/main">
  <authors>
    <author>정송인</author>
    <author>S.I. JEONG</author>
  </authors>
  <commentList>
    <comment ref="K2" authorId="0" shapeId="0">
      <text>
        <t>농협 301 0073  5966 91</t>
      </text>
    </comment>
    <comment ref="E114" authorId="1" shapeId="0">
      <text>
        <t>효성아이티엑스㈜
신한은행
140-002-483585</t>
      </text>
    </comment>
    <comment ref="M114" authorId="1" shapeId="0">
      <text>
        <t>㈜시티건설
광주은행
210-127-009594</t>
      </text>
    </comment>
    <comment ref="M117" authorId="1" shapeId="0">
      <text>
        <t>화성&gt;서울</t>
      </text>
    </comment>
  </commentList>
</comments>
</file>

<file path=xl/comments/comment2.xml><?xml version="1.0" encoding="utf-8"?>
<comments xmlns="http://schemas.openxmlformats.org/spreadsheetml/2006/main">
  <authors>
    <author>정송인</author>
    <author>S.I. JEONG</author>
  </authors>
  <commentList>
    <comment ref="G50" authorId="0" shapeId="0">
      <text>
        <t>국민
431837-01-014826</t>
      </text>
    </comment>
    <comment ref="J50" authorId="0" shapeId="0">
      <text>
        <t>은행명: 국민은행 
계좌: 008637-04-002011
예금주: 신원종합개발㈜</t>
      </text>
    </comment>
    <comment ref="B66" authorId="1" shapeId="0">
      <text>
        <t>은행명:국민
계좌번호:473-25-0005-312
예금주:선원건설㈜
충남&gt;경기</t>
      </text>
    </comment>
  </commentList>
</comments>
</file>

<file path=xl/comments/comment3.xml><?xml version="1.0" encoding="utf-8"?>
<comments xmlns="http://schemas.openxmlformats.org/spreadsheetml/2006/main">
  <authors>
    <author>정송인</author>
    <author>S.I. JEONG</author>
  </authors>
  <commentList>
    <comment ref="I2" authorId="0" shapeId="0">
      <text>
        <t>은행명:국민
계좌번호:473-25-0005-312
예금주:선원건설㈜
충남&gt;경기</t>
      </text>
    </comment>
    <comment ref="H21" authorId="1" shapeId="0">
      <text>
        <t>경북에서 경기로 이전</t>
      </text>
    </comment>
  </commentList>
</comments>
</file>

<file path=xl/comments/comment4.xml><?xml version="1.0" encoding="utf-8"?>
<comments xmlns="http://schemas.openxmlformats.org/spreadsheetml/2006/main">
  <authors>
    <author>대흥</author>
    <author>정송인</author>
  </authors>
  <commentList>
    <comment ref="B2" authorId="0" shapeId="0">
      <text>
        <t>경영상태 조회화면</t>
      </text>
    </comment>
    <comment ref="G2" authorId="1" shapeId="0">
      <text>
        <t xml:space="preserve">은행명 : 우리은행 
계좌 : 1005-200-927906 
예금주 : 코레일테크㈜
</t>
      </text>
    </comment>
    <comment ref="B18" authorId="0" shapeId="0">
      <text>
        <t>경영상태 조회화면</t>
      </text>
    </comment>
    <comment ref="G18" authorId="1" shapeId="0">
      <text>
        <t xml:space="preserve">은행명 : 우리은행 
계좌 : 1005-200-927906 
예금주 : 코레일테크㈜
</t>
      </text>
    </comment>
  </commentList>
</comments>
</file>

<file path=xl/comments/comment5.xml><?xml version="1.0" encoding="utf-8"?>
<comments xmlns="http://schemas.openxmlformats.org/spreadsheetml/2006/main">
  <authors>
    <author>S.I. JEONG</author>
  </authors>
  <commentList>
    <comment ref="E2" authorId="0" shapeId="0">
      <text>
        <t>㈜대연이에프씨
하나은행
724-910024-15104</t>
      </text>
    </comment>
    <comment ref="F2" authorId="0" shapeId="0">
      <text>
        <t>㈜동형
우리은행
1005-401-162979</t>
      </text>
    </comment>
    <comment ref="I2" authorId="0" shapeId="0">
      <text>
        <t>상호변경:이지건설&gt;라인사업
지역변경:세종&gt;광주</t>
      </text>
    </comment>
    <comment ref="K2" authorId="0" shapeId="0">
      <text>
        <t>㈜브레인컨설팅(호남)
광주은행
140-127-001900</t>
      </text>
    </comment>
    <comment ref="I12" authorId="0" shapeId="0">
      <text>
        <t xml:space="preserve">구.이지건설 신용평가서만 있음. 
새로운 상호명인 라인산업의 신용평가서는 없음
</t>
      </text>
    </comment>
  </commentList>
</comment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N193"/>
  <sheetViews>
    <sheetView zoomScale="85" zoomScaleNormal="85" workbookViewId="0">
      <pane ySplit="1" topLeftCell="A142" activePane="bottomLeft" state="frozenSplit"/>
      <selection activeCell="F20" sqref="F20"/>
      <selection pane="bottomLeft" activeCell="I151" sqref="I151"/>
    </sheetView>
  </sheetViews>
  <sheetFormatPr baseColWidth="8" defaultRowHeight="13.5"/>
  <cols>
    <col width="9.33203125" bestFit="1" customWidth="1" style="36" min="1" max="1"/>
    <col width="15.77734375" customWidth="1" style="26" min="2" max="5"/>
    <col width="17.6640625" customWidth="1" style="26" min="6" max="6"/>
    <col width="15.77734375" customWidth="1" style="26" min="7" max="7"/>
    <col width="15.44140625" customWidth="1" style="26" min="8" max="8"/>
    <col width="15.77734375" customWidth="1" style="26" min="9" max="13"/>
    <col width="8.88671875" customWidth="1" style="26" min="14" max="55"/>
    <col width="8.88671875" customWidth="1" style="26" min="56" max="16384"/>
  </cols>
  <sheetData>
    <row r="1" ht="25.5" customHeight="1" s="16">
      <c r="A1" s="699" t="inlineStr">
        <is>
          <t>통  신 ( 서 울 )</t>
        </is>
      </c>
      <c r="B1" s="700" t="n"/>
      <c r="C1" s="700" t="n"/>
      <c r="D1" s="700" t="n"/>
      <c r="E1" s="700" t="n"/>
      <c r="F1" s="700" t="n"/>
      <c r="G1" s="700" t="n"/>
      <c r="H1" s="700" t="n"/>
      <c r="I1" s="700" t="n"/>
      <c r="J1" s="700" t="n"/>
      <c r="K1" s="700" t="n"/>
      <c r="L1" s="700" t="n"/>
      <c r="M1" s="701" t="n"/>
    </row>
    <row r="2" ht="26.1" customFormat="1" customHeight="1" s="27">
      <c r="A2" s="455" t="inlineStr">
        <is>
          <t>회사명</t>
        </is>
      </c>
      <c r="B2" s="455" t="inlineStr">
        <is>
          <t>경우전기㈜</t>
        </is>
      </c>
      <c r="C2" s="455" t="inlineStr">
        <is>
          <t>경인계측시스템㈜</t>
        </is>
      </c>
      <c r="D2" s="455" t="inlineStr">
        <is>
          <t>금송전기㈜</t>
        </is>
      </c>
      <c r="E2" s="455" t="inlineStr">
        <is>
          <t>건웅신호산전㈜</t>
        </is>
      </c>
      <c r="F2" s="455" t="inlineStr">
        <is>
          <t>거우전설㈜</t>
        </is>
      </c>
      <c r="G2" s="455" t="inlineStr">
        <is>
          <t>㈜강남전기공사</t>
        </is>
      </c>
      <c r="H2" s="455" t="inlineStr">
        <is>
          <t>㈜남양계전</t>
        </is>
      </c>
      <c r="I2" s="455" t="inlineStr">
        <is>
          <t>㈜남일기업</t>
        </is>
      </c>
      <c r="J2" s="455" t="inlineStr">
        <is>
          <t>㈜노드링크</t>
        </is>
      </c>
      <c r="K2" s="455" t="inlineStr">
        <is>
          <t>㈜도화엔지니어링</t>
        </is>
      </c>
      <c r="L2" s="455" t="inlineStr">
        <is>
          <t>동부엔텍㈜</t>
        </is>
      </c>
      <c r="M2" s="455" t="inlineStr">
        <is>
          <t>㈜두리이에프씨</t>
        </is>
      </c>
    </row>
    <row r="3" customFormat="1" s="28">
      <c r="A3" s="69" t="inlineStr">
        <is>
          <t>대표자</t>
        </is>
      </c>
      <c r="B3" s="230" t="inlineStr">
        <is>
          <t>김한정</t>
        </is>
      </c>
      <c r="C3" s="31" t="inlineStr">
        <is>
          <t>전무송</t>
        </is>
      </c>
      <c r="D3" s="31" t="inlineStr">
        <is>
          <t>신중현</t>
        </is>
      </c>
      <c r="E3" s="31" t="inlineStr">
        <is>
          <t>박정현</t>
        </is>
      </c>
      <c r="F3" s="31" t="inlineStr">
        <is>
          <t>김영훈</t>
        </is>
      </c>
      <c r="G3" s="1" t="inlineStr">
        <is>
          <t>나중안</t>
        </is>
      </c>
      <c r="H3" s="135" t="inlineStr">
        <is>
          <t>민강기</t>
        </is>
      </c>
      <c r="I3" s="31" t="inlineStr">
        <is>
          <t>이범석</t>
        </is>
      </c>
      <c r="J3" s="38" t="inlineStr">
        <is>
          <t>장용철</t>
        </is>
      </c>
      <c r="K3" s="167" t="inlineStr">
        <is>
          <t>박승우</t>
        </is>
      </c>
      <c r="L3" s="1" t="inlineStr">
        <is>
          <t>류광성</t>
        </is>
      </c>
      <c r="M3" s="1" t="inlineStr">
        <is>
          <t>김남진,김신</t>
        </is>
      </c>
    </row>
    <row r="4" ht="11.25" customFormat="1" customHeight="1" s="29">
      <c r="A4" s="70" t="inlineStr">
        <is>
          <t>사업자번호</t>
        </is>
      </c>
      <c r="B4" s="234" t="inlineStr">
        <is>
          <t>207-81-29117</t>
        </is>
      </c>
      <c r="C4" s="31" t="inlineStr">
        <is>
          <t>119-81-51253</t>
        </is>
      </c>
      <c r="D4" s="31" t="inlineStr">
        <is>
          <t>214-81-22316</t>
        </is>
      </c>
      <c r="E4" s="80" t="inlineStr">
        <is>
          <t>105-86-22531</t>
        </is>
      </c>
      <c r="F4" s="31" t="inlineStr">
        <is>
          <t>209-81-21862</t>
        </is>
      </c>
      <c r="G4" s="1" t="inlineStr">
        <is>
          <t>220-87-35083</t>
        </is>
      </c>
      <c r="H4" s="136" t="inlineStr">
        <is>
          <t>202-81-36758</t>
        </is>
      </c>
      <c r="I4" s="88" t="inlineStr">
        <is>
          <t>215-81-19769</t>
        </is>
      </c>
      <c r="J4" s="39" t="inlineStr">
        <is>
          <t>107-86-16772</t>
        </is>
      </c>
      <c r="K4" s="168" t="inlineStr">
        <is>
          <t>211-81-08009</t>
        </is>
      </c>
      <c r="L4" s="1" t="inlineStr">
        <is>
          <t>323-88-01633</t>
        </is>
      </c>
      <c r="M4" s="31" t="inlineStr">
        <is>
          <t>214-87-68143</t>
        </is>
      </c>
    </row>
    <row r="5" ht="11.25" customFormat="1" customHeight="1" s="29">
      <c r="A5" s="70" t="inlineStr">
        <is>
          <t>지역</t>
        </is>
      </c>
      <c r="B5" s="230" t="inlineStr">
        <is>
          <t>서울시 광진구</t>
        </is>
      </c>
      <c r="C5" s="1" t="inlineStr">
        <is>
          <t>서울시 금천구</t>
        </is>
      </c>
      <c r="D5" s="31" t="inlineStr">
        <is>
          <t>서울 서초</t>
        </is>
      </c>
      <c r="E5" s="31" t="inlineStr">
        <is>
          <t>서울</t>
        </is>
      </c>
      <c r="F5" s="31" t="inlineStr">
        <is>
          <t>서울 성북</t>
        </is>
      </c>
      <c r="G5" s="1" t="inlineStr">
        <is>
          <t>서울시 서초구</t>
        </is>
      </c>
      <c r="H5" s="135" t="inlineStr">
        <is>
          <t>서울시 서초구</t>
        </is>
      </c>
      <c r="I5" s="89" t="inlineStr">
        <is>
          <t>서울시 송파구</t>
        </is>
      </c>
      <c r="J5" s="38" t="inlineStr">
        <is>
          <t>서울시 영등포구</t>
        </is>
      </c>
      <c r="K5" s="171" t="inlineStr">
        <is>
          <t>서울시 강남구</t>
        </is>
      </c>
      <c r="L5" s="1" t="inlineStr">
        <is>
          <t>서울시 강남구</t>
        </is>
      </c>
      <c r="M5" s="31" t="inlineStr">
        <is>
          <t>서울시 서초구</t>
        </is>
      </c>
    </row>
    <row r="6" customFormat="1" s="28">
      <c r="A6" s="69" t="inlineStr">
        <is>
          <t>통신시공능력</t>
        </is>
      </c>
      <c r="B6" s="712" t="n">
        <v>17555000000</v>
      </c>
      <c r="C6" s="713" t="n">
        <v>3383600000</v>
      </c>
      <c r="D6" s="713" t="n">
        <v>3511400000</v>
      </c>
      <c r="E6" s="713" t="n">
        <v>2409700000</v>
      </c>
      <c r="F6" s="713" t="n">
        <v>6867800000</v>
      </c>
      <c r="G6" s="713" t="n">
        <v>943300000</v>
      </c>
      <c r="H6" s="714" t="n">
        <v>5708600000</v>
      </c>
      <c r="I6" s="715" t="n">
        <v>1898800000</v>
      </c>
      <c r="J6" s="716" t="n">
        <v>7077700000</v>
      </c>
      <c r="K6" s="717" t="n">
        <v>656900000</v>
      </c>
      <c r="L6" s="713" t="n">
        <v>815200000</v>
      </c>
      <c r="M6" s="713" t="n">
        <v>1807600000</v>
      </c>
    </row>
    <row r="7" customFormat="1" s="28">
      <c r="A7" s="69" t="inlineStr">
        <is>
          <t>3년간 실적액</t>
        </is>
      </c>
      <c r="B7" s="712" t="n">
        <v>30156345000</v>
      </c>
      <c r="C7" s="713" t="n">
        <v>589468000</v>
      </c>
      <c r="D7" s="713" t="n">
        <v>19228000</v>
      </c>
      <c r="E7" s="713" t="n">
        <v>2791275000</v>
      </c>
      <c r="F7" s="713">
        <f>2920320000+158854000+3686210000</f>
        <v/>
      </c>
      <c r="G7" s="713" t="n">
        <v>536985000</v>
      </c>
      <c r="H7" s="714" t="n">
        <v>7550478000</v>
      </c>
      <c r="I7" s="715" t="n">
        <v>42381000</v>
      </c>
      <c r="J7" s="716" t="n">
        <v>7059265000</v>
      </c>
      <c r="K7" s="717" t="n">
        <v>0</v>
      </c>
      <c r="L7" s="713" t="n">
        <v>249545000</v>
      </c>
      <c r="M7" s="713" t="n">
        <v>2942739000</v>
      </c>
    </row>
    <row r="8" customFormat="1" s="28">
      <c r="A8" s="69" t="inlineStr">
        <is>
          <t>5년간 실적액</t>
        </is>
      </c>
      <c r="B8" s="712" t="n">
        <v>37227845000</v>
      </c>
      <c r="C8" s="713" t="n">
        <v>833541000</v>
      </c>
      <c r="D8" s="713" t="n">
        <v>19228000</v>
      </c>
      <c r="E8" s="713" t="n">
        <v>5107176000</v>
      </c>
      <c r="F8" s="713">
        <f>F7+3509784000+4381628000</f>
        <v/>
      </c>
      <c r="G8" s="713" t="n">
        <v>536985000</v>
      </c>
      <c r="H8" s="714" t="n">
        <v>13540212000</v>
      </c>
      <c r="I8" s="715" t="n">
        <v>1237771000</v>
      </c>
      <c r="J8" s="716" t="n">
        <v>10123867000</v>
      </c>
      <c r="K8" s="717" t="n">
        <v>0</v>
      </c>
      <c r="L8" s="713" t="n">
        <v>249545000</v>
      </c>
      <c r="M8" s="713" t="n">
        <v>3775595000</v>
      </c>
    </row>
    <row r="9" customFormat="1" s="718">
      <c r="A9" s="719" t="inlineStr">
        <is>
          <t>부채비율</t>
        </is>
      </c>
      <c r="B9" s="235" t="n">
        <v>0.7371</v>
      </c>
      <c r="C9" s="35" t="n">
        <v>0.6833</v>
      </c>
      <c r="D9" s="35" t="n">
        <v>0.1327</v>
      </c>
      <c r="E9" s="35" t="n">
        <v>0.4931</v>
      </c>
      <c r="F9" s="35" t="n">
        <v>0.3265</v>
      </c>
      <c r="G9" s="35" t="n">
        <v>0.3264</v>
      </c>
      <c r="H9" s="131" t="n">
        <v>0.1804</v>
      </c>
      <c r="I9" s="35" t="n">
        <v>0.6427</v>
      </c>
      <c r="J9" s="40" t="n">
        <v>0.101</v>
      </c>
      <c r="K9" s="164" t="n">
        <v>1.1561</v>
      </c>
      <c r="L9" s="66" t="n">
        <v>0.9078000000000001</v>
      </c>
      <c r="M9" s="66" t="n">
        <v>6.1407</v>
      </c>
    </row>
    <row r="10" customFormat="1" s="718">
      <c r="A10" s="719" t="inlineStr">
        <is>
          <t>유동비율</t>
        </is>
      </c>
      <c r="B10" s="235" t="n">
        <v>1.5841</v>
      </c>
      <c r="C10" s="2" t="n">
        <v>1.981</v>
      </c>
      <c r="D10" s="35" t="n">
        <v>8.4284</v>
      </c>
      <c r="E10" s="35" t="n">
        <v>3.155</v>
      </c>
      <c r="F10" s="35" t="n">
        <v>8.5497</v>
      </c>
      <c r="G10" s="35" t="n">
        <v>3.4944</v>
      </c>
      <c r="H10" s="131" t="n">
        <v>2.3072</v>
      </c>
      <c r="I10" s="35" t="n">
        <v>94.7799</v>
      </c>
      <c r="J10" s="40" t="n">
        <v>9.3117</v>
      </c>
      <c r="K10" s="164" t="n">
        <v>0.9547</v>
      </c>
      <c r="L10" s="66" t="n">
        <v>1.9087</v>
      </c>
      <c r="M10" s="66" t="n">
        <v>1.3677</v>
      </c>
    </row>
    <row r="11" ht="21" customFormat="1" customHeight="1" s="718">
      <c r="A11" s="720" t="inlineStr">
        <is>
          <t>영업기간
공사업등록일</t>
        </is>
      </c>
      <c r="B11" s="228" t="inlineStr">
        <is>
          <t>1996.06.15</t>
        </is>
      </c>
      <c r="C11" s="76" t="inlineStr">
        <is>
          <t>2011.11.10</t>
        </is>
      </c>
      <c r="D11" s="35" t="inlineStr">
        <is>
          <t>3년이상%</t>
        </is>
      </c>
      <c r="E11" s="35" t="inlineStr">
        <is>
          <t>10년이상%</t>
        </is>
      </c>
      <c r="F11" s="35" t="inlineStr">
        <is>
          <t>10년이상%</t>
        </is>
      </c>
      <c r="G11" s="2" t="inlineStr">
        <is>
          <t>2020.10.28</t>
        </is>
      </c>
      <c r="H11" s="137" t="inlineStr">
        <is>
          <t>1994.06.04</t>
        </is>
      </c>
      <c r="I11" s="67" t="inlineStr">
        <is>
          <t>2001.12.28</t>
        </is>
      </c>
      <c r="J11" s="41" t="inlineStr">
        <is>
          <t>2005.04.25</t>
        </is>
      </c>
      <c r="K11" s="172" t="inlineStr">
        <is>
          <t>2011.01.28</t>
        </is>
      </c>
      <c r="L11" s="2" t="inlineStr">
        <is>
          <t>2020.08.19</t>
        </is>
      </c>
      <c r="M11" s="35" t="inlineStr">
        <is>
          <t>2005.04.25</t>
        </is>
      </c>
    </row>
    <row r="12" ht="22.5" customFormat="1" customHeight="1" s="28">
      <c r="A12" s="69" t="inlineStr">
        <is>
          <t>신용평가</t>
        </is>
      </c>
      <c r="B12" s="721" t="inlineStr">
        <is>
          <t>A-
(25.06.25~26.06.24)</t>
        </is>
      </c>
      <c r="C12" s="722" t="inlineStr">
        <is>
          <t>BBO
(16.15.16~17.05.15)</t>
        </is>
      </c>
      <c r="D12" s="723" t="n"/>
      <c r="E12" s="722" t="inlineStr">
        <is>
          <t>BBB-
(14.05.29~15.05.28)</t>
        </is>
      </c>
      <c r="F12" s="40" t="n"/>
      <c r="G12" s="723" t="n"/>
      <c r="H12" s="724" t="inlineStr">
        <is>
          <t>BBB+
(25.04.09~26.04.08)</t>
        </is>
      </c>
      <c r="I12" s="725" t="inlineStr">
        <is>
          <t>B-
(22.04.05~23.04.04)</t>
        </is>
      </c>
      <c r="J12" s="723" t="n"/>
      <c r="K12" s="152" t="inlineStr">
        <is>
          <t>AA0
(25.03.28~26.03.27)</t>
        </is>
      </c>
      <c r="L12" s="725" t="inlineStr">
        <is>
          <t>A-
(21.08.19~22.06.30)</t>
        </is>
      </c>
      <c r="M12" s="153" t="inlineStr">
        <is>
          <t>BB0
(22.07.25~23.06.30)</t>
        </is>
      </c>
    </row>
    <row r="13" customFormat="1" s="28">
      <c r="A13" s="71" t="inlineStr">
        <is>
          <t>여성기업</t>
        </is>
      </c>
      <c r="B13" s="726" t="n"/>
      <c r="C13" s="723" t="n"/>
      <c r="D13" s="723" t="n"/>
      <c r="E13" s="723" t="n"/>
      <c r="F13" s="40" t="n"/>
      <c r="G13" s="723" t="n"/>
      <c r="H13" s="727" t="n"/>
      <c r="I13" s="723" t="n"/>
      <c r="J13" s="723" t="n"/>
      <c r="K13" s="152" t="n"/>
      <c r="L13" s="723" t="n"/>
      <c r="M13" s="49" t="n"/>
    </row>
    <row r="14" customFormat="1" s="28">
      <c r="A14" s="71" t="inlineStr">
        <is>
          <t>중소기업</t>
        </is>
      </c>
      <c r="B14" s="726" t="n"/>
      <c r="C14" s="723" t="n"/>
      <c r="D14" s="723" t="n"/>
      <c r="E14" s="723" t="n"/>
      <c r="F14" s="40" t="n"/>
      <c r="G14" s="723" t="n"/>
      <c r="H14" s="727" t="n"/>
      <c r="I14" s="723" t="n"/>
      <c r="J14" s="723" t="n"/>
      <c r="K14" s="152" t="n"/>
      <c r="L14" s="723" t="n"/>
      <c r="M14" s="49" t="n"/>
    </row>
    <row r="15" customFormat="1" s="28">
      <c r="A15" s="72" t="inlineStr">
        <is>
          <t>일자리창출실적</t>
        </is>
      </c>
      <c r="B15" s="726" t="n"/>
      <c r="C15" s="723" t="n"/>
      <c r="D15" s="723" t="n"/>
      <c r="E15" s="723" t="n"/>
      <c r="F15" s="40" t="n"/>
      <c r="G15" s="723" t="n"/>
      <c r="H15" s="727" t="n"/>
      <c r="I15" s="723" t="n"/>
      <c r="J15" s="723" t="n"/>
      <c r="K15" s="152" t="n"/>
      <c r="L15" s="728" t="n">
        <v>98042082</v>
      </c>
      <c r="M15" s="49" t="n"/>
    </row>
    <row r="16" customFormat="1" s="28">
      <c r="A16" s="72" t="inlineStr">
        <is>
          <t>시공품질평가</t>
        </is>
      </c>
      <c r="B16" s="243" t="inlineStr">
        <is>
          <t>없음 (25.05.01)</t>
        </is>
      </c>
      <c r="C16" s="723" t="n"/>
      <c r="D16" s="723" t="n"/>
      <c r="E16" s="723" t="n"/>
      <c r="F16" s="40" t="n"/>
      <c r="G16" s="723" t="n"/>
      <c r="H16" s="729" t="inlineStr">
        <is>
          <t>없음 (25.05.01)</t>
        </is>
      </c>
      <c r="I16" s="723" t="n"/>
      <c r="J16" s="723" t="n"/>
      <c r="K16" s="152" t="inlineStr">
        <is>
          <t>없음 (25.05.01)</t>
        </is>
      </c>
      <c r="L16" s="723" t="n"/>
      <c r="M16" s="49" t="n"/>
    </row>
    <row r="17" ht="33.75" customFormat="1" customHeight="1" s="28">
      <c r="A17" s="69" t="inlineStr">
        <is>
          <t>비 고</t>
        </is>
      </c>
      <c r="B17" s="229" t="inlineStr">
        <is>
          <t>김장섭</t>
        </is>
      </c>
      <c r="C17" s="38" t="n"/>
      <c r="D17" s="716" t="n"/>
      <c r="E17" s="81" t="inlineStr">
        <is>
          <t>김형기팀장
(010-4216-0778)</t>
        </is>
      </c>
      <c r="F17" s="82" t="inlineStr">
        <is>
          <t>윤명숙</t>
        </is>
      </c>
      <c r="G17" s="730" t="inlineStr">
        <is>
          <t>윤명숙</t>
        </is>
      </c>
      <c r="H17" s="135" t="inlineStr">
        <is>
          <t>박근환</t>
        </is>
      </c>
      <c r="I17" s="73" t="inlineStr">
        <is>
          <t>박수현
중소기업확인서
(22.04.01~23.03.31)</t>
        </is>
      </c>
      <c r="J17" s="38" t="inlineStr">
        <is>
          <t>김장섭</t>
        </is>
      </c>
      <c r="K17" s="167" t="inlineStr">
        <is>
          <t>특1,고1,초3(23.01.09)</t>
        </is>
      </c>
      <c r="L17" s="730" t="inlineStr">
        <is>
          <t>김강훈</t>
        </is>
      </c>
      <c r="M17" s="31" t="inlineStr">
        <is>
          <t>김장섭</t>
        </is>
      </c>
    </row>
    <row r="18" ht="26.1" customFormat="1" customHeight="1" s="30">
      <c r="A18" s="455" t="inlineStr">
        <is>
          <t>회사명</t>
        </is>
      </c>
      <c r="B18" s="455" t="inlineStr">
        <is>
          <t>두원이에프씨㈜</t>
        </is>
      </c>
      <c r="C18" s="455" t="inlineStr">
        <is>
          <t>대일전기산업㈜</t>
        </is>
      </c>
      <c r="D18" s="455" t="inlineStr">
        <is>
          <t>대신정보기술㈜</t>
        </is>
      </c>
      <c r="E18" s="455" t="inlineStr">
        <is>
          <t>㈜대용와트스</t>
        </is>
      </c>
      <c r="F18" s="455" t="inlineStr">
        <is>
          <t>대조전설㈜</t>
        </is>
      </c>
      <c r="G18" s="455" t="inlineStr">
        <is>
          <t>대성전기통신㈜</t>
        </is>
      </c>
      <c r="H18" s="455" t="inlineStr">
        <is>
          <t>대림아이앤에스㈜</t>
        </is>
      </c>
      <c r="I18" s="455" t="inlineStr">
        <is>
          <t>동아건설산업㈜</t>
        </is>
      </c>
      <c r="J18" s="455" t="inlineStr">
        <is>
          <t>동광전기건설㈜</t>
        </is>
      </c>
      <c r="K18" s="455" t="inlineStr">
        <is>
          <t>㈜링네트</t>
        </is>
      </c>
      <c r="L18" s="455" t="inlineStr">
        <is>
          <t>㈜링크엔존
테크놀러지</t>
        </is>
      </c>
      <c r="M18" s="455" t="inlineStr">
        <is>
          <t>㈜미동이엔씨</t>
        </is>
      </c>
    </row>
    <row r="19" customFormat="1" s="28">
      <c r="A19" s="69" t="inlineStr">
        <is>
          <t>대표자</t>
        </is>
      </c>
      <c r="B19" s="1" t="inlineStr">
        <is>
          <t>황운천</t>
        </is>
      </c>
      <c r="C19" s="9" t="inlineStr">
        <is>
          <t>임태원</t>
        </is>
      </c>
      <c r="D19" s="9" t="inlineStr">
        <is>
          <t>김형섭</t>
        </is>
      </c>
      <c r="E19" s="293" t="inlineStr">
        <is>
          <t>남상태</t>
        </is>
      </c>
      <c r="F19" s="1" t="inlineStr">
        <is>
          <t>장철호</t>
        </is>
      </c>
      <c r="G19" s="38" t="inlineStr">
        <is>
          <t>김영옥</t>
        </is>
      </c>
      <c r="H19" s="716" t="inlineStr">
        <is>
          <t>이병찬</t>
        </is>
      </c>
      <c r="I19" s="38" t="inlineStr">
        <is>
          <t>이보근</t>
        </is>
      </c>
      <c r="J19" s="38" t="inlineStr">
        <is>
          <t>이동은</t>
        </is>
      </c>
      <c r="K19" s="38" t="inlineStr">
        <is>
          <t>이주석</t>
        </is>
      </c>
      <c r="L19" s="38" t="inlineStr">
        <is>
          <t>성장연</t>
        </is>
      </c>
      <c r="M19" s="234" t="inlineStr">
        <is>
          <t>이우희</t>
        </is>
      </c>
    </row>
    <row r="20" ht="11.25" customFormat="1" customHeight="1" s="29">
      <c r="A20" s="70" t="inlineStr">
        <is>
          <t>사업자번호</t>
        </is>
      </c>
      <c r="B20" s="31" t="inlineStr">
        <is>
          <t>214-81-04884</t>
        </is>
      </c>
      <c r="C20" s="9" t="inlineStr">
        <is>
          <t>106-81-36902</t>
        </is>
      </c>
      <c r="D20" s="9" t="inlineStr">
        <is>
          <t>220-81-04161</t>
        </is>
      </c>
      <c r="E20" s="289" t="inlineStr">
        <is>
          <t>204-81-24559</t>
        </is>
      </c>
      <c r="F20" s="1" t="inlineStr">
        <is>
          <t>105-81-69109</t>
        </is>
      </c>
      <c r="G20" s="38" t="inlineStr">
        <is>
          <t>105-87-97140</t>
        </is>
      </c>
      <c r="H20" s="45" t="inlineStr">
        <is>
          <t>102-81-37345</t>
        </is>
      </c>
      <c r="I20" s="38" t="inlineStr">
        <is>
          <t>110-81-00214</t>
        </is>
      </c>
      <c r="J20" s="38" t="inlineStr">
        <is>
          <t>108-81-07572</t>
        </is>
      </c>
      <c r="K20" s="39" t="inlineStr">
        <is>
          <t>113-81-60244</t>
        </is>
      </c>
      <c r="L20" s="38" t="inlineStr">
        <is>
          <t>110-81-37685</t>
        </is>
      </c>
      <c r="M20" s="240" t="inlineStr">
        <is>
          <t>114-81-37654</t>
        </is>
      </c>
    </row>
    <row r="21" ht="11.25" customFormat="1" customHeight="1" s="29">
      <c r="A21" s="70" t="inlineStr">
        <is>
          <t>지역</t>
        </is>
      </c>
      <c r="B21" s="31" t="inlineStr">
        <is>
          <t>서울시 강남구</t>
        </is>
      </c>
      <c r="C21" s="9" t="inlineStr">
        <is>
          <t>서울시 용산구</t>
        </is>
      </c>
      <c r="D21" s="9" t="inlineStr">
        <is>
          <t>서울시 송파구</t>
        </is>
      </c>
      <c r="E21" s="293" t="inlineStr">
        <is>
          <t>서울시 송파구</t>
        </is>
      </c>
      <c r="F21" s="1" t="inlineStr">
        <is>
          <t>서울시 마포구</t>
        </is>
      </c>
      <c r="G21" s="38" t="inlineStr">
        <is>
          <t>서울 성동</t>
        </is>
      </c>
      <c r="H21" s="716" t="inlineStr">
        <is>
          <t>서울</t>
        </is>
      </c>
      <c r="I21" s="38" t="inlineStr">
        <is>
          <t>서울</t>
        </is>
      </c>
      <c r="J21" s="38" t="inlineStr">
        <is>
          <t>서울</t>
        </is>
      </c>
      <c r="K21" s="38" t="inlineStr">
        <is>
          <t>서울시 구로구</t>
        </is>
      </c>
      <c r="L21" s="38" t="inlineStr">
        <is>
          <t>서울 성동</t>
        </is>
      </c>
      <c r="M21" s="241" t="inlineStr">
        <is>
          <t>서울시 서초구</t>
        </is>
      </c>
    </row>
    <row r="22" ht="11.25" customFormat="1" customHeight="1" s="29">
      <c r="A22" s="69" t="inlineStr">
        <is>
          <t>통신시공능력</t>
        </is>
      </c>
      <c r="B22" s="713" t="n">
        <v>16921200000</v>
      </c>
      <c r="C22" s="716" t="n">
        <v>2891200000</v>
      </c>
      <c r="D22" s="716" t="n">
        <v>16536200000</v>
      </c>
      <c r="E22" s="731" t="n">
        <v>3787500000</v>
      </c>
      <c r="F22" s="732" t="n">
        <v>2871500000</v>
      </c>
      <c r="G22" s="716" t="n">
        <v>7136500000</v>
      </c>
      <c r="H22" s="716" t="n">
        <v>40477500000</v>
      </c>
      <c r="I22" s="733" t="n">
        <v>4350600000</v>
      </c>
      <c r="J22" s="733" t="n">
        <v>1084800000</v>
      </c>
      <c r="K22" s="716" t="n">
        <v>21086700000</v>
      </c>
      <c r="L22" s="716" t="n">
        <v>7237400000</v>
      </c>
      <c r="M22" s="734" t="n">
        <v>13221700000</v>
      </c>
    </row>
    <row r="23" ht="11.25" customFormat="1" customHeight="1" s="29">
      <c r="A23" s="69" t="inlineStr">
        <is>
          <t>3년간 실적액</t>
        </is>
      </c>
      <c r="B23" s="713" t="n">
        <v>27332081000</v>
      </c>
      <c r="C23" s="716" t="n">
        <v>3835473000</v>
      </c>
      <c r="D23" s="716" t="n">
        <v>24323666000</v>
      </c>
      <c r="E23" s="731" t="n">
        <v>3321349000</v>
      </c>
      <c r="F23" s="732" t="n">
        <v>3287284000</v>
      </c>
      <c r="G23" s="716" t="n">
        <v>10118769000</v>
      </c>
      <c r="H23" s="716" t="n">
        <v>74874565000</v>
      </c>
      <c r="I23" s="733" t="n">
        <v>2161937000</v>
      </c>
      <c r="J23" s="733" t="n">
        <v>803560000</v>
      </c>
      <c r="K23" s="716" t="n">
        <v>35099223000</v>
      </c>
      <c r="L23" s="716">
        <f>2562410000+2778425000+3493150000</f>
        <v/>
      </c>
      <c r="M23" s="734" t="n">
        <v>20327860000</v>
      </c>
    </row>
    <row r="24" customFormat="1" s="34">
      <c r="A24" s="69" t="inlineStr">
        <is>
          <t>5년간 실적액</t>
        </is>
      </c>
      <c r="B24" s="713" t="n">
        <v>42821693000</v>
      </c>
      <c r="C24" s="716" t="n">
        <v>6987984000</v>
      </c>
      <c r="D24" s="716" t="n">
        <v>57175352000</v>
      </c>
      <c r="E24" s="731" t="n">
        <v>6023199000</v>
      </c>
      <c r="F24" s="732" t="n">
        <v>7848616000</v>
      </c>
      <c r="G24" s="716" t="n">
        <v>11388647000</v>
      </c>
      <c r="H24" s="716" t="n">
        <v>122634528000</v>
      </c>
      <c r="I24" s="735" t="n">
        <v>2181937000</v>
      </c>
      <c r="J24" s="733" t="n">
        <v>850356000</v>
      </c>
      <c r="K24" s="716" t="n">
        <v>49732860000</v>
      </c>
      <c r="L24" s="716">
        <f>L23+2521289000+1681819000</f>
        <v/>
      </c>
      <c r="M24" s="734" t="n">
        <v>34822789000</v>
      </c>
    </row>
    <row r="25" customFormat="1" s="718">
      <c r="A25" s="719" t="inlineStr">
        <is>
          <t>부채비율</t>
        </is>
      </c>
      <c r="B25" s="35" t="n">
        <v>0.3873</v>
      </c>
      <c r="C25" s="40" t="n">
        <v>0.1797</v>
      </c>
      <c r="D25" s="40" t="n">
        <v>0.2093</v>
      </c>
      <c r="E25" s="297" t="n">
        <v>0.4417</v>
      </c>
      <c r="F25" s="66" t="n">
        <v>0.7301</v>
      </c>
      <c r="G25" s="40" t="n">
        <v>0.2021</v>
      </c>
      <c r="H25" s="40" t="n">
        <v>1.7681</v>
      </c>
      <c r="I25" s="40" t="n">
        <v>0.2972</v>
      </c>
      <c r="J25" s="40" t="n">
        <v>0.07049999999999999</v>
      </c>
      <c r="K25" s="40" t="n">
        <v>0.7141</v>
      </c>
      <c r="L25" s="40" t="n">
        <v>0.2507</v>
      </c>
      <c r="M25" s="235" t="n">
        <v>0.8565999999999999</v>
      </c>
    </row>
    <row r="26" customFormat="1" s="718">
      <c r="A26" s="719" t="inlineStr">
        <is>
          <t>유동비율</t>
        </is>
      </c>
      <c r="B26" s="35" t="n">
        <v>2.4802</v>
      </c>
      <c r="C26" s="40" t="n">
        <v>18.9354</v>
      </c>
      <c r="D26" s="40" t="n">
        <v>3.6913</v>
      </c>
      <c r="E26" s="297" t="n">
        <v>2.9562</v>
      </c>
      <c r="F26" s="2" t="n">
        <v>76.6217</v>
      </c>
      <c r="G26" s="40" t="n">
        <v>3.3402</v>
      </c>
      <c r="H26" s="40" t="n">
        <v>1.1028</v>
      </c>
      <c r="I26" s="40" t="n">
        <v>3.8416</v>
      </c>
      <c r="J26" s="40" t="n">
        <v>12.4212</v>
      </c>
      <c r="K26" s="40" t="n">
        <v>2.1349</v>
      </c>
      <c r="L26" s="40" t="n">
        <v>2.5736</v>
      </c>
      <c r="M26" s="235" t="n">
        <v>1.8078</v>
      </c>
    </row>
    <row r="27" customFormat="1" s="718">
      <c r="A27" s="719" t="inlineStr">
        <is>
          <t>엽업기간</t>
        </is>
      </c>
      <c r="B27" s="76" t="inlineStr">
        <is>
          <t>1996.12.21</t>
        </is>
      </c>
      <c r="C27" s="11" t="inlineStr">
        <is>
          <t>2006.11.17</t>
        </is>
      </c>
      <c r="D27" s="11" t="inlineStr">
        <is>
          <t>1991.11.05</t>
        </is>
      </c>
      <c r="E27" s="294" t="inlineStr">
        <is>
          <t>2006.12.07</t>
        </is>
      </c>
      <c r="F27" s="2" t="inlineStr">
        <is>
          <t>2004.09.14</t>
        </is>
      </c>
      <c r="G27" s="40" t="inlineStr">
        <is>
          <t>3년이상%</t>
        </is>
      </c>
      <c r="H27" s="40" t="inlineStr">
        <is>
          <t>10년이상%</t>
        </is>
      </c>
      <c r="I27" s="40" t="n"/>
      <c r="J27" s="40" t="inlineStr">
        <is>
          <t>10년이상</t>
        </is>
      </c>
      <c r="K27" s="41" t="inlineStr">
        <is>
          <t>2000.06.14</t>
        </is>
      </c>
      <c r="L27" s="40" t="inlineStr">
        <is>
          <t>10년이상%</t>
        </is>
      </c>
      <c r="M27" s="232" t="inlineStr">
        <is>
          <t>1996.05.06</t>
        </is>
      </c>
    </row>
    <row r="28" ht="22.5" customFormat="1" customHeight="1" s="28">
      <c r="A28" s="69" t="inlineStr">
        <is>
          <t>신용평가</t>
        </is>
      </c>
      <c r="B28" s="725" t="inlineStr">
        <is>
          <t>A+
(19.05.26~20.05.25)</t>
        </is>
      </c>
      <c r="C28" s="736" t="n"/>
      <c r="D28" s="725" t="inlineStr">
        <is>
          <t>BBB-
(18.05.11~19.05.10)</t>
        </is>
      </c>
      <c r="E28" s="724" t="inlineStr">
        <is>
          <t>BB0
(25.05.08~26.05.07)</t>
        </is>
      </c>
      <c r="F28" s="153" t="inlineStr">
        <is>
          <t>BB+
(21.04.07~22.04.06)</t>
        </is>
      </c>
      <c r="G28" s="37" t="n"/>
      <c r="H28" s="722" t="inlineStr">
        <is>
          <t>A-
(13.04.29~14.06.30)</t>
        </is>
      </c>
      <c r="I28" s="722" t="inlineStr">
        <is>
          <t>BBB+
(12.04.19~13.04.18)</t>
        </is>
      </c>
      <c r="J28" s="737" t="n"/>
      <c r="K28" s="723" t="n"/>
      <c r="L28" s="40" t="n"/>
      <c r="M28" s="237" t="inlineStr">
        <is>
          <t>A0
(25.05.09~26.05.08)</t>
        </is>
      </c>
    </row>
    <row r="29" customFormat="1" s="28">
      <c r="A29" s="71" t="inlineStr">
        <is>
          <t>여성기업</t>
        </is>
      </c>
      <c r="B29" s="736" t="n"/>
      <c r="C29" s="736" t="n"/>
      <c r="D29" s="736" t="n"/>
      <c r="E29" s="298" t="n"/>
      <c r="F29" s="723" t="n"/>
      <c r="G29" s="37" t="n"/>
      <c r="H29" s="723" t="n"/>
      <c r="I29" s="723" t="n"/>
      <c r="J29" s="737" t="n"/>
      <c r="K29" s="723" t="n"/>
      <c r="L29" s="40" t="n"/>
      <c r="M29" s="738" t="n"/>
    </row>
    <row r="30" customFormat="1" s="28">
      <c r="A30" s="71" t="inlineStr">
        <is>
          <t>중소기업</t>
        </is>
      </c>
      <c r="B30" s="736" t="n"/>
      <c r="C30" s="736" t="n"/>
      <c r="D30" s="736" t="n"/>
      <c r="E30" s="298" t="n"/>
      <c r="F30" s="723" t="n"/>
      <c r="G30" s="37" t="n"/>
      <c r="H30" s="723" t="n"/>
      <c r="I30" s="723" t="n"/>
      <c r="J30" s="737" t="n"/>
      <c r="K30" s="723" t="n"/>
      <c r="L30" s="40" t="n"/>
      <c r="M30" s="738" t="n"/>
    </row>
    <row r="31" customFormat="1" s="28">
      <c r="A31" s="72" t="inlineStr">
        <is>
          <t>일자리창출실적</t>
        </is>
      </c>
      <c r="B31" s="736" t="n"/>
      <c r="C31" s="736" t="n"/>
      <c r="D31" s="736" t="n"/>
      <c r="E31" s="298" t="n"/>
      <c r="F31" s="723" t="n"/>
      <c r="G31" s="37" t="n"/>
      <c r="H31" s="723" t="n"/>
      <c r="I31" s="723" t="n"/>
      <c r="J31" s="737" t="n"/>
      <c r="K31" s="723" t="n"/>
      <c r="L31" s="40" t="n"/>
      <c r="M31" s="738" t="n"/>
    </row>
    <row r="32" customFormat="1" s="28">
      <c r="A32" s="72" t="inlineStr">
        <is>
          <t>시공품질평가</t>
        </is>
      </c>
      <c r="B32" s="736" t="n"/>
      <c r="C32" s="736" t="n"/>
      <c r="D32" s="736" t="n"/>
      <c r="E32" s="295" t="inlineStr">
        <is>
          <t>없음 (25.05.01)</t>
        </is>
      </c>
      <c r="F32" s="723" t="n"/>
      <c r="G32" s="37" t="n"/>
      <c r="H32" s="723" t="n"/>
      <c r="I32" s="723" t="n"/>
      <c r="J32" s="737" t="n"/>
      <c r="K32" s="723" t="n"/>
      <c r="L32" s="40" t="n"/>
      <c r="M32" s="738" t="n"/>
    </row>
    <row r="33" ht="22.5" customFormat="1" customHeight="1" s="28">
      <c r="A33" s="69" t="inlineStr">
        <is>
          <t>비 고</t>
        </is>
      </c>
      <c r="B33" s="73" t="inlineStr">
        <is>
          <t>시공품질평가점수:
93.27(2018)</t>
        </is>
      </c>
      <c r="C33" s="9" t="inlineStr">
        <is>
          <t>용화 김인용BJ</t>
        </is>
      </c>
      <c r="D33" s="9" t="inlineStr">
        <is>
          <t>철탑 범준호</t>
        </is>
      </c>
      <c r="E33" s="299" t="inlineStr">
        <is>
          <t>윤명숙</t>
        </is>
      </c>
      <c r="F33" s="1" t="inlineStr">
        <is>
          <t>구본진</t>
        </is>
      </c>
      <c r="G33" s="38" t="inlineStr">
        <is>
          <t>김장섭</t>
        </is>
      </c>
      <c r="H33" s="38" t="n"/>
      <c r="I33" s="38" t="n"/>
      <c r="J33" s="38" t="n"/>
      <c r="K33" s="38" t="inlineStr">
        <is>
          <t>이동훈, 특1,고11,초1</t>
        </is>
      </c>
      <c r="L33" s="43" t="inlineStr">
        <is>
          <t>주영중</t>
        </is>
      </c>
      <c r="M33" s="242" t="n"/>
    </row>
    <row r="34" ht="26.1" customFormat="1" customHeight="1" s="30">
      <c r="A34" s="455" t="inlineStr">
        <is>
          <t>회사명</t>
        </is>
      </c>
      <c r="B34" s="455" t="inlineStr">
        <is>
          <t>㈜미풍정보통신</t>
        </is>
      </c>
      <c r="C34" s="455" t="inlineStr">
        <is>
          <t>㈜벧엘정보통신</t>
        </is>
      </c>
      <c r="D34" s="455" t="inlineStr">
        <is>
          <t>세원전설㈜</t>
        </is>
      </c>
      <c r="E34" s="455" t="inlineStr">
        <is>
          <t>신신이앤씨㈜</t>
        </is>
      </c>
      <c r="F34" s="455" t="inlineStr">
        <is>
          <t>삼언전공㈜</t>
        </is>
      </c>
      <c r="G34" s="455" t="inlineStr">
        <is>
          <t>성민전기㈜</t>
        </is>
      </c>
      <c r="H34" s="455" t="inlineStr">
        <is>
          <t>㈜삼영기업</t>
        </is>
      </c>
      <c r="I34" s="455" t="inlineStr">
        <is>
          <t>승림이앤씨㈜</t>
        </is>
      </c>
      <c r="J34" s="455" t="inlineStr">
        <is>
          <t>㈜신보</t>
        </is>
      </c>
      <c r="K34" s="455" t="inlineStr">
        <is>
          <t>㈜세온이엠에스</t>
        </is>
      </c>
      <c r="L34" s="455" t="inlineStr">
        <is>
          <t>㈜삼화동력개발</t>
        </is>
      </c>
      <c r="M34" s="455" t="inlineStr">
        <is>
          <t>지에스네오텍(주)</t>
        </is>
      </c>
    </row>
    <row r="35" customFormat="1" s="28">
      <c r="A35" s="69" t="inlineStr">
        <is>
          <t>대표자</t>
        </is>
      </c>
      <c r="B35" s="38" t="inlineStr">
        <is>
          <t>박세준</t>
        </is>
      </c>
      <c r="C35" s="46" t="inlineStr">
        <is>
          <t>채수진</t>
        </is>
      </c>
      <c r="D35" s="306" t="inlineStr">
        <is>
          <t>최영래</t>
        </is>
      </c>
      <c r="E35" s="244" t="inlineStr">
        <is>
          <t>하상청</t>
        </is>
      </c>
      <c r="F35" s="31" t="inlineStr">
        <is>
          <t>공석복</t>
        </is>
      </c>
      <c r="G35" s="31" t="inlineStr">
        <is>
          <t>김미영</t>
        </is>
      </c>
      <c r="H35" s="31" t="inlineStr">
        <is>
          <t>금동흠</t>
        </is>
      </c>
      <c r="I35" s="288" t="inlineStr">
        <is>
          <t>박기철</t>
        </is>
      </c>
      <c r="J35" s="1" t="inlineStr">
        <is>
          <t>정재문</t>
        </is>
      </c>
      <c r="K35" s="31" t="inlineStr">
        <is>
          <t>조상현</t>
        </is>
      </c>
      <c r="L35" s="1" t="inlineStr">
        <is>
          <t>정권봉</t>
        </is>
      </c>
      <c r="M35" s="445" t="inlineStr">
        <is>
          <t>남기정</t>
        </is>
      </c>
    </row>
    <row r="36" ht="11.25" customFormat="1" customHeight="1" s="29">
      <c r="A36" s="70" t="inlineStr">
        <is>
          <t>사업자번호</t>
        </is>
      </c>
      <c r="B36" s="38" t="inlineStr">
        <is>
          <t>211-81-01156</t>
        </is>
      </c>
      <c r="C36" s="38" t="inlineStr">
        <is>
          <t>212-81-40491</t>
        </is>
      </c>
      <c r="D36" s="307" t="inlineStr">
        <is>
          <t>105-81-30768</t>
        </is>
      </c>
      <c r="E36" s="245" t="inlineStr">
        <is>
          <t>215-81-38510</t>
        </is>
      </c>
      <c r="F36" s="31" t="inlineStr">
        <is>
          <t>207-81-36393</t>
        </is>
      </c>
      <c r="G36" s="31" t="inlineStr">
        <is>
          <t>119-86-32979</t>
        </is>
      </c>
      <c r="H36" s="31" t="inlineStr">
        <is>
          <t>229-81-19166</t>
        </is>
      </c>
      <c r="I36" s="289" t="inlineStr">
        <is>
          <t>110-81-75433</t>
        </is>
      </c>
      <c r="J36" s="1" t="inlineStr">
        <is>
          <t>106-81-80878</t>
        </is>
      </c>
      <c r="K36" s="1" t="inlineStr">
        <is>
          <t>108-81-42910</t>
        </is>
      </c>
      <c r="L36" s="1" t="inlineStr">
        <is>
          <t>205-81-32431</t>
        </is>
      </c>
      <c r="M36" s="445" t="inlineStr">
        <is>
          <t>113-81-07384</t>
        </is>
      </c>
    </row>
    <row r="37" ht="11.25" customFormat="1" customHeight="1" s="29">
      <c r="A37" s="70" t="inlineStr">
        <is>
          <t>지역</t>
        </is>
      </c>
      <c r="B37" s="38" t="inlineStr">
        <is>
          <t>서울 성동</t>
        </is>
      </c>
      <c r="C37" s="38" t="inlineStr">
        <is>
          <t>서울 강동</t>
        </is>
      </c>
      <c r="D37" s="308" t="inlineStr">
        <is>
          <t>서울시 마포구</t>
        </is>
      </c>
      <c r="E37" s="246" t="inlineStr">
        <is>
          <t>서울시 송파구</t>
        </is>
      </c>
      <c r="F37" s="31" t="inlineStr">
        <is>
          <t>서울시 광진구</t>
        </is>
      </c>
      <c r="G37" s="31" t="inlineStr">
        <is>
          <t>서울시 금천구</t>
        </is>
      </c>
      <c r="H37" s="1" t="inlineStr">
        <is>
          <t>서울시 서초구</t>
        </is>
      </c>
      <c r="I37" s="288" t="inlineStr">
        <is>
          <t>서울시 송파구</t>
        </is>
      </c>
      <c r="J37" s="1" t="inlineStr">
        <is>
          <t>서울시 마포구</t>
        </is>
      </c>
      <c r="K37" s="31" t="inlineStr">
        <is>
          <t>서울시 관악구</t>
        </is>
      </c>
      <c r="L37" s="1" t="inlineStr">
        <is>
          <t>서울시 송파구</t>
        </is>
      </c>
      <c r="M37" s="445" t="inlineStr">
        <is>
          <t>서울 구로구</t>
        </is>
      </c>
    </row>
    <row r="38" ht="11.25" customFormat="1" customHeight="1" s="29">
      <c r="A38" s="69" t="inlineStr">
        <is>
          <t>통신시공능력</t>
        </is>
      </c>
      <c r="B38" s="716" t="n">
        <v>4997500000</v>
      </c>
      <c r="C38" s="716" t="n">
        <v>13380000000</v>
      </c>
      <c r="D38" s="739" t="n">
        <v>3860100000</v>
      </c>
      <c r="E38" s="740" t="n">
        <v>6976900000</v>
      </c>
      <c r="F38" s="713" t="n">
        <v>19760600000</v>
      </c>
      <c r="G38" s="713" t="n">
        <v>1560300000</v>
      </c>
      <c r="H38" s="713" t="n">
        <v>9973900000</v>
      </c>
      <c r="I38" s="741" t="n">
        <v>2590300000</v>
      </c>
      <c r="J38" s="713" t="n">
        <v>14781300000</v>
      </c>
      <c r="K38" s="713" t="n">
        <v>980900000</v>
      </c>
      <c r="L38" s="713" t="n">
        <v>4682300000</v>
      </c>
      <c r="M38" s="742" t="n">
        <v>219332600000</v>
      </c>
    </row>
    <row r="39" ht="11.25" customFormat="1" customHeight="1" s="29">
      <c r="A39" s="69" t="inlineStr">
        <is>
          <t>3년간 실적액</t>
        </is>
      </c>
      <c r="B39" s="716" t="n">
        <v>6039792000</v>
      </c>
      <c r="C39" s="716" t="n">
        <v>18112282000</v>
      </c>
      <c r="D39" s="739" t="n">
        <v>6428536000</v>
      </c>
      <c r="E39" s="740" t="n">
        <v>10440854000</v>
      </c>
      <c r="F39" s="713" t="n">
        <v>33963620000</v>
      </c>
      <c r="G39" s="713" t="n">
        <v>1047602000</v>
      </c>
      <c r="H39" s="713" t="n">
        <v>17420868000</v>
      </c>
      <c r="I39" s="741" t="n">
        <v>3608406000</v>
      </c>
      <c r="J39" s="713" t="n">
        <v>21898555000</v>
      </c>
      <c r="K39" s="713" t="n">
        <v>384426000</v>
      </c>
      <c r="L39" s="713" t="n">
        <v>7750225000</v>
      </c>
      <c r="M39" s="742" t="n">
        <v>450951696000</v>
      </c>
    </row>
    <row r="40" customFormat="1" s="34">
      <c r="A40" s="69" t="inlineStr">
        <is>
          <t>5년간 실적액</t>
        </is>
      </c>
      <c r="B40" s="716">
        <f>B39+6771394000+4864769000</f>
        <v/>
      </c>
      <c r="C40" s="716" t="n">
        <v>25357923000</v>
      </c>
      <c r="D40" s="739" t="n">
        <v>7874720000</v>
      </c>
      <c r="E40" s="740" t="n">
        <v>13914768000</v>
      </c>
      <c r="F40" s="713" t="n">
        <v>68190687000</v>
      </c>
      <c r="G40" s="713" t="n">
        <v>4402688000</v>
      </c>
      <c r="H40" s="713" t="n">
        <v>28622224000</v>
      </c>
      <c r="I40" s="741" t="n">
        <v>3760795000</v>
      </c>
      <c r="J40" s="713" t="n">
        <v>31404460000</v>
      </c>
      <c r="K40" s="713" t="n">
        <v>649716000</v>
      </c>
      <c r="L40" s="713" t="n">
        <v>10286068000</v>
      </c>
      <c r="M40" s="742" t="n">
        <v>657944870000</v>
      </c>
    </row>
    <row r="41" customFormat="1" s="718">
      <c r="A41" s="719" t="inlineStr">
        <is>
          <t>부채비율</t>
        </is>
      </c>
      <c r="B41" s="40" t="n">
        <v>0.7634</v>
      </c>
      <c r="C41" s="40" t="n">
        <v>0.1699</v>
      </c>
      <c r="D41" s="309" t="n">
        <v>2.0441</v>
      </c>
      <c r="E41" s="247" t="n">
        <v>0.6358</v>
      </c>
      <c r="F41" s="2" t="n">
        <v>0.7135</v>
      </c>
      <c r="G41" s="35" t="n">
        <v>0.06610000000000001</v>
      </c>
      <c r="H41" s="66" t="n">
        <v>0.7277</v>
      </c>
      <c r="I41" s="285" t="n">
        <v>0.0157</v>
      </c>
      <c r="J41" s="77" t="n">
        <v>0.571</v>
      </c>
      <c r="K41" s="77" t="n">
        <v>0.339</v>
      </c>
      <c r="L41" s="66" t="n">
        <v>1.5885</v>
      </c>
      <c r="M41" s="443" t="n">
        <v>1.1639</v>
      </c>
    </row>
    <row r="42" customFormat="1" s="718">
      <c r="A42" s="719" t="inlineStr">
        <is>
          <t>유동비율</t>
        </is>
      </c>
      <c r="B42" s="40" t="n">
        <v>3.2814</v>
      </c>
      <c r="C42" s="40" t="n">
        <v>4.9154</v>
      </c>
      <c r="D42" s="309" t="n">
        <v>1.1553</v>
      </c>
      <c r="E42" s="247" t="n">
        <v>2.0316</v>
      </c>
      <c r="F42" s="77" t="n">
        <v>2.2083</v>
      </c>
      <c r="G42" s="35" t="n">
        <v>12.5325</v>
      </c>
      <c r="H42" s="66" t="n">
        <v>2.0688</v>
      </c>
      <c r="I42" s="285" t="n">
        <v>46.7221</v>
      </c>
      <c r="J42" s="77" t="n">
        <v>2.5644</v>
      </c>
      <c r="K42" s="77" t="n">
        <v>3.5464</v>
      </c>
      <c r="L42" s="66" t="n">
        <v>1.6768</v>
      </c>
      <c r="M42" s="443" t="n">
        <v>1.745</v>
      </c>
    </row>
    <row r="43" ht="21" customFormat="1" customHeight="1" s="718">
      <c r="A43" s="720" t="inlineStr">
        <is>
          <t>영업기간
공사업등록일</t>
        </is>
      </c>
      <c r="B43" s="40" t="inlineStr">
        <is>
          <t>5년이상%</t>
        </is>
      </c>
      <c r="C43" s="40" t="inlineStr">
        <is>
          <t>10년이상%</t>
        </is>
      </c>
      <c r="D43" s="310" t="inlineStr">
        <is>
          <t>1997.12.09</t>
        </is>
      </c>
      <c r="E43" s="248" t="inlineStr">
        <is>
          <t>2000.10.27</t>
        </is>
      </c>
      <c r="F43" s="76" t="inlineStr">
        <is>
          <t>2000.12.05</t>
        </is>
      </c>
      <c r="G43" s="76" t="inlineStr">
        <is>
          <t>2009.06.01</t>
        </is>
      </c>
      <c r="H43" s="76" t="inlineStr">
        <is>
          <t>2000.07.06</t>
        </is>
      </c>
      <c r="I43" s="287" t="inlineStr">
        <is>
          <t>2010.05.17</t>
        </is>
      </c>
      <c r="J43" s="67" t="inlineStr">
        <is>
          <t>1999.08.09</t>
        </is>
      </c>
      <c r="K43" s="76" t="inlineStr">
        <is>
          <t>2002.04.26</t>
        </is>
      </c>
      <c r="L43" s="67" t="inlineStr">
        <is>
          <t>1994.04.28</t>
        </is>
      </c>
      <c r="M43" s="449" t="inlineStr">
        <is>
          <t>1972.09.28</t>
        </is>
      </c>
    </row>
    <row r="44" ht="22.5" customFormat="1" customHeight="1" s="28">
      <c r="A44" s="69" t="inlineStr">
        <is>
          <t>신용평가</t>
        </is>
      </c>
      <c r="B44" s="37" t="n"/>
      <c r="C44" s="722" t="inlineStr">
        <is>
          <t>BB+
(15.06.19~16.06.18)</t>
        </is>
      </c>
      <c r="D44" s="311" t="inlineStr">
        <is>
          <t>BBB-
(25.04.18~26.04.17)</t>
        </is>
      </c>
      <c r="E44" s="743" t="inlineStr">
        <is>
          <t>A-
(25.08.12~26.08.11)</t>
        </is>
      </c>
      <c r="F44" s="153" t="inlineStr">
        <is>
          <t>A+
(21.04.24~22.04.23)</t>
        </is>
      </c>
      <c r="G44" s="722" t="inlineStr">
        <is>
          <t>BBO
(16.07.01~17.06.30)</t>
        </is>
      </c>
      <c r="H44" s="725" t="inlineStr">
        <is>
          <t>A+
(22.05.31~23.05.30)</t>
        </is>
      </c>
      <c r="I44" s="744" t="inlineStr">
        <is>
          <t>BBB-
(25.04.11~26.04.10)</t>
        </is>
      </c>
      <c r="J44" s="49" t="n"/>
      <c r="K44" s="153" t="inlineStr">
        <is>
          <t>BB-
(20.04.01~21.03.31)</t>
        </is>
      </c>
      <c r="L44" s="153" t="inlineStr">
        <is>
          <t>BBB-
(20.04.29~21.04.28)</t>
        </is>
      </c>
      <c r="M44" s="456" t="inlineStr">
        <is>
          <t>A0
(25.06.20~26.06.19)</t>
        </is>
      </c>
    </row>
    <row r="45" customFormat="1" s="28">
      <c r="A45" s="71" t="inlineStr">
        <is>
          <t>여성기업</t>
        </is>
      </c>
      <c r="B45" s="37" t="n"/>
      <c r="C45" s="723" t="n"/>
      <c r="D45" s="311" t="n"/>
      <c r="E45" s="249" t="n"/>
      <c r="F45" s="49" t="n"/>
      <c r="G45" s="723" t="n"/>
      <c r="H45" s="37" t="n"/>
      <c r="I45" s="744" t="n"/>
      <c r="J45" s="50" t="n"/>
      <c r="K45" s="50" t="n"/>
      <c r="L45" s="49" t="n"/>
      <c r="M45" s="438" t="n"/>
    </row>
    <row r="46" customFormat="1" s="28">
      <c r="A46" s="71" t="inlineStr">
        <is>
          <t>중소기업</t>
        </is>
      </c>
      <c r="B46" s="37" t="n"/>
      <c r="C46" s="723" t="n"/>
      <c r="D46" s="311" t="n"/>
      <c r="E46" s="249" t="n"/>
      <c r="F46" s="49" t="n"/>
      <c r="G46" s="723" t="n"/>
      <c r="H46" s="37" t="n"/>
      <c r="I46" s="744" t="n"/>
      <c r="J46" s="50" t="n"/>
      <c r="K46" s="50" t="n"/>
      <c r="L46" s="49" t="n"/>
      <c r="M46" s="4" t="n"/>
    </row>
    <row r="47" customFormat="1" s="28">
      <c r="A47" s="72" t="inlineStr">
        <is>
          <t>일자리창출실적</t>
        </is>
      </c>
      <c r="B47" s="37" t="n"/>
      <c r="C47" s="723" t="n"/>
      <c r="D47" s="311" t="n"/>
      <c r="E47" s="249" t="n"/>
      <c r="F47" s="49" t="n"/>
      <c r="G47" s="723" t="n"/>
      <c r="H47" s="37" t="n"/>
      <c r="I47" s="744" t="n"/>
      <c r="J47" s="50" t="n"/>
      <c r="K47" s="50" t="n"/>
      <c r="L47" s="49" t="n"/>
      <c r="M47" s="438" t="n"/>
    </row>
    <row r="48" customFormat="1" s="28">
      <c r="A48" s="72" t="inlineStr">
        <is>
          <t>시공품질평가</t>
        </is>
      </c>
      <c r="B48" s="37" t="n"/>
      <c r="C48" s="723" t="n"/>
      <c r="D48" s="311" t="n"/>
      <c r="E48" s="250" t="inlineStr">
        <is>
          <t>없음 (25.05.01)</t>
        </is>
      </c>
      <c r="F48" s="49" t="n"/>
      <c r="G48" s="723" t="n"/>
      <c r="H48" s="37" t="n"/>
      <c r="I48" s="744" t="n"/>
      <c r="J48" s="50" t="n"/>
      <c r="K48" s="50" t="n"/>
      <c r="L48" s="49" t="n"/>
      <c r="M48" s="438" t="n"/>
    </row>
    <row r="49" ht="67.5" customFormat="1" customHeight="1" s="28">
      <c r="A49" s="69" t="inlineStr">
        <is>
          <t>비 고</t>
        </is>
      </c>
      <c r="B49" s="38" t="inlineStr">
        <is>
          <t>홍정구</t>
        </is>
      </c>
      <c r="C49" s="38" t="inlineStr">
        <is>
          <t>윤한봉</t>
        </is>
      </c>
      <c r="D49" s="745" t="inlineStr">
        <is>
          <t>신흥식</t>
        </is>
      </c>
      <c r="E49" s="746" t="inlineStr">
        <is>
          <t>김장섭
특1,고2,중0,초1
(23.09.06)</t>
        </is>
      </c>
      <c r="F49" s="713" t="inlineStr">
        <is>
          <t>김장섭</t>
        </is>
      </c>
      <c r="G49" s="732" t="inlineStr">
        <is>
          <t>강성법</t>
        </is>
      </c>
      <c r="H49" s="716" t="n"/>
      <c r="I49" s="292" t="inlineStr">
        <is>
          <t xml:space="preserve">서권형
소프트웨어사업자
장애인기업
(23.12.01~26.11.30)
중소기업
(25.04.01~26.03.31) </t>
        </is>
      </c>
      <c r="J49" s="730" t="inlineStr">
        <is>
          <t>송동은</t>
        </is>
      </c>
      <c r="K49" s="730" t="inlineStr">
        <is>
          <t>이동훈
중소기업확인서
(20.04.01~21.03.31)</t>
        </is>
      </c>
      <c r="L49" s="732" t="inlineStr">
        <is>
          <t>김장섭</t>
        </is>
      </c>
      <c r="M49" s="445" t="inlineStr">
        <is>
          <t>구본진</t>
        </is>
      </c>
    </row>
    <row r="50" ht="26.1" customFormat="1" customHeight="1" s="30">
      <c r="A50" s="455" t="inlineStr">
        <is>
          <t>회사명</t>
        </is>
      </c>
      <c r="B50" s="455" t="inlineStr">
        <is>
          <t>㈜세화넷</t>
        </is>
      </c>
      <c r="C50" s="455" t="inlineStr">
        <is>
          <t>송림기술㈜</t>
        </is>
      </c>
      <c r="D50" s="455" t="inlineStr">
        <is>
          <t>신신전기㈜</t>
        </is>
      </c>
      <c r="E50" s="455" t="inlineStr">
        <is>
          <t>㈜삼진일렉스</t>
        </is>
      </c>
      <c r="F50" s="455" t="inlineStr">
        <is>
          <t>㈜수화정보통신</t>
        </is>
      </c>
      <c r="G50" s="455" t="inlineStr">
        <is>
          <t>수호정보통신㈜</t>
        </is>
      </c>
      <c r="H50" s="455" t="inlineStr">
        <is>
          <t>승원시스템㈜</t>
        </is>
      </c>
      <c r="I50" s="455" t="inlineStr">
        <is>
          <t>세안이엔씨㈜</t>
        </is>
      </c>
      <c r="J50" s="455" t="inlineStr">
        <is>
          <t>(주)세아네트웍스</t>
        </is>
      </c>
      <c r="K50" s="455" t="inlineStr">
        <is>
          <t>세종텔레콤㈜</t>
        </is>
      </c>
      <c r="L50" s="455" t="inlineStr">
        <is>
          <t>우현전기㈜</t>
        </is>
      </c>
      <c r="M50" s="455" t="inlineStr">
        <is>
          <t>㈜오파스넷</t>
        </is>
      </c>
    </row>
    <row r="51" customFormat="1" s="28">
      <c r="A51" s="69" t="inlineStr">
        <is>
          <t>대표자</t>
        </is>
      </c>
      <c r="B51" s="9" t="inlineStr">
        <is>
          <t>박경식</t>
        </is>
      </c>
      <c r="C51" s="9" t="inlineStr">
        <is>
          <t>김도현</t>
        </is>
      </c>
      <c r="D51" s="38" t="inlineStr">
        <is>
          <t>하대청</t>
        </is>
      </c>
      <c r="E51" s="38" t="inlineStr">
        <is>
          <t>김성관</t>
        </is>
      </c>
      <c r="F51" s="38" t="inlineStr">
        <is>
          <t>김승균</t>
        </is>
      </c>
      <c r="G51" s="38" t="inlineStr">
        <is>
          <t>김성수</t>
        </is>
      </c>
      <c r="H51" s="38" t="inlineStr">
        <is>
          <t>장인호</t>
        </is>
      </c>
      <c r="I51" s="716" t="inlineStr">
        <is>
          <t>이은상</t>
        </is>
      </c>
      <c r="J51" s="38" t="inlineStr">
        <is>
          <t>박의숙</t>
        </is>
      </c>
      <c r="K51" s="1" t="inlineStr">
        <is>
          <t>유기윤</t>
        </is>
      </c>
      <c r="L51" s="31" t="inlineStr">
        <is>
          <t>채광식</t>
        </is>
      </c>
      <c r="M51" s="293" t="inlineStr">
        <is>
          <t>장수현</t>
        </is>
      </c>
    </row>
    <row r="52" customFormat="1" s="28">
      <c r="A52" s="70" t="inlineStr">
        <is>
          <t>사업자번호</t>
        </is>
      </c>
      <c r="B52" s="9" t="inlineStr">
        <is>
          <t>837-86-00745</t>
        </is>
      </c>
      <c r="C52" s="9" t="inlineStr">
        <is>
          <t>113-81-45530</t>
        </is>
      </c>
      <c r="D52" s="38" t="inlineStr">
        <is>
          <t>215-81-38510</t>
        </is>
      </c>
      <c r="E52" s="38" t="inlineStr">
        <is>
          <t>120-81-05711</t>
        </is>
      </c>
      <c r="F52" s="38" t="inlineStr">
        <is>
          <t>202-81-58261</t>
        </is>
      </c>
      <c r="G52" s="38" t="inlineStr">
        <is>
          <t>128-81-35320</t>
        </is>
      </c>
      <c r="H52" s="38" t="inlineStr">
        <is>
          <t>220-81-59759</t>
        </is>
      </c>
      <c r="I52" s="45" t="inlineStr">
        <is>
          <t>120-81-17027</t>
        </is>
      </c>
      <c r="J52" s="38" t="inlineStr">
        <is>
          <t>120-81-10951</t>
        </is>
      </c>
      <c r="K52" s="1" t="inlineStr">
        <is>
          <t>1213-81-28751</t>
        </is>
      </c>
      <c r="L52" s="31" t="inlineStr">
        <is>
          <t>205-81-39910</t>
        </is>
      </c>
      <c r="M52" s="289" t="inlineStr">
        <is>
          <t>204-81-88475</t>
        </is>
      </c>
    </row>
    <row r="53" ht="11.25" customFormat="1" customHeight="1" s="29">
      <c r="A53" s="70" t="inlineStr">
        <is>
          <t>지역</t>
        </is>
      </c>
      <c r="B53" s="9" t="inlineStr">
        <is>
          <t>서울시 용산구</t>
        </is>
      </c>
      <c r="C53" s="9" t="inlineStr">
        <is>
          <t>서울시 구로구</t>
        </is>
      </c>
      <c r="D53" s="38" t="inlineStr">
        <is>
          <t>서울 강동</t>
        </is>
      </c>
      <c r="E53" s="38" t="inlineStr">
        <is>
          <t>서울 강남</t>
        </is>
      </c>
      <c r="F53" s="38" t="inlineStr">
        <is>
          <t>서울 관악</t>
        </is>
      </c>
      <c r="G53" s="38" t="inlineStr">
        <is>
          <t>서울</t>
        </is>
      </c>
      <c r="H53" s="38" t="inlineStr">
        <is>
          <t>서울</t>
        </is>
      </c>
      <c r="I53" s="716" t="inlineStr">
        <is>
          <t>서울 강남구</t>
        </is>
      </c>
      <c r="J53" s="38" t="inlineStr">
        <is>
          <t>서울</t>
        </is>
      </c>
      <c r="K53" s="1" t="inlineStr">
        <is>
          <t>서울시 강동구</t>
        </is>
      </c>
      <c r="L53" s="31" t="inlineStr">
        <is>
          <t>서울시 영등포구</t>
        </is>
      </c>
      <c r="M53" s="293" t="inlineStr">
        <is>
          <t>서울시 강남구</t>
        </is>
      </c>
    </row>
    <row r="54" ht="11.25" customFormat="1" customHeight="1" s="29">
      <c r="A54" s="69" t="inlineStr">
        <is>
          <t>통신시공능력</t>
        </is>
      </c>
      <c r="B54" s="716" t="n">
        <v>3982400000</v>
      </c>
      <c r="C54" s="716" t="n">
        <v>9140000000</v>
      </c>
      <c r="D54" s="716" t="n">
        <v>2870600000</v>
      </c>
      <c r="E54" s="716" t="n">
        <v>11930900000</v>
      </c>
      <c r="F54" s="716" t="n">
        <v>7696700000</v>
      </c>
      <c r="G54" s="716" t="n">
        <v>17914600000</v>
      </c>
      <c r="H54" s="716" t="n">
        <v>12083600000</v>
      </c>
      <c r="I54" s="716" t="n">
        <v>26684000000</v>
      </c>
      <c r="J54" s="733" t="n">
        <v>18046400000</v>
      </c>
      <c r="K54" s="732" t="n">
        <v>14849200000</v>
      </c>
      <c r="L54" s="713" t="n">
        <v>4013400000</v>
      </c>
      <c r="M54" s="741" t="n">
        <v>22506500000</v>
      </c>
    </row>
    <row r="55" ht="11.25" customFormat="1" customHeight="1" s="29">
      <c r="A55" s="69" t="inlineStr">
        <is>
          <t>3년간 실적액</t>
        </is>
      </c>
      <c r="B55" s="716" t="n">
        <v>4404129000</v>
      </c>
      <c r="C55" s="716" t="n">
        <v>10966613000</v>
      </c>
      <c r="D55" s="716" t="n">
        <v>3381626000</v>
      </c>
      <c r="E55" s="716" t="n">
        <v>17025589000</v>
      </c>
      <c r="F55" s="716" t="n">
        <v>6674449000</v>
      </c>
      <c r="G55" s="716" t="n">
        <v>27855213000</v>
      </c>
      <c r="H55" s="733" t="n">
        <v>18155333000</v>
      </c>
      <c r="I55" s="716" t="n">
        <v>48435365000</v>
      </c>
      <c r="J55" s="733" t="n">
        <v>30547742000</v>
      </c>
      <c r="K55" s="732" t="n">
        <v>14654354000</v>
      </c>
      <c r="L55" s="713" t="n">
        <v>3352349000</v>
      </c>
      <c r="M55" s="747" t="n">
        <v>37845930000</v>
      </c>
    </row>
    <row r="56" ht="11.25" customFormat="1" customHeight="1" s="29">
      <c r="A56" s="69" t="inlineStr">
        <is>
          <t>5년간 실적액</t>
        </is>
      </c>
      <c r="B56" s="716" t="n">
        <v>4404129000</v>
      </c>
      <c r="C56" s="716" t="n">
        <v>17713889000</v>
      </c>
      <c r="D56" s="716" t="n">
        <v>4722308000</v>
      </c>
      <c r="E56" s="716" t="n">
        <v>29762853000</v>
      </c>
      <c r="F56" s="716" t="n">
        <v>11964215000</v>
      </c>
      <c r="G56" s="716">
        <f>G55+8815254000+6352902000</f>
        <v/>
      </c>
      <c r="H56" s="748" t="n">
        <v>27398808000</v>
      </c>
      <c r="I56" s="716" t="n">
        <v>62767608000</v>
      </c>
      <c r="J56" s="735" t="n">
        <v>64002723000</v>
      </c>
      <c r="K56" s="732" t="n">
        <v>27464966000</v>
      </c>
      <c r="L56" s="713" t="n">
        <v>4334484000</v>
      </c>
      <c r="M56" s="749" t="n">
        <v>62476959000</v>
      </c>
    </row>
    <row r="57" customFormat="1" s="34">
      <c r="A57" s="719" t="inlineStr">
        <is>
          <t>부채비율</t>
        </is>
      </c>
      <c r="B57" s="47" t="n">
        <v>0.07580000000000001</v>
      </c>
      <c r="C57" s="47" t="n">
        <v>0.6233</v>
      </c>
      <c r="D57" s="40" t="n">
        <v>0.3237</v>
      </c>
      <c r="E57" s="40" t="n">
        <v>0.6242</v>
      </c>
      <c r="F57" s="40" t="n">
        <v>0.1876</v>
      </c>
      <c r="G57" s="40" t="n">
        <v>0.2271</v>
      </c>
      <c r="H57" s="40" t="n">
        <v>0.092</v>
      </c>
      <c r="I57" s="40" t="n">
        <v>0.3917</v>
      </c>
      <c r="J57" s="40" t="n">
        <v>1.1197</v>
      </c>
      <c r="K57" s="2" t="n">
        <v>0.3707</v>
      </c>
      <c r="L57" s="35" t="n">
        <v>0.2872</v>
      </c>
      <c r="M57" s="286" t="n">
        <v>1.5436</v>
      </c>
      <c r="N57" s="750" t="n"/>
    </row>
    <row r="58" customFormat="1" s="718">
      <c r="A58" s="719" t="inlineStr">
        <is>
          <t>유동비율</t>
        </is>
      </c>
      <c r="B58" s="47" t="n">
        <v>14.1798</v>
      </c>
      <c r="C58" s="47" t="n">
        <v>1.9376</v>
      </c>
      <c r="D58" s="40" t="n">
        <v>3.5099</v>
      </c>
      <c r="E58" s="40" t="n">
        <v>2.2657</v>
      </c>
      <c r="F58" s="40" t="n">
        <v>29.9908</v>
      </c>
      <c r="G58" s="40" t="n">
        <v>6.1533</v>
      </c>
      <c r="H58" s="40" t="n">
        <v>5.9072</v>
      </c>
      <c r="I58" s="40" t="n">
        <v>2.9691</v>
      </c>
      <c r="J58" s="40" t="n">
        <v>1.7957</v>
      </c>
      <c r="K58" s="2" t="n">
        <v>2.4676</v>
      </c>
      <c r="L58" s="35" t="n">
        <v>5.0943</v>
      </c>
      <c r="M58" s="286" t="n">
        <v>1.6404</v>
      </c>
    </row>
    <row r="59" ht="21" customFormat="1" customHeight="1" s="718">
      <c r="A59" s="720" t="inlineStr">
        <is>
          <t>영업기간
공사업등록일</t>
        </is>
      </c>
      <c r="B59" s="11" t="inlineStr">
        <is>
          <t>2015.06.04</t>
        </is>
      </c>
      <c r="C59" s="11" t="inlineStr">
        <is>
          <t>2004.02.12</t>
        </is>
      </c>
      <c r="D59" s="41" t="inlineStr">
        <is>
          <t>2000.10.27</t>
        </is>
      </c>
      <c r="E59" s="40" t="inlineStr">
        <is>
          <t>10년이상%</t>
        </is>
      </c>
      <c r="F59" s="40" t="inlineStr">
        <is>
          <t>10년이상%</t>
        </is>
      </c>
      <c r="G59" s="40" t="inlineStr">
        <is>
          <t>10년이상%</t>
        </is>
      </c>
      <c r="H59" s="40" t="inlineStr">
        <is>
          <t>10년이상%</t>
        </is>
      </c>
      <c r="I59" s="40" t="inlineStr">
        <is>
          <t>10년이상%</t>
        </is>
      </c>
      <c r="J59" s="40" t="inlineStr">
        <is>
          <t>10년이상%</t>
        </is>
      </c>
      <c r="K59" s="2" t="inlineStr">
        <is>
          <t>1997.03.04</t>
        </is>
      </c>
      <c r="L59" s="76" t="inlineStr">
        <is>
          <t>2003.04.18</t>
        </is>
      </c>
      <c r="M59" s="294" t="inlineStr">
        <is>
          <t>2010.08.16</t>
        </is>
      </c>
    </row>
    <row r="60" ht="22.5" customFormat="1" customHeight="1" s="718">
      <c r="A60" s="69" t="inlineStr">
        <is>
          <t>신용평가</t>
        </is>
      </c>
      <c r="B60" s="37" t="n"/>
      <c r="C60" s="37" t="n"/>
      <c r="D60" s="50" t="inlineStr">
        <is>
          <t>BBBO</t>
        </is>
      </c>
      <c r="E60" s="154" t="inlineStr">
        <is>
          <t>A+
(11.05.11~13.05.10)</t>
        </is>
      </c>
      <c r="F60" s="40" t="n"/>
      <c r="G60" s="40" t="n"/>
      <c r="H60" s="723" t="n"/>
      <c r="I60" s="419" t="inlineStr">
        <is>
          <t>A-
(25.06.24~26.06.23)</t>
        </is>
      </c>
      <c r="J60" s="722" t="inlineStr">
        <is>
          <t>AA-
(13.04.16~14.04.15)</t>
        </is>
      </c>
      <c r="K60" s="49" t="n"/>
      <c r="L60" s="153" t="inlineStr">
        <is>
          <t>BB-
(22.05.16~23.05.15)</t>
        </is>
      </c>
      <c r="M60" s="724" t="inlineStr">
        <is>
          <t>A+
(25.04.07~26.04.06)</t>
        </is>
      </c>
    </row>
    <row r="61" customFormat="1" s="718">
      <c r="A61" s="71" t="inlineStr">
        <is>
          <t>여성기업</t>
        </is>
      </c>
      <c r="B61" s="37" t="n"/>
      <c r="C61" s="37" t="n"/>
      <c r="D61" s="50" t="n"/>
      <c r="E61" s="38" t="n"/>
      <c r="F61" s="40" t="n"/>
      <c r="G61" s="40" t="n"/>
      <c r="H61" s="723" t="n"/>
      <c r="I61" s="51" t="n"/>
      <c r="J61" s="723" t="n"/>
      <c r="K61" s="54" t="n"/>
      <c r="L61" s="49" t="n"/>
      <c r="M61" s="295" t="n"/>
    </row>
    <row r="62" customFormat="1" s="718">
      <c r="A62" s="71" t="inlineStr">
        <is>
          <t>중소기업</t>
        </is>
      </c>
      <c r="B62" s="37" t="n"/>
      <c r="C62" s="37" t="n"/>
      <c r="D62" s="50" t="n"/>
      <c r="E62" s="38" t="n"/>
      <c r="F62" s="40" t="n"/>
      <c r="G62" s="40" t="n"/>
      <c r="H62" s="723" t="n"/>
      <c r="I62" s="51" t="n"/>
      <c r="J62" s="723" t="n"/>
      <c r="K62" s="54" t="n"/>
      <c r="L62" s="49" t="n"/>
      <c r="M62" s="295" t="n"/>
    </row>
    <row r="63" customFormat="1" s="718">
      <c r="A63" s="72" t="inlineStr">
        <is>
          <t>일자리창출실적</t>
        </is>
      </c>
      <c r="B63" s="37" t="n"/>
      <c r="C63" s="37" t="n"/>
      <c r="D63" s="50" t="n"/>
      <c r="E63" s="38" t="n"/>
      <c r="F63" s="40" t="n"/>
      <c r="G63" s="40" t="n"/>
      <c r="H63" s="723" t="n"/>
      <c r="I63" s="51" t="n"/>
      <c r="J63" s="723" t="n"/>
      <c r="K63" s="54" t="n"/>
      <c r="L63" s="49" t="n"/>
      <c r="M63" s="295" t="n"/>
    </row>
    <row r="64" customFormat="1" s="718">
      <c r="A64" s="72" t="inlineStr">
        <is>
          <t>시공품질평가</t>
        </is>
      </c>
      <c r="B64" s="37" t="n"/>
      <c r="C64" s="37" t="n"/>
      <c r="D64" s="50" t="n"/>
      <c r="E64" s="38" t="n"/>
      <c r="F64" s="40" t="n"/>
      <c r="G64" s="40" t="n"/>
      <c r="H64" s="723" t="n"/>
      <c r="I64" s="51" t="n"/>
      <c r="J64" s="723" t="n"/>
      <c r="K64" s="54" t="n"/>
      <c r="L64" s="49" t="n"/>
      <c r="M64" s="295" t="inlineStr">
        <is>
          <t>없음 (25.05.01)</t>
        </is>
      </c>
    </row>
    <row r="65" customFormat="1" s="28">
      <c r="A65" s="69" t="inlineStr">
        <is>
          <t>비 고</t>
        </is>
      </c>
      <c r="B65" s="716" t="n"/>
      <c r="C65" s="716" t="n"/>
      <c r="D65" s="38" t="inlineStr">
        <is>
          <t>김장섭</t>
        </is>
      </c>
      <c r="E65" s="38" t="n"/>
      <c r="F65" s="43" t="inlineStr">
        <is>
          <t>조동규</t>
        </is>
      </c>
      <c r="G65" s="43" t="inlineStr">
        <is>
          <t>김영택사장</t>
        </is>
      </c>
      <c r="H65" s="748" t="inlineStr">
        <is>
          <t>주영중</t>
        </is>
      </c>
      <c r="I65" s="51" t="n"/>
      <c r="J65" s="38" t="n"/>
      <c r="K65" s="9" t="n"/>
      <c r="L65" s="31" t="inlineStr">
        <is>
          <t>김장섭</t>
        </is>
      </c>
      <c r="M65" s="292" t="inlineStr">
        <is>
          <t>이동훈</t>
        </is>
      </c>
    </row>
    <row r="66" ht="26.1" customFormat="1" customHeight="1" s="30">
      <c r="A66" s="455" t="inlineStr">
        <is>
          <t>회사명</t>
        </is>
      </c>
      <c r="B66" s="455" t="inlineStr">
        <is>
          <t>우선이엔씨㈜</t>
        </is>
      </c>
      <c r="C66" s="455" t="inlineStr">
        <is>
          <t>에스지씨이앤씨㈜</t>
        </is>
      </c>
      <c r="D66" s="455" t="inlineStr">
        <is>
          <t>아이크래프트㈜</t>
        </is>
      </c>
      <c r="E66" s="455" t="inlineStr">
        <is>
          <t>우성전기통신</t>
        </is>
      </c>
      <c r="F66" s="455" t="inlineStr">
        <is>
          <t>원진전력㈜</t>
        </is>
      </c>
      <c r="G66" s="455" t="inlineStr">
        <is>
          <t>㈜완일이씨에스</t>
        </is>
      </c>
      <c r="H66" s="455" t="inlineStr">
        <is>
          <t>양지전기㈜</t>
        </is>
      </c>
      <c r="I66" s="455" t="inlineStr">
        <is>
          <t>㈜우리피앤에스</t>
        </is>
      </c>
      <c r="J66" s="455" t="inlineStr">
        <is>
          <t>(주)용상전기통신</t>
        </is>
      </c>
      <c r="K66" s="455" t="inlineStr">
        <is>
          <t>우광기전㈜</t>
        </is>
      </c>
      <c r="L66" s="455" t="inlineStr">
        <is>
          <t>㈜엠프론티어</t>
        </is>
      </c>
      <c r="M66" s="455" t="inlineStr">
        <is>
          <t>오티씨테크놀로지㈜</t>
        </is>
      </c>
    </row>
    <row r="67" customFormat="1" s="28">
      <c r="A67" s="69" t="inlineStr">
        <is>
          <t>대표자</t>
        </is>
      </c>
      <c r="B67" s="1" t="inlineStr">
        <is>
          <t>김광수</t>
        </is>
      </c>
      <c r="C67" s="185" t="inlineStr">
        <is>
          <t>이창모</t>
        </is>
      </c>
      <c r="D67" s="1" t="inlineStr">
        <is>
          <t>박우진</t>
        </is>
      </c>
      <c r="E67" s="31" t="inlineStr">
        <is>
          <t>박노선</t>
        </is>
      </c>
      <c r="F67" s="1" t="inlineStr">
        <is>
          <t>이희동</t>
        </is>
      </c>
      <c r="G67" s="9" t="inlineStr">
        <is>
          <t>김경창</t>
        </is>
      </c>
      <c r="H67" s="94" t="inlineStr">
        <is>
          <t>박승연</t>
        </is>
      </c>
      <c r="I67" s="9" t="inlineStr">
        <is>
          <t>신현석</t>
        </is>
      </c>
      <c r="J67" s="38" t="inlineStr">
        <is>
          <t>권혁기</t>
        </is>
      </c>
      <c r="K67" s="38" t="inlineStr">
        <is>
          <t>이기진</t>
        </is>
      </c>
      <c r="L67" s="38" t="inlineStr">
        <is>
          <t>안재환</t>
        </is>
      </c>
      <c r="M67" s="38" t="inlineStr">
        <is>
          <t>김희언</t>
        </is>
      </c>
    </row>
    <row r="68" customFormat="1" s="28">
      <c r="A68" s="70" t="inlineStr">
        <is>
          <t>사업자번호</t>
        </is>
      </c>
      <c r="B68" s="1" t="inlineStr">
        <is>
          <t>219-81-28106</t>
        </is>
      </c>
      <c r="C68" s="186" t="inlineStr">
        <is>
          <t>214-81-89369</t>
        </is>
      </c>
      <c r="D68" s="1" t="inlineStr">
        <is>
          <t>220-81-75308</t>
        </is>
      </c>
      <c r="E68" s="31" t="inlineStr">
        <is>
          <t>229-01-62579</t>
        </is>
      </c>
      <c r="F68" s="1" t="inlineStr">
        <is>
          <t>201-86-14794</t>
        </is>
      </c>
      <c r="G68" s="9" t="inlineStr">
        <is>
          <t>109-86-03593</t>
        </is>
      </c>
      <c r="H68" s="94" t="inlineStr">
        <is>
          <t>220-88-69047</t>
        </is>
      </c>
      <c r="I68" s="9" t="inlineStr">
        <is>
          <t>218-81-00686</t>
        </is>
      </c>
      <c r="J68" s="38" t="inlineStr">
        <is>
          <t>113-81-75669</t>
        </is>
      </c>
      <c r="K68" s="38" t="inlineStr">
        <is>
          <t>119-81-18405</t>
        </is>
      </c>
      <c r="L68" s="38" t="inlineStr">
        <is>
          <t>120-86-11708</t>
        </is>
      </c>
      <c r="M68" s="38" t="inlineStr">
        <is>
          <t>215-81-33077</t>
        </is>
      </c>
    </row>
    <row r="69" ht="11.25" customFormat="1" customHeight="1" s="29">
      <c r="A69" s="70" t="inlineStr">
        <is>
          <t>지역</t>
        </is>
      </c>
      <c r="B69" s="1" t="inlineStr">
        <is>
          <t>서울시 송파구</t>
        </is>
      </c>
      <c r="C69" s="187" t="inlineStr">
        <is>
          <t>서울시 서초구</t>
        </is>
      </c>
      <c r="D69" s="1" t="inlineStr">
        <is>
          <t>서울시 강남구</t>
        </is>
      </c>
      <c r="E69" s="1" t="inlineStr">
        <is>
          <t>서울시 서초구</t>
        </is>
      </c>
      <c r="F69" s="1" t="inlineStr">
        <is>
          <t>서울시 중구</t>
        </is>
      </c>
      <c r="G69" s="9" t="inlineStr">
        <is>
          <t>서울시 강서구</t>
        </is>
      </c>
      <c r="H69" s="93" t="inlineStr">
        <is>
          <t>서울시 강남구</t>
        </is>
      </c>
      <c r="I69" s="9" t="inlineStr">
        <is>
          <t>서울시 성동구</t>
        </is>
      </c>
      <c r="J69" s="38" t="inlineStr">
        <is>
          <t>서울시 구로구</t>
        </is>
      </c>
      <c r="K69" s="38" t="inlineStr">
        <is>
          <t>서울시 강남구</t>
        </is>
      </c>
      <c r="L69" s="38" t="inlineStr">
        <is>
          <t>서울 강남</t>
        </is>
      </c>
      <c r="M69" s="38" t="inlineStr">
        <is>
          <t>서울 강남</t>
        </is>
      </c>
    </row>
    <row r="70" ht="11.25" customFormat="1" customHeight="1" s="29">
      <c r="A70" s="69" t="inlineStr">
        <is>
          <t>통신시공능력</t>
        </is>
      </c>
      <c r="B70" s="713" t="n">
        <v>2471400000</v>
      </c>
      <c r="C70" s="751" t="n">
        <v>2847600000</v>
      </c>
      <c r="D70" s="713" t="n">
        <v>17589900000</v>
      </c>
      <c r="E70" s="713" t="n">
        <v>1857800000</v>
      </c>
      <c r="F70" s="713" t="n">
        <v>1418800000</v>
      </c>
      <c r="G70" s="752" t="n">
        <v>7990800000</v>
      </c>
      <c r="H70" s="753" t="n">
        <v>1640300000</v>
      </c>
      <c r="I70" s="754" t="n">
        <v>9933600000</v>
      </c>
      <c r="J70" s="716" t="n">
        <v>6973700000</v>
      </c>
      <c r="K70" s="716" t="n">
        <v>2564400000</v>
      </c>
      <c r="L70" s="716" t="n">
        <v>11308400000</v>
      </c>
      <c r="M70" s="716" t="n">
        <v>48613400000</v>
      </c>
    </row>
    <row r="71" ht="11.25" customFormat="1" customHeight="1" s="29">
      <c r="A71" s="69" t="inlineStr">
        <is>
          <t>3년간 실적액</t>
        </is>
      </c>
      <c r="B71" s="755" t="n">
        <v>3538049000</v>
      </c>
      <c r="C71" s="751" t="n">
        <v>4228624000</v>
      </c>
      <c r="D71" s="713" t="n">
        <v>25269305000</v>
      </c>
      <c r="E71" s="713" t="n">
        <v>1338017000</v>
      </c>
      <c r="F71" s="713" t="n">
        <v>1049960000</v>
      </c>
      <c r="G71" s="756" t="n">
        <v>11027286000</v>
      </c>
      <c r="H71" s="753" t="n">
        <v>1285962000</v>
      </c>
      <c r="I71" s="754" t="n">
        <v>13367480000</v>
      </c>
      <c r="J71" s="733" t="n">
        <v>8078919000</v>
      </c>
      <c r="K71" s="733" t="n">
        <v>3824202000</v>
      </c>
      <c r="L71" s="733" t="n">
        <v>19154419000</v>
      </c>
      <c r="M71" s="733" t="n">
        <v>86655920000</v>
      </c>
    </row>
    <row r="72" ht="11.25" customFormat="1" customHeight="1" s="29">
      <c r="A72" s="69" t="inlineStr">
        <is>
          <t>5년간 실적액</t>
        </is>
      </c>
      <c r="B72" s="757" t="n">
        <v>6031544000</v>
      </c>
      <c r="C72" s="751" t="n">
        <v>7891990000</v>
      </c>
      <c r="D72" s="713" t="n">
        <v>37358285000</v>
      </c>
      <c r="E72" s="713" t="n">
        <v>2603010000</v>
      </c>
      <c r="F72" s="713" t="n">
        <v>1058342000</v>
      </c>
      <c r="G72" s="758" t="n">
        <v>16462047000</v>
      </c>
      <c r="H72" s="753" t="n">
        <v>3473813000</v>
      </c>
      <c r="I72" s="754" t="n">
        <v>15689296000</v>
      </c>
      <c r="J72" s="748" t="n">
        <v>9556934000</v>
      </c>
      <c r="K72" s="748" t="n">
        <v>5849414000</v>
      </c>
      <c r="L72" s="748" t="n">
        <v>19154419000</v>
      </c>
      <c r="M72" s="748" t="n">
        <v>127215639000</v>
      </c>
    </row>
    <row r="73" customFormat="1" s="34">
      <c r="A73" s="719" t="inlineStr">
        <is>
          <t>부채비율</t>
        </is>
      </c>
      <c r="B73" s="2" t="n">
        <v>0.6877</v>
      </c>
      <c r="C73" s="188" t="n">
        <v>2.1689</v>
      </c>
      <c r="D73" s="66" t="n">
        <v>0.9185</v>
      </c>
      <c r="E73" s="35" t="n">
        <v>0.6367</v>
      </c>
      <c r="F73" s="77" t="n">
        <v>0.6923</v>
      </c>
      <c r="G73" s="10" t="n">
        <v>0.3679</v>
      </c>
      <c r="H73" s="96" t="n">
        <v>0.4501</v>
      </c>
      <c r="I73" s="10" t="n">
        <v>0.5635</v>
      </c>
      <c r="J73" s="40" t="n">
        <v>0.0284</v>
      </c>
      <c r="K73" s="40" t="n">
        <v>0.7089</v>
      </c>
      <c r="L73" s="48" t="n">
        <v>1.3694</v>
      </c>
      <c r="M73" s="40" t="n">
        <v>0.1771</v>
      </c>
      <c r="N73" s="750" t="n"/>
    </row>
    <row r="74" customFormat="1" s="718">
      <c r="A74" s="719" t="inlineStr">
        <is>
          <t>유동비율</t>
        </is>
      </c>
      <c r="B74" s="35" t="n">
        <v>3.4159</v>
      </c>
      <c r="C74" s="188" t="n">
        <v>1.137</v>
      </c>
      <c r="D74" s="66" t="n">
        <v>1.8496</v>
      </c>
      <c r="E74" s="35" t="n">
        <v>3.4908</v>
      </c>
      <c r="F74" s="77" t="n">
        <v>12.6713</v>
      </c>
      <c r="G74" s="10" t="n">
        <v>2.6383</v>
      </c>
      <c r="H74" s="96" t="n">
        <v>5.9242</v>
      </c>
      <c r="I74" s="48" t="n">
        <v>1.5243</v>
      </c>
      <c r="J74" s="40" t="n">
        <v>29.582</v>
      </c>
      <c r="K74" s="40" t="n">
        <v>2.0647</v>
      </c>
      <c r="L74" s="48" t="n">
        <v>1.7398</v>
      </c>
      <c r="M74" s="40" t="n">
        <v>5.0012</v>
      </c>
    </row>
    <row r="75" ht="21" customFormat="1" customHeight="1" s="718">
      <c r="A75" s="720" t="inlineStr">
        <is>
          <t>영업기간
공사업등록일</t>
        </is>
      </c>
      <c r="B75" s="67" t="inlineStr">
        <is>
          <t>1999.12.03</t>
        </is>
      </c>
      <c r="C75" s="189" t="inlineStr">
        <is>
          <t>2010.12.06</t>
        </is>
      </c>
      <c r="D75" s="2" t="inlineStr">
        <is>
          <t>2001.06.01</t>
        </is>
      </c>
      <c r="E75" s="2" t="inlineStr">
        <is>
          <t>1993.11.18</t>
        </is>
      </c>
      <c r="F75" s="67" t="inlineStr">
        <is>
          <t>2012.07.04</t>
        </is>
      </c>
      <c r="G75" s="11" t="inlineStr">
        <is>
          <t>2012.03.05</t>
        </is>
      </c>
      <c r="H75" s="101" t="inlineStr">
        <is>
          <t>2000.11.27</t>
        </is>
      </c>
      <c r="I75" s="11" t="inlineStr">
        <is>
          <t>2007.10.23</t>
        </is>
      </c>
      <c r="J75" s="41" t="inlineStr">
        <is>
          <t>2008.03.24</t>
        </is>
      </c>
      <c r="K75" s="41" t="inlineStr">
        <is>
          <t>2006.03.24</t>
        </is>
      </c>
      <c r="L75" s="41" t="inlineStr">
        <is>
          <t>2008.06.24</t>
        </is>
      </c>
      <c r="M75" s="41" t="inlineStr">
        <is>
          <t>1979.10.13</t>
        </is>
      </c>
    </row>
    <row r="76" ht="22.5" customFormat="1" customHeight="1" s="718">
      <c r="A76" s="69" t="inlineStr">
        <is>
          <t>신용평가</t>
        </is>
      </c>
      <c r="B76" s="725" t="inlineStr">
        <is>
          <t>BBB-
(21.04.15~22.04.14)</t>
        </is>
      </c>
      <c r="C76" s="224" t="inlineStr">
        <is>
          <t>A-
(25.06.20~26.06.19)</t>
        </is>
      </c>
      <c r="D76" s="725" t="inlineStr">
        <is>
          <t>BBB0
(21.03.26~22.03.25)</t>
        </is>
      </c>
      <c r="E76" s="37" t="n"/>
      <c r="F76" s="49" t="n"/>
      <c r="G76" s="725" t="inlineStr">
        <is>
          <t>BBB-
(19.06.21~20.06.20)</t>
        </is>
      </c>
      <c r="H76" s="723" t="n"/>
      <c r="I76" s="155" t="inlineStr">
        <is>
          <t>AA-
(19.06.28~20.06.27)</t>
        </is>
      </c>
      <c r="J76" s="725" t="inlineStr">
        <is>
          <t>BBB-
(18.06.01~19.05.31)</t>
        </is>
      </c>
      <c r="K76" s="154" t="inlineStr">
        <is>
          <t>A-
(17.03.21~18.03.20)</t>
        </is>
      </c>
      <c r="L76" s="156" t="inlineStr">
        <is>
          <t>A+
(16.05.09~17.05.08)</t>
        </is>
      </c>
      <c r="M76" s="723" t="n"/>
    </row>
    <row r="77" customFormat="1" s="718">
      <c r="A77" s="71" t="inlineStr">
        <is>
          <t>여성기업</t>
        </is>
      </c>
      <c r="B77" s="736" t="n"/>
      <c r="C77" s="190" t="n"/>
      <c r="D77" s="37" t="n"/>
      <c r="E77" s="37" t="n"/>
      <c r="F77" s="50" t="n"/>
      <c r="G77" s="736" t="n"/>
      <c r="H77" s="37" t="n"/>
      <c r="I77" s="754" t="n"/>
      <c r="J77" s="736" t="n"/>
      <c r="K77" s="37" t="n"/>
      <c r="L77" s="52" t="n"/>
      <c r="M77" s="723" t="n"/>
    </row>
    <row r="78" customFormat="1" s="718">
      <c r="A78" s="71" t="inlineStr">
        <is>
          <t>중소기업</t>
        </is>
      </c>
      <c r="B78" s="736" t="n"/>
      <c r="C78" s="190" t="n"/>
      <c r="D78" s="37" t="n"/>
      <c r="E78" s="37" t="n"/>
      <c r="F78" s="50" t="n"/>
      <c r="G78" s="736" t="n"/>
      <c r="H78" s="37" t="n"/>
      <c r="I78" s="754" t="n"/>
      <c r="J78" s="736" t="n"/>
      <c r="K78" s="37" t="n"/>
      <c r="L78" s="52" t="n"/>
      <c r="M78" s="723" t="n"/>
    </row>
    <row r="79" customFormat="1" s="718">
      <c r="A79" s="72" t="inlineStr">
        <is>
          <t>일자리창출실적</t>
        </is>
      </c>
      <c r="B79" s="736" t="n"/>
      <c r="C79" s="190" t="n"/>
      <c r="D79" s="37" t="n"/>
      <c r="E79" s="37" t="n"/>
      <c r="F79" s="50" t="n"/>
      <c r="G79" s="736" t="n"/>
      <c r="H79" s="37" t="n"/>
      <c r="I79" s="754" t="n"/>
      <c r="J79" s="736" t="n"/>
      <c r="K79" s="37" t="n"/>
      <c r="L79" s="52" t="n"/>
      <c r="M79" s="723" t="n"/>
    </row>
    <row r="80" customFormat="1" s="718">
      <c r="A80" s="72" t="inlineStr">
        <is>
          <t>시공품질평가</t>
        </is>
      </c>
      <c r="B80" s="736" t="n"/>
      <c r="C80" s="190" t="inlineStr">
        <is>
          <t>없음 (24.05.01)</t>
        </is>
      </c>
      <c r="D80" s="37" t="n"/>
      <c r="E80" s="37" t="n"/>
      <c r="F80" s="50" t="n"/>
      <c r="G80" s="736" t="n"/>
      <c r="H80" s="754" t="n"/>
      <c r="I80" s="754" t="n"/>
      <c r="J80" s="736" t="n"/>
      <c r="K80" s="37" t="n"/>
      <c r="L80" s="52" t="n"/>
      <c r="M80" s="723" t="n"/>
    </row>
    <row r="81" ht="22.5" customFormat="1" customHeight="1" s="28">
      <c r="A81" s="69" t="inlineStr">
        <is>
          <t>비 고</t>
        </is>
      </c>
      <c r="B81" s="730" t="inlineStr">
        <is>
          <t>김장섭</t>
        </is>
      </c>
      <c r="C81" s="191" t="inlineStr">
        <is>
          <t>고2,중2,초7,기2
(23.01.09)</t>
        </is>
      </c>
      <c r="D81" s="1" t="inlineStr">
        <is>
          <t>송동은</t>
        </is>
      </c>
      <c r="E81" s="1" t="inlineStr">
        <is>
          <t>윤명숙</t>
        </is>
      </c>
      <c r="F81" s="730" t="inlineStr">
        <is>
          <t>이동훈</t>
        </is>
      </c>
      <c r="G81" s="758" t="inlineStr">
        <is>
          <t>보원 이재웅대리</t>
        </is>
      </c>
      <c r="H81" s="94" t="inlineStr">
        <is>
          <t>윤명숙</t>
        </is>
      </c>
      <c r="I81" s="759" t="inlineStr">
        <is>
          <t>윤한봉
특2,고2(20.01.13)</t>
        </is>
      </c>
      <c r="J81" s="748" t="inlineStr">
        <is>
          <t>김장섭</t>
        </is>
      </c>
      <c r="K81" s="42" t="n"/>
      <c r="L81" s="748" t="inlineStr">
        <is>
          <t>윤한봉</t>
        </is>
      </c>
      <c r="M81" s="748" t="inlineStr">
        <is>
          <t>구본진</t>
        </is>
      </c>
    </row>
    <row r="82" ht="26.1" customHeight="1" s="16">
      <c r="A82" s="455" t="inlineStr">
        <is>
          <t>회사명</t>
        </is>
      </c>
      <c r="B82" s="455" t="inlineStr">
        <is>
          <t>㈜에이디티캡스</t>
        </is>
      </c>
      <c r="C82" s="455" t="inlineStr">
        <is>
          <t>오리엔트정보통신㈜</t>
        </is>
      </c>
      <c r="D82" s="455" t="inlineStr">
        <is>
          <t>우민전기㈜</t>
        </is>
      </c>
      <c r="E82" s="455" t="inlineStr">
        <is>
          <t>에이스건설㈜</t>
        </is>
      </c>
      <c r="F82" s="455" t="inlineStr">
        <is>
          <t>에스케이텔레콤㈜</t>
        </is>
      </c>
      <c r="G82" s="455" t="inlineStr">
        <is>
          <t>유니넷텍㈜</t>
        </is>
      </c>
      <c r="H82" s="455" t="inlineStr">
        <is>
          <t>제일정보건설㈜</t>
        </is>
      </c>
      <c r="I82" s="455" t="inlineStr">
        <is>
          <t>진솔이앤에스㈜</t>
        </is>
      </c>
      <c r="J82" s="455" t="inlineStr">
        <is>
          <t>㈜진두아이에스</t>
        </is>
      </c>
      <c r="K82" s="455" t="inlineStr">
        <is>
          <t>정안전기㈜</t>
        </is>
      </c>
      <c r="L82" s="455" t="inlineStr">
        <is>
          <t>제이케이앤티
텔레콤㈜</t>
        </is>
      </c>
      <c r="M82" s="455" t="inlineStr">
        <is>
          <t>㈜지오</t>
        </is>
      </c>
    </row>
    <row r="83">
      <c r="A83" s="69" t="inlineStr">
        <is>
          <t>대표자</t>
        </is>
      </c>
      <c r="B83" s="38" t="inlineStr">
        <is>
          <t>브래들리 캔드 벅 월터</t>
        </is>
      </c>
      <c r="C83" s="38" t="inlineStr">
        <is>
          <t>이경미</t>
        </is>
      </c>
      <c r="D83" s="94" t="inlineStr">
        <is>
          <t>이학표</t>
        </is>
      </c>
      <c r="E83" s="716" t="inlineStr">
        <is>
          <t>김호영</t>
        </is>
      </c>
      <c r="F83" s="31" t="inlineStr">
        <is>
          <t>하성민</t>
        </is>
      </c>
      <c r="G83" s="32" t="inlineStr">
        <is>
          <t>김한호</t>
        </is>
      </c>
      <c r="H83" s="1" t="inlineStr">
        <is>
          <t>김진철</t>
        </is>
      </c>
      <c r="I83" s="31" t="inlineStr">
        <is>
          <t>김정현</t>
        </is>
      </c>
      <c r="J83" s="38" t="inlineStr">
        <is>
          <t>손관헌</t>
        </is>
      </c>
      <c r="K83" s="38" t="inlineStr">
        <is>
          <t>이학용</t>
        </is>
      </c>
      <c r="L83" s="38" t="inlineStr">
        <is>
          <t>전찬화</t>
        </is>
      </c>
      <c r="M83" s="38" t="inlineStr">
        <is>
          <t>오광연</t>
        </is>
      </c>
    </row>
    <row r="84">
      <c r="A84" s="70" t="inlineStr">
        <is>
          <t>사업자번호</t>
        </is>
      </c>
      <c r="B84" s="38" t="inlineStr">
        <is>
          <t>205-81-21711</t>
        </is>
      </c>
      <c r="C84" s="38" t="inlineStr">
        <is>
          <t>111-81-84994</t>
        </is>
      </c>
      <c r="D84" s="94" t="inlineStr">
        <is>
          <t>214-81-88924</t>
        </is>
      </c>
      <c r="E84" s="45" t="inlineStr">
        <is>
          <t>109-81-43173</t>
        </is>
      </c>
      <c r="F84" s="31" t="inlineStr">
        <is>
          <t>104-81-37225</t>
        </is>
      </c>
      <c r="G84" s="31" t="inlineStr">
        <is>
          <t>215-86-03049</t>
        </is>
      </c>
      <c r="H84" s="1" t="inlineStr">
        <is>
          <t xml:space="preserve">116-81-44224 </t>
        </is>
      </c>
      <c r="I84" s="31" t="inlineStr">
        <is>
          <t>119-86-58528</t>
        </is>
      </c>
      <c r="J84" s="44" t="inlineStr">
        <is>
          <t>105-86-47212</t>
        </is>
      </c>
      <c r="K84" s="38" t="inlineStr">
        <is>
          <t>220-81-10402</t>
        </is>
      </c>
      <c r="L84" s="38" t="inlineStr">
        <is>
          <t>119-81-65586</t>
        </is>
      </c>
      <c r="M84" s="38" t="inlineStr">
        <is>
          <t>114-81-89360</t>
        </is>
      </c>
    </row>
    <row r="85">
      <c r="A85" s="70" t="inlineStr">
        <is>
          <t>지역</t>
        </is>
      </c>
      <c r="B85" s="38" t="inlineStr">
        <is>
          <t>서울</t>
        </is>
      </c>
      <c r="C85" s="38" t="inlineStr">
        <is>
          <t>서울 금천</t>
        </is>
      </c>
      <c r="D85" s="94" t="inlineStr">
        <is>
          <t>서울 서초구</t>
        </is>
      </c>
      <c r="E85" s="716" t="inlineStr">
        <is>
          <t>서울 영등포구</t>
        </is>
      </c>
      <c r="F85" s="31" t="inlineStr">
        <is>
          <t>서울</t>
        </is>
      </c>
      <c r="G85" s="31" t="inlineStr">
        <is>
          <t>서울 중랑구</t>
        </is>
      </c>
      <c r="H85" s="1" t="inlineStr">
        <is>
          <t>서울시 강서구</t>
        </is>
      </c>
      <c r="I85" s="31" t="inlineStr">
        <is>
          <t>서울시 금천구</t>
        </is>
      </c>
      <c r="J85" s="53" t="inlineStr">
        <is>
          <t>서울시 금천구</t>
        </is>
      </c>
      <c r="K85" s="38" t="inlineStr">
        <is>
          <t>서울 강남</t>
        </is>
      </c>
      <c r="L85" s="38" t="inlineStr">
        <is>
          <t>서울</t>
        </is>
      </c>
      <c r="M85" s="38" t="inlineStr">
        <is>
          <t>서울</t>
        </is>
      </c>
    </row>
    <row r="86">
      <c r="A86" s="69" t="inlineStr">
        <is>
          <t>통신시공능력</t>
        </is>
      </c>
      <c r="B86" s="716" t="n">
        <v>35592400000</v>
      </c>
      <c r="C86" s="716" t="n">
        <v>21808800000</v>
      </c>
      <c r="D86" s="760" t="n">
        <v>15880100000</v>
      </c>
      <c r="E86" s="716" t="n">
        <v>22504700000</v>
      </c>
      <c r="F86" s="755" t="n">
        <v>31108100000</v>
      </c>
      <c r="G86" s="713" t="n">
        <v>7330600000</v>
      </c>
      <c r="H86" s="713" t="n">
        <v>7346600000</v>
      </c>
      <c r="I86" s="713" t="n">
        <v>1392800000</v>
      </c>
      <c r="J86" s="761" t="n">
        <v>17388900000</v>
      </c>
      <c r="K86" s="716" t="n">
        <v>1905300000</v>
      </c>
      <c r="L86" s="716" t="n">
        <v>15279600000</v>
      </c>
      <c r="M86" s="716" t="n">
        <v>10338100000</v>
      </c>
    </row>
    <row r="87">
      <c r="A87" s="69" t="inlineStr">
        <is>
          <t>3년간 실적액</t>
        </is>
      </c>
      <c r="B87" s="716" t="n">
        <v>64533530000</v>
      </c>
      <c r="C87" s="716" t="n">
        <v>36385800000</v>
      </c>
      <c r="D87" s="760" t="n">
        <v>24870405000</v>
      </c>
      <c r="E87" s="716">
        <f>11971850000+16154095000+16775959000</f>
        <v/>
      </c>
      <c r="F87" s="755" t="n">
        <v>59443808000</v>
      </c>
      <c r="G87" s="713" t="n">
        <v>6876307000</v>
      </c>
      <c r="H87" s="713" t="n">
        <v>8108692000</v>
      </c>
      <c r="I87" s="713" t="n">
        <v>943271000</v>
      </c>
      <c r="J87" s="761" t="n">
        <v>29571521000</v>
      </c>
      <c r="K87" s="716" t="n">
        <v>2507560000</v>
      </c>
      <c r="L87" s="716" t="n">
        <v>24169204000</v>
      </c>
      <c r="M87" s="716" t="n">
        <v>14365687000</v>
      </c>
    </row>
    <row r="88">
      <c r="A88" s="69" t="inlineStr">
        <is>
          <t>5년간 실적액</t>
        </is>
      </c>
      <c r="B88" s="716" t="n">
        <v>69237775000</v>
      </c>
      <c r="C88" s="716" t="n">
        <v>66069334000</v>
      </c>
      <c r="D88" s="760" t="n">
        <v>47286074000</v>
      </c>
      <c r="E88" s="716">
        <f>E87+5894534000+2918710000</f>
        <v/>
      </c>
      <c r="F88" s="755" t="n">
        <v>124371033000</v>
      </c>
      <c r="G88" s="713" t="n">
        <v>16224812000</v>
      </c>
      <c r="H88" s="713" t="n">
        <v>11925230000</v>
      </c>
      <c r="I88" s="713" t="n">
        <v>4022248000</v>
      </c>
      <c r="J88" s="761" t="n">
        <v>51396165000</v>
      </c>
      <c r="K88" s="716" t="n">
        <v>4605866000</v>
      </c>
      <c r="L88" s="716" t="n">
        <v>32715367000</v>
      </c>
      <c r="M88" s="716" t="n">
        <v>23044975000</v>
      </c>
    </row>
    <row r="89">
      <c r="A89" s="719" t="inlineStr">
        <is>
          <t>부채비율</t>
        </is>
      </c>
      <c r="B89" s="40" t="n">
        <v>0.6647999999999999</v>
      </c>
      <c r="C89" s="40" t="n">
        <v>0.1226</v>
      </c>
      <c r="D89" s="96" t="n">
        <v>0.5406</v>
      </c>
      <c r="E89" s="40" t="n">
        <v>0.7033</v>
      </c>
      <c r="F89" s="35" t="n">
        <v>0.7976</v>
      </c>
      <c r="G89" s="35" t="n">
        <v>0.2445</v>
      </c>
      <c r="H89" s="35" t="n">
        <v>0.0893</v>
      </c>
      <c r="I89" s="35" t="n">
        <v>0.3994</v>
      </c>
      <c r="J89" s="48" t="n">
        <v>2.1961</v>
      </c>
      <c r="K89" s="40" t="n">
        <v>0.2049</v>
      </c>
      <c r="L89" s="40" t="n">
        <v>0.4729</v>
      </c>
      <c r="M89" s="40" t="n">
        <v>0.4972</v>
      </c>
      <c r="N89" s="750" t="n"/>
    </row>
    <row r="90">
      <c r="A90" s="719" t="inlineStr">
        <is>
          <t>유동비율</t>
        </is>
      </c>
      <c r="B90" s="40" t="n">
        <v>1.6259</v>
      </c>
      <c r="C90" s="40" t="n">
        <v>8.913500000000001</v>
      </c>
      <c r="D90" s="96" t="n">
        <v>3.1446</v>
      </c>
      <c r="E90" s="40" t="n">
        <v>2.8833</v>
      </c>
      <c r="F90" s="35" t="n">
        <v>0.5962</v>
      </c>
      <c r="G90" s="35" t="n">
        <v>4.0247</v>
      </c>
      <c r="H90" s="35" t="n">
        <v>31.112</v>
      </c>
      <c r="I90" s="35" t="n">
        <v>2.8217</v>
      </c>
      <c r="J90" s="48" t="n">
        <v>1.6696</v>
      </c>
      <c r="K90" s="40" t="n">
        <v>6.511</v>
      </c>
      <c r="L90" s="40" t="n">
        <v>2.8639</v>
      </c>
      <c r="M90" s="40" t="n">
        <v>2.1897</v>
      </c>
      <c r="N90" s="750" t="n"/>
    </row>
    <row r="91" ht="21" customHeight="1" s="16">
      <c r="A91" s="720" t="inlineStr">
        <is>
          <t>영업기간
공사업등록일</t>
        </is>
      </c>
      <c r="B91" s="40" t="inlineStr">
        <is>
          <t>3년이상%</t>
        </is>
      </c>
      <c r="C91" s="40" t="inlineStr">
        <is>
          <t>10년이상%</t>
        </is>
      </c>
      <c r="D91" s="101" t="inlineStr">
        <is>
          <t>2001.11.21</t>
        </is>
      </c>
      <c r="E91" s="40" t="inlineStr">
        <is>
          <t>3년이상%</t>
        </is>
      </c>
      <c r="F91" s="35" t="inlineStr">
        <is>
          <t>5년이상%</t>
        </is>
      </c>
      <c r="G91" s="35" t="inlineStr">
        <is>
          <t>10년이상%</t>
        </is>
      </c>
      <c r="H91" s="2" t="inlineStr">
        <is>
          <t>1983.09.27</t>
        </is>
      </c>
      <c r="I91" s="76" t="inlineStr">
        <is>
          <t>2013.01.11</t>
        </is>
      </c>
      <c r="J91" s="11" t="inlineStr">
        <is>
          <t>2004.07.05</t>
        </is>
      </c>
      <c r="K91" s="40" t="inlineStr">
        <is>
          <t>5년이상%</t>
        </is>
      </c>
      <c r="L91" s="40" t="inlineStr">
        <is>
          <t>10년이상%</t>
        </is>
      </c>
      <c r="M91" s="40" t="inlineStr">
        <is>
          <t>10년이상%</t>
        </is>
      </c>
    </row>
    <row r="92" ht="22.5" customHeight="1" s="16">
      <c r="A92" s="69" t="inlineStr">
        <is>
          <t>신용평가</t>
        </is>
      </c>
      <c r="B92" s="156" t="inlineStr">
        <is>
          <t>AA+
(14.01.09~15.01.08)</t>
        </is>
      </c>
      <c r="C92" s="154" t="inlineStr">
        <is>
          <t>BBB0
(14.05.29~15.05.28)</t>
        </is>
      </c>
      <c r="D92" s="725" t="inlineStr">
        <is>
          <t>A-
(24.06.05~25.06.04)</t>
        </is>
      </c>
      <c r="E92" s="154" t="inlineStr">
        <is>
          <t>BBB+
(14.05.09~15.05.08)</t>
        </is>
      </c>
      <c r="F92" s="154" t="inlineStr">
        <is>
          <t>AAA
(13.04.08~14.04.07)</t>
        </is>
      </c>
      <c r="G92" s="102" t="n"/>
      <c r="H92" s="37" t="n"/>
      <c r="I92" s="153" t="inlineStr">
        <is>
          <t>BB+
(18.04.04~19.04.03)</t>
        </is>
      </c>
      <c r="J92" s="725" t="inlineStr">
        <is>
          <t>A-
(17.04.14~18.04.13)</t>
        </is>
      </c>
      <c r="K92" s="154" t="inlineStr">
        <is>
          <t>A-
(15.04.21~16.04.20)</t>
        </is>
      </c>
      <c r="L92" s="156" t="inlineStr">
        <is>
          <t>BB+
(14.07.28~15.04.27)</t>
        </is>
      </c>
      <c r="M92" s="156" t="inlineStr">
        <is>
          <t>BB0
(14.06.26~15.06.25)</t>
        </is>
      </c>
    </row>
    <row r="93">
      <c r="A93" s="71" t="inlineStr">
        <is>
          <t>여성기업</t>
        </is>
      </c>
      <c r="B93" s="52" t="n"/>
      <c r="C93" s="37" t="n"/>
      <c r="D93" s="723" t="n"/>
      <c r="E93" s="37" t="n"/>
      <c r="F93" s="37" t="n"/>
      <c r="G93" s="102" t="n"/>
      <c r="H93" s="37" t="n"/>
      <c r="I93" s="49" t="n"/>
      <c r="J93" s="736" t="n"/>
      <c r="K93" s="37" t="n"/>
      <c r="L93" s="52" t="n"/>
      <c r="M93" s="52" t="n"/>
    </row>
    <row r="94">
      <c r="A94" s="71" t="inlineStr">
        <is>
          <t>중소기업</t>
        </is>
      </c>
      <c r="B94" s="52" t="n"/>
      <c r="C94" s="37" t="n"/>
      <c r="D94" s="723" t="n"/>
      <c r="E94" s="37" t="n"/>
      <c r="F94" s="37" t="n"/>
      <c r="G94" s="102" t="n"/>
      <c r="H94" s="37" t="n"/>
      <c r="I94" s="49" t="n"/>
      <c r="J94" s="736" t="n"/>
      <c r="K94" s="37" t="n"/>
      <c r="L94" s="52" t="n"/>
      <c r="M94" s="52" t="n"/>
    </row>
    <row r="95">
      <c r="A95" s="72" t="inlineStr">
        <is>
          <t>일자리창출실적</t>
        </is>
      </c>
      <c r="B95" s="52" t="n"/>
      <c r="C95" s="37" t="n"/>
      <c r="D95" s="723" t="n"/>
      <c r="E95" s="37" t="n"/>
      <c r="F95" s="37" t="n"/>
      <c r="G95" s="102" t="n"/>
      <c r="H95" s="37" t="n"/>
      <c r="I95" s="49" t="n"/>
      <c r="J95" s="736" t="n"/>
      <c r="K95" s="37" t="n"/>
      <c r="L95" s="52" t="n"/>
      <c r="M95" s="52" t="n"/>
    </row>
    <row r="96">
      <c r="A96" s="72" t="inlineStr">
        <is>
          <t>시공품질평가</t>
        </is>
      </c>
      <c r="B96" s="52" t="n"/>
      <c r="C96" s="37" t="n"/>
      <c r="D96" s="723" t="n"/>
      <c r="E96" s="37" t="n"/>
      <c r="F96" s="37" t="n"/>
      <c r="G96" s="102" t="n"/>
      <c r="H96" s="37" t="n"/>
      <c r="I96" s="49" t="n"/>
      <c r="J96" s="736" t="n"/>
      <c r="K96" s="37" t="n"/>
      <c r="L96" s="52" t="n"/>
      <c r="M96" s="52" t="n"/>
    </row>
    <row r="97">
      <c r="A97" s="69" t="inlineStr">
        <is>
          <t>비 고</t>
        </is>
      </c>
      <c r="B97" s="38" t="n"/>
      <c r="C97" s="43" t="inlineStr">
        <is>
          <t>윤한봉</t>
        </is>
      </c>
      <c r="D97" s="93" t="inlineStr">
        <is>
          <t>홍정구</t>
        </is>
      </c>
      <c r="E97" s="716" t="n"/>
      <c r="F97" s="31" t="inlineStr">
        <is>
          <t>윤한봉</t>
        </is>
      </c>
      <c r="G97" s="38" t="n"/>
      <c r="H97" s="1" t="inlineStr">
        <is>
          <t>이동훈</t>
        </is>
      </c>
      <c r="I97" s="38" t="n"/>
      <c r="J97" s="38" t="n"/>
      <c r="K97" s="716" t="inlineStr">
        <is>
          <t>임정빈부장</t>
        </is>
      </c>
      <c r="L97" s="38" t="inlineStr">
        <is>
          <t>김영택사장</t>
        </is>
      </c>
      <c r="M97" s="38" t="n"/>
    </row>
    <row r="98" ht="26.1" customHeight="1" s="16">
      <c r="A98" s="455" t="inlineStr">
        <is>
          <t>회사명</t>
        </is>
      </c>
      <c r="B98" s="455" t="inlineStr">
        <is>
          <t>㈜진명파워텍</t>
        </is>
      </c>
      <c r="C98" s="455" t="inlineStr">
        <is>
          <t>㈜지엔텔</t>
        </is>
      </c>
      <c r="D98" s="455" t="inlineStr">
        <is>
          <t>청음통신㈜</t>
        </is>
      </c>
      <c r="E98" s="455" t="inlineStr">
        <is>
          <t>㈜케이비에스비즈니스</t>
        </is>
      </c>
      <c r="F98" s="455" t="inlineStr">
        <is>
          <t>㈜케이씨씨건설</t>
        </is>
      </c>
      <c r="G98" s="455" t="inlineStr">
        <is>
          <t>㈜케이디파워</t>
        </is>
      </c>
      <c r="H98" s="455" t="inlineStr">
        <is>
          <t>태성전기통신㈜</t>
        </is>
      </c>
      <c r="I98" s="455" t="inlineStr">
        <is>
          <t>㈜태건씨앤씨</t>
        </is>
      </c>
      <c r="J98" s="455" t="inlineStr">
        <is>
          <t>㈜태호텔레콤</t>
        </is>
      </c>
      <c r="K98" s="455" t="inlineStr">
        <is>
          <t>㈜태정이앤아이</t>
        </is>
      </c>
      <c r="L98" s="455" t="inlineStr">
        <is>
          <t>㈜태경전업</t>
        </is>
      </c>
      <c r="M98" s="455" t="inlineStr">
        <is>
          <t>㈜파르이앤씨</t>
        </is>
      </c>
    </row>
    <row r="99">
      <c r="A99" s="69" t="inlineStr">
        <is>
          <t>대표자</t>
        </is>
      </c>
      <c r="B99" s="38" t="inlineStr">
        <is>
          <t>이명규</t>
        </is>
      </c>
      <c r="C99" s="713" t="inlineStr">
        <is>
          <t>오태영</t>
        </is>
      </c>
      <c r="D99" s="9" t="inlineStr">
        <is>
          <t>임광희</t>
        </is>
      </c>
      <c r="E99" s="762" t="inlineStr">
        <is>
          <t>박승규</t>
        </is>
      </c>
      <c r="F99" s="38" t="inlineStr">
        <is>
          <t>정몽열</t>
        </is>
      </c>
      <c r="G99" s="38" t="inlineStr">
        <is>
          <t>박기주</t>
        </is>
      </c>
      <c r="H99" s="1" t="inlineStr">
        <is>
          <t>이덕우</t>
        </is>
      </c>
      <c r="I99" s="9" t="inlineStr">
        <is>
          <t>김복수</t>
        </is>
      </c>
      <c r="J99" s="38" t="inlineStr">
        <is>
          <t>윤관로</t>
        </is>
      </c>
      <c r="K99" s="9" t="inlineStr">
        <is>
          <t>정태용</t>
        </is>
      </c>
      <c r="L99" s="38" t="inlineStr">
        <is>
          <t>정태홍</t>
        </is>
      </c>
      <c r="M99" s="244" t="inlineStr">
        <is>
          <t>김종훈</t>
        </is>
      </c>
    </row>
    <row r="100">
      <c r="A100" s="70" t="inlineStr">
        <is>
          <t>사업자번호</t>
        </is>
      </c>
      <c r="B100" s="38" t="inlineStr">
        <is>
          <t>206-81-84285</t>
        </is>
      </c>
      <c r="C100" s="33" t="inlineStr">
        <is>
          <t>123-81-95565</t>
        </is>
      </c>
      <c r="D100" s="9" t="inlineStr">
        <is>
          <t>104-81-20291</t>
        </is>
      </c>
      <c r="E100" s="197" t="inlineStr">
        <is>
          <t>109-81-20807</t>
        </is>
      </c>
      <c r="F100" s="38" t="inlineStr">
        <is>
          <t>214-81-69965</t>
        </is>
      </c>
      <c r="G100" s="38" t="inlineStr">
        <is>
          <t>206-81-49876</t>
        </is>
      </c>
      <c r="H100" s="1" t="inlineStr">
        <is>
          <t>201-81-47460</t>
        </is>
      </c>
      <c r="I100" s="9" t="inlineStr">
        <is>
          <t>201-81-90031</t>
        </is>
      </c>
      <c r="J100" s="38" t="inlineStr">
        <is>
          <t>117-81-52085</t>
        </is>
      </c>
      <c r="K100" s="9" t="inlineStr">
        <is>
          <t>318-86-00619</t>
        </is>
      </c>
      <c r="L100" s="38" t="inlineStr">
        <is>
          <t>110-81-54781</t>
        </is>
      </c>
      <c r="M100" s="245" t="inlineStr">
        <is>
          <t>803-86-00460</t>
        </is>
      </c>
    </row>
    <row r="101">
      <c r="A101" s="70" t="inlineStr">
        <is>
          <t>지역</t>
        </is>
      </c>
      <c r="B101" s="38" t="inlineStr">
        <is>
          <t>서울 광진</t>
        </is>
      </c>
      <c r="C101" s="33" t="inlineStr">
        <is>
          <t>서울</t>
        </is>
      </c>
      <c r="D101" s="9" t="inlineStr">
        <is>
          <t>서울시 영등포구</t>
        </is>
      </c>
      <c r="E101" s="763" t="inlineStr">
        <is>
          <t>서울시 강서구</t>
        </is>
      </c>
      <c r="F101" s="38" t="inlineStr">
        <is>
          <t>서울 서초</t>
        </is>
      </c>
      <c r="G101" s="38" t="inlineStr">
        <is>
          <t>서울</t>
        </is>
      </c>
      <c r="H101" s="1" t="inlineStr">
        <is>
          <t>서울시 성동구</t>
        </is>
      </c>
      <c r="I101" s="9" t="inlineStr">
        <is>
          <t>서울시 광진구</t>
        </is>
      </c>
      <c r="J101" s="9" t="inlineStr">
        <is>
          <t>서울시 송파구</t>
        </is>
      </c>
      <c r="K101" s="9" t="inlineStr">
        <is>
          <t>서울시 강서구</t>
        </is>
      </c>
      <c r="L101" s="38" t="inlineStr">
        <is>
          <t>서울 서대문</t>
        </is>
      </c>
      <c r="M101" s="244" t="inlineStr">
        <is>
          <t>서울시 영등포구</t>
        </is>
      </c>
    </row>
    <row r="102">
      <c r="A102" s="69" t="inlineStr">
        <is>
          <t>통신시공능력</t>
        </is>
      </c>
      <c r="B102" s="716" t="n">
        <v>6588200000</v>
      </c>
      <c r="C102" s="713" t="n">
        <v>88608000000</v>
      </c>
      <c r="D102" s="716" t="n">
        <v>8189000000</v>
      </c>
      <c r="E102" s="764" t="n">
        <v>15662100000</v>
      </c>
      <c r="F102" s="716" t="n">
        <v>9338200000</v>
      </c>
      <c r="G102" s="733" t="n">
        <v>2301700000</v>
      </c>
      <c r="H102" s="713" t="n">
        <v>21661200000</v>
      </c>
      <c r="I102" s="716" t="n">
        <v>980200000</v>
      </c>
      <c r="J102" s="716" t="n">
        <v>1570900000</v>
      </c>
      <c r="K102" s="716" t="n">
        <v>1831800000</v>
      </c>
      <c r="L102" s="716" t="n">
        <v>896500000</v>
      </c>
      <c r="M102" s="740" t="n">
        <v>685800000</v>
      </c>
    </row>
    <row r="103">
      <c r="A103" s="69" t="inlineStr">
        <is>
          <t>3년간 실적액</t>
        </is>
      </c>
      <c r="B103" s="716">
        <f>3334341000+1973980000+2048921000</f>
        <v/>
      </c>
      <c r="C103" s="713" t="n">
        <v>141428181000</v>
      </c>
      <c r="D103" s="733" t="n">
        <v>7665880000</v>
      </c>
      <c r="E103" s="764" t="n">
        <v>23377978000</v>
      </c>
      <c r="F103" s="716" t="n">
        <v>15055103000</v>
      </c>
      <c r="G103" s="733" t="n">
        <v>3797322000</v>
      </c>
      <c r="H103" s="713" t="n">
        <v>21661200000</v>
      </c>
      <c r="I103" s="733" t="n">
        <v>969623000</v>
      </c>
      <c r="J103" s="716" t="n">
        <v>1927288000</v>
      </c>
      <c r="K103" s="716" t="n">
        <v>2218690000</v>
      </c>
      <c r="L103" s="716" t="n">
        <v>383639000</v>
      </c>
      <c r="M103" s="740" t="n">
        <v>288501000</v>
      </c>
    </row>
    <row r="104">
      <c r="A104" s="69" t="inlineStr">
        <is>
          <t>5년간 실적액</t>
        </is>
      </c>
      <c r="B104" s="716">
        <f>B103+1184569000+2697934000</f>
        <v/>
      </c>
      <c r="C104" s="713" t="n">
        <v>194759315000</v>
      </c>
      <c r="D104" s="748" t="n">
        <v>14211566000</v>
      </c>
      <c r="E104" s="764" t="n">
        <v>34160627000</v>
      </c>
      <c r="F104" s="716" t="n">
        <v>27513025000</v>
      </c>
      <c r="G104" s="733" t="n">
        <v>5874135000</v>
      </c>
      <c r="H104" s="713" t="n">
        <v>43231914000</v>
      </c>
      <c r="I104" s="748" t="n">
        <v>1101460000</v>
      </c>
      <c r="J104" s="716" t="n">
        <v>2814524000</v>
      </c>
      <c r="K104" s="716" t="n">
        <v>7265929000</v>
      </c>
      <c r="L104" s="716" t="n">
        <v>1162104000</v>
      </c>
      <c r="M104" s="740" t="n">
        <v>742829000</v>
      </c>
    </row>
    <row r="105">
      <c r="A105" s="719" t="inlineStr">
        <is>
          <t>부채비율</t>
        </is>
      </c>
      <c r="B105" s="40" t="n">
        <v>0.331</v>
      </c>
      <c r="C105" s="35" t="n">
        <v>0.5891</v>
      </c>
      <c r="D105" s="40" t="n">
        <v>0.1589</v>
      </c>
      <c r="E105" s="198" t="n">
        <v>0.4257</v>
      </c>
      <c r="F105" s="40" t="n">
        <v>1.9235</v>
      </c>
      <c r="G105" s="40" t="n">
        <v>1.8244</v>
      </c>
      <c r="H105" s="35" t="n">
        <v>0.7028</v>
      </c>
      <c r="I105" s="48" t="n">
        <v>1.3009</v>
      </c>
      <c r="J105" s="40" t="n">
        <v>0.272</v>
      </c>
      <c r="K105" s="40" t="n">
        <v>0.1724</v>
      </c>
      <c r="L105" s="40" t="n">
        <v>0.2315</v>
      </c>
      <c r="M105" s="252" t="n">
        <v>0.6153999999999999</v>
      </c>
      <c r="N105" s="750" t="n"/>
    </row>
    <row r="106">
      <c r="A106" s="719" t="inlineStr">
        <is>
          <t>유동비율</t>
        </is>
      </c>
      <c r="B106" s="40" t="n">
        <v>4.1752</v>
      </c>
      <c r="C106" s="35" t="n">
        <v>1.982</v>
      </c>
      <c r="D106" s="40" t="n">
        <v>3.7569</v>
      </c>
      <c r="E106" s="198" t="n">
        <v>2.2329</v>
      </c>
      <c r="F106" s="40" t="n">
        <v>1.2248</v>
      </c>
      <c r="G106" s="40" t="n">
        <v>1.0004</v>
      </c>
      <c r="H106" s="35" t="n">
        <v>3.2881</v>
      </c>
      <c r="I106" s="48" t="n">
        <v>1.7649</v>
      </c>
      <c r="J106" s="40" t="n">
        <v>6.7744</v>
      </c>
      <c r="K106" s="40" t="n">
        <v>4.7739</v>
      </c>
      <c r="L106" s="40" t="n">
        <v>4.0668</v>
      </c>
      <c r="M106" s="252" t="n">
        <v>3.146</v>
      </c>
      <c r="N106" s="750" t="n"/>
    </row>
    <row r="107" ht="21" customHeight="1" s="16">
      <c r="A107" s="720" t="inlineStr">
        <is>
          <t>영업기간
공사업등록일</t>
        </is>
      </c>
      <c r="B107" s="40" t="inlineStr">
        <is>
          <t>10년이상%</t>
        </is>
      </c>
      <c r="C107" s="35" t="inlineStr">
        <is>
          <t>5년이상%</t>
        </is>
      </c>
      <c r="D107" s="11" t="inlineStr">
        <is>
          <t>1980.05.28</t>
        </is>
      </c>
      <c r="E107" s="199" t="inlineStr">
        <is>
          <t>2009.04.01</t>
        </is>
      </c>
      <c r="F107" s="40" t="inlineStr">
        <is>
          <t>10년이상%</t>
        </is>
      </c>
      <c r="G107" s="40" t="inlineStr">
        <is>
          <t>10년이상</t>
        </is>
      </c>
      <c r="H107" s="67" t="inlineStr">
        <is>
          <t>1981.12.14</t>
        </is>
      </c>
      <c r="I107" s="11" t="inlineStr">
        <is>
          <t>2013.07.17</t>
        </is>
      </c>
      <c r="J107" s="41" t="inlineStr">
        <is>
          <t>1979.10.24</t>
        </is>
      </c>
      <c r="K107" s="11" t="inlineStr">
        <is>
          <t>1994.02.07</t>
        </is>
      </c>
      <c r="L107" s="41" t="inlineStr">
        <is>
          <t>2008.05.06</t>
        </is>
      </c>
      <c r="M107" s="248" t="inlineStr">
        <is>
          <t>2019.01.31</t>
        </is>
      </c>
    </row>
    <row r="108" ht="22.5" customHeight="1" s="16">
      <c r="A108" s="69" t="inlineStr">
        <is>
          <t>신용평가</t>
        </is>
      </c>
      <c r="B108" s="154" t="inlineStr">
        <is>
          <t>BB0
(14.06.30~15.06.29)</t>
        </is>
      </c>
      <c r="C108" s="765" t="n"/>
      <c r="D108" s="725" t="inlineStr">
        <is>
          <t>BBB-
(18.05.28~19.05.27)</t>
        </is>
      </c>
      <c r="E108" s="724" t="inlineStr">
        <is>
          <t>A-
(25.06.23~26.06.22)</t>
        </is>
      </c>
      <c r="F108" s="154" t="inlineStr">
        <is>
          <t>A+
(15.05.06~16.05.04)</t>
        </is>
      </c>
      <c r="G108" s="154" t="inlineStr">
        <is>
          <t>BBB-
(13.05.14~14.05.13)</t>
        </is>
      </c>
      <c r="H108" s="269" t="inlineStr">
        <is>
          <t>BB0
(25.04.11~26.04.10)</t>
        </is>
      </c>
      <c r="I108" s="725" t="inlineStr">
        <is>
          <t>BB+
(18.04.17~19.04.16)</t>
        </is>
      </c>
      <c r="J108" s="37" t="n"/>
      <c r="K108" s="37" t="n"/>
      <c r="L108" s="37" t="n"/>
      <c r="M108" s="152" t="inlineStr">
        <is>
          <t>BBB-
(25.04.11~26.04.10)</t>
        </is>
      </c>
    </row>
    <row r="109">
      <c r="A109" s="71" t="inlineStr">
        <is>
          <t>여성기업</t>
        </is>
      </c>
      <c r="B109" s="37" t="n"/>
      <c r="C109" s="765" t="n"/>
      <c r="D109" s="736" t="n"/>
      <c r="E109" s="721" t="n"/>
      <c r="F109" s="37" t="n"/>
      <c r="G109" s="37" t="n"/>
      <c r="H109" s="49" t="n"/>
      <c r="I109" s="736" t="n"/>
      <c r="J109" s="37" t="n"/>
      <c r="K109" s="37" t="n"/>
      <c r="L109" s="37" t="n"/>
      <c r="M109" s="249" t="n"/>
    </row>
    <row r="110">
      <c r="A110" s="71" t="inlineStr">
        <is>
          <t>중소기업</t>
        </is>
      </c>
      <c r="B110" s="37" t="n"/>
      <c r="C110" s="765" t="n"/>
      <c r="D110" s="736" t="n"/>
      <c r="E110" s="721" t="n"/>
      <c r="F110" s="37" t="n"/>
      <c r="G110" s="37" t="n"/>
      <c r="H110" s="49" t="n"/>
      <c r="I110" s="736" t="n"/>
      <c r="J110" s="37" t="n"/>
      <c r="K110" s="37" t="n"/>
      <c r="L110" s="37" t="n"/>
      <c r="M110" s="249" t="n"/>
    </row>
    <row r="111">
      <c r="A111" s="72" t="inlineStr">
        <is>
          <t>일자리창출실적</t>
        </is>
      </c>
      <c r="B111" s="37" t="n"/>
      <c r="C111" s="765" t="n"/>
      <c r="D111" s="736" t="n"/>
      <c r="E111" s="721" t="n"/>
      <c r="F111" s="37" t="n"/>
      <c r="G111" s="37" t="n"/>
      <c r="H111" s="49" t="n"/>
      <c r="I111" s="736" t="n"/>
      <c r="J111" s="37" t="n"/>
      <c r="K111" s="37" t="n"/>
      <c r="L111" s="37" t="n"/>
      <c r="M111" s="249" t="n"/>
    </row>
    <row r="112">
      <c r="A112" s="72" t="inlineStr">
        <is>
          <t>시공품질평가</t>
        </is>
      </c>
      <c r="B112" s="37" t="n"/>
      <c r="C112" s="765" t="n"/>
      <c r="D112" s="736" t="n"/>
      <c r="E112" s="200" t="inlineStr">
        <is>
          <t>90.70 (25.05.01)</t>
        </is>
      </c>
      <c r="F112" s="37" t="n"/>
      <c r="G112" s="37" t="n"/>
      <c r="H112" s="99" t="inlineStr">
        <is>
          <t>없음(24.05.01)</t>
        </is>
      </c>
      <c r="I112" s="736" t="n"/>
      <c r="J112" s="37" t="n"/>
      <c r="K112" s="37" t="n"/>
      <c r="L112" s="37" t="n"/>
      <c r="M112" s="249" t="inlineStr">
        <is>
          <t>없음(24.05.01)</t>
        </is>
      </c>
    </row>
    <row r="113">
      <c r="A113" s="69" t="inlineStr">
        <is>
          <t>비 고</t>
        </is>
      </c>
      <c r="B113" s="38" t="inlineStr">
        <is>
          <t>홍정구</t>
        </is>
      </c>
      <c r="C113" s="51" t="n"/>
      <c r="D113" s="758" t="n"/>
      <c r="E113" s="201" t="inlineStr">
        <is>
          <t>박성균</t>
        </is>
      </c>
      <c r="F113" s="38" t="n"/>
      <c r="G113" s="38" t="inlineStr">
        <is>
          <t>강성법</t>
        </is>
      </c>
      <c r="H113" s="1" t="inlineStr">
        <is>
          <t>서보 조정부장</t>
        </is>
      </c>
      <c r="I113" s="758" t="inlineStr">
        <is>
          <t>안영식</t>
        </is>
      </c>
      <c r="J113" s="38" t="inlineStr">
        <is>
          <t xml:space="preserve">송용주, 보선 자회사 </t>
        </is>
      </c>
      <c r="K113" s="9" t="inlineStr">
        <is>
          <t>박성균이사, 특4명</t>
        </is>
      </c>
      <c r="L113" s="38" t="inlineStr">
        <is>
          <t>신대철, 특2명</t>
        </is>
      </c>
      <c r="M113" s="246" t="inlineStr">
        <is>
          <t>김장섭</t>
        </is>
      </c>
    </row>
    <row r="114" ht="26.1" customHeight="1" s="16">
      <c r="A114" s="455" t="inlineStr">
        <is>
          <t>회사명</t>
        </is>
      </c>
      <c r="B114" s="455" t="inlineStr">
        <is>
          <t>㈜파워일렉</t>
        </is>
      </c>
      <c r="C114" s="455" t="inlineStr">
        <is>
          <t>현대오토에버㈜</t>
        </is>
      </c>
      <c r="D114" s="455" t="inlineStr">
        <is>
          <t>㈜한라</t>
        </is>
      </c>
      <c r="E114" s="455" t="inlineStr">
        <is>
          <t>효성아이티엑스㈜</t>
        </is>
      </c>
      <c r="F114" s="455" t="inlineStr">
        <is>
          <t>㈜화산엔지니어링</t>
        </is>
      </c>
      <c r="G114" s="455" t="inlineStr">
        <is>
          <t>㈜효성</t>
        </is>
      </c>
      <c r="H114" s="455" t="inlineStr">
        <is>
          <t>한우리정보통신</t>
        </is>
      </c>
      <c r="I114" s="455" t="inlineStr">
        <is>
          <t>현대에이치디에스㈜</t>
        </is>
      </c>
      <c r="J114" s="455" t="inlineStr">
        <is>
          <t>한전케이디엔(주)</t>
        </is>
      </c>
      <c r="K114" s="455" t="inlineStr">
        <is>
          <t>거성일렉콤㈜</t>
        </is>
      </c>
      <c r="L114" s="455" t="inlineStr">
        <is>
          <t>㈜대한종합산전</t>
        </is>
      </c>
      <c r="M114" s="455" t="inlineStr">
        <is>
          <t>㈜시티건설</t>
        </is>
      </c>
    </row>
    <row r="115">
      <c r="A115" s="69" t="inlineStr">
        <is>
          <t>대표자</t>
        </is>
      </c>
      <c r="B115" s="38" t="inlineStr">
        <is>
          <t>이정림</t>
        </is>
      </c>
      <c r="C115" s="1" t="inlineStr">
        <is>
          <t>오일석</t>
        </is>
      </c>
      <c r="D115" s="1" t="inlineStr">
        <is>
          <t>이석민</t>
        </is>
      </c>
      <c r="E115" s="1" t="inlineStr">
        <is>
          <t>남경환</t>
        </is>
      </c>
      <c r="F115" s="38" t="inlineStr">
        <is>
          <t>이종윤</t>
        </is>
      </c>
      <c r="G115" s="38" t="inlineStr">
        <is>
          <t>이상운</t>
        </is>
      </c>
      <c r="H115" s="38" t="inlineStr">
        <is>
          <t>전막동</t>
        </is>
      </c>
      <c r="I115" s="38" t="inlineStr">
        <is>
          <t>이영문</t>
        </is>
      </c>
      <c r="J115" s="713" t="inlineStr">
        <is>
          <t>김병일</t>
        </is>
      </c>
      <c r="K115" s="1" t="inlineStr">
        <is>
          <t>박성래</t>
        </is>
      </c>
      <c r="L115" s="167" t="inlineStr">
        <is>
          <t>이섭</t>
        </is>
      </c>
      <c r="M115" s="1" t="inlineStr">
        <is>
          <t>안복홍</t>
        </is>
      </c>
    </row>
    <row r="116">
      <c r="A116" s="70" t="inlineStr">
        <is>
          <t>사업자번호</t>
        </is>
      </c>
      <c r="B116" s="44" t="inlineStr">
        <is>
          <t>105-87-46506</t>
        </is>
      </c>
      <c r="C116" s="1" t="inlineStr">
        <is>
          <t>104-81-53190</t>
        </is>
      </c>
      <c r="D116" s="1" t="inlineStr">
        <is>
          <t>215-81-40656</t>
        </is>
      </c>
      <c r="E116" s="1" t="inlineStr">
        <is>
          <t>120-81-73505</t>
        </is>
      </c>
      <c r="F116" s="38" t="inlineStr">
        <is>
          <t>215-81-96636</t>
        </is>
      </c>
      <c r="G116" s="38" t="inlineStr">
        <is>
          <t>105-81-59515</t>
        </is>
      </c>
      <c r="H116" s="38" t="inlineStr">
        <is>
          <t>106-24-75052</t>
        </is>
      </c>
      <c r="I116" s="38" t="inlineStr">
        <is>
          <t>102-81-35124</t>
        </is>
      </c>
      <c r="J116" s="33" t="inlineStr">
        <is>
          <t>116-81-32242</t>
        </is>
      </c>
      <c r="K116" s="1" t="inlineStr">
        <is>
          <t>211-86-91240</t>
        </is>
      </c>
      <c r="L116" s="168" t="inlineStr">
        <is>
          <t>105-81-62163</t>
        </is>
      </c>
      <c r="M116" s="1" t="inlineStr">
        <is>
          <t>211-88-79240</t>
        </is>
      </c>
    </row>
    <row r="117">
      <c r="A117" s="70" t="inlineStr">
        <is>
          <t>지역</t>
        </is>
      </c>
      <c r="B117" s="44" t="inlineStr">
        <is>
          <t>서울 마포</t>
        </is>
      </c>
      <c r="C117" s="31" t="inlineStr">
        <is>
          <t>서울시 강남구</t>
        </is>
      </c>
      <c r="D117" s="1" t="inlineStr">
        <is>
          <t>서울시 송파구</t>
        </is>
      </c>
      <c r="E117" s="1" t="inlineStr">
        <is>
          <t>서울시 영등포구</t>
        </is>
      </c>
      <c r="F117" s="38" t="inlineStr">
        <is>
          <t>서울 금천</t>
        </is>
      </c>
      <c r="G117" s="38" t="inlineStr">
        <is>
          <t>서울 마포</t>
        </is>
      </c>
      <c r="H117" s="38" t="inlineStr">
        <is>
          <t>서울</t>
        </is>
      </c>
      <c r="I117" s="38" t="inlineStr">
        <is>
          <t>서울</t>
        </is>
      </c>
      <c r="J117" s="713" t="inlineStr">
        <is>
          <t>서울 서초</t>
        </is>
      </c>
      <c r="K117" s="1" t="inlineStr">
        <is>
          <t>서울시 서초구</t>
        </is>
      </c>
      <c r="L117" s="167" t="inlineStr">
        <is>
          <t>서울시 강남구</t>
        </is>
      </c>
      <c r="M117" s="1" t="inlineStr">
        <is>
          <t>서울시 강남구</t>
        </is>
      </c>
    </row>
    <row r="118">
      <c r="A118" s="69" t="inlineStr">
        <is>
          <t>통신시공능력</t>
        </is>
      </c>
      <c r="B118" s="761" t="n">
        <v>2563600000</v>
      </c>
      <c r="C118" s="713" t="n">
        <v>33432400000</v>
      </c>
      <c r="D118" s="713" t="n">
        <v>15168700000</v>
      </c>
      <c r="E118" s="713" t="n">
        <v>14936900000</v>
      </c>
      <c r="F118" s="716" t="n">
        <v>627700000</v>
      </c>
      <c r="G118" s="716" t="n">
        <v>12987600000</v>
      </c>
      <c r="H118" s="716" t="n">
        <v>5450500000</v>
      </c>
      <c r="I118" s="733" t="n">
        <v>43311400000</v>
      </c>
      <c r="J118" s="713" t="n">
        <v>131435500000</v>
      </c>
      <c r="K118" s="732" t="n">
        <v>812500000</v>
      </c>
      <c r="L118" s="717" t="n">
        <v>1449900000</v>
      </c>
      <c r="M118" s="732" t="n">
        <v>8148300000</v>
      </c>
    </row>
    <row r="119">
      <c r="A119" s="69" t="inlineStr">
        <is>
          <t>3년간 실적액</t>
        </is>
      </c>
      <c r="B119" s="761" t="n">
        <v>1622073000</v>
      </c>
      <c r="C119" s="713" t="n">
        <v>59072895000</v>
      </c>
      <c r="D119" s="713" t="n">
        <v>28724119000</v>
      </c>
      <c r="E119" s="713" t="n">
        <v>28186549000</v>
      </c>
      <c r="F119" s="716" t="n">
        <v>0</v>
      </c>
      <c r="G119" s="716" t="n">
        <v>23598510000</v>
      </c>
      <c r="H119" s="716">
        <f>1931810000+1595719000+2545154000</f>
        <v/>
      </c>
      <c r="I119" s="733" t="n">
        <v>83338249000</v>
      </c>
      <c r="J119" s="713" t="n">
        <v>247020313000</v>
      </c>
      <c r="K119" s="732" t="n">
        <v>15455000</v>
      </c>
      <c r="L119" s="717" t="n">
        <v>1754142000</v>
      </c>
      <c r="M119" s="732" t="n">
        <v>11211403000</v>
      </c>
    </row>
    <row r="120">
      <c r="A120" s="69" t="inlineStr">
        <is>
          <t>5년간 실적액</t>
        </is>
      </c>
      <c r="B120" s="761" t="n">
        <v>2308313000</v>
      </c>
      <c r="C120" s="713" t="n">
        <v>105384694000</v>
      </c>
      <c r="D120" s="713" t="n">
        <v>47761330000</v>
      </c>
      <c r="E120" s="713" t="n">
        <v>35700497000</v>
      </c>
      <c r="F120" s="716" t="n">
        <v>0</v>
      </c>
      <c r="G120" s="716" t="n">
        <v>42763284000</v>
      </c>
      <c r="H120" s="716">
        <f>H119+2400452000+2059878000</f>
        <v/>
      </c>
      <c r="I120" s="733" t="n">
        <v>119131482000</v>
      </c>
      <c r="J120" s="713" t="n">
        <v>424513369000</v>
      </c>
      <c r="K120" s="732" t="n">
        <v>2749919000</v>
      </c>
      <c r="L120" s="717" t="n">
        <v>4589939000</v>
      </c>
      <c r="M120" s="732" t="n">
        <v>23483438000</v>
      </c>
    </row>
    <row r="121">
      <c r="A121" s="719" t="inlineStr">
        <is>
          <t>부채비율</t>
        </is>
      </c>
      <c r="B121" s="40" t="n">
        <v>0.158</v>
      </c>
      <c r="C121" s="66" t="n">
        <v>0.8386</v>
      </c>
      <c r="D121" s="66" t="n">
        <v>2.8356</v>
      </c>
      <c r="E121" s="66" t="n">
        <v>2.2768</v>
      </c>
      <c r="F121" s="40" t="n">
        <v>0.0892</v>
      </c>
      <c r="G121" s="40" t="n">
        <v>1.8495</v>
      </c>
      <c r="H121" s="40" t="n">
        <v>0.2738</v>
      </c>
      <c r="I121" s="40" t="n">
        <v>0.8280999999999999</v>
      </c>
      <c r="J121" s="35" t="n">
        <v>0.386</v>
      </c>
      <c r="K121" s="2" t="n">
        <v>0.2397</v>
      </c>
      <c r="L121" s="164" t="n">
        <v>1.3328</v>
      </c>
      <c r="M121" s="2" t="n">
        <v>0.3725</v>
      </c>
      <c r="N121" s="750" t="n"/>
    </row>
    <row r="122">
      <c r="A122" s="719" t="inlineStr">
        <is>
          <t>유동비율</t>
        </is>
      </c>
      <c r="B122" s="40" t="n">
        <v>5.9457</v>
      </c>
      <c r="C122" s="2" t="n">
        <v>1.9972</v>
      </c>
      <c r="D122" s="66" t="n">
        <v>0.6121</v>
      </c>
      <c r="E122" s="66" t="n">
        <v>0.6382</v>
      </c>
      <c r="F122" s="40" t="n">
        <v>99.9999</v>
      </c>
      <c r="G122" s="40" t="n">
        <v>0.5881</v>
      </c>
      <c r="H122" s="40" t="n">
        <v>3.5962</v>
      </c>
      <c r="I122" s="40" t="n">
        <v>3.2399</v>
      </c>
      <c r="J122" s="35" t="n">
        <v>2.3549</v>
      </c>
      <c r="K122" s="2" t="n">
        <v>5.2243</v>
      </c>
      <c r="L122" s="165" t="n">
        <v>6.148099999999999</v>
      </c>
      <c r="M122" s="2" t="n">
        <v>9.039199999999999</v>
      </c>
      <c r="N122" s="750" t="n"/>
    </row>
    <row r="123" ht="21" customHeight="1" s="16">
      <c r="A123" s="720" t="inlineStr">
        <is>
          <t>영업기간
공사업등록일</t>
        </is>
      </c>
      <c r="B123" s="40" t="inlineStr">
        <is>
          <t>10년이상%</t>
        </is>
      </c>
      <c r="C123" s="2" t="inlineStr">
        <is>
          <t>2004.03.18</t>
        </is>
      </c>
      <c r="D123" s="67" t="inlineStr">
        <is>
          <t>1994.04.30</t>
        </is>
      </c>
      <c r="E123" s="67" t="inlineStr">
        <is>
          <t>2012.09.07</t>
        </is>
      </c>
      <c r="F123" s="40" t="inlineStr">
        <is>
          <t>1년미만%</t>
        </is>
      </c>
      <c r="G123" s="40" t="inlineStr">
        <is>
          <t>10 년이상%</t>
        </is>
      </c>
      <c r="H123" s="40" t="inlineStr">
        <is>
          <t>10년이상%</t>
        </is>
      </c>
      <c r="I123" s="40" t="inlineStr">
        <is>
          <t>10년이상%</t>
        </is>
      </c>
      <c r="J123" s="35" t="inlineStr">
        <is>
          <t>10년이상%</t>
        </is>
      </c>
      <c r="K123" s="2" t="inlineStr">
        <is>
          <t>2013.10.17</t>
        </is>
      </c>
      <c r="L123" s="166" t="inlineStr">
        <is>
          <t>2006.05.02</t>
        </is>
      </c>
      <c r="M123" s="2" t="inlineStr">
        <is>
          <t>2015.10.20</t>
        </is>
      </c>
    </row>
    <row r="124" ht="22.5" customHeight="1" s="16">
      <c r="A124" s="69" t="inlineStr">
        <is>
          <t>신용평가</t>
        </is>
      </c>
      <c r="B124" s="737" t="n"/>
      <c r="C124" s="725" t="inlineStr">
        <is>
          <t>AA-
(20.06.19~21.06.18)</t>
        </is>
      </c>
      <c r="D124" s="49" t="n"/>
      <c r="E124" s="153" t="inlineStr">
        <is>
          <t>A+
(20.04.10~21.04.09)</t>
        </is>
      </c>
      <c r="F124" s="722" t="inlineStr">
        <is>
          <t>B+
(15.07.14~16.06.30)</t>
        </is>
      </c>
      <c r="G124" s="40" t="n"/>
      <c r="H124" s="156" t="inlineStr">
        <is>
          <t>BB+
(14.07.09~15.06.30)</t>
        </is>
      </c>
      <c r="I124" s="156" t="inlineStr">
        <is>
          <t>A0
(13.09.27~14.09.26)</t>
        </is>
      </c>
      <c r="J124" s="737" t="n"/>
      <c r="K124" s="49" t="n"/>
      <c r="L124" s="152" t="inlineStr">
        <is>
          <t>BB0
(25.04.16~26.04.15)</t>
        </is>
      </c>
      <c r="M124" s="157" t="inlineStr">
        <is>
          <t>AO
(22.06.27~23.06.26)</t>
        </is>
      </c>
    </row>
    <row r="125">
      <c r="A125" s="71" t="inlineStr">
        <is>
          <t>여성기업</t>
        </is>
      </c>
      <c r="B125" s="737" t="n"/>
      <c r="C125" s="723" t="n"/>
      <c r="D125" s="49" t="n"/>
      <c r="E125" s="49" t="n"/>
      <c r="F125" s="723" t="n"/>
      <c r="G125" s="40" t="n"/>
      <c r="H125" s="52" t="n"/>
      <c r="I125" s="52" t="n"/>
      <c r="J125" s="737" t="n"/>
      <c r="K125" s="54" t="n"/>
      <c r="L125" s="169" t="n"/>
      <c r="M125" s="55" t="n"/>
    </row>
    <row r="126">
      <c r="A126" s="71" t="inlineStr">
        <is>
          <t>중소기업</t>
        </is>
      </c>
      <c r="B126" s="737" t="n"/>
      <c r="C126" s="723" t="n"/>
      <c r="D126" s="49" t="n"/>
      <c r="E126" s="49" t="n"/>
      <c r="F126" s="723" t="n"/>
      <c r="G126" s="40" t="n"/>
      <c r="H126" s="52" t="n"/>
      <c r="I126" s="52" t="n"/>
      <c r="J126" s="737" t="n"/>
      <c r="K126" s="54" t="n"/>
      <c r="L126" s="169" t="n"/>
      <c r="M126" s="55" t="n"/>
    </row>
    <row r="127">
      <c r="A127" s="72" t="inlineStr">
        <is>
          <t>일자리창출실적</t>
        </is>
      </c>
      <c r="B127" s="737" t="n"/>
      <c r="C127" s="723" t="n"/>
      <c r="D127" s="49" t="n"/>
      <c r="E127" s="49" t="n"/>
      <c r="F127" s="723" t="n"/>
      <c r="G127" s="40" t="n"/>
      <c r="H127" s="52" t="n"/>
      <c r="I127" s="52" t="n"/>
      <c r="J127" s="737" t="n"/>
      <c r="K127" s="54" t="n"/>
      <c r="L127" s="169" t="n"/>
      <c r="M127" s="55" t="n"/>
    </row>
    <row r="128">
      <c r="A128" s="72" t="inlineStr">
        <is>
          <t>시공품질평가</t>
        </is>
      </c>
      <c r="B128" s="737" t="n"/>
      <c r="C128" s="723" t="n"/>
      <c r="D128" s="49" t="n"/>
      <c r="E128" s="49" t="n"/>
      <c r="F128" s="723" t="n"/>
      <c r="G128" s="40" t="n"/>
      <c r="H128" s="52" t="n"/>
      <c r="I128" s="52" t="n"/>
      <c r="J128" s="737" t="n"/>
      <c r="K128" s="54" t="n"/>
      <c r="L128" s="170" t="inlineStr">
        <is>
          <t>없음 (24.05.01)</t>
        </is>
      </c>
      <c r="M128" s="78" t="inlineStr">
        <is>
          <t>없음 (22.05.01)</t>
        </is>
      </c>
    </row>
    <row r="129" ht="30.95" customHeight="1" s="16">
      <c r="A129" s="69" t="inlineStr">
        <is>
          <t>비 고</t>
        </is>
      </c>
      <c r="B129" s="38" t="n"/>
      <c r="C129" s="730" t="inlineStr">
        <is>
          <t>이재웅</t>
        </is>
      </c>
      <c r="D129" s="1" t="inlineStr">
        <is>
          <t>송동은</t>
        </is>
      </c>
      <c r="E129" s="73" t="inlineStr">
        <is>
          <t>김희준
고5(21.08.09)</t>
        </is>
      </c>
      <c r="F129" s="748" t="n"/>
      <c r="G129" s="43" t="n"/>
      <c r="H129" s="38" t="inlineStr">
        <is>
          <t>송종윤</t>
        </is>
      </c>
      <c r="I129" s="38" t="n"/>
      <c r="J129" s="38" t="n"/>
      <c r="K129" s="1" t="inlineStr">
        <is>
          <t>이재웅, 구본진-조동규</t>
        </is>
      </c>
      <c r="L129" s="167" t="n"/>
      <c r="M129" s="84" t="inlineStr">
        <is>
          <t>건설산업기본법 B.벌금이상의 행정형벌 등 
-2.0 (~23.04.07)</t>
        </is>
      </c>
    </row>
    <row r="130" ht="26.1" customHeight="1" s="16">
      <c r="A130" s="455" t="inlineStr">
        <is>
          <t>회사명</t>
        </is>
      </c>
      <c r="B130" s="455" t="inlineStr">
        <is>
          <t>대명지이씨㈜</t>
        </is>
      </c>
      <c r="C130" s="455" t="inlineStr">
        <is>
          <t>에이치디에스㈜</t>
        </is>
      </c>
      <c r="D130" s="455" t="inlineStr">
        <is>
          <t>㈜왕선전설</t>
        </is>
      </c>
      <c r="E130" s="455" t="inlineStr">
        <is>
          <t>㈜하나전기</t>
        </is>
      </c>
      <c r="F130" s="455" t="inlineStr">
        <is>
          <t>효성아이티엑스㈜</t>
        </is>
      </c>
      <c r="G130" s="455" t="inlineStr">
        <is>
          <t>㈜우진파워텍</t>
        </is>
      </c>
      <c r="H130" s="455" t="inlineStr">
        <is>
          <t>장한전산㈜</t>
        </is>
      </c>
      <c r="I130" s="455" t="inlineStr">
        <is>
          <t>㈜성진정보통신</t>
        </is>
      </c>
      <c r="J130" s="455" t="inlineStr">
        <is>
          <t>삼익전자공업㈜</t>
        </is>
      </c>
      <c r="K130" s="455" t="inlineStr">
        <is>
          <t>㈜세계아이티씨</t>
        </is>
      </c>
      <c r="L130" s="455" t="inlineStr">
        <is>
          <t>㈜월드멀티넷</t>
        </is>
      </c>
      <c r="M130" s="455" t="inlineStr">
        <is>
          <t>도원이엔아이㈜</t>
        </is>
      </c>
    </row>
    <row r="131">
      <c r="A131" s="69" t="inlineStr">
        <is>
          <t>대표자</t>
        </is>
      </c>
      <c r="B131" s="230" t="inlineStr">
        <is>
          <t>김한욱</t>
        </is>
      </c>
      <c r="C131" s="1" t="inlineStr">
        <is>
          <t>조한봉</t>
        </is>
      </c>
      <c r="D131" s="288" t="inlineStr">
        <is>
          <t>박수영</t>
        </is>
      </c>
      <c r="E131" s="230" t="inlineStr">
        <is>
          <t>김선식</t>
        </is>
      </c>
      <c r="F131" s="1" t="inlineStr">
        <is>
          <t>남경환</t>
        </is>
      </c>
      <c r="G131" s="1" t="inlineStr">
        <is>
          <t>한용일</t>
        </is>
      </c>
      <c r="H131" s="1" t="inlineStr">
        <is>
          <t>이상철</t>
        </is>
      </c>
      <c r="I131" s="1" t="inlineStr">
        <is>
          <t>문계철</t>
        </is>
      </c>
      <c r="J131" s="1" t="inlineStr">
        <is>
          <t>이재환</t>
        </is>
      </c>
      <c r="K131" s="1" t="inlineStr">
        <is>
          <t>김황기</t>
        </is>
      </c>
      <c r="L131" s="1" t="inlineStr">
        <is>
          <t>박영희</t>
        </is>
      </c>
      <c r="M131" s="167" t="inlineStr">
        <is>
          <t>최기동</t>
        </is>
      </c>
    </row>
    <row r="132">
      <c r="A132" s="70" t="inlineStr">
        <is>
          <t>사업자번호</t>
        </is>
      </c>
      <c r="B132" s="234" t="inlineStr">
        <is>
          <t>124-81-27925</t>
        </is>
      </c>
      <c r="C132" s="1" t="inlineStr">
        <is>
          <t>214-86-93742</t>
        </is>
      </c>
      <c r="D132" s="289" t="inlineStr">
        <is>
          <t>132-81-05709</t>
        </is>
      </c>
      <c r="E132" s="234" t="inlineStr">
        <is>
          <t>214-81-22183</t>
        </is>
      </c>
      <c r="F132" s="1" t="inlineStr">
        <is>
          <t>120-81-73505</t>
        </is>
      </c>
      <c r="G132" s="1" t="inlineStr">
        <is>
          <t>109-81-50581</t>
        </is>
      </c>
      <c r="H132" s="1" t="inlineStr">
        <is>
          <t>114-81-35087</t>
        </is>
      </c>
      <c r="I132" s="1" t="inlineStr">
        <is>
          <t>714-88-00617</t>
        </is>
      </c>
      <c r="J132" s="1" t="inlineStr">
        <is>
          <t>211-81-98423</t>
        </is>
      </c>
      <c r="K132" s="1" t="inlineStr">
        <is>
          <t>605-81-66688</t>
        </is>
      </c>
      <c r="L132" s="1" t="inlineStr">
        <is>
          <t>211-87-71649</t>
        </is>
      </c>
      <c r="M132" s="168" t="inlineStr">
        <is>
          <t>128-81-72024</t>
        </is>
      </c>
    </row>
    <row r="133">
      <c r="A133" s="70" t="inlineStr">
        <is>
          <t>지역</t>
        </is>
      </c>
      <c r="B133" s="230" t="inlineStr">
        <is>
          <t>서울시 강남구</t>
        </is>
      </c>
      <c r="C133" s="1" t="inlineStr">
        <is>
          <t>서울시 서초구</t>
        </is>
      </c>
      <c r="D133" s="288" t="inlineStr">
        <is>
          <t>서울시 관악구</t>
        </is>
      </c>
      <c r="E133" s="230" t="inlineStr">
        <is>
          <t>서울시 강남구</t>
        </is>
      </c>
      <c r="F133" s="1" t="inlineStr">
        <is>
          <t>서울시 영등포구</t>
        </is>
      </c>
      <c r="G133" s="1" t="inlineStr">
        <is>
          <t>서울시 강서구</t>
        </is>
      </c>
      <c r="H133" s="1" t="inlineStr">
        <is>
          <t>서울시 동작구</t>
        </is>
      </c>
      <c r="I133" s="1" t="inlineStr">
        <is>
          <t>서울시 금천구</t>
        </is>
      </c>
      <c r="J133" s="1" t="inlineStr">
        <is>
          <t>서울시 강남구</t>
        </is>
      </c>
      <c r="K133" s="1" t="inlineStr">
        <is>
          <t>서울시 영등포구</t>
        </is>
      </c>
      <c r="L133" s="1" t="inlineStr">
        <is>
          <t>서울시 강남구</t>
        </is>
      </c>
      <c r="M133" s="167" t="inlineStr">
        <is>
          <t>서울시 서초구</t>
        </is>
      </c>
    </row>
    <row r="134">
      <c r="A134" s="69" t="inlineStr">
        <is>
          <t>통신시공능력</t>
        </is>
      </c>
      <c r="B134" s="712" t="n">
        <v>807400000</v>
      </c>
      <c r="C134" s="732" t="n">
        <v>9402500000</v>
      </c>
      <c r="D134" s="741" t="n">
        <v>1220500000</v>
      </c>
      <c r="E134" s="712" t="n">
        <v>7889600000</v>
      </c>
      <c r="F134" s="732" t="n">
        <v>12821000000</v>
      </c>
      <c r="G134" s="713" t="n">
        <v>743100000</v>
      </c>
      <c r="H134" s="713" t="n">
        <v>8093000000</v>
      </c>
      <c r="I134" s="713" t="n">
        <v>14943500000</v>
      </c>
      <c r="J134" s="713" t="n">
        <v>11344500000</v>
      </c>
      <c r="K134" s="732" t="n">
        <v>15309700000</v>
      </c>
      <c r="L134" s="713" t="n">
        <v>8753200000</v>
      </c>
      <c r="M134" s="717" t="n">
        <v>1194500000</v>
      </c>
    </row>
    <row r="135">
      <c r="A135" s="69" t="inlineStr">
        <is>
          <t>3년간 실적액</t>
        </is>
      </c>
      <c r="B135" s="712" t="n">
        <v>0</v>
      </c>
      <c r="C135" s="732" t="n">
        <v>18570938000</v>
      </c>
      <c r="D135" s="741" t="n">
        <v>450524000</v>
      </c>
      <c r="E135" s="712" t="n">
        <v>12928114000</v>
      </c>
      <c r="F135" s="732" t="n">
        <v>23997691000</v>
      </c>
      <c r="G135" s="713" t="n">
        <v>335901000</v>
      </c>
      <c r="H135" s="713" t="n">
        <v>10523597000</v>
      </c>
      <c r="I135" s="713" t="n">
        <v>19755412000</v>
      </c>
      <c r="J135" s="713" t="n">
        <v>10560115000</v>
      </c>
      <c r="K135" s="732" t="n">
        <v>24347970000</v>
      </c>
      <c r="L135" s="713" t="n">
        <v>9757058000</v>
      </c>
      <c r="M135" s="717" t="n">
        <v>1318443000</v>
      </c>
    </row>
    <row r="136">
      <c r="A136" s="69" t="inlineStr">
        <is>
          <t>5년간 실적액</t>
        </is>
      </c>
      <c r="B136" s="712" t="n">
        <v>0</v>
      </c>
      <c r="C136" s="732" t="n">
        <v>35828028000</v>
      </c>
      <c r="D136" s="741" t="n">
        <v>480802000</v>
      </c>
      <c r="E136" s="712" t="n">
        <v>19538352000</v>
      </c>
      <c r="F136" s="732" t="n">
        <v>32450863000</v>
      </c>
      <c r="G136" s="713" t="n">
        <v>463842000</v>
      </c>
      <c r="H136" s="713" t="n">
        <v>12647864000</v>
      </c>
      <c r="I136" s="713" t="n">
        <v>25947874000</v>
      </c>
      <c r="J136" s="713" t="n">
        <v>17799215000</v>
      </c>
      <c r="K136" s="732" t="n">
        <v>41417330000</v>
      </c>
      <c r="L136" s="713" t="n">
        <v>16234706000</v>
      </c>
      <c r="M136" s="717" t="n">
        <v>1318443000</v>
      </c>
    </row>
    <row r="137">
      <c r="A137" s="719" t="inlineStr">
        <is>
          <t>부채비율</t>
        </is>
      </c>
      <c r="B137" s="227" t="n">
        <v>0.3171</v>
      </c>
      <c r="C137" s="66" t="n">
        <v>3.59</v>
      </c>
      <c r="D137" s="285" t="n">
        <v>0.1738</v>
      </c>
      <c r="E137" s="235" t="n">
        <v>0.7862</v>
      </c>
      <c r="F137" s="66" t="n">
        <v>2.1776</v>
      </c>
      <c r="G137" s="35" t="n">
        <v>0.1803</v>
      </c>
      <c r="H137" s="35" t="n">
        <v>0.267</v>
      </c>
      <c r="I137" s="35" t="n">
        <v>0.6879</v>
      </c>
      <c r="J137" s="35" t="n">
        <v>0.3853</v>
      </c>
      <c r="K137" s="2" t="n">
        <v>0.3222</v>
      </c>
      <c r="L137" s="35" t="n">
        <v>0.7067</v>
      </c>
      <c r="M137" s="164" t="n">
        <v>0.8179000000000001</v>
      </c>
      <c r="N137" s="750" t="n"/>
    </row>
    <row r="138">
      <c r="A138" s="719" t="inlineStr">
        <is>
          <t>유동비율</t>
        </is>
      </c>
      <c r="B138" s="227" t="n">
        <v>3.5584</v>
      </c>
      <c r="C138" s="66" t="n">
        <v>1.0628</v>
      </c>
      <c r="D138" s="285" t="n">
        <v>9.3628</v>
      </c>
      <c r="E138" s="227" t="n">
        <v>9.123200000000001</v>
      </c>
      <c r="F138" s="66" t="n">
        <v>0.6732</v>
      </c>
      <c r="G138" s="35" t="n">
        <v>7.9938</v>
      </c>
      <c r="H138" s="35" t="n">
        <v>4.705</v>
      </c>
      <c r="I138" s="35" t="n">
        <v>2.7584</v>
      </c>
      <c r="J138" s="35" t="n">
        <v>3.1013</v>
      </c>
      <c r="K138" s="2" t="n">
        <v>13.2232</v>
      </c>
      <c r="L138" s="35" t="n">
        <v>5.1687</v>
      </c>
      <c r="M138" s="165" t="n">
        <v>3.475</v>
      </c>
      <c r="N138" s="750" t="n"/>
    </row>
    <row r="139" ht="21" customHeight="1" s="16">
      <c r="A139" s="720" t="inlineStr">
        <is>
          <t>영업기간
공사업등록일</t>
        </is>
      </c>
      <c r="B139" s="232" t="inlineStr">
        <is>
          <t>2022.05.30</t>
        </is>
      </c>
      <c r="C139" s="2" t="inlineStr">
        <is>
          <t>2003.09.01</t>
        </is>
      </c>
      <c r="D139" s="287" t="inlineStr">
        <is>
          <t>2002.04.26</t>
        </is>
      </c>
      <c r="E139" s="236" t="inlineStr">
        <is>
          <t>2011.12.01</t>
        </is>
      </c>
      <c r="F139" s="2" t="inlineStr">
        <is>
          <t>2012.09.07</t>
        </is>
      </c>
      <c r="G139" s="2" t="inlineStr">
        <is>
          <t>2001.08.18</t>
        </is>
      </c>
      <c r="H139" s="2" t="inlineStr">
        <is>
          <t>2004.05.08</t>
        </is>
      </c>
      <c r="I139" s="2" t="inlineStr">
        <is>
          <t>2003.03.08</t>
        </is>
      </c>
      <c r="J139" s="2" t="inlineStr">
        <is>
          <t>1990.01.23</t>
        </is>
      </c>
      <c r="K139" s="90" t="inlineStr">
        <is>
          <t>1998.10.20</t>
        </is>
      </c>
      <c r="L139" s="2" t="inlineStr">
        <is>
          <t>2005.11.22</t>
        </is>
      </c>
      <c r="M139" s="166" t="inlineStr">
        <is>
          <t>2022.07.13</t>
        </is>
      </c>
    </row>
    <row r="140" ht="22.5" customHeight="1" s="16">
      <c r="A140" s="69" t="inlineStr">
        <is>
          <t>신용평가</t>
        </is>
      </c>
      <c r="B140" s="724" t="inlineStr">
        <is>
          <t>A+
(25.04.03~26.04.02)</t>
        </is>
      </c>
      <c r="C140" s="153" t="inlineStr">
        <is>
          <t>BBBO
(20.05.14~21.05.13)</t>
        </is>
      </c>
      <c r="D140" s="152" t="inlineStr">
        <is>
          <t>BB0
(25.04.29~26.04.28)</t>
        </is>
      </c>
      <c r="E140" s="152" t="inlineStr">
        <is>
          <t>BBB-
(25.04.15~26.04.14)</t>
        </is>
      </c>
      <c r="F140" s="49" t="n"/>
      <c r="G140" s="723" t="n"/>
      <c r="H140" s="723" t="n"/>
      <c r="I140" s="723" t="n"/>
      <c r="J140" s="723" t="n"/>
      <c r="K140" s="49" t="n"/>
      <c r="L140" s="723" t="n"/>
      <c r="M140" s="152" t="inlineStr">
        <is>
          <t>BB0
(25.04.03~26.04.02)</t>
        </is>
      </c>
    </row>
    <row r="141">
      <c r="A141" s="71" t="inlineStr">
        <is>
          <t>여성기업</t>
        </is>
      </c>
      <c r="B141" s="738" t="n"/>
      <c r="C141" s="54" t="n"/>
      <c r="D141" s="295" t="n"/>
      <c r="E141" s="237" t="n"/>
      <c r="F141" s="54" t="n"/>
      <c r="G141" s="723" t="n"/>
      <c r="H141" s="723" t="n"/>
      <c r="I141" s="723" t="n"/>
      <c r="J141" s="723" t="n"/>
      <c r="K141" s="49" t="n"/>
      <c r="L141" s="723" t="n"/>
      <c r="M141" s="766" t="n"/>
    </row>
    <row r="142">
      <c r="A142" s="71" t="inlineStr">
        <is>
          <t>중소기업</t>
        </is>
      </c>
      <c r="B142" s="738" t="n"/>
      <c r="C142" s="54" t="n"/>
      <c r="D142" s="295" t="n"/>
      <c r="E142" s="237" t="n"/>
      <c r="F142" s="54" t="n"/>
      <c r="G142" s="723" t="n"/>
      <c r="H142" s="723" t="n"/>
      <c r="I142" s="723" t="n"/>
      <c r="J142" s="723" t="n"/>
      <c r="K142" s="49" t="n"/>
      <c r="L142" s="723" t="n"/>
      <c r="M142" s="766" t="n"/>
    </row>
    <row r="143">
      <c r="A143" s="72" t="inlineStr">
        <is>
          <t>일자리창출실적</t>
        </is>
      </c>
      <c r="B143" s="738" t="n"/>
      <c r="C143" s="54" t="n"/>
      <c r="D143" s="295" t="n"/>
      <c r="E143" s="237" t="n"/>
      <c r="F143" s="54" t="n"/>
      <c r="G143" s="723" t="n"/>
      <c r="H143" s="723" t="n"/>
      <c r="I143" s="723" t="n"/>
      <c r="J143" s="723" t="n"/>
      <c r="K143" s="49" t="n"/>
      <c r="L143" s="723" t="n"/>
      <c r="M143" s="766" t="n"/>
    </row>
    <row r="144">
      <c r="A144" s="72" t="inlineStr">
        <is>
          <t>시공품질평가</t>
        </is>
      </c>
      <c r="B144" s="726" t="inlineStr">
        <is>
          <t>없음 (25.05.01)</t>
        </is>
      </c>
      <c r="C144" s="54" t="n"/>
      <c r="D144" s="295" t="n"/>
      <c r="E144" s="238" t="inlineStr">
        <is>
          <t>없음 (25.05.01)</t>
        </is>
      </c>
      <c r="F144" s="54" t="n"/>
      <c r="G144" s="723" t="n"/>
      <c r="H144" s="723" t="n"/>
      <c r="I144" s="723" t="n"/>
      <c r="J144" s="723" t="n"/>
      <c r="K144" s="49" t="n"/>
      <c r="L144" s="723" t="n"/>
      <c r="M144" s="152" t="inlineStr">
        <is>
          <t>없음 (25.05.01)</t>
        </is>
      </c>
    </row>
    <row r="145" ht="22.5" customHeight="1" s="16">
      <c r="A145" s="69" t="inlineStr">
        <is>
          <t>비 고</t>
        </is>
      </c>
      <c r="B145" s="767" t="inlineStr">
        <is>
          <t>박용규</t>
        </is>
      </c>
      <c r="C145" s="1" t="inlineStr">
        <is>
          <t>송동은</t>
        </is>
      </c>
      <c r="D145" s="288" t="inlineStr">
        <is>
          <t>이동훈</t>
        </is>
      </c>
      <c r="E145" s="230" t="inlineStr">
        <is>
          <t>김기성</t>
        </is>
      </c>
      <c r="F145" s="1" t="inlineStr">
        <is>
          <t>김희준</t>
        </is>
      </c>
      <c r="G145" s="748" t="n"/>
      <c r="H145" s="730" t="inlineStr">
        <is>
          <t>구본진</t>
        </is>
      </c>
      <c r="I145" s="730" t="inlineStr">
        <is>
          <t>임태균</t>
        </is>
      </c>
      <c r="J145" s="730" t="inlineStr">
        <is>
          <t>구본진</t>
        </is>
      </c>
      <c r="K145" s="1" t="inlineStr">
        <is>
          <t>박현식</t>
        </is>
      </c>
      <c r="L145" s="730" t="inlineStr">
        <is>
          <t>구본진</t>
        </is>
      </c>
      <c r="M145" s="768" t="inlineStr">
        <is>
          <t>중소기업확인서
(23.04.01~24.03.31)</t>
        </is>
      </c>
    </row>
    <row r="146" ht="26.1" customHeight="1" s="16">
      <c r="A146" s="455" t="inlineStr">
        <is>
          <t>회사명</t>
        </is>
      </c>
      <c r="B146" s="455" t="inlineStr">
        <is>
          <t>㈜스타버킷</t>
        </is>
      </c>
      <c r="C146" s="455" t="inlineStr">
        <is>
          <t>일렉파워㈜</t>
        </is>
      </c>
      <c r="D146" s="455" t="inlineStr">
        <is>
          <t>이화공영㈜</t>
        </is>
      </c>
      <c r="E146" s="455" t="inlineStr">
        <is>
          <t>(주)시공이엔씨</t>
        </is>
      </c>
      <c r="F146" s="455" t="inlineStr">
        <is>
          <t>㈜세보엠이씨</t>
        </is>
      </c>
      <c r="G146" s="455" t="inlineStr">
        <is>
          <t>㈜통광</t>
        </is>
      </c>
      <c r="H146" s="455" t="inlineStr">
        <is>
          <t>㈜드림엔지니어링</t>
        </is>
      </c>
      <c r="I146" s="455" t="inlineStr">
        <is>
          <t>㈜넥스파시스템</t>
        </is>
      </c>
      <c r="J146" s="455" t="inlineStr">
        <is>
          <t>㈜네스터원</t>
        </is>
      </c>
      <c r="K146" s="455" t="inlineStr">
        <is>
          <t>㈜성우일렉콤</t>
        </is>
      </c>
      <c r="L146" s="455" t="inlineStr">
        <is>
          <t>㈜일신이앤드씨</t>
        </is>
      </c>
      <c r="M146" s="455" t="inlineStr">
        <is>
          <t>㈜연일전력</t>
        </is>
      </c>
    </row>
    <row r="147">
      <c r="A147" s="69" t="inlineStr">
        <is>
          <t>대표자</t>
        </is>
      </c>
      <c r="B147" s="181" t="inlineStr">
        <is>
          <t>김영섭</t>
        </is>
      </c>
      <c r="C147" s="214" t="inlineStr">
        <is>
          <t>김성호</t>
        </is>
      </c>
      <c r="D147" s="388" t="inlineStr">
        <is>
          <t>최삼규</t>
        </is>
      </c>
      <c r="E147" s="445" t="inlineStr">
        <is>
          <t>황호진</t>
        </is>
      </c>
      <c r="F147" s="9" t="inlineStr">
        <is>
          <t>김우영</t>
        </is>
      </c>
      <c r="G147" s="9" t="inlineStr">
        <is>
          <t>박용준</t>
        </is>
      </c>
      <c r="H147" s="9" t="inlineStr">
        <is>
          <t>오진택</t>
        </is>
      </c>
      <c r="I147" s="9" t="inlineStr">
        <is>
          <t>손주섭</t>
        </is>
      </c>
      <c r="J147" s="9" t="inlineStr">
        <is>
          <t>박경웅</t>
        </is>
      </c>
      <c r="K147" s="9" t="inlineStr">
        <is>
          <t>최종국</t>
        </is>
      </c>
      <c r="L147" s="9" t="inlineStr">
        <is>
          <t>홍영남</t>
        </is>
      </c>
      <c r="M147" s="441" t="inlineStr">
        <is>
          <t>최희성</t>
        </is>
      </c>
    </row>
    <row r="148">
      <c r="A148" s="70" t="inlineStr">
        <is>
          <t>사업자번호</t>
        </is>
      </c>
      <c r="B148" s="179" t="inlineStr">
        <is>
          <t>119-86-87872</t>
        </is>
      </c>
      <c r="C148" s="215" t="inlineStr">
        <is>
          <t>212-81-53400</t>
        </is>
      </c>
      <c r="D148" s="389" t="inlineStr">
        <is>
          <t>105-81-11500</t>
        </is>
      </c>
      <c r="E148" s="445" t="inlineStr">
        <is>
          <t>215-86-23647</t>
        </is>
      </c>
      <c r="F148" s="9" t="inlineStr">
        <is>
          <t>118-81-00241</t>
        </is>
      </c>
      <c r="G148" s="9" t="inlineStr">
        <is>
          <t>209-81-13590</t>
        </is>
      </c>
      <c r="H148" s="9" t="inlineStr">
        <is>
          <t>108-86-12371</t>
        </is>
      </c>
      <c r="I148" s="9" t="inlineStr">
        <is>
          <t>206-81-88409</t>
        </is>
      </c>
      <c r="J148" s="9" t="inlineStr">
        <is>
          <t>105-86-79392</t>
        </is>
      </c>
      <c r="K148" s="9" t="inlineStr">
        <is>
          <t>262-88-02128</t>
        </is>
      </c>
      <c r="L148" s="9" t="inlineStr">
        <is>
          <t>220-81-10305</t>
        </is>
      </c>
      <c r="M148" s="445" t="inlineStr">
        <is>
          <t>212-81-66939</t>
        </is>
      </c>
    </row>
    <row r="149">
      <c r="A149" s="70" t="inlineStr">
        <is>
          <t>지역</t>
        </is>
      </c>
      <c r="B149" s="180" t="inlineStr">
        <is>
          <t>서울 금천구</t>
        </is>
      </c>
      <c r="C149" s="214" t="inlineStr">
        <is>
          <t>서울 강남구</t>
        </is>
      </c>
      <c r="D149" s="388" t="inlineStr">
        <is>
          <t>서울 마포구</t>
        </is>
      </c>
      <c r="E149" s="445" t="inlineStr">
        <is>
          <t>서울시 금천구</t>
        </is>
      </c>
      <c r="F149" s="9" t="inlineStr">
        <is>
          <t>서울 서초구</t>
        </is>
      </c>
      <c r="G149" s="9" t="inlineStr">
        <is>
          <t>서울 성복구</t>
        </is>
      </c>
      <c r="H149" s="9" t="inlineStr">
        <is>
          <t>서울 영등포구</t>
        </is>
      </c>
      <c r="I149" s="9" t="inlineStr">
        <is>
          <t>서울 송파구</t>
        </is>
      </c>
      <c r="J149" s="9" t="inlineStr">
        <is>
          <t>서울 마포구</t>
        </is>
      </c>
      <c r="K149" s="9" t="inlineStr">
        <is>
          <t>서울 중랑구</t>
        </is>
      </c>
      <c r="L149" s="9" t="inlineStr">
        <is>
          <t>서울 서초구</t>
        </is>
      </c>
      <c r="M149" s="441" t="inlineStr">
        <is>
          <t>서울 송파구</t>
        </is>
      </c>
    </row>
    <row r="150">
      <c r="A150" s="69" t="inlineStr">
        <is>
          <t>통신시공능력</t>
        </is>
      </c>
      <c r="B150" s="769" t="n">
        <v>4931800000</v>
      </c>
      <c r="C150" s="770" t="n">
        <v>759200000</v>
      </c>
      <c r="D150" s="771" t="n">
        <v>1168200000</v>
      </c>
      <c r="E150" s="742" t="n">
        <v>1841800000</v>
      </c>
      <c r="F150" s="752" t="n">
        <v>2499100000</v>
      </c>
      <c r="G150" s="716" t="n">
        <v>2795900000</v>
      </c>
      <c r="H150" s="716" t="n">
        <v>683100000</v>
      </c>
      <c r="I150" s="716" t="n">
        <v>30029200000</v>
      </c>
      <c r="J150" s="716" t="n">
        <v>523000000</v>
      </c>
      <c r="K150" s="752" t="n">
        <v>2599800000</v>
      </c>
      <c r="L150" s="716" t="n">
        <v>1299000000</v>
      </c>
      <c r="M150" s="742" t="n">
        <v>2411100000</v>
      </c>
    </row>
    <row r="151">
      <c r="A151" s="69" t="inlineStr">
        <is>
          <t>3년간 실적액</t>
        </is>
      </c>
      <c r="B151" s="769" t="n">
        <v>8822875000</v>
      </c>
      <c r="C151" s="770" t="n">
        <v>534196000</v>
      </c>
      <c r="D151" s="771" t="n">
        <v>1804595000</v>
      </c>
      <c r="E151" s="742" t="n">
        <v>1771380000</v>
      </c>
      <c r="F151" s="752" t="n">
        <v>0</v>
      </c>
      <c r="G151" s="716" t="n">
        <v>4507025000</v>
      </c>
      <c r="H151" s="716" t="n"/>
      <c r="I151" s="716" t="n">
        <v>53321656000</v>
      </c>
      <c r="J151" s="716" t="n">
        <v>0</v>
      </c>
      <c r="K151" s="752" t="n">
        <v>4225781000</v>
      </c>
      <c r="L151" s="716" t="n">
        <v>510181000</v>
      </c>
      <c r="M151" s="742" t="n">
        <v>851459000</v>
      </c>
    </row>
    <row r="152">
      <c r="A152" s="69" t="inlineStr">
        <is>
          <t>5년간 실적액</t>
        </is>
      </c>
      <c r="B152" s="769" t="n">
        <v>9826016000</v>
      </c>
      <c r="C152" s="770" t="n">
        <v>2350382000</v>
      </c>
      <c r="D152" s="771" t="n">
        <v>2662105000</v>
      </c>
      <c r="E152" s="742" t="n">
        <v>2243739000</v>
      </c>
      <c r="F152" s="752" t="n">
        <v>0</v>
      </c>
      <c r="G152" s="716" t="n">
        <v>8058877000</v>
      </c>
      <c r="H152" s="716" t="n"/>
      <c r="I152" s="716" t="n">
        <v>88427155000</v>
      </c>
      <c r="J152" s="716" t="n">
        <v>0</v>
      </c>
      <c r="K152" s="752" t="n">
        <v>17998321000</v>
      </c>
      <c r="L152" s="716" t="n">
        <v>814049000</v>
      </c>
      <c r="M152" s="742" t="n">
        <v>851459000</v>
      </c>
    </row>
    <row r="153">
      <c r="A153" s="719" t="inlineStr">
        <is>
          <t>부채비율</t>
        </is>
      </c>
      <c r="B153" s="182" t="n">
        <v>3.1561</v>
      </c>
      <c r="C153" s="216" t="n">
        <v>1.8091</v>
      </c>
      <c r="D153" s="390" t="n">
        <v>2.8776</v>
      </c>
      <c r="E153" s="443" t="n">
        <v>0.4021</v>
      </c>
      <c r="F153" s="48" t="n">
        <v>1.4249</v>
      </c>
      <c r="G153" s="48" t="n">
        <v>1.6637</v>
      </c>
      <c r="H153" s="48" t="n">
        <v>2.4348</v>
      </c>
      <c r="I153" s="48" t="n">
        <v>0.9372</v>
      </c>
      <c r="J153" s="40" t="n">
        <v>0.5545</v>
      </c>
      <c r="K153" s="48" t="n">
        <v>0.6982</v>
      </c>
      <c r="L153" s="48" t="n">
        <v>0.8722</v>
      </c>
      <c r="M153" s="442" t="n">
        <v>1.2403</v>
      </c>
    </row>
    <row r="154">
      <c r="A154" s="719" t="inlineStr">
        <is>
          <t>유동비율</t>
        </is>
      </c>
      <c r="B154" s="182" t="n">
        <v>0.9704999999999999</v>
      </c>
      <c r="C154" s="217" t="n">
        <v>2.5698</v>
      </c>
      <c r="D154" s="390" t="n">
        <v>0.8508</v>
      </c>
      <c r="E154" s="443" t="n">
        <v>2.911</v>
      </c>
      <c r="F154" s="48" t="n">
        <v>1.497</v>
      </c>
      <c r="G154" s="48" t="n">
        <v>1.4374</v>
      </c>
      <c r="H154" s="40" t="n">
        <v>3.5763</v>
      </c>
      <c r="I154" s="48" t="n">
        <v>1.7009</v>
      </c>
      <c r="J154" s="40" t="n">
        <v>2.74</v>
      </c>
      <c r="K154" s="48" t="n">
        <v>2.0336</v>
      </c>
      <c r="L154" s="40" t="n">
        <v>7.1901</v>
      </c>
      <c r="M154" s="442" t="n">
        <v>1.4006</v>
      </c>
    </row>
    <row r="155" ht="21" customHeight="1" s="16">
      <c r="A155" s="720" t="inlineStr">
        <is>
          <t>영업기간
공사업등록일</t>
        </is>
      </c>
      <c r="B155" s="183" t="inlineStr">
        <is>
          <t>2021.08.24</t>
        </is>
      </c>
      <c r="C155" s="223" t="inlineStr">
        <is>
          <t>2005.11.17</t>
        </is>
      </c>
      <c r="D155" s="391" t="inlineStr">
        <is>
          <t>2006.08.04</t>
        </is>
      </c>
      <c r="E155" s="449" t="inlineStr">
        <is>
          <t>2016.07.08</t>
        </is>
      </c>
      <c r="F155" s="10" t="inlineStr">
        <is>
          <t>2016.08.26</t>
        </is>
      </c>
      <c r="G155" s="10" t="inlineStr">
        <is>
          <t>1995.10.24</t>
        </is>
      </c>
      <c r="H155" s="10" t="inlineStr">
        <is>
          <t>2023.01.31</t>
        </is>
      </c>
      <c r="I155" s="10" t="inlineStr">
        <is>
          <t>2005.04.21</t>
        </is>
      </c>
      <c r="J155" s="10" t="inlineStr">
        <is>
          <t>2023.11.10</t>
        </is>
      </c>
      <c r="K155" s="11" t="inlineStr">
        <is>
          <t>2003.03.21</t>
        </is>
      </c>
      <c r="L155" s="10" t="inlineStr">
        <is>
          <t>2001.02.27</t>
        </is>
      </c>
      <c r="M155" s="446" t="inlineStr">
        <is>
          <t>2018.11.27</t>
        </is>
      </c>
    </row>
    <row r="156" ht="22.5" customHeight="1" s="16">
      <c r="A156" s="69" t="inlineStr">
        <is>
          <t>신용평가</t>
        </is>
      </c>
      <c r="B156" s="724" t="inlineStr">
        <is>
          <t>BB0
(25.04.22~26.04.21)</t>
        </is>
      </c>
      <c r="C156" s="158" t="inlineStr">
        <is>
          <t>BBO
(25.06.26~26.02.25)</t>
        </is>
      </c>
      <c r="D156" s="384" t="inlineStr">
        <is>
          <t>BB0
(25.08.26~26.06.30)</t>
        </is>
      </c>
      <c r="E156" s="772" t="n"/>
      <c r="F156" s="410" t="inlineStr">
        <is>
          <t>A-
(25.06.23~26.06.22)</t>
        </is>
      </c>
      <c r="G156" s="429" t="inlineStr">
        <is>
          <t>A-
(25.04.24~26.04.23)</t>
        </is>
      </c>
      <c r="H156" s="725" t="inlineStr">
        <is>
          <t>BB+
(23.04.25~24.04.24)</t>
        </is>
      </c>
      <c r="I156" s="725" t="inlineStr">
        <is>
          <t>BBB+
(23.05.04~24.05.03)</t>
        </is>
      </c>
      <c r="J156" s="723" t="n"/>
      <c r="K156" s="725" t="inlineStr">
        <is>
          <t>BB0
(24.05.22~25.05.21)</t>
        </is>
      </c>
      <c r="L156" s="725" t="inlineStr">
        <is>
          <t>BB+
(23.05.04~24.05.03)</t>
        </is>
      </c>
      <c r="M156" s="153" t="inlineStr">
        <is>
          <t>BB0
(24.04.22~25.04.21)</t>
        </is>
      </c>
    </row>
    <row r="157">
      <c r="A157" s="71" t="inlineStr">
        <is>
          <t>여성기업</t>
        </is>
      </c>
      <c r="B157" s="773" t="n"/>
      <c r="C157" s="211" t="n"/>
      <c r="D157" s="392" t="n"/>
      <c r="E157" s="456" t="n"/>
      <c r="F157" s="54" t="n"/>
      <c r="G157" s="723" t="n"/>
      <c r="H157" s="723" t="n"/>
      <c r="I157" s="723" t="n"/>
      <c r="J157" s="723" t="n"/>
      <c r="K157" s="49" t="n"/>
      <c r="L157" s="723" t="n"/>
      <c r="M157" s="774" t="n"/>
    </row>
    <row r="158">
      <c r="A158" s="71" t="inlineStr">
        <is>
          <t>중소기업</t>
        </is>
      </c>
      <c r="B158" s="773" t="n"/>
      <c r="C158" s="211" t="n"/>
      <c r="D158" s="392" t="n"/>
      <c r="E158" s="7" t="n"/>
      <c r="F158" s="54" t="n"/>
      <c r="G158" s="723" t="n"/>
      <c r="H158" s="723" t="n"/>
      <c r="I158" s="723" t="n"/>
      <c r="J158" s="723" t="n"/>
      <c r="K158" s="49" t="n"/>
      <c r="L158" s="723" t="n"/>
      <c r="M158" s="774" t="n"/>
    </row>
    <row r="159">
      <c r="A159" s="72" t="inlineStr">
        <is>
          <t>일자리창출실적</t>
        </is>
      </c>
      <c r="B159" s="773" t="n"/>
      <c r="C159" s="211" t="n"/>
      <c r="D159" s="392" t="n"/>
      <c r="E159" s="456" t="n"/>
      <c r="F159" s="54" t="n"/>
      <c r="G159" s="723" t="n"/>
      <c r="H159" s="723" t="n"/>
      <c r="I159" s="723" t="n"/>
      <c r="J159" s="723" t="n"/>
      <c r="K159" s="49" t="n"/>
      <c r="L159" s="723" t="n"/>
      <c r="M159" s="774" t="n"/>
    </row>
    <row r="160">
      <c r="A160" s="72" t="inlineStr">
        <is>
          <t>시공품질평가</t>
        </is>
      </c>
      <c r="B160" s="773" t="n"/>
      <c r="C160" s="219" t="inlineStr">
        <is>
          <t>없음 (25.05.01)</t>
        </is>
      </c>
      <c r="D160" s="393" t="inlineStr">
        <is>
          <t>없음(24.05.01)</t>
        </is>
      </c>
      <c r="E160" s="456" t="n"/>
      <c r="F160" s="54" t="n"/>
      <c r="G160" s="723" t="n"/>
      <c r="H160" s="723" t="n"/>
      <c r="I160" s="723" t="n"/>
      <c r="J160" s="723" t="n"/>
      <c r="K160" s="49" t="n"/>
      <c r="L160" s="723" t="n"/>
      <c r="M160" s="774" t="n"/>
    </row>
    <row r="161" ht="22.5" customHeight="1" s="16">
      <c r="A161" s="69" t="inlineStr">
        <is>
          <t>비 고</t>
        </is>
      </c>
      <c r="B161" s="775" t="inlineStr">
        <is>
          <t>최진규</t>
        </is>
      </c>
      <c r="C161" s="214" t="n"/>
      <c r="D161" s="388" t="inlineStr">
        <is>
          <t>김성훈</t>
        </is>
      </c>
      <c r="E161" s="445" t="inlineStr">
        <is>
          <t>구본진</t>
        </is>
      </c>
      <c r="F161" s="9" t="inlineStr">
        <is>
          <t>서보조정</t>
        </is>
      </c>
      <c r="G161" s="748" t="n"/>
      <c r="H161" s="758" t="inlineStr">
        <is>
          <t>중소기업확인서
(23.03.31~24.03.31)</t>
        </is>
      </c>
      <c r="I161" s="758" t="inlineStr">
        <is>
          <t>서권형</t>
        </is>
      </c>
      <c r="J161" s="758" t="inlineStr">
        <is>
          <t>박재웅</t>
        </is>
      </c>
      <c r="K161" s="9" t="inlineStr">
        <is>
          <t>김희준</t>
        </is>
      </c>
      <c r="L161" s="758" t="inlineStr">
        <is>
          <t>박성균</t>
        </is>
      </c>
      <c r="M161" s="776" t="inlineStr">
        <is>
          <t>윤명숙</t>
        </is>
      </c>
    </row>
    <row r="162" ht="26.1" customHeight="1" s="16">
      <c r="A162" s="455" t="inlineStr">
        <is>
          <t>회사명</t>
        </is>
      </c>
      <c r="B162" s="455" t="inlineStr">
        <is>
          <t>오엔씨네트웍스㈜</t>
        </is>
      </c>
      <c r="C162" s="455" t="inlineStr">
        <is>
          <t>㈜에스에이치전기</t>
        </is>
      </c>
      <c r="D162" s="455" t="inlineStr">
        <is>
          <t>오리엔트㈜</t>
        </is>
      </c>
      <c r="E162" s="455" t="inlineStr">
        <is>
          <t>(주)페리도트테크</t>
        </is>
      </c>
      <c r="F162" s="461" t="inlineStr">
        <is>
          <t>(주)케이이에스전기공사</t>
        </is>
      </c>
      <c r="G162" s="455" t="inlineStr">
        <is>
          <t>써큐리티㈜</t>
        </is>
      </c>
      <c r="H162" s="455" t="inlineStr">
        <is>
          <t>신원전설㈜</t>
        </is>
      </c>
      <c r="I162" s="455" t="inlineStr">
        <is>
          <t>㈜테스콤엔지니어링</t>
        </is>
      </c>
      <c r="J162" s="455" t="inlineStr">
        <is>
          <t>㈜정안디엔씨</t>
        </is>
      </c>
      <c r="K162" s="455" t="inlineStr">
        <is>
          <t>썬비트에너지</t>
        </is>
      </c>
      <c r="L162" s="455" t="inlineStr">
        <is>
          <t>㈜대한전력</t>
        </is>
      </c>
      <c r="M162" s="455" t="inlineStr">
        <is>
          <t>㈜경천일렉콤</t>
        </is>
      </c>
    </row>
    <row r="163">
      <c r="A163" s="69" t="inlineStr">
        <is>
          <t>대표자</t>
        </is>
      </c>
      <c r="B163" s="104" t="inlineStr">
        <is>
          <t>김정서</t>
        </is>
      </c>
      <c r="C163" s="9" t="inlineStr">
        <is>
          <t>김성태</t>
        </is>
      </c>
      <c r="D163" s="93" t="inlineStr">
        <is>
          <t>이경호</t>
        </is>
      </c>
      <c r="E163" s="93" t="inlineStr">
        <is>
          <t>석민기</t>
        </is>
      </c>
      <c r="F163" s="244" t="inlineStr">
        <is>
          <t>강성진</t>
        </is>
      </c>
      <c r="G163" s="93" t="inlineStr">
        <is>
          <t>공승길</t>
        </is>
      </c>
      <c r="H163" s="93" t="inlineStr">
        <is>
          <t>신인호</t>
        </is>
      </c>
      <c r="I163" s="93" t="inlineStr">
        <is>
          <t>박영복</t>
        </is>
      </c>
      <c r="J163" s="300" t="inlineStr">
        <is>
          <t>이학용 외 1인</t>
        </is>
      </c>
      <c r="K163" s="151" t="inlineStr">
        <is>
          <t>박성숙</t>
        </is>
      </c>
      <c r="L163" s="330" t="inlineStr">
        <is>
          <t>김미경</t>
        </is>
      </c>
      <c r="M163" s="330" t="inlineStr">
        <is>
          <t>유건준</t>
        </is>
      </c>
    </row>
    <row r="164">
      <c r="A164" s="70" t="inlineStr">
        <is>
          <t>사업자번호</t>
        </is>
      </c>
      <c r="B164" s="9" t="inlineStr">
        <is>
          <t>215-81-94400</t>
        </is>
      </c>
      <c r="C164" s="9" t="inlineStr">
        <is>
          <t>110-81-75767</t>
        </is>
      </c>
      <c r="D164" s="93" t="inlineStr">
        <is>
          <t>111-81-24994</t>
        </is>
      </c>
      <c r="E164" s="93" t="inlineStr">
        <is>
          <t>461-81-00261</t>
        </is>
      </c>
      <c r="F164" s="245" t="inlineStr">
        <is>
          <t>214-87-05513</t>
        </is>
      </c>
      <c r="G164" s="93" t="inlineStr">
        <is>
          <t>362-87-00817</t>
        </is>
      </c>
      <c r="H164" s="93" t="inlineStr">
        <is>
          <t>111-81-01759</t>
        </is>
      </c>
      <c r="I164" s="93" t="inlineStr">
        <is>
          <t>229-81-09203</t>
        </is>
      </c>
      <c r="J164" s="301" t="inlineStr">
        <is>
          <t>129-81-70451</t>
        </is>
      </c>
      <c r="K164" s="151" t="inlineStr">
        <is>
          <t>106-81-27039</t>
        </is>
      </c>
      <c r="L164" s="335" t="inlineStr">
        <is>
          <t>210-81-73069</t>
        </is>
      </c>
      <c r="M164" s="335" t="inlineStr">
        <is>
          <t>231-81-06475</t>
        </is>
      </c>
    </row>
    <row r="165">
      <c r="A165" s="70" t="inlineStr">
        <is>
          <t>지역</t>
        </is>
      </c>
      <c r="B165" s="9" t="inlineStr">
        <is>
          <t>서울 강남구</t>
        </is>
      </c>
      <c r="C165" s="9" t="inlineStr">
        <is>
          <t>서울 은평구</t>
        </is>
      </c>
      <c r="D165" s="93" t="inlineStr">
        <is>
          <t>서울 금천구</t>
        </is>
      </c>
      <c r="E165" s="93" t="inlineStr">
        <is>
          <t>서울 강남구</t>
        </is>
      </c>
      <c r="F165" s="244" t="inlineStr">
        <is>
          <t>서울 서초구</t>
        </is>
      </c>
      <c r="G165" s="93" t="inlineStr">
        <is>
          <t>서울 금천구</t>
        </is>
      </c>
      <c r="H165" s="93" t="inlineStr">
        <is>
          <t>서울 은평구</t>
        </is>
      </c>
      <c r="I165" s="93" t="inlineStr">
        <is>
          <t>서울 영등포구</t>
        </is>
      </c>
      <c r="J165" s="300" t="inlineStr">
        <is>
          <t>서울특별시 송파구</t>
        </is>
      </c>
      <c r="K165" s="151" t="inlineStr">
        <is>
          <t>서울특별시 용산구</t>
        </is>
      </c>
      <c r="L165" s="330" t="inlineStr">
        <is>
          <t>서울특별시 도봉구</t>
        </is>
      </c>
      <c r="M165" s="330" t="inlineStr">
        <is>
          <t>서울특별시 도봉구</t>
        </is>
      </c>
    </row>
    <row r="166">
      <c r="A166" s="69" t="inlineStr">
        <is>
          <t>통신시공능력</t>
        </is>
      </c>
      <c r="B166" s="716" t="n">
        <v>6211100000</v>
      </c>
      <c r="C166" s="752" t="n">
        <v>2000000000</v>
      </c>
      <c r="D166" s="777" t="n">
        <v>45401300000</v>
      </c>
      <c r="E166" s="760" t="n">
        <v>1883400000</v>
      </c>
      <c r="F166" s="740" t="n">
        <v>2756500000</v>
      </c>
      <c r="G166" s="760" t="n">
        <v>4116300000</v>
      </c>
      <c r="H166" s="760" t="n">
        <v>1954500000</v>
      </c>
      <c r="I166" s="760" t="n">
        <v>6421100000</v>
      </c>
      <c r="J166" s="778" t="n">
        <v>4736900000</v>
      </c>
      <c r="K166" s="752" t="n"/>
      <c r="L166" s="779" t="n">
        <v>2366400000</v>
      </c>
      <c r="M166" s="779" t="n">
        <v>1250200000</v>
      </c>
    </row>
    <row r="167">
      <c r="A167" s="69" t="inlineStr">
        <is>
          <t>3년간 실적액</t>
        </is>
      </c>
      <c r="B167" s="716" t="n">
        <v>5531776000</v>
      </c>
      <c r="C167" s="752" t="n">
        <v>3315525000</v>
      </c>
      <c r="D167" s="777" t="n">
        <v>86786625000</v>
      </c>
      <c r="E167" s="760" t="n">
        <v>0</v>
      </c>
      <c r="F167" s="740" t="n">
        <v>3276260000</v>
      </c>
      <c r="G167" s="760" t="n">
        <v>2696324000</v>
      </c>
      <c r="H167" s="760" t="n">
        <v>0</v>
      </c>
      <c r="I167" s="760" t="n">
        <v>7422340000</v>
      </c>
      <c r="J167" s="778" t="n">
        <v>7971100000</v>
      </c>
      <c r="K167" s="752" t="n"/>
      <c r="L167" s="779" t="n">
        <v>2712343000</v>
      </c>
      <c r="M167" s="779" t="n">
        <v>1691686000</v>
      </c>
    </row>
    <row r="168">
      <c r="A168" s="69" t="inlineStr">
        <is>
          <t>5년간 실적액</t>
        </is>
      </c>
      <c r="B168" s="716" t="n">
        <v>25015769000</v>
      </c>
      <c r="C168" s="752" t="n">
        <v>5140428000</v>
      </c>
      <c r="D168" s="777" t="n">
        <v>138709529000</v>
      </c>
      <c r="E168" s="760" t="n">
        <v>0</v>
      </c>
      <c r="F168" s="740" t="n">
        <v>4455786000</v>
      </c>
      <c r="G168" s="760" t="n">
        <v>3207544000</v>
      </c>
      <c r="H168" s="760" t="n">
        <v>19867000</v>
      </c>
      <c r="I168" s="760" t="n">
        <v>9825313000</v>
      </c>
      <c r="J168" s="778" t="n">
        <v>16302889000</v>
      </c>
      <c r="K168" s="752" t="n"/>
      <c r="L168" s="779" t="n">
        <v>4485200000</v>
      </c>
      <c r="M168" s="779" t="n">
        <v>3361922000</v>
      </c>
    </row>
    <row r="169">
      <c r="A169" s="719" t="inlineStr">
        <is>
          <t>부채비율</t>
        </is>
      </c>
      <c r="B169" s="47" t="n">
        <v>0.0231</v>
      </c>
      <c r="C169" s="47" t="n">
        <v>0.6292</v>
      </c>
      <c r="D169" s="95" t="n">
        <v>1.0579</v>
      </c>
      <c r="E169" s="95" t="n">
        <v>1.1847</v>
      </c>
      <c r="F169" s="252" t="n">
        <v>0.0935</v>
      </c>
      <c r="G169" s="95" t="n">
        <v>1.1906</v>
      </c>
      <c r="H169" s="97" t="n">
        <v>0.0083</v>
      </c>
      <c r="I169" s="95" t="n">
        <v>0.7227</v>
      </c>
      <c r="J169" s="302" t="n">
        <v>1.2129</v>
      </c>
      <c r="K169" s="10" t="n"/>
      <c r="L169" s="332" t="n">
        <v>0.3896</v>
      </c>
      <c r="M169" s="332" t="n">
        <v>0.4218</v>
      </c>
    </row>
    <row r="170">
      <c r="A170" s="719" t="inlineStr">
        <is>
          <t>유동비율</t>
        </is>
      </c>
      <c r="B170" s="47" t="n">
        <v>36.7989</v>
      </c>
      <c r="C170" s="47" t="n">
        <v>6.6077</v>
      </c>
      <c r="D170" s="95" t="n">
        <v>1.7245</v>
      </c>
      <c r="E170" s="101" t="n">
        <v>3.595</v>
      </c>
      <c r="F170" s="252" t="n">
        <v>4.8067</v>
      </c>
      <c r="G170" s="97" t="n">
        <v>2.838</v>
      </c>
      <c r="H170" s="96" t="n">
        <v>42.8877</v>
      </c>
      <c r="I170" s="95" t="n">
        <v>0.6666</v>
      </c>
      <c r="J170" s="302" t="n">
        <v>0.6437999999999999</v>
      </c>
      <c r="K170" s="10" t="n"/>
      <c r="L170" s="332" t="n">
        <v>11.8732</v>
      </c>
      <c r="M170" s="332" t="n">
        <v>4.5187</v>
      </c>
    </row>
    <row r="171" ht="21" customHeight="1" s="16">
      <c r="A171" s="720" t="inlineStr">
        <is>
          <t>영업기간
공사업등록일</t>
        </is>
      </c>
      <c r="B171" s="10" t="inlineStr">
        <is>
          <t>2000.09.21</t>
        </is>
      </c>
      <c r="C171" s="10" t="inlineStr">
        <is>
          <t>2016.05.03</t>
        </is>
      </c>
      <c r="D171" s="98" t="inlineStr">
        <is>
          <t>1996.10.12</t>
        </is>
      </c>
      <c r="E171" s="101" t="inlineStr">
        <is>
          <t>2022.11.18</t>
        </is>
      </c>
      <c r="F171" s="253" t="inlineStr">
        <is>
          <t>2011.11.22</t>
        </is>
      </c>
      <c r="G171" s="101" t="inlineStr">
        <is>
          <t>2017.12.12</t>
        </is>
      </c>
      <c r="H171" s="101" t="inlineStr">
        <is>
          <t>2005.10.11</t>
        </is>
      </c>
      <c r="I171" s="101" t="inlineStr">
        <is>
          <t>2013.03.04</t>
        </is>
      </c>
      <c r="J171" s="303" t="inlineStr">
        <is>
          <t>2005.12.22</t>
        </is>
      </c>
      <c r="K171" s="105" t="n"/>
      <c r="L171" s="336" t="n"/>
      <c r="M171" s="333" t="n"/>
    </row>
    <row r="172" ht="22.5" customHeight="1" s="16">
      <c r="A172" s="69" t="inlineStr">
        <is>
          <t>신용평가</t>
        </is>
      </c>
      <c r="B172" s="725" t="inlineStr">
        <is>
          <t>BB+
(23.05.19~24.05.18)</t>
        </is>
      </c>
      <c r="C172" s="49" t="n"/>
      <c r="D172" s="725" t="inlineStr">
        <is>
          <t>BBB-
(24.05.21~25.05.20)</t>
        </is>
      </c>
      <c r="E172" s="725" t="inlineStr">
        <is>
          <t>BB0
(24.04.01~25.03.31)</t>
        </is>
      </c>
      <c r="F172" s="724" t="inlineStr">
        <is>
          <t>BBB-
(25.04.07~26.04.06)</t>
        </is>
      </c>
      <c r="G172" s="725" t="inlineStr">
        <is>
          <t>BB-
(24.05.08~25.05.07)</t>
        </is>
      </c>
      <c r="H172" s="736" t="n"/>
      <c r="I172" s="725" t="inlineStr">
        <is>
          <t>BBB-
(24.05.08~25.05.07)</t>
        </is>
      </c>
      <c r="J172" s="305" t="inlineStr">
        <is>
          <t>BB+
(25.04.14~26.04.13)</t>
        </is>
      </c>
      <c r="K172" s="49" t="n"/>
      <c r="L172" s="736" t="n"/>
      <c r="M172" s="736" t="n"/>
    </row>
    <row r="173">
      <c r="A173" s="71" t="inlineStr">
        <is>
          <t>여성기업</t>
        </is>
      </c>
      <c r="B173" s="723" t="n"/>
      <c r="C173" s="54" t="n"/>
      <c r="D173" s="49" t="n"/>
      <c r="E173" s="723" t="n"/>
      <c r="F173" s="254" t="n"/>
      <c r="G173" s="723" t="n"/>
      <c r="H173" s="723" t="n"/>
      <c r="I173" s="723" t="n"/>
      <c r="J173" s="304" t="n"/>
      <c r="K173" s="49" t="n"/>
      <c r="L173" s="780" t="n"/>
      <c r="M173" s="334" t="n"/>
    </row>
    <row r="174">
      <c r="A174" s="71" t="inlineStr">
        <is>
          <t>중소기업</t>
        </is>
      </c>
      <c r="B174" s="723" t="n"/>
      <c r="C174" s="54" t="n"/>
      <c r="D174" s="49" t="n"/>
      <c r="E174" s="723" t="n"/>
      <c r="F174" s="254" t="n"/>
      <c r="G174" s="723" t="n"/>
      <c r="H174" s="723" t="n"/>
      <c r="I174" s="723" t="n"/>
      <c r="J174" s="304" t="n"/>
      <c r="K174" s="49" t="n"/>
      <c r="L174" s="780" t="n"/>
      <c r="M174" s="334" t="n"/>
    </row>
    <row r="175">
      <c r="A175" s="72" t="inlineStr">
        <is>
          <t>일자리창출실적</t>
        </is>
      </c>
      <c r="B175" s="723" t="n"/>
      <c r="C175" s="54" t="n"/>
      <c r="D175" s="49" t="n"/>
      <c r="E175" s="723" t="n"/>
      <c r="F175" s="254" t="n"/>
      <c r="G175" s="723" t="n"/>
      <c r="H175" s="723" t="n"/>
      <c r="I175" s="723" t="n"/>
      <c r="J175" s="304" t="n"/>
      <c r="K175" s="49" t="n"/>
      <c r="L175" s="780" t="n"/>
      <c r="M175" s="334" t="n"/>
    </row>
    <row r="176">
      <c r="A176" s="72" t="inlineStr">
        <is>
          <t>시공품질평가</t>
        </is>
      </c>
      <c r="B176" s="723" t="n"/>
      <c r="C176" s="12" t="n"/>
      <c r="D176" s="49" t="n"/>
      <c r="E176" s="723" t="n"/>
      <c r="F176" s="255" t="inlineStr">
        <is>
          <t>없음(25.05.01)</t>
        </is>
      </c>
      <c r="G176" s="723" t="n"/>
      <c r="H176" s="723" t="n"/>
      <c r="I176" s="723" t="n"/>
      <c r="J176" s="304" t="n"/>
      <c r="K176" s="49" t="n"/>
      <c r="L176" s="780" t="n"/>
      <c r="M176" s="334" t="n"/>
    </row>
    <row r="177">
      <c r="A177" s="69" t="inlineStr">
        <is>
          <t>비 고</t>
        </is>
      </c>
      <c r="B177" s="758" t="inlineStr">
        <is>
          <t>김광훈</t>
        </is>
      </c>
      <c r="C177" s="9" t="inlineStr">
        <is>
          <t>송종윤</t>
        </is>
      </c>
      <c r="D177" s="93" t="inlineStr">
        <is>
          <t>신종석</t>
        </is>
      </c>
      <c r="E177" s="781" t="inlineStr">
        <is>
          <t>최철종</t>
        </is>
      </c>
      <c r="F177" s="244" t="inlineStr">
        <is>
          <t>김장섭</t>
        </is>
      </c>
      <c r="G177" s="781" t="inlineStr">
        <is>
          <t>김기성</t>
        </is>
      </c>
      <c r="H177" s="758" t="n"/>
      <c r="I177" s="781" t="inlineStr">
        <is>
          <t>유형민</t>
        </is>
      </c>
      <c r="J177" s="300" t="inlineStr">
        <is>
          <t>임정빈</t>
        </is>
      </c>
      <c r="K177" s="9" t="n"/>
      <c r="L177" s="330" t="inlineStr">
        <is>
          <t>정석</t>
        </is>
      </c>
      <c r="M177" s="330" t="inlineStr">
        <is>
          <t>정석</t>
        </is>
      </c>
    </row>
    <row r="178" ht="26.1" customHeight="1" s="16">
      <c r="A178" s="455" t="inlineStr">
        <is>
          <t>회사명</t>
        </is>
      </c>
      <c r="B178" s="455" t="inlineStr">
        <is>
          <t>㈜성민전기통신</t>
        </is>
      </c>
      <c r="C178" s="455" t="inlineStr">
        <is>
          <t>삼보종합이앤씨㈜</t>
        </is>
      </c>
      <c r="D178" s="455" t="n"/>
      <c r="E178" s="455" t="n"/>
      <c r="F178" s="455" t="n"/>
      <c r="G178" s="455" t="n"/>
      <c r="H178" s="455" t="n"/>
      <c r="I178" s="455" t="n"/>
      <c r="J178" s="455" t="n"/>
      <c r="K178" s="455" t="n"/>
      <c r="L178" s="455" t="n"/>
      <c r="M178" s="455" t="n"/>
    </row>
    <row r="179">
      <c r="A179" s="69" t="inlineStr">
        <is>
          <t>대표자</t>
        </is>
      </c>
      <c r="B179" s="330" t="inlineStr">
        <is>
          <t>홍종애</t>
        </is>
      </c>
      <c r="C179" s="424" t="inlineStr">
        <is>
          <t>공갑배</t>
        </is>
      </c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</row>
    <row r="180">
      <c r="A180" s="70" t="inlineStr">
        <is>
          <t>사업자번호</t>
        </is>
      </c>
      <c r="B180" s="331" t="inlineStr">
        <is>
          <t>213-88-00230</t>
        </is>
      </c>
      <c r="C180" s="424" t="inlineStr">
        <is>
          <t>185-88-01633</t>
        </is>
      </c>
      <c r="D180" s="1" t="n"/>
      <c r="E180" s="1" t="n"/>
      <c r="F180" s="324" t="n"/>
      <c r="G180" s="1" t="n"/>
      <c r="H180" s="1" t="n"/>
      <c r="I180" s="1" t="n"/>
      <c r="J180" s="325" t="n"/>
      <c r="K180" s="1" t="n"/>
      <c r="L180" s="1" t="n"/>
      <c r="M180" s="1" t="n"/>
    </row>
    <row r="181">
      <c r="A181" s="70" t="inlineStr">
        <is>
          <t>지역</t>
        </is>
      </c>
      <c r="B181" s="330" t="inlineStr">
        <is>
          <t>서울특별시 강북구</t>
        </is>
      </c>
      <c r="C181" s="425" t="inlineStr">
        <is>
          <t>서울특별시 구로구</t>
        </is>
      </c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</row>
    <row r="182">
      <c r="A182" s="69" t="inlineStr">
        <is>
          <t>통신시공능력</t>
        </is>
      </c>
      <c r="B182" s="779" t="n">
        <v>4529600000</v>
      </c>
      <c r="C182" s="782" t="n">
        <v>1242700000</v>
      </c>
      <c r="D182" s="732" t="n"/>
      <c r="E182" s="713" t="n"/>
      <c r="F182" s="783" t="n"/>
      <c r="G182" s="713" t="n"/>
      <c r="H182" s="713" t="n"/>
      <c r="I182" s="713" t="n"/>
      <c r="J182" s="784" t="n"/>
      <c r="K182" s="732" t="n"/>
      <c r="L182" s="713" t="n"/>
      <c r="M182" s="732" t="n"/>
    </row>
    <row r="183">
      <c r="A183" s="69" t="inlineStr">
        <is>
          <t>3년간 실적액</t>
        </is>
      </c>
      <c r="B183" s="779" t="n">
        <v>5962131000</v>
      </c>
      <c r="C183" s="782" t="n">
        <v>1244047000</v>
      </c>
      <c r="D183" s="732" t="n"/>
      <c r="E183" s="713" t="n"/>
      <c r="F183" s="783" t="n"/>
      <c r="G183" s="713" t="n"/>
      <c r="H183" s="713" t="n"/>
      <c r="I183" s="713" t="n"/>
      <c r="J183" s="784" t="n"/>
      <c r="K183" s="732" t="n"/>
      <c r="L183" s="713" t="n"/>
      <c r="M183" s="732" t="n"/>
    </row>
    <row r="184">
      <c r="A184" s="69" t="inlineStr">
        <is>
          <t>5년간 실적액</t>
        </is>
      </c>
      <c r="B184" s="779" t="n">
        <v>8198016000</v>
      </c>
      <c r="C184" s="782" t="n">
        <v>1244047000</v>
      </c>
      <c r="D184" s="732" t="n"/>
      <c r="E184" s="713" t="n"/>
      <c r="F184" s="783" t="n"/>
      <c r="G184" s="713" t="n"/>
      <c r="H184" s="713" t="n"/>
      <c r="I184" s="713" t="n"/>
      <c r="J184" s="784" t="n"/>
      <c r="K184" s="732" t="n"/>
      <c r="L184" s="713" t="n"/>
      <c r="M184" s="732" t="n"/>
    </row>
    <row r="185">
      <c r="A185" s="719" t="inlineStr">
        <is>
          <t>부채비율</t>
        </is>
      </c>
      <c r="B185" s="332" t="n">
        <v>0.1429</v>
      </c>
      <c r="C185" s="426" t="n">
        <v>0.4834000000000001</v>
      </c>
      <c r="D185" s="66" t="n"/>
      <c r="E185" s="66" t="n"/>
      <c r="F185" s="326" t="n"/>
      <c r="G185" s="66" t="n"/>
      <c r="H185" s="77" t="n"/>
      <c r="I185" s="66" t="n"/>
      <c r="J185" s="327" t="n"/>
      <c r="K185" s="2" t="n"/>
      <c r="L185" s="66" t="n"/>
      <c r="M185" s="2" t="n"/>
    </row>
    <row r="186">
      <c r="A186" s="719" t="inlineStr">
        <is>
          <t>유동비율</t>
        </is>
      </c>
      <c r="B186" s="332" t="n">
        <v>9.8224</v>
      </c>
      <c r="C186" s="426" t="n">
        <v>8.0655</v>
      </c>
      <c r="D186" s="66" t="n"/>
      <c r="E186" s="2" t="n"/>
      <c r="F186" s="326" t="n"/>
      <c r="G186" s="77" t="n"/>
      <c r="H186" s="35" t="n"/>
      <c r="I186" s="66" t="n"/>
      <c r="J186" s="327" t="n"/>
      <c r="K186" s="2" t="n"/>
      <c r="L186" s="35" t="n"/>
      <c r="M186" s="2" t="n"/>
    </row>
    <row r="187" ht="21" customHeight="1" s="16">
      <c r="A187" s="720" t="inlineStr">
        <is>
          <t>영업기간
공사업등록일</t>
        </is>
      </c>
      <c r="B187" s="333" t="n"/>
      <c r="C187" s="427" t="inlineStr">
        <is>
          <t>2022.08.18</t>
        </is>
      </c>
      <c r="D187" s="67" t="n"/>
      <c r="E187" s="2" t="n"/>
      <c r="F187" s="2" t="n"/>
      <c r="G187" s="2" t="n"/>
      <c r="H187" s="2" t="n"/>
      <c r="I187" s="2" t="n"/>
      <c r="J187" s="328" t="n"/>
      <c r="K187" s="90" t="n"/>
      <c r="L187" s="2" t="n"/>
      <c r="M187" s="90" t="n"/>
    </row>
    <row r="188" ht="22.5" customHeight="1" s="16">
      <c r="A188" s="69" t="inlineStr">
        <is>
          <t>신용평가</t>
        </is>
      </c>
      <c r="B188" s="736" t="n"/>
      <c r="C188" s="785" t="inlineStr">
        <is>
          <t>BB+
(25.04.23~26.04.22)</t>
        </is>
      </c>
      <c r="D188" s="786" t="n"/>
      <c r="E188" s="786" t="n"/>
      <c r="F188" s="786" t="n"/>
      <c r="G188" s="786" t="n"/>
      <c r="H188" s="786" t="n"/>
      <c r="I188" s="786" t="n"/>
      <c r="J188" s="7" t="n"/>
      <c r="K188" s="7" t="n"/>
      <c r="L188" s="786" t="n"/>
      <c r="M188" s="786" t="n"/>
    </row>
    <row r="189">
      <c r="A189" s="71" t="inlineStr">
        <is>
          <t>여성기업</t>
        </is>
      </c>
      <c r="B189" s="334" t="n"/>
      <c r="C189" s="428" t="n"/>
      <c r="D189" s="7" t="n"/>
      <c r="E189" s="728" t="n"/>
      <c r="F189" s="4" t="n"/>
      <c r="G189" s="728" t="n"/>
      <c r="H189" s="728" t="n"/>
      <c r="I189" s="728" t="n"/>
      <c r="J189" s="4" t="n"/>
      <c r="K189" s="7" t="n"/>
      <c r="L189" s="728" t="n"/>
      <c r="M189" s="7" t="n"/>
    </row>
    <row r="190">
      <c r="A190" s="71" t="inlineStr">
        <is>
          <t>중소기업</t>
        </is>
      </c>
      <c r="B190" s="334" t="n"/>
      <c r="C190" s="428" t="n"/>
      <c r="D190" s="7" t="n"/>
      <c r="E190" s="728" t="n"/>
      <c r="F190" s="4" t="n"/>
      <c r="G190" s="728" t="n"/>
      <c r="H190" s="728" t="n"/>
      <c r="I190" s="728" t="n"/>
      <c r="J190" s="4" t="n"/>
      <c r="K190" s="7" t="n"/>
      <c r="L190" s="728" t="n"/>
      <c r="M190" s="7" t="n"/>
    </row>
    <row r="191">
      <c r="A191" s="394">
        <f>+강원!H60+서울!C19</f>
        <v/>
      </c>
      <c r="B191" s="334" t="n"/>
      <c r="C191" s="428" t="n"/>
      <c r="D191" s="7" t="n"/>
      <c r="E191" s="728" t="n"/>
      <c r="F191" s="4" t="n"/>
      <c r="G191" s="728" t="n"/>
      <c r="H191" s="728" t="n"/>
      <c r="I191" s="728" t="n"/>
      <c r="J191" s="4" t="n"/>
      <c r="K191" s="7" t="n"/>
      <c r="L191" s="728" t="n"/>
      <c r="M191" s="7" t="n"/>
    </row>
    <row r="192">
      <c r="A192" s="72" t="inlineStr">
        <is>
          <t>시공품질평가</t>
        </is>
      </c>
      <c r="B192" s="334" t="n"/>
      <c r="C192" s="428" t="n"/>
      <c r="D192" s="7" t="n"/>
      <c r="E192" s="728" t="n"/>
      <c r="F192" s="3" t="n"/>
      <c r="G192" s="728" t="n"/>
      <c r="H192" s="728" t="n"/>
      <c r="I192" s="728" t="n"/>
      <c r="J192" s="4" t="n"/>
      <c r="K192" s="7" t="n"/>
      <c r="L192" s="728" t="n"/>
      <c r="M192" s="7" t="n"/>
    </row>
    <row r="193">
      <c r="A193" s="69" t="inlineStr">
        <is>
          <t>비 고</t>
        </is>
      </c>
      <c r="B193" s="330" t="inlineStr">
        <is>
          <t>정석</t>
        </is>
      </c>
      <c r="C193" s="425" t="inlineStr">
        <is>
          <t>김성길</t>
        </is>
      </c>
      <c r="D193" s="1" t="n"/>
      <c r="E193" s="730" t="n"/>
      <c r="F193" s="1" t="n"/>
      <c r="G193" s="730" t="n"/>
      <c r="H193" s="730" t="n"/>
      <c r="I193" s="730" t="n"/>
      <c r="J193" s="1" t="n"/>
      <c r="K193" s="1" t="n"/>
      <c r="L193" s="730" t="n"/>
      <c r="M193" s="1" t="n"/>
    </row>
  </sheetData>
  <mergeCells count="1">
    <mergeCell ref="A1:M1"/>
  </mergeCells>
  <printOptions horizontalCentered="1"/>
  <pageMargins left="0.03937007874015748" right="0.03937007874015748" top="0.3149606299212598" bottom="0.2362204724409449" header="0" footer="0"/>
  <pageSetup orientation="landscape" paperSize="9" scale="5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N257"/>
  <sheetViews>
    <sheetView zoomScale="85" zoomScaleNormal="85" workbookViewId="0">
      <pane ySplit="1" topLeftCell="A175" activePane="bottomLeft" state="frozen"/>
      <selection activeCell="B1" sqref="B1"/>
      <selection pane="bottomLeft" activeCell="G194" sqref="G194"/>
    </sheetView>
  </sheetViews>
  <sheetFormatPr baseColWidth="8" defaultRowHeight="13.5"/>
  <cols>
    <col width="9.33203125" bestFit="1" customWidth="1" style="8" min="1" max="1"/>
    <col width="15.33203125" customWidth="1" style="8" min="2" max="2"/>
    <col width="16.33203125" customWidth="1" style="8" min="3" max="3"/>
    <col width="18.109375" customWidth="1" style="8" min="4" max="4"/>
    <col width="18.21875" customWidth="1" style="8" min="5" max="5"/>
    <col width="15.77734375" customWidth="1" style="8" min="6" max="6"/>
    <col width="17.6640625" customWidth="1" style="8" min="7" max="7"/>
    <col width="17.77734375" customWidth="1" style="8" min="8" max="8"/>
    <col width="15.77734375" customWidth="1" style="8" min="9" max="12"/>
    <col width="18.5546875" customWidth="1" style="8" min="13" max="13"/>
    <col width="8.88671875" customWidth="1" style="8" min="14" max="55"/>
    <col width="8.88671875" customWidth="1" style="8" min="56" max="16384"/>
  </cols>
  <sheetData>
    <row r="1" ht="25.5" customHeight="1" s="16">
      <c r="A1" s="702" t="inlineStr">
        <is>
          <t>통 신 ( 경 기 )</t>
        </is>
      </c>
      <c r="B1" s="700" t="n"/>
      <c r="C1" s="700" t="n"/>
      <c r="D1" s="700" t="n"/>
      <c r="E1" s="700" t="n"/>
      <c r="F1" s="700" t="n"/>
      <c r="G1" s="700" t="n"/>
      <c r="H1" s="700" t="n"/>
      <c r="I1" s="700" t="n"/>
      <c r="J1" s="700" t="n"/>
      <c r="K1" s="700" t="n"/>
      <c r="L1" s="700" t="n"/>
      <c r="M1" s="701" t="n"/>
    </row>
    <row r="2" ht="26.1" customFormat="1" customHeight="1" s="13">
      <c r="A2" s="455" t="inlineStr">
        <is>
          <t>회사명</t>
        </is>
      </c>
      <c r="B2" s="455" t="inlineStr">
        <is>
          <t>㈜건양전기신호</t>
        </is>
      </c>
      <c r="C2" s="455" t="inlineStr">
        <is>
          <t>㈜금화전통</t>
        </is>
      </c>
      <c r="D2" s="455" t="inlineStr">
        <is>
          <t>경림이엔씨㈜</t>
        </is>
      </c>
      <c r="E2" s="455" t="inlineStr">
        <is>
          <t>㈜건일에너지</t>
        </is>
      </c>
      <c r="F2" s="455" t="inlineStr">
        <is>
          <t>건일이엔지㈜</t>
        </is>
      </c>
      <c r="G2" s="455" t="inlineStr">
        <is>
          <t>고려개발㈜</t>
        </is>
      </c>
      <c r="H2" s="455" t="inlineStr">
        <is>
          <t>㈜남양이앤씨</t>
        </is>
      </c>
      <c r="I2" s="455" t="inlineStr">
        <is>
          <t>㈜녹십자이엠</t>
        </is>
      </c>
      <c r="J2" s="455" t="inlineStr">
        <is>
          <t>㈜낙원이엔지</t>
        </is>
      </c>
      <c r="K2" s="455" t="inlineStr">
        <is>
          <t>㈜대흥디씨티</t>
        </is>
      </c>
      <c r="L2" s="455" t="inlineStr">
        <is>
          <t>대동종합전설㈜</t>
        </is>
      </c>
      <c r="M2" s="455" t="inlineStr">
        <is>
          <t>㈜동양건설산업</t>
        </is>
      </c>
    </row>
    <row r="3" customFormat="1" s="329">
      <c r="A3" s="71" t="inlineStr">
        <is>
          <t>대표자</t>
        </is>
      </c>
      <c r="B3" s="787" t="inlineStr">
        <is>
          <t>홍순양</t>
        </is>
      </c>
      <c r="C3" s="732" t="inlineStr">
        <is>
          <t>송영준</t>
        </is>
      </c>
      <c r="D3" s="732" t="inlineStr">
        <is>
          <t>정은희</t>
        </is>
      </c>
      <c r="E3" s="752" t="inlineStr">
        <is>
          <t>김미경</t>
        </is>
      </c>
      <c r="F3" s="752" t="inlineStr">
        <is>
          <t>염정일</t>
        </is>
      </c>
      <c r="G3" s="9" t="inlineStr">
        <is>
          <t>김종오</t>
        </is>
      </c>
      <c r="H3" s="777" t="inlineStr">
        <is>
          <t>원용선</t>
        </is>
      </c>
      <c r="I3" s="788" t="inlineStr">
        <is>
          <t>박충권</t>
        </is>
      </c>
      <c r="J3" s="9" t="inlineStr">
        <is>
          <t>이은수</t>
        </is>
      </c>
      <c r="K3" s="787" t="inlineStr">
        <is>
          <t>박준석</t>
        </is>
      </c>
      <c r="L3" s="732" t="inlineStr">
        <is>
          <t>윤명숙</t>
        </is>
      </c>
      <c r="M3" s="732" t="inlineStr">
        <is>
          <t>박광태</t>
        </is>
      </c>
    </row>
    <row r="4" ht="11.25" customFormat="1" customHeight="1" s="14">
      <c r="A4" s="74" t="inlineStr">
        <is>
          <t>사업자번호</t>
        </is>
      </c>
      <c r="B4" s="270" t="inlineStr">
        <is>
          <t>209-81-32016</t>
        </is>
      </c>
      <c r="C4" s="4" t="inlineStr">
        <is>
          <t>678-87-00537</t>
        </is>
      </c>
      <c r="D4" s="4" t="inlineStr">
        <is>
          <t>305-81-95959</t>
        </is>
      </c>
      <c r="E4" s="54" t="inlineStr">
        <is>
          <t>132-86-34475</t>
        </is>
      </c>
      <c r="F4" s="54" t="inlineStr">
        <is>
          <t>132-86-22775</t>
        </is>
      </c>
      <c r="G4" s="9" t="inlineStr">
        <is>
          <t>106-81-44682</t>
        </is>
      </c>
      <c r="H4" s="106" t="inlineStr">
        <is>
          <t>132-81-01794</t>
        </is>
      </c>
      <c r="I4" s="210" t="inlineStr">
        <is>
          <t>135-81-44619</t>
        </is>
      </c>
      <c r="J4" s="9" t="inlineStr">
        <is>
          <t>214-86-34229</t>
        </is>
      </c>
      <c r="K4" s="270" t="inlineStr">
        <is>
          <t>127-81-95155</t>
        </is>
      </c>
      <c r="L4" s="4" t="inlineStr">
        <is>
          <t>214-81-08857</t>
        </is>
      </c>
      <c r="M4" s="4" t="inlineStr">
        <is>
          <t>138-81-08534</t>
        </is>
      </c>
    </row>
    <row r="5" ht="11.25" customFormat="1" customHeight="1" s="14">
      <c r="A5" s="74" t="inlineStr">
        <is>
          <t>지역</t>
        </is>
      </c>
      <c r="B5" s="787" t="inlineStr">
        <is>
          <t>경기도 의정부시</t>
        </is>
      </c>
      <c r="C5" s="732" t="inlineStr">
        <is>
          <t>경기도 화성시</t>
        </is>
      </c>
      <c r="D5" s="732" t="inlineStr">
        <is>
          <t>경기도 남양주시</t>
        </is>
      </c>
      <c r="E5" s="752" t="inlineStr">
        <is>
          <t>경기도 남양주시</t>
        </is>
      </c>
      <c r="F5" s="752" t="inlineStr">
        <is>
          <t>경기도 남양주시</t>
        </is>
      </c>
      <c r="G5" s="9" t="inlineStr">
        <is>
          <t>경기 용인</t>
        </is>
      </c>
      <c r="H5" s="106" t="inlineStr">
        <is>
          <t>경기도 구리시</t>
        </is>
      </c>
      <c r="I5" s="211" t="inlineStr">
        <is>
          <t>경기도 성남시</t>
        </is>
      </c>
      <c r="J5" s="9" t="inlineStr">
        <is>
          <t>경기 고양</t>
        </is>
      </c>
      <c r="K5" s="787" t="inlineStr">
        <is>
          <t>경기도 양평군</t>
        </is>
      </c>
      <c r="L5" s="732" t="inlineStr">
        <is>
          <t>경기도 남양주시</t>
        </is>
      </c>
      <c r="M5" s="732" t="inlineStr">
        <is>
          <t>경기도 수원시</t>
        </is>
      </c>
    </row>
    <row r="6" customFormat="1" s="329">
      <c r="A6" s="71" t="inlineStr">
        <is>
          <t>통신시공능력</t>
        </is>
      </c>
      <c r="B6" s="789" t="n">
        <v>521200000</v>
      </c>
      <c r="C6" s="732" t="n">
        <v>2437600000</v>
      </c>
      <c r="D6" s="732" t="n">
        <v>747700000</v>
      </c>
      <c r="E6" s="752" t="n">
        <v>1109400000</v>
      </c>
      <c r="F6" s="752" t="n">
        <v>2590100000</v>
      </c>
      <c r="G6" s="752" t="n">
        <v>5779300000</v>
      </c>
      <c r="H6" s="777" t="n">
        <v>10936300000</v>
      </c>
      <c r="I6" s="788" t="n">
        <v>869400000</v>
      </c>
      <c r="J6" s="752" t="n">
        <v>8833700000</v>
      </c>
      <c r="K6" s="789" t="n">
        <v>4133500000</v>
      </c>
      <c r="L6" s="732" t="n">
        <v>4259700000</v>
      </c>
      <c r="M6" s="732" t="n">
        <v>3282700000</v>
      </c>
    </row>
    <row r="7" customFormat="1" s="329">
      <c r="A7" s="71" t="inlineStr">
        <is>
          <t>3년간 실적액</t>
        </is>
      </c>
      <c r="B7" s="789" t="n">
        <v>88283000</v>
      </c>
      <c r="C7" s="732" t="n">
        <v>1604875000</v>
      </c>
      <c r="D7" s="732" t="n">
        <v>365844000</v>
      </c>
      <c r="E7" s="752" t="n">
        <v>1200224000</v>
      </c>
      <c r="F7" s="752" t="n">
        <v>3899896000</v>
      </c>
      <c r="G7" s="752" t="n">
        <v>10376281000</v>
      </c>
      <c r="H7" s="777" t="n">
        <v>13980634000</v>
      </c>
      <c r="I7" s="788" t="n">
        <v>849420000</v>
      </c>
      <c r="J7" s="752" t="n">
        <v>12921826000</v>
      </c>
      <c r="K7" s="789" t="n">
        <v>4195227000</v>
      </c>
      <c r="L7" s="732" t="n">
        <v>6658562000</v>
      </c>
      <c r="M7" s="732" t="n">
        <v>503908000</v>
      </c>
    </row>
    <row r="8" customFormat="1" s="329">
      <c r="A8" s="71" t="inlineStr">
        <is>
          <t>5년간 실적액</t>
        </is>
      </c>
      <c r="B8" s="789" t="n">
        <v>222246000</v>
      </c>
      <c r="C8" s="732" t="n">
        <v>3569714000</v>
      </c>
      <c r="D8" s="732" t="n">
        <v>912441000</v>
      </c>
      <c r="E8" s="752" t="n">
        <v>3183229000</v>
      </c>
      <c r="F8" s="752" t="n">
        <v>7477578000</v>
      </c>
      <c r="G8" s="752" t="n">
        <v>14682118000</v>
      </c>
      <c r="H8" s="777" t="n">
        <v>21039582000</v>
      </c>
      <c r="I8" s="788" t="n">
        <v>856790000</v>
      </c>
      <c r="J8" s="752" t="n">
        <v>19615124000</v>
      </c>
      <c r="K8" s="789" t="n">
        <v>13410300000</v>
      </c>
      <c r="L8" s="732" t="n">
        <v>29998920000</v>
      </c>
      <c r="M8" s="732" t="n">
        <v>659443000</v>
      </c>
    </row>
    <row r="9" customFormat="1" s="790">
      <c r="A9" s="791" t="inlineStr">
        <is>
          <t>부채비율</t>
        </is>
      </c>
      <c r="B9" s="271" t="n">
        <v>0.5204</v>
      </c>
      <c r="C9" s="2" t="n">
        <v>0.3594</v>
      </c>
      <c r="D9" s="2" t="n">
        <v>0.2424</v>
      </c>
      <c r="E9" s="10" t="n">
        <v>0.4584</v>
      </c>
      <c r="F9" s="10" t="n">
        <v>0.4681</v>
      </c>
      <c r="G9" s="10" t="n">
        <v>5.9123</v>
      </c>
      <c r="H9" s="101" t="n">
        <v>0.0337</v>
      </c>
      <c r="I9" s="212" t="n">
        <v>1.072</v>
      </c>
      <c r="J9" s="10" t="n">
        <v>0.5329</v>
      </c>
      <c r="K9" s="271" t="n">
        <v>0.1501</v>
      </c>
      <c r="L9" s="2" t="n">
        <v>0.153</v>
      </c>
      <c r="M9" s="66" t="n">
        <v>0.8962</v>
      </c>
      <c r="N9" s="750" t="n"/>
    </row>
    <row r="10" customFormat="1" s="790">
      <c r="A10" s="791" t="inlineStr">
        <is>
          <t>유동비율</t>
        </is>
      </c>
      <c r="B10" s="271" t="n">
        <v>2.4875</v>
      </c>
      <c r="C10" s="2" t="n">
        <v>5.5678</v>
      </c>
      <c r="D10" s="2" t="n">
        <v>18.9733</v>
      </c>
      <c r="E10" s="10" t="n">
        <v>3.9232</v>
      </c>
      <c r="F10" s="10" t="n">
        <v>2.3443</v>
      </c>
      <c r="G10" s="10" t="n">
        <v>2.186</v>
      </c>
      <c r="H10" s="101" t="n">
        <v>20.7085</v>
      </c>
      <c r="I10" s="212" t="n">
        <v>1.382</v>
      </c>
      <c r="J10" s="10" t="n">
        <v>2.7075</v>
      </c>
      <c r="K10" s="271" t="n">
        <v>4.5035</v>
      </c>
      <c r="L10" s="2" t="n">
        <v>4.7884</v>
      </c>
      <c r="M10" s="66" t="n">
        <v>1.6893</v>
      </c>
      <c r="N10" s="750" t="n"/>
    </row>
    <row r="11" ht="21" customFormat="1" customHeight="1" s="790">
      <c r="A11" s="792" t="inlineStr">
        <is>
          <t>영업기간
공사업등록일</t>
        </is>
      </c>
      <c r="B11" s="272" t="inlineStr">
        <is>
          <t>2003.05.06</t>
        </is>
      </c>
      <c r="C11" s="67" t="inlineStr">
        <is>
          <t>1997.02.25</t>
        </is>
      </c>
      <c r="D11" s="67" t="inlineStr">
        <is>
          <t>2002.07.24</t>
        </is>
      </c>
      <c r="E11" s="11" t="inlineStr">
        <is>
          <t>2012.02.06</t>
        </is>
      </c>
      <c r="F11" s="11" t="inlineStr">
        <is>
          <t>2007.05.29</t>
        </is>
      </c>
      <c r="G11" s="10" t="inlineStr">
        <is>
          <t>10년이상%</t>
        </is>
      </c>
      <c r="H11" s="98" t="inlineStr">
        <is>
          <t>1996.09.13</t>
        </is>
      </c>
      <c r="I11" s="213" t="inlineStr">
        <is>
          <t>2016.10.07</t>
        </is>
      </c>
      <c r="J11" s="10" t="inlineStr">
        <is>
          <t>10년이상%</t>
        </is>
      </c>
      <c r="K11" s="272" t="inlineStr">
        <is>
          <t>2003.03.04</t>
        </is>
      </c>
      <c r="L11" s="67" t="inlineStr">
        <is>
          <t>2008.08.11</t>
        </is>
      </c>
      <c r="M11" s="67" t="inlineStr">
        <is>
          <t>2000.03.03</t>
        </is>
      </c>
    </row>
    <row r="12" ht="22.5" customFormat="1" customHeight="1" s="329">
      <c r="A12" s="71" t="inlineStr">
        <is>
          <t>신용평가</t>
        </is>
      </c>
      <c r="B12" s="159" t="inlineStr">
        <is>
          <t>BBB-
(25.04.11~26.04.10)</t>
        </is>
      </c>
      <c r="C12" s="736" t="n"/>
      <c r="D12" s="736" t="n"/>
      <c r="E12" s="736" t="n"/>
      <c r="F12" s="736" t="n"/>
      <c r="G12" s="725" t="inlineStr">
        <is>
          <t>BBB+
(14.06.19~15.06.18)</t>
        </is>
      </c>
      <c r="H12" s="153" t="inlineStr">
        <is>
          <t>BBB0
(24.04.08~25.04.07)</t>
        </is>
      </c>
      <c r="I12" s="152" t="inlineStr">
        <is>
          <t>A+
(25.05.29~26.05.25)</t>
        </is>
      </c>
      <c r="J12" s="736" t="n"/>
      <c r="K12" s="371" t="inlineStr">
        <is>
          <t>BBB-
(25.05.09~26.05.08)</t>
        </is>
      </c>
      <c r="L12" s="152" t="inlineStr">
        <is>
          <t>BB0
(25.05.28~26.05.27)</t>
        </is>
      </c>
      <c r="M12" s="736" t="n"/>
    </row>
    <row r="13" customFormat="1" s="329">
      <c r="A13" s="71" t="inlineStr">
        <is>
          <t>여성기업</t>
        </is>
      </c>
      <c r="B13" s="793" t="n"/>
      <c r="C13" s="736" t="n"/>
      <c r="D13" s="736" t="n"/>
      <c r="E13" s="736" t="n"/>
      <c r="F13" s="736" t="n"/>
      <c r="G13" s="736" t="n"/>
      <c r="H13" s="49" t="n"/>
      <c r="I13" s="794" t="n"/>
      <c r="J13" s="736" t="n"/>
      <c r="K13" s="793" t="n"/>
      <c r="L13" s="736" t="n"/>
      <c r="M13" s="736" t="n"/>
    </row>
    <row r="14" customFormat="1" s="329">
      <c r="A14" s="71" t="inlineStr">
        <is>
          <t>중소기업</t>
        </is>
      </c>
      <c r="B14" s="793" t="n"/>
      <c r="C14" s="736" t="n"/>
      <c r="D14" s="736" t="n"/>
      <c r="E14" s="736" t="n"/>
      <c r="F14" s="736" t="n"/>
      <c r="G14" s="736" t="n"/>
      <c r="H14" s="49" t="n"/>
      <c r="I14" s="794" t="n"/>
      <c r="J14" s="736" t="n"/>
      <c r="K14" s="793" t="n"/>
      <c r="L14" s="736" t="n"/>
      <c r="M14" s="736" t="n"/>
    </row>
    <row r="15" customFormat="1" s="329">
      <c r="A15" s="71" t="inlineStr">
        <is>
          <t>일자리창출실적</t>
        </is>
      </c>
      <c r="B15" s="793" t="n"/>
      <c r="C15" s="736" t="n"/>
      <c r="D15" s="736" t="n"/>
      <c r="E15" s="736" t="n"/>
      <c r="F15" s="736" t="n"/>
      <c r="G15" s="736" t="n"/>
      <c r="H15" s="49" t="n"/>
      <c r="I15" s="794" t="n"/>
      <c r="J15" s="736" t="n"/>
      <c r="K15" s="793" t="inlineStr">
        <is>
          <t>O</t>
        </is>
      </c>
      <c r="L15" s="736" t="n"/>
      <c r="M15" s="736" t="n"/>
    </row>
    <row r="16" customFormat="1" s="329">
      <c r="A16" s="71" t="inlineStr">
        <is>
          <t>시공품질평가</t>
        </is>
      </c>
      <c r="B16" s="793" t="n"/>
      <c r="C16" s="736" t="n"/>
      <c r="D16" s="736" t="n"/>
      <c r="E16" s="736" t="n"/>
      <c r="F16" s="736" t="n"/>
      <c r="G16" s="736" t="n"/>
      <c r="H16" s="49" t="n"/>
      <c r="I16" s="794" t="n"/>
      <c r="J16" s="736" t="n"/>
      <c r="K16" s="793" t="inlineStr">
        <is>
          <t>없음 (25.05.01)</t>
        </is>
      </c>
      <c r="L16" s="795" t="inlineStr">
        <is>
          <t>88.65 (24.05.01)</t>
        </is>
      </c>
      <c r="M16" s="736" t="n"/>
    </row>
    <row r="17" customFormat="1" s="329">
      <c r="A17" s="71" t="inlineStr">
        <is>
          <t>비  고</t>
        </is>
      </c>
      <c r="B17" s="278" t="inlineStr">
        <is>
          <t>허민선</t>
        </is>
      </c>
      <c r="C17" s="1" t="inlineStr">
        <is>
          <t>용화전기통신 자회사</t>
        </is>
      </c>
      <c r="D17" s="1" t="inlineStr">
        <is>
          <t>범진 자회사</t>
        </is>
      </c>
      <c r="E17" s="9" t="n"/>
      <c r="F17" s="9" t="n"/>
      <c r="G17" s="9" t="inlineStr">
        <is>
          <t>윤한봉</t>
        </is>
      </c>
      <c r="H17" s="777" t="inlineStr">
        <is>
          <t>서권형</t>
        </is>
      </c>
      <c r="I17" s="214" t="n"/>
      <c r="J17" s="9" t="inlineStr">
        <is>
          <t>조동규</t>
        </is>
      </c>
      <c r="K17" s="273" t="inlineStr">
        <is>
          <t>고1,중3, 초1 (23.08.01)</t>
        </is>
      </c>
      <c r="L17" s="73" t="inlineStr">
        <is>
          <t>윤명숙</t>
        </is>
      </c>
      <c r="M17" s="9" t="n"/>
    </row>
    <row r="18" ht="26.1" customFormat="1" customHeight="1" s="20">
      <c r="A18" s="455" t="inlineStr">
        <is>
          <t>회사명</t>
        </is>
      </c>
      <c r="B18" s="455" t="inlineStr">
        <is>
          <t>㈜대해전기통신</t>
        </is>
      </c>
      <c r="C18" s="455" t="inlineStr">
        <is>
          <t>대우조선해양건설㈜</t>
        </is>
      </c>
      <c r="D18" s="455" t="inlineStr">
        <is>
          <t>대보정보통신㈜</t>
        </is>
      </c>
      <c r="E18" s="455" t="inlineStr">
        <is>
          <t>동인이엔씨㈜</t>
        </is>
      </c>
      <c r="F18" s="455" t="inlineStr">
        <is>
          <t>㈜대성엔이씨</t>
        </is>
      </c>
      <c r="G18" s="455" t="inlineStr">
        <is>
          <t>㈜디씨에스</t>
        </is>
      </c>
      <c r="H18" s="455" t="inlineStr">
        <is>
          <t>㈜데일리블록체인</t>
        </is>
      </c>
      <c r="I18" s="455" t="inlineStr">
        <is>
          <t>㈜대양종합전기</t>
        </is>
      </c>
      <c r="J18" s="455" t="inlineStr">
        <is>
          <t>대성이엔씨㈜</t>
        </is>
      </c>
      <c r="K18" s="455" t="inlineStr">
        <is>
          <t>㈜디에스원</t>
        </is>
      </c>
      <c r="L18" s="455" t="inlineStr">
        <is>
          <t>대아티아이㈜</t>
        </is>
      </c>
      <c r="M18" s="455" t="inlineStr">
        <is>
          <t>㈜동보안전</t>
        </is>
      </c>
    </row>
    <row r="19" customFormat="1" s="329">
      <c r="A19" s="71" t="inlineStr">
        <is>
          <t>대표자</t>
        </is>
      </c>
      <c r="B19" s="1" t="inlineStr">
        <is>
          <t>김상문</t>
        </is>
      </c>
      <c r="C19" s="1" t="inlineStr">
        <is>
          <t>서복남</t>
        </is>
      </c>
      <c r="D19" s="752" t="inlineStr">
        <is>
          <t>김상욱</t>
        </is>
      </c>
      <c r="E19" s="752" t="inlineStr">
        <is>
          <t>이찬호</t>
        </is>
      </c>
      <c r="F19" s="777" t="inlineStr">
        <is>
          <t>구명자</t>
        </is>
      </c>
      <c r="G19" s="752" t="inlineStr">
        <is>
          <t>박은규</t>
        </is>
      </c>
      <c r="H19" s="752" t="inlineStr">
        <is>
          <t>김남진</t>
        </is>
      </c>
      <c r="I19" s="752" t="inlineStr">
        <is>
          <t>김춘근</t>
        </is>
      </c>
      <c r="J19" s="752" t="inlineStr">
        <is>
          <t>이계순</t>
        </is>
      </c>
      <c r="K19" s="752" t="inlineStr">
        <is>
          <t>박준하</t>
        </is>
      </c>
      <c r="L19" s="752" t="inlineStr">
        <is>
          <t>최진우</t>
        </is>
      </c>
      <c r="M19" s="752" t="inlineStr">
        <is>
          <t>장동엽</t>
        </is>
      </c>
    </row>
    <row r="20" ht="11.25" customFormat="1" customHeight="1" s="14">
      <c r="A20" s="74" t="inlineStr">
        <is>
          <t>사업자번호</t>
        </is>
      </c>
      <c r="B20" s="1" t="inlineStr">
        <is>
          <t>132-81-41933</t>
        </is>
      </c>
      <c r="C20" s="1" t="inlineStr">
        <is>
          <t>214-86-55210</t>
        </is>
      </c>
      <c r="D20" s="54" t="inlineStr">
        <is>
          <t>135-81-19406</t>
        </is>
      </c>
      <c r="E20" s="54" t="inlineStr">
        <is>
          <t xml:space="preserve">142-81-20712 </t>
        </is>
      </c>
      <c r="F20" s="106" t="inlineStr">
        <is>
          <t>212-81-68465</t>
        </is>
      </c>
      <c r="G20" s="54" t="inlineStr">
        <is>
          <t>124-87-28038</t>
        </is>
      </c>
      <c r="H20" s="54" t="inlineStr">
        <is>
          <t>138-81-32903</t>
        </is>
      </c>
      <c r="I20" s="54" t="inlineStr">
        <is>
          <t>222-81-28913</t>
        </is>
      </c>
      <c r="J20" s="54" t="inlineStr">
        <is>
          <t>141-88-00046</t>
        </is>
      </c>
      <c r="K20" s="54" t="inlineStr">
        <is>
          <t>706-81-00034</t>
        </is>
      </c>
      <c r="L20" s="54" t="inlineStr">
        <is>
          <t>116-81-37494</t>
        </is>
      </c>
      <c r="M20" s="54" t="inlineStr">
        <is>
          <t>132-81-31639</t>
        </is>
      </c>
    </row>
    <row r="21" ht="11.25" customFormat="1" customHeight="1" s="14">
      <c r="A21" s="74" t="inlineStr">
        <is>
          <t>지역</t>
        </is>
      </c>
      <c r="B21" s="1" t="inlineStr">
        <is>
          <t>경기도 남양주시</t>
        </is>
      </c>
      <c r="C21" s="1" t="inlineStr">
        <is>
          <t>경기도 용인시</t>
        </is>
      </c>
      <c r="D21" s="54" t="inlineStr">
        <is>
          <t>경기도 용인시</t>
        </is>
      </c>
      <c r="E21" s="752" t="inlineStr">
        <is>
          <t>경기도 용인시</t>
        </is>
      </c>
      <c r="F21" s="106" t="inlineStr">
        <is>
          <t>경기도 여주시</t>
        </is>
      </c>
      <c r="G21" s="752" t="inlineStr">
        <is>
          <t>경기도 화성시</t>
        </is>
      </c>
      <c r="H21" s="752" t="inlineStr">
        <is>
          <t>경기도 안양시</t>
        </is>
      </c>
      <c r="I21" s="752" t="inlineStr">
        <is>
          <t>경기도 양평군</t>
        </is>
      </c>
      <c r="J21" s="752" t="inlineStr">
        <is>
          <t>경기도 안양시</t>
        </is>
      </c>
      <c r="K21" s="752" t="inlineStr">
        <is>
          <t>경기도 남양주시</t>
        </is>
      </c>
      <c r="L21" s="752" t="inlineStr">
        <is>
          <t>경기 부천</t>
        </is>
      </c>
      <c r="M21" s="752" t="inlineStr">
        <is>
          <t>경기 남양주</t>
        </is>
      </c>
    </row>
    <row r="22" ht="11.25" customFormat="1" customHeight="1" s="14">
      <c r="A22" s="71" t="inlineStr">
        <is>
          <t>통신시공능력</t>
        </is>
      </c>
      <c r="B22" s="732" t="n">
        <v>3564500000</v>
      </c>
      <c r="C22" s="732" t="n">
        <v>6908800000</v>
      </c>
      <c r="D22" s="752" t="n">
        <v>77407300000</v>
      </c>
      <c r="E22" s="752" t="n">
        <v>2841700000</v>
      </c>
      <c r="F22" s="777" t="n">
        <v>6241900000</v>
      </c>
      <c r="G22" s="752" t="n">
        <v>1890400000</v>
      </c>
      <c r="H22" s="752" t="n">
        <v>54394300000</v>
      </c>
      <c r="I22" s="752" t="n">
        <v>1411000000</v>
      </c>
      <c r="J22" s="752" t="n">
        <v>2191700000</v>
      </c>
      <c r="K22" s="752" t="n">
        <v>1651300000</v>
      </c>
      <c r="L22" s="752" t="n">
        <v>46655200000</v>
      </c>
      <c r="M22" s="752" t="n">
        <v>4033000000</v>
      </c>
    </row>
    <row r="23" ht="11.25" customFormat="1" customHeight="1" s="14">
      <c r="A23" s="71" t="inlineStr">
        <is>
          <t>3년간 실적액</t>
        </is>
      </c>
      <c r="B23" s="732" t="n">
        <v>5817922000</v>
      </c>
      <c r="C23" s="732" t="n">
        <v>12910187000</v>
      </c>
      <c r="D23" s="752" t="n">
        <v>154518723000</v>
      </c>
      <c r="E23" s="752" t="n">
        <v>3835425000</v>
      </c>
      <c r="F23" s="777" t="n">
        <v>8800280000</v>
      </c>
      <c r="G23" s="752" t="n">
        <v>1397988000</v>
      </c>
      <c r="H23" s="752" t="n">
        <v>106969974000</v>
      </c>
      <c r="I23" s="752" t="n">
        <v>2054155000</v>
      </c>
      <c r="J23" s="752" t="n">
        <v>2114307000</v>
      </c>
      <c r="K23" s="752" t="n">
        <v>1631179000</v>
      </c>
      <c r="L23" s="752" t="n">
        <v>91520041000</v>
      </c>
      <c r="M23" s="752" t="n">
        <v>3012973000</v>
      </c>
    </row>
    <row r="24" customFormat="1" s="15">
      <c r="A24" s="71" t="inlineStr">
        <is>
          <t>5년간 실적액</t>
        </is>
      </c>
      <c r="B24" s="732" t="n">
        <v>8445620000</v>
      </c>
      <c r="C24" s="732" t="n">
        <v>16591893000</v>
      </c>
      <c r="D24" s="752" t="n">
        <v>298131279000</v>
      </c>
      <c r="E24" s="752" t="n">
        <v>5692237000</v>
      </c>
      <c r="F24" s="777" t="n">
        <v>19377091000</v>
      </c>
      <c r="G24" s="752" t="n">
        <v>2053295000</v>
      </c>
      <c r="H24" s="752" t="n">
        <v>197403793000</v>
      </c>
      <c r="I24" s="752" t="n">
        <v>4182262000</v>
      </c>
      <c r="J24" s="752" t="n">
        <v>8475940000</v>
      </c>
      <c r="K24" s="752" t="n">
        <v>2054339000</v>
      </c>
      <c r="L24" s="752" t="n">
        <v>120021051000</v>
      </c>
      <c r="M24" s="752" t="n">
        <v>4437541000</v>
      </c>
    </row>
    <row r="25" customFormat="1" s="790">
      <c r="A25" s="791" t="inlineStr">
        <is>
          <t>부채비율</t>
        </is>
      </c>
      <c r="B25" s="2" t="n">
        <v>0.2365</v>
      </c>
      <c r="C25" s="66" t="n">
        <v>4.0332</v>
      </c>
      <c r="D25" s="48" t="n">
        <v>1.2972</v>
      </c>
      <c r="E25" s="10" t="n"/>
      <c r="F25" s="101" t="n">
        <v>0.2263</v>
      </c>
      <c r="G25" s="10" t="n">
        <v>0.1716</v>
      </c>
      <c r="H25" s="10" t="n">
        <v>0.4089</v>
      </c>
      <c r="I25" s="10" t="n">
        <v>0.4457</v>
      </c>
      <c r="J25" s="10" t="n">
        <v>0.1304</v>
      </c>
      <c r="K25" s="10" t="n">
        <v>0.3645</v>
      </c>
      <c r="L25" s="10" t="n">
        <v>0.2918</v>
      </c>
      <c r="M25" s="10" t="n">
        <v>0.2994</v>
      </c>
      <c r="N25" s="750" t="n"/>
    </row>
    <row r="26" customFormat="1" s="790">
      <c r="A26" s="791" t="inlineStr">
        <is>
          <t>유동비율</t>
        </is>
      </c>
      <c r="B26" s="2" t="n">
        <v>4.4118</v>
      </c>
      <c r="C26" s="66" t="n">
        <v>0.9719</v>
      </c>
      <c r="D26" s="48" t="n">
        <v>1.4166</v>
      </c>
      <c r="E26" s="10" t="n"/>
      <c r="F26" s="101" t="n">
        <v>3.4032</v>
      </c>
      <c r="G26" s="10" t="n">
        <v>28.0196</v>
      </c>
      <c r="H26" s="10" t="n">
        <v>2.3445</v>
      </c>
      <c r="I26" s="10" t="n">
        <v>3.8514</v>
      </c>
      <c r="J26" s="10" t="n">
        <v>6.7506</v>
      </c>
      <c r="K26" s="10" t="n">
        <v>6.5648</v>
      </c>
      <c r="L26" s="10" t="n">
        <v>2.2688</v>
      </c>
      <c r="M26" s="10" t="n">
        <v>3.7012</v>
      </c>
      <c r="N26" s="750" t="n"/>
    </row>
    <row r="27" ht="21" customFormat="1" customHeight="1" s="790">
      <c r="A27" s="792" t="inlineStr">
        <is>
          <t>영업기간
공사업등록일</t>
        </is>
      </c>
      <c r="B27" s="67" t="inlineStr">
        <is>
          <t>2003.05.09</t>
        </is>
      </c>
      <c r="C27" s="67" t="inlineStr">
        <is>
          <t>1992.08.27</t>
        </is>
      </c>
      <c r="D27" s="10" t="inlineStr">
        <is>
          <t>1997.04.01</t>
        </is>
      </c>
      <c r="E27" s="11" t="n"/>
      <c r="F27" s="101" t="inlineStr">
        <is>
          <t>2007.08.03</t>
        </is>
      </c>
      <c r="G27" s="11" t="inlineStr">
        <is>
          <t>1999.10.25</t>
        </is>
      </c>
      <c r="H27" s="11" t="inlineStr">
        <is>
          <t>1999.04.02</t>
        </is>
      </c>
      <c r="I27" s="11" t="inlineStr">
        <is>
          <t>2006.03.21</t>
        </is>
      </c>
      <c r="J27" s="11" t="inlineStr">
        <is>
          <t>1997.02.25</t>
        </is>
      </c>
      <c r="K27" s="11" t="inlineStr">
        <is>
          <t>2005.11.18</t>
        </is>
      </c>
      <c r="L27" s="11" t="inlineStr">
        <is>
          <t>2000.02.28</t>
        </is>
      </c>
      <c r="M27" s="11" t="inlineStr">
        <is>
          <t>2002.02.22</t>
        </is>
      </c>
    </row>
    <row r="28" ht="22.5" customFormat="1" customHeight="1" s="329">
      <c r="A28" s="71" t="inlineStr">
        <is>
          <t>신용평가</t>
        </is>
      </c>
      <c r="B28" s="153" t="inlineStr">
        <is>
          <t>BBB-
(16.07.06~17.06.30)</t>
        </is>
      </c>
      <c r="C28" s="157" t="inlineStr">
        <is>
          <t>BBB+
(22.04.14~23.04.13)</t>
        </is>
      </c>
      <c r="D28" s="725" t="inlineStr">
        <is>
          <t>AA-
(23.04.26~24.04.25)</t>
        </is>
      </c>
      <c r="E28" s="736" t="n"/>
      <c r="F28" s="153" t="inlineStr">
        <is>
          <t>BB+
(24.04.26~25.04.25)</t>
        </is>
      </c>
      <c r="G28" s="736" t="n"/>
      <c r="H28" s="736" t="n"/>
      <c r="I28" s="736" t="n"/>
      <c r="J28" s="736" t="n"/>
      <c r="K28" s="736" t="n"/>
      <c r="L28" s="736" t="n"/>
      <c r="M28" s="157" t="inlineStr">
        <is>
          <t>BBB-
(16.06.17~17.06.16)</t>
        </is>
      </c>
    </row>
    <row r="29" customFormat="1" s="329">
      <c r="A29" s="71" t="inlineStr">
        <is>
          <t>여성기업</t>
        </is>
      </c>
      <c r="B29" s="49" t="n"/>
      <c r="C29" s="55" t="n"/>
      <c r="D29" s="9" t="n"/>
      <c r="E29" s="736" t="n"/>
      <c r="F29" s="49" t="n"/>
      <c r="G29" s="736" t="n"/>
      <c r="H29" s="736" t="n"/>
      <c r="I29" s="736" t="n"/>
      <c r="J29" s="736" t="n"/>
      <c r="K29" s="736" t="n"/>
      <c r="L29" s="736" t="n"/>
      <c r="M29" s="55" t="n"/>
    </row>
    <row r="30" customFormat="1" s="329">
      <c r="A30" s="71" t="inlineStr">
        <is>
          <t>중소기업</t>
        </is>
      </c>
      <c r="B30" s="49" t="n"/>
      <c r="C30" s="55" t="n"/>
      <c r="D30" s="9" t="n"/>
      <c r="E30" s="736" t="n"/>
      <c r="F30" s="49" t="n"/>
      <c r="G30" s="736" t="n"/>
      <c r="H30" s="736" t="n"/>
      <c r="I30" s="736" t="n"/>
      <c r="J30" s="736" t="n"/>
      <c r="K30" s="736" t="n"/>
      <c r="L30" s="736" t="n"/>
      <c r="M30" s="55" t="n"/>
    </row>
    <row r="31" customFormat="1" s="329">
      <c r="A31" s="71" t="inlineStr">
        <is>
          <t>일자리창출실적</t>
        </is>
      </c>
      <c r="B31" s="49" t="n"/>
      <c r="C31" s="55" t="n"/>
      <c r="D31" s="9" t="n"/>
      <c r="E31" s="736" t="n"/>
      <c r="F31" s="49" t="n"/>
      <c r="G31" s="736" t="n"/>
      <c r="H31" s="736" t="n"/>
      <c r="I31" s="736" t="n"/>
      <c r="J31" s="736" t="n"/>
      <c r="K31" s="736" t="n"/>
      <c r="L31" s="736" t="n"/>
      <c r="M31" s="55" t="n"/>
    </row>
    <row r="32" customFormat="1" s="329">
      <c r="A32" s="71" t="inlineStr">
        <is>
          <t>시공품질평가</t>
        </is>
      </c>
      <c r="B32" s="49" t="n"/>
      <c r="C32" s="55" t="n"/>
      <c r="D32" s="9" t="n"/>
      <c r="E32" s="736" t="n"/>
      <c r="F32" s="49" t="n"/>
      <c r="G32" s="736" t="n"/>
      <c r="H32" s="736" t="n"/>
      <c r="I32" s="736" t="n"/>
      <c r="J32" s="736" t="n"/>
      <c r="K32" s="736" t="n"/>
      <c r="L32" s="736" t="n"/>
      <c r="M32" s="55" t="n"/>
    </row>
    <row r="33" customFormat="1" s="329">
      <c r="A33" s="71" t="inlineStr">
        <is>
          <t>비  고</t>
        </is>
      </c>
      <c r="B33" s="1" t="inlineStr">
        <is>
          <t>서권형</t>
        </is>
      </c>
      <c r="C33" s="9" t="n"/>
      <c r="D33" s="9" t="n"/>
      <c r="E33" s="9" t="inlineStr">
        <is>
          <t>송종윤</t>
        </is>
      </c>
      <c r="F33" s="777" t="inlineStr">
        <is>
          <t>이명전기 서재복</t>
        </is>
      </c>
      <c r="G33" s="9" t="inlineStr">
        <is>
          <t>범진에너지건설</t>
        </is>
      </c>
      <c r="H33" s="9" t="inlineStr">
        <is>
          <t>윤한봉</t>
        </is>
      </c>
      <c r="I33" s="9" t="inlineStr">
        <is>
          <t>김용길</t>
        </is>
      </c>
      <c r="J33" s="9" t="inlineStr">
        <is>
          <t>용화전기통신 자회사</t>
        </is>
      </c>
      <c r="K33" s="9" t="inlineStr">
        <is>
          <t>조동규</t>
        </is>
      </c>
      <c r="L33" s="9" t="n"/>
      <c r="M33" s="9" t="inlineStr">
        <is>
          <t>조동규</t>
        </is>
      </c>
    </row>
    <row r="34" ht="26.1" customFormat="1" customHeight="1" s="20">
      <c r="A34" s="455" t="inlineStr">
        <is>
          <t>회사명</t>
        </is>
      </c>
      <c r="B34" s="455" t="inlineStr">
        <is>
          <t>㈜디원이엔티</t>
        </is>
      </c>
      <c r="C34" s="455" t="inlineStr">
        <is>
          <t>(합)동화</t>
        </is>
      </c>
      <c r="D34" s="455" t="inlineStr">
        <is>
          <t>㈜만양</t>
        </is>
      </c>
      <c r="E34" s="455" t="inlineStr">
        <is>
          <t>미송전기㈜</t>
        </is>
      </c>
      <c r="F34" s="455" t="inlineStr">
        <is>
          <t>㈜미진</t>
        </is>
      </c>
      <c r="G34" s="455" t="inlineStr">
        <is>
          <t>맥스㈜</t>
        </is>
      </c>
      <c r="H34" s="455" t="inlineStr">
        <is>
          <t>㈜모아종합전설</t>
        </is>
      </c>
      <c r="I34" s="455" t="inlineStr">
        <is>
          <t>㈜비제이정보통신</t>
        </is>
      </c>
      <c r="J34" s="455" t="inlineStr">
        <is>
          <t>범진에너지건설(주)</t>
        </is>
      </c>
      <c r="K34" s="455" t="inlineStr">
        <is>
          <t>빛탑건설㈜</t>
        </is>
      </c>
      <c r="L34" s="455" t="inlineStr">
        <is>
          <t>㈜부신전력</t>
        </is>
      </c>
      <c r="M34" s="455" t="inlineStr">
        <is>
          <t>범진종합건설㈜</t>
        </is>
      </c>
    </row>
    <row r="35" customFormat="1" s="329">
      <c r="A35" s="71" t="inlineStr">
        <is>
          <t>대표자</t>
        </is>
      </c>
      <c r="B35" s="752" t="inlineStr">
        <is>
          <t>이영재</t>
        </is>
      </c>
      <c r="C35" s="752" t="inlineStr">
        <is>
          <t>김연희</t>
        </is>
      </c>
      <c r="D35" s="796" t="inlineStr">
        <is>
          <t>이상미</t>
        </is>
      </c>
      <c r="E35" s="9" t="inlineStr">
        <is>
          <t>곽태신</t>
        </is>
      </c>
      <c r="F35" s="752" t="inlineStr">
        <is>
          <t>황선옥</t>
        </is>
      </c>
      <c r="G35" s="752" t="inlineStr">
        <is>
          <t>유범규</t>
        </is>
      </c>
      <c r="H35" s="752" t="inlineStr">
        <is>
          <t>이근효</t>
        </is>
      </c>
      <c r="I35" s="732" t="inlineStr">
        <is>
          <t>조범준</t>
        </is>
      </c>
      <c r="J35" s="732" t="inlineStr">
        <is>
          <t>조동규</t>
        </is>
      </c>
      <c r="K35" s="797" t="inlineStr">
        <is>
          <t>박경원</t>
        </is>
      </c>
      <c r="L35" s="9" t="inlineStr">
        <is>
          <t>윤영배</t>
        </is>
      </c>
      <c r="M35" s="9" t="inlineStr">
        <is>
          <t>김의근</t>
        </is>
      </c>
    </row>
    <row r="36" ht="11.25" customFormat="1" customHeight="1" s="14">
      <c r="A36" s="74" t="inlineStr">
        <is>
          <t>사업자번호</t>
        </is>
      </c>
      <c r="B36" s="54" t="inlineStr">
        <is>
          <t>132-86-28411</t>
        </is>
      </c>
      <c r="C36" s="54" t="inlineStr">
        <is>
          <t>138-81-00487</t>
        </is>
      </c>
      <c r="D36" s="432" t="inlineStr">
        <is>
          <t>126-86-50320</t>
        </is>
      </c>
      <c r="E36" s="59" t="inlineStr">
        <is>
          <t>125-81-64544</t>
        </is>
      </c>
      <c r="F36" s="54" t="inlineStr">
        <is>
          <t>137-86-08370</t>
        </is>
      </c>
      <c r="G36" s="54" t="inlineStr">
        <is>
          <t>135-86-04626</t>
        </is>
      </c>
      <c r="H36" s="54" t="inlineStr">
        <is>
          <t>204-81-47116</t>
        </is>
      </c>
      <c r="I36" s="4" t="inlineStr">
        <is>
          <t>279-87-01566</t>
        </is>
      </c>
      <c r="J36" s="4" t="inlineStr">
        <is>
          <t>134-86-18826</t>
        </is>
      </c>
      <c r="K36" s="256" t="inlineStr">
        <is>
          <t>120-86-54411</t>
        </is>
      </c>
      <c r="L36" s="9" t="inlineStr">
        <is>
          <t xml:space="preserve">209-81-25664 </t>
        </is>
      </c>
      <c r="M36" s="9" t="inlineStr">
        <is>
          <t>314-86-18826</t>
        </is>
      </c>
    </row>
    <row r="37" ht="11.25" customFormat="1" customHeight="1" s="14">
      <c r="A37" s="74" t="inlineStr">
        <is>
          <t>지역</t>
        </is>
      </c>
      <c r="B37" s="752" t="inlineStr">
        <is>
          <t>경기도 남양주시</t>
        </is>
      </c>
      <c r="C37" s="752" t="inlineStr">
        <is>
          <t>경기 안양</t>
        </is>
      </c>
      <c r="D37" s="796" t="inlineStr">
        <is>
          <t>경기도 양주시</t>
        </is>
      </c>
      <c r="E37" s="9" t="inlineStr">
        <is>
          <t>경기도 평택시</t>
        </is>
      </c>
      <c r="F37" s="752" t="inlineStr">
        <is>
          <t>경기도 김포시</t>
        </is>
      </c>
      <c r="G37" s="752" t="inlineStr">
        <is>
          <t>경기 화성</t>
        </is>
      </c>
      <c r="H37" s="752" t="inlineStr">
        <is>
          <t>경기 남양주</t>
        </is>
      </c>
      <c r="I37" s="732" t="inlineStr">
        <is>
          <t>경기도 양주시</t>
        </is>
      </c>
      <c r="J37" s="732" t="inlineStr">
        <is>
          <t>경기도 남양주시</t>
        </is>
      </c>
      <c r="K37" s="797" t="inlineStr">
        <is>
          <t>경기도 용인시</t>
        </is>
      </c>
      <c r="L37" s="9" t="inlineStr">
        <is>
          <t>경기도 광명시</t>
        </is>
      </c>
      <c r="M37" s="9" t="inlineStr">
        <is>
          <t>경기 남양주</t>
        </is>
      </c>
    </row>
    <row r="38" ht="11.25" customFormat="1" customHeight="1" s="14">
      <c r="A38" s="71" t="inlineStr">
        <is>
          <t>통신시공능력</t>
        </is>
      </c>
      <c r="B38" s="752" t="n">
        <v>802500000</v>
      </c>
      <c r="C38" s="752" t="n">
        <v>75121149000</v>
      </c>
      <c r="D38" s="798" t="n">
        <v>3024800000</v>
      </c>
      <c r="E38" s="756" t="n">
        <v>1710400000</v>
      </c>
      <c r="F38" s="752" t="n">
        <v>1156400000</v>
      </c>
      <c r="G38" s="752" t="n">
        <v>2030200000</v>
      </c>
      <c r="H38" s="752" t="n">
        <v>985800000</v>
      </c>
      <c r="I38" s="732" t="n">
        <v>1898500000</v>
      </c>
      <c r="J38" s="732" t="n">
        <v>2615000000</v>
      </c>
      <c r="K38" s="799" t="n">
        <v>932200000</v>
      </c>
      <c r="L38" s="752" t="n">
        <v>514700000</v>
      </c>
      <c r="M38" s="752" t="n">
        <v>1462800000</v>
      </c>
    </row>
    <row r="39" ht="11.25" customFormat="1" customHeight="1" s="14">
      <c r="A39" s="71" t="inlineStr">
        <is>
          <t>3년간 실적액</t>
        </is>
      </c>
      <c r="B39" s="752" t="n">
        <v>268029000</v>
      </c>
      <c r="C39" s="752" t="n">
        <v>117404195000</v>
      </c>
      <c r="D39" s="798" t="n">
        <v>4367021000</v>
      </c>
      <c r="E39" s="756" t="n">
        <v>1897581000</v>
      </c>
      <c r="F39" s="752" t="n">
        <v>1265982000</v>
      </c>
      <c r="G39" s="752" t="n">
        <v>1732796000</v>
      </c>
      <c r="H39" s="752" t="n">
        <v>1277987000</v>
      </c>
      <c r="I39" s="732" t="n">
        <v>2628187000</v>
      </c>
      <c r="J39" s="732" t="n">
        <v>1000328000</v>
      </c>
      <c r="K39" s="799" t="n">
        <v>379866000</v>
      </c>
      <c r="L39" s="752" t="n">
        <v>11085000</v>
      </c>
      <c r="M39" s="752">
        <f>223764000+211644000+403620000</f>
        <v/>
      </c>
    </row>
    <row r="40" customFormat="1" s="15">
      <c r="A40" s="71" t="inlineStr">
        <is>
          <t>5년간 실적액</t>
        </is>
      </c>
      <c r="B40" s="752" t="n">
        <v>3044321000</v>
      </c>
      <c r="C40" s="752" t="n">
        <v>179615037000</v>
      </c>
      <c r="D40" s="798" t="n">
        <v>9902065000</v>
      </c>
      <c r="E40" s="756" t="n">
        <v>2668900000</v>
      </c>
      <c r="F40" s="752" t="n">
        <v>5438899000</v>
      </c>
      <c r="G40" s="752" t="n">
        <v>2918770000</v>
      </c>
      <c r="H40" s="752" t="n">
        <v>2036841000</v>
      </c>
      <c r="I40" s="732" t="n">
        <v>4142051000</v>
      </c>
      <c r="J40" s="732" t="n">
        <v>3515877000</v>
      </c>
      <c r="K40" s="799" t="n">
        <v>998766000</v>
      </c>
      <c r="L40" s="752" t="n">
        <v>172607000</v>
      </c>
      <c r="M40" s="752">
        <f>M39+373484000+204495000</f>
        <v/>
      </c>
    </row>
    <row r="41" customFormat="1" s="790">
      <c r="A41" s="791" t="inlineStr">
        <is>
          <t>부채비율</t>
        </is>
      </c>
      <c r="B41" s="10" t="n">
        <v>0.5149</v>
      </c>
      <c r="C41" s="10" t="n">
        <v>0.3465</v>
      </c>
      <c r="D41" s="431" t="n">
        <v>0.4933</v>
      </c>
      <c r="E41" s="10" t="n">
        <v>0.2846</v>
      </c>
      <c r="F41" s="10" t="n">
        <v>0.197</v>
      </c>
      <c r="G41" s="10" t="n">
        <v>0.2097</v>
      </c>
      <c r="H41" s="10" t="n">
        <v>0.5904</v>
      </c>
      <c r="I41" s="2" t="n">
        <v>0.2689</v>
      </c>
      <c r="J41" s="2" t="n">
        <v>0.3248</v>
      </c>
      <c r="K41" s="257" t="n">
        <v>0.3155</v>
      </c>
      <c r="L41" s="10" t="n"/>
      <c r="M41" s="10" t="n">
        <v>0.4613</v>
      </c>
      <c r="N41" s="750" t="n"/>
    </row>
    <row r="42" customFormat="1" s="790">
      <c r="A42" s="791" t="inlineStr">
        <is>
          <t>유동비율</t>
        </is>
      </c>
      <c r="B42" s="10" t="n">
        <v>7.8213</v>
      </c>
      <c r="C42" s="10" t="n">
        <v>2.5977</v>
      </c>
      <c r="D42" s="431" t="n">
        <v>5.5462</v>
      </c>
      <c r="E42" s="10" t="n">
        <v>2.8381</v>
      </c>
      <c r="F42" s="10" t="n">
        <v>10.5534</v>
      </c>
      <c r="G42" s="10" t="n">
        <v>5.1113</v>
      </c>
      <c r="H42" s="10" t="n">
        <v>2.8269</v>
      </c>
      <c r="I42" s="2" t="n">
        <v>3.6153</v>
      </c>
      <c r="J42" s="2" t="n">
        <v>8.186500000000001</v>
      </c>
      <c r="K42" s="257" t="n">
        <v>12.2332</v>
      </c>
      <c r="L42" s="10" t="n"/>
      <c r="M42" s="10" t="n">
        <v>5.2763</v>
      </c>
      <c r="N42" s="750" t="n"/>
    </row>
    <row r="43" ht="21" customFormat="1" customHeight="1" s="790">
      <c r="A43" s="792" t="inlineStr">
        <is>
          <t>영업기간
공사업등록일</t>
        </is>
      </c>
      <c r="B43" s="11" t="inlineStr">
        <is>
          <t>2004.04.26</t>
        </is>
      </c>
      <c r="C43" s="10" t="inlineStr">
        <is>
          <t>10년이상%</t>
        </is>
      </c>
      <c r="D43" s="433" t="inlineStr">
        <is>
          <t>2016.02.17</t>
        </is>
      </c>
      <c r="E43" s="10" t="inlineStr">
        <is>
          <t>2009.05.13</t>
        </is>
      </c>
      <c r="F43" s="11" t="inlineStr">
        <is>
          <t>2002.02.27</t>
        </is>
      </c>
      <c r="G43" s="10" t="inlineStr">
        <is>
          <t>3년이상%</t>
        </is>
      </c>
      <c r="H43" s="10" t="inlineStr">
        <is>
          <t>10년이상%</t>
        </is>
      </c>
      <c r="I43" s="67" t="inlineStr">
        <is>
          <t>2000.09.08</t>
        </is>
      </c>
      <c r="J43" s="67" t="inlineStr">
        <is>
          <t>2009.02.05</t>
        </is>
      </c>
      <c r="K43" s="258" t="inlineStr">
        <is>
          <t>2011.03.16</t>
        </is>
      </c>
      <c r="L43" s="10" t="n"/>
      <c r="M43" s="10" t="inlineStr">
        <is>
          <t>3년이상%</t>
        </is>
      </c>
    </row>
    <row r="44" ht="22.5" customFormat="1" customHeight="1" s="329">
      <c r="A44" s="71" t="inlineStr">
        <is>
          <t>신용평가</t>
        </is>
      </c>
      <c r="B44" s="736" t="n"/>
      <c r="C44" s="725" t="inlineStr">
        <is>
          <t>A-
(14.05.08~15.05.07)</t>
        </is>
      </c>
      <c r="D44" s="268" t="inlineStr">
        <is>
          <t>BB-
(25.07.03~26.06.30)</t>
        </is>
      </c>
      <c r="E44" s="157" t="inlineStr">
        <is>
          <t>BB0
(19.06.14~20.06.13)</t>
        </is>
      </c>
      <c r="F44" s="725" t="inlineStr">
        <is>
          <t>BBO
(17.06.15~18.06.14)</t>
        </is>
      </c>
      <c r="G44" s="157" t="inlineStr">
        <is>
          <t>BB-
(15.05.26~16.05.25)</t>
        </is>
      </c>
      <c r="H44" s="725" t="inlineStr">
        <is>
          <t>BBB-
(15.09.02~16.06.30)</t>
        </is>
      </c>
      <c r="I44" s="736" t="n"/>
      <c r="J44" s="725" t="inlineStr">
        <is>
          <t>BB+
(20.06.16~21.06.15)</t>
        </is>
      </c>
      <c r="K44" s="736" t="n"/>
      <c r="L44" s="55" t="n"/>
      <c r="M44" s="725" t="inlineStr">
        <is>
          <t>BBB-
13.06.27~14.06.26)</t>
        </is>
      </c>
    </row>
    <row r="45" customFormat="1" s="329">
      <c r="A45" s="71" t="inlineStr">
        <is>
          <t>여성기업</t>
        </is>
      </c>
      <c r="B45" s="736" t="n"/>
      <c r="C45" s="736" t="n"/>
      <c r="D45" s="800" t="n"/>
      <c r="E45" s="55" t="n"/>
      <c r="F45" s="736" t="n"/>
      <c r="G45" s="55" t="n"/>
      <c r="H45" s="736" t="n"/>
      <c r="I45" s="736" t="n"/>
      <c r="J45" s="736" t="n"/>
      <c r="K45" s="801" t="n"/>
      <c r="L45" s="55" t="n"/>
      <c r="M45" s="9" t="n"/>
    </row>
    <row r="46" customFormat="1" s="329">
      <c r="A46" s="71" t="inlineStr">
        <is>
          <t>중소기업</t>
        </is>
      </c>
      <c r="B46" s="736" t="n"/>
      <c r="C46" s="736" t="n"/>
      <c r="D46" s="800" t="n"/>
      <c r="E46" s="55" t="n"/>
      <c r="F46" s="736" t="n"/>
      <c r="G46" s="55" t="n"/>
      <c r="H46" s="736" t="n"/>
      <c r="I46" s="736" t="n"/>
      <c r="J46" s="736" t="n"/>
      <c r="K46" s="801" t="n"/>
      <c r="L46" s="55" t="n"/>
      <c r="M46" s="9" t="n"/>
    </row>
    <row r="47" customFormat="1" s="329">
      <c r="A47" s="71" t="inlineStr">
        <is>
          <t>일자리창출실적</t>
        </is>
      </c>
      <c r="B47" s="736" t="n"/>
      <c r="C47" s="736" t="n"/>
      <c r="D47" s="800" t="n"/>
      <c r="E47" s="55" t="n"/>
      <c r="F47" s="736" t="n"/>
      <c r="G47" s="55" t="n"/>
      <c r="H47" s="736" t="n"/>
      <c r="I47" s="736" t="n"/>
      <c r="J47" s="736" t="n"/>
      <c r="K47" s="801" t="n"/>
      <c r="L47" s="55" t="n"/>
      <c r="M47" s="9" t="n"/>
    </row>
    <row r="48" customFormat="1" s="329">
      <c r="A48" s="71" t="inlineStr">
        <is>
          <t>시공품질평가</t>
        </is>
      </c>
      <c r="B48" s="736" t="n"/>
      <c r="C48" s="736" t="n"/>
      <c r="D48" s="800" t="n"/>
      <c r="E48" s="55" t="n"/>
      <c r="F48" s="736" t="n"/>
      <c r="G48" s="55" t="n"/>
      <c r="H48" s="736" t="n"/>
      <c r="I48" s="736" t="n"/>
      <c r="J48" s="736" t="n"/>
      <c r="K48" s="801" t="n"/>
      <c r="L48" s="55" t="n"/>
      <c r="M48" s="9" t="n"/>
    </row>
    <row r="49" ht="33.75" customFormat="1" customHeight="1" s="329">
      <c r="A49" s="71" t="inlineStr">
        <is>
          <t>비  고</t>
        </is>
      </c>
      <c r="B49" s="9" t="inlineStr">
        <is>
          <t>범진에너지건설</t>
        </is>
      </c>
      <c r="C49" s="9" t="inlineStr">
        <is>
          <t>김장섭</t>
        </is>
      </c>
      <c r="D49" s="434" t="inlineStr">
        <is>
          <t>이동훈
특1,고1,중1,초1
(23.11.08)</t>
        </is>
      </c>
      <c r="E49" s="9" t="inlineStr">
        <is>
          <t>채석훈팀장</t>
        </is>
      </c>
      <c r="F49" s="9" t="inlineStr">
        <is>
          <t>신흥식</t>
        </is>
      </c>
      <c r="G49" s="61" t="inlineStr">
        <is>
          <t>이승용부장</t>
        </is>
      </c>
      <c r="H49" s="9" t="inlineStr">
        <is>
          <t>조동규</t>
        </is>
      </c>
      <c r="I49" s="79" t="inlineStr">
        <is>
          <t>조재진</t>
        </is>
      </c>
      <c r="J49" s="1" t="inlineStr">
        <is>
          <t>조동규</t>
        </is>
      </c>
      <c r="K49" s="259" t="inlineStr">
        <is>
          <t>윤명숙</t>
        </is>
      </c>
      <c r="L49" s="9" t="inlineStr">
        <is>
          <t>김장섭</t>
        </is>
      </c>
      <c r="M49" s="9" t="n"/>
    </row>
    <row r="50" ht="26.1" customFormat="1" customHeight="1" s="20">
      <c r="A50" s="455" t="inlineStr">
        <is>
          <t>회사명</t>
        </is>
      </c>
      <c r="B50" s="455" t="inlineStr">
        <is>
          <t>밝은전기㈜</t>
        </is>
      </c>
      <c r="C50" s="455" t="inlineStr">
        <is>
          <t>㈜베이스인
네트웍스</t>
        </is>
      </c>
      <c r="D50" s="455" t="inlineStr">
        <is>
          <t>㈜벽상이앤씨</t>
        </is>
      </c>
      <c r="E50" s="455" t="inlineStr">
        <is>
          <t>㈜송원이앤씨</t>
        </is>
      </c>
      <c r="F50" s="455" t="inlineStr">
        <is>
          <t>㈜시티</t>
        </is>
      </c>
      <c r="G50" s="455" t="inlineStr">
        <is>
          <t>㈜시티종합건설</t>
        </is>
      </c>
      <c r="H50" s="455" t="inlineStr">
        <is>
          <t>세진네오텍㈜</t>
        </is>
      </c>
      <c r="I50" s="455" t="inlineStr">
        <is>
          <t>㈜세진종합이엔씨</t>
        </is>
      </c>
      <c r="J50" s="455" t="inlineStr">
        <is>
          <t>신원종합개발㈜</t>
        </is>
      </c>
      <c r="K50" s="455" t="inlineStr">
        <is>
          <t>㈜신성</t>
        </is>
      </c>
      <c r="L50" s="455" t="inlineStr">
        <is>
          <t>성일전기㈜</t>
        </is>
      </c>
      <c r="M50" s="455" t="inlineStr">
        <is>
          <t>수자원기술㈜</t>
        </is>
      </c>
    </row>
    <row r="51" customFormat="1" s="329">
      <c r="A51" s="71" t="inlineStr">
        <is>
          <t>대표자</t>
        </is>
      </c>
      <c r="B51" s="752" t="inlineStr">
        <is>
          <t>박경원</t>
        </is>
      </c>
      <c r="C51" s="9" t="inlineStr">
        <is>
          <t>김희준</t>
        </is>
      </c>
      <c r="D51" s="1" t="inlineStr">
        <is>
          <t>임순수</t>
        </is>
      </c>
      <c r="E51" s="802" t="inlineStr">
        <is>
          <t>이금미</t>
        </is>
      </c>
      <c r="F51" s="732" t="inlineStr">
        <is>
          <t>구본경</t>
        </is>
      </c>
      <c r="G51" s="1" t="inlineStr">
        <is>
          <t>강래길</t>
        </is>
      </c>
      <c r="H51" s="288" t="inlineStr">
        <is>
          <t>박기호</t>
        </is>
      </c>
      <c r="I51" s="214" t="inlineStr">
        <is>
          <t>박근덕</t>
        </is>
      </c>
      <c r="J51" s="1" t="inlineStr">
        <is>
          <t>김성민</t>
        </is>
      </c>
      <c r="K51" s="1" t="inlineStr">
        <is>
          <t>신홍균</t>
        </is>
      </c>
      <c r="L51" s="9" t="inlineStr">
        <is>
          <t>윤원자</t>
        </is>
      </c>
      <c r="M51" s="732" t="inlineStr">
        <is>
          <t>최원식</t>
        </is>
      </c>
    </row>
    <row r="52" ht="11.25" customFormat="1" customHeight="1" s="14">
      <c r="A52" s="74" t="inlineStr">
        <is>
          <t>사업자번호</t>
        </is>
      </c>
      <c r="B52" s="54" t="inlineStr">
        <is>
          <t>120-86-54411</t>
        </is>
      </c>
      <c r="C52" s="9" t="inlineStr">
        <is>
          <t>120-86-20056</t>
        </is>
      </c>
      <c r="D52" s="1" t="inlineStr">
        <is>
          <t>113-81-76237</t>
        </is>
      </c>
      <c r="E52" s="284" t="inlineStr">
        <is>
          <t>403-81-41077</t>
        </is>
      </c>
      <c r="F52" s="4" t="inlineStr">
        <is>
          <t>132-81-73997</t>
        </is>
      </c>
      <c r="G52" s="1" t="inlineStr">
        <is>
          <t>409-81-21119</t>
        </is>
      </c>
      <c r="H52" s="289" t="inlineStr">
        <is>
          <t>132-86-34193</t>
        </is>
      </c>
      <c r="I52" s="215" t="inlineStr">
        <is>
          <t>119-86-65219</t>
        </is>
      </c>
      <c r="J52" s="1" t="inlineStr">
        <is>
          <t>105-81-17479</t>
        </is>
      </c>
      <c r="K52" s="1" t="inlineStr">
        <is>
          <t>239-87-00443</t>
        </is>
      </c>
      <c r="L52" s="9" t="inlineStr">
        <is>
          <t>126-81-54864</t>
        </is>
      </c>
      <c r="M52" s="4" t="inlineStr">
        <is>
          <t>212-81-50572</t>
        </is>
      </c>
    </row>
    <row r="53" ht="11.25" customFormat="1" customHeight="1" s="14">
      <c r="A53" s="74" t="inlineStr">
        <is>
          <t>지역</t>
        </is>
      </c>
      <c r="B53" s="752" t="inlineStr">
        <is>
          <t>경기 용인</t>
        </is>
      </c>
      <c r="C53" s="9" t="inlineStr">
        <is>
          <t>경기 성남</t>
        </is>
      </c>
      <c r="D53" s="1" t="inlineStr">
        <is>
          <t>경기 안성</t>
        </is>
      </c>
      <c r="E53" s="802" t="inlineStr">
        <is>
          <t>경기도 화성시</t>
        </is>
      </c>
      <c r="F53" s="732" t="inlineStr">
        <is>
          <t>경기도 화성시</t>
        </is>
      </c>
      <c r="G53" s="732" t="inlineStr">
        <is>
          <t>경기도 화성시</t>
        </is>
      </c>
      <c r="H53" s="288" t="inlineStr">
        <is>
          <t>경기도 평택시</t>
        </is>
      </c>
      <c r="I53" s="214" t="inlineStr">
        <is>
          <t>경기도 광명시</t>
        </is>
      </c>
      <c r="J53" s="1" t="inlineStr">
        <is>
          <t>경기도 화성시</t>
        </is>
      </c>
      <c r="K53" s="1" t="inlineStr">
        <is>
          <t>충남 보령시</t>
        </is>
      </c>
      <c r="L53" s="9" t="inlineStr">
        <is>
          <t>경기도 용인시</t>
        </is>
      </c>
      <c r="M53" s="732" t="inlineStr">
        <is>
          <t>경기 성남시</t>
        </is>
      </c>
    </row>
    <row r="54" ht="11.25" customFormat="1" customHeight="1" s="14">
      <c r="A54" s="71" t="inlineStr">
        <is>
          <t>통신시공능력</t>
        </is>
      </c>
      <c r="B54" s="752" t="n">
        <v>909200000</v>
      </c>
      <c r="C54" s="752" t="n">
        <v>3147600000</v>
      </c>
      <c r="D54" s="732" t="n">
        <v>500900</v>
      </c>
      <c r="E54" s="741" t="n">
        <v>2753100000</v>
      </c>
      <c r="F54" s="732" t="n">
        <v>6393800000</v>
      </c>
      <c r="G54" s="732" t="n">
        <v>6432900000</v>
      </c>
      <c r="H54" s="741" t="n">
        <v>2062500000</v>
      </c>
      <c r="I54" s="770" t="n">
        <v>1481300000</v>
      </c>
      <c r="J54" s="732" t="n">
        <v>7971000000</v>
      </c>
      <c r="K54" s="732" t="n">
        <v>1158900000</v>
      </c>
      <c r="L54" s="752" t="n">
        <v>2185400000</v>
      </c>
      <c r="M54" s="732" t="n">
        <v>994100000</v>
      </c>
    </row>
    <row r="55" ht="11.25" customFormat="1" customHeight="1" s="14">
      <c r="A55" s="71" t="inlineStr">
        <is>
          <t>3년간 실적액</t>
        </is>
      </c>
      <c r="B55" s="752" t="n">
        <v>896968000</v>
      </c>
      <c r="C55" s="752">
        <f>1197336000+617461000+938448000</f>
        <v/>
      </c>
      <c r="D55" s="732" t="n">
        <v>0</v>
      </c>
      <c r="E55" s="741" t="n">
        <v>2133525000</v>
      </c>
      <c r="F55" s="732" t="n">
        <v>6776500000</v>
      </c>
      <c r="G55" s="732" t="n">
        <v>6897601000</v>
      </c>
      <c r="H55" s="741" t="n">
        <v>653596000</v>
      </c>
      <c r="I55" s="770" t="n">
        <v>1680011000</v>
      </c>
      <c r="J55" s="732" t="n">
        <v>7529476000</v>
      </c>
      <c r="K55" s="732" t="n">
        <v>668406000</v>
      </c>
      <c r="L55" s="752" t="n">
        <v>1545561000</v>
      </c>
      <c r="M55" s="732" t="n">
        <v>601101000</v>
      </c>
    </row>
    <row r="56" customFormat="1" s="15">
      <c r="A56" s="71" t="inlineStr">
        <is>
          <t>5년간 실적액</t>
        </is>
      </c>
      <c r="B56" s="752" t="n">
        <v>1135230000</v>
      </c>
      <c r="C56" s="752">
        <f>C55+607206000+1183446000</f>
        <v/>
      </c>
      <c r="D56" s="732" t="n">
        <v>0</v>
      </c>
      <c r="E56" s="741" t="n">
        <v>3597544000</v>
      </c>
      <c r="F56" s="732" t="n">
        <v>17069303000</v>
      </c>
      <c r="G56" s="732" t="n">
        <v>11989833000</v>
      </c>
      <c r="H56" s="741" t="n">
        <v>1387559000</v>
      </c>
      <c r="I56" s="770" t="n">
        <v>1743811000</v>
      </c>
      <c r="J56" s="732" t="n">
        <v>7529476000</v>
      </c>
      <c r="K56" s="732" t="n">
        <v>668406000</v>
      </c>
      <c r="L56" s="752" t="n">
        <v>1545561000</v>
      </c>
      <c r="M56" s="732" t="n">
        <v>909452000</v>
      </c>
    </row>
    <row r="57" customFormat="1" s="790">
      <c r="A57" s="791" t="inlineStr">
        <is>
          <t>부채비율</t>
        </is>
      </c>
      <c r="B57" s="10" t="n">
        <v>0.5327</v>
      </c>
      <c r="C57" s="10" t="n">
        <v>0.4547</v>
      </c>
      <c r="D57" s="2" t="n">
        <v>0.5634</v>
      </c>
      <c r="E57" s="285" t="n">
        <v>0.1716</v>
      </c>
      <c r="F57" s="2" t="n">
        <v>0.3478</v>
      </c>
      <c r="G57" s="2" t="n">
        <v>0.3355</v>
      </c>
      <c r="H57" s="285" t="n">
        <v>0.0736</v>
      </c>
      <c r="I57" s="216" t="n">
        <v>0.971</v>
      </c>
      <c r="J57" s="66" t="n">
        <v>1.2414</v>
      </c>
      <c r="K57" s="2" t="n">
        <v>0.2689</v>
      </c>
      <c r="L57" s="10" t="n">
        <v>0.5964</v>
      </c>
      <c r="M57" s="2" t="n">
        <v>0.313</v>
      </c>
      <c r="N57" s="750" t="n"/>
    </row>
    <row r="58" customFormat="1" s="790">
      <c r="A58" s="791" t="inlineStr">
        <is>
          <t>유동비율</t>
        </is>
      </c>
      <c r="B58" s="10" t="n">
        <v>2.2463</v>
      </c>
      <c r="C58" s="10" t="n">
        <v>1.4613</v>
      </c>
      <c r="D58" s="2" t="n">
        <v>2.3563</v>
      </c>
      <c r="E58" s="285" t="n">
        <v>6.376</v>
      </c>
      <c r="F58" s="2" t="n">
        <v>3.9153</v>
      </c>
      <c r="G58" s="2" t="n">
        <v>3.8337</v>
      </c>
      <c r="H58" s="285" t="n">
        <v>8.8089</v>
      </c>
      <c r="I58" s="217" t="n">
        <v>2.9913</v>
      </c>
      <c r="J58" s="77" t="n">
        <v>2.557</v>
      </c>
      <c r="K58" s="2" t="n">
        <v>64.163</v>
      </c>
      <c r="L58" s="10" t="n">
        <v>2.8433</v>
      </c>
      <c r="M58" s="2" t="n">
        <v>3.0458</v>
      </c>
      <c r="N58" s="750" t="n"/>
    </row>
    <row r="59" ht="21" customFormat="1" customHeight="1" s="790">
      <c r="A59" s="792" t="inlineStr">
        <is>
          <t>영업기간
공사업등록일</t>
        </is>
      </c>
      <c r="B59" s="11" t="inlineStr">
        <is>
          <t>2011.03.16</t>
        </is>
      </c>
      <c r="C59" s="10" t="inlineStr">
        <is>
          <t>10년이상%</t>
        </is>
      </c>
      <c r="D59" s="2" t="inlineStr">
        <is>
          <t>3년미만%</t>
        </is>
      </c>
      <c r="E59" s="287" t="inlineStr">
        <is>
          <t>2011.08.22</t>
        </is>
      </c>
      <c r="F59" s="67" t="inlineStr">
        <is>
          <t>2017.03.16</t>
        </is>
      </c>
      <c r="G59" s="67" t="inlineStr">
        <is>
          <t>2010.08.19</t>
        </is>
      </c>
      <c r="H59" s="287" t="inlineStr">
        <is>
          <t>2011.08.16</t>
        </is>
      </c>
      <c r="I59" s="213" t="inlineStr">
        <is>
          <t>2019.01.24</t>
        </is>
      </c>
      <c r="J59" s="67" t="inlineStr">
        <is>
          <t>2020.05.07</t>
        </is>
      </c>
      <c r="K59" s="67" t="inlineStr">
        <is>
          <t>2017.07.13</t>
        </is>
      </c>
      <c r="L59" s="11" t="inlineStr">
        <is>
          <t>2007.11.22</t>
        </is>
      </c>
      <c r="M59" s="2" t="inlineStr">
        <is>
          <t>10년이상%</t>
        </is>
      </c>
    </row>
    <row r="60" ht="22.5" customFormat="1" customHeight="1" s="329">
      <c r="A60" s="71" t="inlineStr">
        <is>
          <t>신용평가</t>
        </is>
      </c>
      <c r="B60" s="736" t="n"/>
      <c r="C60" s="56" t="n"/>
      <c r="D60" s="803" t="n"/>
      <c r="E60" s="724" t="inlineStr">
        <is>
          <t>BB+
(25.04.18~26.04.17)</t>
        </is>
      </c>
      <c r="F60" s="153" t="inlineStr">
        <is>
          <t>BBB+
(22.05.20~23.05.19)</t>
        </is>
      </c>
      <c r="G60" s="153" t="inlineStr">
        <is>
          <t>BBB+
(22.05.20~23.05.19)</t>
        </is>
      </c>
      <c r="H60" s="744" t="inlineStr">
        <is>
          <t>BB0
(25.04.11~26.04.10)</t>
        </is>
      </c>
      <c r="I60" s="371" t="inlineStr">
        <is>
          <t>BB+
(25.06.19~26.06.18)</t>
        </is>
      </c>
      <c r="J60" s="157" t="inlineStr">
        <is>
          <t>AO
(22.06.24~23.06.23)</t>
        </is>
      </c>
      <c r="K60" s="736" t="n"/>
      <c r="L60" s="725" t="inlineStr">
        <is>
          <t>BBO
(20.05.20~21.05.19)</t>
        </is>
      </c>
      <c r="M60" s="725" t="inlineStr">
        <is>
          <t>A+
(13.04.24~14.04.23)</t>
        </is>
      </c>
    </row>
    <row r="61" ht="19.5" customFormat="1" customHeight="1" s="329">
      <c r="A61" s="71" t="inlineStr">
        <is>
          <t>여성기업</t>
        </is>
      </c>
      <c r="B61" s="736" t="n"/>
      <c r="C61" s="56" t="n"/>
      <c r="D61" s="803" t="n"/>
      <c r="E61" s="744" t="inlineStr">
        <is>
          <t>24.06.27~27.06.26</t>
        </is>
      </c>
      <c r="F61" s="49" t="n"/>
      <c r="G61" s="55" t="n"/>
      <c r="H61" s="744" t="n"/>
      <c r="I61" s="794" t="n"/>
      <c r="J61" s="55" t="n"/>
      <c r="K61" s="736" t="n"/>
      <c r="L61" s="736" t="n"/>
      <c r="M61" s="736" t="n"/>
    </row>
    <row r="62" customFormat="1" s="329">
      <c r="A62" s="71" t="inlineStr">
        <is>
          <t>중소기업</t>
        </is>
      </c>
      <c r="B62" s="736" t="n"/>
      <c r="C62" s="56" t="n"/>
      <c r="D62" s="803" t="n"/>
      <c r="E62" s="744" t="n"/>
      <c r="F62" s="49" t="n"/>
      <c r="G62" s="55" t="n"/>
      <c r="H62" s="744" t="n"/>
      <c r="I62" s="794" t="n"/>
      <c r="J62" s="55" t="n"/>
      <c r="K62" s="736" t="n"/>
      <c r="L62" s="736" t="n"/>
      <c r="M62" s="736" t="n"/>
    </row>
    <row r="63" customFormat="1" s="329">
      <c r="A63" s="71" t="inlineStr">
        <is>
          <t>일자리창출실적</t>
        </is>
      </c>
      <c r="B63" s="736" t="n"/>
      <c r="C63" s="56" t="n"/>
      <c r="D63" s="803" t="n"/>
      <c r="E63" s="744" t="n"/>
      <c r="F63" s="49" t="n"/>
      <c r="G63" s="55" t="n"/>
      <c r="H63" s="744" t="n"/>
      <c r="I63" s="794" t="n"/>
      <c r="J63" s="55" t="n"/>
      <c r="K63" s="736" t="n"/>
      <c r="L63" s="736" t="n"/>
      <c r="M63" s="736" t="n"/>
    </row>
    <row r="64" customFormat="1" s="329">
      <c r="A64" s="71" t="inlineStr">
        <is>
          <t>시공품질평가</t>
        </is>
      </c>
      <c r="B64" s="736" t="n"/>
      <c r="C64" s="56" t="n"/>
      <c r="D64" s="803" t="n"/>
      <c r="E64" s="744" t="inlineStr">
        <is>
          <t>없음(25.05.01)</t>
        </is>
      </c>
      <c r="F64" s="7" t="inlineStr">
        <is>
          <t>없음 (22.05.01)</t>
        </is>
      </c>
      <c r="G64" s="78" t="inlineStr">
        <is>
          <t>없음 (22.05.01)</t>
        </is>
      </c>
      <c r="H64" s="744" t="n"/>
      <c r="I64" s="794" t="n"/>
      <c r="J64" s="55" t="n"/>
      <c r="K64" s="736" t="n"/>
      <c r="L64" s="736" t="n"/>
      <c r="M64" s="736" t="n"/>
    </row>
    <row r="65" ht="56.25" customFormat="1" customHeight="1" s="329">
      <c r="A65" s="71" t="inlineStr">
        <is>
          <t>비  고</t>
        </is>
      </c>
      <c r="B65" s="9" t="n"/>
      <c r="C65" s="9" t="inlineStr">
        <is>
          <t>조동규</t>
        </is>
      </c>
      <c r="D65" s="1" t="inlineStr">
        <is>
          <t>채석훈팀장</t>
        </is>
      </c>
      <c r="E65" s="292" t="inlineStr">
        <is>
          <t>이동훈
고2,초3,기1(23.11.09)</t>
        </is>
      </c>
      <c r="F65" s="84" t="inlineStr">
        <is>
          <t>건설산업기본법 B.벌금이상의 행정형벌 등 -2.0 (~23.04.07)</t>
        </is>
      </c>
      <c r="G65" s="9" t="n"/>
      <c r="H65" s="292" t="inlineStr">
        <is>
          <t>소프트웨어사업자
서권형
고3,중1(23.07.13)
중소기업 확인서
(24.04.01~25.03.31)</t>
        </is>
      </c>
      <c r="I65" s="218" t="inlineStr">
        <is>
          <t>김장섭</t>
        </is>
      </c>
      <c r="J65" s="57" t="n"/>
      <c r="K65" s="1" t="inlineStr">
        <is>
          <t>이동훈</t>
        </is>
      </c>
      <c r="L65" s="736" t="n"/>
      <c r="M65" s="9" t="n"/>
    </row>
    <row r="66" ht="26.1" customFormat="1" customHeight="1" s="20">
      <c r="A66" s="455" t="inlineStr">
        <is>
          <t>회사명</t>
        </is>
      </c>
      <c r="B66" s="455" t="inlineStr">
        <is>
          <t>선원건설㈜</t>
        </is>
      </c>
      <c r="C66" s="455" t="inlineStr">
        <is>
          <t>㈜스마트비전</t>
        </is>
      </c>
      <c r="D66" s="455" t="inlineStr">
        <is>
          <t>㈜새한이엔씨</t>
        </is>
      </c>
      <c r="E66" s="455" t="inlineStr">
        <is>
          <t>㈜성화정보통신</t>
        </is>
      </c>
      <c r="F66" s="455" t="inlineStr">
        <is>
          <t>선텔레콤㈜</t>
        </is>
      </c>
      <c r="G66" s="455" t="inlineStr">
        <is>
          <t>㈜서율</t>
        </is>
      </c>
      <c r="H66" s="455" t="inlineStr">
        <is>
          <t>시너지네트워크</t>
        </is>
      </c>
      <c r="I66" s="455" t="inlineStr">
        <is>
          <t>㈜성암전력</t>
        </is>
      </c>
      <c r="J66" s="455" t="inlineStr">
        <is>
          <t>신동아건설㈜</t>
        </is>
      </c>
      <c r="K66" s="455" t="inlineStr">
        <is>
          <t>㈜씨앤씨전력</t>
        </is>
      </c>
      <c r="L66" s="455" t="inlineStr">
        <is>
          <t>아람이엔테크㈜</t>
        </is>
      </c>
      <c r="M66" s="455" t="inlineStr">
        <is>
          <t>㈜이앤엠테크</t>
        </is>
      </c>
    </row>
    <row r="67" customFormat="1" s="329">
      <c r="A67" s="71" t="inlineStr">
        <is>
          <t>대표자</t>
        </is>
      </c>
      <c r="B67" s="9" t="inlineStr">
        <is>
          <t>맹학열</t>
        </is>
      </c>
      <c r="C67" s="752" t="inlineStr">
        <is>
          <t>김동철</t>
        </is>
      </c>
      <c r="D67" s="732" t="inlineStr">
        <is>
          <t>김현미</t>
        </is>
      </c>
      <c r="E67" s="752" t="inlineStr">
        <is>
          <t>홍호유</t>
        </is>
      </c>
      <c r="F67" s="752" t="inlineStr">
        <is>
          <t>박종선</t>
        </is>
      </c>
      <c r="G67" s="752" t="inlineStr">
        <is>
          <t>복문수</t>
        </is>
      </c>
      <c r="H67" s="752" t="inlineStr">
        <is>
          <t>정선경</t>
        </is>
      </c>
      <c r="I67" s="1" t="inlineStr">
        <is>
          <t>박상호</t>
        </is>
      </c>
      <c r="J67" s="1" t="inlineStr">
        <is>
          <t>진현기 외 1인</t>
        </is>
      </c>
      <c r="K67" s="9" t="inlineStr">
        <is>
          <t>정행엽</t>
        </is>
      </c>
      <c r="L67" s="278" t="inlineStr">
        <is>
          <t>정충선</t>
        </is>
      </c>
      <c r="M67" s="777" t="inlineStr">
        <is>
          <t>홍정구</t>
        </is>
      </c>
    </row>
    <row r="68" ht="11.25" customFormat="1" customHeight="1" s="14">
      <c r="A68" s="74" t="inlineStr">
        <is>
          <t>사업자번호</t>
        </is>
      </c>
      <c r="B68" s="9" t="inlineStr">
        <is>
          <t>312-81-42071</t>
        </is>
      </c>
      <c r="C68" s="54" t="inlineStr">
        <is>
          <t>215-86-37817</t>
        </is>
      </c>
      <c r="D68" s="4" t="inlineStr">
        <is>
          <t>132-81-39378</t>
        </is>
      </c>
      <c r="E68" s="54" t="inlineStr">
        <is>
          <t>135-86-06599</t>
        </is>
      </c>
      <c r="F68" s="54" t="inlineStr">
        <is>
          <t>127-81-45956</t>
        </is>
      </c>
      <c r="G68" s="54" t="inlineStr">
        <is>
          <t>129-86-89542</t>
        </is>
      </c>
      <c r="H68" s="54" t="inlineStr">
        <is>
          <t>126-24-63735</t>
        </is>
      </c>
      <c r="I68" s="1" t="inlineStr">
        <is>
          <t>214-87-98652</t>
        </is>
      </c>
      <c r="J68" s="1" t="inlineStr">
        <is>
          <t>106-81-33808</t>
        </is>
      </c>
      <c r="K68" s="9" t="inlineStr">
        <is>
          <t>128-81-47108</t>
        </is>
      </c>
      <c r="L68" s="279" t="inlineStr">
        <is>
          <t>119-86-35582</t>
        </is>
      </c>
      <c r="M68" s="106" t="inlineStr">
        <is>
          <t>344-87-00497</t>
        </is>
      </c>
    </row>
    <row r="69" ht="11.25" customFormat="1" customHeight="1" s="14">
      <c r="A69" s="74" t="inlineStr">
        <is>
          <t>지역</t>
        </is>
      </c>
      <c r="B69" s="9" t="inlineStr">
        <is>
          <t>경기도 가평군</t>
        </is>
      </c>
      <c r="C69" s="752" t="inlineStr">
        <is>
          <t>경기도 하남시</t>
        </is>
      </c>
      <c r="D69" s="732" t="inlineStr">
        <is>
          <t>경기도 남양주시</t>
        </is>
      </c>
      <c r="E69" s="752" t="inlineStr">
        <is>
          <t>경기 안산</t>
        </is>
      </c>
      <c r="F69" s="752" t="inlineStr">
        <is>
          <t>경기 고양</t>
        </is>
      </c>
      <c r="G69" s="752" t="inlineStr">
        <is>
          <t>경기 성남</t>
        </is>
      </c>
      <c r="H69" s="752" t="inlineStr">
        <is>
          <t>경기 이천</t>
        </is>
      </c>
      <c r="I69" s="1" t="inlineStr">
        <is>
          <t>경기 시흥</t>
        </is>
      </c>
      <c r="J69" s="1" t="inlineStr">
        <is>
          <t>경기도 용인시</t>
        </is>
      </c>
      <c r="K69" s="9" t="inlineStr">
        <is>
          <t>경기도 평택시</t>
        </is>
      </c>
      <c r="L69" s="278" t="inlineStr">
        <is>
          <t>경기도 양평군</t>
        </is>
      </c>
      <c r="M69" s="777" t="inlineStr">
        <is>
          <t>경기도 고양시</t>
        </is>
      </c>
    </row>
    <row r="70" ht="11.25" customFormat="1" customHeight="1" s="14">
      <c r="A70" s="71" t="inlineStr">
        <is>
          <t>통신시공능력</t>
        </is>
      </c>
      <c r="B70" s="752" t="n">
        <v>7252897000</v>
      </c>
      <c r="C70" s="752" t="n">
        <v>37835600000</v>
      </c>
      <c r="D70" s="732" t="n">
        <v>951300000</v>
      </c>
      <c r="E70" s="752" t="n">
        <v>4429700000</v>
      </c>
      <c r="F70" s="752" t="n">
        <v>6056700000</v>
      </c>
      <c r="G70" s="752" t="n">
        <v>2881900000</v>
      </c>
      <c r="H70" s="752" t="n">
        <v>2382200000</v>
      </c>
      <c r="I70" s="732" t="n">
        <v>4192700000</v>
      </c>
      <c r="J70" s="804" t="n">
        <v>13118500000</v>
      </c>
      <c r="K70" s="752" t="n">
        <v>776200000</v>
      </c>
      <c r="L70" s="789" t="n">
        <v>5939900000</v>
      </c>
      <c r="M70" s="777" t="n">
        <v>7402600000</v>
      </c>
    </row>
    <row r="71" ht="11.25" customFormat="1" customHeight="1" s="14">
      <c r="A71" s="71" t="inlineStr">
        <is>
          <t>3년간 실적액</t>
        </is>
      </c>
      <c r="B71" s="752" t="n">
        <v>11022730000</v>
      </c>
      <c r="C71" s="752" t="n">
        <v>45457269000</v>
      </c>
      <c r="D71" s="732" t="n">
        <v>472350000</v>
      </c>
      <c r="E71" s="752" t="n">
        <v>8367651000</v>
      </c>
      <c r="F71" s="752" t="n">
        <v>7544369000</v>
      </c>
      <c r="G71" s="752" t="n">
        <v>3003452000</v>
      </c>
      <c r="H71" s="752">
        <f>864239000+292375000+268882000</f>
        <v/>
      </c>
      <c r="I71" s="732" t="n">
        <v>5229875000</v>
      </c>
      <c r="J71" s="756" t="n"/>
      <c r="K71" s="752" t="n">
        <v>532437000</v>
      </c>
      <c r="L71" s="789" t="n">
        <v>10762987000</v>
      </c>
      <c r="M71" s="777" t="n">
        <v>6921201000</v>
      </c>
    </row>
    <row r="72" customFormat="1" s="15">
      <c r="A72" s="71" t="inlineStr">
        <is>
          <t>5년간 실적액</t>
        </is>
      </c>
      <c r="B72" s="752" t="n">
        <v>18649422000</v>
      </c>
      <c r="C72" s="752" t="n">
        <v>66445227000</v>
      </c>
      <c r="D72" s="732" t="n">
        <v>3025531000</v>
      </c>
      <c r="E72" s="752" t="n">
        <v>15507349000</v>
      </c>
      <c r="F72" s="752" t="n">
        <v>11781555000</v>
      </c>
      <c r="G72" s="752" t="n">
        <v>3003452000</v>
      </c>
      <c r="H72" s="752">
        <f>H71+545255000</f>
        <v/>
      </c>
      <c r="I72" s="732" t="n">
        <v>14743765000</v>
      </c>
      <c r="J72" s="756" t="n"/>
      <c r="K72" s="752" t="n">
        <v>2632000000</v>
      </c>
      <c r="L72" s="789" t="n">
        <v>17928117000</v>
      </c>
      <c r="M72" s="777" t="n">
        <v>17646171000</v>
      </c>
    </row>
    <row r="73" customFormat="1" s="790">
      <c r="A73" s="791" t="inlineStr">
        <is>
          <t>부채비율</t>
        </is>
      </c>
      <c r="B73" s="48" t="n">
        <v>1.0827</v>
      </c>
      <c r="C73" s="10" t="n">
        <v>0.2309</v>
      </c>
      <c r="D73" s="2" t="n">
        <v>0.6873</v>
      </c>
      <c r="E73" s="10" t="n">
        <v>0.6689000000000001</v>
      </c>
      <c r="F73" s="10" t="n">
        <v>0.2572</v>
      </c>
      <c r="G73" s="10" t="n">
        <v>0</v>
      </c>
      <c r="H73" s="10" t="n">
        <v>0.1014</v>
      </c>
      <c r="I73" s="2" t="n">
        <v>0.6484</v>
      </c>
      <c r="J73" s="66" t="n">
        <v>1.9752</v>
      </c>
      <c r="K73" s="10" t="n">
        <v>0.3519</v>
      </c>
      <c r="L73" s="280" t="n">
        <v>1.1299</v>
      </c>
      <c r="M73" s="101" t="n">
        <v>0.2674</v>
      </c>
      <c r="N73" s="750" t="n"/>
    </row>
    <row r="74" customFormat="1" s="790">
      <c r="A74" s="791" t="inlineStr">
        <is>
          <t>유동비율</t>
        </is>
      </c>
      <c r="B74" s="10" t="n">
        <v>1.9034</v>
      </c>
      <c r="C74" s="10" t="n">
        <v>3.8008</v>
      </c>
      <c r="D74" s="2" t="n">
        <v>23.2288</v>
      </c>
      <c r="E74" s="48" t="n">
        <v>1.8198</v>
      </c>
      <c r="F74" s="10" t="n">
        <v>4.4897</v>
      </c>
      <c r="G74" s="10" t="n">
        <v>10000000000</v>
      </c>
      <c r="H74" s="10" t="n">
        <v>4.336</v>
      </c>
      <c r="I74" s="2" t="n">
        <v>4.108</v>
      </c>
      <c r="J74" s="66" t="n">
        <v>1.243</v>
      </c>
      <c r="K74" s="10" t="n">
        <v>11.4792</v>
      </c>
      <c r="L74" s="280" t="n">
        <v>0.3162</v>
      </c>
      <c r="M74" s="101" t="n">
        <v>2.6327</v>
      </c>
      <c r="N74" s="750" t="n"/>
    </row>
    <row r="75" ht="21" customFormat="1" customHeight="1" s="790">
      <c r="A75" s="792" t="inlineStr">
        <is>
          <t>영업기간
공사업등록일</t>
        </is>
      </c>
      <c r="B75" s="11" t="inlineStr">
        <is>
          <t>2008.08.06</t>
        </is>
      </c>
      <c r="C75" s="11" t="inlineStr">
        <is>
          <t>2003.05.16</t>
        </is>
      </c>
      <c r="D75" s="67" t="inlineStr">
        <is>
          <t>2008.03.19</t>
        </is>
      </c>
      <c r="E75" s="10" t="inlineStr">
        <is>
          <t>5년이상%</t>
        </is>
      </c>
      <c r="F75" s="10" t="inlineStr">
        <is>
          <t>10년이상%</t>
        </is>
      </c>
      <c r="G75" s="10" t="inlineStr">
        <is>
          <t>3년미만%</t>
        </is>
      </c>
      <c r="H75" s="10" t="inlineStr">
        <is>
          <t>3년이상%</t>
        </is>
      </c>
      <c r="I75" s="2" t="inlineStr">
        <is>
          <t>5년이상%</t>
        </is>
      </c>
      <c r="J75" s="10" t="n"/>
      <c r="K75" s="10" t="inlineStr">
        <is>
          <t>5년이상%</t>
        </is>
      </c>
      <c r="L75" s="272" t="inlineStr">
        <is>
          <t>2009.07.17</t>
        </is>
      </c>
      <c r="M75" s="98" t="inlineStr">
        <is>
          <t>2010.02.22</t>
        </is>
      </c>
    </row>
    <row r="76" ht="22.5" customFormat="1" customHeight="1" s="329">
      <c r="A76" s="71" t="inlineStr">
        <is>
          <t>신용평가</t>
        </is>
      </c>
      <c r="B76" s="153" t="inlineStr">
        <is>
          <t>AO
(19.09.18~20.06.27)</t>
        </is>
      </c>
      <c r="C76" s="736" t="inlineStr">
        <is>
          <t>BBB0
(15.00.00~16.00.00)</t>
        </is>
      </c>
      <c r="D76" s="153" t="inlineStr">
        <is>
          <t>BBB-
(22.07.14~23.06.30)</t>
        </is>
      </c>
      <c r="E76" s="803" t="n"/>
      <c r="F76" s="736" t="n"/>
      <c r="G76" s="736" t="n"/>
      <c r="H76" s="55" t="n"/>
      <c r="I76" s="736" t="n"/>
      <c r="J76" s="160" t="inlineStr">
        <is>
          <t>A+
(24.04.05~25.04.04)</t>
        </is>
      </c>
      <c r="K76" s="153" t="inlineStr">
        <is>
          <t>BB+
(22.06.14~23.06.13)</t>
        </is>
      </c>
      <c r="L76" s="371" t="inlineStr">
        <is>
          <t>BB+
(25.06.02~26.06.01)</t>
        </is>
      </c>
      <c r="M76" s="157" t="inlineStr">
        <is>
          <t>A-
(24.04.04~25.04.03)</t>
        </is>
      </c>
    </row>
    <row r="77" customFormat="1" s="329">
      <c r="A77" s="71" t="inlineStr">
        <is>
          <t>여성기업</t>
        </is>
      </c>
      <c r="B77" s="49" t="n"/>
      <c r="C77" s="736" t="n"/>
      <c r="D77" s="736" t="n"/>
      <c r="E77" s="803" t="n"/>
      <c r="F77" s="736" t="n"/>
      <c r="G77" s="736" t="n"/>
      <c r="H77" s="55" t="n"/>
      <c r="I77" s="736" t="n"/>
      <c r="J77" s="736" t="n"/>
      <c r="K77" s="56" t="n"/>
      <c r="L77" s="793" t="n"/>
      <c r="M77" s="107" t="n"/>
    </row>
    <row r="78" customFormat="1" s="329">
      <c r="A78" s="71" t="inlineStr">
        <is>
          <t>중소기업</t>
        </is>
      </c>
      <c r="B78" s="49" t="n"/>
      <c r="C78" s="736" t="n"/>
      <c r="D78" s="736" t="n"/>
      <c r="E78" s="803" t="n"/>
      <c r="F78" s="736" t="n"/>
      <c r="G78" s="736" t="n"/>
      <c r="H78" s="55" t="n"/>
      <c r="I78" s="736" t="n"/>
      <c r="J78" s="736" t="n"/>
      <c r="K78" s="56" t="n"/>
      <c r="L78" s="793" t="n"/>
      <c r="M78" s="107" t="n"/>
    </row>
    <row r="79" customFormat="1" s="329">
      <c r="A79" s="71" t="inlineStr">
        <is>
          <t>일자리창출실적</t>
        </is>
      </c>
      <c r="B79" s="49" t="n"/>
      <c r="C79" s="736" t="n"/>
      <c r="D79" s="736" t="n"/>
      <c r="E79" s="803" t="n"/>
      <c r="F79" s="736" t="n"/>
      <c r="G79" s="736" t="n"/>
      <c r="H79" s="55" t="n"/>
      <c r="I79" s="736" t="n"/>
      <c r="J79" s="736" t="n"/>
      <c r="K79" s="56" t="n"/>
      <c r="L79" s="793" t="n"/>
      <c r="M79" s="107" t="n"/>
    </row>
    <row r="80" customFormat="1" s="329">
      <c r="A80" s="71" t="inlineStr">
        <is>
          <t>시공품질평가</t>
        </is>
      </c>
      <c r="B80" s="49" t="n"/>
      <c r="C80" s="736" t="n"/>
      <c r="D80" s="736" t="n"/>
      <c r="E80" s="803" t="n"/>
      <c r="F80" s="736" t="n"/>
      <c r="G80" s="736" t="n"/>
      <c r="H80" s="55" t="n"/>
      <c r="I80" s="736" t="n"/>
      <c r="J80" s="736" t="n"/>
      <c r="K80" s="56" t="n"/>
      <c r="L80" s="793" t="inlineStr">
        <is>
          <t>91.78(25.05.01)</t>
        </is>
      </c>
      <c r="M80" s="107" t="n"/>
    </row>
    <row r="81" customFormat="1" s="329">
      <c r="A81" s="71" t="inlineStr">
        <is>
          <t>비  고</t>
        </is>
      </c>
      <c r="B81" s="9" t="n"/>
      <c r="C81" s="9" t="inlineStr">
        <is>
          <t>윤한봉</t>
        </is>
      </c>
      <c r="D81" s="73" t="inlineStr">
        <is>
          <t>조동규</t>
        </is>
      </c>
      <c r="E81" s="9" t="inlineStr">
        <is>
          <t>이기우</t>
        </is>
      </c>
      <c r="F81" s="9" t="inlineStr">
        <is>
          <t>윤한봉</t>
        </is>
      </c>
      <c r="G81" s="9" t="n"/>
      <c r="H81" s="58" t="inlineStr">
        <is>
          <t>조동규</t>
        </is>
      </c>
      <c r="I81" s="61" t="n"/>
      <c r="J81" s="91" t="inlineStr">
        <is>
          <t>구본진</t>
        </is>
      </c>
      <c r="K81" s="9" t="inlineStr">
        <is>
          <t>구본진</t>
        </is>
      </c>
      <c r="L81" s="281" t="inlineStr">
        <is>
          <t>고2, 중3, 초1(23.08.01)</t>
        </is>
      </c>
      <c r="M81" s="108" t="n"/>
    </row>
    <row r="82" ht="26.1" customHeight="1" s="16">
      <c r="A82" s="455" t="inlineStr">
        <is>
          <t>회사명</t>
        </is>
      </c>
      <c r="B82" s="455" t="inlineStr">
        <is>
          <t>㈜영전사</t>
        </is>
      </c>
      <c r="C82" s="455" t="inlineStr">
        <is>
          <t>유영이앤씨㈜</t>
        </is>
      </c>
      <c r="D82" s="455" t="inlineStr">
        <is>
          <t>㈜아이텍파워</t>
        </is>
      </c>
      <c r="E82" s="455" t="inlineStr">
        <is>
          <t>㈜이예스피</t>
        </is>
      </c>
      <c r="F82" s="455" t="inlineStr">
        <is>
          <t>㈜에이스</t>
        </is>
      </c>
      <c r="G82" s="455" t="inlineStr">
        <is>
          <t>㈜우진기전</t>
        </is>
      </c>
      <c r="H82" s="455" t="inlineStr">
        <is>
          <t>㈜용화전기통신</t>
        </is>
      </c>
      <c r="I82" s="455" t="inlineStr">
        <is>
          <t>일진종합전설㈜</t>
        </is>
      </c>
      <c r="J82" s="455" t="inlineStr">
        <is>
          <t>유피이엔씨㈜</t>
        </is>
      </c>
      <c r="K82" s="455" t="inlineStr">
        <is>
          <t>엠에스텔레콤㈜</t>
        </is>
      </c>
      <c r="L82" s="455" t="inlineStr">
        <is>
          <t>㈜일진</t>
        </is>
      </c>
      <c r="M82" s="455" t="inlineStr">
        <is>
          <t>㈜에이원정보통신</t>
        </is>
      </c>
    </row>
    <row r="83">
      <c r="A83" s="71" t="inlineStr">
        <is>
          <t>대표자</t>
        </is>
      </c>
      <c r="B83" s="732" t="inlineStr">
        <is>
          <t>김명호</t>
        </is>
      </c>
      <c r="C83" s="732" t="inlineStr">
        <is>
          <t>김은숙</t>
        </is>
      </c>
      <c r="D83" s="752" t="inlineStr">
        <is>
          <t>정찬원</t>
        </is>
      </c>
      <c r="E83" s="802" t="inlineStr">
        <is>
          <t>민은정</t>
        </is>
      </c>
      <c r="F83" s="732" t="inlineStr">
        <is>
          <t>조윤주</t>
        </is>
      </c>
      <c r="G83" s="214" t="inlineStr">
        <is>
          <t>장창익</t>
        </is>
      </c>
      <c r="H83" s="732" t="inlineStr">
        <is>
          <t>송승길</t>
        </is>
      </c>
      <c r="I83" s="93" t="inlineStr">
        <is>
          <t>이종웅</t>
        </is>
      </c>
      <c r="J83" s="752" t="inlineStr">
        <is>
          <t>박정선</t>
        </is>
      </c>
      <c r="K83" s="752" t="inlineStr">
        <is>
          <t>이형순</t>
        </is>
      </c>
      <c r="L83" s="9" t="inlineStr">
        <is>
          <t>정옥근</t>
        </is>
      </c>
      <c r="M83" s="9" t="inlineStr">
        <is>
          <t>이기우</t>
        </is>
      </c>
    </row>
    <row r="84">
      <c r="A84" s="74" t="inlineStr">
        <is>
          <t>사업자번호</t>
        </is>
      </c>
      <c r="B84" s="4" t="inlineStr">
        <is>
          <t>123-86-17491</t>
        </is>
      </c>
      <c r="C84" s="4" t="inlineStr">
        <is>
          <t>142-81-31387</t>
        </is>
      </c>
      <c r="D84" s="54" t="inlineStr">
        <is>
          <t>220-87-16640</t>
        </is>
      </c>
      <c r="E84" s="284" t="inlineStr">
        <is>
          <t>215-87-53003</t>
        </is>
      </c>
      <c r="F84" s="4" t="inlineStr">
        <is>
          <t>353-88-00713</t>
        </is>
      </c>
      <c r="G84" s="225" t="inlineStr">
        <is>
          <t>106-81-23348</t>
        </is>
      </c>
      <c r="H84" s="4" t="inlineStr">
        <is>
          <t>123-81-96749</t>
        </is>
      </c>
      <c r="I84" s="93" t="inlineStr">
        <is>
          <t>211-81-66538</t>
        </is>
      </c>
      <c r="J84" s="54" t="inlineStr">
        <is>
          <t>122-86-15184</t>
        </is>
      </c>
      <c r="K84" s="54" t="inlineStr">
        <is>
          <t>134-81-68919</t>
        </is>
      </c>
      <c r="L84" s="9" t="inlineStr">
        <is>
          <t>134-87-06365</t>
        </is>
      </c>
      <c r="M84" s="9" t="inlineStr">
        <is>
          <t>125-81-91959</t>
        </is>
      </c>
    </row>
    <row r="85">
      <c r="A85" s="74" t="inlineStr">
        <is>
          <t>지역</t>
        </is>
      </c>
      <c r="B85" s="732" t="inlineStr">
        <is>
          <t>경기도 군포시</t>
        </is>
      </c>
      <c r="C85" s="732" t="inlineStr">
        <is>
          <t>경기도 고양시</t>
        </is>
      </c>
      <c r="D85" s="752" t="inlineStr">
        <is>
          <t>경기도 평택시</t>
        </is>
      </c>
      <c r="E85" s="802" t="inlineStr">
        <is>
          <t>경기도 평택시</t>
        </is>
      </c>
      <c r="F85" s="732" t="inlineStr">
        <is>
          <t>경기도 파주시</t>
        </is>
      </c>
      <c r="G85" s="214" t="inlineStr">
        <is>
          <t>경기도 평택시</t>
        </is>
      </c>
      <c r="H85" s="732" t="inlineStr">
        <is>
          <t>경기도 안양시</t>
        </is>
      </c>
      <c r="I85" s="93" t="inlineStr">
        <is>
          <t>경기도 광주시</t>
        </is>
      </c>
      <c r="J85" s="805" t="inlineStr">
        <is>
          <t>경기도 시흥시</t>
        </is>
      </c>
      <c r="K85" s="752" t="inlineStr">
        <is>
          <t>경기 부천</t>
        </is>
      </c>
      <c r="L85" s="9" t="inlineStr">
        <is>
          <t>경기 파주</t>
        </is>
      </c>
      <c r="M85" s="9" t="inlineStr">
        <is>
          <t>경기 평택</t>
        </is>
      </c>
    </row>
    <row r="86">
      <c r="A86" s="71" t="inlineStr">
        <is>
          <t>통신시공능력</t>
        </is>
      </c>
      <c r="B86" s="732" t="n">
        <v>966300000</v>
      </c>
      <c r="C86" s="732" t="n">
        <v>1164000000</v>
      </c>
      <c r="D86" s="752" t="n">
        <v>7168200000</v>
      </c>
      <c r="E86" s="741" t="n">
        <v>10026900000</v>
      </c>
      <c r="F86" s="732" t="n">
        <v>871000000</v>
      </c>
      <c r="G86" s="770" t="n">
        <v>3361200000</v>
      </c>
      <c r="H86" s="732" t="n">
        <v>6905800000</v>
      </c>
      <c r="I86" s="777" t="n">
        <v>1411200000</v>
      </c>
      <c r="J86" s="752" t="n">
        <v>14378600000</v>
      </c>
      <c r="K86" s="752" t="n">
        <v>8638900000</v>
      </c>
      <c r="L86" s="752" t="n">
        <v>4293000000</v>
      </c>
      <c r="M86" s="752" t="n">
        <v>3148300000</v>
      </c>
    </row>
    <row r="87">
      <c r="A87" s="71" t="inlineStr">
        <is>
          <t>3년간 실적액</t>
        </is>
      </c>
      <c r="B87" s="732" t="n">
        <v>640880000</v>
      </c>
      <c r="C87" s="732" t="n">
        <v>1020127000</v>
      </c>
      <c r="D87" s="752" t="n">
        <v>10327707000</v>
      </c>
      <c r="E87" s="741" t="n">
        <v>15243832000</v>
      </c>
      <c r="F87" s="732" t="n">
        <v>388646000</v>
      </c>
      <c r="G87" s="770" t="n">
        <v>0</v>
      </c>
      <c r="H87" s="732" t="n">
        <v>5783780000</v>
      </c>
      <c r="I87" s="777" t="n">
        <v>731768000</v>
      </c>
      <c r="J87" s="752" t="n">
        <v>23909131000</v>
      </c>
      <c r="K87" s="752" t="n">
        <v>10027841000</v>
      </c>
      <c r="L87" s="756" t="n">
        <v>5359504000</v>
      </c>
      <c r="M87" s="752" t="n">
        <v>5279004000</v>
      </c>
    </row>
    <row r="88">
      <c r="A88" s="71" t="inlineStr">
        <is>
          <t>5년간 실적액</t>
        </is>
      </c>
      <c r="B88" s="732" t="n">
        <v>4780956000</v>
      </c>
      <c r="C88" s="732" t="n">
        <v>1652911000</v>
      </c>
      <c r="D88" s="752" t="n">
        <v>19356054000</v>
      </c>
      <c r="E88" s="741" t="n">
        <v>36236493000</v>
      </c>
      <c r="F88" s="732" t="n">
        <v>6141311000</v>
      </c>
      <c r="G88" s="770" t="n">
        <v>2728330000</v>
      </c>
      <c r="H88" s="732" t="n">
        <v>18193733000</v>
      </c>
      <c r="I88" s="777" t="n">
        <v>997874000</v>
      </c>
      <c r="J88" s="752" t="n">
        <v>32750196000</v>
      </c>
      <c r="K88" s="752" t="n">
        <v>14705793000</v>
      </c>
      <c r="L88" s="806" t="n">
        <v>11109022000</v>
      </c>
      <c r="M88" s="752" t="n">
        <v>5279004000</v>
      </c>
    </row>
    <row r="89">
      <c r="A89" s="791" t="inlineStr">
        <is>
          <t>부채비율</t>
        </is>
      </c>
      <c r="B89" s="2" t="n">
        <v>0.2171</v>
      </c>
      <c r="C89" s="2" t="n">
        <v>0.0429</v>
      </c>
      <c r="D89" s="10" t="n">
        <v>0.4095</v>
      </c>
      <c r="E89" s="285" t="n">
        <v>0.4408</v>
      </c>
      <c r="F89" s="2" t="n">
        <v>0.0455</v>
      </c>
      <c r="G89" s="217" t="n">
        <v>0.6057</v>
      </c>
      <c r="H89" s="2" t="n">
        <v>0.7271</v>
      </c>
      <c r="I89" s="95" t="n">
        <v>2.8265</v>
      </c>
      <c r="J89" s="10" t="n"/>
      <c r="K89" s="10" t="n">
        <v>0.4891</v>
      </c>
      <c r="L89" s="10" t="n">
        <v>0.2038</v>
      </c>
      <c r="M89" s="10" t="n">
        <v>0.8028</v>
      </c>
      <c r="N89" s="750" t="n"/>
    </row>
    <row r="90">
      <c r="A90" s="791" t="inlineStr">
        <is>
          <t>유동비율</t>
        </is>
      </c>
      <c r="B90" s="2" t="n">
        <v>4.3829</v>
      </c>
      <c r="C90" s="2" t="n">
        <v>20.6625</v>
      </c>
      <c r="D90" s="10" t="n">
        <v>3.8853</v>
      </c>
      <c r="E90" s="285" t="n">
        <v>2.5247</v>
      </c>
      <c r="F90" s="2" t="n">
        <v>21.2652</v>
      </c>
      <c r="G90" s="217" t="n">
        <v>2.2524</v>
      </c>
      <c r="H90" s="2" t="n">
        <v>2.0621</v>
      </c>
      <c r="I90" s="95" t="n">
        <v>1.2452</v>
      </c>
      <c r="J90" s="10" t="n"/>
      <c r="K90" s="10" t="n">
        <v>4.2631</v>
      </c>
      <c r="L90" s="10" t="n">
        <v>25.9181</v>
      </c>
      <c r="M90" s="10" t="n">
        <v>2.0435</v>
      </c>
      <c r="N90" s="750" t="n"/>
    </row>
    <row r="91" ht="21" customHeight="1" s="16">
      <c r="A91" s="792" t="inlineStr">
        <is>
          <t>영업기간
공사업등록일</t>
        </is>
      </c>
      <c r="B91" s="67" t="inlineStr">
        <is>
          <t>2007.11.26</t>
        </is>
      </c>
      <c r="C91" s="67" t="inlineStr">
        <is>
          <t>2015.10.29</t>
        </is>
      </c>
      <c r="D91" s="10" t="inlineStr">
        <is>
          <t>2010.03.03</t>
        </is>
      </c>
      <c r="E91" s="296" t="inlineStr">
        <is>
          <t>2006.05.01</t>
        </is>
      </c>
      <c r="F91" s="2" t="inlineStr">
        <is>
          <t>2012.12.11</t>
        </is>
      </c>
      <c r="G91" s="223" t="inlineStr">
        <is>
          <t>2016.09.27</t>
        </is>
      </c>
      <c r="H91" s="67" t="inlineStr">
        <is>
          <t>2005.04.11</t>
        </is>
      </c>
      <c r="I91" s="98" t="inlineStr">
        <is>
          <t>2004.04.06</t>
        </is>
      </c>
      <c r="J91" s="11" t="n"/>
      <c r="K91" s="11" t="inlineStr">
        <is>
          <t>2010.02.22</t>
        </is>
      </c>
      <c r="L91" s="11" t="inlineStr">
        <is>
          <t>2002.02.27</t>
        </is>
      </c>
      <c r="M91" s="10" t="inlineStr">
        <is>
          <t>3년이상%</t>
        </is>
      </c>
    </row>
    <row r="92" ht="22.5" customHeight="1" s="16">
      <c r="A92" s="71" t="inlineStr">
        <is>
          <t>신용평가</t>
        </is>
      </c>
      <c r="B92" s="725" t="inlineStr">
        <is>
          <t>BBO
(21.04.26~22.04.25)</t>
        </is>
      </c>
      <c r="C92" s="55" t="n"/>
      <c r="D92" s="725" t="inlineStr">
        <is>
          <t>BBB-
(23.03.27~24.03.26)</t>
        </is>
      </c>
      <c r="E92" s="295" t="inlineStr">
        <is>
          <t>BBB0
(25.04.11~26.04.10)</t>
        </is>
      </c>
      <c r="F92" s="736" t="n"/>
      <c r="G92" s="724" t="inlineStr">
        <is>
          <t>A0
(25.04.25~26.04.24)</t>
        </is>
      </c>
      <c r="H92" s="725" t="inlineStr">
        <is>
          <t>BBBO
(18.07.06~19.06.30)</t>
        </is>
      </c>
      <c r="I92" s="724" t="inlineStr">
        <is>
          <t>BBB-
(25.05.07~26.05.06)</t>
        </is>
      </c>
      <c r="J92" s="55" t="inlineStr">
        <is>
          <t>BBO</t>
        </is>
      </c>
      <c r="K92" s="55" t="n"/>
      <c r="L92" s="736" t="n"/>
      <c r="M92" s="803" t="n"/>
    </row>
    <row r="93">
      <c r="A93" s="71" t="inlineStr">
        <is>
          <t>여성기업</t>
        </is>
      </c>
      <c r="B93" s="736" t="n"/>
      <c r="C93" s="55" t="n"/>
      <c r="D93" s="736" t="n"/>
      <c r="E93" s="744" t="n"/>
      <c r="F93" s="736" t="n"/>
      <c r="G93" s="794" t="n"/>
      <c r="H93" s="736" t="n"/>
      <c r="I93" s="736" t="n"/>
      <c r="J93" s="55" t="n"/>
      <c r="K93" s="55" t="n"/>
      <c r="L93" s="736" t="n"/>
      <c r="M93" s="803" t="n"/>
    </row>
    <row r="94">
      <c r="A94" s="71" t="inlineStr">
        <is>
          <t>중소기업</t>
        </is>
      </c>
      <c r="B94" s="736" t="n"/>
      <c r="C94" s="55" t="n"/>
      <c r="D94" s="736" t="n"/>
      <c r="E94" s="744" t="n"/>
      <c r="F94" s="736" t="n"/>
      <c r="G94" s="794" t="n"/>
      <c r="H94" s="736" t="n"/>
      <c r="I94" s="736" t="n"/>
      <c r="J94" s="55" t="n"/>
      <c r="K94" s="55" t="n"/>
      <c r="L94" s="736" t="n"/>
      <c r="M94" s="803" t="n"/>
    </row>
    <row r="95">
      <c r="A95" s="71" t="inlineStr">
        <is>
          <t>일자리창출실적</t>
        </is>
      </c>
      <c r="B95" s="736" t="n"/>
      <c r="C95" s="55" t="n"/>
      <c r="D95" s="736" t="n"/>
      <c r="E95" s="744" t="n"/>
      <c r="F95" s="736" t="n"/>
      <c r="G95" s="794" t="n"/>
      <c r="H95" s="736" t="n"/>
      <c r="I95" s="736" t="n"/>
      <c r="J95" s="55" t="n"/>
      <c r="K95" s="55" t="n"/>
      <c r="L95" s="736" t="n"/>
      <c r="M95" s="803" t="n"/>
    </row>
    <row r="96">
      <c r="A96" s="71" t="inlineStr">
        <is>
          <t>시공품질평가</t>
        </is>
      </c>
      <c r="B96" s="736" t="n"/>
      <c r="C96" s="55" t="n"/>
      <c r="D96" s="736" t="n"/>
      <c r="E96" s="744" t="n"/>
      <c r="F96" s="736" t="n"/>
      <c r="G96" s="794" t="n"/>
      <c r="H96" s="736" t="n"/>
      <c r="I96" s="99" t="inlineStr">
        <is>
          <t>없음(25.05.01)</t>
        </is>
      </c>
      <c r="J96" s="55" t="n"/>
      <c r="K96" s="55" t="n"/>
      <c r="L96" s="736" t="n"/>
      <c r="M96" s="803" t="n"/>
    </row>
    <row r="97" ht="45" customHeight="1" s="16">
      <c r="A97" s="71" t="inlineStr">
        <is>
          <t>비  고</t>
        </is>
      </c>
      <c r="B97" s="79" t="inlineStr">
        <is>
          <t>한재호부장, 송종윤</t>
        </is>
      </c>
      <c r="C97" s="1" t="inlineStr">
        <is>
          <t>강성법</t>
        </is>
      </c>
      <c r="D97" s="57" t="inlineStr">
        <is>
          <t>서권형
특2,고4,초1,기1(23.07.13)
중소기업 확인서
(23.04.01~24.03.31)</t>
        </is>
      </c>
      <c r="E97" s="292" t="inlineStr">
        <is>
          <t>서권형
소프트웨어사업자
중소기업 확인서
(24.04.01~25.03.31)</t>
        </is>
      </c>
      <c r="F97" s="1" t="inlineStr">
        <is>
          <t>송종윤</t>
        </is>
      </c>
      <c r="G97" s="214" t="inlineStr">
        <is>
          <t>이동훈</t>
        </is>
      </c>
      <c r="H97" s="9" t="n"/>
      <c r="I97" s="93" t="inlineStr">
        <is>
          <t>박성균</t>
        </is>
      </c>
      <c r="J97" s="9" t="inlineStr">
        <is>
          <t>김장섭</t>
        </is>
      </c>
      <c r="K97" s="61" t="n"/>
      <c r="L97" s="752" t="inlineStr">
        <is>
          <t>신흥식</t>
        </is>
      </c>
      <c r="M97" s="9" t="inlineStr">
        <is>
          <t>미송곽사장</t>
        </is>
      </c>
    </row>
    <row r="98" ht="26.1" customHeight="1" s="16">
      <c r="A98" s="455" t="inlineStr">
        <is>
          <t>회사명</t>
        </is>
      </c>
      <c r="B98" s="455" t="inlineStr">
        <is>
          <t>㈜에스제이이엔씨</t>
        </is>
      </c>
      <c r="C98" s="455" t="inlineStr">
        <is>
          <t>㈜이명전기</t>
        </is>
      </c>
      <c r="D98" s="455" t="inlineStr">
        <is>
          <t>㈜유앤테크</t>
        </is>
      </c>
      <c r="E98" s="455" t="inlineStr">
        <is>
          <t>㈜우성텔레콤</t>
        </is>
      </c>
      <c r="F98" s="455" t="inlineStr">
        <is>
          <t>㈜에스제이</t>
        </is>
      </c>
      <c r="G98" s="455" t="inlineStr">
        <is>
          <t>㈜아이콘트롤스</t>
        </is>
      </c>
      <c r="H98" s="455" t="inlineStr">
        <is>
          <t>㈜양지종합전설</t>
        </is>
      </c>
      <c r="I98" s="455" t="inlineStr">
        <is>
          <t>지음이엔아이㈜</t>
        </is>
      </c>
      <c r="J98" s="455" t="inlineStr">
        <is>
          <t>(주)지앤에스이엔지</t>
        </is>
      </c>
      <c r="K98" s="455" t="inlineStr">
        <is>
          <t>㈜지오투정보기술</t>
        </is>
      </c>
      <c r="L98" s="455" t="inlineStr">
        <is>
          <t>중흥종합건설㈜</t>
        </is>
      </c>
      <c r="M98" s="455" t="inlineStr">
        <is>
          <t>지앤티테크㈜</t>
        </is>
      </c>
    </row>
    <row r="99">
      <c r="A99" s="71" t="inlineStr">
        <is>
          <t>대표자</t>
        </is>
      </c>
      <c r="B99" s="752" t="inlineStr">
        <is>
          <t>강경석</t>
        </is>
      </c>
      <c r="C99" s="777" t="inlineStr">
        <is>
          <t>이명덕</t>
        </is>
      </c>
      <c r="D99" s="752" t="inlineStr">
        <is>
          <t>지승현</t>
        </is>
      </c>
      <c r="E99" s="752" t="inlineStr">
        <is>
          <t>송상의</t>
        </is>
      </c>
      <c r="F99" s="752" t="inlineStr">
        <is>
          <t>정한섭</t>
        </is>
      </c>
      <c r="G99" s="9" t="inlineStr">
        <is>
          <t>이창우</t>
        </is>
      </c>
      <c r="H99" s="9" t="inlineStr">
        <is>
          <t>윤덕길</t>
        </is>
      </c>
      <c r="I99" s="278" t="inlineStr">
        <is>
          <t>유형민</t>
        </is>
      </c>
      <c r="J99" s="9" t="inlineStr">
        <is>
          <t>전종수</t>
        </is>
      </c>
      <c r="K99" s="9" t="inlineStr">
        <is>
          <t>김정욱</t>
        </is>
      </c>
      <c r="L99" s="9" t="inlineStr">
        <is>
          <t>정원철</t>
        </is>
      </c>
      <c r="M99" s="1" t="inlineStr">
        <is>
          <t>엄귀용</t>
        </is>
      </c>
    </row>
    <row r="100">
      <c r="A100" s="74" t="inlineStr">
        <is>
          <t>사업자번호</t>
        </is>
      </c>
      <c r="B100" s="54" t="inlineStr">
        <is>
          <t>128-87-01064</t>
        </is>
      </c>
      <c r="C100" s="106" t="inlineStr">
        <is>
          <t>121-81-50354</t>
        </is>
      </c>
      <c r="D100" s="54" t="inlineStr">
        <is>
          <t>130-86-34130</t>
        </is>
      </c>
      <c r="E100" s="54" t="inlineStr">
        <is>
          <t>128-86-02824</t>
        </is>
      </c>
      <c r="F100" s="54" t="inlineStr">
        <is>
          <t>132-81-82462</t>
        </is>
      </c>
      <c r="G100" s="9" t="inlineStr">
        <is>
          <t>120-81-93646</t>
        </is>
      </c>
      <c r="H100" s="9" t="inlineStr">
        <is>
          <t>105-81-59732</t>
        </is>
      </c>
      <c r="I100" s="279" t="inlineStr">
        <is>
          <t>132-81-79967</t>
        </is>
      </c>
      <c r="J100" s="9" t="inlineStr">
        <is>
          <t>105-86-40413</t>
        </is>
      </c>
      <c r="K100" s="9" t="inlineStr">
        <is>
          <t>123-81-95245</t>
        </is>
      </c>
      <c r="L100" s="53" t="inlineStr">
        <is>
          <t>409-81-21119</t>
        </is>
      </c>
      <c r="M100" s="1" t="inlineStr">
        <is>
          <t>128-81-60023</t>
        </is>
      </c>
    </row>
    <row r="101">
      <c r="A101" s="74" t="inlineStr">
        <is>
          <t>지역</t>
        </is>
      </c>
      <c r="B101" s="752" t="inlineStr">
        <is>
          <t>경기도 고양시</t>
        </is>
      </c>
      <c r="C101" s="106" t="inlineStr">
        <is>
          <t>경기도 가평군</t>
        </is>
      </c>
      <c r="D101" s="752" t="inlineStr">
        <is>
          <t>경기 부천</t>
        </is>
      </c>
      <c r="E101" s="752" t="inlineStr">
        <is>
          <t>경기 고양</t>
        </is>
      </c>
      <c r="F101" s="752" t="inlineStr">
        <is>
          <t>경기 남양주</t>
        </is>
      </c>
      <c r="G101" s="9" t="inlineStr">
        <is>
          <t>경기 성남</t>
        </is>
      </c>
      <c r="H101" s="9" t="inlineStr">
        <is>
          <t>경기 구리</t>
        </is>
      </c>
      <c r="I101" s="278" t="inlineStr">
        <is>
          <t>경기도 남양주시</t>
        </is>
      </c>
      <c r="J101" s="9" t="inlineStr">
        <is>
          <t>경기 고양</t>
        </is>
      </c>
      <c r="K101" s="9" t="inlineStr">
        <is>
          <t>경기 안양</t>
        </is>
      </c>
      <c r="L101" s="53" t="inlineStr">
        <is>
          <t>경기 가평</t>
        </is>
      </c>
      <c r="M101" s="1" t="inlineStr">
        <is>
          <t>경기 고양</t>
        </is>
      </c>
    </row>
    <row r="102">
      <c r="A102" s="71" t="inlineStr">
        <is>
          <t>통신시공능력</t>
        </is>
      </c>
      <c r="B102" s="752" t="n">
        <v>11344700000</v>
      </c>
      <c r="C102" s="777" t="n">
        <v>2326000000</v>
      </c>
      <c r="D102" s="752" t="n">
        <v>12507700000</v>
      </c>
      <c r="E102" s="752" t="n">
        <v>8817800000</v>
      </c>
      <c r="F102" s="752" t="n">
        <v>1093200000</v>
      </c>
      <c r="G102" s="752" t="n">
        <v>56706200000</v>
      </c>
      <c r="H102" s="752" t="n">
        <v>2694900000</v>
      </c>
      <c r="I102" s="789" t="n">
        <v>20712000000</v>
      </c>
      <c r="J102" s="752" t="n">
        <v>654100000</v>
      </c>
      <c r="K102" s="752" t="n">
        <v>4402200000</v>
      </c>
      <c r="L102" s="807" t="n">
        <v>5275100000</v>
      </c>
      <c r="M102" s="732" t="n">
        <v>9479300000</v>
      </c>
    </row>
    <row r="103">
      <c r="A103" s="71" t="inlineStr">
        <is>
          <t>3년간 실적액</t>
        </is>
      </c>
      <c r="B103" s="752" t="n">
        <v>20590723000</v>
      </c>
      <c r="C103" s="777" t="n">
        <v>2395716000</v>
      </c>
      <c r="D103" s="752" t="n">
        <v>18397363000</v>
      </c>
      <c r="E103" s="752" t="n"/>
      <c r="F103" s="752">
        <f>150016000+450015000+291055000</f>
        <v/>
      </c>
      <c r="G103" s="752">
        <f>45751813000+25678115000+34470170000</f>
        <v/>
      </c>
      <c r="H103" s="752">
        <f>1089735000+434960000+663220000</f>
        <v/>
      </c>
      <c r="I103" s="789" t="n">
        <v>41142852000</v>
      </c>
      <c r="J103" s="752" t="n">
        <v>139183000</v>
      </c>
      <c r="K103" s="752" t="n">
        <v>757636000</v>
      </c>
      <c r="L103" s="807" t="n">
        <v>9854618000</v>
      </c>
      <c r="M103" s="732" t="n">
        <v>11404169000</v>
      </c>
    </row>
    <row r="104">
      <c r="A104" s="71" t="inlineStr">
        <is>
          <t>5년간 실적액</t>
        </is>
      </c>
      <c r="B104" s="752" t="n">
        <v>31798456000</v>
      </c>
      <c r="C104" s="777" t="n">
        <v>4344893000</v>
      </c>
      <c r="D104" s="752" t="n">
        <v>24093336000</v>
      </c>
      <c r="E104" s="752" t="n"/>
      <c r="F104" s="752">
        <f>F103+1271061000+1007878000</f>
        <v/>
      </c>
      <c r="G104" s="752">
        <f>G103+32489876000+51615855000</f>
        <v/>
      </c>
      <c r="H104" s="752">
        <f>H103+692830000+770164000</f>
        <v/>
      </c>
      <c r="I104" s="789" t="n">
        <v>75440266000</v>
      </c>
      <c r="J104" s="752" t="n">
        <v>139183000</v>
      </c>
      <c r="K104" s="752" t="n">
        <v>575636000</v>
      </c>
      <c r="L104" s="807" t="n">
        <v>17105987000</v>
      </c>
      <c r="M104" s="732" t="n">
        <v>18551191000</v>
      </c>
    </row>
    <row r="105">
      <c r="A105" s="791" t="inlineStr">
        <is>
          <t>부채비율</t>
        </is>
      </c>
      <c r="B105" s="10" t="n">
        <v>0.655</v>
      </c>
      <c r="C105" s="101" t="n">
        <v>0.4109</v>
      </c>
      <c r="D105" s="10" t="n">
        <v>0.5965</v>
      </c>
      <c r="E105" s="10" t="n"/>
      <c r="F105" s="10" t="n">
        <v>0.2747</v>
      </c>
      <c r="G105" s="10" t="n">
        <v>1.2224</v>
      </c>
      <c r="H105" s="10" t="n">
        <v>0.1297</v>
      </c>
      <c r="I105" s="271" t="n">
        <v>0.316</v>
      </c>
      <c r="J105" s="10" t="n">
        <v>0.6567</v>
      </c>
      <c r="K105" s="10" t="n">
        <v>0.9654</v>
      </c>
      <c r="L105" s="10" t="n">
        <v>4.1933</v>
      </c>
      <c r="M105" s="2" t="n">
        <v>0.1555</v>
      </c>
      <c r="N105" s="750" t="n"/>
    </row>
    <row r="106">
      <c r="A106" s="791" t="inlineStr">
        <is>
          <t>유동비율</t>
        </is>
      </c>
      <c r="B106" s="10" t="n">
        <v>2.3535</v>
      </c>
      <c r="C106" s="101" t="n">
        <v>2.3129</v>
      </c>
      <c r="D106" s="10" t="n">
        <v>2.6261</v>
      </c>
      <c r="E106" s="10" t="n"/>
      <c r="F106" s="10" t="n">
        <v>7.1434</v>
      </c>
      <c r="G106" s="10" t="n">
        <v>0.6755</v>
      </c>
      <c r="H106" s="10" t="n">
        <v>6.7239</v>
      </c>
      <c r="I106" s="271" t="n">
        <v>2.1874</v>
      </c>
      <c r="J106" s="10" t="n">
        <v>3.5194</v>
      </c>
      <c r="K106" s="10" t="n">
        <v>2.4202</v>
      </c>
      <c r="L106" s="10" t="n">
        <v>1.05</v>
      </c>
      <c r="M106" s="2" t="n">
        <v>12.3844</v>
      </c>
      <c r="N106" s="750" t="n"/>
    </row>
    <row r="107" ht="21" customHeight="1" s="16">
      <c r="A107" s="792" t="inlineStr">
        <is>
          <t>영업기간
공사업등록일</t>
        </is>
      </c>
      <c r="B107" s="11" t="inlineStr">
        <is>
          <t>2010.07.22</t>
        </is>
      </c>
      <c r="C107" s="98" t="inlineStr">
        <is>
          <t>2007.12.26</t>
        </is>
      </c>
      <c r="D107" s="10" t="inlineStr">
        <is>
          <t>10년이상%</t>
        </is>
      </c>
      <c r="E107" s="10" t="n"/>
      <c r="F107" s="60" t="inlineStr">
        <is>
          <t>5년이상%</t>
        </is>
      </c>
      <c r="G107" s="10" t="inlineStr">
        <is>
          <t>10년이상%</t>
        </is>
      </c>
      <c r="H107" s="10" t="inlineStr">
        <is>
          <t>10년이상%</t>
        </is>
      </c>
      <c r="I107" s="272" t="inlineStr">
        <is>
          <t>2001.09.03</t>
        </is>
      </c>
      <c r="J107" s="10" t="inlineStr">
        <is>
          <t>3년미만%</t>
        </is>
      </c>
      <c r="K107" s="10" t="inlineStr">
        <is>
          <t>3년미만%</t>
        </is>
      </c>
      <c r="L107" s="10" t="inlineStr">
        <is>
          <t>5년이상%</t>
        </is>
      </c>
      <c r="M107" s="2" t="inlineStr">
        <is>
          <t>10년이상%</t>
        </is>
      </c>
    </row>
    <row r="108" ht="22.5" customHeight="1" s="16">
      <c r="A108" s="71" t="inlineStr">
        <is>
          <t>신용평가</t>
        </is>
      </c>
      <c r="B108" s="725" t="inlineStr">
        <is>
          <t>BBB-
(18.04.23~19.04.22)</t>
        </is>
      </c>
      <c r="C108" s="153" t="inlineStr">
        <is>
          <t>BB+
(24.06.21~25.06.20)</t>
        </is>
      </c>
      <c r="D108" s="725" t="inlineStr">
        <is>
          <t>BB0
(15.06.03~16.06.02)</t>
        </is>
      </c>
      <c r="E108" s="157" t="inlineStr">
        <is>
          <t>BBB-
(14.05.08~15.05.07)</t>
        </is>
      </c>
      <c r="F108" s="736" t="n"/>
      <c r="G108" s="725" t="inlineStr">
        <is>
          <t>A-
14.05.08~15.05.07)</t>
        </is>
      </c>
      <c r="H108" s="736" t="n"/>
      <c r="I108" s="743" t="inlineStr">
        <is>
          <t>BBB0
(25.06.13~26.06.12)</t>
        </is>
      </c>
      <c r="J108" s="725" t="inlineStr">
        <is>
          <t>BBB-
(15.06.29~16.06.28)</t>
        </is>
      </c>
      <c r="K108" s="725" t="inlineStr">
        <is>
          <t>BBB+
(14.02.04~15.02.03)</t>
        </is>
      </c>
      <c r="L108" s="725" t="inlineStr">
        <is>
          <t>BBB+
15.05.29~16.05.28)</t>
        </is>
      </c>
      <c r="M108" s="736" t="n"/>
    </row>
    <row r="109">
      <c r="A109" s="71" t="inlineStr">
        <is>
          <t>여성기업</t>
        </is>
      </c>
      <c r="B109" s="736" t="n"/>
      <c r="C109" s="49" t="n"/>
      <c r="D109" s="736" t="n"/>
      <c r="E109" s="55" t="n"/>
      <c r="F109" s="736" t="n"/>
      <c r="G109" s="736" t="n"/>
      <c r="H109" s="736" t="n"/>
      <c r="I109" s="793" t="n"/>
      <c r="J109" s="736" t="n"/>
      <c r="K109" s="9" t="n"/>
      <c r="L109" s="736" t="n"/>
      <c r="M109" s="736" t="n"/>
    </row>
    <row r="110">
      <c r="A110" s="71" t="inlineStr">
        <is>
          <t>중소기업</t>
        </is>
      </c>
      <c r="B110" s="736" t="n"/>
      <c r="C110" s="49" t="n"/>
      <c r="D110" s="736" t="n"/>
      <c r="E110" s="55" t="n"/>
      <c r="F110" s="736" t="n"/>
      <c r="G110" s="736" t="n"/>
      <c r="H110" s="736" t="n"/>
      <c r="I110" s="793" t="n"/>
      <c r="J110" s="736" t="n"/>
      <c r="K110" s="9" t="n"/>
      <c r="L110" s="736" t="n"/>
      <c r="M110" s="736" t="n"/>
    </row>
    <row r="111">
      <c r="A111" s="71" t="inlineStr">
        <is>
          <t>일자리창출실적</t>
        </is>
      </c>
      <c r="B111" s="736" t="n"/>
      <c r="C111" s="49" t="n"/>
      <c r="D111" s="736" t="n"/>
      <c r="E111" s="55" t="n"/>
      <c r="F111" s="736" t="n"/>
      <c r="G111" s="736" t="n"/>
      <c r="H111" s="736" t="n"/>
      <c r="I111" s="793" t="inlineStr">
        <is>
          <t>O</t>
        </is>
      </c>
      <c r="J111" s="736" t="n"/>
      <c r="K111" s="9" t="n"/>
      <c r="L111" s="736" t="n"/>
      <c r="M111" s="736" t="n"/>
    </row>
    <row r="112">
      <c r="A112" s="71" t="inlineStr">
        <is>
          <t>시공품질평가</t>
        </is>
      </c>
      <c r="B112" s="736" t="n"/>
      <c r="C112" s="99" t="inlineStr">
        <is>
          <t>없음(24.05.01)</t>
        </is>
      </c>
      <c r="D112" s="736" t="n"/>
      <c r="E112" s="55" t="n"/>
      <c r="F112" s="736" t="n"/>
      <c r="G112" s="736" t="n"/>
      <c r="H112" s="736" t="n"/>
      <c r="I112" s="793" t="inlineStr">
        <is>
          <t>없음 (25.05.01)</t>
        </is>
      </c>
      <c r="J112" s="736" t="n"/>
      <c r="K112" s="9" t="n"/>
      <c r="L112" s="736" t="n"/>
      <c r="M112" s="736" t="n"/>
    </row>
    <row r="113" ht="22.5" customHeight="1" s="16">
      <c r="A113" s="71" t="inlineStr">
        <is>
          <t>비  고</t>
        </is>
      </c>
      <c r="B113" s="9" t="inlineStr">
        <is>
          <t>윤병일</t>
        </is>
      </c>
      <c r="C113" s="777" t="inlineStr">
        <is>
          <t>이명전기 서재복</t>
        </is>
      </c>
      <c r="D113" s="63" t="inlineStr">
        <is>
          <t>송종윤</t>
        </is>
      </c>
      <c r="E113" s="61" t="inlineStr">
        <is>
          <t>윤한봉</t>
        </is>
      </c>
      <c r="F113" s="9" t="n"/>
      <c r="G113" s="752" t="n"/>
      <c r="H113" s="61" t="n"/>
      <c r="I113" s="273" t="inlineStr">
        <is>
          <t>특1, 고1, 주2, 초1, 기1
(23.08.01)</t>
        </is>
      </c>
      <c r="J113" s="9" t="n"/>
      <c r="K113" s="9" t="n"/>
      <c r="L113" s="9" t="n"/>
      <c r="M113" s="1" t="inlineStr">
        <is>
          <t>윤한봉</t>
        </is>
      </c>
    </row>
    <row r="114" ht="26.1" customHeight="1" s="16">
      <c r="A114" s="455" t="inlineStr">
        <is>
          <t>회사명</t>
        </is>
      </c>
      <c r="B114" s="455" t="inlineStr">
        <is>
          <t>㈜제이제이</t>
        </is>
      </c>
      <c r="C114" s="455" t="inlineStr">
        <is>
          <t>지승건설㈜</t>
        </is>
      </c>
      <c r="D114" s="455" t="inlineStr">
        <is>
          <t>㈜철탑</t>
        </is>
      </c>
      <c r="E114" s="455" t="inlineStr">
        <is>
          <t>창전이앤시㈜</t>
        </is>
      </c>
      <c r="F114" s="455" t="inlineStr">
        <is>
          <t>㈜창원기전</t>
        </is>
      </c>
      <c r="G114" s="455" t="inlineStr">
        <is>
          <t>㈜창우</t>
        </is>
      </c>
      <c r="H114" s="455" t="inlineStr">
        <is>
          <t>㈜창성에이스산업</t>
        </is>
      </c>
      <c r="I114" s="455" t="inlineStr">
        <is>
          <t>㈜코원건설</t>
        </is>
      </c>
      <c r="J114" s="455" t="inlineStr">
        <is>
          <t>㈜케이에스이엔씨</t>
        </is>
      </c>
      <c r="K114" s="455" t="inlineStr">
        <is>
          <t>코오롱글로벌㈜</t>
        </is>
      </c>
      <c r="L114" s="455" t="inlineStr">
        <is>
          <t>코오롱환경서비스㈜</t>
        </is>
      </c>
      <c r="M114" s="455" t="inlineStr">
        <is>
          <t>㈜트래콘건설</t>
        </is>
      </c>
    </row>
    <row r="115">
      <c r="A115" s="71" t="inlineStr">
        <is>
          <t>대표자</t>
        </is>
      </c>
      <c r="B115" s="752" t="inlineStr">
        <is>
          <t>임영준</t>
        </is>
      </c>
      <c r="C115" s="1" t="inlineStr">
        <is>
          <t>권민석</t>
        </is>
      </c>
      <c r="D115" s="192" t="inlineStr">
        <is>
          <t>권용선</t>
        </is>
      </c>
      <c r="E115" s="752" t="inlineStr">
        <is>
          <t>김인자</t>
        </is>
      </c>
      <c r="F115" s="752" t="inlineStr">
        <is>
          <t>김귀범</t>
        </is>
      </c>
      <c r="G115" s="9" t="inlineStr">
        <is>
          <t>이창우</t>
        </is>
      </c>
      <c r="H115" s="9" t="inlineStr">
        <is>
          <t>이의용</t>
        </is>
      </c>
      <c r="I115" s="375" t="inlineStr">
        <is>
          <t>이규식</t>
        </is>
      </c>
      <c r="J115" s="1" t="inlineStr">
        <is>
          <t>박복순</t>
        </is>
      </c>
      <c r="K115" s="752" t="inlineStr">
        <is>
          <t>윤창운</t>
        </is>
      </c>
      <c r="L115" s="732" t="inlineStr">
        <is>
          <t>김화중</t>
        </is>
      </c>
      <c r="M115" s="278" t="inlineStr">
        <is>
          <t>김종필</t>
        </is>
      </c>
    </row>
    <row r="116">
      <c r="A116" s="74" t="inlineStr">
        <is>
          <t>사업자번호</t>
        </is>
      </c>
      <c r="B116" s="54" t="inlineStr">
        <is>
          <t>130-86-09515</t>
        </is>
      </c>
      <c r="C116" s="1" t="inlineStr">
        <is>
          <t>137-81-79658</t>
        </is>
      </c>
      <c r="D116" s="193" t="inlineStr">
        <is>
          <t>610-86-00214</t>
        </is>
      </c>
      <c r="E116" s="54" t="inlineStr">
        <is>
          <t>129-81-45379</t>
        </is>
      </c>
      <c r="F116" s="54" t="inlineStr">
        <is>
          <t>126-81-45759</t>
        </is>
      </c>
      <c r="G116" s="9" t="inlineStr">
        <is>
          <t>123-86-21388</t>
        </is>
      </c>
      <c r="H116" s="9" t="inlineStr">
        <is>
          <t>212-81-21494</t>
        </is>
      </c>
      <c r="I116" s="381" t="inlineStr">
        <is>
          <t>123-81-78983</t>
        </is>
      </c>
      <c r="J116" s="1" t="inlineStr">
        <is>
          <t>105-87-66161</t>
        </is>
      </c>
      <c r="K116" s="54" t="inlineStr">
        <is>
          <t>120-81-50012</t>
        </is>
      </c>
      <c r="L116" s="4" t="inlineStr">
        <is>
          <t>123-81-75138</t>
        </is>
      </c>
      <c r="M116" s="279" t="inlineStr">
        <is>
          <t xml:space="preserve"> 214-81-64674  </t>
        </is>
      </c>
    </row>
    <row r="117">
      <c r="A117" s="74" t="inlineStr">
        <is>
          <t>지역</t>
        </is>
      </c>
      <c r="B117" s="752" t="inlineStr">
        <is>
          <t>경기 부천</t>
        </is>
      </c>
      <c r="C117" s="1" t="inlineStr">
        <is>
          <t>경기 안양</t>
        </is>
      </c>
      <c r="D117" s="192" t="inlineStr">
        <is>
          <t>경기도 성남시</t>
        </is>
      </c>
      <c r="E117" s="752" t="inlineStr">
        <is>
          <t>경기도 용인시</t>
        </is>
      </c>
      <c r="F117" s="752" t="inlineStr">
        <is>
          <t>경기 성남</t>
        </is>
      </c>
      <c r="G117" s="9" t="inlineStr">
        <is>
          <t>경기 안산</t>
        </is>
      </c>
      <c r="H117" s="9" t="inlineStr">
        <is>
          <t>경기 성남</t>
        </is>
      </c>
      <c r="I117" s="375" t="inlineStr">
        <is>
          <t>경기도 성남시</t>
        </is>
      </c>
      <c r="J117" s="1" t="inlineStr">
        <is>
          <t>경기도 고양시</t>
        </is>
      </c>
      <c r="K117" s="752" t="inlineStr">
        <is>
          <t>경기 과천</t>
        </is>
      </c>
      <c r="L117" s="732" t="inlineStr">
        <is>
          <t>경기 과천</t>
        </is>
      </c>
      <c r="M117" s="278" t="inlineStr">
        <is>
          <t>경기도 성남시</t>
        </is>
      </c>
    </row>
    <row r="118">
      <c r="A118" s="71" t="inlineStr">
        <is>
          <t>통신시공능력</t>
        </is>
      </c>
      <c r="B118" s="752" t="n">
        <v>6355300000</v>
      </c>
      <c r="C118" s="732" t="n">
        <v>690600000</v>
      </c>
      <c r="D118" s="808" t="n">
        <v>9910500000</v>
      </c>
      <c r="E118" s="752" t="n">
        <v>1893200000</v>
      </c>
      <c r="F118" s="752" t="n">
        <v>20818400000</v>
      </c>
      <c r="G118" s="752" t="n">
        <v>10672000000</v>
      </c>
      <c r="H118" s="752" t="n">
        <v>969000000</v>
      </c>
      <c r="I118" s="809" t="n">
        <v>1451200000</v>
      </c>
      <c r="J118" s="804" t="n">
        <v>3941800000</v>
      </c>
      <c r="K118" s="752" t="n">
        <v>14122700000</v>
      </c>
      <c r="L118" s="732" t="n">
        <v>400300000</v>
      </c>
      <c r="M118" s="789" t="n">
        <v>3123400000</v>
      </c>
    </row>
    <row r="119">
      <c r="A119" s="71" t="inlineStr">
        <is>
          <t>3년간 실적액</t>
        </is>
      </c>
      <c r="B119" s="752" t="n">
        <v>6394921000</v>
      </c>
      <c r="C119" s="732" t="n">
        <v>0</v>
      </c>
      <c r="D119" s="808" t="n">
        <v>12984460000</v>
      </c>
      <c r="E119" s="752" t="n">
        <v>48136000</v>
      </c>
      <c r="F119" s="752" t="n">
        <v>37151031000</v>
      </c>
      <c r="G119" s="752">
        <f>6750879000+4707118000+6389558000</f>
        <v/>
      </c>
      <c r="H119" s="756" t="n">
        <v>1010734000</v>
      </c>
      <c r="I119" s="809" t="n">
        <v>2442944000</v>
      </c>
      <c r="J119" s="804" t="n">
        <v>5212849000</v>
      </c>
      <c r="K119" s="752" t="inlineStr">
        <is>
          <t>-</t>
        </is>
      </c>
      <c r="L119" s="732" t="n">
        <v>67405000</v>
      </c>
      <c r="M119" s="789" t="n">
        <v>5438173000</v>
      </c>
    </row>
    <row r="120">
      <c r="A120" s="71" t="inlineStr">
        <is>
          <t>5년간 실적액</t>
        </is>
      </c>
      <c r="B120" s="752" t="n">
        <v>10353444000</v>
      </c>
      <c r="C120" s="732" t="n">
        <v>0</v>
      </c>
      <c r="D120" s="808" t="n">
        <v>15650660000</v>
      </c>
      <c r="E120" s="752" t="n">
        <v>48136000</v>
      </c>
      <c r="F120" s="752">
        <f>F119+3265519000+3380420000</f>
        <v/>
      </c>
      <c r="G120" s="752">
        <f>G119+4549926000+673519000</f>
        <v/>
      </c>
      <c r="H120" s="806" t="n">
        <v>3232338000</v>
      </c>
      <c r="I120" s="809" t="n">
        <v>7441762000</v>
      </c>
      <c r="J120" s="810" t="n">
        <v>10431797000</v>
      </c>
      <c r="K120" s="752" t="inlineStr">
        <is>
          <t>-</t>
        </is>
      </c>
      <c r="L120" s="732" t="n">
        <v>650405000</v>
      </c>
      <c r="M120" s="789" t="n">
        <v>7601919000</v>
      </c>
    </row>
    <row r="121">
      <c r="A121" s="791" t="inlineStr">
        <is>
          <t>부채비율</t>
        </is>
      </c>
      <c r="B121" s="10" t="n">
        <v>0.1462</v>
      </c>
      <c r="C121" s="2" t="n">
        <v>0.0946</v>
      </c>
      <c r="D121" s="194" t="n">
        <v>0.2343</v>
      </c>
      <c r="E121" s="10" t="n">
        <v>0.5594</v>
      </c>
      <c r="F121" s="10" t="n">
        <v>0.472</v>
      </c>
      <c r="G121" s="10" t="n">
        <v>0.5855</v>
      </c>
      <c r="H121" s="10" t="n">
        <v>1.8382</v>
      </c>
      <c r="I121" s="383" t="n">
        <v>4.2262</v>
      </c>
      <c r="J121" s="2" t="n">
        <v>0.0367</v>
      </c>
      <c r="K121" s="10" t="n">
        <v>0</v>
      </c>
      <c r="L121" s="2" t="n">
        <v>1.3461</v>
      </c>
      <c r="M121" s="280" t="n">
        <v>2.7421</v>
      </c>
      <c r="N121" s="750" t="n"/>
    </row>
    <row r="122">
      <c r="A122" s="791" t="inlineStr">
        <is>
          <t>유동비율</t>
        </is>
      </c>
      <c r="B122" s="10" t="n">
        <v>8.008800000000001</v>
      </c>
      <c r="C122" s="2" t="n">
        <v>9.2425</v>
      </c>
      <c r="D122" s="194" t="n">
        <v>3.7467</v>
      </c>
      <c r="E122" s="48" t="n">
        <v>1.8503</v>
      </c>
      <c r="F122" s="10" t="n">
        <v>2.8868</v>
      </c>
      <c r="G122" s="10" t="n">
        <v>2.303</v>
      </c>
      <c r="H122" s="10" t="n">
        <v>1.5768</v>
      </c>
      <c r="I122" s="383" t="n">
        <v>0.5397</v>
      </c>
      <c r="J122" s="2" t="n">
        <v>21.5163</v>
      </c>
      <c r="K122" s="10" t="n">
        <v>0</v>
      </c>
      <c r="L122" s="2" t="n">
        <v>1.5887</v>
      </c>
      <c r="M122" s="280" t="n">
        <v>1.2617</v>
      </c>
      <c r="N122" s="750" t="n"/>
    </row>
    <row r="123" ht="21" customHeight="1" s="16">
      <c r="A123" s="792" t="inlineStr">
        <is>
          <t>영업기간
공사업등록일</t>
        </is>
      </c>
      <c r="B123" s="10" t="inlineStr">
        <is>
          <t>10년이상%</t>
        </is>
      </c>
      <c r="C123" s="2" t="inlineStr">
        <is>
          <t>3년미만%</t>
        </is>
      </c>
      <c r="D123" s="195" t="inlineStr">
        <is>
          <t>2012.09.26</t>
        </is>
      </c>
      <c r="E123" s="11" t="inlineStr">
        <is>
          <t>2011.07.22</t>
        </is>
      </c>
      <c r="F123" s="10" t="inlineStr">
        <is>
          <t>10년이상%</t>
        </is>
      </c>
      <c r="G123" s="10" t="inlineStr">
        <is>
          <t>10년이상%</t>
        </is>
      </c>
      <c r="H123" s="10" t="inlineStr">
        <is>
          <t>10년이상%</t>
        </is>
      </c>
      <c r="I123" s="378" t="inlineStr">
        <is>
          <t>2007.02.15</t>
        </is>
      </c>
      <c r="J123" s="67" t="inlineStr">
        <is>
          <t>1999.07.19</t>
        </is>
      </c>
      <c r="K123" s="60" t="inlineStr">
        <is>
          <t>-년이상%</t>
        </is>
      </c>
      <c r="L123" s="2" t="inlineStr">
        <is>
          <t>5년이상%</t>
        </is>
      </c>
      <c r="M123" s="282" t="inlineStr">
        <is>
          <t>2014.02.17</t>
        </is>
      </c>
    </row>
    <row r="124" ht="22.5" customHeight="1" s="16">
      <c r="A124" s="71" t="inlineStr">
        <is>
          <t>신용평가</t>
        </is>
      </c>
      <c r="B124" s="803" t="n"/>
      <c r="C124" s="725" t="inlineStr">
        <is>
          <t>A0
(13.04.19~14.04.18)</t>
        </is>
      </c>
      <c r="D124" s="395" t="inlineStr">
        <is>
          <t>BB+
(25.06.27~26.06.26)</t>
        </is>
      </c>
      <c r="E124" s="725" t="inlineStr">
        <is>
          <t>BBB-
(17.06.26~18.06.25)</t>
        </is>
      </c>
      <c r="F124" s="725" t="inlineStr">
        <is>
          <t>AA-
(14.04.30~15.04.29)</t>
        </is>
      </c>
      <c r="G124" s="725" t="inlineStr">
        <is>
          <t>BB+
(14.06.26~15.06.25)</t>
        </is>
      </c>
      <c r="H124" s="725" t="inlineStr">
        <is>
          <t>BBB-
14.04.16~15.04.15)</t>
        </is>
      </c>
      <c r="I124" s="724" t="inlineStr">
        <is>
          <t>BB0
(25.07.01~26.06.30)</t>
        </is>
      </c>
      <c r="J124" s="12" t="n"/>
      <c r="K124" s="725" t="inlineStr">
        <is>
          <t>BBB+
(14.06.27~15.06.26)</t>
        </is>
      </c>
      <c r="L124" s="725" t="inlineStr">
        <is>
          <t>A0
(13.04.16~14.04.15)</t>
        </is>
      </c>
      <c r="M124" s="800" t="inlineStr">
        <is>
          <t>A-
(25.07.01~26.06.30)</t>
        </is>
      </c>
    </row>
    <row r="125">
      <c r="A125" s="71" t="inlineStr">
        <is>
          <t>여성기업</t>
        </is>
      </c>
      <c r="B125" s="803" t="n"/>
      <c r="C125" s="736" t="n"/>
      <c r="D125" s="196" t="inlineStr">
        <is>
          <t>(24.06.26~27.06.25)</t>
        </is>
      </c>
      <c r="E125" s="736" t="inlineStr">
        <is>
          <t>(15.03.16~18.03.15)</t>
        </is>
      </c>
      <c r="F125" s="736" t="n"/>
      <c r="G125" s="736" t="n"/>
      <c r="H125" s="736" t="n"/>
      <c r="I125" s="811" t="n"/>
      <c r="J125" s="12" t="n"/>
      <c r="K125" s="736" t="n"/>
      <c r="L125" s="736" t="n"/>
      <c r="M125" s="793" t="n"/>
    </row>
    <row r="126">
      <c r="A126" s="71" t="inlineStr">
        <is>
          <t>중소기업</t>
        </is>
      </c>
      <c r="B126" s="803" t="n"/>
      <c r="C126" s="736" t="n"/>
      <c r="D126" s="812" t="n"/>
      <c r="E126" s="736" t="n"/>
      <c r="F126" s="736" t="n"/>
      <c r="G126" s="736" t="n"/>
      <c r="H126" s="736" t="n"/>
      <c r="I126" s="811" t="n"/>
      <c r="J126" s="12" t="n"/>
      <c r="K126" s="736" t="n"/>
      <c r="L126" s="736" t="n"/>
      <c r="M126" s="793" t="n"/>
    </row>
    <row r="127">
      <c r="A127" s="71" t="inlineStr">
        <is>
          <t>일자리창출실적</t>
        </is>
      </c>
      <c r="B127" s="803" t="n"/>
      <c r="C127" s="736" t="n"/>
      <c r="D127" s="812" t="n"/>
      <c r="E127" s="736" t="n"/>
      <c r="F127" s="736" t="n"/>
      <c r="G127" s="736" t="n"/>
      <c r="H127" s="736" t="n"/>
      <c r="I127" s="811" t="n"/>
      <c r="J127" s="12" t="n"/>
      <c r="K127" s="736" t="n"/>
      <c r="L127" s="736" t="n"/>
      <c r="M127" s="793" t="n"/>
    </row>
    <row r="128">
      <c r="A128" s="71" t="inlineStr">
        <is>
          <t>시공품질평가</t>
        </is>
      </c>
      <c r="B128" s="803" t="n"/>
      <c r="C128" s="736" t="n"/>
      <c r="D128" s="812" t="inlineStr">
        <is>
          <t>없음(24.05.01)</t>
        </is>
      </c>
      <c r="E128" s="736" t="n"/>
      <c r="F128" s="736" t="n"/>
      <c r="G128" s="736" t="n"/>
      <c r="H128" s="736" t="n"/>
      <c r="I128" s="811" t="n"/>
      <c r="J128" s="12" t="n"/>
      <c r="K128" s="736" t="n"/>
      <c r="L128" s="736" t="n"/>
      <c r="M128" s="283" t="inlineStr">
        <is>
          <t>없음 (24.05.01)</t>
        </is>
      </c>
    </row>
    <row r="129" ht="33.75" customHeight="1" s="16">
      <c r="A129" s="71" t="inlineStr">
        <is>
          <t>비  고</t>
        </is>
      </c>
      <c r="B129" s="752" t="inlineStr">
        <is>
          <t>홍정구</t>
        </is>
      </c>
      <c r="C129" s="61" t="n"/>
      <c r="D129" s="813" t="inlineStr">
        <is>
          <t>조재진</t>
        </is>
      </c>
      <c r="E129" s="758" t="n"/>
      <c r="F129" s="9" t="n"/>
      <c r="G129" s="9" t="inlineStr">
        <is>
          <t>이원호</t>
        </is>
      </c>
      <c r="H129" s="9" t="n"/>
      <c r="I129" s="375" t="inlineStr">
        <is>
          <t>유형민</t>
        </is>
      </c>
      <c r="J129" s="1" t="inlineStr">
        <is>
          <t>송종윤, 강성법</t>
        </is>
      </c>
      <c r="K129" s="9" t="n"/>
      <c r="L129" s="61" t="n"/>
      <c r="M129" s="273" t="inlineStr">
        <is>
          <t>정부형
중소기업확인서
(23.05.04~24.03.31)</t>
        </is>
      </c>
    </row>
    <row r="130" ht="26.1" customHeight="1" s="16">
      <c r="A130" s="455" t="inlineStr">
        <is>
          <t>회사명</t>
        </is>
      </c>
      <c r="B130" s="455" t="inlineStr">
        <is>
          <t>㈜태영건설</t>
        </is>
      </c>
      <c r="C130" s="455" t="inlineStr">
        <is>
          <t>㈜피앤케이파워시스</t>
        </is>
      </c>
      <c r="D130" s="455" t="inlineStr">
        <is>
          <t>㈜파워네트웍</t>
        </is>
      </c>
      <c r="E130" s="455" t="inlineStr">
        <is>
          <t>㈜포탈세이프티</t>
        </is>
      </c>
      <c r="F130" s="455" t="inlineStr">
        <is>
          <t>한국텔레콤㈜</t>
        </is>
      </c>
      <c r="G130" s="455" t="inlineStr">
        <is>
          <t>㈜해오름이엔씨</t>
        </is>
      </c>
      <c r="H130" s="455" t="inlineStr">
        <is>
          <t>하모니씨앤씨㈜</t>
        </is>
      </c>
      <c r="I130" s="455" t="inlineStr">
        <is>
          <t>(주)해창건설</t>
        </is>
      </c>
      <c r="J130" s="455" t="inlineStr">
        <is>
          <t>㈜해피로드</t>
        </is>
      </c>
      <c r="K130" s="455" t="inlineStr">
        <is>
          <t>한양이엔지㈜</t>
        </is>
      </c>
      <c r="L130" s="455" t="inlineStr">
        <is>
          <t>한동건설㈜</t>
        </is>
      </c>
      <c r="M130" s="455" t="inlineStr">
        <is>
          <t>행복네트웍스㈜</t>
        </is>
      </c>
    </row>
    <row r="131">
      <c r="A131" s="71" t="inlineStr">
        <is>
          <t>대표자</t>
        </is>
      </c>
      <c r="B131" s="732" t="inlineStr">
        <is>
          <t>김외곤</t>
        </is>
      </c>
      <c r="C131" s="9" t="inlineStr">
        <is>
          <t>구본관</t>
        </is>
      </c>
      <c r="D131" s="752" t="inlineStr">
        <is>
          <t>강인석</t>
        </is>
      </c>
      <c r="E131" s="752" t="inlineStr">
        <is>
          <t>김옥선</t>
        </is>
      </c>
      <c r="F131" s="1" t="inlineStr">
        <is>
          <t>김용호</t>
        </is>
      </c>
      <c r="G131" s="93" t="inlineStr">
        <is>
          <t>김길수</t>
        </is>
      </c>
      <c r="H131" s="814" t="inlineStr">
        <is>
          <t>박과희</t>
        </is>
      </c>
      <c r="I131" s="1" t="inlineStr">
        <is>
          <t>조현희</t>
        </is>
      </c>
      <c r="J131" s="9" t="inlineStr">
        <is>
          <t>백혜진</t>
        </is>
      </c>
      <c r="K131" s="752" t="inlineStr">
        <is>
          <t>김형욱</t>
        </is>
      </c>
      <c r="L131" s="9" t="inlineStr">
        <is>
          <t>신항철</t>
        </is>
      </c>
      <c r="M131" s="1" t="inlineStr">
        <is>
          <t>김정숙</t>
        </is>
      </c>
    </row>
    <row r="132">
      <c r="A132" s="74" t="inlineStr">
        <is>
          <t>사업자번호</t>
        </is>
      </c>
      <c r="B132" s="4" t="inlineStr">
        <is>
          <t>105-81-74543</t>
        </is>
      </c>
      <c r="C132" s="9" t="inlineStr">
        <is>
          <t>107-86-93987</t>
        </is>
      </c>
      <c r="D132" s="54" t="inlineStr">
        <is>
          <t>128-86-15450</t>
        </is>
      </c>
      <c r="E132" s="54" t="inlineStr">
        <is>
          <t>124-87-14892</t>
        </is>
      </c>
      <c r="F132" s="1" t="inlineStr">
        <is>
          <t>225-81-13160</t>
        </is>
      </c>
      <c r="G132" s="93" t="inlineStr">
        <is>
          <t>214-81-94561</t>
        </is>
      </c>
      <c r="H132" s="226" t="inlineStr">
        <is>
          <t>126-81-80867</t>
        </is>
      </c>
      <c r="I132" s="1" t="inlineStr">
        <is>
          <t>118-81-11277</t>
        </is>
      </c>
      <c r="J132" s="9" t="inlineStr">
        <is>
          <t>543-81-00336</t>
        </is>
      </c>
      <c r="K132" s="54" t="inlineStr">
        <is>
          <t>124-81-37874</t>
        </is>
      </c>
      <c r="L132" s="9" t="inlineStr">
        <is>
          <t>135-81-01930</t>
        </is>
      </c>
      <c r="M132" s="1" t="inlineStr">
        <is>
          <t>134-87-07665</t>
        </is>
      </c>
    </row>
    <row r="133">
      <c r="A133" s="74" t="inlineStr">
        <is>
          <t>지역</t>
        </is>
      </c>
      <c r="B133" s="732" t="inlineStr">
        <is>
          <t>경기 고양</t>
        </is>
      </c>
      <c r="C133" s="9" t="inlineStr">
        <is>
          <t>경기도 화성시</t>
        </is>
      </c>
      <c r="D133" s="54" t="inlineStr">
        <is>
          <t>경기도 고양시</t>
        </is>
      </c>
      <c r="E133" s="752" t="inlineStr">
        <is>
          <t>경기 화성</t>
        </is>
      </c>
      <c r="F133" s="1" t="inlineStr">
        <is>
          <t>경기 용인</t>
        </is>
      </c>
      <c r="G133" s="93" t="inlineStr">
        <is>
          <t>경기도 안양시</t>
        </is>
      </c>
      <c r="H133" s="814" t="inlineStr">
        <is>
          <t>경기도 광주시</t>
        </is>
      </c>
      <c r="I133" s="1" t="inlineStr">
        <is>
          <t>경기도 여주시</t>
        </is>
      </c>
      <c r="J133" s="9" t="inlineStr">
        <is>
          <t>경기도 용인시</t>
        </is>
      </c>
      <c r="K133" s="752" t="inlineStr">
        <is>
          <t>경기 화성</t>
        </is>
      </c>
      <c r="L133" s="9" t="inlineStr">
        <is>
          <t>경기 수원</t>
        </is>
      </c>
      <c r="M133" s="1" t="inlineStr">
        <is>
          <t>경기 안산</t>
        </is>
      </c>
    </row>
    <row r="134">
      <c r="A134" s="71" t="inlineStr">
        <is>
          <t>통신시공능력</t>
        </is>
      </c>
      <c r="B134" s="732" t="n">
        <v>24615000000</v>
      </c>
      <c r="C134" s="752" t="n">
        <v>3300000000</v>
      </c>
      <c r="D134" s="752" t="n">
        <v>10711300000</v>
      </c>
      <c r="E134" s="752" t="n">
        <v>11809100000</v>
      </c>
      <c r="F134" s="732" t="n">
        <v>8559500000</v>
      </c>
      <c r="G134" s="777" t="n">
        <v>9046300000</v>
      </c>
      <c r="H134" s="712" t="n">
        <v>16267700000</v>
      </c>
      <c r="I134" s="752" t="n">
        <v>874600000</v>
      </c>
      <c r="J134" s="752" t="n">
        <v>1012800000</v>
      </c>
      <c r="K134" s="752" t="n">
        <v>908400000</v>
      </c>
      <c r="L134" s="752" t="n">
        <v>4403600000</v>
      </c>
      <c r="M134" s="732" t="n">
        <v>2341800000</v>
      </c>
    </row>
    <row r="135">
      <c r="A135" s="71" t="inlineStr">
        <is>
          <t>3년간 실적액</t>
        </is>
      </c>
      <c r="B135" s="732" t="n">
        <v>46242563000</v>
      </c>
      <c r="C135" s="752" t="n">
        <v>6080092000</v>
      </c>
      <c r="D135" s="752" t="n">
        <v>15662222000</v>
      </c>
      <c r="E135" s="752" t="n">
        <v>17297132000</v>
      </c>
      <c r="F135" s="732" t="n">
        <v>12793988000</v>
      </c>
      <c r="G135" s="815" t="n">
        <v>11489021000</v>
      </c>
      <c r="H135" s="712" t="n">
        <v>21829766000</v>
      </c>
      <c r="I135" s="752" t="n">
        <v>634450000</v>
      </c>
      <c r="J135" s="752" t="n">
        <v>849382000</v>
      </c>
      <c r="K135" s="752" t="n">
        <v>0</v>
      </c>
      <c r="L135" s="752" t="n">
        <v>6852081000</v>
      </c>
      <c r="M135" s="732" t="n">
        <v>3794784000</v>
      </c>
    </row>
    <row r="136">
      <c r="A136" s="71" t="inlineStr">
        <is>
          <t>5년간 실적액</t>
        </is>
      </c>
      <c r="B136" s="732" t="n">
        <v>83055692000</v>
      </c>
      <c r="C136" s="752" t="n">
        <v>11518812000</v>
      </c>
      <c r="D136" s="752" t="n">
        <v>31875964000</v>
      </c>
      <c r="E136" s="752" t="n">
        <v>33076472000</v>
      </c>
      <c r="F136" s="732" t="n">
        <v>21160986000</v>
      </c>
      <c r="G136" s="816" t="n">
        <v>15361722000</v>
      </c>
      <c r="H136" s="712" t="n">
        <v>40565443000</v>
      </c>
      <c r="I136" s="752" t="n">
        <v>1088774000</v>
      </c>
      <c r="J136" s="752" t="n">
        <v>1248678000</v>
      </c>
      <c r="K136" s="752" t="n">
        <v>0</v>
      </c>
      <c r="L136" s="752" t="n">
        <v>10270810000</v>
      </c>
      <c r="M136" s="732" t="n">
        <v>7461158000</v>
      </c>
    </row>
    <row r="137">
      <c r="A137" s="791" t="inlineStr">
        <is>
          <t>부채비율</t>
        </is>
      </c>
      <c r="B137" s="2" t="n">
        <v>1.8065</v>
      </c>
      <c r="C137" s="48" t="n">
        <v>0.7789</v>
      </c>
      <c r="D137" s="10" t="n">
        <v>0.066</v>
      </c>
      <c r="E137" s="10" t="n">
        <v>0.3254</v>
      </c>
      <c r="F137" s="2" t="n">
        <v>0.7331</v>
      </c>
      <c r="G137" s="101" t="n">
        <v>0.0774</v>
      </c>
      <c r="H137" s="227" t="n">
        <v>0.1324</v>
      </c>
      <c r="I137" s="10" t="n">
        <v>0.5553</v>
      </c>
      <c r="J137" s="10" t="n">
        <v>0.2141</v>
      </c>
      <c r="K137" s="48" t="n">
        <v>1.5588</v>
      </c>
      <c r="L137" s="10" t="n">
        <v>0.3392</v>
      </c>
      <c r="M137" s="2" t="n">
        <v>0</v>
      </c>
      <c r="N137" s="750" t="n"/>
    </row>
    <row r="138">
      <c r="A138" s="791" t="inlineStr">
        <is>
          <t>유동비율</t>
        </is>
      </c>
      <c r="B138" s="2" t="n">
        <v>1.1481</v>
      </c>
      <c r="C138" s="47" t="n">
        <v>3.0164</v>
      </c>
      <c r="D138" s="10" t="n">
        <v>12.5539</v>
      </c>
      <c r="E138" s="10" t="n">
        <v>3.0873</v>
      </c>
      <c r="F138" s="2" t="n">
        <v>2.0898</v>
      </c>
      <c r="G138" s="101" t="n">
        <v>11.9128</v>
      </c>
      <c r="H138" s="227" t="n">
        <v>4.3719</v>
      </c>
      <c r="I138" s="10" t="n">
        <v>3.1187</v>
      </c>
      <c r="J138" s="10" t="n">
        <v>4.8813</v>
      </c>
      <c r="K138" s="48" t="n">
        <v>0.996</v>
      </c>
      <c r="L138" s="10" t="n">
        <v>3.6946</v>
      </c>
      <c r="M138" s="2" t="inlineStr">
        <is>
          <t>∞</t>
        </is>
      </c>
      <c r="N138" s="750" t="n"/>
    </row>
    <row r="139" ht="21" customHeight="1" s="16">
      <c r="A139" s="792" t="inlineStr">
        <is>
          <t>영업기간
공사업등록일</t>
        </is>
      </c>
      <c r="B139" s="2" t="inlineStr">
        <is>
          <t>10년이상%</t>
        </is>
      </c>
      <c r="C139" s="11" t="inlineStr">
        <is>
          <t>2010.12.09</t>
        </is>
      </c>
      <c r="D139" s="11" t="inlineStr">
        <is>
          <t>2006.10.17</t>
        </is>
      </c>
      <c r="E139" s="10" t="inlineStr">
        <is>
          <t>5년이상%</t>
        </is>
      </c>
      <c r="F139" s="2" t="inlineStr">
        <is>
          <t>10년이상%</t>
        </is>
      </c>
      <c r="G139" s="101" t="inlineStr">
        <is>
          <t>1995.11.14</t>
        </is>
      </c>
      <c r="H139" s="228" t="inlineStr">
        <is>
          <t>2000.04.04</t>
        </is>
      </c>
      <c r="I139" s="11" t="inlineStr">
        <is>
          <t>2009.09.18</t>
        </is>
      </c>
      <c r="J139" s="11" t="inlineStr">
        <is>
          <t>2005.02.18</t>
        </is>
      </c>
      <c r="K139" s="10" t="inlineStr">
        <is>
          <t>2013.11.20.</t>
        </is>
      </c>
      <c r="L139" s="10" t="inlineStr">
        <is>
          <t>10년이상%</t>
        </is>
      </c>
      <c r="M139" s="2" t="inlineStr">
        <is>
          <t>10년이상%</t>
        </is>
      </c>
    </row>
    <row r="140" ht="22.5" customHeight="1" s="16">
      <c r="A140" s="71" t="inlineStr">
        <is>
          <t>신용평가</t>
        </is>
      </c>
      <c r="B140" s="803" t="n"/>
      <c r="C140" s="725" t="inlineStr">
        <is>
          <t>BBB-
(24.04.29~25.04.28)</t>
        </is>
      </c>
      <c r="D140" s="725" t="inlineStr">
        <is>
          <t>BB+
(18.04.30~19.04.29)</t>
        </is>
      </c>
      <c r="E140" s="157" t="inlineStr">
        <is>
          <t>BB+
(15.04.15~16.04.14)</t>
        </is>
      </c>
      <c r="F140" s="803" t="n"/>
      <c r="G140" s="725" t="inlineStr">
        <is>
          <t>BBB0
(24.06.21~25.06.20)</t>
        </is>
      </c>
      <c r="H140" s="817" t="inlineStr">
        <is>
          <t>A-
(25.04.14~26.04.13)</t>
        </is>
      </c>
      <c r="I140" s="153" t="inlineStr">
        <is>
          <t>BB0
(22.06.24~23.06.23)</t>
        </is>
      </c>
      <c r="J140" s="49" t="n"/>
      <c r="K140" s="725" t="inlineStr">
        <is>
          <t>A0
(15.04.08~16.04.07)</t>
        </is>
      </c>
      <c r="L140" s="725" t="inlineStr">
        <is>
          <t>AA-
(14.05.09~15.05.08)</t>
        </is>
      </c>
      <c r="M140" s="803" t="n"/>
    </row>
    <row r="141">
      <c r="A141" s="71" t="inlineStr">
        <is>
          <t>여성기업</t>
        </is>
      </c>
      <c r="B141" s="803" t="n"/>
      <c r="C141" s="736" t="n"/>
      <c r="D141" s="736" t="n"/>
      <c r="E141" s="55" t="n"/>
      <c r="F141" s="803" t="n"/>
      <c r="G141" s="736" t="n"/>
      <c r="H141" s="726" t="n"/>
      <c r="I141" s="49" t="n"/>
      <c r="J141" s="49" t="inlineStr">
        <is>
          <t>(18.11.08~21.11.07)</t>
        </is>
      </c>
      <c r="K141" s="736" t="n"/>
      <c r="L141" s="736" t="n"/>
      <c r="M141" s="803" t="n"/>
    </row>
    <row r="142">
      <c r="A142" s="71" t="inlineStr">
        <is>
          <t>중소기업</t>
        </is>
      </c>
      <c r="B142" s="803" t="n"/>
      <c r="C142" s="736" t="n"/>
      <c r="D142" s="736" t="n"/>
      <c r="E142" s="55" t="n"/>
      <c r="F142" s="803" t="n"/>
      <c r="G142" s="736" t="n"/>
      <c r="H142" s="726" t="n"/>
      <c r="I142" s="49" t="n"/>
      <c r="J142" s="49" t="n"/>
      <c r="K142" s="736" t="n"/>
      <c r="L142" s="736" t="n"/>
      <c r="M142" s="803" t="n"/>
    </row>
    <row r="143">
      <c r="A143" s="75" t="inlineStr">
        <is>
          <t>일자리창출실적</t>
        </is>
      </c>
      <c r="B143" s="803" t="n"/>
      <c r="C143" s="736" t="n"/>
      <c r="D143" s="736" t="n"/>
      <c r="E143" s="55" t="n"/>
      <c r="F143" s="803" t="n"/>
      <c r="G143" s="736" t="n"/>
      <c r="H143" s="726" t="n"/>
      <c r="I143" s="49" t="n"/>
      <c r="J143" s="49" t="n"/>
      <c r="K143" s="736" t="n"/>
      <c r="L143" s="736" t="n"/>
      <c r="M143" s="803" t="n"/>
    </row>
    <row r="144">
      <c r="A144" s="75" t="inlineStr">
        <is>
          <t>시공품질평가</t>
        </is>
      </c>
      <c r="B144" s="803" t="n"/>
      <c r="C144" s="736" t="inlineStr">
        <is>
          <t>없음 (24.05.01)</t>
        </is>
      </c>
      <c r="D144" s="736" t="n"/>
      <c r="E144" s="55" t="n"/>
      <c r="F144" s="803" t="n"/>
      <c r="G144" s="795" t="inlineStr">
        <is>
          <t>90.71 (24.05.01)</t>
        </is>
      </c>
      <c r="H144" s="726" t="inlineStr">
        <is>
          <t>없음 (25.05.01)</t>
        </is>
      </c>
      <c r="I144" s="49" t="n"/>
      <c r="J144" s="49" t="n"/>
      <c r="K144" s="736" t="n"/>
      <c r="L144" s="736" t="n"/>
      <c r="M144" s="803" t="n"/>
    </row>
    <row r="145" ht="33.75" customHeight="1" s="16">
      <c r="A145" s="71" t="inlineStr">
        <is>
          <t>비  고</t>
        </is>
      </c>
      <c r="B145" s="1" t="inlineStr">
        <is>
          <t>구본진</t>
        </is>
      </c>
      <c r="C145" s="9" t="inlineStr">
        <is>
          <t>이동훈</t>
        </is>
      </c>
      <c r="D145" s="9" t="inlineStr">
        <is>
          <t>윤병일</t>
        </is>
      </c>
      <c r="E145" s="61" t="inlineStr">
        <is>
          <t>이승용부장</t>
        </is>
      </c>
      <c r="F145" s="1" t="inlineStr">
        <is>
          <t>안영식</t>
        </is>
      </c>
      <c r="G145" s="758" t="inlineStr">
        <is>
          <t>전영덕
중소기업확인서
(23.04.01 ~ 24.03.31)</t>
        </is>
      </c>
      <c r="H145" s="229" t="inlineStr">
        <is>
          <t>김장섭</t>
        </is>
      </c>
      <c r="I145" s="9" t="inlineStr">
        <is>
          <t>이명전기 서재복</t>
        </is>
      </c>
      <c r="J145" s="57" t="inlineStr">
        <is>
          <t>김용길</t>
        </is>
      </c>
      <c r="K145" s="64" t="inlineStr">
        <is>
          <t>엄태룡과장(010-8922-0505)</t>
        </is>
      </c>
      <c r="L145" s="9" t="inlineStr">
        <is>
          <t>윤한봉</t>
        </is>
      </c>
      <c r="M145" s="1" t="inlineStr">
        <is>
          <t>강성법</t>
        </is>
      </c>
    </row>
    <row r="146" ht="26.1" customHeight="1" s="16">
      <c r="A146" s="455" t="inlineStr">
        <is>
          <t>회사명</t>
        </is>
      </c>
      <c r="B146" s="455" t="inlineStr">
        <is>
          <t>한국정보기술㈜</t>
        </is>
      </c>
      <c r="C146" s="455" t="inlineStr">
        <is>
          <t>현대위성네트워크㈜</t>
        </is>
      </c>
      <c r="D146" s="455" t="inlineStr">
        <is>
          <t>㈜경진</t>
        </is>
      </c>
      <c r="E146" s="455" t="inlineStr">
        <is>
          <t>㈜그리마건설</t>
        </is>
      </c>
      <c r="F146" s="455" t="inlineStr">
        <is>
          <t>㈜가보테크</t>
        </is>
      </c>
      <c r="G146" s="455" t="inlineStr">
        <is>
          <t>㈜낙원통신</t>
        </is>
      </c>
      <c r="H146" s="455" t="inlineStr">
        <is>
          <t>㈜서경에스지씨</t>
        </is>
      </c>
      <c r="I146" s="455" t="inlineStr">
        <is>
          <t>일광이앤씨㈜</t>
        </is>
      </c>
      <c r="J146" s="455" t="inlineStr">
        <is>
          <t>일광전기통신</t>
        </is>
      </c>
      <c r="K146" s="455" t="inlineStr">
        <is>
          <t>㈜이림엔지니어링</t>
        </is>
      </c>
      <c r="L146" s="455" t="inlineStr">
        <is>
          <t>㈜코럽시스템</t>
        </is>
      </c>
      <c r="M146" s="455" t="inlineStr">
        <is>
          <t>㈜티지오</t>
        </is>
      </c>
    </row>
    <row r="147">
      <c r="A147" s="71" t="inlineStr">
        <is>
          <t>대표자</t>
        </is>
      </c>
      <c r="B147" s="752" t="inlineStr">
        <is>
          <t>김제호</t>
        </is>
      </c>
      <c r="C147" s="752" t="inlineStr">
        <is>
          <t>전임선</t>
        </is>
      </c>
      <c r="D147" s="1" t="inlineStr">
        <is>
          <t>장천섭</t>
        </is>
      </c>
      <c r="E147" s="1" t="inlineStr">
        <is>
          <t>김부휘</t>
        </is>
      </c>
      <c r="F147" s="1" t="inlineStr">
        <is>
          <t>김종만</t>
        </is>
      </c>
      <c r="G147" s="1" t="inlineStr">
        <is>
          <t>장미선</t>
        </is>
      </c>
      <c r="H147" s="337" t="inlineStr">
        <is>
          <t>송용주</t>
        </is>
      </c>
      <c r="I147" s="180" t="inlineStr">
        <is>
          <t>반극헌</t>
        </is>
      </c>
      <c r="J147" s="1" t="inlineStr">
        <is>
          <t>이동기</t>
        </is>
      </c>
      <c r="K147" s="73" t="inlineStr">
        <is>
          <t xml:space="preserve">이선주 </t>
        </is>
      </c>
      <c r="L147" s="9" t="inlineStr">
        <is>
          <t>조만희</t>
        </is>
      </c>
      <c r="M147" s="732" t="inlineStr">
        <is>
          <t>김규삼</t>
        </is>
      </c>
    </row>
    <row r="148">
      <c r="A148" s="74" t="inlineStr">
        <is>
          <t>사업자번호</t>
        </is>
      </c>
      <c r="B148" s="54" t="inlineStr">
        <is>
          <t>129-86-38418</t>
        </is>
      </c>
      <c r="C148" s="54" t="inlineStr">
        <is>
          <t>134-86-45982</t>
        </is>
      </c>
      <c r="D148" s="1" t="inlineStr">
        <is>
          <t>403-81-57021</t>
        </is>
      </c>
      <c r="E148" s="1" t="inlineStr">
        <is>
          <t>110-81-32720</t>
        </is>
      </c>
      <c r="F148" s="1" t="inlineStr">
        <is>
          <t xml:space="preserve">129-81-67669 </t>
        </is>
      </c>
      <c r="G148" s="1" t="inlineStr">
        <is>
          <t>230-88-00235</t>
        </is>
      </c>
      <c r="H148" s="338" t="inlineStr">
        <is>
          <t>820-87-00953</t>
        </is>
      </c>
      <c r="I148" s="179" t="inlineStr">
        <is>
          <t>612-87-00347</t>
        </is>
      </c>
      <c r="J148" s="1" t="inlineStr">
        <is>
          <t>124-35-95649</t>
        </is>
      </c>
      <c r="K148" s="1" t="inlineStr">
        <is>
          <t xml:space="preserve">124-86-85589 </t>
        </is>
      </c>
      <c r="L148" s="9" t="inlineStr">
        <is>
          <t xml:space="preserve">125-81-40479 </t>
        </is>
      </c>
      <c r="M148" s="4" t="inlineStr">
        <is>
          <t>105-81-95043</t>
        </is>
      </c>
    </row>
    <row r="149">
      <c r="A149" s="74" t="inlineStr">
        <is>
          <t>지역</t>
        </is>
      </c>
      <c r="B149" s="752" t="inlineStr">
        <is>
          <t>경기 성남</t>
        </is>
      </c>
      <c r="C149" s="752" t="inlineStr">
        <is>
          <t>경기 안산</t>
        </is>
      </c>
      <c r="D149" s="1" t="inlineStr">
        <is>
          <t>경기도 파주시</t>
        </is>
      </c>
      <c r="E149" s="1" t="inlineStr">
        <is>
          <t>경기도 평택시</t>
        </is>
      </c>
      <c r="F149" s="1" t="inlineStr">
        <is>
          <t>경기도 성남시</t>
        </is>
      </c>
      <c r="G149" s="1" t="inlineStr">
        <is>
          <t>경기도 고양시</t>
        </is>
      </c>
      <c r="H149" s="337" t="inlineStr">
        <is>
          <t>경기도 양주시</t>
        </is>
      </c>
      <c r="I149" s="180" t="inlineStr">
        <is>
          <t>경기도 성남시</t>
        </is>
      </c>
      <c r="J149" s="1" t="inlineStr">
        <is>
          <t>경기도 수원시</t>
        </is>
      </c>
      <c r="K149" s="1" t="inlineStr">
        <is>
          <t>경기도 오산시</t>
        </is>
      </c>
      <c r="L149" s="9" t="inlineStr">
        <is>
          <t>경기도 안성시</t>
        </is>
      </c>
      <c r="M149" s="732" t="inlineStr">
        <is>
          <t>경기도 고양시</t>
        </is>
      </c>
    </row>
    <row r="150">
      <c r="A150" s="71" t="inlineStr">
        <is>
          <t>통신시공능력</t>
        </is>
      </c>
      <c r="B150" s="752" t="n">
        <v>4706200000</v>
      </c>
      <c r="C150" s="752" t="n">
        <v>9323400000</v>
      </c>
      <c r="D150" s="732" t="n">
        <v>4405000000</v>
      </c>
      <c r="E150" s="732" t="n">
        <v>1831400000</v>
      </c>
      <c r="F150" s="732" t="n">
        <v>694600000</v>
      </c>
      <c r="G150" s="732" t="n">
        <v>5916100000</v>
      </c>
      <c r="H150" s="818" t="n">
        <v>2375900000</v>
      </c>
      <c r="I150" s="769" t="n">
        <v>792800000</v>
      </c>
      <c r="J150" s="732" t="n">
        <v>3675700000</v>
      </c>
      <c r="K150" s="732" t="n">
        <v>979800000</v>
      </c>
      <c r="L150" s="752" t="n">
        <v>5281900000</v>
      </c>
      <c r="M150" s="732" t="n">
        <v>5022400000</v>
      </c>
    </row>
    <row r="151">
      <c r="A151" s="71" t="inlineStr">
        <is>
          <t>3년간 실적액</t>
        </is>
      </c>
      <c r="B151" s="752">
        <f>624328000+1635264000+2938214000</f>
        <v/>
      </c>
      <c r="C151" s="752">
        <f>5455938000+4480664000+4293613000</f>
        <v/>
      </c>
      <c r="D151" s="732" t="n">
        <v>2247327000</v>
      </c>
      <c r="E151" s="732" t="n">
        <v>3131672000</v>
      </c>
      <c r="F151" s="732" t="n">
        <v>266205000</v>
      </c>
      <c r="G151" s="732" t="n">
        <v>10042470000</v>
      </c>
      <c r="H151" s="818" t="n">
        <v>1374712000</v>
      </c>
      <c r="I151" s="769" t="n">
        <v>612639000</v>
      </c>
      <c r="J151" s="732" t="n">
        <v>3894806000</v>
      </c>
      <c r="K151" s="732" t="n">
        <v>482772000</v>
      </c>
      <c r="L151" s="752" t="n">
        <v>3610916000</v>
      </c>
      <c r="M151" s="732" t="n">
        <v>3744059000</v>
      </c>
    </row>
    <row r="152">
      <c r="A152" s="71" t="inlineStr">
        <is>
          <t>5년간 실적액</t>
        </is>
      </c>
      <c r="B152" s="752">
        <f>B151</f>
        <v/>
      </c>
      <c r="C152" s="752">
        <f>C151+6465580000+3332352000</f>
        <v/>
      </c>
      <c r="D152" s="732" t="n">
        <v>3725807000</v>
      </c>
      <c r="E152" s="732" t="n">
        <v>4027247000</v>
      </c>
      <c r="F152" s="732" t="n">
        <v>286789000</v>
      </c>
      <c r="G152" s="732" t="n">
        <v>11509616000</v>
      </c>
      <c r="H152" s="818" t="n">
        <v>1650949000</v>
      </c>
      <c r="I152" s="769" t="n">
        <v>5312265000</v>
      </c>
      <c r="J152" s="732" t="n">
        <v>6611008000</v>
      </c>
      <c r="K152" s="732" t="n">
        <v>482772000</v>
      </c>
      <c r="L152" s="752" t="n">
        <v>4986500000</v>
      </c>
      <c r="M152" s="732" t="n">
        <v>7505432000</v>
      </c>
    </row>
    <row r="153">
      <c r="A153" s="791" t="inlineStr">
        <is>
          <t>부채비율</t>
        </is>
      </c>
      <c r="B153" s="10" t="n">
        <v>1.3646</v>
      </c>
      <c r="C153" s="10" t="n">
        <v>0.5901</v>
      </c>
      <c r="D153" s="2" t="n">
        <v>0.0516</v>
      </c>
      <c r="E153" s="66" t="n">
        <v>1.9495</v>
      </c>
      <c r="F153" s="2" t="n">
        <v>0.0658</v>
      </c>
      <c r="G153" s="2" t="n">
        <v>0.0019</v>
      </c>
      <c r="H153" s="342" t="n">
        <v>0.977</v>
      </c>
      <c r="I153" s="182" t="n">
        <v>1.0178</v>
      </c>
      <c r="J153" s="2" t="n">
        <v>0.2116</v>
      </c>
      <c r="K153" s="2" t="n">
        <v>0.4549</v>
      </c>
      <c r="L153" s="10" t="n">
        <v>0.0788</v>
      </c>
      <c r="M153" s="2" t="n">
        <v>0.152</v>
      </c>
      <c r="N153" s="750" t="n"/>
    </row>
    <row r="154">
      <c r="A154" s="791" t="inlineStr">
        <is>
          <t>유동비율</t>
        </is>
      </c>
      <c r="B154" s="10" t="n">
        <v>1.5516</v>
      </c>
      <c r="C154" s="10" t="n">
        <v>2.7885</v>
      </c>
      <c r="D154" s="2" t="n">
        <v>19.8894</v>
      </c>
      <c r="E154" s="66" t="n">
        <v>1.36</v>
      </c>
      <c r="F154" s="2" t="n">
        <v>10.0139</v>
      </c>
      <c r="G154" s="2" t="n">
        <v>481.1968</v>
      </c>
      <c r="H154" s="339" t="n">
        <v>2.7714</v>
      </c>
      <c r="I154" s="182" t="n">
        <v>0.8243</v>
      </c>
      <c r="J154" s="2" t="n">
        <v>4.0234</v>
      </c>
      <c r="K154" s="2" t="n">
        <v>2.2131</v>
      </c>
      <c r="L154" s="10" t="n">
        <v>10.7594</v>
      </c>
      <c r="M154" s="2" t="n">
        <v>8.109</v>
      </c>
      <c r="N154" s="750" t="n"/>
    </row>
    <row r="155" ht="21" customHeight="1" s="16">
      <c r="A155" s="792" t="inlineStr">
        <is>
          <t>영업기간
공사업등록일</t>
        </is>
      </c>
      <c r="B155" s="10" t="inlineStr">
        <is>
          <t>3년이상%</t>
        </is>
      </c>
      <c r="C155" s="10" t="inlineStr">
        <is>
          <t>10년이상%</t>
        </is>
      </c>
      <c r="D155" s="2" t="inlineStr">
        <is>
          <t>2002.02.27</t>
        </is>
      </c>
      <c r="E155" s="2" t="inlineStr">
        <is>
          <t>2011.01.20</t>
        </is>
      </c>
      <c r="F155" s="2" t="inlineStr">
        <is>
          <t>2006.02.02</t>
        </is>
      </c>
      <c r="G155" s="2" t="inlineStr">
        <is>
          <t>1995.09.14</t>
        </is>
      </c>
      <c r="H155" s="343" t="inlineStr">
        <is>
          <t>2019.07.23</t>
        </is>
      </c>
      <c r="I155" s="183" t="inlineStr">
        <is>
          <t>2009.12.17</t>
        </is>
      </c>
      <c r="J155" s="2" t="inlineStr">
        <is>
          <t>2004.07.29</t>
        </is>
      </c>
      <c r="K155" s="2" t="inlineStr">
        <is>
          <t>2017.03.31</t>
        </is>
      </c>
      <c r="L155" s="10" t="inlineStr">
        <is>
          <t>2013.08.20</t>
        </is>
      </c>
      <c r="M155" s="67" t="inlineStr">
        <is>
          <t>2001.04.02</t>
        </is>
      </c>
    </row>
    <row r="156" ht="22.5" customHeight="1" s="16">
      <c r="A156" s="71" t="inlineStr">
        <is>
          <t>신용평가</t>
        </is>
      </c>
      <c r="B156" s="725" t="inlineStr">
        <is>
          <t>BBB-
(14.06.30~15.06.29)</t>
        </is>
      </c>
      <c r="C156" s="725" t="inlineStr">
        <is>
          <t>BB-
(14.04.28~14.04.27)</t>
        </is>
      </c>
      <c r="D156" s="786" t="inlineStr">
        <is>
          <t>B+
(23.07.05~24.06.30)</t>
        </is>
      </c>
      <c r="E156" s="725" t="inlineStr">
        <is>
          <t>BBB-
(20.04.24~21.04.23)</t>
        </is>
      </c>
      <c r="F156" s="803" t="n"/>
      <c r="G156" s="803" t="n"/>
      <c r="H156" s="819" t="inlineStr">
        <is>
          <t>BB0
(25.05.30~26.05.29)</t>
        </is>
      </c>
      <c r="I156" s="152" t="inlineStr">
        <is>
          <t>A-
(25.05.29~26.05.28)</t>
        </is>
      </c>
      <c r="J156" s="803" t="n"/>
      <c r="K156" s="803" t="n"/>
      <c r="L156" s="803" t="n"/>
      <c r="M156" s="736" t="n"/>
    </row>
    <row r="157">
      <c r="A157" s="71" t="inlineStr">
        <is>
          <t>여성기업</t>
        </is>
      </c>
      <c r="B157" s="736" t="n"/>
      <c r="C157" s="736" t="n"/>
      <c r="D157" s="820" t="n"/>
      <c r="E157" s="803" t="n"/>
      <c r="F157" s="803" t="n"/>
      <c r="G157" s="803" t="n"/>
      <c r="H157" s="819" t="n"/>
      <c r="I157" s="821" t="n"/>
      <c r="J157" s="803" t="n"/>
      <c r="K157" s="803" t="n"/>
      <c r="L157" s="803" t="n"/>
      <c r="M157" s="736" t="n"/>
    </row>
    <row r="158">
      <c r="A158" s="71" t="inlineStr">
        <is>
          <t>중소기업</t>
        </is>
      </c>
      <c r="B158" s="736" t="n"/>
      <c r="C158" s="736" t="n"/>
      <c r="D158" s="820" t="n"/>
      <c r="E158" s="803" t="n"/>
      <c r="F158" s="803" t="n"/>
      <c r="G158" s="803" t="n"/>
      <c r="H158" s="819" t="n"/>
      <c r="I158" s="821" t="n"/>
      <c r="J158" s="803" t="n"/>
      <c r="K158" s="803" t="n"/>
      <c r="L158" s="803" t="n"/>
      <c r="M158" s="736" t="n"/>
    </row>
    <row r="159">
      <c r="A159" s="75" t="inlineStr">
        <is>
          <t>일자리창출실적</t>
        </is>
      </c>
      <c r="B159" s="736" t="n"/>
      <c r="C159" s="736" t="n"/>
      <c r="D159" s="820" t="n"/>
      <c r="E159" s="803" t="n"/>
      <c r="F159" s="803" t="n"/>
      <c r="G159" s="803" t="n"/>
      <c r="H159" s="819" t="n"/>
      <c r="I159" s="821" t="n"/>
      <c r="J159" s="803" t="n"/>
      <c r="K159" s="803" t="n"/>
      <c r="L159" s="803" t="n"/>
      <c r="M159" s="736" t="n"/>
    </row>
    <row r="160">
      <c r="A160" s="75" t="inlineStr">
        <is>
          <t>시공품질평가</t>
        </is>
      </c>
      <c r="B160" s="736" t="n"/>
      <c r="C160" s="736" t="n"/>
      <c r="D160" s="820" t="n"/>
      <c r="E160" s="803" t="n"/>
      <c r="F160" s="803" t="n"/>
      <c r="G160" s="803" t="n"/>
      <c r="H160" s="819" t="n"/>
      <c r="I160" s="822" t="inlineStr">
        <is>
          <t>없음 (25.05.01)</t>
        </is>
      </c>
      <c r="J160" s="803" t="n"/>
      <c r="K160" s="803" t="n"/>
      <c r="L160" s="803" t="n"/>
      <c r="M160" s="736" t="n"/>
    </row>
    <row r="161">
      <c r="A161" s="71" t="inlineStr">
        <is>
          <t>비  고</t>
        </is>
      </c>
      <c r="B161" s="752" t="inlineStr">
        <is>
          <t>대보 자회사</t>
        </is>
      </c>
      <c r="C161" s="752" t="n"/>
      <c r="D161" s="1" t="inlineStr">
        <is>
          <t>박성균</t>
        </is>
      </c>
      <c r="E161" s="9" t="n"/>
      <c r="F161" s="1" t="inlineStr">
        <is>
          <t>윤명숙</t>
        </is>
      </c>
      <c r="G161" s="1" t="inlineStr">
        <is>
          <t>윤한봉</t>
        </is>
      </c>
      <c r="H161" s="337" t="inlineStr">
        <is>
          <t>신대철</t>
        </is>
      </c>
      <c r="I161" s="180" t="n"/>
      <c r="J161" s="1" t="inlineStr">
        <is>
          <t>윤한봉</t>
        </is>
      </c>
      <c r="K161" s="1" t="inlineStr">
        <is>
          <t>김희준</t>
        </is>
      </c>
      <c r="L161" s="9" t="inlineStr">
        <is>
          <t>이동훈</t>
        </is>
      </c>
      <c r="M161" s="110" t="n"/>
    </row>
    <row r="162" ht="26.1" customHeight="1" s="16">
      <c r="A162" s="455" t="inlineStr">
        <is>
          <t>회사명</t>
        </is>
      </c>
      <c r="B162" s="455" t="inlineStr">
        <is>
          <t>㈜대상전력</t>
        </is>
      </c>
      <c r="C162" s="455" t="inlineStr">
        <is>
          <t>유티정보㈜</t>
        </is>
      </c>
      <c r="D162" s="455" t="inlineStr">
        <is>
          <t>㈜상아전력</t>
        </is>
      </c>
      <c r="E162" s="455" t="inlineStr">
        <is>
          <t>㈜온세이엔씨</t>
        </is>
      </c>
      <c r="F162" s="455" t="inlineStr">
        <is>
          <t>㈜라온텍</t>
        </is>
      </c>
      <c r="G162" s="455" t="inlineStr">
        <is>
          <t>㈜주영일렉트로닉</t>
        </is>
      </c>
      <c r="H162" s="455" t="inlineStr">
        <is>
          <t>㈜은지정보통신</t>
        </is>
      </c>
      <c r="I162" s="455" t="inlineStr">
        <is>
          <t>㈜코맥스</t>
        </is>
      </c>
      <c r="J162" s="455" t="inlineStr">
        <is>
          <t>태평양이앤씨(주)</t>
        </is>
      </c>
      <c r="K162" s="455" t="inlineStr">
        <is>
          <t>태영건설산업㈜</t>
        </is>
      </c>
      <c r="L162" s="455" t="inlineStr">
        <is>
          <t>㈜이현테크원</t>
        </is>
      </c>
      <c r="M162" s="455" t="inlineStr">
        <is>
          <t>㈜에이치투테크</t>
        </is>
      </c>
    </row>
    <row r="163">
      <c r="A163" s="71" t="inlineStr">
        <is>
          <t>대표자</t>
        </is>
      </c>
      <c r="B163" s="787" t="inlineStr">
        <is>
          <t>박인정</t>
        </is>
      </c>
      <c r="C163" s="823" t="inlineStr">
        <is>
          <t>길기순</t>
        </is>
      </c>
      <c r="D163" s="732" t="inlineStr">
        <is>
          <t>임명규</t>
        </is>
      </c>
      <c r="E163" s="824" t="inlineStr">
        <is>
          <t>안영식</t>
        </is>
      </c>
      <c r="F163" s="9" t="inlineStr">
        <is>
          <t>이경석</t>
        </is>
      </c>
      <c r="G163" s="752" t="inlineStr">
        <is>
          <t>박창식</t>
        </is>
      </c>
      <c r="H163" s="732" t="inlineStr">
        <is>
          <t>이명옥</t>
        </is>
      </c>
      <c r="I163" s="752" t="inlineStr">
        <is>
          <t>변우석</t>
        </is>
      </c>
      <c r="J163" s="825" t="inlineStr">
        <is>
          <t>이원석</t>
        </is>
      </c>
      <c r="K163" s="732" t="inlineStr">
        <is>
          <t>이기용</t>
        </is>
      </c>
      <c r="L163" s="826" t="inlineStr">
        <is>
          <t>강준석</t>
        </is>
      </c>
      <c r="M163" s="9" t="inlineStr">
        <is>
          <t>김성미</t>
        </is>
      </c>
    </row>
    <row r="164">
      <c r="A164" s="74" t="inlineStr">
        <is>
          <t>사업자번호</t>
        </is>
      </c>
      <c r="B164" s="270" t="inlineStr">
        <is>
          <t>216-81-15499</t>
        </is>
      </c>
      <c r="C164" s="363" t="inlineStr">
        <is>
          <t>124-81-84571</t>
        </is>
      </c>
      <c r="D164" s="4" t="inlineStr">
        <is>
          <t>129-81-43857</t>
        </is>
      </c>
      <c r="E164" s="146" t="inlineStr">
        <is>
          <t>142-81-28387</t>
        </is>
      </c>
      <c r="F164" s="9" t="inlineStr">
        <is>
          <t>212-81-89591</t>
        </is>
      </c>
      <c r="G164" s="54" t="inlineStr">
        <is>
          <t>123-81-80378</t>
        </is>
      </c>
      <c r="H164" s="4" t="inlineStr">
        <is>
          <t>868-87-01240</t>
        </is>
      </c>
      <c r="I164" s="54" t="inlineStr">
        <is>
          <t>129-81-01726</t>
        </is>
      </c>
      <c r="J164" s="438" t="inlineStr">
        <is>
          <t>220-81-25657</t>
        </is>
      </c>
      <c r="K164" s="4" t="inlineStr">
        <is>
          <t>132-86-04705</t>
        </is>
      </c>
      <c r="L164" s="692" t="inlineStr">
        <is>
          <t>690-81-00966</t>
        </is>
      </c>
      <c r="M164" s="9" t="inlineStr">
        <is>
          <t>749-86-01302</t>
        </is>
      </c>
    </row>
    <row r="165">
      <c r="A165" s="74" t="inlineStr">
        <is>
          <t>지역</t>
        </is>
      </c>
      <c r="B165" s="787" t="inlineStr">
        <is>
          <t>경기도 안성시</t>
        </is>
      </c>
      <c r="C165" s="823" t="inlineStr">
        <is>
          <t>경기도 수원시</t>
        </is>
      </c>
      <c r="D165" s="732" t="inlineStr">
        <is>
          <t>경기도 성남시</t>
        </is>
      </c>
      <c r="E165" s="824" t="inlineStr">
        <is>
          <t>경기도 성남시</t>
        </is>
      </c>
      <c r="F165" s="9" t="inlineStr">
        <is>
          <t>경기도 하남시</t>
        </is>
      </c>
      <c r="G165" s="752" t="inlineStr">
        <is>
          <t>경기도 군포시</t>
        </is>
      </c>
      <c r="H165" s="732" t="inlineStr">
        <is>
          <t>경기도 양주시</t>
        </is>
      </c>
      <c r="I165" s="752" t="inlineStr">
        <is>
          <t>경기도 성남시</t>
        </is>
      </c>
      <c r="J165" s="825" t="inlineStr">
        <is>
          <t>경기도 용인시</t>
        </is>
      </c>
      <c r="K165" s="732" t="inlineStr">
        <is>
          <t>경기도 남양주시</t>
        </is>
      </c>
      <c r="L165" s="826" t="inlineStr">
        <is>
          <t>경기도 광주시</t>
        </is>
      </c>
      <c r="M165" s="9" t="inlineStr">
        <is>
          <t>경기도 파주시</t>
        </is>
      </c>
    </row>
    <row r="166">
      <c r="A166" s="71" t="inlineStr">
        <is>
          <t>통신시공능력</t>
        </is>
      </c>
      <c r="B166" s="789" t="n">
        <v>998600000</v>
      </c>
      <c r="C166" s="827" t="n">
        <v>3385700000</v>
      </c>
      <c r="D166" s="732" t="n">
        <v>1948000000</v>
      </c>
      <c r="E166" s="828" t="n">
        <v>4722900000</v>
      </c>
      <c r="F166" s="756" t="n">
        <v>3482200000</v>
      </c>
      <c r="G166" s="752" t="n">
        <v>5349300000</v>
      </c>
      <c r="H166" s="732" t="inlineStr">
        <is>
          <t>ㄴ</t>
        </is>
      </c>
      <c r="I166" s="752" t="n">
        <v>35521500000</v>
      </c>
      <c r="J166" s="829" t="n">
        <v>3675500000</v>
      </c>
      <c r="K166" s="732" t="n">
        <v>733800000</v>
      </c>
      <c r="L166" s="830" t="n">
        <v>1357500000</v>
      </c>
      <c r="M166" s="756" t="n">
        <v>1555100000</v>
      </c>
    </row>
    <row r="167">
      <c r="A167" s="71" t="inlineStr">
        <is>
          <t>3년간 실적액</t>
        </is>
      </c>
      <c r="B167" s="789" t="n">
        <v>954870000</v>
      </c>
      <c r="C167" s="827" t="n">
        <v>0</v>
      </c>
      <c r="D167" s="732" t="n">
        <v>1583122000</v>
      </c>
      <c r="E167" s="828" t="n">
        <v>5139989000</v>
      </c>
      <c r="F167" s="756" t="n">
        <v>760249000</v>
      </c>
      <c r="G167" s="752" t="n">
        <v>3804154000</v>
      </c>
      <c r="H167" s="732" t="n">
        <v>3620726000</v>
      </c>
      <c r="I167" s="752" t="n">
        <v>69008165000</v>
      </c>
      <c r="J167" s="829" t="n">
        <v>1520326000</v>
      </c>
      <c r="K167" s="732" t="n">
        <v>326511000</v>
      </c>
      <c r="L167" s="830" t="n">
        <v>1568011000</v>
      </c>
      <c r="M167" s="756" t="n">
        <v>479820000</v>
      </c>
    </row>
    <row r="168">
      <c r="A168" s="71" t="inlineStr">
        <is>
          <t>5년간 실적액</t>
        </is>
      </c>
      <c r="B168" s="789" t="n">
        <v>1174870000</v>
      </c>
      <c r="C168" s="827" t="n">
        <v>0</v>
      </c>
      <c r="D168" s="732" t="n">
        <v>2801344000</v>
      </c>
      <c r="E168" s="828" t="n">
        <v>5528217000</v>
      </c>
      <c r="F168" s="756" t="n">
        <v>760249000</v>
      </c>
      <c r="G168" s="752" t="n">
        <v>7960247000</v>
      </c>
      <c r="H168" s="732" t="n">
        <v>6534257000</v>
      </c>
      <c r="I168" s="752" t="n">
        <v>115621342000</v>
      </c>
      <c r="J168" s="829" t="n">
        <v>1956205000</v>
      </c>
      <c r="K168" s="732" t="n">
        <v>733582000</v>
      </c>
      <c r="L168" s="830" t="n">
        <v>1846859000</v>
      </c>
      <c r="M168" s="756" t="n">
        <v>479820000</v>
      </c>
    </row>
    <row r="169">
      <c r="A169" s="791" t="inlineStr">
        <is>
          <t>부채비율</t>
        </is>
      </c>
      <c r="B169" s="271" t="n">
        <v>0.4454</v>
      </c>
      <c r="C169" s="368" t="n">
        <v>0.4025</v>
      </c>
      <c r="D169" s="2" t="n">
        <v>0.4744</v>
      </c>
      <c r="E169" s="144" t="n">
        <v>0.4251</v>
      </c>
      <c r="F169" s="10" t="n">
        <v>0.6903</v>
      </c>
      <c r="G169" s="10" t="n">
        <v>0.3844</v>
      </c>
      <c r="H169" s="2" t="n">
        <v>0.6329</v>
      </c>
      <c r="I169" s="48" t="n">
        <v>1.0169</v>
      </c>
      <c r="J169" s="452" t="n">
        <v>0.2757</v>
      </c>
      <c r="K169" s="2" t="n">
        <v>0.4567</v>
      </c>
      <c r="L169" s="607" t="n">
        <v>0.0474</v>
      </c>
      <c r="M169" s="48" t="n">
        <v>3.901</v>
      </c>
      <c r="N169" s="750" t="n"/>
    </row>
    <row r="170">
      <c r="A170" s="791" t="inlineStr">
        <is>
          <t>유동비율</t>
        </is>
      </c>
      <c r="B170" s="271" t="n">
        <v>4.4359</v>
      </c>
      <c r="C170" s="368" t="n">
        <v>6.4639</v>
      </c>
      <c r="D170" s="2" t="n">
        <v>5.8553</v>
      </c>
      <c r="E170" s="144" t="n">
        <v>9.0745</v>
      </c>
      <c r="F170" s="48" t="n">
        <v>1.4034</v>
      </c>
      <c r="G170" s="10" t="n">
        <v>16.7798</v>
      </c>
      <c r="H170" s="2" t="n">
        <v>2.2687</v>
      </c>
      <c r="I170" s="48" t="n">
        <v>1.3302</v>
      </c>
      <c r="J170" s="453" t="n">
        <v>1.5084</v>
      </c>
      <c r="K170" s="10" t="n"/>
      <c r="L170" s="607" t="n">
        <v>6.9183</v>
      </c>
      <c r="M170" s="48" t="n">
        <v>1.2232</v>
      </c>
      <c r="N170" s="750" t="n"/>
    </row>
    <row r="171" ht="21" customHeight="1" s="16">
      <c r="A171" s="792" t="inlineStr">
        <is>
          <t>영업기간
공사업등록일</t>
        </is>
      </c>
      <c r="B171" s="272" t="inlineStr">
        <is>
          <t>2016.02.23</t>
        </is>
      </c>
      <c r="C171" s="369" t="inlineStr">
        <is>
          <t>2021.02.16</t>
        </is>
      </c>
      <c r="D171" s="2" t="n">
        <v>5.8553</v>
      </c>
      <c r="E171" s="147" t="inlineStr">
        <is>
          <t>2020.08.31</t>
        </is>
      </c>
      <c r="F171" s="10" t="inlineStr">
        <is>
          <t>2019.09.10</t>
        </is>
      </c>
      <c r="G171" s="11" t="inlineStr">
        <is>
          <t>2008.09.11</t>
        </is>
      </c>
      <c r="H171" s="67" t="inlineStr">
        <is>
          <t>2003.01.25</t>
        </is>
      </c>
      <c r="I171" s="11" t="inlineStr">
        <is>
          <t>1979.11.10</t>
        </is>
      </c>
      <c r="J171" s="440" t="inlineStr">
        <is>
          <t>2018.08.22</t>
        </is>
      </c>
      <c r="K171" s="67" t="inlineStr">
        <is>
          <t>2012.02.06</t>
        </is>
      </c>
      <c r="L171" s="693" t="inlineStr">
        <is>
          <t>2021.02.08</t>
        </is>
      </c>
      <c r="M171" s="10" t="inlineStr">
        <is>
          <t>2021.02.17</t>
        </is>
      </c>
    </row>
    <row r="172" ht="22.5" customHeight="1" s="16">
      <c r="A172" s="71" t="inlineStr">
        <is>
          <t>신용평가</t>
        </is>
      </c>
      <c r="B172" s="152" t="inlineStr">
        <is>
          <t>BB0
(25.06.12~26.06.11)</t>
        </is>
      </c>
      <c r="C172" s="152" t="inlineStr">
        <is>
          <t>BBB+
(25.03.25~26.03.24)</t>
        </is>
      </c>
      <c r="D172" s="736" t="n"/>
      <c r="E172" s="724" t="inlineStr">
        <is>
          <t>BBB-
(25.05.12~26.05.11)</t>
        </is>
      </c>
      <c r="F172" s="153" t="inlineStr">
        <is>
          <t>BB+
(22.04.11~23.04.10)</t>
        </is>
      </c>
      <c r="G172" s="736" t="n"/>
      <c r="H172" s="736" t="n"/>
      <c r="I172" s="153" t="inlineStr">
        <is>
          <t>B-
(24.07.18~25.06.30)</t>
        </is>
      </c>
      <c r="J172" s="831" t="inlineStr">
        <is>
          <t>AA+
(25.06.25~26.06.24)</t>
        </is>
      </c>
      <c r="K172" s="736" t="n"/>
      <c r="L172" s="736" t="n"/>
      <c r="M172" s="153" t="inlineStr">
        <is>
          <t>BBB-
(22.04.11~23.04.10)</t>
        </is>
      </c>
    </row>
    <row r="173">
      <c r="A173" s="71" t="inlineStr">
        <is>
          <t>여성기업</t>
        </is>
      </c>
      <c r="B173" s="283" t="inlineStr">
        <is>
          <t>24.08.08~</t>
        </is>
      </c>
      <c r="C173" s="743" t="n"/>
      <c r="D173" s="736" t="n"/>
      <c r="E173" s="832" t="n"/>
      <c r="F173" s="736" t="n"/>
      <c r="G173" s="736" t="n"/>
      <c r="H173" s="736" t="n"/>
      <c r="I173" s="736" t="n"/>
      <c r="J173" s="833" t="n"/>
      <c r="K173" s="736" t="n"/>
      <c r="L173" s="834" t="n"/>
      <c r="M173" s="736" t="n"/>
    </row>
    <row r="174">
      <c r="A174" s="71" t="inlineStr">
        <is>
          <t>중소기업</t>
        </is>
      </c>
      <c r="B174" s="793" t="n"/>
      <c r="C174" s="743" t="n"/>
      <c r="D174" s="736" t="n"/>
      <c r="E174" s="832" t="n"/>
      <c r="F174" s="736" t="n"/>
      <c r="G174" s="736" t="n"/>
      <c r="H174" s="736" t="n"/>
      <c r="I174" s="736" t="n"/>
      <c r="J174" s="833" t="n"/>
      <c r="K174" s="736" t="n"/>
      <c r="L174" s="834" t="n"/>
      <c r="M174" s="736" t="n"/>
    </row>
    <row r="175">
      <c r="A175" s="75" t="inlineStr">
        <is>
          <t>일자리창출실적</t>
        </is>
      </c>
      <c r="B175" s="793" t="n"/>
      <c r="C175" s="743" t="n"/>
      <c r="D175" s="736" t="n"/>
      <c r="E175" s="832" t="n"/>
      <c r="F175" s="736" t="n"/>
      <c r="G175" s="736" t="n"/>
      <c r="H175" s="736" t="n"/>
      <c r="I175" s="736" t="n"/>
      <c r="J175" s="833" t="n"/>
      <c r="K175" s="736" t="n"/>
      <c r="L175" s="834" t="n"/>
      <c r="M175" s="736" t="n"/>
    </row>
    <row r="176">
      <c r="A176" s="75" t="inlineStr">
        <is>
          <t>시공품질평가</t>
        </is>
      </c>
      <c r="B176" s="793" t="inlineStr">
        <is>
          <t>없음 (25.05.01)</t>
        </is>
      </c>
      <c r="C176" s="743" t="n"/>
      <c r="D176" s="736" t="n"/>
      <c r="E176" s="832" t="inlineStr">
        <is>
          <t>없음 (25.05.01)</t>
        </is>
      </c>
      <c r="F176" s="736" t="n"/>
      <c r="G176" s="736" t="n"/>
      <c r="H176" s="736" t="n"/>
      <c r="I176" s="736" t="n"/>
      <c r="J176" s="833" t="n"/>
      <c r="K176" s="736" t="n"/>
      <c r="L176" s="834" t="n"/>
      <c r="M176" s="736" t="n"/>
    </row>
    <row r="177" ht="22.5" customHeight="1" s="16">
      <c r="A177" s="71" t="inlineStr">
        <is>
          <t>비  고</t>
        </is>
      </c>
      <c r="B177" s="278" t="inlineStr">
        <is>
          <t>김희준</t>
        </is>
      </c>
      <c r="C177" s="370" t="inlineStr">
        <is>
          <t>조재진</t>
        </is>
      </c>
      <c r="D177" s="110" t="n"/>
      <c r="E177" s="148" t="n"/>
      <c r="F177" s="9" t="inlineStr">
        <is>
          <t>김강훈</t>
        </is>
      </c>
      <c r="G177" s="110" t="inlineStr">
        <is>
          <t>박충재</t>
        </is>
      </c>
      <c r="H177" s="1" t="inlineStr">
        <is>
          <t>조재진</t>
        </is>
      </c>
      <c r="I177" s="57" t="inlineStr">
        <is>
          <t>조재진
부정당 ~ 25.04.30</t>
        </is>
      </c>
      <c r="J177" s="441" t="inlineStr">
        <is>
          <t>조재진</t>
        </is>
      </c>
      <c r="K177" s="1" t="inlineStr">
        <is>
          <t>조동규</t>
        </is>
      </c>
      <c r="L177" s="695" t="inlineStr">
        <is>
          <t>윤명숙</t>
        </is>
      </c>
      <c r="M177" s="9" t="inlineStr">
        <is>
          <t>김강훈</t>
        </is>
      </c>
    </row>
    <row r="178" ht="26.1" customHeight="1" s="16">
      <c r="A178" s="455" t="inlineStr">
        <is>
          <t>회사명</t>
        </is>
      </c>
      <c r="B178" s="455" t="inlineStr">
        <is>
          <t>㈜우광이엔씨</t>
        </is>
      </c>
      <c r="C178" s="455" t="inlineStr">
        <is>
          <t>㈜비츠로이에스</t>
        </is>
      </c>
      <c r="D178" s="455" t="inlineStr">
        <is>
          <t>㈜현대종합기술</t>
        </is>
      </c>
      <c r="E178" s="455" t="inlineStr">
        <is>
          <t>㈜광원</t>
        </is>
      </c>
      <c r="F178" s="455" t="inlineStr">
        <is>
          <t>㈜계명</t>
        </is>
      </c>
      <c r="G178" s="455" t="inlineStr">
        <is>
          <t>㈜대운전설</t>
        </is>
      </c>
      <c r="H178" s="455" t="inlineStr">
        <is>
          <t xml:space="preserve">금동전기㈜ </t>
        </is>
      </c>
      <c r="I178" s="455" t="inlineStr">
        <is>
          <t>㈜동명이엔씨</t>
        </is>
      </c>
      <c r="J178" s="455" t="inlineStr">
        <is>
          <t>㈜케이피에스보안시스템</t>
        </is>
      </c>
      <c r="K178" s="455" t="inlineStr">
        <is>
          <t>㈜와치캠</t>
        </is>
      </c>
      <c r="L178" s="455" t="inlineStr">
        <is>
          <t>㈜화진티엔아이</t>
        </is>
      </c>
      <c r="M178" s="455" t="inlineStr">
        <is>
          <t>㈜서희건설</t>
        </is>
      </c>
    </row>
    <row r="179">
      <c r="A179" s="71" t="inlineStr">
        <is>
          <t>대표자</t>
        </is>
      </c>
      <c r="B179" s="825" t="inlineStr">
        <is>
          <t>김태현</t>
        </is>
      </c>
      <c r="C179" s="777" t="inlineStr">
        <is>
          <t>장택수</t>
        </is>
      </c>
      <c r="D179" s="1" t="inlineStr">
        <is>
          <t>한경화</t>
        </is>
      </c>
      <c r="E179" s="129" t="inlineStr">
        <is>
          <t>윤차숙</t>
        </is>
      </c>
      <c r="F179" s="1" t="inlineStr">
        <is>
          <t>이완용</t>
        </is>
      </c>
      <c r="G179" s="732" t="inlineStr">
        <is>
          <t>김지환</t>
        </is>
      </c>
      <c r="H179" s="752" t="inlineStr">
        <is>
          <t>김명자</t>
        </is>
      </c>
      <c r="I179" s="732" t="inlineStr">
        <is>
          <t>김현문</t>
        </is>
      </c>
      <c r="J179" s="732" t="inlineStr">
        <is>
          <t>박치만</t>
        </is>
      </c>
      <c r="K179" s="732" t="inlineStr">
        <is>
          <t>최지훈</t>
        </is>
      </c>
      <c r="L179" s="752" t="inlineStr">
        <is>
          <t>최영열</t>
        </is>
      </c>
      <c r="M179" s="106" t="inlineStr">
        <is>
          <t>김원철,김팔수</t>
        </is>
      </c>
    </row>
    <row r="180">
      <c r="A180" s="74" t="inlineStr">
        <is>
          <t>사업자번호</t>
        </is>
      </c>
      <c r="B180" s="438" t="inlineStr">
        <is>
          <t>144-81-08903</t>
        </is>
      </c>
      <c r="C180" s="106" t="inlineStr">
        <is>
          <t>263-88-01817</t>
        </is>
      </c>
      <c r="D180" s="1" t="inlineStr">
        <is>
          <t>404-81-30985</t>
        </is>
      </c>
      <c r="E180" s="130" t="inlineStr">
        <is>
          <t>774-87-02279</t>
        </is>
      </c>
      <c r="F180" s="5" t="inlineStr">
        <is>
          <t>124-81-52176</t>
        </is>
      </c>
      <c r="G180" s="4" t="inlineStr">
        <is>
          <t>128-81-66463</t>
        </is>
      </c>
      <c r="H180" s="54" t="inlineStr">
        <is>
          <t>540-88-00603</t>
        </is>
      </c>
      <c r="I180" s="4" t="inlineStr">
        <is>
          <t>123-81-63705</t>
        </is>
      </c>
      <c r="J180" s="4" t="inlineStr">
        <is>
          <t>140-81-39821</t>
        </is>
      </c>
      <c r="K180" s="4" t="inlineStr">
        <is>
          <t>130-86-74020</t>
        </is>
      </c>
      <c r="L180" s="54" t="inlineStr">
        <is>
          <t>220-87-32956</t>
        </is>
      </c>
      <c r="M180" s="106" t="inlineStr">
        <is>
          <t>220-81-19330</t>
        </is>
      </c>
    </row>
    <row r="181">
      <c r="A181" s="74" t="inlineStr">
        <is>
          <t>지역</t>
        </is>
      </c>
      <c r="B181" s="825" t="inlineStr">
        <is>
          <t>경기도 용인시</t>
        </is>
      </c>
      <c r="C181" s="777" t="inlineStr">
        <is>
          <t>경기도 안산시</t>
        </is>
      </c>
      <c r="D181" s="1" t="inlineStr">
        <is>
          <t>경기도 용인시</t>
        </is>
      </c>
      <c r="E181" s="129" t="inlineStr">
        <is>
          <t>경기도 광주시</t>
        </is>
      </c>
      <c r="F181" s="1" t="inlineStr">
        <is>
          <t>경기도 안양시</t>
        </is>
      </c>
      <c r="G181" s="732" t="inlineStr">
        <is>
          <t>경기도 파주시</t>
        </is>
      </c>
      <c r="H181" s="752" t="inlineStr">
        <is>
          <t>경기도 성남시</t>
        </is>
      </c>
      <c r="I181" s="732" t="inlineStr">
        <is>
          <t>경기도 부천시</t>
        </is>
      </c>
      <c r="J181" s="732" t="inlineStr">
        <is>
          <t>경기도 안산시</t>
        </is>
      </c>
      <c r="K181" s="732" t="inlineStr">
        <is>
          <t>경기도 부천시</t>
        </is>
      </c>
      <c r="L181" s="752" t="inlineStr">
        <is>
          <t>경기도 광주시</t>
        </is>
      </c>
      <c r="M181" s="106" t="inlineStr">
        <is>
          <t>경기도 성남시</t>
        </is>
      </c>
    </row>
    <row r="182">
      <c r="A182" s="71" t="inlineStr">
        <is>
          <t>통신시공능력</t>
        </is>
      </c>
      <c r="B182" s="742" t="n">
        <v>1979500000</v>
      </c>
      <c r="C182" s="777" t="n">
        <v>343200000</v>
      </c>
      <c r="D182" s="804" t="n">
        <v>793200000</v>
      </c>
      <c r="E182" s="835" t="n">
        <v>1286100000</v>
      </c>
      <c r="F182" s="732" t="n">
        <v>3529800000</v>
      </c>
      <c r="G182" s="732" t="n">
        <v>6397500000</v>
      </c>
      <c r="H182" s="752" t="n">
        <v>1316900000</v>
      </c>
      <c r="I182" s="732" t="n">
        <v>8982800000</v>
      </c>
      <c r="J182" s="732" t="n">
        <v>19614400000</v>
      </c>
      <c r="K182" s="732" t="n">
        <v>6823000000</v>
      </c>
      <c r="L182" s="752" t="n">
        <v>22056700000</v>
      </c>
      <c r="M182" s="777" t="n">
        <v>31054100000</v>
      </c>
    </row>
    <row r="183">
      <c r="A183" s="71" t="inlineStr">
        <is>
          <t>3년간 실적액</t>
        </is>
      </c>
      <c r="B183" s="742" t="n">
        <v>2496589000</v>
      </c>
      <c r="C183" s="777" t="n">
        <v>0</v>
      </c>
      <c r="D183" s="804" t="n">
        <v>75326000</v>
      </c>
      <c r="E183" s="835" t="n">
        <v>781586000</v>
      </c>
      <c r="F183" s="732" t="n">
        <v>4054526000</v>
      </c>
      <c r="G183" s="732" t="n">
        <v>5186107000</v>
      </c>
      <c r="H183" s="752" t="n">
        <v>1316900000</v>
      </c>
      <c r="I183" s="732" t="n">
        <v>10982162000</v>
      </c>
      <c r="J183" s="732" t="n">
        <v>35433355000</v>
      </c>
      <c r="K183" s="732" t="n">
        <v>10373465000</v>
      </c>
      <c r="L183" s="752" t="n">
        <v>35984117000</v>
      </c>
      <c r="M183" s="777" t="n">
        <v>59830628000</v>
      </c>
    </row>
    <row r="184">
      <c r="A184" s="71" t="inlineStr">
        <is>
          <t>5년간 실적액</t>
        </is>
      </c>
      <c r="B184" s="742" t="n">
        <v>3073303000</v>
      </c>
      <c r="C184" s="777" t="n">
        <v>0</v>
      </c>
      <c r="D184" s="804" t="n">
        <v>116598000</v>
      </c>
      <c r="E184" s="835" t="n">
        <v>781586000</v>
      </c>
      <c r="F184" s="732" t="n">
        <v>4720383000</v>
      </c>
      <c r="G184" s="732" t="n">
        <v>9215198000</v>
      </c>
      <c r="H184" s="752" t="n">
        <v>5739390000</v>
      </c>
      <c r="I184" s="732" t="n">
        <v>18851540000</v>
      </c>
      <c r="J184" s="732" t="n">
        <v>53244852000</v>
      </c>
      <c r="K184" s="732" t="n">
        <v>10627703000</v>
      </c>
      <c r="L184" s="752" t="n">
        <v>52044097000</v>
      </c>
      <c r="M184" s="777" t="n">
        <v>88802906000</v>
      </c>
    </row>
    <row r="185">
      <c r="A185" s="791" t="inlineStr">
        <is>
          <t>부채비율</t>
        </is>
      </c>
      <c r="B185" s="442" t="n">
        <v>0.9426000000000001</v>
      </c>
      <c r="C185" s="95" t="n">
        <v>2.523</v>
      </c>
      <c r="D185" s="2" t="n">
        <v>0.5991</v>
      </c>
      <c r="E185" s="131" t="n">
        <v>0.1799</v>
      </c>
      <c r="F185" s="2" t="n">
        <v>0.3024</v>
      </c>
      <c r="G185" s="2" t="n">
        <v>0.1824</v>
      </c>
      <c r="H185" s="10" t="n">
        <v>0.4063</v>
      </c>
      <c r="I185" s="2" t="n">
        <v>0.1385</v>
      </c>
      <c r="J185" s="2" t="n">
        <v>0.3104</v>
      </c>
      <c r="K185" s="66" t="n">
        <v>1.3814</v>
      </c>
      <c r="L185" s="10" t="n">
        <v>0.1019</v>
      </c>
      <c r="M185" s="95" t="n">
        <v>0.6512</v>
      </c>
      <c r="N185" s="750" t="n"/>
    </row>
    <row r="186">
      <c r="A186" s="791" t="inlineStr">
        <is>
          <t>유동비율</t>
        </is>
      </c>
      <c r="B186" s="443" t="n">
        <v>2.3435</v>
      </c>
      <c r="C186" s="95" t="n">
        <v>1.7092</v>
      </c>
      <c r="D186" s="2" t="n">
        <v>3.8232</v>
      </c>
      <c r="E186" s="131" t="n">
        <v>4.2664</v>
      </c>
      <c r="F186" s="2" t="n">
        <v>9.895200000000001</v>
      </c>
      <c r="G186" s="2" t="n">
        <v>4.4185</v>
      </c>
      <c r="H186" s="10" t="n">
        <v>6.2679</v>
      </c>
      <c r="I186" s="2" t="n">
        <v>31.1576</v>
      </c>
      <c r="J186" s="2" t="n">
        <v>3.7231</v>
      </c>
      <c r="K186" s="66" t="n">
        <v>2.0727</v>
      </c>
      <c r="L186" s="10" t="n">
        <v>7.3108</v>
      </c>
      <c r="M186" s="95" t="n">
        <v>1.8817</v>
      </c>
      <c r="N186" s="750" t="n"/>
    </row>
    <row r="187" ht="21" customHeight="1" s="16">
      <c r="A187" s="792" t="inlineStr">
        <is>
          <t>영업기간
공사업등록일</t>
        </is>
      </c>
      <c r="B187" s="440" t="inlineStr">
        <is>
          <t>2020.12.02</t>
        </is>
      </c>
      <c r="C187" s="98" t="inlineStr">
        <is>
          <t>2022.05.19</t>
        </is>
      </c>
      <c r="D187" s="2" t="inlineStr">
        <is>
          <t>2010.08.26</t>
        </is>
      </c>
      <c r="E187" s="132" t="inlineStr">
        <is>
          <t>2022.11.23</t>
        </is>
      </c>
      <c r="F187" s="67" t="inlineStr">
        <is>
          <t>2016.12.14</t>
        </is>
      </c>
      <c r="G187" s="67" t="inlineStr">
        <is>
          <t>1994.04.30</t>
        </is>
      </c>
      <c r="H187" s="11" t="inlineStr">
        <is>
          <t>2011.06.23</t>
        </is>
      </c>
      <c r="I187" s="67" t="inlineStr">
        <is>
          <t>2001.02.21</t>
        </is>
      </c>
      <c r="J187" s="67" t="inlineStr">
        <is>
          <t>2013.01.02</t>
        </is>
      </c>
      <c r="K187" s="67" t="inlineStr">
        <is>
          <t>2017.05.29</t>
        </is>
      </c>
      <c r="L187" s="11" t="inlineStr">
        <is>
          <t>2007.01.18</t>
        </is>
      </c>
      <c r="M187" s="111" t="inlineStr">
        <is>
          <t>2005.05.07</t>
        </is>
      </c>
    </row>
    <row r="188" ht="22.5" customHeight="1" s="16">
      <c r="A188" s="71" t="inlineStr">
        <is>
          <t>신용평가</t>
        </is>
      </c>
      <c r="B188" s="833" t="inlineStr">
        <is>
          <t>BBB+
(25.04.17~26.04.16)</t>
        </is>
      </c>
      <c r="C188" s="153" t="inlineStr">
        <is>
          <t>BB+
(24.06.28~25.06.27)</t>
        </is>
      </c>
      <c r="D188" s="736" t="n"/>
      <c r="E188" s="736" t="n"/>
      <c r="F188" s="153" t="inlineStr">
        <is>
          <t>BB+
(22.04.20~23.04.19)</t>
        </is>
      </c>
      <c r="G188" s="736" t="n"/>
      <c r="H188" s="736" t="n"/>
      <c r="I188" s="153" t="inlineStr">
        <is>
          <t>BB-
(22.04.15~23.04.14)</t>
        </is>
      </c>
      <c r="J188" s="153" t="inlineStr">
        <is>
          <t>BB+
(22.06.16~23.06.15)</t>
        </is>
      </c>
      <c r="K188" s="153" t="inlineStr">
        <is>
          <t>BBB0
(22.06.30~23.06.29)</t>
        </is>
      </c>
      <c r="L188" s="736" t="n"/>
      <c r="M188" s="160" t="inlineStr">
        <is>
          <t>AA+
(24.06.24~25.06.23)</t>
        </is>
      </c>
    </row>
    <row r="189">
      <c r="A189" s="71" t="inlineStr">
        <is>
          <t>여성기업</t>
        </is>
      </c>
      <c r="B189" s="833" t="n"/>
      <c r="C189" s="736" t="n"/>
      <c r="D189" s="736" t="n"/>
      <c r="E189" s="729" t="n"/>
      <c r="F189" s="55" t="n"/>
      <c r="G189" s="736" t="n"/>
      <c r="H189" s="736" t="n"/>
      <c r="I189" s="736" t="n"/>
      <c r="J189" s="736" t="n"/>
      <c r="K189" s="736" t="n"/>
      <c r="L189" s="736" t="n"/>
      <c r="M189" s="112" t="n"/>
    </row>
    <row r="190">
      <c r="A190" s="71" t="inlineStr">
        <is>
          <t>중소기업</t>
        </is>
      </c>
      <c r="B190" s="833" t="n"/>
      <c r="C190" s="736" t="n"/>
      <c r="D190" s="736" t="n"/>
      <c r="E190" s="729" t="n"/>
      <c r="F190" s="55" t="n"/>
      <c r="G190" s="736" t="n"/>
      <c r="H190" s="736" t="n"/>
      <c r="I190" s="736" t="n"/>
      <c r="J190" s="736" t="n"/>
      <c r="K190" s="736" t="n"/>
      <c r="L190" s="736" t="n"/>
      <c r="M190" s="112" t="n"/>
    </row>
    <row r="191">
      <c r="A191" s="75" t="inlineStr">
        <is>
          <t>일자리창출실적</t>
        </is>
      </c>
      <c r="B191" s="833" t="n"/>
      <c r="C191" s="736" t="n"/>
      <c r="D191" s="736" t="n"/>
      <c r="E191" s="729" t="n"/>
      <c r="F191" s="55" t="n"/>
      <c r="G191" s="736" t="n"/>
      <c r="H191" s="736" t="n"/>
      <c r="I191" s="736" t="n"/>
      <c r="J191" s="736" t="n"/>
      <c r="K191" s="736" t="n"/>
      <c r="L191" s="736" t="n"/>
      <c r="M191" s="112" t="n"/>
    </row>
    <row r="192">
      <c r="A192" s="75" t="inlineStr">
        <is>
          <t>시공품질평가</t>
        </is>
      </c>
      <c r="B192" s="833" t="n"/>
      <c r="C192" s="736" t="n"/>
      <c r="D192" s="736" t="n"/>
      <c r="E192" s="729" t="n"/>
      <c r="F192" s="55" t="n"/>
      <c r="G192" s="736" t="n"/>
      <c r="H192" s="736" t="n"/>
      <c r="I192" s="736" t="n"/>
      <c r="J192" s="736" t="n"/>
      <c r="K192" s="736" t="n"/>
      <c r="L192" s="736" t="n"/>
      <c r="M192" s="795" t="inlineStr">
        <is>
          <t>없음 (25.05.01)</t>
        </is>
      </c>
    </row>
    <row r="193" ht="33.75" customHeight="1" s="16">
      <c r="A193" s="71" t="inlineStr">
        <is>
          <t>비  고</t>
        </is>
      </c>
      <c r="B193" s="444" t="n"/>
      <c r="C193" s="93" t="inlineStr">
        <is>
          <t>윤명숙</t>
        </is>
      </c>
      <c r="D193" s="1" t="inlineStr">
        <is>
          <t>김용환</t>
        </is>
      </c>
      <c r="E193" s="129" t="inlineStr">
        <is>
          <t>윤명숙</t>
        </is>
      </c>
      <c r="F193" s="73" t="inlineStr">
        <is>
          <t>임정빈 상무</t>
        </is>
      </c>
      <c r="G193" s="1" t="inlineStr">
        <is>
          <t>구본진</t>
        </is>
      </c>
      <c r="H193" s="9" t="inlineStr">
        <is>
          <t>윤명숙</t>
        </is>
      </c>
      <c r="I193" s="1" t="inlineStr">
        <is>
          <t>박성균</t>
        </is>
      </c>
      <c r="J193" s="1" t="inlineStr">
        <is>
          <t>구본진</t>
        </is>
      </c>
      <c r="K193" s="73" t="inlineStr">
        <is>
          <t>구본진
중소기업확인서
(22.04.01~23.03.31)</t>
        </is>
      </c>
      <c r="L193" s="9" t="inlineStr">
        <is>
          <t>김명규</t>
        </is>
      </c>
      <c r="M193" s="113" t="inlineStr">
        <is>
          <t>유형민</t>
        </is>
      </c>
    </row>
    <row r="194" ht="26.1" customHeight="1" s="16">
      <c r="A194" s="455" t="inlineStr">
        <is>
          <t>회사명</t>
        </is>
      </c>
      <c r="B194" s="455" t="inlineStr">
        <is>
          <t>㈜대상파워텍</t>
        </is>
      </c>
      <c r="C194" s="455" t="inlineStr">
        <is>
          <t>봉등전기㈜</t>
        </is>
      </c>
      <c r="D194" s="455" t="inlineStr">
        <is>
          <t>오경이에스티㈜</t>
        </is>
      </c>
      <c r="E194" s="455" t="inlineStr">
        <is>
          <t>혜윰이엔씨㈜</t>
        </is>
      </c>
      <c r="F194" s="455" t="inlineStr">
        <is>
          <t>금강산업㈜</t>
        </is>
      </c>
      <c r="G194" s="455" t="inlineStr">
        <is>
          <t>㈜극동이앤씨</t>
        </is>
      </c>
      <c r="H194" s="455" t="inlineStr">
        <is>
          <t>우리전력㈜</t>
        </is>
      </c>
      <c r="I194" s="455" t="inlineStr">
        <is>
          <t>㈜신화전공</t>
        </is>
      </c>
      <c r="J194" s="455" t="n"/>
      <c r="K194" s="455" t="inlineStr">
        <is>
          <t>일메테크㈜</t>
        </is>
      </c>
      <c r="L194" s="455" t="inlineStr">
        <is>
          <t>㈜유리시스템즈</t>
        </is>
      </c>
      <c r="M194" s="455" t="inlineStr">
        <is>
          <t>㈜한신이엔씨</t>
        </is>
      </c>
    </row>
    <row r="195">
      <c r="A195" s="71" t="inlineStr">
        <is>
          <t>대표자</t>
        </is>
      </c>
      <c r="B195" s="752" t="inlineStr">
        <is>
          <t>김형석</t>
        </is>
      </c>
      <c r="C195" s="752" t="inlineStr">
        <is>
          <t>정기선</t>
        </is>
      </c>
      <c r="D195" s="93" t="inlineStr">
        <is>
          <t>김영광</t>
        </is>
      </c>
      <c r="E195" s="9" t="inlineStr">
        <is>
          <t>윤한봉</t>
        </is>
      </c>
      <c r="F195" s="752" t="inlineStr">
        <is>
          <t>김유현</t>
        </is>
      </c>
      <c r="G195" s="752" t="inlineStr">
        <is>
          <t>국동성</t>
        </is>
      </c>
      <c r="H195" s="752" t="inlineStr">
        <is>
          <t>최성학</t>
        </is>
      </c>
      <c r="I195" s="9" t="inlineStr">
        <is>
          <t>최형진</t>
        </is>
      </c>
      <c r="J195" s="732" t="n"/>
      <c r="K195" s="752" t="inlineStr">
        <is>
          <t>김대성</t>
        </is>
      </c>
      <c r="L195" s="762" t="inlineStr">
        <is>
          <t>김하나</t>
        </is>
      </c>
      <c r="M195" s="106" t="inlineStr">
        <is>
          <t>한완수</t>
        </is>
      </c>
    </row>
    <row r="196">
      <c r="A196" s="74" t="inlineStr">
        <is>
          <t>사업자번호</t>
        </is>
      </c>
      <c r="B196" s="54" t="inlineStr">
        <is>
          <t>142-81-72845</t>
        </is>
      </c>
      <c r="C196" s="752" t="inlineStr">
        <is>
          <t>111-81-11994</t>
        </is>
      </c>
      <c r="D196" s="93" t="inlineStr">
        <is>
          <t>657-86-02002</t>
        </is>
      </c>
      <c r="E196" s="59" t="inlineStr">
        <is>
          <t>213-87-02304</t>
        </is>
      </c>
      <c r="F196" s="54" t="inlineStr">
        <is>
          <t>138-81-04843</t>
        </is>
      </c>
      <c r="G196" s="54" t="inlineStr">
        <is>
          <t>551-88-02256</t>
        </is>
      </c>
      <c r="H196" s="54" t="inlineStr">
        <is>
          <t>126-81-75947</t>
        </is>
      </c>
      <c r="I196" s="9" t="inlineStr">
        <is>
          <t>135-81-74490</t>
        </is>
      </c>
      <c r="J196" s="707" t="n"/>
      <c r="K196" s="54" t="inlineStr">
        <is>
          <t>214-87-07544</t>
        </is>
      </c>
      <c r="L196" s="197" t="inlineStr">
        <is>
          <t>305-81-91201</t>
        </is>
      </c>
      <c r="M196" s="106" t="inlineStr">
        <is>
          <t>626-87-00953</t>
        </is>
      </c>
    </row>
    <row r="197">
      <c r="A197" s="74" t="inlineStr">
        <is>
          <t>지역</t>
        </is>
      </c>
      <c r="B197" s="752" t="inlineStr">
        <is>
          <t>경기도 평택시</t>
        </is>
      </c>
      <c r="C197" s="752" t="inlineStr">
        <is>
          <t>경기도 고양시</t>
        </is>
      </c>
      <c r="D197" s="93" t="inlineStr">
        <is>
          <t>경기도 고양시</t>
        </is>
      </c>
      <c r="E197" s="9" t="inlineStr">
        <is>
          <t>경기도 성남시</t>
        </is>
      </c>
      <c r="F197" s="752" t="inlineStr">
        <is>
          <t>경기도 과천시</t>
        </is>
      </c>
      <c r="G197" s="752" t="inlineStr">
        <is>
          <t>경기도 평택시</t>
        </is>
      </c>
      <c r="H197" s="752" t="inlineStr">
        <is>
          <t>경기도 하남시</t>
        </is>
      </c>
      <c r="I197" s="9" t="inlineStr">
        <is>
          <t>경기도 고양시</t>
        </is>
      </c>
      <c r="J197" s="732" t="n"/>
      <c r="K197" s="752" t="inlineStr">
        <is>
          <t>경기도 수원시</t>
        </is>
      </c>
      <c r="L197" s="762" t="inlineStr">
        <is>
          <t>경기도 과천시</t>
        </is>
      </c>
      <c r="M197" s="106" t="inlineStr">
        <is>
          <t>경기도 성남시</t>
        </is>
      </c>
    </row>
    <row r="198">
      <c r="A198" s="71" t="inlineStr">
        <is>
          <t>통신시공능력</t>
        </is>
      </c>
      <c r="B198" s="752" t="n">
        <v>1488700000</v>
      </c>
      <c r="C198" s="752" t="n">
        <v>1777100000</v>
      </c>
      <c r="D198" s="815" t="n">
        <v>7010300000</v>
      </c>
      <c r="E198" s="752" t="n">
        <v>17025100000</v>
      </c>
      <c r="F198" s="752" t="n">
        <v>19306300000</v>
      </c>
      <c r="G198" s="752" t="n">
        <v>1689900000</v>
      </c>
      <c r="H198" s="752" t="n">
        <v>570000000</v>
      </c>
      <c r="I198" s="752" t="n">
        <v>10134600000</v>
      </c>
      <c r="J198" s="836" t="n"/>
      <c r="K198" s="752" t="n">
        <v>10290800000</v>
      </c>
      <c r="L198" s="764" t="n">
        <v>2453600000</v>
      </c>
      <c r="M198" s="777" t="n">
        <v>985800000</v>
      </c>
    </row>
    <row r="199">
      <c r="A199" s="71" t="inlineStr">
        <is>
          <t>3년간 실적액</t>
        </is>
      </c>
      <c r="B199" s="752" t="n">
        <v>1640599000</v>
      </c>
      <c r="C199" s="752" t="n">
        <v>2101536000</v>
      </c>
      <c r="D199" s="815" t="n">
        <v>11260279000</v>
      </c>
      <c r="E199" s="752" t="n">
        <v>33378644000</v>
      </c>
      <c r="F199" s="752" t="n">
        <v>30451438000</v>
      </c>
      <c r="G199" s="752" t="n">
        <v>1277255000</v>
      </c>
      <c r="H199" s="752" t="n">
        <v>53784000</v>
      </c>
      <c r="I199" s="752" t="n">
        <v>16435215000</v>
      </c>
      <c r="J199" s="836" t="n"/>
      <c r="K199" s="752" t="n">
        <v>19416380000</v>
      </c>
      <c r="L199" s="764" t="n">
        <v>1423965000</v>
      </c>
      <c r="M199" s="777" t="n">
        <v>380270000</v>
      </c>
    </row>
    <row r="200">
      <c r="A200" s="71" t="inlineStr">
        <is>
          <t>5년간 실적액</t>
        </is>
      </c>
      <c r="B200" s="752" t="n">
        <v>4040814000</v>
      </c>
      <c r="C200" s="752" t="n">
        <v>4247414000</v>
      </c>
      <c r="D200" s="815" t="n">
        <v>20377673000</v>
      </c>
      <c r="E200" s="752" t="n">
        <v>57888379000</v>
      </c>
      <c r="F200" s="752" t="n">
        <v>51248124000</v>
      </c>
      <c r="G200" s="752" t="n">
        <v>1696353000</v>
      </c>
      <c r="H200" s="752" t="n">
        <v>244068000</v>
      </c>
      <c r="I200" s="752" t="n">
        <v>23017315000</v>
      </c>
      <c r="J200" s="836" t="n"/>
      <c r="K200" s="752" t="n">
        <v>23531583000</v>
      </c>
      <c r="L200" s="764" t="n">
        <v>2864143000</v>
      </c>
      <c r="M200" s="777" t="n">
        <v>380270000</v>
      </c>
    </row>
    <row r="201">
      <c r="A201" s="791" t="inlineStr">
        <is>
          <t>부채비율</t>
        </is>
      </c>
      <c r="B201" s="10" t="n">
        <v>0.2995</v>
      </c>
      <c r="C201" s="47" t="n">
        <v>0.6282</v>
      </c>
      <c r="D201" s="101" t="n">
        <v>0.1294</v>
      </c>
      <c r="E201" s="10" t="n">
        <v>0.1618</v>
      </c>
      <c r="F201" s="10" t="n">
        <v>0.2334</v>
      </c>
      <c r="G201" s="10" t="n">
        <v>0.1597</v>
      </c>
      <c r="H201" s="10" t="n">
        <v>0.2051</v>
      </c>
      <c r="I201" s="47" t="n">
        <v>0.454</v>
      </c>
      <c r="J201" s="709" t="n"/>
      <c r="K201" s="47" t="n">
        <v>0.5485</v>
      </c>
      <c r="L201" s="198" t="n">
        <v>0.4041</v>
      </c>
      <c r="M201" s="97" t="n">
        <v>0.2556</v>
      </c>
    </row>
    <row r="202">
      <c r="A202" s="791" t="inlineStr">
        <is>
          <t>유동비율</t>
        </is>
      </c>
      <c r="B202" s="10" t="n">
        <v>14.3938</v>
      </c>
      <c r="C202" s="47" t="n">
        <v>7.2388</v>
      </c>
      <c r="D202" s="101" t="n">
        <v>7.8797</v>
      </c>
      <c r="E202" s="10" t="n">
        <v>5.575</v>
      </c>
      <c r="F202" s="10" t="n">
        <v>4.1644</v>
      </c>
      <c r="G202" s="10" t="n">
        <v>3.1424</v>
      </c>
      <c r="H202" s="10" t="n">
        <v>2.6395</v>
      </c>
      <c r="I202" s="10" t="n">
        <v>11.724</v>
      </c>
      <c r="J202" s="710" t="n"/>
      <c r="K202" s="47" t="n">
        <v>2.8458</v>
      </c>
      <c r="L202" s="198" t="n">
        <v>3.6896</v>
      </c>
      <c r="M202" s="101" t="n">
        <v>3.9364</v>
      </c>
    </row>
    <row r="203" ht="21" customHeight="1" s="16">
      <c r="A203" s="792" t="inlineStr">
        <is>
          <t>영업기간
공사업등록일</t>
        </is>
      </c>
      <c r="B203" s="11" t="inlineStr">
        <is>
          <t>2012.03.05</t>
        </is>
      </c>
      <c r="C203" s="11" t="inlineStr">
        <is>
          <t>2002.12.20</t>
        </is>
      </c>
      <c r="D203" s="101" t="inlineStr">
        <is>
          <t>1991.10.17</t>
        </is>
      </c>
      <c r="E203" s="11" t="inlineStr">
        <is>
          <t>2015.05.04</t>
        </is>
      </c>
      <c r="F203" s="11" t="inlineStr">
        <is>
          <t>1986.01.24</t>
        </is>
      </c>
      <c r="G203" s="11" t="inlineStr">
        <is>
          <t>2002.04.16</t>
        </is>
      </c>
      <c r="H203" s="11" t="inlineStr">
        <is>
          <t>2005.09.15</t>
        </is>
      </c>
      <c r="I203" s="11" t="inlineStr">
        <is>
          <t>2017.05.08</t>
        </is>
      </c>
      <c r="J203" s="67" t="n"/>
      <c r="K203" s="11" t="inlineStr">
        <is>
          <t>2007.04.18</t>
        </is>
      </c>
      <c r="L203" s="208" t="inlineStr">
        <is>
          <t>2008.03.31</t>
        </is>
      </c>
      <c r="M203" s="111" t="inlineStr">
        <is>
          <t>2022.08.05</t>
        </is>
      </c>
    </row>
    <row r="204" ht="22.5" customHeight="1" s="16">
      <c r="A204" s="71" t="inlineStr">
        <is>
          <t>신용평가</t>
        </is>
      </c>
      <c r="B204" s="736" t="n"/>
      <c r="C204" s="153" t="inlineStr">
        <is>
          <t>BBB-
(23.04.07~24.04.06)</t>
        </is>
      </c>
      <c r="D204" s="725" t="inlineStr">
        <is>
          <t>BB0
(23.05.31~24.05.30)</t>
        </is>
      </c>
      <c r="E204" s="725" t="inlineStr">
        <is>
          <t>BB0
(23.06.20~24.06.19)</t>
        </is>
      </c>
      <c r="F204" s="725" t="inlineStr">
        <is>
          <t>A-
(23.06.02~24.06.01)</t>
        </is>
      </c>
      <c r="G204" s="736" t="n"/>
      <c r="H204" s="49" t="n"/>
      <c r="I204" s="725" t="inlineStr">
        <is>
          <t>BBB-
(23.04.10~24.04.09)</t>
        </is>
      </c>
      <c r="J204" s="786" t="n"/>
      <c r="K204" s="153" t="inlineStr">
        <is>
          <t>BBB+
(23.04.27~24.04.26)</t>
        </is>
      </c>
      <c r="L204" s="736" t="n"/>
      <c r="M204" s="725" t="inlineStr">
        <is>
          <t>BB0
(24.03.29~25.03.28)</t>
        </is>
      </c>
    </row>
    <row r="205">
      <c r="A205" s="71" t="inlineStr">
        <is>
          <t>여성기업</t>
        </is>
      </c>
      <c r="B205" s="736" t="n"/>
      <c r="C205" s="112" t="n"/>
      <c r="D205" s="736" t="n"/>
      <c r="E205" s="55" t="n"/>
      <c r="F205" s="736" t="n"/>
      <c r="G205" s="736" t="n"/>
      <c r="H205" s="736" t="n"/>
      <c r="I205" s="49" t="n"/>
      <c r="J205" s="786" t="n"/>
      <c r="K205" s="736" t="n"/>
      <c r="L205" s="721" t="n"/>
      <c r="M205" s="112" t="n"/>
    </row>
    <row r="206">
      <c r="A206" s="71" t="inlineStr">
        <is>
          <t>중소기업</t>
        </is>
      </c>
      <c r="B206" s="736" t="n"/>
      <c r="C206" s="112" t="n"/>
      <c r="D206" s="736" t="n"/>
      <c r="E206" s="55" t="n"/>
      <c r="F206" s="736" t="n"/>
      <c r="G206" s="736" t="n"/>
      <c r="H206" s="736" t="n"/>
      <c r="I206" s="49" t="n"/>
      <c r="J206" s="786" t="n"/>
      <c r="K206" s="736" t="n"/>
      <c r="L206" s="721" t="n"/>
      <c r="M206" s="112" t="n"/>
    </row>
    <row r="207">
      <c r="A207" s="75" t="inlineStr">
        <is>
          <t>일자리창출실적</t>
        </is>
      </c>
      <c r="B207" s="736" t="n"/>
      <c r="C207" s="112" t="n"/>
      <c r="D207" s="736" t="n"/>
      <c r="E207" s="55" t="n"/>
      <c r="F207" s="736" t="n"/>
      <c r="G207" s="736" t="n"/>
      <c r="H207" s="736" t="n"/>
      <c r="I207" s="49" t="n"/>
      <c r="J207" s="786" t="n"/>
      <c r="K207" s="736" t="n"/>
      <c r="L207" s="721" t="n"/>
      <c r="M207" s="112" t="n"/>
    </row>
    <row r="208">
      <c r="A208" s="75" t="inlineStr">
        <is>
          <t>시공품질평가</t>
        </is>
      </c>
      <c r="B208" s="736" t="n"/>
      <c r="C208" s="112" t="n"/>
      <c r="D208" s="736" t="n"/>
      <c r="E208" s="55" t="n"/>
      <c r="F208" s="736" t="n"/>
      <c r="G208" s="736" t="n"/>
      <c r="H208" s="736" t="n"/>
      <c r="I208" s="49" t="n"/>
      <c r="J208" s="711" t="n"/>
      <c r="K208" s="736" t="n"/>
      <c r="L208" s="721" t="n"/>
      <c r="M208" s="112" t="n"/>
    </row>
    <row r="209">
      <c r="A209" s="71" t="inlineStr">
        <is>
          <t>비  고</t>
        </is>
      </c>
      <c r="B209" s="9" t="inlineStr">
        <is>
          <t>구본진</t>
        </is>
      </c>
      <c r="C209" s="114" t="inlineStr">
        <is>
          <t>구본진</t>
        </is>
      </c>
      <c r="D209" s="93" t="inlineStr">
        <is>
          <t>홍정구</t>
        </is>
      </c>
      <c r="E209" s="57" t="inlineStr">
        <is>
          <t>윤한봉</t>
        </is>
      </c>
      <c r="F209" s="9" t="inlineStr">
        <is>
          <t>구본진</t>
        </is>
      </c>
      <c r="G209" s="9" t="inlineStr">
        <is>
          <t>구본진</t>
        </is>
      </c>
      <c r="H209" s="9" t="inlineStr">
        <is>
          <t>구본진</t>
        </is>
      </c>
      <c r="I209" s="9" t="inlineStr">
        <is>
          <t>주용건</t>
        </is>
      </c>
      <c r="J209" s="1" t="n"/>
      <c r="K209" s="57" t="inlineStr">
        <is>
          <t>김희준</t>
        </is>
      </c>
      <c r="L209" s="202" t="inlineStr">
        <is>
          <t>김기성</t>
        </is>
      </c>
      <c r="M209" s="113" t="inlineStr">
        <is>
          <t>송종윤</t>
        </is>
      </c>
    </row>
    <row r="210" ht="26.1" customHeight="1" s="16">
      <c r="A210" s="455" t="inlineStr">
        <is>
          <t>회사명</t>
        </is>
      </c>
      <c r="B210" s="455" t="n"/>
      <c r="C210" s="455" t="inlineStr">
        <is>
          <t>㈜다현정보통신</t>
        </is>
      </c>
      <c r="D210" s="455" t="inlineStr">
        <is>
          <t>㈜정석</t>
        </is>
      </c>
      <c r="E210" s="455" t="inlineStr">
        <is>
          <t>㈜해솔이에프씨</t>
        </is>
      </c>
      <c r="F210" s="455" t="inlineStr">
        <is>
          <t>청강전기㈜</t>
        </is>
      </c>
      <c r="G210" s="455" t="inlineStr">
        <is>
          <t>㈜솔루윈</t>
        </is>
      </c>
      <c r="H210" s="455" t="inlineStr">
        <is>
          <t>㈜가온테크</t>
        </is>
      </c>
      <c r="I210" s="455" t="inlineStr">
        <is>
          <t>㈜개성건설</t>
        </is>
      </c>
      <c r="J210" s="455" t="inlineStr">
        <is>
          <t>㈜경원</t>
        </is>
      </c>
      <c r="K210" s="455" t="inlineStr">
        <is>
          <t>㈜지구정보기술</t>
        </is>
      </c>
      <c r="L210" s="455" t="inlineStr">
        <is>
          <t>㈜다온누리</t>
        </is>
      </c>
      <c r="M210" s="455" t="inlineStr">
        <is>
          <t>㈜에쓰엔씨정보기술</t>
        </is>
      </c>
    </row>
    <row r="211">
      <c r="A211" s="71" t="inlineStr">
        <is>
          <t>대표자</t>
        </is>
      </c>
      <c r="B211" s="732" t="n"/>
      <c r="C211" s="777" t="inlineStr">
        <is>
          <t>정지혜</t>
        </is>
      </c>
      <c r="D211" s="312" t="inlineStr">
        <is>
          <t>신대철</t>
        </is>
      </c>
      <c r="E211" s="93" t="inlineStr">
        <is>
          <t>정인경</t>
        </is>
      </c>
      <c r="F211" s="777" t="inlineStr">
        <is>
          <t>최매순</t>
        </is>
      </c>
      <c r="G211" s="837" t="inlineStr">
        <is>
          <t>박부삼</t>
        </is>
      </c>
      <c r="H211" s="838" t="inlineStr">
        <is>
          <t>장양순</t>
        </is>
      </c>
      <c r="I211" s="129" t="inlineStr">
        <is>
          <t>박형국</t>
        </is>
      </c>
      <c r="J211" s="752" t="inlineStr">
        <is>
          <t>안귀영</t>
        </is>
      </c>
      <c r="K211" s="777" t="inlineStr">
        <is>
          <t>조남성</t>
        </is>
      </c>
      <c r="L211" s="777" t="inlineStr">
        <is>
          <t>허경만</t>
        </is>
      </c>
      <c r="M211" s="211" t="inlineStr">
        <is>
          <t>조필호</t>
        </is>
      </c>
    </row>
    <row r="212">
      <c r="A212" s="74" t="inlineStr">
        <is>
          <t>사업자번호</t>
        </is>
      </c>
      <c r="B212" s="696" t="n"/>
      <c r="C212" s="777" t="inlineStr">
        <is>
          <t>125-81-63128</t>
        </is>
      </c>
      <c r="D212" s="313" t="inlineStr">
        <is>
          <t>688-88-00486</t>
        </is>
      </c>
      <c r="E212" s="109" t="inlineStr">
        <is>
          <t>713-86-01303</t>
        </is>
      </c>
      <c r="F212" s="106" t="inlineStr">
        <is>
          <t>120-86-9541</t>
        </is>
      </c>
      <c r="G212" s="138" t="inlineStr">
        <is>
          <t>129-86-65195</t>
        </is>
      </c>
      <c r="H212" s="361" t="inlineStr">
        <is>
          <t>127-86-12810</t>
        </is>
      </c>
      <c r="I212" s="130" t="inlineStr">
        <is>
          <t>110-81-31639</t>
        </is>
      </c>
      <c r="J212" s="54" t="inlineStr">
        <is>
          <t>129-81-48041</t>
        </is>
      </c>
      <c r="K212" s="106" t="inlineStr">
        <is>
          <t>128-81-65066</t>
        </is>
      </c>
      <c r="L212" s="106" t="inlineStr">
        <is>
          <t>119-81-80947</t>
        </is>
      </c>
      <c r="M212" s="210" t="inlineStr">
        <is>
          <t>138-81-38998</t>
        </is>
      </c>
    </row>
    <row r="213">
      <c r="A213" s="74" t="inlineStr">
        <is>
          <t>지역</t>
        </is>
      </c>
      <c r="B213" s="732" t="n"/>
      <c r="C213" s="777" t="inlineStr">
        <is>
          <t>경기도 평택시</t>
        </is>
      </c>
      <c r="D213" s="312" t="inlineStr">
        <is>
          <t>경기도 하남시</t>
        </is>
      </c>
      <c r="E213" s="93" t="inlineStr">
        <is>
          <t>경기도 광명시</t>
        </is>
      </c>
      <c r="F213" s="777" t="inlineStr">
        <is>
          <t>경기도 성남시</t>
        </is>
      </c>
      <c r="G213" s="837" t="inlineStr">
        <is>
          <t>경기도 용인시</t>
        </is>
      </c>
      <c r="H213" s="838" t="inlineStr">
        <is>
          <t>경기도 양주시</t>
        </is>
      </c>
      <c r="I213" s="129" t="inlineStr">
        <is>
          <t>경기도 안양시</t>
        </is>
      </c>
      <c r="J213" s="752" t="inlineStr">
        <is>
          <t>경기도 양평군</t>
        </is>
      </c>
      <c r="K213" s="777" t="inlineStr">
        <is>
          <t>경기도 부천시</t>
        </is>
      </c>
      <c r="L213" s="777" t="inlineStr">
        <is>
          <t>경기도 광명시</t>
        </is>
      </c>
      <c r="M213" s="211" t="inlineStr">
        <is>
          <t>경기도 안양시</t>
        </is>
      </c>
    </row>
    <row r="214">
      <c r="A214" s="71" t="inlineStr">
        <is>
          <t>통신시공능력</t>
        </is>
      </c>
      <c r="B214" s="839" t="n"/>
      <c r="C214" s="777" t="n">
        <v>5523200000</v>
      </c>
      <c r="D214" s="840" t="n">
        <v>1689600000</v>
      </c>
      <c r="E214" s="777" t="n">
        <v>3655000000</v>
      </c>
      <c r="F214" s="777" t="n">
        <v>626100000</v>
      </c>
      <c r="G214" s="714" t="n">
        <v>9077600000</v>
      </c>
      <c r="H214" s="841" t="n">
        <v>3723800000</v>
      </c>
      <c r="I214" s="714" t="n">
        <v>3990700000</v>
      </c>
      <c r="J214" s="752" t="n">
        <v>1521000000</v>
      </c>
      <c r="K214" s="777" t="n">
        <v>5631400000</v>
      </c>
      <c r="L214" s="777" t="n">
        <v>3892900000</v>
      </c>
      <c r="M214" s="770" t="n">
        <v>8501300000</v>
      </c>
    </row>
    <row r="215">
      <c r="A215" s="71" t="inlineStr">
        <is>
          <t>3년간 실적액</t>
        </is>
      </c>
      <c r="B215" s="839" t="n"/>
      <c r="C215" s="777" t="n">
        <v>4994231000</v>
      </c>
      <c r="D215" s="840" t="n">
        <v>2483523000</v>
      </c>
      <c r="E215" s="777" t="n">
        <v>5152000000</v>
      </c>
      <c r="F215" s="777" t="n">
        <v>67237000</v>
      </c>
      <c r="G215" s="714" t="n">
        <v>11751756000</v>
      </c>
      <c r="H215" s="841" t="n">
        <v>1579062000</v>
      </c>
      <c r="I215" s="714" t="n">
        <v>2871000000</v>
      </c>
      <c r="J215" s="752" t="n">
        <v>1409238000</v>
      </c>
      <c r="K215" s="777" t="n">
        <v>6567427000</v>
      </c>
      <c r="L215" s="777" t="n">
        <v>2441053000</v>
      </c>
      <c r="M215" s="770" t="n">
        <v>14066781000</v>
      </c>
    </row>
    <row r="216">
      <c r="A216" s="71" t="inlineStr">
        <is>
          <t>5년간 실적액</t>
        </is>
      </c>
      <c r="B216" s="839" t="n"/>
      <c r="C216" s="777" t="n">
        <v>7976837000</v>
      </c>
      <c r="D216" s="840" t="n">
        <v>8055500000</v>
      </c>
      <c r="E216" s="777" t="n">
        <v>6395000000</v>
      </c>
      <c r="F216" s="777" t="n">
        <v>103467000</v>
      </c>
      <c r="G216" s="714" t="n">
        <v>17108976000</v>
      </c>
      <c r="H216" s="841" t="n">
        <v>2972790000</v>
      </c>
      <c r="I216" s="714" t="n">
        <v>2871000000</v>
      </c>
      <c r="J216" s="752" t="n">
        <v>1626927000</v>
      </c>
      <c r="K216" s="777" t="n">
        <v>11191156000</v>
      </c>
      <c r="L216" s="777" t="n">
        <v>4114414000</v>
      </c>
      <c r="M216" s="770" t="n">
        <v>17599269000</v>
      </c>
    </row>
    <row r="217">
      <c r="A217" s="791" t="inlineStr">
        <is>
          <t>부채비율</t>
        </is>
      </c>
      <c r="B217" s="698" t="n"/>
      <c r="C217" s="97" t="n">
        <v>0.0214</v>
      </c>
      <c r="D217" s="314" t="n">
        <v>0.8734999999999999</v>
      </c>
      <c r="E217" s="101" t="n">
        <v>0.3899</v>
      </c>
      <c r="F217" s="101" t="n">
        <v>0.0444</v>
      </c>
      <c r="G217" s="131" t="n">
        <v>0.2334</v>
      </c>
      <c r="H217" s="362" t="n">
        <v>1.1493</v>
      </c>
      <c r="I217" s="140" t="n">
        <v>3.6727</v>
      </c>
      <c r="J217" s="47" t="n">
        <v>0.4659</v>
      </c>
      <c r="K217" s="95" t="n">
        <v>1.6388</v>
      </c>
      <c r="L217" s="101" t="n">
        <v>0.1406</v>
      </c>
      <c r="M217" s="216" t="n">
        <v>2.778</v>
      </c>
    </row>
    <row r="218">
      <c r="A218" s="791" t="inlineStr">
        <is>
          <t>유동비율</t>
        </is>
      </c>
      <c r="B218" s="698" t="n"/>
      <c r="C218" s="97" t="n">
        <v>42.3227</v>
      </c>
      <c r="D218" s="314" t="n">
        <v>1.78</v>
      </c>
      <c r="E218" s="101" t="n">
        <v>9.229799999999999</v>
      </c>
      <c r="F218" s="101" t="n">
        <v>14.7456</v>
      </c>
      <c r="G218" s="131" t="n">
        <v>3.57</v>
      </c>
      <c r="H218" s="354" t="n">
        <v>3.7015</v>
      </c>
      <c r="I218" s="131" t="n">
        <v>5.445</v>
      </c>
      <c r="J218" s="47" t="n">
        <v>5.5155</v>
      </c>
      <c r="K218" s="95" t="n">
        <v>2.0113</v>
      </c>
      <c r="L218" s="101" t="n">
        <v>7.1962</v>
      </c>
      <c r="M218" s="217" t="n">
        <v>5.0508</v>
      </c>
    </row>
    <row r="219" ht="21" customHeight="1" s="16">
      <c r="A219" s="792" t="inlineStr">
        <is>
          <t>영업기간
공사업등록일</t>
        </is>
      </c>
      <c r="B219" s="67" t="n"/>
      <c r="C219" s="98" t="inlineStr">
        <is>
          <t>2007.03.30</t>
        </is>
      </c>
      <c r="D219" s="315" t="inlineStr">
        <is>
          <t>1991.11.05</t>
        </is>
      </c>
      <c r="E219" s="98" t="inlineStr">
        <is>
          <t>2019.06.25</t>
        </is>
      </c>
      <c r="F219" s="98" t="inlineStr">
        <is>
          <t>2011.05.06</t>
        </is>
      </c>
      <c r="G219" s="133" t="inlineStr">
        <is>
          <t>2011.10.13</t>
        </is>
      </c>
      <c r="H219" s="358" t="inlineStr">
        <is>
          <t>2011.10.17</t>
        </is>
      </c>
      <c r="I219" s="133" t="inlineStr">
        <is>
          <t>2022.05.20</t>
        </is>
      </c>
      <c r="J219" s="11" t="inlineStr">
        <is>
          <t>2013.06.27</t>
        </is>
      </c>
      <c r="K219" s="98" t="inlineStr">
        <is>
          <t>2002.08.07</t>
        </is>
      </c>
      <c r="L219" s="98" t="inlineStr">
        <is>
          <t>1999.04.16</t>
        </is>
      </c>
      <c r="M219" s="220" t="inlineStr">
        <is>
          <t>2011.04.20</t>
        </is>
      </c>
    </row>
    <row r="220" ht="22.5" customHeight="1" s="16">
      <c r="A220" s="71" t="inlineStr">
        <is>
          <t>신용평가</t>
        </is>
      </c>
      <c r="B220" s="786" t="n"/>
      <c r="C220" s="49" t="n"/>
      <c r="D220" s="842" t="inlineStr">
        <is>
          <t>BB0
(25.04.11~26.04.10)</t>
        </is>
      </c>
      <c r="E220" s="736" t="n"/>
      <c r="F220" s="736" t="n"/>
      <c r="G220" s="833" t="inlineStr">
        <is>
          <t>BB0
(25.04.24~26.04.23)</t>
        </is>
      </c>
      <c r="H220" s="725" t="inlineStr">
        <is>
          <t>BB0
(24.05.10~25.05.09)</t>
        </is>
      </c>
      <c r="I220" s="800" t="inlineStr">
        <is>
          <t>BBB-
(25.06.12~26.06.11)</t>
        </is>
      </c>
      <c r="J220" s="736" t="n"/>
      <c r="K220" s="725" t="inlineStr">
        <is>
          <t>B-
(24.05.02~25.05.01)</t>
        </is>
      </c>
      <c r="L220" s="736" t="n"/>
      <c r="M220" s="833" t="inlineStr">
        <is>
          <t>BB0
(25.06.27~26.06.26)</t>
        </is>
      </c>
    </row>
    <row r="221">
      <c r="A221" s="71" t="inlineStr">
        <is>
          <t>여성기업</t>
        </is>
      </c>
      <c r="B221" s="786" t="n"/>
      <c r="C221" s="112" t="n"/>
      <c r="D221" s="843" t="n"/>
      <c r="E221" s="55" t="n"/>
      <c r="F221" s="736" t="n"/>
      <c r="G221" s="729" t="n"/>
      <c r="H221" s="844" t="n"/>
      <c r="I221" s="142" t="n"/>
      <c r="J221" s="736" t="n"/>
      <c r="K221" s="736" t="n"/>
      <c r="L221" s="736" t="n"/>
      <c r="M221" s="221" t="n"/>
    </row>
    <row r="222">
      <c r="A222" s="71" t="inlineStr">
        <is>
          <t>중소기업</t>
        </is>
      </c>
      <c r="B222" s="786" t="n"/>
      <c r="C222" s="112" t="n"/>
      <c r="D222" s="843" t="n"/>
      <c r="E222" s="55" t="n"/>
      <c r="F222" s="736" t="n"/>
      <c r="G222" s="729" t="n"/>
      <c r="H222" s="844" t="n"/>
      <c r="I222" s="142" t="n"/>
      <c r="J222" s="736" t="n"/>
      <c r="K222" s="736" t="n"/>
      <c r="L222" s="736" t="n"/>
      <c r="M222" s="221" t="n"/>
    </row>
    <row r="223">
      <c r="A223" s="75" t="inlineStr">
        <is>
          <t>일자리창출실적</t>
        </is>
      </c>
      <c r="B223" s="786" t="n"/>
      <c r="C223" s="112" t="n"/>
      <c r="D223" s="843" t="n"/>
      <c r="E223" s="55" t="n"/>
      <c r="F223" s="736" t="n"/>
      <c r="G223" s="729" t="n"/>
      <c r="H223" s="844" t="n"/>
      <c r="I223" s="142" t="n"/>
      <c r="J223" s="736" t="n"/>
      <c r="K223" s="736" t="n"/>
      <c r="L223" s="736" t="n"/>
      <c r="M223" s="221" t="n"/>
    </row>
    <row r="224">
      <c r="A224" s="75" t="inlineStr">
        <is>
          <t>시공품질평가</t>
        </is>
      </c>
      <c r="B224" s="786" t="n"/>
      <c r="C224" s="112" t="n"/>
      <c r="D224" s="843" t="n"/>
      <c r="E224" s="55" t="n"/>
      <c r="F224" s="736" t="n"/>
      <c r="G224" s="729" t="n"/>
      <c r="H224" s="844" t="n"/>
      <c r="I224" s="729" t="inlineStr">
        <is>
          <t>없음 (25.05.01)</t>
        </is>
      </c>
      <c r="J224" s="736" t="n"/>
      <c r="K224" s="736" t="n"/>
      <c r="L224" s="736" t="n"/>
      <c r="M224" s="221" t="n"/>
    </row>
    <row r="225">
      <c r="A225" s="71" t="inlineStr">
        <is>
          <t>비  고</t>
        </is>
      </c>
      <c r="B225" s="441" t="n"/>
      <c r="C225" s="114" t="n"/>
      <c r="D225" s="312" t="n"/>
      <c r="E225" s="100" t="inlineStr">
        <is>
          <t>송용주</t>
        </is>
      </c>
      <c r="F225" s="93" t="inlineStr">
        <is>
          <t>윤명숙</t>
        </is>
      </c>
      <c r="G225" s="129" t="inlineStr">
        <is>
          <t>김기성</t>
        </is>
      </c>
      <c r="H225" s="352" t="inlineStr">
        <is>
          <t>박성균</t>
        </is>
      </c>
      <c r="I225" s="129" t="n"/>
      <c r="J225" s="9" t="inlineStr">
        <is>
          <t>유형민</t>
        </is>
      </c>
      <c r="K225" s="100" t="inlineStr">
        <is>
          <t>김기성</t>
        </is>
      </c>
      <c r="L225" s="93" t="inlineStr">
        <is>
          <t>이동훈</t>
        </is>
      </c>
      <c r="M225" s="222" t="inlineStr">
        <is>
          <t>박성균</t>
        </is>
      </c>
    </row>
    <row r="226" ht="26.1" customHeight="1" s="16">
      <c r="A226" s="455" t="inlineStr">
        <is>
          <t>회사명</t>
        </is>
      </c>
      <c r="B226" s="455" t="inlineStr">
        <is>
          <t>㈜에스알티</t>
        </is>
      </c>
      <c r="C226" s="455" t="inlineStr">
        <is>
          <t>하나로기술㈜</t>
        </is>
      </c>
      <c r="D226" s="455" t="inlineStr">
        <is>
          <t>㈜서왕이노베이션</t>
        </is>
      </c>
      <c r="E226" s="455" t="inlineStr">
        <is>
          <t>㈜지인테크</t>
        </is>
      </c>
      <c r="F226" s="455" t="inlineStr">
        <is>
          <t>㈜싸이몬</t>
        </is>
      </c>
      <c r="G226" s="455" t="inlineStr">
        <is>
          <t>㈜에스티엔비</t>
        </is>
      </c>
      <c r="H226" s="455" t="inlineStr">
        <is>
          <t>은성산업㈜</t>
        </is>
      </c>
      <c r="I226" s="455" t="inlineStr">
        <is>
          <t>㈜우진일렉트</t>
        </is>
      </c>
      <c r="J226" s="455" t="inlineStr">
        <is>
          <t>일성건설㈜</t>
        </is>
      </c>
      <c r="K226" s="455" t="inlineStr">
        <is>
          <t>세아전기㈜</t>
        </is>
      </c>
      <c r="L226" s="455" t="inlineStr">
        <is>
          <t>(주)씨엔에프텍</t>
        </is>
      </c>
      <c r="M226" s="455" t="inlineStr">
        <is>
          <t>한국전자통신</t>
        </is>
      </c>
    </row>
    <row r="227">
      <c r="A227" s="71" t="inlineStr">
        <is>
          <t>대표자</t>
        </is>
      </c>
      <c r="B227" s="845" t="inlineStr">
        <is>
          <t>박용균</t>
        </is>
      </c>
      <c r="C227" s="777" t="inlineStr">
        <is>
          <t>배장명</t>
        </is>
      </c>
      <c r="D227" s="93" t="inlineStr">
        <is>
          <t>이원선</t>
        </is>
      </c>
      <c r="E227" s="93" t="inlineStr">
        <is>
          <t>박지현</t>
        </is>
      </c>
      <c r="F227" s="777" t="inlineStr">
        <is>
          <t>안재봉</t>
        </is>
      </c>
      <c r="G227" s="777" t="inlineStr">
        <is>
          <t>김유철</t>
        </is>
      </c>
      <c r="H227" s="846" t="inlineStr">
        <is>
          <t>이동준</t>
        </is>
      </c>
      <c r="I227" s="847" t="inlineStr">
        <is>
          <t>박현식</t>
        </is>
      </c>
      <c r="J227" s="799" t="inlineStr">
        <is>
          <t>백종탁</t>
        </is>
      </c>
      <c r="K227" s="337" t="inlineStr">
        <is>
          <t>강미성</t>
        </is>
      </c>
      <c r="L227" s="337" t="inlineStr">
        <is>
          <t>노재명</t>
        </is>
      </c>
      <c r="M227" s="337" t="inlineStr">
        <is>
          <t>김기태</t>
        </is>
      </c>
    </row>
    <row r="228">
      <c r="A228" s="74" t="inlineStr">
        <is>
          <t>사업자번호</t>
        </is>
      </c>
      <c r="B228" s="251" t="inlineStr">
        <is>
          <t>134-86-26364</t>
        </is>
      </c>
      <c r="C228" s="777" t="inlineStr">
        <is>
          <t>123-86-42082</t>
        </is>
      </c>
      <c r="D228" s="93" t="inlineStr">
        <is>
          <t>130-86-37608</t>
        </is>
      </c>
      <c r="E228" s="109" t="inlineStr">
        <is>
          <t>134-86-68520</t>
        </is>
      </c>
      <c r="F228" s="106" t="inlineStr">
        <is>
          <t>229-81-38071</t>
        </is>
      </c>
      <c r="G228" s="106" t="inlineStr">
        <is>
          <t>123-81-94585</t>
        </is>
      </c>
      <c r="H228" s="404" t="inlineStr">
        <is>
          <t>133-81-22735</t>
        </is>
      </c>
      <c r="I228" s="270" t="inlineStr">
        <is>
          <t>135-81-40632</t>
        </is>
      </c>
      <c r="J228" s="256" t="inlineStr">
        <is>
          <t>105-81-29640</t>
        </is>
      </c>
      <c r="K228" s="338" t="inlineStr">
        <is>
          <t>411-81-64071</t>
        </is>
      </c>
      <c r="L228" s="338" t="inlineStr">
        <is>
          <t>206-81-24083</t>
        </is>
      </c>
      <c r="M228" s="338" t="inlineStr">
        <is>
          <t>125-02-95585</t>
        </is>
      </c>
    </row>
    <row r="229">
      <c r="A229" s="74" t="inlineStr">
        <is>
          <t>지역</t>
        </is>
      </c>
      <c r="B229" s="845" t="inlineStr">
        <is>
          <t>경기도 안산시</t>
        </is>
      </c>
      <c r="C229" s="777" t="inlineStr">
        <is>
          <t>경기도 의왕시</t>
        </is>
      </c>
      <c r="D229" s="93" t="inlineStr">
        <is>
          <t>경기도 부천시</t>
        </is>
      </c>
      <c r="E229" s="93" t="inlineStr">
        <is>
          <t>경기도 안산시</t>
        </is>
      </c>
      <c r="F229" s="777" t="inlineStr">
        <is>
          <t>경기도 용인시</t>
        </is>
      </c>
      <c r="G229" s="777" t="inlineStr">
        <is>
          <t>경기도 안양시</t>
        </is>
      </c>
      <c r="H229" s="846" t="inlineStr">
        <is>
          <t>경기도 과천시</t>
        </is>
      </c>
      <c r="I229" s="847" t="inlineStr">
        <is>
          <t>경기도 성남시</t>
        </is>
      </c>
      <c r="J229" s="848" t="inlineStr">
        <is>
          <t>경기도 용인시</t>
        </is>
      </c>
      <c r="K229" s="337" t="inlineStr">
        <is>
          <t>경기도 김포시</t>
        </is>
      </c>
      <c r="L229" s="337" t="inlineStr">
        <is>
          <t>경기도 김포시</t>
        </is>
      </c>
      <c r="M229" s="337" t="inlineStr">
        <is>
          <t>경기도 평택시</t>
        </is>
      </c>
    </row>
    <row r="230">
      <c r="A230" s="71" t="inlineStr">
        <is>
          <t>통신시공능력</t>
        </is>
      </c>
      <c r="B230" s="740" t="n">
        <v>4821000000</v>
      </c>
      <c r="C230" s="777" t="n">
        <v>1526300000</v>
      </c>
      <c r="D230" s="815" t="n">
        <v>13748800000</v>
      </c>
      <c r="E230" s="777" t="n">
        <v>13912100000</v>
      </c>
      <c r="F230" s="777" t="n">
        <v>20051500000</v>
      </c>
      <c r="G230" s="777" t="n">
        <v>992900000</v>
      </c>
      <c r="H230" s="849" t="n">
        <v>365700000</v>
      </c>
      <c r="I230" s="789" t="n">
        <v>4220100000</v>
      </c>
      <c r="J230" s="799" t="n">
        <v>17274700000</v>
      </c>
      <c r="K230" s="818" t="n">
        <v>1053200000</v>
      </c>
      <c r="L230" s="850" t="n"/>
      <c r="M230" s="818" t="n">
        <v>2325600000</v>
      </c>
    </row>
    <row r="231">
      <c r="A231" s="71" t="inlineStr">
        <is>
          <t>3년간 실적액</t>
        </is>
      </c>
      <c r="B231" s="740" t="n">
        <v>4260003000</v>
      </c>
      <c r="C231" s="777" t="n">
        <v>2033252000</v>
      </c>
      <c r="D231" s="815" t="n">
        <v>22635438000</v>
      </c>
      <c r="E231" s="777" t="n">
        <v>22688500000</v>
      </c>
      <c r="F231" s="777" t="n">
        <v>37240843000</v>
      </c>
      <c r="G231" s="777" t="n">
        <v>644833000</v>
      </c>
      <c r="H231" s="849" t="n">
        <v>0</v>
      </c>
      <c r="I231" s="789" t="n">
        <v>7227024000</v>
      </c>
      <c r="J231" s="799" t="n">
        <v>34287621000</v>
      </c>
      <c r="K231" s="818" t="n">
        <v>592283000</v>
      </c>
      <c r="L231" s="850" t="n"/>
      <c r="M231" s="818" t="n">
        <v>0</v>
      </c>
    </row>
    <row r="232">
      <c r="A232" s="71" t="inlineStr">
        <is>
          <t>5년간 실적액</t>
        </is>
      </c>
      <c r="B232" s="740" t="n">
        <v>8022235000</v>
      </c>
      <c r="C232" s="777" t="n">
        <v>2286203000</v>
      </c>
      <c r="D232" s="815" t="n">
        <v>34091258000</v>
      </c>
      <c r="E232" s="777" t="n">
        <v>38447833000</v>
      </c>
      <c r="F232" s="777" t="n">
        <v>55754425000</v>
      </c>
      <c r="G232" s="777" t="n">
        <v>1839132000</v>
      </c>
      <c r="H232" s="849" t="n">
        <v>0</v>
      </c>
      <c r="I232" s="789" t="n">
        <v>28147269000</v>
      </c>
      <c r="J232" s="799" t="n">
        <v>63931308000</v>
      </c>
      <c r="K232" s="818" t="n">
        <v>684733000</v>
      </c>
      <c r="L232" s="850" t="n"/>
      <c r="M232" s="818" t="n">
        <v>0</v>
      </c>
    </row>
    <row r="233">
      <c r="A233" s="791" t="inlineStr">
        <is>
          <t>부채비율</t>
        </is>
      </c>
      <c r="B233" s="247" t="n">
        <v>0.9333</v>
      </c>
      <c r="C233" s="97" t="n">
        <v>0.2053</v>
      </c>
      <c r="D233" s="101" t="n">
        <v>0.1697</v>
      </c>
      <c r="E233" s="95" t="n">
        <v>0.7476</v>
      </c>
      <c r="F233" s="95" t="n">
        <v>0.995</v>
      </c>
      <c r="G233" s="101" t="n">
        <v>0.2943</v>
      </c>
      <c r="H233" s="405" t="n">
        <v>15.9735</v>
      </c>
      <c r="I233" s="271" t="n">
        <v>0.168</v>
      </c>
      <c r="J233" s="261" t="n">
        <v>4.6556</v>
      </c>
      <c r="K233" s="342" t="n">
        <v>0.6396999999999999</v>
      </c>
      <c r="L233" s="343" t="n"/>
      <c r="M233" s="343" t="n"/>
    </row>
    <row r="234">
      <c r="A234" s="791" t="inlineStr">
        <is>
          <t>유동비율</t>
        </is>
      </c>
      <c r="B234" s="247" t="n">
        <v>1.9628</v>
      </c>
      <c r="C234" s="97" t="n">
        <v>4.7064</v>
      </c>
      <c r="D234" s="101" t="n">
        <v>3.6694</v>
      </c>
      <c r="E234" s="101" t="n">
        <v>26.8123</v>
      </c>
      <c r="F234" s="95" t="n">
        <v>1.0895</v>
      </c>
      <c r="G234" s="101" t="n">
        <v>2.9069</v>
      </c>
      <c r="H234" s="405" t="n">
        <v>1.0208</v>
      </c>
      <c r="I234" s="271" t="n">
        <v>4.950299999999999</v>
      </c>
      <c r="J234" s="261" t="n">
        <v>0.8008</v>
      </c>
      <c r="K234" s="339" t="n">
        <v>9.255800000000001</v>
      </c>
      <c r="L234" s="343" t="n"/>
      <c r="M234" s="343" t="n"/>
    </row>
    <row r="235" ht="21" customHeight="1" s="16">
      <c r="A235" s="792" t="inlineStr">
        <is>
          <t>영업기간
공사업등록일</t>
        </is>
      </c>
      <c r="B235" s="248" t="inlineStr">
        <is>
          <t>2009.04.22</t>
        </is>
      </c>
      <c r="C235" s="98" t="inlineStr">
        <is>
          <t>2005.02.11</t>
        </is>
      </c>
      <c r="D235" s="101" t="inlineStr">
        <is>
          <t>2008.11.05</t>
        </is>
      </c>
      <c r="E235" s="98" t="inlineStr">
        <is>
          <t>2012.02.13</t>
        </is>
      </c>
      <c r="F235" s="98" t="inlineStr">
        <is>
          <t>2009.12.04</t>
        </is>
      </c>
      <c r="G235" s="98" t="inlineStr">
        <is>
          <t>2016.03.22</t>
        </is>
      </c>
      <c r="H235" s="409" t="n"/>
      <c r="I235" s="274" t="inlineStr">
        <is>
          <t>1995.08.10</t>
        </is>
      </c>
      <c r="J235" s="258" t="inlineStr">
        <is>
          <t>1991.11.05</t>
        </is>
      </c>
      <c r="K235" s="340" t="n"/>
      <c r="L235" s="340" t="n"/>
      <c r="M235" s="340" t="n"/>
    </row>
    <row r="236" ht="22.5" customHeight="1" s="16">
      <c r="A236" s="71" t="inlineStr">
        <is>
          <t>신용평가</t>
        </is>
      </c>
      <c r="B236" s="743" t="inlineStr">
        <is>
          <t>BB-
(25.04.19~26.04.18)</t>
        </is>
      </c>
      <c r="C236" s="49" t="n"/>
      <c r="D236" s="736" t="n"/>
      <c r="E236" s="725" t="inlineStr">
        <is>
          <t>BBB-
(24.06.21~25.06.20)</t>
        </is>
      </c>
      <c r="F236" s="725" t="inlineStr">
        <is>
          <t>A-
(24.06.18~25.06.17)</t>
        </is>
      </c>
      <c r="G236" s="736" t="n"/>
      <c r="H236" s="724" t="inlineStr">
        <is>
          <t>BB+
(25.06.26~26.06.25)</t>
        </is>
      </c>
      <c r="I236" s="374" t="inlineStr">
        <is>
          <t>BBB-
(25.06.27~26.06.26)</t>
        </is>
      </c>
      <c r="J236" s="793" t="inlineStr">
        <is>
          <t>BBB+
(25.06.23~26.06.22)</t>
        </is>
      </c>
      <c r="K236" s="736" t="n"/>
      <c r="L236" s="842" t="inlineStr">
        <is>
          <t>BB+
(25.04.08~26.04.07)</t>
        </is>
      </c>
      <c r="M236" s="736" t="n"/>
    </row>
    <row r="237">
      <c r="A237" s="71" t="inlineStr">
        <is>
          <t>여성기업</t>
        </is>
      </c>
      <c r="B237" s="817" t="n"/>
      <c r="C237" s="112" t="n"/>
      <c r="D237" s="736" t="n"/>
      <c r="E237" s="55" t="n"/>
      <c r="F237" s="736" t="n"/>
      <c r="G237" s="736" t="n"/>
      <c r="H237" s="403" t="n"/>
      <c r="I237" s="275" t="n"/>
      <c r="J237" s="801" t="n"/>
      <c r="K237" s="341" t="n"/>
      <c r="L237" s="341" t="n"/>
      <c r="M237" s="341" t="n"/>
    </row>
    <row r="238">
      <c r="A238" s="71" t="inlineStr">
        <is>
          <t>중소기업</t>
        </is>
      </c>
      <c r="B238" s="817" t="n"/>
      <c r="C238" s="112" t="n"/>
      <c r="D238" s="736" t="n"/>
      <c r="E238" s="55" t="n"/>
      <c r="F238" s="736" t="n"/>
      <c r="G238" s="736" t="n"/>
      <c r="H238" s="403" t="n"/>
      <c r="I238" s="275" t="n"/>
      <c r="J238" s="801" t="n"/>
      <c r="K238" s="341" t="n"/>
      <c r="L238" s="341" t="n"/>
      <c r="M238" s="341" t="n"/>
    </row>
    <row r="239">
      <c r="A239" s="75" t="inlineStr">
        <is>
          <t>일자리창출실적</t>
        </is>
      </c>
      <c r="B239" s="817" t="n"/>
      <c r="C239" s="112" t="n"/>
      <c r="D239" s="736" t="n"/>
      <c r="E239" s="55" t="n"/>
      <c r="F239" s="736" t="n"/>
      <c r="G239" s="736" t="n"/>
      <c r="H239" s="403" t="n"/>
      <c r="I239" s="275" t="n"/>
      <c r="J239" s="801" t="n"/>
      <c r="K239" s="341" t="n"/>
      <c r="L239" s="341" t="n"/>
      <c r="M239" s="341" t="n"/>
    </row>
    <row r="240">
      <c r="A240" s="75" t="inlineStr">
        <is>
          <t>시공품질평가</t>
        </is>
      </c>
      <c r="B240" s="817" t="n"/>
      <c r="C240" s="112" t="n"/>
      <c r="D240" s="736" t="n"/>
      <c r="E240" s="55" t="n"/>
      <c r="F240" s="736" t="n"/>
      <c r="G240" s="736" t="n"/>
      <c r="H240" s="403" t="n"/>
      <c r="I240" s="276" t="inlineStr">
        <is>
          <t>없음(25.05.01)</t>
        </is>
      </c>
      <c r="J240" s="801" t="n"/>
      <c r="K240" s="341" t="n"/>
      <c r="L240" s="341" t="n"/>
      <c r="M240" s="341" t="n"/>
    </row>
    <row r="241" ht="22.5" customHeight="1" s="16">
      <c r="A241" s="71" t="inlineStr">
        <is>
          <t>비  고</t>
        </is>
      </c>
      <c r="B241" s="244" t="inlineStr">
        <is>
          <t>박성균</t>
        </is>
      </c>
      <c r="C241" s="113" t="inlineStr">
        <is>
          <t>조세희</t>
        </is>
      </c>
      <c r="D241" s="93" t="inlineStr">
        <is>
          <t>최철중</t>
        </is>
      </c>
      <c r="E241" s="100" t="inlineStr">
        <is>
          <t>구본진</t>
        </is>
      </c>
      <c r="F241" s="100" t="inlineStr">
        <is>
          <t>김대용과장</t>
        </is>
      </c>
      <c r="G241" s="93" t="inlineStr">
        <is>
          <t>구본진</t>
        </is>
      </c>
      <c r="H241" s="403" t="inlineStr">
        <is>
          <t>유형민</t>
        </is>
      </c>
      <c r="I241" s="277" t="inlineStr">
        <is>
          <t>고2, 중1, 초1, 기1
(23.08.01)</t>
        </is>
      </c>
      <c r="J241" s="259" t="n"/>
      <c r="K241" s="337" t="inlineStr">
        <is>
          <t>정석</t>
        </is>
      </c>
      <c r="L241" s="338" t="inlineStr">
        <is>
          <t>정석 (면허만 보유 (수의협상입찰만))</t>
        </is>
      </c>
      <c r="M241" s="337" t="inlineStr">
        <is>
          <t>정석</t>
        </is>
      </c>
    </row>
    <row r="242" ht="28.5" customHeight="1" s="16">
      <c r="A242" s="455" t="inlineStr">
        <is>
          <t>회사명</t>
        </is>
      </c>
      <c r="B242" s="455" t="inlineStr">
        <is>
          <t>(주)서경에스지씨</t>
        </is>
      </c>
      <c r="C242" s="455" t="inlineStr">
        <is>
          <t>㈜우진이엔씨</t>
        </is>
      </c>
      <c r="D242" s="455" t="inlineStr">
        <is>
          <t>㈜신세계전기</t>
        </is>
      </c>
      <c r="E242" s="455" t="n"/>
      <c r="F242" s="455" t="n"/>
      <c r="G242" s="455" t="n"/>
      <c r="H242" s="455" t="n"/>
      <c r="I242" s="455" t="n"/>
      <c r="J242" s="455" t="n"/>
      <c r="K242" s="455" t="n"/>
      <c r="L242" s="455" t="n"/>
      <c r="M242" s="455" t="n"/>
    </row>
    <row r="243">
      <c r="A243" s="71" t="inlineStr">
        <is>
          <t>대표자</t>
        </is>
      </c>
      <c r="B243" s="316" t="inlineStr">
        <is>
          <t>송용주</t>
        </is>
      </c>
      <c r="C243" s="337" t="inlineStr">
        <is>
          <t>김정훈</t>
        </is>
      </c>
      <c r="D243" s="416" t="inlineStr">
        <is>
          <t>구본주</t>
        </is>
      </c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</row>
    <row r="244">
      <c r="A244" s="74" t="inlineStr">
        <is>
          <t>사업자번호</t>
        </is>
      </c>
      <c r="B244" s="316" t="inlineStr">
        <is>
          <t>820-87-00953</t>
        </is>
      </c>
      <c r="C244" s="338" t="inlineStr">
        <is>
          <t>653-81-01160</t>
        </is>
      </c>
      <c r="D244" s="412" t="inlineStr">
        <is>
          <t>215-81-40525</t>
        </is>
      </c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</row>
    <row r="245">
      <c r="A245" s="74" t="inlineStr">
        <is>
          <t>지역</t>
        </is>
      </c>
      <c r="B245" s="316" t="inlineStr">
        <is>
          <t>경기도 양주시</t>
        </is>
      </c>
      <c r="C245" s="337" t="inlineStr">
        <is>
          <t>경기도 포천시</t>
        </is>
      </c>
      <c r="D245" s="411" t="inlineStr">
        <is>
          <t>경기도 시흥시</t>
        </is>
      </c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</row>
    <row r="246">
      <c r="A246" s="71" t="inlineStr">
        <is>
          <t>통신시공능력</t>
        </is>
      </c>
      <c r="B246" s="851" t="n"/>
      <c r="C246" s="818" t="n">
        <v>892100000</v>
      </c>
      <c r="D246" s="852" t="n">
        <v>5617600000</v>
      </c>
      <c r="E246" s="732" t="n"/>
      <c r="F246" s="732" t="n"/>
      <c r="G246" s="732" t="n"/>
      <c r="H246" s="732" t="n"/>
      <c r="I246" s="732" t="n"/>
      <c r="J246" s="732" t="n"/>
      <c r="K246" s="732" t="n"/>
      <c r="L246" s="732" t="n"/>
      <c r="M246" s="732" t="n"/>
    </row>
    <row r="247">
      <c r="A247" s="71" t="inlineStr">
        <is>
          <t>3년간 실적액</t>
        </is>
      </c>
      <c r="B247" s="851" t="n"/>
      <c r="C247" s="818" t="n">
        <v>131913000</v>
      </c>
      <c r="D247" s="852" t="n">
        <v>8260026000</v>
      </c>
      <c r="E247" s="732" t="n"/>
      <c r="F247" s="732" t="n"/>
      <c r="G247" s="732" t="n"/>
      <c r="H247" s="732" t="n"/>
      <c r="I247" s="732" t="n"/>
      <c r="J247" s="732" t="n"/>
      <c r="K247" s="732" t="n"/>
      <c r="L247" s="732" t="n"/>
      <c r="M247" s="732" t="n"/>
    </row>
    <row r="248">
      <c r="A248" s="71" t="inlineStr">
        <is>
          <t>5년간 실적액</t>
        </is>
      </c>
      <c r="B248" s="851" t="n"/>
      <c r="C248" s="818" t="n">
        <v>613357000</v>
      </c>
      <c r="D248" s="852" t="n">
        <v>12590157000</v>
      </c>
      <c r="E248" s="732" t="n"/>
      <c r="F248" s="732" t="n"/>
      <c r="G248" s="732" t="n"/>
      <c r="H248" s="732" t="n"/>
      <c r="I248" s="732" t="n"/>
      <c r="J248" s="732" t="n"/>
      <c r="K248" s="732" t="n"/>
      <c r="L248" s="732" t="n"/>
      <c r="M248" s="732" t="n"/>
    </row>
    <row r="249">
      <c r="A249" s="791" t="inlineStr">
        <is>
          <t>부채비율</t>
        </is>
      </c>
      <c r="B249" s="317" t="n"/>
      <c r="C249" s="339" t="n">
        <v>0.0377</v>
      </c>
      <c r="D249" s="413" t="n">
        <v>0.4142</v>
      </c>
      <c r="E249" s="66" t="n"/>
      <c r="F249" s="66" t="n"/>
      <c r="G249" s="66" t="n"/>
      <c r="H249" s="66" t="n"/>
      <c r="I249" s="66" t="n"/>
      <c r="J249" s="66" t="n"/>
      <c r="K249" s="66" t="n"/>
      <c r="L249" s="66" t="n"/>
      <c r="M249" s="66" t="n"/>
    </row>
    <row r="250">
      <c r="A250" s="791" t="inlineStr">
        <is>
          <t>유동비율</t>
        </is>
      </c>
      <c r="B250" s="317" t="n"/>
      <c r="C250" s="339" t="n">
        <v>27.4233</v>
      </c>
      <c r="D250" s="413" t="n">
        <v>3.58</v>
      </c>
      <c r="E250" s="66" t="n"/>
      <c r="F250" s="66" t="n"/>
      <c r="G250" s="66" t="n"/>
      <c r="H250" s="66" t="n"/>
      <c r="I250" s="66" t="n"/>
      <c r="J250" s="66" t="n"/>
      <c r="K250" s="66" t="n"/>
      <c r="L250" s="66" t="n"/>
      <c r="M250" s="66" t="n"/>
    </row>
    <row r="251" ht="21" customHeight="1" s="16">
      <c r="A251" s="792" t="inlineStr">
        <is>
          <t>영업기간
공사업등록일</t>
        </is>
      </c>
      <c r="B251" s="317" t="n"/>
      <c r="C251" s="340" t="n"/>
      <c r="D251" s="417" t="inlineStr">
        <is>
          <t>2005.08.01</t>
        </is>
      </c>
      <c r="E251" s="67" t="n"/>
      <c r="F251" s="67" t="n"/>
      <c r="G251" s="67" t="n"/>
      <c r="H251" s="67" t="n"/>
      <c r="I251" s="67" t="n"/>
      <c r="J251" s="67" t="n"/>
      <c r="K251" s="67" t="n"/>
      <c r="L251" s="67" t="n"/>
      <c r="M251" s="67" t="n"/>
    </row>
    <row r="252" ht="22.5" customHeight="1" s="16">
      <c r="A252" s="71" t="inlineStr">
        <is>
          <t>신용평가</t>
        </is>
      </c>
      <c r="B252" s="49" t="n"/>
      <c r="C252" s="842" t="inlineStr">
        <is>
          <t>B0
(25.05.21~26.05.20)</t>
        </is>
      </c>
      <c r="D252" s="418" t="inlineStr">
        <is>
          <t>BBB-
(25.04.23~26.04.22)</t>
        </is>
      </c>
      <c r="E252" s="786" t="n"/>
      <c r="F252" s="786" t="n"/>
      <c r="G252" s="786" t="n"/>
      <c r="H252" s="786" t="n"/>
      <c r="I252" s="786" t="n"/>
      <c r="J252" s="786" t="n"/>
      <c r="K252" s="786" t="n"/>
      <c r="L252" s="786" t="n"/>
      <c r="M252" s="786" t="n"/>
    </row>
    <row r="253">
      <c r="A253" s="71" t="inlineStr">
        <is>
          <t>여성기업</t>
        </is>
      </c>
      <c r="B253" s="49" t="n"/>
      <c r="C253" s="341" t="n"/>
      <c r="D253" s="418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</row>
    <row r="254">
      <c r="A254" s="71" t="inlineStr">
        <is>
          <t>중소기업</t>
        </is>
      </c>
      <c r="B254" s="49" t="n"/>
      <c r="C254" s="341" t="n"/>
      <c r="D254" s="418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</row>
    <row r="255">
      <c r="A255" s="75" t="inlineStr">
        <is>
          <t>일자리창출실적</t>
        </is>
      </c>
      <c r="B255" s="49" t="n"/>
      <c r="C255" s="341" t="n"/>
      <c r="D255" s="418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</row>
    <row r="256">
      <c r="A256" s="75" t="inlineStr">
        <is>
          <t>시공품질평가</t>
        </is>
      </c>
      <c r="B256" s="49" t="n"/>
      <c r="C256" s="341" t="n"/>
      <c r="D256" s="418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</row>
    <row r="257">
      <c r="A257" s="71" t="inlineStr">
        <is>
          <t>비  고</t>
        </is>
      </c>
      <c r="B257" s="57" t="inlineStr">
        <is>
          <t>정석</t>
        </is>
      </c>
      <c r="C257" s="337" t="inlineStr">
        <is>
          <t>정석</t>
        </is>
      </c>
      <c r="D257" s="416" t="inlineStr">
        <is>
          <t>강성법</t>
        </is>
      </c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</row>
  </sheetData>
  <mergeCells count="1">
    <mergeCell ref="A1:M1"/>
  </mergeCells>
  <printOptions horizontalCentered="1"/>
  <pageMargins left="0.03937007874015748" right="0.03937007874015748" top="0.1968503937007874" bottom="0.1968503937007874" header="0" footer="0"/>
  <pageSetup orientation="landscape" paperSize="9" scale="5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N65"/>
  <sheetViews>
    <sheetView topLeftCell="A22" zoomScale="85" zoomScaleNormal="85" workbookViewId="0">
      <selection activeCell="I41" sqref="I41"/>
    </sheetView>
  </sheetViews>
  <sheetFormatPr baseColWidth="8" defaultRowHeight="13.5"/>
  <cols>
    <col width="11.5546875" customWidth="1" style="8" min="1" max="1"/>
    <col width="16.6640625" customWidth="1" style="8" min="2" max="2"/>
    <col width="15.77734375" customWidth="1" style="8" min="3" max="3"/>
    <col width="17" customWidth="1" style="8" min="4" max="4"/>
    <col width="15.77734375" customWidth="1" style="8" min="5" max="6"/>
    <col width="15.88671875" bestFit="1" customWidth="1" style="8" min="7" max="7"/>
    <col width="15.77734375" customWidth="1" style="8" min="8" max="13"/>
    <col width="8.88671875" customWidth="1" style="8" min="14" max="55"/>
    <col width="8.88671875" customWidth="1" style="8" min="56" max="16384"/>
  </cols>
  <sheetData>
    <row r="1" ht="25.5" customHeight="1" s="16">
      <c r="A1" s="702" t="inlineStr">
        <is>
          <t>통 신 ( 인 천 )</t>
        </is>
      </c>
      <c r="B1" s="700" t="n"/>
      <c r="C1" s="700" t="n"/>
      <c r="D1" s="700" t="n"/>
      <c r="E1" s="700" t="n"/>
      <c r="F1" s="700" t="n"/>
      <c r="G1" s="700" t="n"/>
      <c r="H1" s="700" t="n"/>
      <c r="I1" s="700" t="n"/>
      <c r="J1" s="700" t="n"/>
      <c r="K1" s="700" t="n"/>
      <c r="L1" s="700" t="n"/>
      <c r="M1" s="701" t="n"/>
    </row>
    <row r="2" ht="26.1" customFormat="1" customHeight="1" s="20">
      <c r="A2" s="455" t="inlineStr">
        <is>
          <t>회사명</t>
        </is>
      </c>
      <c r="B2" s="455" t="inlineStr">
        <is>
          <t>㈜건화티에스</t>
        </is>
      </c>
      <c r="C2" s="455" t="inlineStr">
        <is>
          <t>㈜강남전기</t>
        </is>
      </c>
      <c r="D2" s="455" t="inlineStr">
        <is>
          <t>㈜대동전력</t>
        </is>
      </c>
      <c r="E2" s="455" t="inlineStr">
        <is>
          <t>(합)동양통신</t>
        </is>
      </c>
      <c r="F2" s="455" t="inlineStr">
        <is>
          <t>㈜대경기전</t>
        </is>
      </c>
      <c r="G2" s="455" t="inlineStr">
        <is>
          <t>동하정보기술㈜</t>
        </is>
      </c>
      <c r="H2" s="455" t="inlineStr">
        <is>
          <t>㈜부현전기</t>
        </is>
      </c>
      <c r="I2" s="455" t="inlineStr">
        <is>
          <t>벽산건설㈜</t>
        </is>
      </c>
      <c r="J2" s="455" t="inlineStr">
        <is>
          <t>새천년이엔씨㈜</t>
        </is>
      </c>
      <c r="K2" s="455" t="inlineStr">
        <is>
          <t>삼영통신㈜</t>
        </is>
      </c>
      <c r="L2" s="455" t="inlineStr">
        <is>
          <t>㈜세영</t>
        </is>
      </c>
      <c r="M2" s="455" t="inlineStr">
        <is>
          <t>세종기업㈜</t>
        </is>
      </c>
    </row>
    <row r="3" customFormat="1" s="329">
      <c r="A3" s="68" t="inlineStr">
        <is>
          <t>대표자</t>
        </is>
      </c>
      <c r="B3" s="288" t="inlineStr">
        <is>
          <t>이건우</t>
        </is>
      </c>
      <c r="C3" s="1" t="inlineStr">
        <is>
          <t>김형철</t>
        </is>
      </c>
      <c r="D3" s="289" t="inlineStr">
        <is>
          <t>윤영학</t>
        </is>
      </c>
      <c r="E3" s="370" t="inlineStr">
        <is>
          <t>최필규</t>
        </is>
      </c>
      <c r="F3" s="9" t="inlineStr">
        <is>
          <t>함문상</t>
        </is>
      </c>
      <c r="G3" s="9" t="inlineStr">
        <is>
          <t>최하길</t>
        </is>
      </c>
      <c r="H3" s="278" t="inlineStr">
        <is>
          <t>김홍수</t>
        </is>
      </c>
      <c r="I3" s="1" t="inlineStr">
        <is>
          <t>장성각</t>
        </is>
      </c>
      <c r="J3" s="129" t="inlineStr">
        <is>
          <t>정임재</t>
        </is>
      </c>
      <c r="K3" s="1" t="inlineStr">
        <is>
          <t>최병길</t>
        </is>
      </c>
      <c r="L3" s="9" t="inlineStr">
        <is>
          <t>김진영</t>
        </is>
      </c>
      <c r="M3" s="9" t="inlineStr">
        <is>
          <t>김종수</t>
        </is>
      </c>
    </row>
    <row r="4" ht="12" customFormat="1" customHeight="1" s="14">
      <c r="A4" s="68" t="inlineStr">
        <is>
          <t>사업자번호</t>
        </is>
      </c>
      <c r="B4" s="289" t="inlineStr">
        <is>
          <t>131-81-53299</t>
        </is>
      </c>
      <c r="C4" s="1" t="inlineStr">
        <is>
          <t>101-86-04036</t>
        </is>
      </c>
      <c r="D4" s="289" t="inlineStr">
        <is>
          <t>139-81-35771</t>
        </is>
      </c>
      <c r="E4" s="372" t="inlineStr">
        <is>
          <t>122-81-36791</t>
        </is>
      </c>
      <c r="F4" s="9" t="inlineStr">
        <is>
          <t>121-81-29661</t>
        </is>
      </c>
      <c r="G4" s="9" t="inlineStr">
        <is>
          <t>219-81-28426</t>
        </is>
      </c>
      <c r="H4" s="279" t="inlineStr">
        <is>
          <t>118-81-21173</t>
        </is>
      </c>
      <c r="I4" s="1" t="inlineStr">
        <is>
          <t>116-81-25566</t>
        </is>
      </c>
      <c r="J4" s="130" t="inlineStr">
        <is>
          <t>121-81-66104</t>
        </is>
      </c>
      <c r="K4" s="1" t="inlineStr">
        <is>
          <t>429-81-02135</t>
        </is>
      </c>
      <c r="L4" s="9" t="inlineStr">
        <is>
          <t>354-86-00954</t>
        </is>
      </c>
      <c r="M4" s="9" t="inlineStr">
        <is>
          <t>136-81-17283</t>
        </is>
      </c>
    </row>
    <row r="5" ht="12" customFormat="1" customHeight="1" s="14">
      <c r="A5" s="68" t="inlineStr">
        <is>
          <t>지역</t>
        </is>
      </c>
      <c r="B5" s="288" t="inlineStr">
        <is>
          <t>인천광역시 남동구</t>
        </is>
      </c>
      <c r="C5" s="1" t="inlineStr">
        <is>
          <t>인천 남동</t>
        </is>
      </c>
      <c r="D5" s="288" t="inlineStr">
        <is>
          <t>인천광역시 남동구</t>
        </is>
      </c>
      <c r="E5" s="370" t="inlineStr">
        <is>
          <t>인천광역시 부평구</t>
        </is>
      </c>
      <c r="F5" s="9" t="inlineStr">
        <is>
          <t>인천 남동</t>
        </is>
      </c>
      <c r="G5" s="9" t="inlineStr">
        <is>
          <t>인천 남구</t>
        </is>
      </c>
      <c r="H5" s="278" t="inlineStr">
        <is>
          <t>인천시 부평구</t>
        </is>
      </c>
      <c r="I5" s="1" t="inlineStr">
        <is>
          <t>인천 연수</t>
        </is>
      </c>
      <c r="J5" s="129" t="inlineStr">
        <is>
          <t>인천광역시 부평구</t>
        </is>
      </c>
      <c r="K5" s="1" t="inlineStr">
        <is>
          <t>인천광역시 미추홀구</t>
        </is>
      </c>
      <c r="L5" s="9" t="inlineStr">
        <is>
          <t>인천광역시 서구</t>
        </is>
      </c>
      <c r="M5" s="9" t="inlineStr">
        <is>
          <t>인천 계양</t>
        </is>
      </c>
    </row>
    <row r="6" ht="12" customFormat="1" customHeight="1" s="14">
      <c r="A6" s="68" t="inlineStr">
        <is>
          <t>통신시공능력</t>
        </is>
      </c>
      <c r="B6" s="741" t="n">
        <v>2623000000</v>
      </c>
      <c r="C6" s="804" t="n">
        <v>957900000</v>
      </c>
      <c r="D6" s="741" t="n">
        <v>788800000</v>
      </c>
      <c r="E6" s="853" t="n">
        <v>10160300000</v>
      </c>
      <c r="F6" s="752" t="n">
        <v>7227300000</v>
      </c>
      <c r="G6" s="752" t="n">
        <v>3173400000</v>
      </c>
      <c r="H6" s="854" t="n">
        <v>24718300000</v>
      </c>
      <c r="I6" s="732" t="n">
        <v>15716400000</v>
      </c>
      <c r="J6" s="714" t="n">
        <v>3921500000</v>
      </c>
      <c r="K6" s="732" t="n">
        <v>667500000</v>
      </c>
      <c r="L6" s="752" t="n">
        <v>3038500000</v>
      </c>
      <c r="M6" s="756" t="n">
        <v>3583100000</v>
      </c>
    </row>
    <row r="7" ht="12" customFormat="1" customHeight="1" s="14">
      <c r="A7" s="68" t="inlineStr">
        <is>
          <t>3년간 실적액</t>
        </is>
      </c>
      <c r="B7" s="741" t="n">
        <v>2069917000</v>
      </c>
      <c r="C7" s="804" t="n">
        <v>500283000</v>
      </c>
      <c r="D7" s="741" t="n">
        <v>226170000</v>
      </c>
      <c r="E7" s="853" t="n">
        <v>10939526000</v>
      </c>
      <c r="F7" s="752" t="n">
        <v>6326294000</v>
      </c>
      <c r="G7" s="752" t="n">
        <v>230769000</v>
      </c>
      <c r="H7" s="854" t="n">
        <v>46952258000</v>
      </c>
      <c r="I7" s="732" t="n">
        <v>30092211000</v>
      </c>
      <c r="J7" s="714" t="n">
        <v>3748719000</v>
      </c>
      <c r="K7" s="732" t="n">
        <v>401492000</v>
      </c>
      <c r="L7" s="752" t="n">
        <v>1794839000</v>
      </c>
      <c r="M7" s="756" t="n">
        <v>5289311000</v>
      </c>
    </row>
    <row r="8" customFormat="1" s="15">
      <c r="A8" s="68" t="inlineStr">
        <is>
          <t>5년간 실적액</t>
        </is>
      </c>
      <c r="B8" s="741" t="n">
        <v>2925617000</v>
      </c>
      <c r="C8" s="810" t="n">
        <v>500283000</v>
      </c>
      <c r="D8" s="741" t="n">
        <v>289613000</v>
      </c>
      <c r="E8" s="853" t="n">
        <v>18646389000</v>
      </c>
      <c r="F8" s="752" t="n">
        <v>10484546000</v>
      </c>
      <c r="G8" s="752" t="n">
        <v>675214000</v>
      </c>
      <c r="H8" s="854" t="n">
        <v>61572822000</v>
      </c>
      <c r="I8" s="732" t="n">
        <v>42149357000</v>
      </c>
      <c r="J8" s="714" t="n">
        <v>6290343000</v>
      </c>
      <c r="K8" s="732" t="n">
        <v>463974000</v>
      </c>
      <c r="L8" s="752" t="n">
        <v>1794839000</v>
      </c>
      <c r="M8" s="806" t="n">
        <v>7398549000</v>
      </c>
    </row>
    <row r="9" customFormat="1" s="790">
      <c r="A9" s="855" t="inlineStr">
        <is>
          <t>부채비율</t>
        </is>
      </c>
      <c r="B9" s="285" t="n">
        <v>0.5277000000000001</v>
      </c>
      <c r="C9" s="2" t="n">
        <v>0.0858</v>
      </c>
      <c r="D9" s="285" t="n">
        <v>0.4495</v>
      </c>
      <c r="E9" s="365" t="n">
        <v>0.5584</v>
      </c>
      <c r="F9" s="10" t="n">
        <v>0.1395</v>
      </c>
      <c r="G9" s="10" t="n">
        <v>1.4812</v>
      </c>
      <c r="H9" s="280" t="n">
        <v>1.8098</v>
      </c>
      <c r="I9" s="2" t="n">
        <v>12.1148</v>
      </c>
      <c r="J9" s="131" t="n">
        <v>0.0595</v>
      </c>
      <c r="K9" s="2" t="n">
        <v>0</v>
      </c>
      <c r="L9" s="10" t="n">
        <v>0.4856</v>
      </c>
      <c r="M9" s="10" t="n">
        <v>2.0236</v>
      </c>
      <c r="N9" s="750" t="n"/>
    </row>
    <row r="10" customFormat="1" s="790">
      <c r="A10" s="855" t="inlineStr">
        <is>
          <t>유동비율</t>
        </is>
      </c>
      <c r="B10" s="285" t="n">
        <v>15.4903</v>
      </c>
      <c r="C10" s="2" t="n">
        <v>9.337</v>
      </c>
      <c r="D10" s="285" t="n">
        <v>10.1568</v>
      </c>
      <c r="E10" s="365" t="n">
        <v>8.645099999999999</v>
      </c>
      <c r="F10" s="10" t="n">
        <v>10.5792</v>
      </c>
      <c r="G10" s="10" t="n">
        <v>1.2394</v>
      </c>
      <c r="H10" s="280" t="n">
        <v>1.4867</v>
      </c>
      <c r="I10" s="2" t="n">
        <v>1.2882</v>
      </c>
      <c r="J10" s="131" t="n">
        <v>32.945</v>
      </c>
      <c r="K10" s="2" t="inlineStr">
        <is>
          <t>∞</t>
        </is>
      </c>
      <c r="L10" s="10" t="n">
        <v>2.4699</v>
      </c>
      <c r="M10" s="10" t="n">
        <v>1.962</v>
      </c>
      <c r="N10" s="750" t="n"/>
    </row>
    <row r="11" ht="24" customFormat="1" customHeight="1" s="790">
      <c r="A11" s="856" t="inlineStr">
        <is>
          <t>영업기간
공사업등록일</t>
        </is>
      </c>
      <c r="B11" s="287" t="inlineStr">
        <is>
          <t>2014.05.29</t>
        </is>
      </c>
      <c r="C11" s="2" t="inlineStr">
        <is>
          <t>3년미만%</t>
        </is>
      </c>
      <c r="D11" s="287" t="inlineStr">
        <is>
          <t>2010.05.31</t>
        </is>
      </c>
      <c r="E11" s="369" t="inlineStr">
        <is>
          <t>1979.11.10</t>
        </is>
      </c>
      <c r="F11" s="10" t="inlineStr">
        <is>
          <t>10년이상%</t>
        </is>
      </c>
      <c r="G11" s="10" t="inlineStr">
        <is>
          <t>10년이상%</t>
        </is>
      </c>
      <c r="H11" s="282" t="inlineStr">
        <is>
          <t>2005.02.04</t>
        </is>
      </c>
      <c r="I11" s="2" t="inlineStr">
        <is>
          <t>10년이상%</t>
        </is>
      </c>
      <c r="J11" s="133" t="inlineStr">
        <is>
          <t>2000.03.28</t>
        </is>
      </c>
      <c r="K11" s="67" t="inlineStr">
        <is>
          <t>2013.02.07</t>
        </is>
      </c>
      <c r="L11" s="11" t="inlineStr">
        <is>
          <t>2018.03.06</t>
        </is>
      </c>
      <c r="M11" s="10" t="inlineStr">
        <is>
          <t>10년이상%</t>
        </is>
      </c>
    </row>
    <row r="12" ht="22.5" customFormat="1" customHeight="1" s="329">
      <c r="A12" s="68" t="inlineStr">
        <is>
          <t>신용평가</t>
        </is>
      </c>
      <c r="B12" s="724" t="inlineStr">
        <is>
          <t>BB+
(25.05.13~26.05.12)</t>
        </is>
      </c>
      <c r="C12" s="803" t="n"/>
      <c r="D12" s="744" t="inlineStr">
        <is>
          <t>BB-
(25.04.14~26.04.13)</t>
        </is>
      </c>
      <c r="E12" s="724" t="inlineStr">
        <is>
          <t>BB-
(25.04.07~26.04.06)</t>
        </is>
      </c>
      <c r="F12" s="736" t="n"/>
      <c r="G12" s="736" t="n"/>
      <c r="H12" s="724" t="inlineStr">
        <is>
          <t>BBB+
(25.04.01~26.03.31)</t>
        </is>
      </c>
      <c r="I12" s="803" t="n"/>
      <c r="J12" s="724" t="inlineStr">
        <is>
          <t>BB0
(25.04.01~26.03.31)</t>
        </is>
      </c>
      <c r="K12" s="736" t="n"/>
      <c r="L12" s="736" t="n"/>
      <c r="M12" s="725" t="inlineStr">
        <is>
          <t>B-
(17.06.26~18.06.25)</t>
        </is>
      </c>
    </row>
    <row r="13" customFormat="1" s="329">
      <c r="A13" s="68" t="inlineStr">
        <is>
          <t>여성기업</t>
        </is>
      </c>
      <c r="B13" s="744" t="n"/>
      <c r="C13" s="803" t="n"/>
      <c r="D13" s="744" t="n"/>
      <c r="E13" s="743" t="n"/>
      <c r="F13" s="736" t="n"/>
      <c r="G13" s="736" t="n"/>
      <c r="H13" s="793" t="n"/>
      <c r="I13" s="803" t="n"/>
      <c r="J13" s="729" t="n"/>
      <c r="K13" s="736" t="n"/>
      <c r="L13" s="736" t="n"/>
      <c r="M13" s="9" t="n"/>
    </row>
    <row r="14" customFormat="1" s="329">
      <c r="A14" s="68" t="inlineStr">
        <is>
          <t>중소기업</t>
        </is>
      </c>
      <c r="B14" s="744" t="n"/>
      <c r="C14" s="803" t="n"/>
      <c r="D14" s="744" t="n"/>
      <c r="E14" s="743" t="n"/>
      <c r="F14" s="736" t="n"/>
      <c r="G14" s="736" t="n"/>
      <c r="H14" s="793" t="n"/>
      <c r="I14" s="803" t="n"/>
      <c r="J14" s="729" t="n"/>
      <c r="K14" s="736" t="n"/>
      <c r="L14" s="736" t="n"/>
      <c r="M14" s="9" t="n"/>
    </row>
    <row r="15" customFormat="1" s="329">
      <c r="A15" s="71" t="inlineStr">
        <is>
          <t>일자리창출실적</t>
        </is>
      </c>
      <c r="B15" s="744" t="n"/>
      <c r="C15" s="803" t="n"/>
      <c r="D15" s="744" t="n"/>
      <c r="E15" s="743" t="n"/>
      <c r="F15" s="736" t="n"/>
      <c r="G15" s="736" t="n"/>
      <c r="H15" s="793" t="n"/>
      <c r="I15" s="803" t="n"/>
      <c r="J15" s="729" t="n"/>
      <c r="K15" s="736" t="n"/>
      <c r="L15" s="736" t="n"/>
      <c r="M15" s="9" t="n"/>
    </row>
    <row r="16" customFormat="1" s="329">
      <c r="A16" s="71" t="inlineStr">
        <is>
          <t>시공품질평가</t>
        </is>
      </c>
      <c r="B16" s="744" t="inlineStr">
        <is>
          <t>없음 (24.05.01)</t>
        </is>
      </c>
      <c r="C16" s="803" t="n"/>
      <c r="D16" s="744" t="n"/>
      <c r="E16" s="743" t="inlineStr">
        <is>
          <t>없음 (24.05.01)</t>
        </is>
      </c>
      <c r="F16" s="736" t="n"/>
      <c r="G16" s="736" t="n"/>
      <c r="H16" s="269" t="inlineStr">
        <is>
          <t>없음 (25.05.01)</t>
        </is>
      </c>
      <c r="I16" s="803" t="n"/>
      <c r="J16" s="729" t="inlineStr">
        <is>
          <t>없음 (24.05.01)</t>
        </is>
      </c>
      <c r="K16" s="736" t="n"/>
      <c r="L16" s="736" t="n"/>
      <c r="M16" s="9" t="n"/>
    </row>
    <row r="17" ht="45" customFormat="1" customHeight="1" s="329">
      <c r="A17" s="68" t="inlineStr">
        <is>
          <t>비  고</t>
        </is>
      </c>
      <c r="B17" s="292" t="inlineStr">
        <is>
          <t>윤명숙
중소기업확인서
(24.04.01~25.03.31)</t>
        </is>
      </c>
      <c r="C17" s="1" t="inlineStr">
        <is>
          <t>송원섭</t>
        </is>
      </c>
      <c r="D17" s="292" t="inlineStr">
        <is>
          <t>서권형
중소기업확인서
(25.04.01~26.03.31)</t>
        </is>
      </c>
      <c r="E17" s="373" t="inlineStr">
        <is>
          <t>김장섭</t>
        </is>
      </c>
      <c r="F17" s="9" t="n"/>
      <c r="G17" s="9" t="inlineStr">
        <is>
          <t>윤한봉</t>
        </is>
      </c>
      <c r="H17" s="273" t="inlineStr">
        <is>
          <t>김장섭
중소기업확인서
(24.04.01~25.03.31)</t>
        </is>
      </c>
      <c r="I17" s="9" t="n"/>
      <c r="J17" s="134" t="n"/>
      <c r="K17" s="1" t="inlineStr">
        <is>
          <t>임태균</t>
        </is>
      </c>
      <c r="L17" s="57" t="inlineStr">
        <is>
          <t>김용길
특10, 고6</t>
        </is>
      </c>
      <c r="M17" s="9" t="n"/>
    </row>
    <row r="18" ht="26.1" customFormat="1" customHeight="1" s="20">
      <c r="A18" s="455" t="inlineStr">
        <is>
          <t>회사명</t>
        </is>
      </c>
      <c r="B18" s="455" t="inlineStr">
        <is>
          <t>(주)솔로몬시스템</t>
        </is>
      </c>
      <c r="C18" s="455" t="inlineStr">
        <is>
          <t>㈜에스피에스</t>
        </is>
      </c>
      <c r="D18" s="455" t="inlineStr">
        <is>
          <t>㈜유성계전</t>
        </is>
      </c>
      <c r="E18" s="603" t="inlineStr">
        <is>
          <t>성원이앤에프(주)</t>
        </is>
      </c>
      <c r="F18" s="455" t="inlineStr">
        <is>
          <t>㈜유니스타</t>
        </is>
      </c>
      <c r="G18" s="455" t="inlineStr">
        <is>
          <t>영전기업㈜</t>
        </is>
      </c>
      <c r="H18" s="455" t="inlineStr">
        <is>
          <t>제이케이이엔씨㈜</t>
        </is>
      </c>
      <c r="I18" s="455" t="inlineStr">
        <is>
          <t>케이에프이㈜</t>
        </is>
      </c>
      <c r="J18" s="455" t="inlineStr">
        <is>
          <t>㈜케이디이앤씨</t>
        </is>
      </c>
      <c r="K18" s="455" t="inlineStr">
        <is>
          <t>㈜태호이앤씨</t>
        </is>
      </c>
      <c r="L18" s="455" t="inlineStr">
        <is>
          <t>㈜한백엔지니어링</t>
        </is>
      </c>
      <c r="M18" s="455" t="inlineStr">
        <is>
          <t>㈜한마루이엔씨</t>
        </is>
      </c>
    </row>
    <row r="19" customFormat="1" s="329">
      <c r="A19" s="68" t="inlineStr">
        <is>
          <t>대표자</t>
        </is>
      </c>
      <c r="B19" s="9" t="inlineStr">
        <is>
          <t>김종화</t>
        </is>
      </c>
      <c r="C19" s="1" t="inlineStr">
        <is>
          <t>이 선</t>
        </is>
      </c>
      <c r="D19" s="9" t="inlineStr">
        <is>
          <t>이진락</t>
        </is>
      </c>
      <c r="E19" s="604" t="inlineStr">
        <is>
          <t>김태규</t>
        </is>
      </c>
      <c r="F19" s="9" t="inlineStr">
        <is>
          <t>이남순</t>
        </is>
      </c>
      <c r="G19" s="1" t="inlineStr">
        <is>
          <t>김건모</t>
        </is>
      </c>
      <c r="H19" s="1" t="inlineStr">
        <is>
          <t>고재운</t>
        </is>
      </c>
      <c r="I19" s="857" t="inlineStr">
        <is>
          <t>김명규</t>
        </is>
      </c>
      <c r="J19" s="9" t="inlineStr">
        <is>
          <t>강민식</t>
        </is>
      </c>
      <c r="K19" s="1" t="inlineStr">
        <is>
          <t>송수정</t>
        </is>
      </c>
      <c r="L19" s="9" t="inlineStr">
        <is>
          <t>이건수</t>
        </is>
      </c>
      <c r="M19" s="1" t="inlineStr">
        <is>
          <t>김광욱</t>
        </is>
      </c>
    </row>
    <row r="20" ht="12" customFormat="1" customHeight="1" s="14">
      <c r="A20" s="68" t="inlineStr">
        <is>
          <t>사업자번호</t>
        </is>
      </c>
      <c r="B20" s="9" t="inlineStr">
        <is>
          <t>131-81-91503</t>
        </is>
      </c>
      <c r="C20" s="1" t="inlineStr">
        <is>
          <t>137-86-15401</t>
        </is>
      </c>
      <c r="D20" s="9" t="inlineStr">
        <is>
          <t>137-81-13015</t>
        </is>
      </c>
      <c r="E20" s="604" t="inlineStr">
        <is>
          <t>864-88-02701</t>
        </is>
      </c>
      <c r="F20" s="9" t="inlineStr">
        <is>
          <t>121-81-48649</t>
        </is>
      </c>
      <c r="G20" s="1" t="inlineStr">
        <is>
          <t>121-81-82220</t>
        </is>
      </c>
      <c r="H20" s="4" t="inlineStr">
        <is>
          <t>474-87-00406</t>
        </is>
      </c>
      <c r="I20" s="65" t="inlineStr">
        <is>
          <t xml:space="preserve"> 132-81-42679  </t>
        </is>
      </c>
      <c r="J20" s="59" t="inlineStr">
        <is>
          <t>131-81-98850</t>
        </is>
      </c>
      <c r="K20" s="4" t="inlineStr">
        <is>
          <t>410-86-11144</t>
        </is>
      </c>
      <c r="L20" s="9" t="inlineStr">
        <is>
          <t>131-81-58635</t>
        </is>
      </c>
      <c r="M20" s="1" t="inlineStr">
        <is>
          <t>113-81-53141</t>
        </is>
      </c>
    </row>
    <row r="21" ht="12" customFormat="1" customHeight="1" s="14">
      <c r="A21" s="68" t="inlineStr">
        <is>
          <t>지역</t>
        </is>
      </c>
      <c r="B21" s="9" t="inlineStr">
        <is>
          <t>인천 남동</t>
        </is>
      </c>
      <c r="C21" s="1" t="inlineStr">
        <is>
          <t>인천광역시 계양구</t>
        </is>
      </c>
      <c r="D21" s="9" t="inlineStr">
        <is>
          <t>인천 남동구</t>
        </is>
      </c>
      <c r="E21" s="604" t="inlineStr">
        <is>
          <t>인천광역시 계양구</t>
        </is>
      </c>
      <c r="F21" s="9" t="inlineStr">
        <is>
          <t>인천 서구</t>
        </is>
      </c>
      <c r="G21" s="1" t="inlineStr">
        <is>
          <t>인천 남구</t>
        </is>
      </c>
      <c r="H21" s="732" t="inlineStr">
        <is>
          <t>인천광역시 동구</t>
        </is>
      </c>
      <c r="I21" s="857" t="inlineStr">
        <is>
          <t>인천광역시 남동구</t>
        </is>
      </c>
      <c r="J21" s="9" t="inlineStr">
        <is>
          <t>인천 남동</t>
        </is>
      </c>
      <c r="K21" s="732" t="inlineStr">
        <is>
          <t>인천광역시 서구</t>
        </is>
      </c>
      <c r="L21" s="9" t="inlineStr">
        <is>
          <t>인천광역시 남동구</t>
        </is>
      </c>
      <c r="M21" s="1" t="inlineStr">
        <is>
          <t>인천광역시 계양구</t>
        </is>
      </c>
    </row>
    <row r="22" ht="12" customFormat="1" customHeight="1" s="14">
      <c r="A22" s="68" t="inlineStr">
        <is>
          <t>통신시공능력</t>
        </is>
      </c>
      <c r="B22" s="752" t="n">
        <v>1366300000</v>
      </c>
      <c r="C22" s="732" t="n">
        <v>3893700000</v>
      </c>
      <c r="D22" s="752" t="n">
        <v>583900000</v>
      </c>
      <c r="E22" s="830" t="n">
        <v>615700000</v>
      </c>
      <c r="F22" s="752" t="n">
        <v>5044100000</v>
      </c>
      <c r="G22" s="804" t="n">
        <v>485700000</v>
      </c>
      <c r="H22" s="732" t="n">
        <v>1740200000</v>
      </c>
      <c r="I22" s="732" t="n">
        <v>3645300000</v>
      </c>
      <c r="J22" s="752" t="n">
        <v>1850600000</v>
      </c>
      <c r="K22" s="732" t="n">
        <v>1351600000</v>
      </c>
      <c r="L22" s="815" t="n">
        <v>1022400000</v>
      </c>
      <c r="M22" s="732" t="n">
        <v>801200000</v>
      </c>
    </row>
    <row r="23" ht="12" customFormat="1" customHeight="1" s="14">
      <c r="A23" s="68" t="inlineStr">
        <is>
          <t>3년간 실적액</t>
        </is>
      </c>
      <c r="B23" s="752" t="n"/>
      <c r="C23" s="732" t="n">
        <v>5080684000</v>
      </c>
      <c r="D23" s="752" t="n">
        <v>187874000</v>
      </c>
      <c r="E23" s="830" t="n">
        <v>0</v>
      </c>
      <c r="F23" s="752" t="n">
        <v>8192445000</v>
      </c>
      <c r="G23" s="804" t="n">
        <v>292858000</v>
      </c>
      <c r="H23" s="732" t="n">
        <v>2143782000</v>
      </c>
      <c r="I23" s="732" t="n">
        <v>4022859000</v>
      </c>
      <c r="J23" s="752" t="n">
        <v>806374000</v>
      </c>
      <c r="K23" s="732" t="n">
        <v>1449392000</v>
      </c>
      <c r="L23" s="756" t="n">
        <v>670557000</v>
      </c>
      <c r="M23" s="732" t="n">
        <v>458585000</v>
      </c>
    </row>
    <row r="24" customFormat="1" s="15">
      <c r="A24" s="68" t="inlineStr">
        <is>
          <t>5년간 실적액</t>
        </is>
      </c>
      <c r="B24" s="752" t="n"/>
      <c r="C24" s="732" t="n">
        <v>5107649000</v>
      </c>
      <c r="D24" s="752" t="n">
        <v>187874000</v>
      </c>
      <c r="E24" s="830" t="n">
        <v>0</v>
      </c>
      <c r="F24" s="752" t="n">
        <v>10896756000</v>
      </c>
      <c r="G24" s="810" t="n">
        <v>644973000</v>
      </c>
      <c r="H24" s="732" t="n">
        <v>2395721000</v>
      </c>
      <c r="I24" s="732" t="n">
        <v>5335123000</v>
      </c>
      <c r="J24" s="752" t="n">
        <v>1876784000</v>
      </c>
      <c r="K24" s="732" t="n">
        <v>2153095000</v>
      </c>
      <c r="L24" s="756" t="n">
        <v>884836000</v>
      </c>
      <c r="M24" s="732" t="n">
        <v>780632000</v>
      </c>
    </row>
    <row r="25" customFormat="1" s="790">
      <c r="A25" s="855" t="inlineStr">
        <is>
          <t>부채비율</t>
        </is>
      </c>
      <c r="B25" s="10" t="n"/>
      <c r="C25" s="66" t="n">
        <v>1.6371</v>
      </c>
      <c r="D25" s="10" t="n">
        <v>0.0896</v>
      </c>
      <c r="E25" s="607" t="n">
        <v>0.3097</v>
      </c>
      <c r="F25" s="10" t="n">
        <v>1.5428</v>
      </c>
      <c r="G25" s="2" t="n">
        <v>0.4498</v>
      </c>
      <c r="H25" s="2" t="n">
        <v>0.1038</v>
      </c>
      <c r="I25" s="2" t="n">
        <v>0.3286</v>
      </c>
      <c r="J25" s="10" t="n">
        <v>0.1902</v>
      </c>
      <c r="K25" s="2" t="n">
        <v>0.0953</v>
      </c>
      <c r="L25" s="10" t="n">
        <v>0.2564</v>
      </c>
      <c r="M25" s="2" t="n">
        <v>0.4669</v>
      </c>
      <c r="N25" s="750" t="n"/>
    </row>
    <row r="26" customFormat="1" s="790">
      <c r="A26" s="855" t="inlineStr">
        <is>
          <t>유동비율</t>
        </is>
      </c>
      <c r="B26" s="10" t="n"/>
      <c r="C26" s="2" t="n">
        <v>7.1805</v>
      </c>
      <c r="D26" s="10" t="n">
        <v>4.6532</v>
      </c>
      <c r="E26" s="607" t="n">
        <v>3.8969</v>
      </c>
      <c r="F26" s="10" t="n">
        <v>1.0435</v>
      </c>
      <c r="G26" s="2" t="n">
        <v>3.3697</v>
      </c>
      <c r="H26" s="2" t="n">
        <v>16.0926</v>
      </c>
      <c r="I26" s="2" t="n">
        <v>4.6616</v>
      </c>
      <c r="J26" s="10" t="n">
        <v>2.648</v>
      </c>
      <c r="K26" s="2" t="n">
        <v>10.0239</v>
      </c>
      <c r="L26" s="10" t="n">
        <v>7.1641</v>
      </c>
      <c r="M26" s="2" t="n">
        <v>7.659</v>
      </c>
      <c r="N26" s="750" t="n"/>
    </row>
    <row r="27" ht="24" customFormat="1" customHeight="1" s="790">
      <c r="A27" s="856" t="inlineStr">
        <is>
          <t>영업기간
공사업등록일</t>
        </is>
      </c>
      <c r="B27" s="10" t="n"/>
      <c r="C27" s="67" t="inlineStr">
        <is>
          <t>2015.05.18</t>
        </is>
      </c>
      <c r="D27" s="11" t="inlineStr">
        <is>
          <t>2007.12.04</t>
        </is>
      </c>
      <c r="E27" s="607" t="inlineStr">
        <is>
          <t>2025.12.03</t>
        </is>
      </c>
      <c r="F27" s="10" t="inlineStr">
        <is>
          <t>10년이상%</t>
        </is>
      </c>
      <c r="G27" s="2" t="inlineStr">
        <is>
          <t>5년이상%</t>
        </is>
      </c>
      <c r="H27" s="67" t="inlineStr">
        <is>
          <t>2016.06.17</t>
        </is>
      </c>
      <c r="I27" s="2" t="inlineStr">
        <is>
          <t>2014.04.28</t>
        </is>
      </c>
      <c r="J27" s="11" t="inlineStr">
        <is>
          <t>2007.11.26</t>
        </is>
      </c>
      <c r="K27" s="67" t="inlineStr">
        <is>
          <t>1995.12.13</t>
        </is>
      </c>
      <c r="L27" s="10" t="inlineStr">
        <is>
          <t>2014.08.12</t>
        </is>
      </c>
      <c r="M27" s="67" t="inlineStr">
        <is>
          <t>2016.06.16</t>
        </is>
      </c>
    </row>
    <row r="28" ht="22.5" customFormat="1" customHeight="1" s="329">
      <c r="A28" s="68" t="inlineStr">
        <is>
          <t>신용평가</t>
        </is>
      </c>
      <c r="B28" s="12" t="n"/>
      <c r="C28" s="725" t="inlineStr">
        <is>
          <t>BB+
(20.04.29~21.04.28)</t>
        </is>
      </c>
      <c r="D28" s="736" t="n"/>
      <c r="E28" s="858" t="n"/>
      <c r="F28" s="736" t="inlineStr">
        <is>
          <t>B+</t>
        </is>
      </c>
      <c r="G28" s="62" t="n"/>
      <c r="H28" s="736" t="n"/>
      <c r="I28" s="725" t="inlineStr">
        <is>
          <t>BBB-
(23.06.07~24.06.06)</t>
        </is>
      </c>
      <c r="J28" s="725" t="inlineStr">
        <is>
          <t>BB+
(16.04.05~17.04.04)</t>
        </is>
      </c>
      <c r="K28" s="725" t="inlineStr">
        <is>
          <t>BBB-
(21.05.25~22.05.24)</t>
        </is>
      </c>
      <c r="L28" s="725" t="inlineStr">
        <is>
          <t>BB+
(23.04.14~24.04.13)</t>
        </is>
      </c>
      <c r="M28" s="736" t="n"/>
    </row>
    <row r="29" customFormat="1" s="329">
      <c r="A29" s="68" t="inlineStr">
        <is>
          <t>여성기업</t>
        </is>
      </c>
      <c r="B29" s="12" t="n"/>
      <c r="C29" s="736" t="n"/>
      <c r="D29" s="736" t="n"/>
      <c r="E29" s="858" t="n"/>
      <c r="F29" s="736" t="n"/>
      <c r="G29" s="62" t="n"/>
      <c r="H29" s="736" t="n"/>
      <c r="I29" s="736" t="n"/>
      <c r="J29" s="736" t="n"/>
      <c r="K29" s="736" t="n"/>
      <c r="L29" s="736" t="n"/>
      <c r="M29" s="736" t="n"/>
    </row>
    <row r="30" customFormat="1" s="329">
      <c r="A30" s="68" t="inlineStr">
        <is>
          <t>중소기업</t>
        </is>
      </c>
      <c r="B30" s="12" t="n"/>
      <c r="C30" s="736" t="n"/>
      <c r="D30" s="736" t="n"/>
      <c r="E30" s="736" t="n"/>
      <c r="F30" s="736" t="n"/>
      <c r="G30" s="62" t="n"/>
      <c r="H30" s="736" t="n"/>
      <c r="I30" s="736" t="n"/>
      <c r="J30" s="736" t="n"/>
      <c r="K30" s="736" t="n"/>
      <c r="L30" s="736" t="n"/>
      <c r="M30" s="736" t="n"/>
    </row>
    <row r="31" customFormat="1" s="329">
      <c r="A31" s="71" t="inlineStr">
        <is>
          <t>일자리창출실적</t>
        </is>
      </c>
      <c r="B31" s="12" t="n"/>
      <c r="C31" s="736" t="n"/>
      <c r="D31" s="736" t="n"/>
      <c r="E31" s="858" t="n"/>
      <c r="F31" s="736" t="n"/>
      <c r="G31" s="62" t="n"/>
      <c r="H31" s="736" t="n"/>
      <c r="I31" s="736" t="n"/>
      <c r="J31" s="736" t="n"/>
      <c r="K31" s="736" t="n"/>
      <c r="L31" s="736" t="n"/>
      <c r="M31" s="736" t="n"/>
    </row>
    <row r="32" customFormat="1" s="329">
      <c r="A32" s="71" t="inlineStr">
        <is>
          <t>시공품질평가</t>
        </is>
      </c>
      <c r="B32" s="12" t="n"/>
      <c r="C32" s="736" t="n"/>
      <c r="D32" s="736" t="n"/>
      <c r="E32" s="858" t="n"/>
      <c r="F32" s="736" t="n"/>
      <c r="G32" s="62" t="n"/>
      <c r="H32" s="736" t="n"/>
      <c r="I32" s="795" t="inlineStr">
        <is>
          <t>없음 (24.05.01)</t>
        </is>
      </c>
      <c r="J32" s="736" t="n"/>
      <c r="K32" s="736" t="n"/>
      <c r="L32" s="795" t="inlineStr">
        <is>
          <t>없음 (24.05.01)</t>
        </is>
      </c>
      <c r="M32" s="736" t="n"/>
    </row>
    <row r="33" ht="22.5" customFormat="1" customHeight="1" s="329">
      <c r="A33" s="68" t="inlineStr">
        <is>
          <t>비  고</t>
        </is>
      </c>
      <c r="B33" s="9" t="inlineStr">
        <is>
          <t>송종윤</t>
        </is>
      </c>
      <c r="C33" s="9" t="n"/>
      <c r="D33" s="9" t="inlineStr">
        <is>
          <t>윤한봉</t>
        </is>
      </c>
      <c r="E33" s="604" t="inlineStr">
        <is>
          <t>허민선</t>
        </is>
      </c>
      <c r="F33" s="9" t="inlineStr">
        <is>
          <t>윤한봉</t>
        </is>
      </c>
      <c r="G33" s="1" t="inlineStr">
        <is>
          <t>홍정구</t>
        </is>
      </c>
      <c r="H33" s="73" t="inlineStr">
        <is>
          <t>새천년이엔씨
소프트웨어사업자</t>
        </is>
      </c>
      <c r="I33" s="1" t="inlineStr">
        <is>
          <t>한기수010-2204-8598</t>
        </is>
      </c>
      <c r="J33" s="9" t="inlineStr">
        <is>
          <t>조재진</t>
        </is>
      </c>
      <c r="K33" s="1" t="inlineStr">
        <is>
          <t>보선 자회사</t>
        </is>
      </c>
      <c r="L33" s="9" t="inlineStr">
        <is>
          <t>윤명숙</t>
        </is>
      </c>
      <c r="M33" s="1" t="inlineStr">
        <is>
          <t>조동규</t>
        </is>
      </c>
    </row>
    <row r="34" ht="26.1" customHeight="1" s="16">
      <c r="A34" s="455" t="inlineStr">
        <is>
          <t>회사명</t>
        </is>
      </c>
      <c r="B34" s="455" t="inlineStr">
        <is>
          <t>킹스엔지니어링㈜</t>
        </is>
      </c>
      <c r="C34" s="455" t="inlineStr">
        <is>
          <t>㈜문형이엔씨</t>
        </is>
      </c>
      <c r="D34" s="455" t="inlineStr">
        <is>
          <t>㈜에스엠텔</t>
        </is>
      </c>
      <c r="E34" s="455" t="inlineStr">
        <is>
          <t>㈜디에이건설</t>
        </is>
      </c>
      <c r="F34" s="455" t="inlineStr">
        <is>
          <t>중양산업건설㈜</t>
        </is>
      </c>
      <c r="G34" s="455" t="inlineStr">
        <is>
          <t xml:space="preserve"> ㈜다올엠에스</t>
        </is>
      </c>
      <c r="H34" s="455" t="inlineStr">
        <is>
          <t>㈜인우이앤지</t>
        </is>
      </c>
      <c r="I34" s="455" t="inlineStr">
        <is>
          <t>㈜선경기전</t>
        </is>
      </c>
      <c r="J34" s="455" t="inlineStr">
        <is>
          <t>세이콘㈜</t>
        </is>
      </c>
      <c r="K34" s="455" t="inlineStr">
        <is>
          <t>가을정보통신</t>
        </is>
      </c>
      <c r="L34" s="455" t="inlineStr">
        <is>
          <t>대일코리아㈜</t>
        </is>
      </c>
      <c r="M34" s="455" t="inlineStr">
        <is>
          <t>㈜대연이노텍</t>
        </is>
      </c>
    </row>
    <row r="35">
      <c r="A35" s="68" t="inlineStr">
        <is>
          <t>대표자</t>
        </is>
      </c>
      <c r="B35" s="1" t="inlineStr">
        <is>
          <t>안상범</t>
        </is>
      </c>
      <c r="C35" s="1" t="inlineStr">
        <is>
          <t>안문희</t>
        </is>
      </c>
      <c r="D35" s="1" t="inlineStr">
        <is>
          <t>정혜경</t>
        </is>
      </c>
      <c r="E35" s="857" t="inlineStr">
        <is>
          <t xml:space="preserve"> 김용주</t>
        </is>
      </c>
      <c r="F35" s="857" t="inlineStr">
        <is>
          <t>나양종</t>
        </is>
      </c>
      <c r="G35" s="93" t="inlineStr">
        <is>
          <t>류현정</t>
        </is>
      </c>
      <c r="H35" s="9" t="inlineStr">
        <is>
          <t>방인석</t>
        </is>
      </c>
      <c r="I35" s="375" t="inlineStr">
        <is>
          <t>양부석</t>
        </is>
      </c>
      <c r="J35" s="859" t="inlineStr">
        <is>
          <t>강주현</t>
        </is>
      </c>
      <c r="K35" s="9" t="inlineStr">
        <is>
          <t>신예지</t>
        </is>
      </c>
      <c r="L35" s="93" t="inlineStr">
        <is>
          <t>장미화</t>
        </is>
      </c>
      <c r="M35" s="420" t="inlineStr">
        <is>
          <t>임선자</t>
        </is>
      </c>
    </row>
    <row r="36">
      <c r="A36" s="68" t="inlineStr">
        <is>
          <t>사업자번호</t>
        </is>
      </c>
      <c r="B36" s="4" t="inlineStr">
        <is>
          <t>113-81-60040</t>
        </is>
      </c>
      <c r="C36" s="1" t="inlineStr">
        <is>
          <t>558-86-00575</t>
        </is>
      </c>
      <c r="D36" s="1" t="inlineStr">
        <is>
          <t>121-81-65819</t>
        </is>
      </c>
      <c r="E36" s="65" t="inlineStr">
        <is>
          <t xml:space="preserve"> 131-81-22840</t>
        </is>
      </c>
      <c r="F36" s="65" t="inlineStr">
        <is>
          <t>119-81-15733</t>
        </is>
      </c>
      <c r="G36" s="93" t="inlineStr">
        <is>
          <t>465-87-01788</t>
        </is>
      </c>
      <c r="H36" s="9" t="inlineStr">
        <is>
          <t>137-81-92795</t>
        </is>
      </c>
      <c r="I36" s="376" t="inlineStr">
        <is>
          <t>122-86-42172</t>
        </is>
      </c>
      <c r="J36" s="118" t="inlineStr">
        <is>
          <t>310-81-2843</t>
        </is>
      </c>
      <c r="K36" s="59" t="inlineStr">
        <is>
          <t>687-28-01682</t>
        </is>
      </c>
      <c r="L36" s="106" t="inlineStr">
        <is>
          <t>121-81-83781</t>
        </is>
      </c>
      <c r="M36" s="421" t="inlineStr">
        <is>
          <t>823-86-02064</t>
        </is>
      </c>
    </row>
    <row r="37">
      <c r="A37" s="68" t="inlineStr">
        <is>
          <t>지역</t>
        </is>
      </c>
      <c r="B37" s="732" t="inlineStr">
        <is>
          <t>인천광역시 부평구</t>
        </is>
      </c>
      <c r="C37" s="1" t="inlineStr">
        <is>
          <t>인천광역시 서구</t>
        </is>
      </c>
      <c r="D37" s="1" t="inlineStr">
        <is>
          <t>인천광역시 남동구</t>
        </is>
      </c>
      <c r="E37" s="857" t="inlineStr">
        <is>
          <t>인천광역시 남동구</t>
        </is>
      </c>
      <c r="F37" s="857" t="inlineStr">
        <is>
          <t>인천광역시 남동구</t>
        </is>
      </c>
      <c r="G37" s="93" t="inlineStr">
        <is>
          <t>인천광역시 서구</t>
        </is>
      </c>
      <c r="H37" s="9" t="inlineStr">
        <is>
          <t>인천광역시 남동구</t>
        </is>
      </c>
      <c r="I37" s="860" t="inlineStr">
        <is>
          <t>인천광역시 계양구</t>
        </is>
      </c>
      <c r="J37" s="859" t="inlineStr">
        <is>
          <t>인천광역시 부평구</t>
        </is>
      </c>
      <c r="K37" s="9" t="inlineStr">
        <is>
          <t>인천광역시 미추홀구</t>
        </is>
      </c>
      <c r="L37" s="777" t="inlineStr">
        <is>
          <t>인천광역시 미추훌구</t>
        </is>
      </c>
      <c r="M37" s="420" t="inlineStr">
        <is>
          <t>인천광역시 연수구</t>
        </is>
      </c>
    </row>
    <row r="38">
      <c r="A38" s="68" t="inlineStr">
        <is>
          <t>통신시공능력</t>
        </is>
      </c>
      <c r="B38" s="732" t="n">
        <v>1578000000</v>
      </c>
      <c r="C38" s="732" t="n">
        <v>1614700000</v>
      </c>
      <c r="D38" s="732" t="n">
        <v>13025400000</v>
      </c>
      <c r="E38" s="732" t="n">
        <v>1419000000</v>
      </c>
      <c r="F38" s="732" t="n">
        <v>540000000</v>
      </c>
      <c r="G38" s="777" t="n">
        <v>1313700000</v>
      </c>
      <c r="H38" s="756" t="n">
        <v>3483400000</v>
      </c>
      <c r="I38" s="861" t="n">
        <v>1953800000</v>
      </c>
      <c r="J38" s="752" t="n">
        <v>999200000</v>
      </c>
      <c r="K38" s="777" t="n">
        <v>681300000</v>
      </c>
      <c r="L38" s="777" t="n">
        <v>1237800000</v>
      </c>
      <c r="M38" s="862" t="n">
        <v>2302400000</v>
      </c>
    </row>
    <row r="39">
      <c r="A39" s="68" t="inlineStr">
        <is>
          <t>3년간 실적액</t>
        </is>
      </c>
      <c r="B39" s="732" t="n">
        <v>325552000</v>
      </c>
      <c r="C39" s="732" t="n">
        <v>2266838000</v>
      </c>
      <c r="D39" s="732" t="n">
        <v>18130858000</v>
      </c>
      <c r="E39" s="732" t="n">
        <v>888900000</v>
      </c>
      <c r="F39" s="732" t="n">
        <v>0</v>
      </c>
      <c r="G39" s="777" t="n">
        <v>1523604000</v>
      </c>
      <c r="H39" s="756" t="n">
        <v>2049215000</v>
      </c>
      <c r="I39" s="861" t="n">
        <v>571923000</v>
      </c>
      <c r="J39" s="752" t="n">
        <v>889553000</v>
      </c>
      <c r="K39" s="752" t="n">
        <v>0</v>
      </c>
      <c r="L39" s="777" t="n">
        <v>241983000</v>
      </c>
      <c r="M39" s="862" t="n">
        <v>3417064000</v>
      </c>
    </row>
    <row r="40">
      <c r="A40" s="68" t="inlineStr">
        <is>
          <t>5년간 실적액</t>
        </is>
      </c>
      <c r="B40" s="732" t="n">
        <v>812863000</v>
      </c>
      <c r="C40" s="732" t="n">
        <v>2266838000</v>
      </c>
      <c r="D40" s="732" t="n">
        <v>31936157000</v>
      </c>
      <c r="E40" s="732" t="n">
        <v>888900000</v>
      </c>
      <c r="F40" s="732" t="n">
        <v>0</v>
      </c>
      <c r="G40" s="777" t="n">
        <v>5079185000</v>
      </c>
      <c r="H40" s="806" t="n">
        <v>2780058000</v>
      </c>
      <c r="I40" s="861" t="n">
        <v>571923000</v>
      </c>
      <c r="J40" s="752" t="n">
        <v>1783236000</v>
      </c>
      <c r="K40" s="752" t="n">
        <v>0</v>
      </c>
      <c r="L40" s="777" t="n">
        <v>3281190000</v>
      </c>
      <c r="M40" s="862" t="n">
        <v>7369396000</v>
      </c>
    </row>
    <row r="41">
      <c r="A41" s="855" t="inlineStr">
        <is>
          <t>부채비율</t>
        </is>
      </c>
      <c r="B41" s="2" t="n">
        <v>0.098</v>
      </c>
      <c r="C41" s="2" t="n">
        <v>0.2606</v>
      </c>
      <c r="D41" s="2" t="n">
        <v>0.0474</v>
      </c>
      <c r="E41" s="66" t="n">
        <v>0.9373</v>
      </c>
      <c r="F41" s="77" t="n">
        <v>0.1499</v>
      </c>
      <c r="G41" s="101" t="n">
        <v>0.4736</v>
      </c>
      <c r="H41" s="47" t="n">
        <v>0.0771</v>
      </c>
      <c r="I41" s="380" t="n">
        <v>0.2342</v>
      </c>
      <c r="J41" s="10" t="n">
        <v>0.2275</v>
      </c>
      <c r="K41" s="10" t="n">
        <v>0.0333</v>
      </c>
      <c r="L41" s="101" t="n">
        <v>0.2982</v>
      </c>
      <c r="M41" s="422" t="n">
        <v>0.3623</v>
      </c>
      <c r="N41" s="750" t="n"/>
    </row>
    <row r="42">
      <c r="A42" s="855" t="inlineStr">
        <is>
          <t>유동비율</t>
        </is>
      </c>
      <c r="B42" s="2" t="n">
        <v>7.9775</v>
      </c>
      <c r="C42" s="2" t="n">
        <v>3.7088</v>
      </c>
      <c r="D42" s="2" t="n">
        <v>21.7158</v>
      </c>
      <c r="E42" s="2" t="n">
        <v>2.2049</v>
      </c>
      <c r="F42" s="77" t="n">
        <v>6.9819</v>
      </c>
      <c r="G42" s="101" t="n">
        <v>6.9395</v>
      </c>
      <c r="H42" s="47" t="n">
        <v>11.8984</v>
      </c>
      <c r="I42" s="380" t="n">
        <v>4.9168</v>
      </c>
      <c r="J42" s="10" t="n">
        <v>3.0501</v>
      </c>
      <c r="K42" s="10" t="n">
        <v>30</v>
      </c>
      <c r="L42" s="101" t="n">
        <v>5.7644</v>
      </c>
      <c r="M42" s="422" t="n">
        <v>2.7494</v>
      </c>
      <c r="N42" s="750" t="n"/>
    </row>
    <row r="43" ht="24" customHeight="1" s="16">
      <c r="A43" s="856" t="inlineStr">
        <is>
          <t>영업기간
공사업등록일</t>
        </is>
      </c>
      <c r="B43" s="67" t="inlineStr">
        <is>
          <t>2015.01.26</t>
        </is>
      </c>
      <c r="C43" s="2" t="inlineStr">
        <is>
          <t>2017.11.02</t>
        </is>
      </c>
      <c r="D43" s="67" t="inlineStr">
        <is>
          <t>2002.03.22</t>
        </is>
      </c>
      <c r="E43" s="67" t="inlineStr">
        <is>
          <t>2020.09.11</t>
        </is>
      </c>
      <c r="F43" s="67" t="inlineStr">
        <is>
          <t>2023.02.23</t>
        </is>
      </c>
      <c r="G43" s="863" t="inlineStr">
        <is>
          <t>2018.11.21</t>
        </is>
      </c>
      <c r="H43" s="10" t="inlineStr">
        <is>
          <t>2006.03.23</t>
        </is>
      </c>
      <c r="I43" s="378" t="inlineStr">
        <is>
          <t>2023.12.20</t>
        </is>
      </c>
      <c r="J43" s="10" t="inlineStr">
        <is>
          <t>2017.07.04</t>
        </is>
      </c>
      <c r="K43" s="11" t="inlineStr">
        <is>
          <t>2023.05.04</t>
        </is>
      </c>
      <c r="L43" s="98" t="inlineStr">
        <is>
          <t>2007.11.27</t>
        </is>
      </c>
      <c r="M43" s="423" t="inlineStr">
        <is>
          <t>2000.08.02</t>
        </is>
      </c>
    </row>
    <row r="44" ht="32.45" customHeight="1" s="16">
      <c r="A44" s="68" t="inlineStr">
        <is>
          <t>신용평가</t>
        </is>
      </c>
      <c r="B44" s="736" t="n"/>
      <c r="C44" s="12" t="n"/>
      <c r="D44" s="736" t="n"/>
      <c r="E44" s="725" t="inlineStr">
        <is>
          <t>A-
(22.04.26~23.04.25)</t>
        </is>
      </c>
      <c r="F44" s="725" t="inlineStr">
        <is>
          <t>BB0
(22.06.22~23.06.21)</t>
        </is>
      </c>
      <c r="G44" s="736" t="n"/>
      <c r="H44" s="157" t="inlineStr">
        <is>
          <t>BB0
(23.05.26~24.05.25)</t>
        </is>
      </c>
      <c r="I44" s="811" t="inlineStr">
        <is>
          <t>BB0
(25.06.25~26.06.24)</t>
        </is>
      </c>
      <c r="J44" s="736" t="n"/>
      <c r="K44" s="736" t="n"/>
      <c r="L44" s="743" t="inlineStr">
        <is>
          <t>BB0
(25.04.21~26.04.20)</t>
        </is>
      </c>
      <c r="M44" s="152" t="inlineStr">
        <is>
          <t>BB0
(25.04.10~26.04.09)</t>
        </is>
      </c>
    </row>
    <row r="45">
      <c r="A45" s="68" t="inlineStr">
        <is>
          <t>여성기업</t>
        </is>
      </c>
      <c r="B45" s="736" t="n"/>
      <c r="C45" s="12" t="n"/>
      <c r="D45" s="736" t="n"/>
      <c r="E45" s="736" t="n"/>
      <c r="F45" s="736" t="n"/>
      <c r="G45" s="736" t="n"/>
      <c r="H45" s="62" t="n"/>
      <c r="I45" s="811" t="n"/>
      <c r="J45" s="736" t="n"/>
      <c r="K45" s="736" t="n"/>
      <c r="L45" s="736" t="n"/>
      <c r="M45" s="864" t="n"/>
    </row>
    <row r="46">
      <c r="A46" s="68" t="inlineStr">
        <is>
          <t>중소기업</t>
        </is>
      </c>
      <c r="B46" s="736" t="n"/>
      <c r="C46" s="12" t="n"/>
      <c r="D46" s="736" t="n"/>
      <c r="E46" s="736" t="n"/>
      <c r="F46" s="736" t="n"/>
      <c r="G46" s="736" t="n"/>
      <c r="H46" s="62" t="n"/>
      <c r="I46" s="811" t="n"/>
      <c r="J46" s="736" t="n"/>
      <c r="K46" s="736" t="n"/>
      <c r="L46" s="736" t="n"/>
      <c r="M46" s="864" t="n"/>
    </row>
    <row r="47">
      <c r="A47" s="71" t="inlineStr">
        <is>
          <t>일자리창출실적</t>
        </is>
      </c>
      <c r="B47" s="736" t="n"/>
      <c r="C47" s="12" t="n"/>
      <c r="D47" s="736" t="n"/>
      <c r="E47" s="736" t="n"/>
      <c r="F47" s="736" t="n"/>
      <c r="G47" s="736" t="n"/>
      <c r="H47" s="62" t="n"/>
      <c r="I47" s="811" t="n"/>
      <c r="J47" s="736" t="n"/>
      <c r="K47" s="736" t="n"/>
      <c r="L47" s="736" t="n"/>
      <c r="M47" s="864" t="n"/>
    </row>
    <row r="48">
      <c r="A48" s="71" t="inlineStr">
        <is>
          <t>시공품질평가</t>
        </is>
      </c>
      <c r="B48" s="736" t="n"/>
      <c r="C48" s="12" t="n"/>
      <c r="D48" s="736" t="n"/>
      <c r="E48" s="736" t="n"/>
      <c r="F48" s="736" t="n"/>
      <c r="G48" s="736" t="n"/>
      <c r="H48" s="795" t="inlineStr">
        <is>
          <t>없음 (24.05.01)</t>
        </is>
      </c>
      <c r="I48" s="811" t="n"/>
      <c r="J48" s="736" t="n"/>
      <c r="K48" s="736" t="n"/>
      <c r="L48" s="736" t="n"/>
      <c r="M48" s="864" t="n"/>
    </row>
    <row r="49" ht="35.25" customHeight="1" s="16">
      <c r="A49" s="68" t="inlineStr">
        <is>
          <t>비  고</t>
        </is>
      </c>
      <c r="B49" s="1" t="inlineStr">
        <is>
          <t>구본진</t>
        </is>
      </c>
      <c r="C49" s="1" t="inlineStr">
        <is>
          <t>구본진</t>
        </is>
      </c>
      <c r="D49" s="1" t="inlineStr">
        <is>
          <t>여인백</t>
        </is>
      </c>
      <c r="E49" s="1" t="inlineStr">
        <is>
          <t>임태균</t>
        </is>
      </c>
      <c r="F49" s="73" t="inlineStr">
        <is>
          <t>중소기업확인서
(23.03.23~24.03.31)
서권형</t>
        </is>
      </c>
      <c r="G49" s="93" t="inlineStr">
        <is>
          <t>여인백</t>
        </is>
      </c>
      <c r="H49" s="9" t="n"/>
      <c r="I49" s="379" t="inlineStr">
        <is>
          <t>허민선</t>
        </is>
      </c>
      <c r="J49" s="9" t="inlineStr">
        <is>
          <t>송종윤</t>
        </is>
      </c>
      <c r="K49" s="9" t="inlineStr">
        <is>
          <t>박재웅</t>
        </is>
      </c>
      <c r="L49" s="93" t="inlineStr">
        <is>
          <t>여인백</t>
        </is>
      </c>
      <c r="M49" s="420" t="inlineStr">
        <is>
          <t>송용주</t>
        </is>
      </c>
    </row>
    <row r="50" ht="26.1" customHeight="1" s="16">
      <c r="A50" s="455" t="inlineStr">
        <is>
          <t>회사명</t>
        </is>
      </c>
      <c r="B50" s="455" t="inlineStr">
        <is>
          <t>㈜호성</t>
        </is>
      </c>
      <c r="C50" s="455" t="n"/>
      <c r="D50" s="455" t="n"/>
      <c r="E50" s="455" t="n"/>
      <c r="F50" s="455" t="n"/>
      <c r="G50" s="455" t="n"/>
      <c r="H50" s="455" t="n"/>
      <c r="I50" s="455" t="n"/>
      <c r="J50" s="455" t="n"/>
      <c r="K50" s="455" t="n"/>
      <c r="L50" s="455" t="n"/>
      <c r="M50" s="455" t="n"/>
    </row>
    <row r="51">
      <c r="A51" s="68" t="inlineStr">
        <is>
          <t>대표자</t>
        </is>
      </c>
      <c r="B51" s="1" t="inlineStr">
        <is>
          <t>신원아</t>
        </is>
      </c>
      <c r="C51" s="9" t="n"/>
      <c r="D51" s="9" t="n"/>
      <c r="E51" s="859" t="n"/>
      <c r="F51" s="859" t="n"/>
      <c r="G51" s="859" t="n"/>
      <c r="H51" s="859" t="n"/>
      <c r="I51" s="859" t="n"/>
      <c r="J51" s="859" t="n"/>
      <c r="K51" s="859" t="n"/>
      <c r="L51" s="859" t="n"/>
      <c r="M51" s="859" t="n"/>
    </row>
    <row r="52">
      <c r="A52" s="68" t="inlineStr">
        <is>
          <t>사업자번호</t>
        </is>
      </c>
      <c r="B52" s="1" t="inlineStr">
        <is>
          <t>639-88-00811</t>
        </is>
      </c>
      <c r="C52" s="9" t="n"/>
      <c r="D52" s="9" t="n"/>
      <c r="E52" s="118" t="n"/>
      <c r="F52" s="118" t="n"/>
      <c r="G52" s="118" t="n"/>
      <c r="H52" s="118" t="n"/>
      <c r="I52" s="118" t="n"/>
      <c r="J52" s="118" t="n"/>
      <c r="K52" s="118" t="n"/>
      <c r="L52" s="118" t="n"/>
      <c r="M52" s="118" t="n"/>
    </row>
    <row r="53">
      <c r="A53" s="68" t="inlineStr">
        <is>
          <t>지역</t>
        </is>
      </c>
      <c r="B53" s="1" t="inlineStr">
        <is>
          <t>인천광역시 중구</t>
        </is>
      </c>
      <c r="C53" s="9" t="n"/>
      <c r="D53" s="9" t="n"/>
      <c r="E53" s="859" t="n"/>
      <c r="F53" s="859" t="n"/>
      <c r="G53" s="859" t="n"/>
      <c r="H53" s="859" t="n"/>
      <c r="I53" s="859" t="n"/>
      <c r="J53" s="859" t="n"/>
      <c r="K53" s="859" t="n"/>
      <c r="L53" s="859" t="n"/>
      <c r="M53" s="859" t="n"/>
    </row>
    <row r="54">
      <c r="A54" s="68" t="inlineStr">
        <is>
          <t>통신시공능력</t>
        </is>
      </c>
      <c r="B54" s="732" t="n">
        <v>612500000</v>
      </c>
      <c r="C54" s="752" t="n"/>
      <c r="D54" s="752" t="n"/>
      <c r="E54" s="752" t="n"/>
      <c r="F54" s="752" t="n"/>
      <c r="G54" s="752" t="n"/>
      <c r="H54" s="752" t="n"/>
      <c r="I54" s="752" t="n"/>
      <c r="J54" s="752" t="n"/>
      <c r="K54" s="752" t="n"/>
      <c r="L54" s="752" t="n"/>
      <c r="M54" s="752" t="n"/>
    </row>
    <row r="55">
      <c r="A55" s="68" t="inlineStr">
        <is>
          <t>3년간 실적액</t>
        </is>
      </c>
      <c r="B55" s="732" t="n">
        <v>0</v>
      </c>
      <c r="C55" s="752" t="n"/>
      <c r="D55" s="752" t="n"/>
      <c r="E55" s="752" t="n"/>
      <c r="F55" s="752" t="n"/>
      <c r="G55" s="752" t="n"/>
      <c r="H55" s="752" t="n"/>
      <c r="I55" s="752" t="n"/>
      <c r="J55" s="752" t="n"/>
      <c r="K55" s="752" t="n"/>
      <c r="L55" s="752" t="n"/>
      <c r="M55" s="752" t="n"/>
    </row>
    <row r="56">
      <c r="A56" s="68" t="inlineStr">
        <is>
          <t>5년간 실적액</t>
        </is>
      </c>
      <c r="B56" s="732" t="n">
        <v>0</v>
      </c>
      <c r="C56" s="752" t="n"/>
      <c r="D56" s="752" t="n"/>
      <c r="E56" s="752" t="n"/>
      <c r="F56" s="752" t="n"/>
      <c r="G56" s="752" t="n"/>
      <c r="H56" s="752" t="n"/>
      <c r="I56" s="752" t="n"/>
      <c r="J56" s="752" t="n"/>
      <c r="K56" s="752" t="n"/>
      <c r="L56" s="752" t="n"/>
      <c r="M56" s="752" t="n"/>
    </row>
    <row r="57">
      <c r="A57" s="855" t="inlineStr">
        <is>
          <t>부채비율</t>
        </is>
      </c>
      <c r="B57" s="2" t="n">
        <v>0.2791</v>
      </c>
      <c r="C57" s="10" t="n"/>
      <c r="D57" s="10" t="n"/>
      <c r="E57" s="48" t="n"/>
      <c r="F57" s="47" t="n"/>
      <c r="G57" s="47" t="n"/>
      <c r="H57" s="47" t="n"/>
      <c r="I57" s="47" t="n"/>
      <c r="J57" s="47" t="n"/>
      <c r="K57" s="47" t="n"/>
      <c r="L57" s="47" t="n"/>
      <c r="M57" s="47" t="n"/>
    </row>
    <row r="58">
      <c r="A58" s="855" t="inlineStr">
        <is>
          <t>유동비율</t>
        </is>
      </c>
      <c r="B58" s="2" t="n">
        <v>8.000999999999999</v>
      </c>
      <c r="C58" s="10" t="n"/>
      <c r="D58" s="10" t="n"/>
      <c r="E58" s="10" t="n"/>
      <c r="F58" s="47" t="n"/>
      <c r="G58" s="47" t="n"/>
      <c r="H58" s="47" t="n"/>
      <c r="I58" s="47" t="n"/>
      <c r="J58" s="47" t="n"/>
      <c r="K58" s="47" t="n"/>
      <c r="L58" s="47" t="n"/>
      <c r="M58" s="47" t="n"/>
    </row>
    <row r="59" ht="24" customHeight="1" s="16">
      <c r="A59" s="856" t="inlineStr">
        <is>
          <t>영업기간
공사업등록일</t>
        </is>
      </c>
      <c r="B59" s="865" t="inlineStr">
        <is>
          <t>2022.08.19</t>
        </is>
      </c>
      <c r="C59" s="10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</row>
    <row r="60">
      <c r="A60" s="68" t="inlineStr">
        <is>
          <t>신용평가</t>
        </is>
      </c>
      <c r="B60" s="736" t="n"/>
      <c r="C60" s="12" t="n"/>
      <c r="D60" s="736" t="n"/>
      <c r="E60" s="736" t="n"/>
      <c r="F60" s="736" t="n"/>
      <c r="G60" s="736" t="n"/>
      <c r="H60" s="736" t="n"/>
      <c r="I60" s="736" t="n"/>
      <c r="J60" s="736" t="n"/>
      <c r="K60" s="736" t="n"/>
      <c r="L60" s="736" t="n"/>
      <c r="M60" s="736" t="n"/>
    </row>
    <row r="61">
      <c r="A61" s="68" t="inlineStr">
        <is>
          <t>여성기업</t>
        </is>
      </c>
      <c r="B61" s="736" t="n"/>
      <c r="C61" s="12" t="n"/>
      <c r="D61" s="736" t="n"/>
      <c r="E61" s="736" t="n"/>
      <c r="F61" s="736" t="n"/>
      <c r="G61" s="736" t="n"/>
      <c r="H61" s="736" t="n"/>
      <c r="I61" s="736" t="n"/>
      <c r="J61" s="736" t="n"/>
      <c r="K61" s="736" t="n"/>
      <c r="L61" s="736" t="n"/>
      <c r="M61" s="736" t="n"/>
    </row>
    <row r="62">
      <c r="A62" s="68" t="inlineStr">
        <is>
          <t>중소기업</t>
        </is>
      </c>
      <c r="B62" s="736" t="n"/>
      <c r="C62" s="12" t="n"/>
      <c r="D62" s="736" t="n"/>
      <c r="E62" s="736" t="n"/>
      <c r="F62" s="736" t="n"/>
      <c r="G62" s="736" t="n"/>
      <c r="H62" s="736" t="n"/>
      <c r="I62" s="736" t="n"/>
      <c r="J62" s="736" t="n"/>
      <c r="K62" s="736" t="n"/>
      <c r="L62" s="736" t="n"/>
      <c r="M62" s="736" t="n"/>
    </row>
    <row r="63">
      <c r="A63" s="71" t="inlineStr">
        <is>
          <t>일자리창출실적</t>
        </is>
      </c>
      <c r="B63" s="736" t="n"/>
      <c r="C63" s="12" t="n"/>
      <c r="D63" s="736" t="n"/>
      <c r="E63" s="736" t="n"/>
      <c r="F63" s="736" t="n"/>
      <c r="G63" s="736" t="n"/>
      <c r="H63" s="736" t="n"/>
      <c r="I63" s="736" t="n"/>
      <c r="J63" s="736" t="n"/>
      <c r="K63" s="736" t="n"/>
      <c r="L63" s="736" t="n"/>
      <c r="M63" s="736" t="n"/>
    </row>
    <row r="64">
      <c r="A64" s="71" t="inlineStr">
        <is>
          <t>시공품질평가</t>
        </is>
      </c>
      <c r="B64" s="736" t="n"/>
      <c r="C64" s="12" t="n"/>
      <c r="D64" s="736" t="n"/>
      <c r="E64" s="736" t="n"/>
      <c r="F64" s="736" t="n"/>
      <c r="G64" s="736" t="n"/>
      <c r="H64" s="736" t="n"/>
      <c r="I64" s="736" t="n"/>
      <c r="J64" s="736" t="n"/>
      <c r="K64" s="736" t="n"/>
      <c r="L64" s="736" t="n"/>
      <c r="M64" s="736" t="n"/>
    </row>
    <row r="65">
      <c r="A65" s="68" t="inlineStr">
        <is>
          <t>비  고</t>
        </is>
      </c>
      <c r="B65" s="1" t="inlineStr">
        <is>
          <t>서권형</t>
        </is>
      </c>
      <c r="C65" s="9" t="n"/>
      <c r="D65" s="9" t="n"/>
      <c r="E65" s="9" t="n"/>
      <c r="F65" s="57" t="n"/>
      <c r="G65" s="57" t="n"/>
      <c r="H65" s="57" t="n"/>
      <c r="I65" s="57" t="n"/>
      <c r="J65" s="57" t="n"/>
      <c r="K65" s="57" t="n"/>
      <c r="L65" s="57" t="n"/>
      <c r="M65" s="57" t="n"/>
    </row>
  </sheetData>
  <mergeCells count="1">
    <mergeCell ref="A1:M1"/>
  </mergeCells>
  <printOptions horizontalCentered="1"/>
  <pageMargins left="0.03937007874015748" right="0.03937007874015748" top="0.1968503937007874" bottom="0.1968503937007874" header="0" footer="0"/>
  <pageSetup orientation="landscape" paperSize="9" scale="55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N65"/>
  <sheetViews>
    <sheetView tabSelected="1" zoomScaleNormal="100" workbookViewId="0">
      <pane ySplit="1" topLeftCell="A38" activePane="bottomLeft" state="frozen"/>
      <selection pane="bottomLeft" activeCell="E54" sqref="E54"/>
    </sheetView>
  </sheetViews>
  <sheetFormatPr baseColWidth="8" defaultRowHeight="13.5"/>
  <cols>
    <col width="10.77734375" bestFit="1" customWidth="1" style="8" min="1" max="1"/>
    <col width="15.77734375" customWidth="1" style="8" min="2" max="11"/>
    <col width="16.88671875" customWidth="1" style="8" min="12" max="12"/>
    <col width="15.77734375" customWidth="1" style="8" min="13" max="13"/>
    <col width="8.88671875" customWidth="1" style="8" min="14" max="55"/>
    <col width="8.88671875" customWidth="1" style="8" min="56" max="16384"/>
  </cols>
  <sheetData>
    <row r="1" ht="25.5" customHeight="1" s="16">
      <c r="A1" s="866" t="inlineStr">
        <is>
          <t>통 신 ( 강 원 )</t>
        </is>
      </c>
      <c r="B1" s="704" t="n"/>
      <c r="C1" s="704" t="n"/>
      <c r="D1" s="704" t="n"/>
      <c r="E1" s="704" t="n"/>
      <c r="F1" s="704" t="n"/>
      <c r="G1" s="704" t="n"/>
      <c r="H1" s="704" t="n"/>
      <c r="I1" s="704" t="n"/>
      <c r="J1" s="704" t="n"/>
      <c r="K1" s="704" t="n"/>
      <c r="L1" s="704" t="n"/>
      <c r="M1" s="705" t="n"/>
    </row>
    <row r="2" ht="26.1" customFormat="1" customHeight="1" s="13">
      <c r="A2" s="455" t="inlineStr">
        <is>
          <t>회사명</t>
        </is>
      </c>
      <c r="B2" s="455" t="inlineStr">
        <is>
          <t>㈜기전사</t>
        </is>
      </c>
      <c r="C2" s="455" t="inlineStr">
        <is>
          <t>㈜대영통신건설</t>
        </is>
      </c>
      <c r="D2" s="455" t="inlineStr">
        <is>
          <t>㈜동성이앤씨</t>
        </is>
      </c>
      <c r="E2" s="455" t="inlineStr">
        <is>
          <t>동해전기㈜</t>
        </is>
      </c>
      <c r="F2" s="455" t="inlineStr">
        <is>
          <t>㈜삼현</t>
        </is>
      </c>
      <c r="G2" s="455" t="inlineStr">
        <is>
          <t>㈜상건</t>
        </is>
      </c>
      <c r="H2" s="455" t="inlineStr">
        <is>
          <t>㈜성광전력</t>
        </is>
      </c>
      <c r="I2" s="455" t="inlineStr">
        <is>
          <t>송암시스콤㈜</t>
        </is>
      </c>
      <c r="J2" s="455" t="n"/>
      <c r="K2" s="455" t="inlineStr">
        <is>
          <t>샤프통신</t>
        </is>
      </c>
      <c r="L2" s="455" t="inlineStr">
        <is>
          <t>에스엔티㈜</t>
        </is>
      </c>
      <c r="M2" s="455" t="inlineStr">
        <is>
          <t>㈜유남전력</t>
        </is>
      </c>
    </row>
    <row r="3" customFormat="1" s="329">
      <c r="A3" s="68" t="inlineStr">
        <is>
          <t>대표자</t>
        </is>
      </c>
      <c r="B3" s="9" t="inlineStr">
        <is>
          <t>임만심</t>
        </is>
      </c>
      <c r="C3" s="732" t="inlineStr">
        <is>
          <t>최순호</t>
        </is>
      </c>
      <c r="D3" s="9" t="inlineStr">
        <is>
          <t>윤자영</t>
        </is>
      </c>
      <c r="E3" s="9" t="inlineStr">
        <is>
          <t>천남영</t>
        </is>
      </c>
      <c r="F3" s="1" t="inlineStr">
        <is>
          <t>김희주</t>
        </is>
      </c>
      <c r="G3" s="9" t="inlineStr">
        <is>
          <t>서상진</t>
        </is>
      </c>
      <c r="H3" s="1" t="inlineStr">
        <is>
          <t>신은섭</t>
        </is>
      </c>
      <c r="I3" s="9" t="inlineStr">
        <is>
          <t>이해규</t>
        </is>
      </c>
      <c r="J3" s="732" t="n"/>
      <c r="K3" s="9" t="inlineStr">
        <is>
          <t>김엄석</t>
        </is>
      </c>
      <c r="L3" s="1" t="inlineStr">
        <is>
          <t>김순교</t>
        </is>
      </c>
      <c r="M3" s="9" t="inlineStr">
        <is>
          <t>곽남신</t>
        </is>
      </c>
    </row>
    <row r="4" ht="12" customFormat="1" customHeight="1" s="14">
      <c r="A4" s="68" t="inlineStr">
        <is>
          <t>사업자번호</t>
        </is>
      </c>
      <c r="B4" s="9" t="inlineStr">
        <is>
          <t>301-81-82388</t>
        </is>
      </c>
      <c r="C4" s="4" t="inlineStr">
        <is>
          <t>224-81-49893</t>
        </is>
      </c>
      <c r="D4" s="9" t="inlineStr">
        <is>
          <t>303-81-44866</t>
        </is>
      </c>
      <c r="E4" s="9" t="inlineStr">
        <is>
          <t>222-81-01743</t>
        </is>
      </c>
      <c r="F4" s="1" t="inlineStr">
        <is>
          <t>127-86-07414</t>
        </is>
      </c>
      <c r="G4" s="9" t="inlineStr">
        <is>
          <t>224-81-25227</t>
        </is>
      </c>
      <c r="H4" s="1" t="inlineStr">
        <is>
          <t>223-81-10018</t>
        </is>
      </c>
      <c r="I4" s="9" t="inlineStr">
        <is>
          <t>138-81-12998</t>
        </is>
      </c>
      <c r="J4" s="397" t="n"/>
      <c r="K4" s="9" t="inlineStr">
        <is>
          <t>226-33-07452</t>
        </is>
      </c>
      <c r="L4" s="1" t="inlineStr">
        <is>
          <t>226-81-37976</t>
        </is>
      </c>
      <c r="M4" s="9" t="inlineStr">
        <is>
          <t>505-87-00355</t>
        </is>
      </c>
    </row>
    <row r="5" ht="12" customFormat="1" customHeight="1" s="14">
      <c r="A5" s="68" t="inlineStr">
        <is>
          <t>지역</t>
        </is>
      </c>
      <c r="B5" s="9" t="inlineStr">
        <is>
          <t>강원 춘천</t>
        </is>
      </c>
      <c r="C5" s="732" t="inlineStr">
        <is>
          <t>강원도 원주시</t>
        </is>
      </c>
      <c r="D5" s="9" t="inlineStr">
        <is>
          <t>강원 인제</t>
        </is>
      </c>
      <c r="E5" s="9" t="inlineStr">
        <is>
          <t>강원 동해</t>
        </is>
      </c>
      <c r="F5" s="1" t="inlineStr">
        <is>
          <t>강원 철원군</t>
        </is>
      </c>
      <c r="G5" s="9" t="inlineStr">
        <is>
          <t>강원도 원주시</t>
        </is>
      </c>
      <c r="H5" s="1" t="inlineStr">
        <is>
          <t>강원도 홍천군</t>
        </is>
      </c>
      <c r="I5" s="9" t="inlineStr">
        <is>
          <t>강원도 원주시</t>
        </is>
      </c>
      <c r="J5" s="732" t="n"/>
      <c r="K5" s="9" t="inlineStr">
        <is>
          <t>강원 강릉</t>
        </is>
      </c>
      <c r="L5" s="1" t="inlineStr">
        <is>
          <t>강원도 강릉시</t>
        </is>
      </c>
      <c r="M5" s="9" t="inlineStr">
        <is>
          <t>강원도 원주시</t>
        </is>
      </c>
    </row>
    <row r="6" customFormat="1" s="329">
      <c r="A6" s="68" t="inlineStr">
        <is>
          <t>통신시공능력</t>
        </is>
      </c>
      <c r="B6" s="756" t="n">
        <v>5853900000</v>
      </c>
      <c r="C6" s="732" t="n">
        <v>5809600000</v>
      </c>
      <c r="D6" s="756" t="n">
        <v>552900000</v>
      </c>
      <c r="E6" s="752" t="n">
        <v>724600000</v>
      </c>
      <c r="F6" s="804" t="n">
        <v>889100000</v>
      </c>
      <c r="G6" s="756" t="n">
        <v>4699900000</v>
      </c>
      <c r="H6" s="804" t="n">
        <v>1176200000</v>
      </c>
      <c r="I6" s="756" t="n">
        <v>43433200000</v>
      </c>
      <c r="J6" s="867" t="n"/>
      <c r="K6" s="752" t="n">
        <v>1088600000</v>
      </c>
      <c r="L6" s="804" t="n">
        <v>5952200000</v>
      </c>
      <c r="M6" s="756" t="n">
        <v>1411900000</v>
      </c>
    </row>
    <row r="7" customFormat="1" s="329">
      <c r="A7" s="68" t="inlineStr">
        <is>
          <t>3년간 실적액</t>
        </is>
      </c>
      <c r="B7" s="756" t="n">
        <v>7087090000</v>
      </c>
      <c r="C7" s="732" t="n">
        <v>5244043000</v>
      </c>
      <c r="D7" s="756">
        <f>148747000+162931000+202657000</f>
        <v/>
      </c>
      <c r="E7" s="752" t="n">
        <v>0</v>
      </c>
      <c r="F7" s="804" t="n">
        <v>387704000</v>
      </c>
      <c r="G7" s="756" t="n">
        <v>3046218000</v>
      </c>
      <c r="H7" s="804" t="n">
        <v>820270000</v>
      </c>
      <c r="I7" s="756" t="n">
        <v>80707654000</v>
      </c>
      <c r="J7" s="867" t="n"/>
      <c r="K7" s="756" t="n">
        <v>922769000</v>
      </c>
      <c r="L7" s="804" t="n">
        <v>6809380000</v>
      </c>
      <c r="M7" s="756" t="n">
        <v>1134301000</v>
      </c>
    </row>
    <row r="8" customFormat="1" s="329">
      <c r="A8" s="68" t="inlineStr">
        <is>
          <t>5년간 실적액</t>
        </is>
      </c>
      <c r="B8" s="756" t="n">
        <v>27522202000</v>
      </c>
      <c r="C8" s="732" t="n">
        <v>11303016000</v>
      </c>
      <c r="D8" s="756">
        <f>D7+133224000+655750000</f>
        <v/>
      </c>
      <c r="E8" s="752" t="n">
        <v>0</v>
      </c>
      <c r="F8" s="810" t="n">
        <v>918924000</v>
      </c>
      <c r="G8" s="806" t="n">
        <v>3276306000</v>
      </c>
      <c r="H8" s="810" t="n">
        <v>1110609000</v>
      </c>
      <c r="I8" s="756" t="n">
        <v>121299220000</v>
      </c>
      <c r="J8" s="867" t="n"/>
      <c r="K8" s="806" t="n">
        <v>1408672000</v>
      </c>
      <c r="L8" s="810" t="n">
        <v>11453986000</v>
      </c>
      <c r="M8" s="806" t="n">
        <v>1783292000</v>
      </c>
    </row>
    <row r="9" customFormat="1" s="790">
      <c r="A9" s="855" t="inlineStr">
        <is>
          <t>부채비율</t>
        </is>
      </c>
      <c r="B9" s="10" t="n">
        <v>0.1801</v>
      </c>
      <c r="C9" s="2" t="n">
        <v>0.5207000000000001</v>
      </c>
      <c r="D9" s="10" t="n">
        <v>0.0607</v>
      </c>
      <c r="E9" s="10" t="n">
        <v>0.1385</v>
      </c>
      <c r="F9" s="2" t="n">
        <v>0.5555</v>
      </c>
      <c r="G9" s="10" t="n">
        <v>0.6017</v>
      </c>
      <c r="H9" s="2" t="n">
        <v>0.3922</v>
      </c>
      <c r="I9" s="10" t="n">
        <v>0.0587</v>
      </c>
      <c r="J9" s="398" t="n"/>
      <c r="K9" s="10" t="n">
        <v>0.4464</v>
      </c>
      <c r="L9" s="66" t="n">
        <v>1.1755</v>
      </c>
      <c r="M9" s="10" t="n">
        <v>0.5685</v>
      </c>
      <c r="N9" s="750" t="n"/>
    </row>
    <row r="10" customFormat="1" s="790">
      <c r="A10" s="855" t="inlineStr">
        <is>
          <t>유동비율</t>
        </is>
      </c>
      <c r="B10" s="10" t="n">
        <v>3.0163</v>
      </c>
      <c r="C10" s="2" t="n">
        <v>4.216</v>
      </c>
      <c r="D10" s="10" t="n">
        <v>10.9668</v>
      </c>
      <c r="E10" s="10" t="n">
        <v>57.0957</v>
      </c>
      <c r="F10" s="2" t="n">
        <v>383.7076</v>
      </c>
      <c r="G10" s="10" t="n">
        <v>3.8744</v>
      </c>
      <c r="H10" s="2" t="n">
        <v>6.3952</v>
      </c>
      <c r="I10" s="10" t="n">
        <v>9.979100000000001</v>
      </c>
      <c r="J10" s="398" t="n"/>
      <c r="K10" s="10" t="n">
        <v>26.471</v>
      </c>
      <c r="L10" s="2" t="n">
        <v>17.6208</v>
      </c>
      <c r="M10" s="10" t="n">
        <v>16.2603</v>
      </c>
      <c r="N10" s="750" t="n"/>
    </row>
    <row r="11" ht="24" customFormat="1" customHeight="1" s="790">
      <c r="A11" s="856" t="inlineStr">
        <is>
          <t>영업기간
공사업등록일</t>
        </is>
      </c>
      <c r="B11" s="11" t="inlineStr">
        <is>
          <t>2008.02.27</t>
        </is>
      </c>
      <c r="C11" s="67" t="inlineStr">
        <is>
          <t>2011.03.22</t>
        </is>
      </c>
      <c r="D11" s="10" t="inlineStr">
        <is>
          <t>5년이상%</t>
        </is>
      </c>
      <c r="E11" s="10" t="inlineStr">
        <is>
          <t>3년미만%</t>
        </is>
      </c>
      <c r="F11" s="67" t="inlineStr">
        <is>
          <t>2015.09.24</t>
        </is>
      </c>
      <c r="G11" s="10" t="inlineStr">
        <is>
          <t>2009.03.11</t>
        </is>
      </c>
      <c r="H11" s="2" t="inlineStr">
        <is>
          <t>2015.03.16</t>
        </is>
      </c>
      <c r="I11" s="11" t="inlineStr">
        <is>
          <t>1994.04.30</t>
        </is>
      </c>
      <c r="J11" s="67" t="n"/>
      <c r="K11" s="10" t="inlineStr">
        <is>
          <t>5년이상%</t>
        </is>
      </c>
      <c r="L11" s="67" t="inlineStr">
        <is>
          <t>2008.06.11</t>
        </is>
      </c>
      <c r="M11" s="10" t="inlineStr">
        <is>
          <t>2016.09.23</t>
        </is>
      </c>
    </row>
    <row r="12" ht="22.5" customFormat="1" customHeight="1" s="329">
      <c r="A12" s="68" t="inlineStr">
        <is>
          <t>신용평가</t>
        </is>
      </c>
      <c r="B12" s="725" t="inlineStr">
        <is>
          <t>BBBO
(16.04.14~17.04.13)</t>
        </is>
      </c>
      <c r="C12" s="803" t="n"/>
      <c r="D12" s="12" t="n"/>
      <c r="E12" s="803" t="n"/>
      <c r="F12" s="12" t="n"/>
      <c r="G12" s="12" t="n"/>
      <c r="H12" s="12" t="n"/>
      <c r="I12" s="725" t="inlineStr">
        <is>
          <t>AA-
(16.05.27~17.05.26)</t>
        </is>
      </c>
      <c r="J12" s="786" t="n"/>
      <c r="K12" s="803" t="n"/>
      <c r="L12" s="153" t="inlineStr">
        <is>
          <t>BB+
(21.04.29~22.04.28)</t>
        </is>
      </c>
      <c r="M12" s="12" t="n"/>
    </row>
    <row r="13" customFormat="1" s="329">
      <c r="A13" s="68" t="inlineStr">
        <is>
          <t>여성기업</t>
        </is>
      </c>
      <c r="B13" s="736" t="inlineStr">
        <is>
          <t>(15.12.01~18.11.30)</t>
        </is>
      </c>
      <c r="C13" s="803" t="n"/>
      <c r="D13" s="12" t="n"/>
      <c r="E13" s="803" t="n"/>
      <c r="F13" s="12" t="n"/>
      <c r="G13" s="12" t="n"/>
      <c r="H13" s="12" t="n"/>
      <c r="I13" s="9" t="n"/>
      <c r="J13" s="820" t="n"/>
      <c r="K13" s="803" t="n"/>
      <c r="L13" s="12" t="n"/>
      <c r="M13" s="12" t="n"/>
    </row>
    <row r="14" customFormat="1" s="329">
      <c r="A14" s="68" t="inlineStr">
        <is>
          <t>중소기업</t>
        </is>
      </c>
      <c r="B14" s="736" t="n"/>
      <c r="C14" s="803" t="n"/>
      <c r="D14" s="12" t="n"/>
      <c r="E14" s="803" t="n"/>
      <c r="F14" s="12" t="n"/>
      <c r="G14" s="12" t="n"/>
      <c r="H14" s="12" t="n"/>
      <c r="I14" s="9" t="n"/>
      <c r="J14" s="820" t="n"/>
      <c r="K14" s="803" t="n"/>
      <c r="L14" s="12" t="n"/>
      <c r="M14" s="12" t="n"/>
    </row>
    <row r="15" customFormat="1" s="329">
      <c r="A15" s="71" t="inlineStr">
        <is>
          <t>일자리창출실적</t>
        </is>
      </c>
      <c r="B15" s="736" t="n"/>
      <c r="C15" s="803" t="n"/>
      <c r="D15" s="12" t="n"/>
      <c r="E15" s="803" t="n"/>
      <c r="F15" s="12" t="n"/>
      <c r="G15" s="12" t="n"/>
      <c r="H15" s="12" t="n"/>
      <c r="I15" s="9" t="n"/>
      <c r="J15" s="820" t="n"/>
      <c r="K15" s="803" t="n"/>
      <c r="L15" s="12" t="n"/>
      <c r="M15" s="12" t="n"/>
    </row>
    <row r="16" customFormat="1" s="329">
      <c r="A16" s="71" t="inlineStr">
        <is>
          <t>시공품질평가</t>
        </is>
      </c>
      <c r="B16" s="736" t="n"/>
      <c r="C16" s="803" t="n"/>
      <c r="D16" s="12" t="n"/>
      <c r="E16" s="803" t="n"/>
      <c r="F16" s="12" t="n"/>
      <c r="G16" s="12" t="n"/>
      <c r="H16" s="12" t="n"/>
      <c r="I16" s="9" t="n"/>
      <c r="J16" s="820" t="n"/>
      <c r="K16" s="803" t="n"/>
      <c r="L16" s="12" t="n"/>
      <c r="M16" s="12" t="n"/>
    </row>
    <row r="17" ht="22.5" customFormat="1" customHeight="1" s="329">
      <c r="A17" s="68" t="inlineStr">
        <is>
          <t>비  고</t>
        </is>
      </c>
      <c r="B17" s="57" t="n"/>
      <c r="C17" s="1" t="inlineStr">
        <is>
          <t>구본진</t>
        </is>
      </c>
      <c r="D17" s="9" t="n"/>
      <c r="E17" s="9" t="n"/>
      <c r="F17" s="73" t="inlineStr">
        <is>
          <t>김대열</t>
        </is>
      </c>
      <c r="G17" s="57" t="inlineStr">
        <is>
          <t>윤명숙</t>
        </is>
      </c>
      <c r="H17" s="73" t="inlineStr">
        <is>
          <t>박성균</t>
        </is>
      </c>
      <c r="I17" s="9" t="n"/>
      <c r="J17" s="1" t="n"/>
      <c r="K17" s="9" t="inlineStr">
        <is>
          <t>조동규</t>
        </is>
      </c>
      <c r="L17" s="73" t="inlineStr">
        <is>
          <t>이동훈
특1,고2(21.08.09)</t>
        </is>
      </c>
      <c r="M17" s="57" t="inlineStr">
        <is>
          <t>윤명숙</t>
        </is>
      </c>
    </row>
    <row r="18" ht="26.1" customHeight="1" s="16">
      <c r="A18" s="455" t="inlineStr">
        <is>
          <t>회사명</t>
        </is>
      </c>
      <c r="B18" s="455" t="inlineStr">
        <is>
          <t>우민전기㈜</t>
        </is>
      </c>
      <c r="C18" s="455" t="inlineStr">
        <is>
          <t>㈜용두애브컴</t>
        </is>
      </c>
      <c r="D18" s="455" t="inlineStr">
        <is>
          <t>㈜영진</t>
        </is>
      </c>
      <c r="E18" s="455" t="inlineStr">
        <is>
          <t>지에스네트웍스㈜</t>
        </is>
      </c>
      <c r="F18" s="455" t="inlineStr">
        <is>
          <t>정웅전기공사</t>
        </is>
      </c>
      <c r="G18" s="455" t="inlineStr">
        <is>
          <t>㈜제이아이티</t>
        </is>
      </c>
      <c r="H18" s="455" t="inlineStr">
        <is>
          <t>㈜주안정보기술</t>
        </is>
      </c>
      <c r="I18" s="455" t="inlineStr">
        <is>
          <t>㈜중앙개발</t>
        </is>
      </c>
      <c r="J18" s="455" t="inlineStr">
        <is>
          <t>한덕철광산업㈜</t>
        </is>
      </c>
      <c r="K18" s="455" t="inlineStr">
        <is>
          <t>㈜석미</t>
        </is>
      </c>
      <c r="L18" s="455" t="inlineStr">
        <is>
          <t>㈜라인</t>
        </is>
      </c>
      <c r="M18" s="455" t="inlineStr">
        <is>
          <t>㈜울트라정보통신</t>
        </is>
      </c>
    </row>
    <row r="19">
      <c r="A19" s="68" t="inlineStr">
        <is>
          <t>대표자</t>
        </is>
      </c>
      <c r="B19" s="9" t="inlineStr">
        <is>
          <t>이학표</t>
        </is>
      </c>
      <c r="C19" s="9" t="inlineStr">
        <is>
          <t>엄성철</t>
        </is>
      </c>
      <c r="D19" s="752" t="inlineStr">
        <is>
          <t>배상욱</t>
        </is>
      </c>
      <c r="E19" s="752" t="inlineStr">
        <is>
          <t>윤병준</t>
        </is>
      </c>
      <c r="F19" s="944" t="inlineStr">
        <is>
          <t>최돈웅</t>
        </is>
      </c>
      <c r="G19" s="1" t="inlineStr">
        <is>
          <t>김은화</t>
        </is>
      </c>
      <c r="H19" s="1" t="inlineStr">
        <is>
          <t>송경자</t>
        </is>
      </c>
      <c r="I19" s="1" t="inlineStr">
        <is>
          <t>최미선</t>
        </is>
      </c>
      <c r="J19" s="93" t="inlineStr">
        <is>
          <t>김철홍</t>
        </is>
      </c>
      <c r="K19" s="752" t="inlineStr">
        <is>
          <t>원현주</t>
        </is>
      </c>
      <c r="L19" s="1" t="inlineStr">
        <is>
          <t>임원정</t>
        </is>
      </c>
      <c r="M19" s="337" t="inlineStr">
        <is>
          <t>이순주</t>
        </is>
      </c>
    </row>
    <row r="20">
      <c r="A20" s="68" t="inlineStr">
        <is>
          <t>사업자번호</t>
        </is>
      </c>
      <c r="B20" s="9" t="inlineStr">
        <is>
          <t>214-81-88924</t>
        </is>
      </c>
      <c r="C20" s="9" t="inlineStr">
        <is>
          <t>221-81-16734</t>
        </is>
      </c>
      <c r="D20" s="54" t="inlineStr">
        <is>
          <t>224-81-17993</t>
        </is>
      </c>
      <c r="E20" s="54" t="inlineStr">
        <is>
          <t>221-81-04072</t>
        </is>
      </c>
      <c r="F20" s="945" t="inlineStr">
        <is>
          <t>224-06-33389</t>
        </is>
      </c>
      <c r="G20" s="1" t="inlineStr">
        <is>
          <t>224-81-55532</t>
        </is>
      </c>
      <c r="H20" s="1" t="inlineStr">
        <is>
          <t>224-81-43531</t>
        </is>
      </c>
      <c r="I20" s="1" t="inlineStr">
        <is>
          <t>223-81-01300</t>
        </is>
      </c>
      <c r="J20" s="93" t="inlineStr">
        <is>
          <t>225-81-13326</t>
        </is>
      </c>
      <c r="K20" s="54" t="inlineStr">
        <is>
          <t>221-81-24554</t>
        </is>
      </c>
      <c r="L20" s="1" t="inlineStr">
        <is>
          <t>785-81-00885</t>
        </is>
      </c>
      <c r="M20" s="338" t="inlineStr">
        <is>
          <t>129-86-27930</t>
        </is>
      </c>
    </row>
    <row r="21">
      <c r="A21" s="68" t="inlineStr">
        <is>
          <t>지역</t>
        </is>
      </c>
      <c r="B21" s="9" t="inlineStr">
        <is>
          <t>강원 춘천</t>
        </is>
      </c>
      <c r="C21" s="9" t="inlineStr">
        <is>
          <t>강원 춘천</t>
        </is>
      </c>
      <c r="D21" s="752" t="inlineStr">
        <is>
          <t>강원 원주</t>
        </is>
      </c>
      <c r="E21" s="752" t="inlineStr">
        <is>
          <t>강원 춘천시</t>
        </is>
      </c>
      <c r="F21" s="944" t="inlineStr">
        <is>
          <t>강원 횡성</t>
        </is>
      </c>
      <c r="G21" s="1" t="inlineStr">
        <is>
          <t>강원 원주</t>
        </is>
      </c>
      <c r="H21" s="1" t="inlineStr">
        <is>
          <t>강원 원주</t>
        </is>
      </c>
      <c r="I21" s="1" t="inlineStr">
        <is>
          <t>강원 홍천</t>
        </is>
      </c>
      <c r="J21" s="93" t="inlineStr">
        <is>
          <t>강원도 정선군</t>
        </is>
      </c>
      <c r="K21" s="752" t="inlineStr">
        <is>
          <t>강원도 춘천시</t>
        </is>
      </c>
      <c r="L21" s="1" t="inlineStr">
        <is>
          <t>강원도 원주시</t>
        </is>
      </c>
      <c r="M21" s="337" t="inlineStr">
        <is>
          <t>강원도 철원군</t>
        </is>
      </c>
    </row>
    <row r="22" ht="15" customHeight="1" s="16">
      <c r="A22" s="68" t="inlineStr">
        <is>
          <t>통신시공능력</t>
        </is>
      </c>
      <c r="B22" s="756" t="n">
        <v>7193800000</v>
      </c>
      <c r="C22" s="752" t="n">
        <v>3624100000</v>
      </c>
      <c r="D22" s="752" t="n">
        <v>3135600000</v>
      </c>
      <c r="E22" s="752" t="n">
        <v>9717000000</v>
      </c>
      <c r="F22" s="946" t="n">
        <v>785500000</v>
      </c>
      <c r="G22" s="732" t="n">
        <v>3940000000</v>
      </c>
      <c r="H22" s="732" t="n">
        <v>1600700000</v>
      </c>
      <c r="I22" s="732" t="n">
        <v>1947800000</v>
      </c>
      <c r="J22" s="815" t="n">
        <v>791100000</v>
      </c>
      <c r="K22" s="752" t="n">
        <v>3735400000</v>
      </c>
      <c r="L22" s="804" t="n">
        <v>4397400000</v>
      </c>
      <c r="M22" s="868" t="n">
        <v>972500000</v>
      </c>
    </row>
    <row r="23">
      <c r="A23" s="68" t="inlineStr">
        <is>
          <t>3년간 실적액</t>
        </is>
      </c>
      <c r="B23" s="756" t="n">
        <v>8591164000</v>
      </c>
      <c r="C23" s="756" t="n">
        <v>3587992000</v>
      </c>
      <c r="D23" s="752" t="n">
        <v>3259819000</v>
      </c>
      <c r="E23" s="752" t="n">
        <v>11360936000</v>
      </c>
      <c r="F23" s="946" t="n">
        <v>469389000</v>
      </c>
      <c r="G23" s="732" t="n">
        <v>4859260000</v>
      </c>
      <c r="H23" s="732" t="n">
        <v>1158819000</v>
      </c>
      <c r="I23" s="804" t="n">
        <v>720963000</v>
      </c>
      <c r="J23" s="815" t="n">
        <v>848462000</v>
      </c>
      <c r="K23" s="752" t="n">
        <v>3579872000</v>
      </c>
      <c r="L23" s="804" t="n">
        <v>6297687000</v>
      </c>
      <c r="M23" s="868" t="n">
        <v>488641000</v>
      </c>
    </row>
    <row r="24">
      <c r="A24" s="68" t="inlineStr">
        <is>
          <t>5년간 실적액</t>
        </is>
      </c>
      <c r="B24" s="806" t="n">
        <v>22223879000</v>
      </c>
      <c r="C24" s="806" t="n">
        <v>5563381000</v>
      </c>
      <c r="D24" s="752" t="n">
        <v>5791894000</v>
      </c>
      <c r="E24" s="752" t="n">
        <v>19822462000</v>
      </c>
      <c r="F24" s="946" t="n">
        <v>746546000</v>
      </c>
      <c r="G24" s="732" t="n">
        <v>4859260000</v>
      </c>
      <c r="H24" s="732" t="n">
        <v>1158819000</v>
      </c>
      <c r="I24" s="810" t="n">
        <v>1352908000</v>
      </c>
      <c r="J24" s="816" t="n">
        <v>878920000</v>
      </c>
      <c r="K24" s="752" t="n">
        <v>4519970000</v>
      </c>
      <c r="L24" s="810" t="n">
        <v>6797872000</v>
      </c>
      <c r="M24" s="869" t="n">
        <v>975246000</v>
      </c>
    </row>
    <row r="25">
      <c r="A25" s="855" t="inlineStr">
        <is>
          <t>부채비율</t>
        </is>
      </c>
      <c r="B25" s="10" t="n">
        <v>0.5829</v>
      </c>
      <c r="C25" s="10" t="n">
        <v>1.2662</v>
      </c>
      <c r="D25" s="10" t="n">
        <v>0.0383</v>
      </c>
      <c r="E25" s="10" t="n">
        <v>0.1107</v>
      </c>
      <c r="F25" s="947" t="n">
        <v>0.1641</v>
      </c>
      <c r="G25" s="2" t="n">
        <v>0</v>
      </c>
      <c r="H25" s="2" t="n">
        <v>0.0129</v>
      </c>
      <c r="I25" s="2" t="n">
        <v>0.07290000000000001</v>
      </c>
      <c r="J25" s="95" t="n">
        <v>0.8492</v>
      </c>
      <c r="K25" s="10" t="n">
        <v>0.3823</v>
      </c>
      <c r="L25" s="2" t="n">
        <v>0.3123</v>
      </c>
      <c r="M25" s="339" t="n">
        <v>0.4071</v>
      </c>
      <c r="N25" s="870" t="n"/>
    </row>
    <row r="26">
      <c r="A26" s="855" t="inlineStr">
        <is>
          <t>유동비율</t>
        </is>
      </c>
      <c r="B26" s="10" t="n">
        <v>3.0919</v>
      </c>
      <c r="C26" s="10" t="n">
        <v>3.4425</v>
      </c>
      <c r="D26" s="10" t="n">
        <v>98.0308</v>
      </c>
      <c r="E26" s="10" t="n">
        <v>7.2715</v>
      </c>
      <c r="F26" s="947" t="n">
        <v>6.749</v>
      </c>
      <c r="G26" s="2" t="inlineStr">
        <is>
          <t>∞</t>
        </is>
      </c>
      <c r="H26" s="2" t="n">
        <v>53.1629</v>
      </c>
      <c r="I26" s="2" t="n">
        <v>14.4554</v>
      </c>
      <c r="J26" s="95" t="n">
        <v>0.6711</v>
      </c>
      <c r="K26" s="10" t="n">
        <v>5.0563</v>
      </c>
      <c r="L26" s="2" t="n">
        <v>3.4367</v>
      </c>
      <c r="M26" s="339" t="n">
        <v>3.6257</v>
      </c>
      <c r="N26" s="750" t="n"/>
    </row>
    <row r="27" ht="24" customHeight="1" s="16">
      <c r="A27" s="856" t="inlineStr">
        <is>
          <t>영업기간 
공사업등록일</t>
        </is>
      </c>
      <c r="B27" s="11" t="inlineStr">
        <is>
          <t>2001.11.21</t>
        </is>
      </c>
      <c r="C27" s="10" t="inlineStr">
        <is>
          <t>10년이상%</t>
        </is>
      </c>
      <c r="D27" s="10" t="inlineStr">
        <is>
          <t>10년이상%</t>
        </is>
      </c>
      <c r="E27" s="11" t="inlineStr">
        <is>
          <t>1979.11.10</t>
        </is>
      </c>
      <c r="F27" s="948" t="inlineStr">
        <is>
          <t>3년미만%</t>
        </is>
      </c>
      <c r="G27" s="2" t="inlineStr">
        <is>
          <t>3년미만%</t>
        </is>
      </c>
      <c r="H27" s="2" t="inlineStr">
        <is>
          <t>3년미만%</t>
        </is>
      </c>
      <c r="I27" s="2" t="inlineStr">
        <is>
          <t>10년이상%</t>
        </is>
      </c>
      <c r="J27" s="101" t="inlineStr">
        <is>
          <t>2010.11.16</t>
        </is>
      </c>
      <c r="K27" s="10" t="inlineStr">
        <is>
          <t>2006.06.02</t>
        </is>
      </c>
      <c r="L27" s="67" t="inlineStr">
        <is>
          <t>2017.08.17</t>
        </is>
      </c>
      <c r="M27" s="344" t="n"/>
    </row>
    <row r="28" ht="32.45" customHeight="1" s="16">
      <c r="A28" s="68" t="inlineStr">
        <is>
          <t>신용평가</t>
        </is>
      </c>
      <c r="B28" s="12" t="n"/>
      <c r="C28" s="803" t="n"/>
      <c r="D28" s="803" t="n"/>
      <c r="E28" s="803" t="n"/>
      <c r="F28" s="61" t="n"/>
      <c r="G28" s="803" t="n"/>
      <c r="H28" s="12" t="n"/>
      <c r="I28" s="803" t="n"/>
      <c r="J28" s="725" t="inlineStr">
        <is>
          <t>A-
(24.05.10~25.05.09)</t>
        </is>
      </c>
      <c r="K28" s="803" t="n"/>
      <c r="L28" s="12" t="n"/>
      <c r="M28" s="345" t="inlineStr">
        <is>
          <t>BB0
(25.06.20~26.06.19)</t>
        </is>
      </c>
    </row>
    <row r="29">
      <c r="A29" s="68" t="inlineStr">
        <is>
          <t>여성기업</t>
        </is>
      </c>
      <c r="B29" s="12" t="n"/>
      <c r="C29" s="803" t="n"/>
      <c r="D29" s="803" t="n"/>
      <c r="E29" s="803" t="n"/>
      <c r="F29" s="949" t="n"/>
      <c r="G29" s="803" t="n"/>
      <c r="H29" s="12" t="n"/>
      <c r="I29" s="803" t="n"/>
      <c r="J29" s="12" t="n"/>
      <c r="K29" s="871" t="inlineStr">
        <is>
          <t>22.06.24~25.06.23</t>
        </is>
      </c>
      <c r="L29" s="12" t="n"/>
      <c r="M29" s="345" t="n"/>
    </row>
    <row r="30">
      <c r="A30" s="68" t="inlineStr">
        <is>
          <t>중소기업</t>
        </is>
      </c>
      <c r="B30" s="12" t="n"/>
      <c r="C30" s="803" t="n"/>
      <c r="D30" s="803" t="n"/>
      <c r="E30" s="803" t="n"/>
      <c r="F30" s="949" t="n"/>
      <c r="G30" s="803" t="n"/>
      <c r="H30" s="12" t="n"/>
      <c r="I30" s="803" t="n"/>
      <c r="J30" s="12" t="n"/>
      <c r="K30" s="803" t="n"/>
      <c r="L30" s="12" t="n"/>
      <c r="M30" s="345" t="n"/>
    </row>
    <row r="31">
      <c r="A31" s="71" t="inlineStr">
        <is>
          <t>일자리창출실적</t>
        </is>
      </c>
      <c r="B31" s="12" t="n"/>
      <c r="C31" s="803" t="n"/>
      <c r="D31" s="803" t="n"/>
      <c r="E31" s="803" t="n"/>
      <c r="F31" s="949" t="n"/>
      <c r="G31" s="803" t="n"/>
      <c r="H31" s="12" t="n"/>
      <c r="I31" s="803" t="n"/>
      <c r="J31" s="12" t="n"/>
      <c r="K31" s="803" t="n"/>
      <c r="L31" s="12" t="n"/>
      <c r="M31" s="345" t="n"/>
    </row>
    <row r="32">
      <c r="A32" s="71" t="inlineStr">
        <is>
          <t>시공품질평가</t>
        </is>
      </c>
      <c r="B32" s="12" t="n"/>
      <c r="C32" s="803" t="n"/>
      <c r="D32" s="803" t="n"/>
      <c r="E32" s="803" t="n"/>
      <c r="F32" s="949" t="n"/>
      <c r="G32" s="803" t="n"/>
      <c r="H32" s="12" t="n"/>
      <c r="I32" s="803" t="n"/>
      <c r="J32" s="116" t="inlineStr">
        <is>
          <t>없음(24.05.01)</t>
        </is>
      </c>
      <c r="K32" s="803" t="n"/>
      <c r="L32" s="12" t="n"/>
      <c r="M32" s="345" t="n"/>
    </row>
    <row r="33">
      <c r="A33" s="68" t="inlineStr">
        <is>
          <t>비  고</t>
        </is>
      </c>
      <c r="B33" s="57" t="n"/>
      <c r="C33" s="752" t="inlineStr">
        <is>
          <t>조동규</t>
        </is>
      </c>
      <c r="D33" s="9" t="inlineStr">
        <is>
          <t>이제연</t>
        </is>
      </c>
      <c r="E33" s="9" t="inlineStr">
        <is>
          <t>홍정구</t>
        </is>
      </c>
      <c r="F33" s="949" t="n"/>
      <c r="G33" s="1" t="inlineStr">
        <is>
          <t>정웅 최돈웅</t>
        </is>
      </c>
      <c r="H33" s="1" t="inlineStr">
        <is>
          <t>이제연</t>
        </is>
      </c>
      <c r="I33" s="1" t="inlineStr">
        <is>
          <t>윤한봉</t>
        </is>
      </c>
      <c r="J33" s="100" t="inlineStr">
        <is>
          <t>조재진</t>
        </is>
      </c>
      <c r="K33" s="9" t="inlineStr">
        <is>
          <t>임태균</t>
        </is>
      </c>
      <c r="L33" s="73" t="inlineStr">
        <is>
          <t>윤명숙</t>
        </is>
      </c>
      <c r="M33" s="346" t="inlineStr">
        <is>
          <t>정석</t>
        </is>
      </c>
    </row>
    <row r="34" ht="26.1" customHeight="1" s="16">
      <c r="A34" s="455" t="inlineStr">
        <is>
          <t>회사명</t>
        </is>
      </c>
      <c r="B34" s="455" t="inlineStr">
        <is>
          <t>㈜신왕</t>
        </is>
      </c>
      <c r="C34" s="455" t="inlineStr">
        <is>
          <t>㈜동아사무기와알파문구</t>
        </is>
      </c>
      <c r="D34" s="455" t="inlineStr">
        <is>
          <t>성원정보통신㈜</t>
        </is>
      </c>
      <c r="E34" s="455" t="inlineStr">
        <is>
          <t>티앤에스정보통신㈜</t>
        </is>
      </c>
      <c r="F34" s="455" t="inlineStr">
        <is>
          <t>라온이엔씨㈜</t>
        </is>
      </c>
      <c r="G34" s="455" t="inlineStr">
        <is>
          <t>㈜유수</t>
        </is>
      </c>
      <c r="H34" s="455" t="inlineStr">
        <is>
          <t>삼아산업㈜</t>
        </is>
      </c>
      <c r="I34" s="455" t="inlineStr">
        <is>
          <t>㈜태승</t>
        </is>
      </c>
      <c r="J34" s="455" t="inlineStr">
        <is>
          <t>㈜청화이엔씨</t>
        </is>
      </c>
      <c r="K34" s="455" t="inlineStr">
        <is>
          <t>㈜위택</t>
        </is>
      </c>
      <c r="L34" s="455" t="inlineStr">
        <is>
          <t>㈜동지전력</t>
        </is>
      </c>
      <c r="M34" s="455" t="inlineStr">
        <is>
          <t>㈜세진전설</t>
        </is>
      </c>
    </row>
    <row r="35">
      <c r="A35" s="68" t="inlineStr">
        <is>
          <t>대표자</t>
        </is>
      </c>
      <c r="B35" s="1" t="inlineStr">
        <is>
          <t>이지영</t>
        </is>
      </c>
      <c r="C35" s="1" t="inlineStr">
        <is>
          <t>이용석</t>
        </is>
      </c>
      <c r="D35" s="1" t="inlineStr">
        <is>
          <t>김성원</t>
        </is>
      </c>
      <c r="E35" s="1" t="inlineStr">
        <is>
          <t>전인숙</t>
        </is>
      </c>
      <c r="F35" s="9" t="inlineStr">
        <is>
          <t>권성미</t>
        </is>
      </c>
      <c r="G35" s="441" t="inlineStr">
        <is>
          <t>박만식</t>
        </is>
      </c>
      <c r="H35" s="93" t="inlineStr">
        <is>
          <t>김진홍</t>
        </is>
      </c>
      <c r="I35" s="93" t="inlineStr">
        <is>
          <t>황경선</t>
        </is>
      </c>
      <c r="J35" s="93" t="inlineStr">
        <is>
          <t>박혜영</t>
        </is>
      </c>
      <c r="K35" s="93" t="inlineStr">
        <is>
          <t>최길인</t>
        </is>
      </c>
      <c r="L35" s="93" t="inlineStr">
        <is>
          <t>구자성</t>
        </is>
      </c>
      <c r="M35" s="375" t="inlineStr">
        <is>
          <t>김종한</t>
        </is>
      </c>
    </row>
    <row r="36">
      <c r="A36" s="68" t="inlineStr">
        <is>
          <t>사업자번호</t>
        </is>
      </c>
      <c r="B36" s="1" t="inlineStr">
        <is>
          <t>221-81-42775</t>
        </is>
      </c>
      <c r="C36" s="1" t="inlineStr">
        <is>
          <t>224-81-47143</t>
        </is>
      </c>
      <c r="D36" s="1" t="inlineStr">
        <is>
          <t>225-81-14475</t>
        </is>
      </c>
      <c r="E36" s="1" t="inlineStr">
        <is>
          <t>186-88-00409</t>
        </is>
      </c>
      <c r="F36" s="9" t="inlineStr">
        <is>
          <t>414-81-06158</t>
        </is>
      </c>
      <c r="G36" s="445" t="inlineStr">
        <is>
          <t>772-88-00215</t>
        </is>
      </c>
      <c r="H36" s="93" t="inlineStr">
        <is>
          <t>127-81-41891</t>
        </is>
      </c>
      <c r="I36" s="93" t="inlineStr">
        <is>
          <t>224-81-61733</t>
        </is>
      </c>
      <c r="J36" s="93" t="inlineStr">
        <is>
          <t>230-86-00449</t>
        </is>
      </c>
      <c r="K36" s="93" t="inlineStr">
        <is>
          <t>605-86-34143</t>
        </is>
      </c>
      <c r="L36" s="93" t="inlineStr">
        <is>
          <t>217-88-00358</t>
        </is>
      </c>
      <c r="M36" s="381" t="inlineStr">
        <is>
          <t>127-81-84508</t>
        </is>
      </c>
    </row>
    <row r="37">
      <c r="A37" s="68" t="inlineStr">
        <is>
          <t>지역</t>
        </is>
      </c>
      <c r="B37" s="1" t="inlineStr">
        <is>
          <t>강원 춘천시</t>
        </is>
      </c>
      <c r="C37" s="1" t="inlineStr">
        <is>
          <t>강원 원주시</t>
        </is>
      </c>
      <c r="D37" s="1" t="inlineStr">
        <is>
          <t>강원 평창군</t>
        </is>
      </c>
      <c r="E37" s="1" t="inlineStr">
        <is>
          <t>강원 원주시</t>
        </is>
      </c>
      <c r="F37" s="9" t="inlineStr">
        <is>
          <t>강원 춘천시</t>
        </is>
      </c>
      <c r="G37" s="441" t="inlineStr">
        <is>
          <t>강원 원주시</t>
        </is>
      </c>
      <c r="H37" s="93" t="inlineStr">
        <is>
          <t>강원도 영월군</t>
        </is>
      </c>
      <c r="I37" s="93" t="inlineStr">
        <is>
          <t>강원도 인제군</t>
        </is>
      </c>
      <c r="J37" s="93" t="inlineStr">
        <is>
          <t>강원도 홍청군</t>
        </is>
      </c>
      <c r="K37" s="93" t="inlineStr">
        <is>
          <t>강원도 강릉시</t>
        </is>
      </c>
      <c r="L37" s="93" t="inlineStr">
        <is>
          <t>강원도 철원군</t>
        </is>
      </c>
      <c r="M37" s="375" t="inlineStr">
        <is>
          <t>강원도 철원군</t>
        </is>
      </c>
    </row>
    <row r="38">
      <c r="A38" s="68" t="inlineStr">
        <is>
          <t>통신시공능력</t>
        </is>
      </c>
      <c r="B38" s="804" t="n">
        <v>748800000</v>
      </c>
      <c r="C38" s="804" t="n">
        <v>945800000</v>
      </c>
      <c r="D38" s="804" t="n">
        <v>1468500000</v>
      </c>
      <c r="E38" s="804" t="n">
        <v>1373300000</v>
      </c>
      <c r="F38" s="756" t="n">
        <v>4248800000</v>
      </c>
      <c r="G38" s="742" t="n">
        <v>6011800000</v>
      </c>
      <c r="H38" s="777" t="n">
        <v>932400000</v>
      </c>
      <c r="I38" s="777" t="n">
        <v>1606300000</v>
      </c>
      <c r="J38" s="815" t="n">
        <v>921000000</v>
      </c>
      <c r="K38" s="815" t="n">
        <v>962700000</v>
      </c>
      <c r="L38" s="815" t="n">
        <v>730700000</v>
      </c>
      <c r="M38" s="872" t="n">
        <v>874800000</v>
      </c>
    </row>
    <row r="39">
      <c r="A39" s="68" t="inlineStr">
        <is>
          <t>3년간 실적액</t>
        </is>
      </c>
      <c r="B39" s="804" t="n">
        <v>91674000</v>
      </c>
      <c r="C39" s="804" t="n">
        <v>291647000</v>
      </c>
      <c r="D39" s="804" t="n">
        <v>558035000</v>
      </c>
      <c r="E39" s="804" t="n">
        <v>930078000</v>
      </c>
      <c r="F39" s="756" t="n">
        <v>4165820000</v>
      </c>
      <c r="G39" s="742" t="n">
        <v>6609049000</v>
      </c>
      <c r="H39" s="777" t="n">
        <v>581019000</v>
      </c>
      <c r="I39" s="815" t="n">
        <v>1123030000</v>
      </c>
      <c r="J39" s="815" t="n">
        <v>805631000</v>
      </c>
      <c r="K39" s="815" t="n">
        <v>726973000</v>
      </c>
      <c r="L39" s="815" t="n">
        <v>375246000</v>
      </c>
      <c r="M39" s="872" t="n">
        <v>545868000</v>
      </c>
    </row>
    <row r="40">
      <c r="A40" s="68" t="inlineStr">
        <is>
          <t>5년간 실적액</t>
        </is>
      </c>
      <c r="B40" s="810" t="n">
        <v>448492000</v>
      </c>
      <c r="C40" s="804" t="n">
        <v>589524000</v>
      </c>
      <c r="D40" s="804" t="n">
        <v>832443000</v>
      </c>
      <c r="E40" s="804" t="n">
        <v>1693050000</v>
      </c>
      <c r="F40" s="756" t="n">
        <v>13105843000</v>
      </c>
      <c r="G40" s="742" t="n">
        <v>9702110000</v>
      </c>
      <c r="H40" s="777" t="n">
        <v>1110504000</v>
      </c>
      <c r="I40" s="816" t="n">
        <v>1552051000</v>
      </c>
      <c r="J40" s="816" t="n">
        <v>2076099000</v>
      </c>
      <c r="K40" s="815" t="n">
        <v>1396471000</v>
      </c>
      <c r="L40" s="777" t="n">
        <v>475256000</v>
      </c>
      <c r="M40" s="873" t="n">
        <v>710569000</v>
      </c>
    </row>
    <row r="41">
      <c r="A41" s="855" t="inlineStr">
        <is>
          <t>부채비율</t>
        </is>
      </c>
      <c r="B41" s="2" t="n">
        <v>0.5918</v>
      </c>
      <c r="C41" s="66" t="n">
        <v>1.5665</v>
      </c>
      <c r="D41" s="2" t="n">
        <v>0.1269</v>
      </c>
      <c r="E41" s="66" t="n">
        <v>0.7208</v>
      </c>
      <c r="F41" s="10" t="n">
        <v>0.1448</v>
      </c>
      <c r="G41" s="443" t="n">
        <v>0.2836</v>
      </c>
      <c r="H41" s="95" t="n">
        <v>1.5118</v>
      </c>
      <c r="I41" s="101" t="n">
        <v>0.1692</v>
      </c>
      <c r="J41" s="97" t="n">
        <v>0.397</v>
      </c>
      <c r="K41" s="97" t="n">
        <v>0.0895</v>
      </c>
      <c r="L41" s="119" t="n">
        <v>0.4903</v>
      </c>
      <c r="M41" s="380" t="n">
        <v>0.2803</v>
      </c>
      <c r="N41" s="750" t="n"/>
    </row>
    <row r="42">
      <c r="A42" s="855" t="inlineStr">
        <is>
          <t>유동비율</t>
        </is>
      </c>
      <c r="B42" s="2" t="n">
        <v>11.5906</v>
      </c>
      <c r="C42" s="2" t="n">
        <v>2.301</v>
      </c>
      <c r="D42" s="2" t="n">
        <v>11.8193</v>
      </c>
      <c r="E42" s="2" t="n">
        <v>6.329</v>
      </c>
      <c r="F42" s="10" t="n">
        <v>3.89</v>
      </c>
      <c r="G42" s="443" t="n">
        <v>3.7367</v>
      </c>
      <c r="H42" s="95" t="n">
        <v>1.4007</v>
      </c>
      <c r="I42" s="101" t="n">
        <v>8.1303</v>
      </c>
      <c r="J42" s="97" t="n">
        <v>5.6871</v>
      </c>
      <c r="K42" s="97" t="n">
        <v>13.6655</v>
      </c>
      <c r="L42" s="101" t="n">
        <v>18.9224</v>
      </c>
      <c r="M42" s="380" t="n">
        <v>7.0559</v>
      </c>
      <c r="N42" s="750" t="n"/>
    </row>
    <row r="43" ht="24" customHeight="1" s="16">
      <c r="A43" s="856" t="inlineStr">
        <is>
          <t>영업기간 
공사업등록일</t>
        </is>
      </c>
      <c r="B43" s="67" t="inlineStr">
        <is>
          <t>2007.07.23</t>
        </is>
      </c>
      <c r="C43" s="67" t="inlineStr">
        <is>
          <t>2010.09.29</t>
        </is>
      </c>
      <c r="D43" s="67" t="inlineStr">
        <is>
          <t>1994.04.20</t>
        </is>
      </c>
      <c r="E43" s="67" t="inlineStr">
        <is>
          <t>2016.08.10</t>
        </is>
      </c>
      <c r="F43" s="11" t="inlineStr">
        <is>
          <t>2011.05.30</t>
        </is>
      </c>
      <c r="G43" s="440" t="inlineStr">
        <is>
          <t>2016.02.24</t>
        </is>
      </c>
      <c r="H43" s="98" t="inlineStr">
        <is>
          <t>2012.08.24</t>
        </is>
      </c>
      <c r="I43" s="98" t="inlineStr">
        <is>
          <t>2011.09.19</t>
        </is>
      </c>
      <c r="J43" s="98" t="inlineStr">
        <is>
          <t>2003.07.07</t>
        </is>
      </c>
      <c r="K43" s="101" t="inlineStr">
        <is>
          <t>2011.07.20</t>
        </is>
      </c>
      <c r="L43" s="101" t="inlineStr">
        <is>
          <t>2008.03.18</t>
        </is>
      </c>
      <c r="M43" s="378" t="inlineStr">
        <is>
          <t>2002.07.31</t>
        </is>
      </c>
    </row>
    <row r="44" ht="32.45" customHeight="1" s="16">
      <c r="A44" s="68" t="inlineStr">
        <is>
          <t>신용평가</t>
        </is>
      </c>
      <c r="B44" s="12" t="n"/>
      <c r="C44" s="61" t="n"/>
      <c r="D44" s="61" t="n"/>
      <c r="E44" s="61" t="n"/>
      <c r="F44" s="415" t="inlineStr">
        <is>
          <t>BBB-
(25.06.18~26.06.17)</t>
        </is>
      </c>
      <c r="G44" s="725" t="inlineStr">
        <is>
          <t>BB+
(24.06.13~25.06.12)</t>
        </is>
      </c>
      <c r="H44" s="371" t="inlineStr">
        <is>
          <t>BBB-
(25.04.22~26.04.21)</t>
        </is>
      </c>
      <c r="I44" s="803" t="n"/>
      <c r="J44" s="49" t="n"/>
      <c r="K44" s="11" t="n"/>
      <c r="L44" s="11" t="n"/>
      <c r="M44" s="12" t="n"/>
    </row>
    <row r="45">
      <c r="A45" s="68" t="inlineStr">
        <is>
          <t>여성기업</t>
        </is>
      </c>
      <c r="B45" s="12" t="n"/>
      <c r="C45" s="61" t="n"/>
      <c r="D45" s="61" t="n"/>
      <c r="E45" s="61" t="n"/>
      <c r="F45" s="61" t="n"/>
      <c r="G45" s="874" t="n"/>
      <c r="H45" s="12" t="n"/>
      <c r="I45" s="803" t="n"/>
      <c r="J45" s="12" t="n"/>
      <c r="K45" s="12" t="n"/>
      <c r="L45" s="12" t="n"/>
      <c r="M45" s="382" t="n"/>
    </row>
    <row r="46">
      <c r="A46" s="68" t="inlineStr">
        <is>
          <t>중소기업</t>
        </is>
      </c>
      <c r="B46" s="12" t="n"/>
      <c r="C46" s="61" t="n"/>
      <c r="D46" s="61" t="n"/>
      <c r="E46" s="61" t="n"/>
      <c r="F46" s="61" t="n"/>
      <c r="G46" s="874" t="n"/>
      <c r="H46" s="12" t="n"/>
      <c r="I46" s="803" t="n"/>
      <c r="J46" s="12" t="n"/>
      <c r="K46" s="12" t="n"/>
      <c r="L46" s="12" t="n"/>
      <c r="M46" s="382" t="n"/>
    </row>
    <row r="47">
      <c r="A47" s="71" t="inlineStr">
        <is>
          <t>일자리창출실적</t>
        </is>
      </c>
      <c r="B47" s="12" t="n"/>
      <c r="C47" s="61" t="n"/>
      <c r="D47" s="61" t="n"/>
      <c r="E47" s="61" t="n"/>
      <c r="F47" s="61" t="n"/>
      <c r="G47" s="874" t="n"/>
      <c r="H47" s="12" t="n"/>
      <c r="I47" s="803" t="n"/>
      <c r="J47" s="12" t="n"/>
      <c r="K47" s="12" t="n"/>
      <c r="L47" s="12" t="n"/>
      <c r="M47" s="382" t="n"/>
    </row>
    <row r="48">
      <c r="A48" s="71" t="inlineStr">
        <is>
          <t>시공품질평가</t>
        </is>
      </c>
      <c r="B48" s="12" t="n"/>
      <c r="C48" s="61" t="n"/>
      <c r="D48" s="61" t="n"/>
      <c r="E48" s="61" t="n"/>
      <c r="F48" s="61" t="n"/>
      <c r="G48" s="874" t="n"/>
      <c r="H48" s="12" t="n"/>
      <c r="I48" s="803" t="n"/>
      <c r="J48" s="12" t="n"/>
      <c r="K48" s="12" t="n"/>
      <c r="L48" s="12" t="n"/>
      <c r="M48" s="382" t="n"/>
    </row>
    <row r="49">
      <c r="A49" s="68" t="inlineStr">
        <is>
          <t>비  고</t>
        </is>
      </c>
      <c r="B49" s="73" t="inlineStr">
        <is>
          <t>최철종</t>
        </is>
      </c>
      <c r="C49" s="1" t="inlineStr">
        <is>
          <t>조재진</t>
        </is>
      </c>
      <c r="D49" s="1" t="inlineStr">
        <is>
          <t>조재진</t>
        </is>
      </c>
      <c r="E49" s="1" t="inlineStr">
        <is>
          <t>조재진</t>
        </is>
      </c>
      <c r="F49" s="61" t="n"/>
      <c r="G49" s="441" t="inlineStr">
        <is>
          <t>윤명숙</t>
        </is>
      </c>
      <c r="H49" s="93" t="inlineStr">
        <is>
          <t>여인백</t>
        </is>
      </c>
      <c r="I49" s="93" t="inlineStr">
        <is>
          <t>김용복</t>
        </is>
      </c>
      <c r="J49" s="106" t="inlineStr">
        <is>
          <t>김용복</t>
        </is>
      </c>
      <c r="K49" s="106" t="inlineStr">
        <is>
          <t>김용복-장애인기업</t>
        </is>
      </c>
      <c r="L49" s="106" t="inlineStr">
        <is>
          <t>김용복</t>
        </is>
      </c>
      <c r="M49" s="379" t="inlineStr">
        <is>
          <t>이재웅</t>
        </is>
      </c>
    </row>
    <row r="50" ht="26.1" customHeight="1" s="16">
      <c r="A50" s="455" t="inlineStr">
        <is>
          <t>회사명</t>
        </is>
      </c>
      <c r="B50" s="455" t="inlineStr">
        <is>
          <t>㈜재경이엔씨</t>
        </is>
      </c>
      <c r="C50" s="455" t="inlineStr">
        <is>
          <t>㈜동화전설</t>
        </is>
      </c>
      <c r="D50" s="455" t="inlineStr">
        <is>
          <t>㈜큐센텍</t>
        </is>
      </c>
      <c r="E50" s="455" t="inlineStr">
        <is>
          <t>(합)부원전기</t>
        </is>
      </c>
      <c r="F50" s="455" t="n"/>
      <c r="G50" s="455" t="n"/>
      <c r="H50" s="455" t="n"/>
      <c r="I50" s="455" t="n"/>
      <c r="J50" s="455" t="n"/>
      <c r="K50" s="455" t="n"/>
      <c r="L50" s="455" t="n"/>
      <c r="M50" s="455" t="n"/>
    </row>
    <row r="51">
      <c r="A51" s="68" t="inlineStr">
        <is>
          <t>대표자</t>
        </is>
      </c>
      <c r="B51" s="347" t="inlineStr">
        <is>
          <t>이민경</t>
        </is>
      </c>
      <c r="C51" s="375" t="inlineStr">
        <is>
          <t>김종호</t>
        </is>
      </c>
      <c r="D51" s="403" t="inlineStr">
        <is>
          <t>강광운</t>
        </is>
      </c>
      <c r="E51" s="797" t="inlineStr">
        <is>
          <t>김용민</t>
        </is>
      </c>
      <c r="F51" s="1" t="n"/>
      <c r="G51" s="1" t="n"/>
      <c r="H51" s="1" t="n"/>
      <c r="I51" s="1" t="n"/>
      <c r="J51" s="1" t="n"/>
      <c r="K51" s="1" t="n"/>
      <c r="L51" s="1" t="n"/>
      <c r="M51" s="1" t="n"/>
    </row>
    <row r="52">
      <c r="A52" s="68" t="inlineStr">
        <is>
          <t>사업자번호</t>
        </is>
      </c>
      <c r="B52" s="348" t="inlineStr">
        <is>
          <t>648-86-00505</t>
        </is>
      </c>
      <c r="C52" s="376" t="inlineStr">
        <is>
          <t>127-86-30104</t>
        </is>
      </c>
      <c r="D52" s="404" t="inlineStr">
        <is>
          <t>206-86-30824</t>
        </is>
      </c>
      <c r="E52" s="256" t="inlineStr">
        <is>
          <t>218-81-08562</t>
        </is>
      </c>
      <c r="F52" s="1" t="n"/>
      <c r="G52" s="1" t="n"/>
      <c r="H52" s="1" t="n"/>
      <c r="I52" s="1" t="n"/>
      <c r="J52" s="1" t="n"/>
      <c r="K52" s="1" t="n"/>
      <c r="L52" s="1" t="n"/>
      <c r="M52" s="318" t="n"/>
    </row>
    <row r="53">
      <c r="A53" s="68" t="inlineStr">
        <is>
          <t>지역</t>
        </is>
      </c>
      <c r="B53" s="875" t="inlineStr">
        <is>
          <t>강원도 철원군</t>
        </is>
      </c>
      <c r="C53" s="860" t="inlineStr">
        <is>
          <t>강원도 철원군</t>
        </is>
      </c>
      <c r="D53" s="876" t="inlineStr">
        <is>
          <t>강원도 강릉시</t>
        </is>
      </c>
      <c r="E53" s="797" t="inlineStr">
        <is>
          <t>강원도</t>
        </is>
      </c>
      <c r="F53" s="1" t="n"/>
      <c r="G53" s="1" t="n"/>
      <c r="H53" s="1" t="n"/>
      <c r="I53" s="1" t="n"/>
      <c r="J53" s="1" t="n"/>
      <c r="K53" s="1" t="n"/>
      <c r="L53" s="1" t="n"/>
      <c r="M53" s="1" t="n"/>
    </row>
    <row r="54">
      <c r="A54" s="68" t="inlineStr">
        <is>
          <t>통신시공능력</t>
        </is>
      </c>
      <c r="B54" s="877" t="n">
        <v>732100000</v>
      </c>
      <c r="C54" s="878" t="n">
        <v>2235700000</v>
      </c>
      <c r="D54" s="879" t="n">
        <v>1606300000</v>
      </c>
      <c r="E54" s="880" t="n">
        <v>772800000</v>
      </c>
      <c r="F54" s="804" t="n"/>
      <c r="G54" s="732" t="n"/>
      <c r="H54" s="732" t="n"/>
      <c r="I54" s="732" t="n"/>
      <c r="J54" s="804" t="n"/>
      <c r="K54" s="804" t="n"/>
      <c r="L54" s="804" t="n"/>
      <c r="M54" s="881" t="n"/>
    </row>
    <row r="55">
      <c r="A55" s="68" t="inlineStr">
        <is>
          <t>3년간 실적액</t>
        </is>
      </c>
      <c r="B55" s="877" t="n">
        <v>680007000</v>
      </c>
      <c r="C55" s="878" t="n">
        <v>1225458000</v>
      </c>
      <c r="D55" s="879" t="n">
        <v>1498769000</v>
      </c>
      <c r="E55" s="880" t="n">
        <v>612540000</v>
      </c>
      <c r="F55" s="804" t="n"/>
      <c r="G55" s="732" t="n"/>
      <c r="H55" s="732" t="n"/>
      <c r="I55" s="804" t="n"/>
      <c r="J55" s="804" t="n"/>
      <c r="K55" s="804" t="n"/>
      <c r="L55" s="804" t="n"/>
      <c r="M55" s="881" t="n"/>
    </row>
    <row r="56">
      <c r="A56" s="68" t="inlineStr">
        <is>
          <t>5년간 실적액</t>
        </is>
      </c>
      <c r="B56" s="877" t="n">
        <v>914565000</v>
      </c>
      <c r="C56" s="878" t="n">
        <v>1369402000</v>
      </c>
      <c r="D56" s="879" t="n">
        <v>2319414000</v>
      </c>
      <c r="E56" s="880" t="n">
        <v>704364000</v>
      </c>
      <c r="F56" s="804" t="n"/>
      <c r="G56" s="732" t="n"/>
      <c r="H56" s="732" t="n"/>
      <c r="I56" s="810" t="n"/>
      <c r="J56" s="810" t="n"/>
      <c r="K56" s="804" t="n"/>
      <c r="L56" s="732" t="n"/>
      <c r="M56" s="882" t="n"/>
    </row>
    <row r="57">
      <c r="A57" s="855" t="inlineStr">
        <is>
          <t>부채비율</t>
        </is>
      </c>
      <c r="B57" s="349" t="n">
        <v>0.5397999999999999</v>
      </c>
      <c r="C57" s="377" t="n">
        <v>0.1773</v>
      </c>
      <c r="D57" s="405" t="n">
        <v>2.7161</v>
      </c>
      <c r="E57" s="265" t="n">
        <v>1.2684</v>
      </c>
      <c r="F57" s="2" t="n"/>
      <c r="G57" s="2" t="n"/>
      <c r="H57" s="66" t="n"/>
      <c r="I57" s="2" t="n"/>
      <c r="J57" s="77" t="n"/>
      <c r="K57" s="77" t="n"/>
      <c r="L57" s="319" t="n"/>
      <c r="M57" s="320" t="n"/>
      <c r="N57" s="750" t="n"/>
    </row>
    <row r="58">
      <c r="A58" s="855" t="inlineStr">
        <is>
          <t>유동비율</t>
        </is>
      </c>
      <c r="B58" s="349" t="n">
        <v>3.6004</v>
      </c>
      <c r="C58" s="377" t="n">
        <v>7.0262</v>
      </c>
      <c r="D58" s="406" t="n">
        <v>2.6851</v>
      </c>
      <c r="E58" s="266" t="n">
        <v>2.4145</v>
      </c>
      <c r="F58" s="2" t="n"/>
      <c r="G58" s="2" t="n"/>
      <c r="H58" s="66" t="n"/>
      <c r="I58" s="2" t="n"/>
      <c r="J58" s="77" t="n"/>
      <c r="K58" s="77" t="n"/>
      <c r="L58" s="2" t="n"/>
      <c r="M58" s="320" t="n"/>
      <c r="N58" s="750" t="n"/>
    </row>
    <row r="59" ht="24" customHeight="1" s="16">
      <c r="A59" s="856" t="inlineStr">
        <is>
          <t>영업기간 
공사업등록일</t>
        </is>
      </c>
      <c r="B59" s="350" t="n"/>
      <c r="C59" s="378" t="inlineStr">
        <is>
          <t>2010.02.11</t>
        </is>
      </c>
      <c r="D59" s="407" t="inlineStr">
        <is>
          <t>2019.11.28</t>
        </is>
      </c>
      <c r="E59" s="258" t="inlineStr">
        <is>
          <t>1991.11.05</t>
        </is>
      </c>
      <c r="F59" s="67" t="n"/>
      <c r="G59" s="67" t="n"/>
      <c r="H59" s="67" t="n"/>
      <c r="I59" s="67" t="n"/>
      <c r="J59" s="67" t="n"/>
      <c r="K59" s="2" t="n"/>
      <c r="L59" s="2" t="n"/>
      <c r="M59" s="67" t="n"/>
    </row>
    <row r="60" ht="32.45" customHeight="1" s="16">
      <c r="A60" s="68" t="inlineStr">
        <is>
          <t>신용평가</t>
        </is>
      </c>
      <c r="B60" s="786" t="n"/>
      <c r="C60" s="786" t="n"/>
      <c r="D60" s="786" t="n"/>
      <c r="E60" s="801" t="inlineStr">
        <is>
          <t>BBB-
(24.12.31~25.12.30)</t>
        </is>
      </c>
      <c r="F60" s="322" t="n"/>
      <c r="G60" s="786" t="n"/>
      <c r="H60" s="7" t="n"/>
      <c r="I60" s="820" t="n"/>
      <c r="J60" s="7" t="n"/>
      <c r="K60" s="67" t="n"/>
      <c r="L60" s="67" t="n"/>
      <c r="M60" s="3" t="n"/>
    </row>
    <row r="61">
      <c r="A61" s="68" t="inlineStr">
        <is>
          <t>여성기업</t>
        </is>
      </c>
      <c r="B61" s="883" t="n"/>
      <c r="C61" s="884" t="n"/>
      <c r="D61" s="885" t="n"/>
      <c r="E61" s="801" t="n"/>
      <c r="F61" s="321" t="n"/>
      <c r="G61" s="820" t="n"/>
      <c r="H61" s="3" t="n"/>
      <c r="I61" s="820" t="n"/>
      <c r="J61" s="3" t="n"/>
      <c r="K61" s="3" t="n"/>
      <c r="L61" s="3" t="n"/>
      <c r="M61" s="3" t="n"/>
    </row>
    <row r="62">
      <c r="A62" s="68" t="inlineStr">
        <is>
          <t>중소기업</t>
        </is>
      </c>
      <c r="B62" s="883" t="n"/>
      <c r="C62" s="884" t="n"/>
      <c r="D62" s="885" t="n"/>
      <c r="E62" s="801" t="n"/>
      <c r="F62" s="321" t="n"/>
      <c r="G62" s="820" t="n"/>
      <c r="H62" s="3" t="n"/>
      <c r="I62" s="820" t="n"/>
      <c r="J62" s="3" t="n"/>
      <c r="K62" s="3" t="n"/>
      <c r="L62" s="3" t="n"/>
      <c r="M62" s="3" t="n"/>
    </row>
    <row r="63">
      <c r="A63" s="71" t="inlineStr">
        <is>
          <t>일자리창출실적</t>
        </is>
      </c>
      <c r="B63" s="883" t="n"/>
      <c r="C63" s="884" t="n"/>
      <c r="D63" s="885" t="n"/>
      <c r="E63" s="801" t="n"/>
      <c r="F63" s="321" t="n"/>
      <c r="G63" s="820" t="n"/>
      <c r="H63" s="3" t="n"/>
      <c r="I63" s="820" t="n"/>
      <c r="J63" s="3" t="n"/>
      <c r="K63" s="3" t="n"/>
      <c r="L63" s="3" t="n"/>
      <c r="M63" s="3" t="n"/>
    </row>
    <row r="64">
      <c r="A64" s="71" t="inlineStr">
        <is>
          <t>시공품질평가</t>
        </is>
      </c>
      <c r="B64" s="883" t="n"/>
      <c r="C64" s="884" t="n"/>
      <c r="D64" s="885" t="n"/>
      <c r="E64" s="267" t="inlineStr">
        <is>
          <t>없음(25.05.01)</t>
        </is>
      </c>
      <c r="F64" s="321" t="n"/>
      <c r="G64" s="820" t="n"/>
      <c r="H64" s="3" t="n"/>
      <c r="I64" s="820" t="n"/>
      <c r="J64" s="3" t="n"/>
      <c r="K64" s="3" t="n"/>
      <c r="L64" s="3" t="n"/>
      <c r="M64" s="3" t="n"/>
    </row>
    <row r="65">
      <c r="A65" s="68" t="inlineStr">
        <is>
          <t>비  고</t>
        </is>
      </c>
      <c r="B65" s="351" t="inlineStr">
        <is>
          <t>정석</t>
        </is>
      </c>
      <c r="C65" s="379" t="inlineStr">
        <is>
          <t>이재웅</t>
        </is>
      </c>
      <c r="D65" s="408" t="inlineStr">
        <is>
          <t>정충선</t>
        </is>
      </c>
      <c r="E65" s="259" t="inlineStr">
        <is>
          <t>김장섭</t>
        </is>
      </c>
      <c r="F65" s="321" t="n"/>
      <c r="G65" s="1" t="n"/>
      <c r="H65" s="1" t="n"/>
      <c r="I65" s="1" t="n"/>
      <c r="J65" s="4" t="n"/>
      <c r="K65" s="4" t="n"/>
      <c r="L65" s="4" t="n"/>
      <c r="M65" s="73" t="n"/>
    </row>
  </sheetData>
  <mergeCells count="1">
    <mergeCell ref="A1:M1"/>
  </mergeCells>
  <printOptions horizontalCentered="1"/>
  <pageMargins left="0.03937007874015748" right="0.03937007874015748" top="0.1968503937007874" bottom="0.1968503937007874" header="0" footer="0"/>
  <pageSetup orientation="landscape" paperSize="9" scale="55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N33"/>
  <sheetViews>
    <sheetView zoomScaleNormal="100" workbookViewId="0">
      <pane ySplit="1" topLeftCell="A2" activePane="bottomLeft" state="frozen"/>
      <selection pane="bottomLeft" activeCell="I38" sqref="I38"/>
    </sheetView>
  </sheetViews>
  <sheetFormatPr baseColWidth="8" defaultRowHeight="13.5"/>
  <cols>
    <col width="10.77734375" bestFit="1" customWidth="1" style="16" min="1" max="1"/>
    <col width="15.77734375" customWidth="1" style="16" min="2" max="5"/>
    <col width="15.21875" customWidth="1" style="16" min="6" max="6"/>
    <col width="15.77734375" customWidth="1" style="16" min="7" max="13"/>
    <col width="8.88671875" customWidth="1" style="16" min="14" max="55"/>
    <col width="8.88671875" customWidth="1" style="16" min="56" max="16384"/>
  </cols>
  <sheetData>
    <row r="1" ht="25.5" customHeight="1" s="16">
      <c r="A1" s="702" t="inlineStr">
        <is>
          <t>통 신 ( 충 남 )</t>
        </is>
      </c>
      <c r="B1" s="700" t="n"/>
      <c r="C1" s="700" t="n"/>
      <c r="D1" s="700" t="n"/>
      <c r="E1" s="700" t="n"/>
      <c r="F1" s="700" t="n"/>
      <c r="G1" s="700" t="n"/>
      <c r="H1" s="700" t="n"/>
      <c r="I1" s="700" t="n"/>
      <c r="J1" s="700" t="n"/>
      <c r="K1" s="700" t="n"/>
      <c r="L1" s="700" t="n"/>
      <c r="M1" s="701" t="n"/>
    </row>
    <row r="2" ht="26.1" customFormat="1" customHeight="1" s="18">
      <c r="A2" s="455" t="inlineStr">
        <is>
          <t>회사명</t>
        </is>
      </c>
      <c r="B2" s="455" t="inlineStr">
        <is>
          <t>㈜광전사</t>
        </is>
      </c>
      <c r="C2" s="455" t="inlineStr">
        <is>
          <t>㈜강산아이티</t>
        </is>
      </c>
      <c r="D2" s="455" t="inlineStr">
        <is>
          <t>경남기업㈜</t>
        </is>
      </c>
      <c r="E2" s="455" t="inlineStr">
        <is>
          <t>극동건설㈜</t>
        </is>
      </c>
      <c r="F2" s="455" t="inlineStr">
        <is>
          <t>광연㈜</t>
        </is>
      </c>
      <c r="G2" s="455" t="inlineStr">
        <is>
          <t>두원이엔지㈜</t>
        </is>
      </c>
      <c r="H2" s="455" t="inlineStr">
        <is>
          <t>㈜화승전력</t>
        </is>
      </c>
      <c r="I2" s="455" t="inlineStr">
        <is>
          <t>선원건설㈜</t>
        </is>
      </c>
      <c r="J2" s="455" t="inlineStr">
        <is>
          <t>㈜신성</t>
        </is>
      </c>
      <c r="K2" s="455" t="inlineStr">
        <is>
          <t>㈜서해전력</t>
        </is>
      </c>
      <c r="L2" s="455" t="inlineStr">
        <is>
          <t>㈜우주전기통신</t>
        </is>
      </c>
      <c r="M2" s="455" t="inlineStr">
        <is>
          <t>㈜에이원정보통신</t>
        </is>
      </c>
    </row>
    <row r="3" customFormat="1" s="23">
      <c r="A3" s="68" t="inlineStr">
        <is>
          <t>대표자</t>
        </is>
      </c>
      <c r="B3" s="435" t="inlineStr">
        <is>
          <t>박현석</t>
        </is>
      </c>
      <c r="C3" s="1" t="inlineStr">
        <is>
          <t>임영미</t>
        </is>
      </c>
      <c r="D3" s="752" t="inlineStr">
        <is>
          <t>이성희</t>
        </is>
      </c>
      <c r="E3" s="752" t="inlineStr">
        <is>
          <t>박상철</t>
        </is>
      </c>
      <c r="F3" s="1" t="inlineStr">
        <is>
          <t>이제연</t>
        </is>
      </c>
      <c r="G3" s="752" t="inlineStr">
        <is>
          <t>권태욱</t>
        </is>
      </c>
      <c r="H3" s="802" t="inlineStr">
        <is>
          <t>조형수</t>
        </is>
      </c>
      <c r="I3" s="752" t="inlineStr">
        <is>
          <t>성호복</t>
        </is>
      </c>
      <c r="J3" s="752" t="inlineStr">
        <is>
          <t>신홍균</t>
        </is>
      </c>
      <c r="K3" s="732" t="inlineStr">
        <is>
          <t>최동순</t>
        </is>
      </c>
      <c r="L3" s="802" t="inlineStr">
        <is>
          <t>조성호</t>
        </is>
      </c>
      <c r="M3" s="752" t="inlineStr">
        <is>
          <t>안복형</t>
        </is>
      </c>
    </row>
    <row r="4" ht="16.5" customFormat="1" customHeight="1" s="21">
      <c r="A4" s="68" t="inlineStr">
        <is>
          <t>사업자번호</t>
        </is>
      </c>
      <c r="B4" s="430" t="inlineStr">
        <is>
          <t>312-81-54505</t>
        </is>
      </c>
      <c r="C4" s="1" t="inlineStr">
        <is>
          <t>129-86-24156</t>
        </is>
      </c>
      <c r="D4" s="54" t="inlineStr">
        <is>
          <t>116-81-05522</t>
        </is>
      </c>
      <c r="E4" s="54" t="inlineStr">
        <is>
          <t>201-81-45083</t>
        </is>
      </c>
      <c r="F4" s="92" t="inlineStr">
        <is>
          <t>125-81-67333</t>
        </is>
      </c>
      <c r="G4" s="54" t="inlineStr">
        <is>
          <t>311-81-40518</t>
        </is>
      </c>
      <c r="H4" s="284" t="inlineStr">
        <is>
          <t>314-86-43386</t>
        </is>
      </c>
      <c r="I4" s="54" t="inlineStr">
        <is>
          <t>312-81-42071</t>
        </is>
      </c>
      <c r="J4" s="54" t="inlineStr">
        <is>
          <t>239-87-00443</t>
        </is>
      </c>
      <c r="K4" s="4" t="inlineStr">
        <is>
          <t>218-87-02240</t>
        </is>
      </c>
      <c r="L4" s="284" t="inlineStr">
        <is>
          <t>310-81-02715</t>
        </is>
      </c>
      <c r="M4" s="54" t="inlineStr">
        <is>
          <t>313-81-26093</t>
        </is>
      </c>
    </row>
    <row r="5" customFormat="1" s="23">
      <c r="A5" s="68" t="inlineStr">
        <is>
          <t>지역</t>
        </is>
      </c>
      <c r="B5" s="435" t="inlineStr">
        <is>
          <t>충남 천안시</t>
        </is>
      </c>
      <c r="C5" s="1" t="inlineStr">
        <is>
          <t>충남 보령시</t>
        </is>
      </c>
      <c r="D5" s="752" t="inlineStr">
        <is>
          <t>충남 아산시</t>
        </is>
      </c>
      <c r="E5" s="752" t="inlineStr">
        <is>
          <t>충남 공주시</t>
        </is>
      </c>
      <c r="F5" s="1" t="inlineStr">
        <is>
          <t>충남 천안시</t>
        </is>
      </c>
      <c r="G5" s="752" t="inlineStr">
        <is>
          <t>충남 당진시</t>
        </is>
      </c>
      <c r="H5" s="802" t="inlineStr">
        <is>
          <t>충남 태안군</t>
        </is>
      </c>
      <c r="I5" s="752" t="inlineStr">
        <is>
          <t>충남 천안시</t>
        </is>
      </c>
      <c r="J5" s="752" t="inlineStr">
        <is>
          <t>충남 보령시</t>
        </is>
      </c>
      <c r="K5" s="732" t="inlineStr">
        <is>
          <t>충남 홍성군</t>
        </is>
      </c>
      <c r="L5" s="802" t="inlineStr">
        <is>
          <t>충남 홍성군</t>
        </is>
      </c>
      <c r="M5" s="752" t="inlineStr">
        <is>
          <t>충남 보령시</t>
        </is>
      </c>
    </row>
    <row r="6" customFormat="1" s="21">
      <c r="A6" s="68" t="inlineStr">
        <is>
          <t>통신시공능력</t>
        </is>
      </c>
      <c r="B6" s="798" t="n">
        <v>665100000</v>
      </c>
      <c r="C6" s="732" t="n">
        <v>1640500000</v>
      </c>
      <c r="D6" s="752" t="n">
        <v>10576800000</v>
      </c>
      <c r="E6" s="752" t="n">
        <v>6319600000</v>
      </c>
      <c r="F6" s="804" t="n">
        <v>1968000000</v>
      </c>
      <c r="G6" s="752" t="n">
        <v>714500000</v>
      </c>
      <c r="H6" s="741" t="n">
        <v>711500000</v>
      </c>
      <c r="I6" s="752" t="n">
        <v>4559100000</v>
      </c>
      <c r="J6" s="752" t="n">
        <v>638300000</v>
      </c>
      <c r="K6" s="732" t="n">
        <v>674800000</v>
      </c>
      <c r="L6" s="741" t="n">
        <v>6787300000</v>
      </c>
      <c r="M6" s="752" t="n">
        <v>1067100000</v>
      </c>
    </row>
    <row r="7" customFormat="1" s="23">
      <c r="A7" s="68" t="inlineStr">
        <is>
          <t>3년간 실적액</t>
        </is>
      </c>
      <c r="B7" s="798" t="n">
        <v>162504000</v>
      </c>
      <c r="C7" s="732" t="n">
        <v>1037421000</v>
      </c>
      <c r="D7" s="752" t="n">
        <v>21630584000</v>
      </c>
      <c r="E7" s="752" t="n">
        <v>11013873000</v>
      </c>
      <c r="F7" s="804" t="n">
        <v>2578220000</v>
      </c>
      <c r="G7" s="752" t="n">
        <v>240023000</v>
      </c>
      <c r="H7" s="741" t="n">
        <v>139343000</v>
      </c>
      <c r="I7" s="752" t="n">
        <v>5927072000</v>
      </c>
      <c r="J7" s="752" t="n">
        <v>118815000</v>
      </c>
      <c r="K7" s="732" t="n">
        <v>64639000</v>
      </c>
      <c r="L7" s="741" t="n">
        <v>6017955000</v>
      </c>
      <c r="M7" s="752" t="n">
        <v>733077000</v>
      </c>
    </row>
    <row r="8" customFormat="1" s="23">
      <c r="A8" s="68" t="inlineStr">
        <is>
          <t>5년간 실적액</t>
        </is>
      </c>
      <c r="B8" s="798" t="n">
        <v>202849000</v>
      </c>
      <c r="C8" s="732" t="n">
        <v>1908372000</v>
      </c>
      <c r="D8" s="752" t="n">
        <v>32864661000</v>
      </c>
      <c r="E8" s="752" t="n">
        <v>16440639000</v>
      </c>
      <c r="F8" s="804" t="n">
        <v>4953019000</v>
      </c>
      <c r="G8" s="752" t="n">
        <v>653608000</v>
      </c>
      <c r="H8" s="741" t="n">
        <v>139343000</v>
      </c>
      <c r="I8" s="752" t="n">
        <v>13244664000</v>
      </c>
      <c r="J8" s="752" t="n">
        <v>118815000</v>
      </c>
      <c r="K8" s="732" t="n">
        <v>64639000</v>
      </c>
      <c r="L8" s="741" t="n">
        <v>9491864000</v>
      </c>
      <c r="M8" s="752" t="n">
        <v>991555000</v>
      </c>
    </row>
    <row r="9" customFormat="1" s="886">
      <c r="A9" s="855" t="inlineStr">
        <is>
          <t>부채비율</t>
        </is>
      </c>
      <c r="B9" s="431" t="n">
        <v>0.3632</v>
      </c>
      <c r="C9" s="2" t="n">
        <v>0.0509</v>
      </c>
      <c r="D9" s="48" t="n">
        <v>-1.5794</v>
      </c>
      <c r="E9" s="48">
        <f>229223367/29998730</f>
        <v/>
      </c>
      <c r="F9" s="2" t="n">
        <v>0.7</v>
      </c>
      <c r="G9" s="10" t="n">
        <v>0.197</v>
      </c>
      <c r="H9" s="285" t="n">
        <v>0.6168</v>
      </c>
      <c r="I9" s="48" t="n">
        <v>1.0215</v>
      </c>
      <c r="J9" s="10" t="n">
        <v>0.1948</v>
      </c>
      <c r="K9" s="2" t="n">
        <v>0.0139</v>
      </c>
      <c r="L9" s="285" t="n">
        <v>0.0193</v>
      </c>
      <c r="M9" s="10" t="n">
        <v>0.0806</v>
      </c>
      <c r="N9" s="750" t="n"/>
    </row>
    <row r="10" customFormat="1" s="886">
      <c r="A10" s="855" t="inlineStr">
        <is>
          <t>유동비율</t>
        </is>
      </c>
      <c r="B10" s="431" t="n">
        <v>3.6914</v>
      </c>
      <c r="C10" s="2" t="n">
        <v>51.8022</v>
      </c>
      <c r="D10" s="48" t="n">
        <v>0.2956</v>
      </c>
      <c r="E10" s="48">
        <f>175888318/108695388</f>
        <v/>
      </c>
      <c r="F10" s="2" t="n">
        <v>2.2016</v>
      </c>
      <c r="G10" s="10" t="n">
        <v>3.3519</v>
      </c>
      <c r="H10" s="285" t="n">
        <v>6.7501</v>
      </c>
      <c r="I10" s="48" t="n">
        <v>1.6193</v>
      </c>
      <c r="J10" s="10" t="n">
        <v>50.5512</v>
      </c>
      <c r="K10" s="2" t="n">
        <v>59.8158</v>
      </c>
      <c r="L10" s="285" t="n">
        <v>46.1606</v>
      </c>
      <c r="M10" s="10" t="n">
        <v>10.2737</v>
      </c>
      <c r="N10" s="750" t="n"/>
    </row>
    <row r="11" ht="24" customFormat="1" customHeight="1" s="886">
      <c r="A11" s="856" t="inlineStr">
        <is>
          <t>영업기간
공사업등록일</t>
        </is>
      </c>
      <c r="B11" s="436" t="inlineStr">
        <is>
          <t>2002.03.06</t>
        </is>
      </c>
      <c r="C11" s="2" t="inlineStr">
        <is>
          <t>2004.10.06</t>
        </is>
      </c>
      <c r="D11" s="11" t="inlineStr">
        <is>
          <t>1979.09.19</t>
        </is>
      </c>
      <c r="E11" s="10" t="inlineStr">
        <is>
          <t>10년이상%</t>
        </is>
      </c>
      <c r="F11" s="2" t="inlineStr">
        <is>
          <t>10년이상%</t>
        </is>
      </c>
      <c r="G11" s="11" t="inlineStr">
        <is>
          <t>2014.12.01</t>
        </is>
      </c>
      <c r="H11" s="287" t="inlineStr">
        <is>
          <t>2005.05.17</t>
        </is>
      </c>
      <c r="I11" s="10" t="inlineStr">
        <is>
          <t>2008.08.06</t>
        </is>
      </c>
      <c r="J11" s="11" t="inlineStr">
        <is>
          <t>2017.07.13</t>
        </is>
      </c>
      <c r="K11" s="67" t="inlineStr">
        <is>
          <t>2019.05.08</t>
        </is>
      </c>
      <c r="L11" s="287" t="inlineStr">
        <is>
          <t>1991.06.12</t>
        </is>
      </c>
      <c r="M11" s="11" t="inlineStr">
        <is>
          <t>2012.03.13</t>
        </is>
      </c>
    </row>
    <row r="12" ht="22.5" customFormat="1" customHeight="1" s="23">
      <c r="A12" s="68" t="inlineStr">
        <is>
          <t>신용평가</t>
        </is>
      </c>
      <c r="B12" s="887" t="inlineStr">
        <is>
          <t>BB-
(25.06.25~26.06.24)</t>
        </is>
      </c>
      <c r="C12" s="55" t="n"/>
      <c r="D12" s="736" t="n"/>
      <c r="E12" s="725" t="inlineStr">
        <is>
          <t>BBB-
(15.06.30~16.06.29)</t>
        </is>
      </c>
      <c r="F12" s="62" t="n"/>
      <c r="G12" s="725" t="inlineStr">
        <is>
          <t>AO
(19.05.26~20.05.25)</t>
        </is>
      </c>
      <c r="H12" s="887" t="inlineStr">
        <is>
          <t>BB-
(25.05.21~26.05.20)</t>
        </is>
      </c>
      <c r="I12" s="725" t="inlineStr">
        <is>
          <t>A-
(18.06.29~19.06.28)</t>
        </is>
      </c>
      <c r="J12" s="736" t="n"/>
      <c r="K12" s="736" t="n"/>
      <c r="L12" s="888" t="inlineStr">
        <is>
          <t>BBB-
(25.04.16~26.04.15)</t>
        </is>
      </c>
      <c r="M12" s="736" t="n"/>
    </row>
    <row r="13" customFormat="1" s="23">
      <c r="A13" s="68" t="inlineStr">
        <is>
          <t>여성기업</t>
        </is>
      </c>
      <c r="B13" s="437" t="n"/>
      <c r="C13" s="55" t="n"/>
      <c r="D13" s="736" t="n"/>
      <c r="E13" s="736" t="n"/>
      <c r="F13" s="62" t="n"/>
      <c r="G13" s="736" t="n"/>
      <c r="H13" s="744" t="n"/>
      <c r="I13" s="736" t="n"/>
      <c r="J13" s="736" t="n"/>
      <c r="K13" s="736" t="n"/>
      <c r="L13" s="744" t="n"/>
      <c r="M13" s="736" t="n"/>
    </row>
    <row r="14" customFormat="1" s="23">
      <c r="A14" s="68" t="inlineStr">
        <is>
          <t>중소기업</t>
        </is>
      </c>
      <c r="B14" s="437" t="n"/>
      <c r="C14" s="55" t="n"/>
      <c r="D14" s="736" t="n"/>
      <c r="E14" s="736" t="n"/>
      <c r="F14" s="62" t="n"/>
      <c r="G14" s="736" t="n"/>
      <c r="H14" s="744" t="n"/>
      <c r="I14" s="736" t="n"/>
      <c r="J14" s="736" t="n"/>
      <c r="K14" s="736" t="n"/>
      <c r="L14" s="744" t="n"/>
      <c r="M14" s="736" t="n"/>
    </row>
    <row r="15" customFormat="1" s="23">
      <c r="A15" s="71" t="inlineStr">
        <is>
          <t>일자리창출실적</t>
        </is>
      </c>
      <c r="B15" s="437" t="n"/>
      <c r="C15" s="55" t="n"/>
      <c r="D15" s="736" t="n"/>
      <c r="E15" s="736" t="n"/>
      <c r="F15" s="62" t="n"/>
      <c r="G15" s="736" t="n"/>
      <c r="H15" s="744" t="n"/>
      <c r="I15" s="736" t="n"/>
      <c r="J15" s="736" t="n"/>
      <c r="K15" s="736" t="n"/>
      <c r="L15" s="744" t="n"/>
      <c r="M15" s="736" t="n"/>
    </row>
    <row r="16" customFormat="1" s="23">
      <c r="A16" s="71" t="inlineStr">
        <is>
          <t>시공품질평가</t>
        </is>
      </c>
      <c r="B16" s="437" t="n"/>
      <c r="C16" s="55" t="n"/>
      <c r="D16" s="736" t="n"/>
      <c r="E16" s="736" t="n"/>
      <c r="F16" s="62" t="n"/>
      <c r="G16" s="736" t="n"/>
      <c r="H16" s="744" t="n"/>
      <c r="I16" s="736" t="n"/>
      <c r="J16" s="736" t="n"/>
      <c r="K16" s="736" t="n"/>
      <c r="L16" s="744" t="n"/>
      <c r="M16" s="736" t="n"/>
    </row>
    <row r="17" customFormat="1" s="23">
      <c r="A17" s="68" t="inlineStr">
        <is>
          <t>비  고</t>
        </is>
      </c>
      <c r="B17" s="435" t="inlineStr">
        <is>
          <t>김희준</t>
        </is>
      </c>
      <c r="C17" s="1" t="inlineStr">
        <is>
          <t>이동훈</t>
        </is>
      </c>
      <c r="D17" s="9" t="n"/>
      <c r="E17" s="9" t="n"/>
      <c r="F17" s="9" t="n"/>
      <c r="G17" s="9" t="inlineStr">
        <is>
          <t>고1(18.07.31)</t>
        </is>
      </c>
      <c r="H17" s="288" t="inlineStr">
        <is>
          <t>이동훈</t>
        </is>
      </c>
      <c r="I17" s="9" t="n"/>
      <c r="J17" s="9" t="inlineStr">
        <is>
          <t>송원 정해룡차장</t>
        </is>
      </c>
      <c r="K17" s="1" t="inlineStr">
        <is>
          <t>임태균</t>
        </is>
      </c>
      <c r="L17" s="292" t="inlineStr">
        <is>
          <t>김희준</t>
        </is>
      </c>
      <c r="M17" s="9" t="inlineStr">
        <is>
          <t>송원 정해룡차장</t>
        </is>
      </c>
    </row>
    <row r="18" ht="26.1" customHeight="1" s="16">
      <c r="A18" s="455" t="inlineStr">
        <is>
          <t>회사명</t>
        </is>
      </c>
      <c r="B18" s="455" t="inlineStr">
        <is>
          <t>일광전설㈜</t>
        </is>
      </c>
      <c r="C18" s="455" t="inlineStr">
        <is>
          <t>㈜진미</t>
        </is>
      </c>
      <c r="D18" s="455" t="inlineStr">
        <is>
          <t>㈜한국전기</t>
        </is>
      </c>
      <c r="E18" s="455" t="inlineStr">
        <is>
          <t>동성건설㈜</t>
        </is>
      </c>
      <c r="F18" s="455" t="inlineStr">
        <is>
          <t>에스아이시정보통신인켈피에이</t>
        </is>
      </c>
      <c r="G18" s="455" t="inlineStr">
        <is>
          <t>㈜새한전기통신공사</t>
        </is>
      </c>
      <c r="H18" s="455" t="inlineStr">
        <is>
          <t>송암산업㈜</t>
        </is>
      </c>
      <c r="I18" s="455" t="inlineStr">
        <is>
          <t>승아전기㈜</t>
        </is>
      </c>
      <c r="J18" s="455" t="inlineStr">
        <is>
          <t>㈜경동이앤지</t>
        </is>
      </c>
      <c r="K18" s="455" t="inlineStr">
        <is>
          <t>㈜에스아이테크</t>
        </is>
      </c>
      <c r="L18" s="455" t="inlineStr">
        <is>
          <t>㈜대한이엔지</t>
        </is>
      </c>
      <c r="M18" s="455" t="inlineStr">
        <is>
          <t>㈜용천전력</t>
        </is>
      </c>
    </row>
    <row r="19">
      <c r="A19" s="68" t="inlineStr">
        <is>
          <t>대표자</t>
        </is>
      </c>
      <c r="B19" s="752" t="inlineStr">
        <is>
          <t>이제생</t>
        </is>
      </c>
      <c r="C19" s="1" t="inlineStr">
        <is>
          <t>조진찬</t>
        </is>
      </c>
      <c r="D19" s="1" t="inlineStr">
        <is>
          <t>서정옥</t>
        </is>
      </c>
      <c r="E19" s="814" t="inlineStr">
        <is>
          <t>김주환, 이영찬</t>
        </is>
      </c>
      <c r="F19" s="732" t="inlineStr">
        <is>
          <t>박동진</t>
        </is>
      </c>
      <c r="G19" s="825" t="inlineStr">
        <is>
          <t>유병근</t>
        </is>
      </c>
      <c r="H19" s="802" t="inlineStr">
        <is>
          <t>김남규</t>
        </is>
      </c>
      <c r="I19" s="889" t="inlineStr">
        <is>
          <t>김태훈</t>
        </is>
      </c>
      <c r="J19" s="796" t="inlineStr">
        <is>
          <t>황일재</t>
        </is>
      </c>
      <c r="K19" s="777" t="inlineStr">
        <is>
          <t>주우명</t>
        </is>
      </c>
      <c r="L19" s="777" t="inlineStr">
        <is>
          <t>이기영</t>
        </is>
      </c>
      <c r="M19" s="352" t="inlineStr">
        <is>
          <t>이용천</t>
        </is>
      </c>
    </row>
    <row r="20">
      <c r="A20" s="68" t="inlineStr">
        <is>
          <t>사업자번호</t>
        </is>
      </c>
      <c r="B20" s="54" t="inlineStr">
        <is>
          <t>312-81-19473</t>
        </is>
      </c>
      <c r="C20" s="1" t="inlineStr">
        <is>
          <t>134-87-06365</t>
        </is>
      </c>
      <c r="D20" s="1" t="inlineStr">
        <is>
          <t>313-81-19710</t>
        </is>
      </c>
      <c r="E20" s="226" t="inlineStr">
        <is>
          <t>308-81-04379</t>
        </is>
      </c>
      <c r="F20" s="4" t="inlineStr">
        <is>
          <t>310-03-91786</t>
        </is>
      </c>
      <c r="G20" s="438" t="inlineStr">
        <is>
          <t>511-81-13173</t>
        </is>
      </c>
      <c r="H20" s="284" t="inlineStr">
        <is>
          <t>610-81-63892</t>
        </is>
      </c>
      <c r="I20" s="175" t="inlineStr">
        <is>
          <t>119-81-07631</t>
        </is>
      </c>
      <c r="J20" s="432" t="inlineStr">
        <is>
          <t>311-81-48126</t>
        </is>
      </c>
      <c r="K20" s="106" t="inlineStr">
        <is>
          <t>203-81-59958</t>
        </is>
      </c>
      <c r="L20" s="106" t="inlineStr">
        <is>
          <t>312-86-18483</t>
        </is>
      </c>
      <c r="M20" s="353" t="inlineStr">
        <is>
          <t>411-81-43703</t>
        </is>
      </c>
    </row>
    <row r="21">
      <c r="A21" s="68" t="inlineStr">
        <is>
          <t>지역</t>
        </is>
      </c>
      <c r="B21" s="752" t="inlineStr">
        <is>
          <t>충남 천안</t>
        </is>
      </c>
      <c r="C21" s="1" t="inlineStr">
        <is>
          <t>충남 태안군</t>
        </is>
      </c>
      <c r="D21" s="1" t="inlineStr">
        <is>
          <t>충남 보령시</t>
        </is>
      </c>
      <c r="E21" s="814" t="inlineStr">
        <is>
          <t>충남 천안시</t>
        </is>
      </c>
      <c r="F21" s="732" t="inlineStr">
        <is>
          <t>충남 서산시</t>
        </is>
      </c>
      <c r="G21" s="825" t="inlineStr">
        <is>
          <t>충남 홍성군</t>
        </is>
      </c>
      <c r="H21" s="802" t="inlineStr">
        <is>
          <t>충남 보령시</t>
        </is>
      </c>
      <c r="I21" s="889" t="inlineStr">
        <is>
          <t>충남 서산시</t>
        </is>
      </c>
      <c r="J21" s="796" t="inlineStr">
        <is>
          <t>충남 당진시</t>
        </is>
      </c>
      <c r="K21" s="777" t="inlineStr">
        <is>
          <t>충남 당진시</t>
        </is>
      </c>
      <c r="L21" s="777" t="inlineStr">
        <is>
          <t>충남 천안시</t>
        </is>
      </c>
      <c r="M21" s="352" t="inlineStr">
        <is>
          <t>충남 홍성군</t>
        </is>
      </c>
    </row>
    <row r="22">
      <c r="A22" s="68" t="inlineStr">
        <is>
          <t>통신시공능력</t>
        </is>
      </c>
      <c r="B22" s="752" t="n">
        <v>20702800000</v>
      </c>
      <c r="C22" s="890" t="n">
        <v>1150600000</v>
      </c>
      <c r="D22" s="890" t="n">
        <v>1241600000</v>
      </c>
      <c r="E22" s="891" t="n">
        <v>1050000000</v>
      </c>
      <c r="F22" s="890" t="n">
        <v>1469800000</v>
      </c>
      <c r="G22" s="892" t="n">
        <v>2118800000</v>
      </c>
      <c r="H22" s="741" t="n">
        <v>1609900000</v>
      </c>
      <c r="I22" s="769" t="n">
        <v>12819000000</v>
      </c>
      <c r="J22" s="798" t="n">
        <v>1001700000</v>
      </c>
      <c r="K22" s="777" t="n">
        <v>12012300000</v>
      </c>
      <c r="L22" s="777" t="n">
        <v>1440100000</v>
      </c>
      <c r="M22" s="841" t="n">
        <v>2218100000</v>
      </c>
    </row>
    <row r="23">
      <c r="A23" s="68" t="inlineStr">
        <is>
          <t>3년간 실적액</t>
        </is>
      </c>
      <c r="B23" s="752" t="n">
        <v>34162460000</v>
      </c>
      <c r="C23" s="890" t="n">
        <v>457093000</v>
      </c>
      <c r="D23" s="890" t="n">
        <v>604568000</v>
      </c>
      <c r="E23" s="893" t="n">
        <v>1369143000</v>
      </c>
      <c r="F23" s="890" t="n">
        <v>1228869000</v>
      </c>
      <c r="G23" s="892" t="n">
        <v>979741000</v>
      </c>
      <c r="H23" s="741" t="n">
        <v>2581432000</v>
      </c>
      <c r="I23" s="769" t="n">
        <v>18880723000</v>
      </c>
      <c r="J23" s="798" t="n">
        <v>313540000</v>
      </c>
      <c r="K23" s="777" t="n">
        <v>18606232000</v>
      </c>
      <c r="L23" s="777" t="n">
        <v>2252505000</v>
      </c>
      <c r="M23" s="841" t="n">
        <v>1034111000</v>
      </c>
    </row>
    <row r="24">
      <c r="A24" s="68" t="inlineStr">
        <is>
          <t>5년간 실적액</t>
        </is>
      </c>
      <c r="B24" s="752" t="n">
        <v>56753590000</v>
      </c>
      <c r="C24" s="890" t="n">
        <v>1648680000</v>
      </c>
      <c r="D24" s="890" t="n">
        <v>649037000</v>
      </c>
      <c r="E24" s="893" t="n">
        <v>1369143000</v>
      </c>
      <c r="F24" s="890" t="n">
        <v>2632489000</v>
      </c>
      <c r="G24" s="892" t="n">
        <v>1214267000</v>
      </c>
      <c r="H24" s="741" t="n">
        <v>3354444000</v>
      </c>
      <c r="I24" s="769" t="n">
        <v>21964261000</v>
      </c>
      <c r="J24" s="798" t="n">
        <v>313540000</v>
      </c>
      <c r="K24" s="777" t="n">
        <v>21284755000</v>
      </c>
      <c r="L24" s="777" t="n">
        <v>3189705000</v>
      </c>
      <c r="M24" s="841" t="n">
        <v>2400093000</v>
      </c>
    </row>
    <row r="25">
      <c r="A25" s="855" t="inlineStr">
        <is>
          <t>부채비율</t>
        </is>
      </c>
      <c r="B25" s="10" t="n">
        <v>0.5275</v>
      </c>
      <c r="C25" s="10" t="n"/>
      <c r="D25" s="2" t="n">
        <v>0.1172</v>
      </c>
      <c r="E25" s="227" t="n">
        <v>0.4962</v>
      </c>
      <c r="F25" s="2" t="n">
        <v>0.0437</v>
      </c>
      <c r="G25" s="439" t="n">
        <v>0.0172</v>
      </c>
      <c r="H25" s="285" t="n">
        <v>0.2509</v>
      </c>
      <c r="I25" s="176" t="n">
        <v>0.3164</v>
      </c>
      <c r="J25" s="431" t="n">
        <v>0.4095</v>
      </c>
      <c r="K25" s="95" t="n">
        <v>0.8836000000000001</v>
      </c>
      <c r="L25" s="101" t="n">
        <v>0.5294</v>
      </c>
      <c r="M25" s="354" t="n">
        <v>0.0604</v>
      </c>
      <c r="N25" s="750" t="n"/>
    </row>
    <row r="26">
      <c r="A26" s="855" t="inlineStr">
        <is>
          <t>유동비율</t>
        </is>
      </c>
      <c r="B26" s="10" t="n">
        <v>7.503</v>
      </c>
      <c r="C26" s="10" t="n"/>
      <c r="D26" s="2" t="n">
        <v>15.1212</v>
      </c>
      <c r="E26" s="227" t="n">
        <v>2.4285</v>
      </c>
      <c r="F26" s="2" t="n">
        <v>13.2063</v>
      </c>
      <c r="G26" s="439" t="n">
        <v>43.5163</v>
      </c>
      <c r="H26" s="285" t="n">
        <v>5.150700000000001</v>
      </c>
      <c r="I26" s="176" t="n">
        <v>3.081</v>
      </c>
      <c r="J26" s="431" t="n">
        <v>3.4589</v>
      </c>
      <c r="K26" s="95" t="n">
        <v>1.5243</v>
      </c>
      <c r="L26" s="101" t="n">
        <v>2.4939</v>
      </c>
      <c r="M26" s="354" t="n">
        <v>24.2642</v>
      </c>
      <c r="N26" s="750" t="n"/>
    </row>
    <row r="27" ht="24" customHeight="1" s="16">
      <c r="A27" s="856" t="inlineStr">
        <is>
          <t>영업기간
공사업등록일</t>
        </is>
      </c>
      <c r="B27" s="11" t="inlineStr">
        <is>
          <t>1991.10.10</t>
        </is>
      </c>
      <c r="C27" s="11" t="n"/>
      <c r="D27" s="2" t="inlineStr">
        <is>
          <t>2007.11.30</t>
        </is>
      </c>
      <c r="E27" s="228" t="inlineStr">
        <is>
          <t>2021.12.09</t>
        </is>
      </c>
      <c r="F27" s="67" t="inlineStr">
        <is>
          <t>2012.02.01</t>
        </is>
      </c>
      <c r="G27" s="440" t="inlineStr">
        <is>
          <t>2006.07.10</t>
        </is>
      </c>
      <c r="H27" s="287" t="inlineStr">
        <is>
          <t>2021.04.13</t>
        </is>
      </c>
      <c r="I27" s="183" t="inlineStr">
        <is>
          <t>2007,08,22</t>
        </is>
      </c>
      <c r="J27" s="433" t="inlineStr">
        <is>
          <t>2022.02.25</t>
        </is>
      </c>
      <c r="K27" s="98" t="inlineStr">
        <is>
          <t>1997.09.11</t>
        </is>
      </c>
      <c r="L27" s="98" t="inlineStr">
        <is>
          <t>2020.06.01</t>
        </is>
      </c>
      <c r="M27" s="355" t="n"/>
    </row>
    <row r="28" ht="22.5" customHeight="1" s="16">
      <c r="A28" s="68" t="inlineStr">
        <is>
          <t>신용평가</t>
        </is>
      </c>
      <c r="B28" s="736" t="inlineStr">
        <is>
          <t>BBO</t>
        </is>
      </c>
      <c r="C28" s="7" t="inlineStr">
        <is>
          <t>BB-
(22.07.01)</t>
        </is>
      </c>
      <c r="D28" s="55" t="n"/>
      <c r="E28" s="833" t="inlineStr">
        <is>
          <t>A-
(25.07.01~26.06.30)</t>
        </is>
      </c>
      <c r="F28" s="736" t="n"/>
      <c r="G28" s="736" t="n"/>
      <c r="H28" s="894" t="inlineStr">
        <is>
          <t>BB-
(25.08.06~26.08.07)</t>
        </is>
      </c>
      <c r="I28" s="55" t="n"/>
      <c r="J28" s="888" t="inlineStr">
        <is>
          <t>BB0
(25.05.07~26.05.06)</t>
        </is>
      </c>
      <c r="K28" s="895" t="inlineStr">
        <is>
          <t>BB0
(24.04.23~25.04.22)</t>
        </is>
      </c>
      <c r="L28" s="725" t="inlineStr">
        <is>
          <t>BB+
(24.05.03~25.05.02)</t>
        </is>
      </c>
      <c r="M28" s="323" t="inlineStr">
        <is>
          <t>BB0
(14.07.24~15.06.30)</t>
        </is>
      </c>
    </row>
    <row r="29">
      <c r="A29" s="68" t="inlineStr">
        <is>
          <t>여성기업</t>
        </is>
      </c>
      <c r="B29" s="736" t="n"/>
      <c r="C29" s="736" t="n"/>
      <c r="D29" s="55" t="n"/>
      <c r="E29" s="726" t="n"/>
      <c r="F29" s="736" t="n"/>
      <c r="G29" s="833" t="n"/>
      <c r="H29" s="744" t="n"/>
      <c r="I29" s="184" t="n"/>
      <c r="J29" s="800" t="n"/>
      <c r="K29" s="736" t="n"/>
      <c r="L29" s="736" t="n"/>
      <c r="M29" s="356" t="n"/>
    </row>
    <row r="30">
      <c r="A30" s="68" t="inlineStr">
        <is>
          <t>중소기업</t>
        </is>
      </c>
      <c r="B30" s="736" t="n"/>
      <c r="C30" s="736" t="n"/>
      <c r="D30" s="55" t="n"/>
      <c r="E30" s="726" t="n"/>
      <c r="F30" s="736" t="n"/>
      <c r="G30" s="833" t="n"/>
      <c r="H30" s="744" t="n"/>
      <c r="I30" s="184" t="n"/>
      <c r="J30" s="800" t="n"/>
      <c r="K30" s="736" t="n"/>
      <c r="L30" s="736" t="n"/>
      <c r="M30" s="356" t="n"/>
    </row>
    <row r="31">
      <c r="A31" s="71" t="inlineStr">
        <is>
          <t>일자리창출실적</t>
        </is>
      </c>
      <c r="B31" s="736" t="n"/>
      <c r="C31" s="736" t="n"/>
      <c r="D31" s="55" t="n"/>
      <c r="E31" s="726" t="n"/>
      <c r="F31" s="736" t="n"/>
      <c r="G31" s="833" t="n"/>
      <c r="H31" s="744" t="n"/>
      <c r="I31" s="184" t="n"/>
      <c r="J31" s="800" t="n"/>
      <c r="K31" s="736" t="n"/>
      <c r="L31" s="736" t="n"/>
      <c r="M31" s="356" t="n"/>
    </row>
    <row r="32">
      <c r="A32" s="71" t="inlineStr">
        <is>
          <t>시공품질평가</t>
        </is>
      </c>
      <c r="B32" s="736" t="n"/>
      <c r="C32" s="786" t="inlineStr">
        <is>
          <t>없음 (25.05.01)</t>
        </is>
      </c>
      <c r="D32" s="55" t="n"/>
      <c r="E32" s="726" t="n"/>
      <c r="F32" s="736" t="n"/>
      <c r="G32" s="833" t="n"/>
      <c r="H32" s="744" t="n"/>
      <c r="I32" s="184" t="n"/>
      <c r="J32" s="800" t="n"/>
      <c r="K32" s="736" t="n"/>
      <c r="L32" s="736" t="n"/>
      <c r="M32" s="356" t="n"/>
    </row>
    <row r="33" ht="33.75" customHeight="1" s="16">
      <c r="A33" s="68" t="inlineStr">
        <is>
          <t>비  고</t>
        </is>
      </c>
      <c r="B33" s="9" t="n"/>
      <c r="C33" s="1" t="inlineStr">
        <is>
          <t>박성균</t>
        </is>
      </c>
      <c r="D33" s="1" t="inlineStr">
        <is>
          <t>이동훈</t>
        </is>
      </c>
      <c r="E33" s="229" t="inlineStr">
        <is>
          <t>김상곤
중소기업확인서
(24.03.29~25.03.31)</t>
        </is>
      </c>
      <c r="F33" s="1" t="inlineStr">
        <is>
          <t>이재웅</t>
        </is>
      </c>
      <c r="G33" s="441" t="inlineStr">
        <is>
          <t>김희준</t>
        </is>
      </c>
      <c r="H33" s="288" t="inlineStr">
        <is>
          <t>이동훈</t>
        </is>
      </c>
      <c r="I33" s="180" t="n"/>
      <c r="J33" s="435" t="inlineStr">
        <is>
          <t>이동훈</t>
        </is>
      </c>
      <c r="K33" s="93" t="inlineStr">
        <is>
          <t>서권형</t>
        </is>
      </c>
      <c r="L33" s="9" t="n"/>
      <c r="M33" s="352" t="inlineStr">
        <is>
          <t>송종윤</t>
        </is>
      </c>
    </row>
  </sheetData>
  <mergeCells count="1">
    <mergeCell ref="A1:M1"/>
  </mergeCells>
  <printOptions horizontalCentered="1"/>
  <pageMargins left="0.03937007874015748" right="0.03937007874015748" top="0.1968503937007874" bottom="0.1968503937007874" header="0" footer="0"/>
  <pageSetup orientation="landscape" paperSize="9" scale="5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A1:N33"/>
  <sheetViews>
    <sheetView zoomScaleNormal="100" workbookViewId="0">
      <pane ySplit="1" topLeftCell="A2" activePane="bottomLeft" state="frozen"/>
      <selection pane="bottomLeft" activeCell="G11" sqref="G11"/>
    </sheetView>
  </sheetViews>
  <sheetFormatPr baseColWidth="8" defaultRowHeight="13.5"/>
  <cols>
    <col width="10.77734375" bestFit="1" customWidth="1" style="16" min="1" max="1"/>
    <col width="15.77734375" customWidth="1" style="16" min="2" max="13"/>
    <col width="8.88671875" customWidth="1" style="16" min="14" max="55"/>
    <col width="8.88671875" customWidth="1" style="16" min="56" max="16384"/>
  </cols>
  <sheetData>
    <row r="1" ht="25.5" customHeight="1" s="16">
      <c r="A1" s="702" t="inlineStr">
        <is>
          <t>통 신 ( 충 북 )</t>
        </is>
      </c>
      <c r="B1" s="700" t="n"/>
      <c r="C1" s="700" t="n"/>
      <c r="D1" s="700" t="n"/>
      <c r="E1" s="700" t="n"/>
      <c r="F1" s="700" t="n"/>
      <c r="G1" s="700" t="n"/>
      <c r="H1" s="700" t="n"/>
      <c r="I1" s="700" t="n"/>
      <c r="J1" s="700" t="n"/>
      <c r="K1" s="700" t="n"/>
      <c r="L1" s="700" t="n"/>
      <c r="M1" s="701" t="n"/>
    </row>
    <row r="2" ht="26.1" customFormat="1" customHeight="1" s="18">
      <c r="A2" s="455" t="inlineStr">
        <is>
          <t>회사명</t>
        </is>
      </c>
      <c r="B2" s="455" t="inlineStr">
        <is>
          <t>㈜건주</t>
        </is>
      </c>
      <c r="C2" s="455" t="inlineStr">
        <is>
          <t>㈜금광테크</t>
        </is>
      </c>
      <c r="D2" s="455" t="inlineStr">
        <is>
          <t>㈜대흥종합건설</t>
        </is>
      </c>
      <c r="E2" s="455" t="inlineStr">
        <is>
          <t>㈜다라정보통신</t>
        </is>
      </c>
      <c r="F2" s="455" t="inlineStr">
        <is>
          <t>㈜성근테크</t>
        </is>
      </c>
      <c r="G2" s="455" t="inlineStr">
        <is>
          <t>㈜성창통신</t>
        </is>
      </c>
      <c r="H2" s="455" t="inlineStr">
        <is>
          <t>㈜우람</t>
        </is>
      </c>
      <c r="I2" s="455" t="inlineStr">
        <is>
          <t>㈜우진산전</t>
        </is>
      </c>
      <c r="J2" s="455" t="inlineStr">
        <is>
          <t>㈜아이티아이에스</t>
        </is>
      </c>
      <c r="K2" s="455" t="inlineStr">
        <is>
          <t>㈜예지</t>
        </is>
      </c>
      <c r="L2" s="455" t="inlineStr">
        <is>
          <t>대원전기㈜</t>
        </is>
      </c>
      <c r="M2" s="455" t="inlineStr">
        <is>
          <t>㈜대승정보</t>
        </is>
      </c>
    </row>
    <row r="3" customFormat="1" s="23">
      <c r="A3" s="68" t="inlineStr">
        <is>
          <t>대표자</t>
        </is>
      </c>
      <c r="B3" s="764" t="inlineStr">
        <is>
          <t>안병만</t>
        </is>
      </c>
      <c r="C3" s="9" t="inlineStr">
        <is>
          <t>오승용</t>
        </is>
      </c>
      <c r="D3" s="9" t="inlineStr">
        <is>
          <t>김정우</t>
        </is>
      </c>
      <c r="E3" s="9" t="inlineStr">
        <is>
          <t>김동영</t>
        </is>
      </c>
      <c r="F3" s="752" t="inlineStr">
        <is>
          <t>강성호</t>
        </is>
      </c>
      <c r="G3" s="752" t="inlineStr">
        <is>
          <t>이재진</t>
        </is>
      </c>
      <c r="H3" s="9" t="inlineStr">
        <is>
          <t>신지온</t>
        </is>
      </c>
      <c r="I3" s="752" t="inlineStr">
        <is>
          <t>김영창</t>
        </is>
      </c>
      <c r="J3" s="732" t="inlineStr">
        <is>
          <t>조종식</t>
        </is>
      </c>
      <c r="K3" s="732" t="inlineStr">
        <is>
          <t>조현정</t>
        </is>
      </c>
      <c r="L3" s="752" t="inlineStr">
        <is>
          <t>권세원</t>
        </is>
      </c>
      <c r="M3" s="752" t="inlineStr">
        <is>
          <t>최은숙</t>
        </is>
      </c>
    </row>
    <row r="4" customFormat="1" s="21">
      <c r="A4" s="68" t="inlineStr">
        <is>
          <t>사업자번호</t>
        </is>
      </c>
      <c r="B4" s="197" t="inlineStr">
        <is>
          <t>304-81-04362</t>
        </is>
      </c>
      <c r="C4" s="59" t="inlineStr">
        <is>
          <t>317-81-22027</t>
        </is>
      </c>
      <c r="D4" s="59" t="inlineStr">
        <is>
          <t>303-81-10876</t>
        </is>
      </c>
      <c r="E4" s="59" t="inlineStr">
        <is>
          <t>305-81-98261</t>
        </is>
      </c>
      <c r="F4" s="54" t="inlineStr">
        <is>
          <t>301-81-97047</t>
        </is>
      </c>
      <c r="G4" s="54" t="inlineStr">
        <is>
          <t>315-81-32849</t>
        </is>
      </c>
      <c r="H4" s="59" t="inlineStr">
        <is>
          <t>304-81-18134</t>
        </is>
      </c>
      <c r="I4" s="54" t="inlineStr">
        <is>
          <t>317-81-19217</t>
        </is>
      </c>
      <c r="J4" s="4" t="inlineStr">
        <is>
          <t>301-81-57725</t>
        </is>
      </c>
      <c r="K4" s="4" t="inlineStr">
        <is>
          <t>301-81-95980</t>
        </is>
      </c>
      <c r="L4" s="54" t="inlineStr">
        <is>
          <t>301-80-10579</t>
        </is>
      </c>
      <c r="M4" s="54" t="inlineStr">
        <is>
          <t>510-81-36310</t>
        </is>
      </c>
    </row>
    <row r="5" customFormat="1" s="23">
      <c r="A5" s="68" t="inlineStr">
        <is>
          <t>지역</t>
        </is>
      </c>
      <c r="B5" s="762" t="inlineStr">
        <is>
          <t>충북 제천시</t>
        </is>
      </c>
      <c r="C5" s="9" t="inlineStr">
        <is>
          <t>충북 청주시</t>
        </is>
      </c>
      <c r="D5" s="9" t="inlineStr">
        <is>
          <t>충북 충주시</t>
        </is>
      </c>
      <c r="E5" s="9" t="inlineStr">
        <is>
          <t>충북 청주시</t>
        </is>
      </c>
      <c r="F5" s="752" t="inlineStr">
        <is>
          <t>충북 청주시</t>
        </is>
      </c>
      <c r="G5" s="752" t="inlineStr">
        <is>
          <t>충북 청주시</t>
        </is>
      </c>
      <c r="H5" s="9" t="inlineStr">
        <is>
          <t>충북 청주시</t>
        </is>
      </c>
      <c r="I5" s="752" t="inlineStr">
        <is>
          <t>충북 괴산</t>
        </is>
      </c>
      <c r="J5" s="732" t="inlineStr">
        <is>
          <t>충북 청주시</t>
        </is>
      </c>
      <c r="K5" s="732" t="inlineStr">
        <is>
          <t>충북 청주시</t>
        </is>
      </c>
      <c r="L5" s="752" t="inlineStr">
        <is>
          <t>충북 청주시</t>
        </is>
      </c>
      <c r="M5" s="752" t="inlineStr">
        <is>
          <t>충북 청주시</t>
        </is>
      </c>
    </row>
    <row r="6" customFormat="1" s="21">
      <c r="A6" s="68" t="inlineStr">
        <is>
          <t>통신시공능력</t>
        </is>
      </c>
      <c r="B6" s="764" t="n">
        <v>2743900000</v>
      </c>
      <c r="C6" s="756" t="n">
        <v>2770600000</v>
      </c>
      <c r="D6" s="756" t="n">
        <v>724100000</v>
      </c>
      <c r="E6" s="756" t="n">
        <v>3128800000</v>
      </c>
      <c r="F6" s="752" t="n">
        <v>537400000</v>
      </c>
      <c r="G6" s="752" t="n">
        <v>9065900000</v>
      </c>
      <c r="H6" s="756" t="n">
        <v>6151000000</v>
      </c>
      <c r="I6" s="752" t="n">
        <v>6842400000</v>
      </c>
      <c r="J6" s="732" t="n">
        <v>11544500000</v>
      </c>
      <c r="K6" s="732" t="n">
        <v>891600000</v>
      </c>
      <c r="L6" s="752" t="n">
        <v>14058600000</v>
      </c>
      <c r="M6" s="777" t="n">
        <v>1427500000</v>
      </c>
    </row>
    <row r="7" customFormat="1" s="23">
      <c r="A7" s="68" t="inlineStr">
        <is>
          <t>3년간 실적액</t>
        </is>
      </c>
      <c r="B7" s="764" t="n">
        <v>2950155000</v>
      </c>
      <c r="C7" s="756" t="n">
        <v>1862987000</v>
      </c>
      <c r="D7" s="756" t="n">
        <v>169667000</v>
      </c>
      <c r="E7" s="756" t="n">
        <v>4748467000</v>
      </c>
      <c r="F7" s="752" t="n">
        <v>579703000</v>
      </c>
      <c r="G7" s="752" t="n"/>
      <c r="H7" s="756" t="n">
        <v>10663402000</v>
      </c>
      <c r="I7" s="752" t="n">
        <v>8650022000</v>
      </c>
      <c r="J7" s="732" t="n">
        <v>13912105000</v>
      </c>
      <c r="K7" s="732" t="n">
        <v>157375000</v>
      </c>
      <c r="L7" s="752" t="n">
        <v>19473583000</v>
      </c>
      <c r="M7" s="752" t="n">
        <v>990661000</v>
      </c>
    </row>
    <row r="8" customFormat="1" s="23">
      <c r="A8" s="68" t="inlineStr">
        <is>
          <t>5년간 실적액</t>
        </is>
      </c>
      <c r="B8" s="764" t="n">
        <v>4099054000</v>
      </c>
      <c r="C8" s="756" t="n">
        <v>3327909000</v>
      </c>
      <c r="D8" s="756" t="n">
        <v>169667000</v>
      </c>
      <c r="E8" s="756" t="n">
        <v>3748467000</v>
      </c>
      <c r="F8" s="752" t="n">
        <v>1152359000</v>
      </c>
      <c r="G8" s="752" t="n"/>
      <c r="H8" s="756" t="n">
        <v>19612460000</v>
      </c>
      <c r="I8" s="752" t="n">
        <v>14295022000</v>
      </c>
      <c r="J8" s="732" t="n">
        <v>21809557000</v>
      </c>
      <c r="K8" s="732" t="n">
        <v>157375000</v>
      </c>
      <c r="L8" s="752" t="n">
        <v>29508858000</v>
      </c>
      <c r="M8" s="752" t="n">
        <v>1198581000</v>
      </c>
    </row>
    <row r="9" customFormat="1" s="886">
      <c r="A9" s="855" t="inlineStr">
        <is>
          <t>부채비율</t>
        </is>
      </c>
      <c r="B9" s="198" t="n">
        <v>0.1264</v>
      </c>
      <c r="C9" s="10" t="n">
        <v>0.1899</v>
      </c>
      <c r="D9" s="10" t="n">
        <v>0.4396</v>
      </c>
      <c r="E9" s="10" t="n">
        <v>1.472</v>
      </c>
      <c r="F9" s="10" t="n">
        <v>0.4924</v>
      </c>
      <c r="G9" s="10" t="n"/>
      <c r="H9" s="10" t="n">
        <v>0.3511</v>
      </c>
      <c r="I9" s="10" t="n">
        <v>0.8844</v>
      </c>
      <c r="J9" s="2" t="n">
        <v>0.6984</v>
      </c>
      <c r="K9" s="2" t="n">
        <v>0.08210000000000001</v>
      </c>
      <c r="L9" s="10" t="n">
        <v>0.1663</v>
      </c>
      <c r="M9" s="10" t="n">
        <v>0.1745</v>
      </c>
      <c r="N9" s="750" t="n"/>
    </row>
    <row r="10" customFormat="1" s="886">
      <c r="A10" s="855" t="inlineStr">
        <is>
          <t>유동비율</t>
        </is>
      </c>
      <c r="B10" s="198" t="n">
        <v>6.2499</v>
      </c>
      <c r="C10" s="10" t="n">
        <v>2.9456</v>
      </c>
      <c r="D10" s="10" t="n">
        <v>3.291</v>
      </c>
      <c r="E10" s="10" t="n">
        <v>1.3209</v>
      </c>
      <c r="F10" s="10" t="n">
        <v>3.6178</v>
      </c>
      <c r="G10" s="10" t="n"/>
      <c r="H10" s="10" t="n">
        <v>4.2001</v>
      </c>
      <c r="I10" s="10" t="n">
        <v>1.4394</v>
      </c>
      <c r="J10" s="2" t="n">
        <v>5.1713</v>
      </c>
      <c r="K10" s="2" t="n">
        <v>10.3586</v>
      </c>
      <c r="L10" s="10" t="n">
        <v>3.7396</v>
      </c>
      <c r="M10" s="10" t="n">
        <v>8.726000000000001</v>
      </c>
      <c r="N10" s="750" t="n"/>
    </row>
    <row r="11" ht="24" customFormat="1" customHeight="1" s="886">
      <c r="A11" s="856" t="inlineStr">
        <is>
          <t>영업기간
공사업등록일</t>
        </is>
      </c>
      <c r="B11" s="208" t="inlineStr">
        <is>
          <t>2011.05.17</t>
        </is>
      </c>
      <c r="C11" s="10" t="inlineStr">
        <is>
          <t>2002.09.05</t>
        </is>
      </c>
      <c r="D11" s="10" t="inlineStr">
        <is>
          <t>2016.02.16</t>
        </is>
      </c>
      <c r="E11" s="10" t="inlineStr">
        <is>
          <t>3년이상%</t>
        </is>
      </c>
      <c r="F11" s="10" t="inlineStr">
        <is>
          <t>10년이상%</t>
        </is>
      </c>
      <c r="G11" s="10" t="n"/>
      <c r="H11" s="10" t="inlineStr">
        <is>
          <t>2005.07.06</t>
        </is>
      </c>
      <c r="I11" s="10" t="inlineStr">
        <is>
          <t>10년이상%</t>
        </is>
      </c>
      <c r="J11" s="2" t="inlineStr">
        <is>
          <t>10년이상%</t>
        </is>
      </c>
      <c r="K11" s="2" t="inlineStr">
        <is>
          <t>3년이상%</t>
        </is>
      </c>
      <c r="L11" s="10" t="inlineStr">
        <is>
          <t>1994.04.20</t>
        </is>
      </c>
      <c r="M11" s="10" t="inlineStr">
        <is>
          <t>2019.05.20</t>
        </is>
      </c>
    </row>
    <row r="12" ht="22.5" customFormat="1" customHeight="1" s="23">
      <c r="A12" s="68" t="inlineStr">
        <is>
          <t>신용평가</t>
        </is>
      </c>
      <c r="B12" s="724" t="inlineStr">
        <is>
          <t>BBB0
(25.04.02~26.04.01)</t>
        </is>
      </c>
      <c r="C12" s="55" t="n"/>
      <c r="D12" s="157" t="inlineStr">
        <is>
          <t>BBB+
(17.06.21~18.06.20)</t>
        </is>
      </c>
      <c r="E12" s="62" t="n"/>
      <c r="F12" s="803" t="n"/>
      <c r="G12" s="725" t="inlineStr">
        <is>
          <t>BB-
(13.05.20~14.05.19)</t>
        </is>
      </c>
      <c r="H12" s="55" t="n"/>
      <c r="I12" s="803" t="n"/>
      <c r="J12" s="803" t="n"/>
      <c r="K12" s="803" t="n"/>
      <c r="L12" s="725" t="inlineStr">
        <is>
          <t>A-
(23.06.20~24.06.19)</t>
        </is>
      </c>
      <c r="M12" s="803" t="n"/>
    </row>
    <row r="13" customFormat="1" s="23">
      <c r="A13" s="68" t="inlineStr">
        <is>
          <t>여성기업</t>
        </is>
      </c>
      <c r="B13" s="721" t="n"/>
      <c r="C13" s="55" t="n"/>
      <c r="D13" s="55" t="n"/>
      <c r="E13" s="62" t="n"/>
      <c r="F13" s="803" t="n"/>
      <c r="G13" s="736" t="n"/>
      <c r="H13" s="55" t="n"/>
      <c r="I13" s="803" t="n"/>
      <c r="J13" s="803" t="n"/>
      <c r="K13" s="803" t="n"/>
      <c r="L13" s="803" t="n"/>
      <c r="M13" s="803" t="n"/>
    </row>
    <row r="14" customFormat="1" s="23">
      <c r="A14" s="68" t="inlineStr">
        <is>
          <t>중소기업</t>
        </is>
      </c>
      <c r="B14" s="721" t="n"/>
      <c r="C14" s="55" t="n"/>
      <c r="D14" s="55" t="n"/>
      <c r="E14" s="62" t="n"/>
      <c r="F14" s="803" t="n"/>
      <c r="G14" s="736" t="n"/>
      <c r="H14" s="55" t="n"/>
      <c r="I14" s="803" t="n"/>
      <c r="J14" s="803" t="n"/>
      <c r="K14" s="803" t="n"/>
      <c r="L14" s="803" t="n"/>
      <c r="M14" s="803" t="n"/>
    </row>
    <row r="15" customFormat="1" s="23">
      <c r="A15" s="71" t="inlineStr">
        <is>
          <t>일자리창출실적</t>
        </is>
      </c>
      <c r="B15" s="721" t="n"/>
      <c r="C15" s="55" t="n"/>
      <c r="D15" s="55" t="n"/>
      <c r="E15" s="62" t="n"/>
      <c r="F15" s="803" t="n"/>
      <c r="G15" s="736" t="n"/>
      <c r="H15" s="55" t="n"/>
      <c r="I15" s="803" t="n"/>
      <c r="J15" s="803" t="n"/>
      <c r="K15" s="803" t="n"/>
      <c r="L15" s="803" t="n"/>
      <c r="M15" s="803" t="n"/>
    </row>
    <row r="16" customFormat="1" s="23">
      <c r="A16" s="71" t="inlineStr">
        <is>
          <t>시공품질평가</t>
        </is>
      </c>
      <c r="B16" s="721" t="inlineStr">
        <is>
          <t>없음 (24.05.01)</t>
        </is>
      </c>
      <c r="C16" s="55" t="n"/>
      <c r="D16" s="55" t="n"/>
      <c r="E16" s="62" t="n"/>
      <c r="F16" s="803" t="n"/>
      <c r="G16" s="736" t="n"/>
      <c r="H16" s="55" t="n"/>
      <c r="I16" s="803" t="n"/>
      <c r="J16" s="803" t="n"/>
      <c r="K16" s="803" t="n"/>
      <c r="L16" s="803" t="n"/>
      <c r="M16" s="803" t="n"/>
    </row>
    <row r="17" ht="22.5" customFormat="1" customHeight="1" s="23">
      <c r="A17" s="68" t="inlineStr">
        <is>
          <t>비  고</t>
        </is>
      </c>
      <c r="B17" s="896" t="inlineStr">
        <is>
          <t>안태혁</t>
        </is>
      </c>
      <c r="C17" s="57" t="n"/>
      <c r="D17" s="57" t="inlineStr">
        <is>
          <t>통신기술자(17.9.4)
고1</t>
        </is>
      </c>
      <c r="E17" s="9" t="inlineStr">
        <is>
          <t>박성균</t>
        </is>
      </c>
      <c r="F17" s="9" t="inlineStr">
        <is>
          <t>송원섭 부장</t>
        </is>
      </c>
      <c r="G17" s="9" t="n"/>
      <c r="H17" s="57" t="inlineStr">
        <is>
          <t>이시성</t>
        </is>
      </c>
      <c r="I17" s="9" t="n"/>
      <c r="J17" s="1" t="inlineStr">
        <is>
          <t>송동은</t>
        </is>
      </c>
      <c r="K17" s="9" t="n"/>
      <c r="L17" s="9" t="inlineStr">
        <is>
          <t>서권형</t>
        </is>
      </c>
      <c r="M17" s="9" t="n"/>
    </row>
    <row r="18" ht="26.1" customHeight="1" s="16">
      <c r="A18" s="455" t="inlineStr">
        <is>
          <t>회사명</t>
        </is>
      </c>
      <c r="B18" s="455" t="inlineStr">
        <is>
          <t>㈜이지전력</t>
        </is>
      </c>
      <c r="C18" s="455" t="inlineStr">
        <is>
          <t>㈜경기종합기술</t>
        </is>
      </c>
      <c r="D18" s="455" t="inlineStr">
        <is>
          <t>㈜건우전력</t>
        </is>
      </c>
      <c r="E18" s="455" t="inlineStr">
        <is>
          <t>㈜동우이앤에스</t>
        </is>
      </c>
      <c r="F18" s="455" t="inlineStr">
        <is>
          <t>이브이시스㈜</t>
        </is>
      </c>
      <c r="G18" s="455" t="inlineStr">
        <is>
          <t>㈜성진</t>
        </is>
      </c>
      <c r="H18" s="455" t="n"/>
      <c r="I18" s="455" t="n"/>
      <c r="J18" s="455" t="n"/>
      <c r="K18" s="455" t="n"/>
      <c r="L18" s="455" t="n"/>
      <c r="M18" s="455" t="n"/>
    </row>
    <row r="19">
      <c r="A19" s="68" t="inlineStr">
        <is>
          <t>대표자</t>
        </is>
      </c>
      <c r="B19" s="777" t="inlineStr">
        <is>
          <t>유용승</t>
        </is>
      </c>
      <c r="C19" s="230" t="inlineStr">
        <is>
          <t>남운성</t>
        </is>
      </c>
      <c r="D19" s="93" t="inlineStr">
        <is>
          <t>김영선</t>
        </is>
      </c>
      <c r="E19" s="93" t="inlineStr">
        <is>
          <t>김민경</t>
        </is>
      </c>
      <c r="F19" s="777" t="inlineStr">
        <is>
          <t>오영식</t>
        </is>
      </c>
      <c r="G19" s="777" t="inlineStr">
        <is>
          <t>신철순</t>
        </is>
      </c>
      <c r="H19" s="9" t="n"/>
      <c r="I19" s="752" t="n"/>
      <c r="J19" s="752" t="n"/>
      <c r="K19" s="752" t="n"/>
      <c r="L19" s="752" t="n"/>
      <c r="M19" s="752" t="n"/>
    </row>
    <row r="20">
      <c r="A20" s="68" t="inlineStr">
        <is>
          <t>사업자번호</t>
        </is>
      </c>
      <c r="B20" s="106" t="inlineStr">
        <is>
          <t>288-81-00462</t>
        </is>
      </c>
      <c r="C20" s="231" t="inlineStr">
        <is>
          <t>413-86-02644</t>
        </is>
      </c>
      <c r="D20" s="109" t="inlineStr">
        <is>
          <t>303-81-50581</t>
        </is>
      </c>
      <c r="E20" s="109" t="inlineStr">
        <is>
          <t>302-81-27525</t>
        </is>
      </c>
      <c r="F20" s="106" t="inlineStr">
        <is>
          <t>111-81-21018</t>
        </is>
      </c>
      <c r="G20" s="106" t="inlineStr">
        <is>
          <t>304-81-16306</t>
        </is>
      </c>
      <c r="H20" s="59" t="n"/>
      <c r="I20" s="54" t="n"/>
      <c r="J20" s="54" t="n"/>
      <c r="K20" s="54" t="n"/>
      <c r="L20" s="54" t="n"/>
      <c r="M20" s="54" t="n"/>
    </row>
    <row r="21">
      <c r="A21" s="68" t="inlineStr">
        <is>
          <t>지역</t>
        </is>
      </c>
      <c r="B21" s="777" t="inlineStr">
        <is>
          <t>충북 영동군</t>
        </is>
      </c>
      <c r="C21" s="230" t="inlineStr">
        <is>
          <t>충북 청주시</t>
        </is>
      </c>
      <c r="D21" s="93" t="inlineStr">
        <is>
          <t>충북 충주시</t>
        </is>
      </c>
      <c r="E21" s="93" t="inlineStr">
        <is>
          <t>충북 청주시</t>
        </is>
      </c>
      <c r="F21" s="777" t="inlineStr">
        <is>
          <t>충북 청주시</t>
        </is>
      </c>
      <c r="G21" s="777" t="inlineStr">
        <is>
          <t>충북 단양군</t>
        </is>
      </c>
      <c r="H21" s="9" t="n"/>
      <c r="I21" s="752" t="n"/>
      <c r="J21" s="752" t="n"/>
      <c r="K21" s="752" t="n"/>
      <c r="L21" s="752" t="n"/>
      <c r="M21" s="752" t="n"/>
    </row>
    <row r="22">
      <c r="A22" s="68" t="inlineStr">
        <is>
          <t>통신시공능력</t>
        </is>
      </c>
      <c r="B22" s="777" t="n">
        <v>4518700000</v>
      </c>
      <c r="C22" s="897" t="n">
        <v>910300000</v>
      </c>
      <c r="D22" s="815" t="n">
        <v>3381400000</v>
      </c>
      <c r="E22" s="815" t="n">
        <v>4245700000</v>
      </c>
      <c r="F22" s="777" t="n">
        <v>515100000</v>
      </c>
      <c r="G22" s="777" t="n">
        <v>1092700000</v>
      </c>
      <c r="H22" s="756" t="n"/>
      <c r="I22" s="752" t="n"/>
      <c r="J22" s="752" t="n"/>
      <c r="K22" s="752" t="n"/>
      <c r="L22" s="752" t="n"/>
      <c r="M22" s="752" t="n"/>
    </row>
    <row r="23">
      <c r="A23" s="68" t="inlineStr">
        <is>
          <t>3년간 실적액</t>
        </is>
      </c>
      <c r="B23" s="777" t="n">
        <v>5351345000</v>
      </c>
      <c r="C23" s="897" t="n">
        <v>243085000</v>
      </c>
      <c r="D23" s="815" t="n">
        <v>2192194000</v>
      </c>
      <c r="E23" s="815" t="n">
        <v>3658090000</v>
      </c>
      <c r="F23" s="777" t="n">
        <v>0</v>
      </c>
      <c r="G23" s="777" t="n">
        <v>574119000</v>
      </c>
      <c r="H23" s="756" t="n"/>
      <c r="I23" s="752" t="n"/>
      <c r="J23" s="752" t="n"/>
      <c r="K23" s="752" t="n"/>
      <c r="L23" s="752" t="n"/>
      <c r="M23" s="752" t="n"/>
    </row>
    <row r="24">
      <c r="A24" s="68" t="inlineStr">
        <is>
          <t>5년간 실적액</t>
        </is>
      </c>
      <c r="B24" s="777" t="n">
        <v>8518409000</v>
      </c>
      <c r="C24" s="897" t="n">
        <v>1841476000</v>
      </c>
      <c r="D24" s="815" t="n">
        <v>3445698000</v>
      </c>
      <c r="E24" s="815" t="n">
        <v>5800876000</v>
      </c>
      <c r="F24" s="777" t="n">
        <v>0</v>
      </c>
      <c r="G24" s="777" t="n">
        <v>934967000</v>
      </c>
      <c r="H24" s="756" t="n"/>
      <c r="I24" s="752" t="n"/>
      <c r="J24" s="752" t="n"/>
      <c r="K24" s="752" t="n"/>
      <c r="L24" s="752" t="n"/>
      <c r="M24" s="752" t="n"/>
    </row>
    <row r="25">
      <c r="A25" s="855" t="inlineStr">
        <is>
          <t>부채비율</t>
        </is>
      </c>
      <c r="B25" s="101" t="n">
        <v>0.1887</v>
      </c>
      <c r="C25" s="227" t="n">
        <v>0.0603</v>
      </c>
      <c r="D25" s="101" t="n">
        <v>0.0707</v>
      </c>
      <c r="E25" s="101" t="n">
        <v>0.1602</v>
      </c>
      <c r="F25" s="95" t="n">
        <v>1.0745</v>
      </c>
      <c r="G25" s="101" t="n">
        <v>0.0931</v>
      </c>
      <c r="H25" s="10" t="n"/>
      <c r="I25" s="10" t="n"/>
      <c r="J25" s="10" t="n"/>
      <c r="K25" s="10" t="n"/>
      <c r="L25" s="10" t="n"/>
      <c r="M25" s="10" t="n"/>
    </row>
    <row r="26">
      <c r="A26" s="855" t="inlineStr">
        <is>
          <t>유동비율</t>
        </is>
      </c>
      <c r="B26" s="101" t="n">
        <v>3.1597</v>
      </c>
      <c r="C26" s="227" t="n">
        <v>14.2225</v>
      </c>
      <c r="D26" s="101" t="n">
        <v>12.564</v>
      </c>
      <c r="E26" s="101" t="n">
        <v>7.4375</v>
      </c>
      <c r="F26" s="95" t="n">
        <v>1.3708</v>
      </c>
      <c r="G26" s="101" t="n">
        <v>7.9572</v>
      </c>
      <c r="H26" s="10" t="n"/>
      <c r="I26" s="10" t="n"/>
      <c r="J26" s="10" t="n"/>
      <c r="K26" s="10" t="n"/>
      <c r="L26" s="10" t="n"/>
      <c r="M26" s="10" t="n"/>
    </row>
    <row r="27" ht="24" customHeight="1" s="16">
      <c r="A27" s="856" t="inlineStr">
        <is>
          <t>영업기간
공사업등록일</t>
        </is>
      </c>
      <c r="B27" s="98" t="inlineStr">
        <is>
          <t>2009.03.19</t>
        </is>
      </c>
      <c r="C27" s="232" t="inlineStr">
        <is>
          <t>2003.01.09</t>
        </is>
      </c>
      <c r="D27" s="101" t="inlineStr">
        <is>
          <t>2013.09.13</t>
        </is>
      </c>
      <c r="E27" s="101" t="inlineStr">
        <is>
          <t>2017.04.21</t>
        </is>
      </c>
      <c r="F27" s="101" t="inlineStr">
        <is>
          <t>2009.03.24</t>
        </is>
      </c>
      <c r="G27" s="101" t="inlineStr">
        <is>
          <t>2006.03.02</t>
        </is>
      </c>
      <c r="H27" s="10" t="n"/>
      <c r="I27" s="10" t="n"/>
      <c r="J27" s="10" t="n"/>
      <c r="K27" s="10" t="n"/>
      <c r="L27" s="10" t="n"/>
      <c r="M27" s="10" t="n"/>
    </row>
    <row r="28" ht="22.5" customHeight="1" s="16">
      <c r="A28" s="68" t="inlineStr">
        <is>
          <t>신용평가</t>
        </is>
      </c>
      <c r="B28" s="724" t="inlineStr">
        <is>
          <t>BBB+
(25.04.18~26.04.17)</t>
        </is>
      </c>
      <c r="C28" s="209" t="inlineStr">
        <is>
          <t>B-
(25.07.01~26.06.30)</t>
        </is>
      </c>
      <c r="D28" s="725" t="inlineStr">
        <is>
          <t>BBB-
(24.04.05~25.04.04)</t>
        </is>
      </c>
      <c r="E28" s="62" t="n"/>
      <c r="F28" s="725" t="inlineStr">
        <is>
          <t>BBB0
(24.04.12~25.04.11)</t>
        </is>
      </c>
      <c r="G28" s="736" t="n"/>
      <c r="H28" s="55" t="n"/>
      <c r="I28" s="803" t="n"/>
      <c r="J28" s="803" t="n"/>
      <c r="K28" s="803" t="n"/>
      <c r="L28" s="736" t="n"/>
      <c r="M28" s="803" t="n"/>
    </row>
    <row r="29">
      <c r="A29" s="68" t="inlineStr">
        <is>
          <t>여성기업</t>
        </is>
      </c>
      <c r="B29" s="736" t="n"/>
      <c r="C29" s="233" t="n"/>
      <c r="D29" s="55" t="n"/>
      <c r="E29" s="62" t="n"/>
      <c r="F29" s="803" t="n"/>
      <c r="G29" s="736" t="n"/>
      <c r="H29" s="55" t="n"/>
      <c r="I29" s="803" t="n"/>
      <c r="J29" s="803" t="n"/>
      <c r="K29" s="803" t="n"/>
      <c r="L29" s="803" t="n"/>
      <c r="M29" s="803" t="n"/>
    </row>
    <row r="30">
      <c r="A30" s="68" t="inlineStr">
        <is>
          <t>중소기업</t>
        </is>
      </c>
      <c r="B30" s="736" t="n"/>
      <c r="C30" s="233" t="n"/>
      <c r="D30" s="55" t="n"/>
      <c r="E30" s="62" t="n"/>
      <c r="F30" s="803" t="n"/>
      <c r="G30" s="736" t="n"/>
      <c r="H30" s="55" t="n"/>
      <c r="I30" s="803" t="n"/>
      <c r="J30" s="803" t="n"/>
      <c r="K30" s="803" t="n"/>
      <c r="L30" s="803" t="n"/>
      <c r="M30" s="803" t="n"/>
    </row>
    <row r="31">
      <c r="A31" s="71" t="inlineStr">
        <is>
          <t>일자리창출실적</t>
        </is>
      </c>
      <c r="B31" s="736" t="n"/>
      <c r="C31" s="233" t="n"/>
      <c r="D31" s="55" t="n"/>
      <c r="E31" s="62" t="n"/>
      <c r="F31" s="803" t="n"/>
      <c r="G31" s="736" t="n"/>
      <c r="H31" s="55" t="n"/>
      <c r="I31" s="803" t="n"/>
      <c r="J31" s="803" t="n"/>
      <c r="K31" s="803" t="n"/>
      <c r="L31" s="803" t="n"/>
      <c r="M31" s="803" t="n"/>
    </row>
    <row r="32">
      <c r="A32" s="71" t="inlineStr">
        <is>
          <t>시공품질평가</t>
        </is>
      </c>
      <c r="B32" s="736" t="n"/>
      <c r="C32" s="233" t="n"/>
      <c r="D32" s="55" t="n"/>
      <c r="E32" s="62" t="n"/>
      <c r="F32" s="803" t="n"/>
      <c r="G32" s="736" t="n"/>
      <c r="H32" s="55" t="n"/>
      <c r="I32" s="803" t="n"/>
      <c r="J32" s="803" t="n"/>
      <c r="K32" s="803" t="n"/>
      <c r="L32" s="803" t="n"/>
      <c r="M32" s="803" t="n"/>
    </row>
    <row r="33">
      <c r="A33" s="68" t="inlineStr">
        <is>
          <t>비  고</t>
        </is>
      </c>
      <c r="B33" s="781" t="inlineStr">
        <is>
          <t>김명규</t>
        </is>
      </c>
      <c r="C33" s="229" t="inlineStr">
        <is>
          <t>박성균</t>
        </is>
      </c>
      <c r="D33" s="100" t="inlineStr">
        <is>
          <t>임태균</t>
        </is>
      </c>
      <c r="E33" s="93" t="inlineStr">
        <is>
          <t>조재진</t>
        </is>
      </c>
      <c r="F33" s="93" t="inlineStr">
        <is>
          <t>구본진</t>
        </is>
      </c>
      <c r="G33" s="93" t="inlineStr">
        <is>
          <t>구본진</t>
        </is>
      </c>
      <c r="H33" s="57" t="n"/>
      <c r="I33" s="9" t="n"/>
      <c r="J33" s="9" t="n"/>
      <c r="K33" s="9" t="n"/>
      <c r="L33" s="9" t="n"/>
      <c r="M33" s="9" t="n"/>
    </row>
  </sheetData>
  <mergeCells count="1">
    <mergeCell ref="A1:M1"/>
  </mergeCells>
  <printOptions horizontalCentered="1"/>
  <pageMargins left="0.03937007874015748" right="0.03937007874015748" top="0.1968503937007874" bottom="0.1968503937007874" header="0" footer="0"/>
  <pageSetup orientation="landscape" paperSize="9" scale="55"/>
</worksheet>
</file>

<file path=xl/worksheets/sheet7.xml><?xml version="1.0" encoding="utf-8"?>
<worksheet xmlns="http://schemas.openxmlformats.org/spreadsheetml/2006/main">
  <sheetPr codeName="Sheet7">
    <outlinePr summaryBelow="1" summaryRight="1"/>
    <pageSetUpPr/>
  </sheetPr>
  <dimension ref="A1:N33"/>
  <sheetViews>
    <sheetView zoomScaleNormal="100" workbookViewId="0">
      <pane ySplit="1" topLeftCell="A2" activePane="bottomLeft" state="frozen"/>
      <selection pane="bottomLeft" activeCell="G10" sqref="G10"/>
    </sheetView>
  </sheetViews>
  <sheetFormatPr baseColWidth="8" defaultRowHeight="13.5"/>
  <cols>
    <col width="10.77734375" bestFit="1" customWidth="1" style="8" min="1" max="1"/>
    <col width="15.77734375" customWidth="1" style="8" min="2" max="13"/>
    <col width="8.88671875" customWidth="1" style="8" min="14" max="55"/>
    <col width="8.88671875" customWidth="1" style="8" min="56" max="16384"/>
  </cols>
  <sheetData>
    <row r="1" ht="25.5" customHeight="1" s="16">
      <c r="A1" s="702" t="inlineStr">
        <is>
          <t>통 신 ( 대 전 )</t>
        </is>
      </c>
      <c r="B1" s="700" t="n"/>
      <c r="C1" s="700" t="n"/>
      <c r="D1" s="700" t="n"/>
      <c r="E1" s="700" t="n"/>
      <c r="F1" s="700" t="n"/>
      <c r="G1" s="700" t="n"/>
      <c r="H1" s="700" t="n"/>
      <c r="I1" s="700" t="n"/>
      <c r="J1" s="700" t="n"/>
      <c r="K1" s="700" t="n"/>
      <c r="L1" s="700" t="n"/>
      <c r="M1" s="701" t="n"/>
    </row>
    <row r="2" ht="26.1" customFormat="1" customHeight="1" s="20">
      <c r="A2" s="455" t="inlineStr">
        <is>
          <t>회사명</t>
        </is>
      </c>
      <c r="B2" s="455" t="inlineStr">
        <is>
          <t>금성건설㈜</t>
        </is>
      </c>
      <c r="C2" s="455" t="inlineStr">
        <is>
          <t>(유)다함</t>
        </is>
      </c>
      <c r="D2" s="455" t="inlineStr">
        <is>
          <t>㈜서진전기</t>
        </is>
      </c>
      <c r="E2" s="455" t="inlineStr">
        <is>
          <t>㈜에스유아이디</t>
        </is>
      </c>
      <c r="F2" s="455" t="inlineStr">
        <is>
          <t>제이에스엔텍㈜</t>
        </is>
      </c>
      <c r="G2" s="455" t="inlineStr">
        <is>
          <t>코레일테크㈜</t>
        </is>
      </c>
      <c r="H2" s="455" t="inlineStr">
        <is>
          <t>태양넷콤㈜</t>
        </is>
      </c>
      <c r="I2" s="455" t="inlineStr">
        <is>
          <t>㈜하나월드
정보통신</t>
        </is>
      </c>
      <c r="J2" s="455" t="inlineStr">
        <is>
          <t>드림솔루션</t>
        </is>
      </c>
      <c r="K2" s="455" t="inlineStr">
        <is>
          <t>㈜엑소텍</t>
        </is>
      </c>
      <c r="L2" s="455" t="inlineStr">
        <is>
          <t>㈜피에스정보</t>
        </is>
      </c>
      <c r="M2" s="455" t="inlineStr">
        <is>
          <t>㈜동우텍</t>
        </is>
      </c>
    </row>
    <row r="3" customFormat="1" s="329">
      <c r="A3" s="68" t="inlineStr">
        <is>
          <t>대표자</t>
        </is>
      </c>
      <c r="B3" s="9" t="inlineStr">
        <is>
          <t>김주일</t>
        </is>
      </c>
      <c r="C3" s="732" t="inlineStr">
        <is>
          <t>박성화</t>
        </is>
      </c>
      <c r="D3" s="752" t="inlineStr">
        <is>
          <t>송근희</t>
        </is>
      </c>
      <c r="E3" s="732" t="inlineStr">
        <is>
          <t>김선국</t>
        </is>
      </c>
      <c r="F3" s="732" t="inlineStr">
        <is>
          <t>최석보</t>
        </is>
      </c>
      <c r="G3" s="788" t="inlineStr">
        <is>
          <t>류영수</t>
        </is>
      </c>
      <c r="H3" s="1" t="inlineStr">
        <is>
          <t>이정수</t>
        </is>
      </c>
      <c r="I3" s="1" t="inlineStr">
        <is>
          <t>김제수</t>
        </is>
      </c>
      <c r="J3" s="9" t="inlineStr">
        <is>
          <t>이당재</t>
        </is>
      </c>
      <c r="K3" s="752" t="inlineStr">
        <is>
          <t>동은성</t>
        </is>
      </c>
      <c r="L3" s="752" t="inlineStr">
        <is>
          <t>정효상</t>
        </is>
      </c>
      <c r="M3" s="837" t="inlineStr">
        <is>
          <t>전광규</t>
        </is>
      </c>
    </row>
    <row r="4" customFormat="1" s="22">
      <c r="A4" s="68" t="inlineStr">
        <is>
          <t>사업자번호</t>
        </is>
      </c>
      <c r="B4" s="9" t="inlineStr">
        <is>
          <t>305-81-01484</t>
        </is>
      </c>
      <c r="C4" s="4" t="inlineStr">
        <is>
          <t>305-86-14580</t>
        </is>
      </c>
      <c r="D4" s="54" t="inlineStr">
        <is>
          <t>314-81-21000</t>
        </is>
      </c>
      <c r="E4" s="4" t="inlineStr">
        <is>
          <t>314-86-16818</t>
        </is>
      </c>
      <c r="F4" s="4" t="inlineStr">
        <is>
          <t>314-86-20442</t>
        </is>
      </c>
      <c r="G4" s="210" t="inlineStr">
        <is>
          <t>305-81-73178</t>
        </is>
      </c>
      <c r="H4" s="1" t="inlineStr">
        <is>
          <t>306-81-06411</t>
        </is>
      </c>
      <c r="I4" s="1" t="inlineStr">
        <is>
          <t>305-81-85373</t>
        </is>
      </c>
      <c r="J4" s="9" t="inlineStr">
        <is>
          <t>746-81-02632</t>
        </is>
      </c>
      <c r="K4" s="54" t="inlineStr">
        <is>
          <t>812-88-01619</t>
        </is>
      </c>
      <c r="L4" s="54" t="inlineStr">
        <is>
          <t>604-86-01479</t>
        </is>
      </c>
      <c r="M4" s="138" t="inlineStr">
        <is>
          <t>305-81-34549</t>
        </is>
      </c>
    </row>
    <row r="5" customFormat="1" s="329">
      <c r="A5" s="68" t="inlineStr">
        <is>
          <t>지역</t>
        </is>
      </c>
      <c r="B5" s="9" t="inlineStr">
        <is>
          <t>대전시 중구</t>
        </is>
      </c>
      <c r="C5" s="732" t="inlineStr">
        <is>
          <t>대전 중구</t>
        </is>
      </c>
      <c r="D5" s="752" t="inlineStr">
        <is>
          <t>대전 유성구</t>
        </is>
      </c>
      <c r="E5" s="732" t="inlineStr">
        <is>
          <t>대전 서구</t>
        </is>
      </c>
      <c r="F5" s="732" t="inlineStr">
        <is>
          <t>대전 유성</t>
        </is>
      </c>
      <c r="G5" s="211" t="inlineStr">
        <is>
          <t>대전광역시 중구</t>
        </is>
      </c>
      <c r="H5" s="1" t="inlineStr">
        <is>
          <t>대전 중구</t>
        </is>
      </c>
      <c r="I5" s="1" t="inlineStr">
        <is>
          <t>대전 동구</t>
        </is>
      </c>
      <c r="J5" s="9" t="inlineStr">
        <is>
          <t>대전 유성구</t>
        </is>
      </c>
      <c r="K5" s="54" t="inlineStr">
        <is>
          <t>대전 유성구</t>
        </is>
      </c>
      <c r="L5" s="54" t="inlineStr">
        <is>
          <t>대전 중구</t>
        </is>
      </c>
      <c r="M5" s="139" t="inlineStr">
        <is>
          <t>대전 유성구</t>
        </is>
      </c>
    </row>
    <row r="6" customFormat="1" s="22">
      <c r="A6" s="68" t="inlineStr">
        <is>
          <t>통신시공능력</t>
        </is>
      </c>
      <c r="B6" s="756" t="n">
        <v>495400000</v>
      </c>
      <c r="C6" s="732" t="n">
        <v>1966300000</v>
      </c>
      <c r="D6" s="777" t="n">
        <v>750700000</v>
      </c>
      <c r="E6" s="732" t="n">
        <v>1462300000</v>
      </c>
      <c r="F6" s="732" t="n">
        <v>1254400000</v>
      </c>
      <c r="G6" s="770" t="n">
        <v>10872600000</v>
      </c>
      <c r="H6" s="732" t="n">
        <v>4587600000</v>
      </c>
      <c r="I6" s="804" t="n">
        <v>9951500000</v>
      </c>
      <c r="J6" s="777" t="n">
        <v>3069000000</v>
      </c>
      <c r="K6" s="777" t="n">
        <v>3489300000</v>
      </c>
      <c r="L6" s="777" t="n">
        <v>2137800000</v>
      </c>
      <c r="M6" s="714" t="n">
        <v>10765900000</v>
      </c>
    </row>
    <row r="7" customFormat="1" s="329">
      <c r="A7" s="68" t="inlineStr">
        <is>
          <t>3년간 실적액</t>
        </is>
      </c>
      <c r="B7" s="756" t="n">
        <v>74900000</v>
      </c>
      <c r="C7" s="732" t="n">
        <v>1111000000</v>
      </c>
      <c r="D7" s="752" t="n">
        <v>276979000</v>
      </c>
      <c r="E7" s="732" t="n">
        <v>353849000</v>
      </c>
      <c r="F7" s="732" t="n">
        <v>702395000</v>
      </c>
      <c r="G7" s="770" t="n">
        <v>14593540000</v>
      </c>
      <c r="H7" s="732" t="n">
        <v>2653066000</v>
      </c>
      <c r="I7" s="804" t="n">
        <v>11786362000</v>
      </c>
      <c r="J7" s="756" t="n">
        <v>602574000</v>
      </c>
      <c r="K7" s="752" t="n">
        <v>1558383000</v>
      </c>
      <c r="L7" s="752" t="n">
        <v>440104000</v>
      </c>
      <c r="M7" s="714" t="n">
        <v>15298736000</v>
      </c>
    </row>
    <row r="8" customFormat="1" s="329">
      <c r="A8" s="68" t="inlineStr">
        <is>
          <t>5년간 실적액</t>
        </is>
      </c>
      <c r="B8" s="756" t="n">
        <v>74900000</v>
      </c>
      <c r="C8" s="732" t="n">
        <v>1111000000</v>
      </c>
      <c r="D8" s="752" t="n">
        <v>335478000</v>
      </c>
      <c r="E8" s="732" t="n">
        <v>353849000</v>
      </c>
      <c r="F8" s="732" t="n">
        <v>702395000</v>
      </c>
      <c r="G8" s="770" t="n">
        <v>23014391000</v>
      </c>
      <c r="H8" s="732" t="n">
        <v>4280879000</v>
      </c>
      <c r="I8" s="810" t="n">
        <v>16364973000</v>
      </c>
      <c r="J8" s="806" t="n">
        <v>602574000</v>
      </c>
      <c r="K8" s="752" t="n">
        <v>1558383000</v>
      </c>
      <c r="L8" s="752" t="n">
        <v>760981000</v>
      </c>
      <c r="M8" s="714" t="n">
        <v>15298736000</v>
      </c>
    </row>
    <row r="9" customFormat="1" s="790">
      <c r="A9" s="855" t="inlineStr">
        <is>
          <t>부채비율</t>
        </is>
      </c>
      <c r="B9" s="10" t="n">
        <v>0.42</v>
      </c>
      <c r="C9" s="2" t="n">
        <v>0.7365</v>
      </c>
      <c r="D9" s="10" t="n">
        <v>0.1342</v>
      </c>
      <c r="E9" s="2" t="n">
        <v>0.4896</v>
      </c>
      <c r="F9" s="2" t="n">
        <v>0.5189</v>
      </c>
      <c r="G9" s="216" t="n">
        <v>0.8534999999999999</v>
      </c>
      <c r="H9" s="2" t="n">
        <v>0.0155</v>
      </c>
      <c r="I9" s="2" t="n">
        <v>0.4122</v>
      </c>
      <c r="J9" s="48" t="n">
        <v>0.7897</v>
      </c>
      <c r="K9" s="48" t="n">
        <v>1.1693</v>
      </c>
      <c r="L9" s="10" t="n">
        <v>0.6237</v>
      </c>
      <c r="M9" s="140" t="n">
        <v>0.9403</v>
      </c>
      <c r="N9" s="750" t="n"/>
    </row>
    <row r="10" customFormat="1" s="790">
      <c r="A10" s="855" t="inlineStr">
        <is>
          <t>유동비율</t>
        </is>
      </c>
      <c r="B10" s="10" t="n">
        <v>3.2321</v>
      </c>
      <c r="C10" s="2" t="n">
        <v>1.4858</v>
      </c>
      <c r="D10" s="10" t="n">
        <v>7.1724</v>
      </c>
      <c r="E10" s="2" t="n">
        <v>2.4996</v>
      </c>
      <c r="F10" s="2" t="n">
        <v>5.228</v>
      </c>
      <c r="G10" s="216" t="n">
        <v>1.6978</v>
      </c>
      <c r="H10" s="2" t="n">
        <v>56.9902</v>
      </c>
      <c r="I10" s="2" t="n">
        <v>3.0413</v>
      </c>
      <c r="J10" s="10" t="n">
        <v>6.5083</v>
      </c>
      <c r="K10" s="10" t="n">
        <v>4.083</v>
      </c>
      <c r="L10" s="10" t="n">
        <v>5.1489</v>
      </c>
      <c r="M10" s="140" t="n">
        <v>1.9512</v>
      </c>
      <c r="N10" s="750" t="n"/>
    </row>
    <row r="11" ht="24" customFormat="1" customHeight="1" s="790">
      <c r="A11" s="856" t="inlineStr">
        <is>
          <t>영업기간
공사업등록일</t>
        </is>
      </c>
      <c r="B11" s="11" t="inlineStr">
        <is>
          <t>2016.03.21</t>
        </is>
      </c>
      <c r="C11" s="2" t="inlineStr">
        <is>
          <t>3년미만%</t>
        </is>
      </c>
      <c r="D11" s="10" t="inlineStr">
        <is>
          <t>2009.08.17</t>
        </is>
      </c>
      <c r="E11" s="2" t="inlineStr">
        <is>
          <t>3년미만%</t>
        </is>
      </c>
      <c r="F11" s="2" t="inlineStr">
        <is>
          <t>3년미만%</t>
        </is>
      </c>
      <c r="G11" s="213" t="inlineStr">
        <is>
          <t>2005.02.16</t>
        </is>
      </c>
      <c r="H11" s="2" t="inlineStr">
        <is>
          <t>10년이상%</t>
        </is>
      </c>
      <c r="I11" s="2" t="inlineStr">
        <is>
          <t>2007.03.12</t>
        </is>
      </c>
      <c r="J11" s="10" t="inlineStr">
        <is>
          <t>2022.03.24</t>
        </is>
      </c>
      <c r="K11" s="10" t="inlineStr">
        <is>
          <t>2021.05.17</t>
        </is>
      </c>
      <c r="L11" s="898" t="inlineStr">
        <is>
          <t>1997.00.00</t>
        </is>
      </c>
      <c r="M11" s="132" t="inlineStr">
        <is>
          <t>2022.08.18</t>
        </is>
      </c>
    </row>
    <row r="12" ht="22.5" customFormat="1" customHeight="1" s="329">
      <c r="A12" s="68" t="inlineStr">
        <is>
          <t>신용평가</t>
        </is>
      </c>
      <c r="B12" s="899" t="inlineStr">
        <is>
          <t>BBB+
(17.05.02~18.05.01)</t>
        </is>
      </c>
      <c r="C12" s="803" t="n"/>
      <c r="D12" s="752" t="n"/>
      <c r="E12" s="803" t="n"/>
      <c r="F12" s="803" t="n"/>
      <c r="G12" s="724" t="inlineStr">
        <is>
          <t>AAA
(25.04.30~26.04.29)</t>
        </is>
      </c>
      <c r="H12" s="54" t="n"/>
      <c r="I12" s="803" t="n"/>
      <c r="J12" s="803" t="n"/>
      <c r="K12" s="153" t="inlineStr">
        <is>
          <t>BB0
(23.04.10~24.04.09)</t>
        </is>
      </c>
      <c r="L12" s="12" t="n"/>
      <c r="M12" s="152" t="inlineStr">
        <is>
          <t>BB0
(25.05.26~26.05.25)</t>
        </is>
      </c>
    </row>
    <row r="13" customFormat="1" s="329">
      <c r="A13" s="68" t="inlineStr">
        <is>
          <t>여성기업</t>
        </is>
      </c>
      <c r="B13" s="758" t="n"/>
      <c r="C13" s="803" t="n"/>
      <c r="D13" s="752" t="n"/>
      <c r="E13" s="803" t="n"/>
      <c r="F13" s="803" t="n"/>
      <c r="G13" s="794" t="n"/>
      <c r="H13" s="54" t="n"/>
      <c r="I13" s="803" t="n"/>
      <c r="J13" s="803" t="n"/>
      <c r="K13" s="12" t="n"/>
      <c r="L13" s="12" t="n"/>
      <c r="M13" s="141" t="n"/>
    </row>
    <row r="14" customFormat="1" s="329">
      <c r="A14" s="68" t="inlineStr">
        <is>
          <t>중소기업</t>
        </is>
      </c>
      <c r="B14" s="758" t="n"/>
      <c r="C14" s="803" t="n"/>
      <c r="D14" s="752" t="n"/>
      <c r="E14" s="803" t="n"/>
      <c r="F14" s="803" t="n"/>
      <c r="G14" s="794" t="n"/>
      <c r="H14" s="54" t="n"/>
      <c r="I14" s="803" t="n"/>
      <c r="J14" s="803" t="n"/>
      <c r="K14" s="12" t="n"/>
      <c r="L14" s="12" t="n"/>
      <c r="M14" s="141" t="n"/>
    </row>
    <row r="15" customFormat="1" s="329">
      <c r="A15" s="71" t="inlineStr">
        <is>
          <t>일자리창출실적</t>
        </is>
      </c>
      <c r="B15" s="758" t="n"/>
      <c r="C15" s="803" t="n"/>
      <c r="D15" s="752" t="n"/>
      <c r="E15" s="803" t="n"/>
      <c r="F15" s="803" t="n"/>
      <c r="G15" s="794" t="n"/>
      <c r="H15" s="54" t="n"/>
      <c r="I15" s="803" t="n"/>
      <c r="J15" s="803" t="n"/>
      <c r="K15" s="12" t="n"/>
      <c r="L15" s="12" t="n"/>
      <c r="M15" s="141" t="n"/>
    </row>
    <row r="16" customFormat="1" s="329">
      <c r="A16" s="71" t="inlineStr">
        <is>
          <t>시공품질평가</t>
        </is>
      </c>
      <c r="B16" s="758" t="n"/>
      <c r="C16" s="803" t="n"/>
      <c r="D16" s="752" t="n"/>
      <c r="E16" s="803" t="n"/>
      <c r="F16" s="803" t="n"/>
      <c r="G16" s="221" t="inlineStr">
        <is>
          <t>없음(25.05.01)</t>
        </is>
      </c>
      <c r="H16" s="54" t="n"/>
      <c r="I16" s="803" t="n"/>
      <c r="J16" s="803" t="n"/>
      <c r="K16" s="12" t="n"/>
      <c r="L16" s="12" t="n"/>
      <c r="M16" s="141" t="n"/>
    </row>
    <row r="17" ht="22.5" customFormat="1" customHeight="1" s="329">
      <c r="A17" s="68" t="inlineStr">
        <is>
          <t>비  고</t>
        </is>
      </c>
      <c r="B17" s="9" t="inlineStr">
        <is>
          <t>중1,초2,기능1(18.09.28)</t>
        </is>
      </c>
      <c r="C17" s="1" t="inlineStr">
        <is>
          <t>송동은</t>
        </is>
      </c>
      <c r="D17" s="9" t="inlineStr">
        <is>
          <t>서권형</t>
        </is>
      </c>
      <c r="E17" s="1" t="inlineStr">
        <is>
          <t>송종윤</t>
        </is>
      </c>
      <c r="F17" s="1" t="inlineStr">
        <is>
          <t>송종윤</t>
        </is>
      </c>
      <c r="G17" s="218" t="inlineStr">
        <is>
          <t>특9,고15,중6,초3
(22.10.17)</t>
        </is>
      </c>
      <c r="H17" s="1" t="inlineStr">
        <is>
          <t>이진구 부장</t>
        </is>
      </c>
      <c r="I17" s="732" t="inlineStr">
        <is>
          <t>구본진</t>
        </is>
      </c>
      <c r="J17" s="9" t="inlineStr">
        <is>
          <t>서권형</t>
        </is>
      </c>
      <c r="K17" s="9" t="inlineStr">
        <is>
          <t>구본진</t>
        </is>
      </c>
      <c r="L17" s="9" t="inlineStr">
        <is>
          <t>윤명숙</t>
        </is>
      </c>
      <c r="M17" s="129" t="inlineStr">
        <is>
          <t>김기성</t>
        </is>
      </c>
    </row>
    <row r="18" ht="26.1" customHeight="1" s="16">
      <c r="A18" s="455" t="inlineStr">
        <is>
          <t>회사명</t>
        </is>
      </c>
      <c r="B18" s="455" t="inlineStr">
        <is>
          <t>㈜명인정보통신</t>
        </is>
      </c>
      <c r="C18" s="455" t="inlineStr">
        <is>
          <t>㈜아이디스</t>
        </is>
      </c>
      <c r="D18" s="455" t="n"/>
      <c r="E18" s="455" t="n"/>
      <c r="F18" s="455" t="n"/>
      <c r="G18" s="455" t="n"/>
      <c r="H18" s="455" t="n"/>
      <c r="I18" s="455" t="n"/>
      <c r="J18" s="455" t="n"/>
      <c r="K18" s="455" t="n"/>
      <c r="L18" s="455" t="n"/>
      <c r="M18" s="455" t="n"/>
    </row>
    <row r="19">
      <c r="A19" s="68" t="inlineStr">
        <is>
          <t>대표자</t>
        </is>
      </c>
      <c r="B19" s="93" t="inlineStr">
        <is>
          <t>오영택</t>
        </is>
      </c>
      <c r="C19" s="900" t="inlineStr">
        <is>
          <t>김영달</t>
        </is>
      </c>
      <c r="D19" s="752" t="n"/>
      <c r="E19" s="752" t="n"/>
      <c r="F19" s="752" t="n"/>
      <c r="G19" s="752" t="n"/>
      <c r="H19" s="9" t="n"/>
      <c r="I19" s="9" t="n"/>
      <c r="J19" s="9" t="n"/>
      <c r="K19" s="752" t="n"/>
      <c r="L19" s="752" t="n"/>
      <c r="M19" s="752" t="n"/>
    </row>
    <row r="20">
      <c r="A20" s="68" t="inlineStr">
        <is>
          <t>사업자번호</t>
        </is>
      </c>
      <c r="B20" s="93" t="inlineStr">
        <is>
          <t>787-81-00222</t>
        </is>
      </c>
      <c r="C20" s="363" t="inlineStr">
        <is>
          <t>314-86-25786</t>
        </is>
      </c>
      <c r="D20" s="54" t="n"/>
      <c r="E20" s="54" t="n"/>
      <c r="F20" s="54" t="n"/>
      <c r="G20" s="54" t="n"/>
      <c r="H20" s="9" t="n"/>
      <c r="I20" s="9" t="n"/>
      <c r="J20" s="9" t="n"/>
      <c r="K20" s="54" t="n"/>
      <c r="L20" s="54" t="n"/>
      <c r="M20" s="54" t="n"/>
    </row>
    <row r="21">
      <c r="A21" s="68" t="inlineStr">
        <is>
          <t>지역</t>
        </is>
      </c>
      <c r="B21" s="93" t="inlineStr">
        <is>
          <t>대전 유성구</t>
        </is>
      </c>
      <c r="C21" s="364" t="inlineStr">
        <is>
          <t>대전광역시 유성구</t>
        </is>
      </c>
      <c r="D21" s="752" t="n"/>
      <c r="E21" s="752" t="n"/>
      <c r="F21" s="752" t="n"/>
      <c r="G21" s="54" t="n"/>
      <c r="H21" s="9" t="n"/>
      <c r="I21" s="9" t="n"/>
      <c r="J21" s="9" t="n"/>
      <c r="K21" s="54" t="n"/>
      <c r="L21" s="54" t="n"/>
      <c r="M21" s="54" t="n"/>
    </row>
    <row r="22">
      <c r="A22" s="68" t="inlineStr">
        <is>
          <t>통신시공능력</t>
        </is>
      </c>
      <c r="B22" s="815" t="n">
        <v>3731000000</v>
      </c>
      <c r="C22" s="853" t="n">
        <v>32970700000</v>
      </c>
      <c r="D22" s="752" t="n"/>
      <c r="E22" s="752" t="n"/>
      <c r="F22" s="752" t="n"/>
      <c r="G22" s="752" t="n"/>
      <c r="H22" s="752" t="n"/>
      <c r="I22" s="756" t="n"/>
      <c r="J22" s="752" t="n"/>
      <c r="K22" s="752" t="n"/>
      <c r="L22" s="752" t="n"/>
      <c r="M22" s="752" t="n"/>
    </row>
    <row r="23">
      <c r="A23" s="68" t="inlineStr">
        <is>
          <t>3년간 실적액</t>
        </is>
      </c>
      <c r="B23" s="815" t="n">
        <v>3418354000</v>
      </c>
      <c r="C23" s="853" t="n">
        <v>62595974000</v>
      </c>
      <c r="D23" s="752" t="n"/>
      <c r="E23" s="752" t="n"/>
      <c r="F23" s="752" t="n"/>
      <c r="G23" s="752" t="n"/>
      <c r="H23" s="752" t="n"/>
      <c r="I23" s="756" t="n"/>
      <c r="J23" s="756" t="n"/>
      <c r="K23" s="752" t="n"/>
      <c r="L23" s="752" t="n"/>
      <c r="M23" s="752" t="n"/>
    </row>
    <row r="24">
      <c r="A24" s="68" t="inlineStr">
        <is>
          <t>5년간 실적액</t>
        </is>
      </c>
      <c r="B24" s="815" t="n">
        <v>5662903000</v>
      </c>
      <c r="C24" s="853" t="n">
        <v>72793312000</v>
      </c>
      <c r="D24" s="752" t="n"/>
      <c r="E24" s="752" t="n"/>
      <c r="F24" s="752" t="n"/>
      <c r="G24" s="752" t="n"/>
      <c r="H24" s="752" t="n"/>
      <c r="I24" s="806" t="n"/>
      <c r="J24" s="806" t="n"/>
      <c r="K24" s="752" t="n"/>
      <c r="L24" s="752" t="n"/>
      <c r="M24" s="752" t="n"/>
    </row>
    <row r="25">
      <c r="A25" s="855" t="inlineStr">
        <is>
          <t>부채비율</t>
        </is>
      </c>
      <c r="B25" s="101" t="n">
        <v>0.081</v>
      </c>
      <c r="C25" s="365" t="n">
        <v>0.3643</v>
      </c>
      <c r="D25" s="10" t="n"/>
      <c r="E25" s="10" t="n"/>
      <c r="F25" s="10" t="n"/>
      <c r="G25" s="48" t="n"/>
      <c r="H25" s="10" t="n"/>
      <c r="I25" s="10" t="n"/>
      <c r="J25" s="48" t="n"/>
      <c r="K25" s="48" t="n"/>
      <c r="L25" s="10" t="n"/>
      <c r="M25" s="48" t="n"/>
    </row>
    <row r="26">
      <c r="A26" s="855" t="inlineStr">
        <is>
          <t>유동비율</t>
        </is>
      </c>
      <c r="B26" s="101" t="n">
        <v>12.1532</v>
      </c>
      <c r="C26" s="366" t="n">
        <v>1.7883</v>
      </c>
      <c r="D26" s="10" t="n"/>
      <c r="E26" s="10" t="n"/>
      <c r="F26" s="10" t="n"/>
      <c r="G26" s="48" t="n"/>
      <c r="H26" s="10" t="n"/>
      <c r="I26" s="10" t="n"/>
      <c r="J26" s="10" t="n"/>
      <c r="K26" s="10" t="n"/>
      <c r="L26" s="10" t="n"/>
      <c r="M26" s="48" t="n"/>
    </row>
    <row r="27" ht="24" customHeight="1" s="16">
      <c r="A27" s="856" t="inlineStr">
        <is>
          <t>영업기간
공사업등록일</t>
        </is>
      </c>
      <c r="B27" s="98" t="inlineStr">
        <is>
          <t>2016.01.26</t>
        </is>
      </c>
      <c r="C27" s="367" t="inlineStr">
        <is>
          <t>2011.12.16</t>
        </is>
      </c>
      <c r="D27" s="10" t="n"/>
      <c r="E27" s="10" t="n"/>
      <c r="F27" s="10" t="n"/>
      <c r="G27" s="11" t="n"/>
      <c r="H27" s="10" t="n"/>
      <c r="I27" s="10" t="n"/>
      <c r="J27" s="10" t="n"/>
      <c r="K27" s="10" t="n"/>
      <c r="L27" s="898" t="n"/>
      <c r="M27" s="10" t="n"/>
    </row>
    <row r="28" ht="22.5" customHeight="1" s="16">
      <c r="A28" s="68" t="inlineStr">
        <is>
          <t>신용평가</t>
        </is>
      </c>
      <c r="B28" s="758" t="n"/>
      <c r="C28" s="743" t="inlineStr">
        <is>
          <t>BBB+
(25.06.20~26.06.19)</t>
        </is>
      </c>
      <c r="D28" s="752" t="n"/>
      <c r="E28" s="803" t="n"/>
      <c r="F28" s="803" t="n"/>
      <c r="G28" s="736" t="n"/>
      <c r="H28" s="54" t="n"/>
      <c r="I28" s="803" t="n"/>
      <c r="J28" s="803" t="n"/>
      <c r="K28" s="49" t="n"/>
      <c r="L28" s="12" t="n"/>
      <c r="M28" s="49" t="n"/>
    </row>
    <row r="29">
      <c r="A29" s="68" t="inlineStr">
        <is>
          <t>여성기업</t>
        </is>
      </c>
      <c r="B29" s="758" t="n"/>
      <c r="C29" s="743" t="n"/>
      <c r="D29" s="752" t="n"/>
      <c r="E29" s="803" t="n"/>
      <c r="F29" s="803" t="n"/>
      <c r="G29" s="736" t="n"/>
      <c r="H29" s="54" t="n"/>
      <c r="I29" s="803" t="n"/>
      <c r="J29" s="803" t="n"/>
      <c r="K29" s="12" t="n"/>
      <c r="L29" s="12" t="n"/>
      <c r="M29" s="12" t="n"/>
    </row>
    <row r="30">
      <c r="A30" s="68" t="inlineStr">
        <is>
          <t>중소기업</t>
        </is>
      </c>
      <c r="B30" s="758" t="n"/>
      <c r="C30" s="743" t="n"/>
      <c r="D30" s="752" t="n"/>
      <c r="E30" s="803" t="n"/>
      <c r="F30" s="803" t="n"/>
      <c r="G30" s="736" t="n"/>
      <c r="H30" s="54" t="n"/>
      <c r="I30" s="803" t="n"/>
      <c r="J30" s="803" t="n"/>
      <c r="K30" s="12" t="n"/>
      <c r="L30" s="12" t="n"/>
      <c r="M30" s="12" t="n"/>
    </row>
    <row r="31">
      <c r="A31" s="71" t="inlineStr">
        <is>
          <t>일자리창출실적</t>
        </is>
      </c>
      <c r="B31" s="758" t="n"/>
      <c r="C31" s="743" t="n"/>
      <c r="D31" s="752" t="n"/>
      <c r="E31" s="803" t="n"/>
      <c r="F31" s="803" t="n"/>
      <c r="G31" s="736" t="n"/>
      <c r="H31" s="54" t="n"/>
      <c r="I31" s="803" t="n"/>
      <c r="J31" s="803" t="n"/>
      <c r="K31" s="12" t="n"/>
      <c r="L31" s="12" t="n"/>
      <c r="M31" s="12" t="n"/>
    </row>
    <row r="32">
      <c r="A32" s="71" t="inlineStr">
        <is>
          <t>시공품질평가</t>
        </is>
      </c>
      <c r="B32" s="758" t="n"/>
      <c r="C32" s="743" t="n"/>
      <c r="D32" s="752" t="n"/>
      <c r="E32" s="803" t="n"/>
      <c r="F32" s="803" t="n"/>
      <c r="G32" s="736" t="n"/>
      <c r="H32" s="54" t="n"/>
      <c r="I32" s="803" t="n"/>
      <c r="J32" s="803" t="n"/>
      <c r="K32" s="12" t="n"/>
      <c r="L32" s="12" t="n"/>
      <c r="M32" s="12" t="n"/>
    </row>
    <row r="33">
      <c r="A33" s="68" t="inlineStr">
        <is>
          <t>비  고</t>
        </is>
      </c>
      <c r="B33" s="93" t="inlineStr">
        <is>
          <t>박성균</t>
        </is>
      </c>
      <c r="C33" s="901" t="inlineStr">
        <is>
          <t>김기성</t>
        </is>
      </c>
      <c r="D33" s="9" t="n"/>
      <c r="E33" s="9" t="n"/>
      <c r="F33" s="9" t="n"/>
      <c r="G33" s="57" t="n"/>
      <c r="H33" s="9" t="n"/>
      <c r="I33" s="752" t="n"/>
      <c r="J33" s="9" t="n"/>
      <c r="K33" s="9" t="n"/>
      <c r="L33" s="9" t="n"/>
      <c r="M33" s="9" t="n"/>
    </row>
  </sheetData>
  <mergeCells count="1">
    <mergeCell ref="A1:M1"/>
  </mergeCells>
  <printOptions horizontalCentered="1"/>
  <pageMargins left="0.03937007874015748" right="0.03937007874015748" top="0.1968503937007874" bottom="0.1968503937007874" header="0" footer="0"/>
  <pageSetup orientation="landscape" paperSize="9" scale="5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 codeName="Sheet8">
    <outlinePr summaryBelow="1" summaryRight="1"/>
    <pageSetUpPr/>
  </sheetPr>
  <dimension ref="A1:N33"/>
  <sheetViews>
    <sheetView zoomScaleNormal="100" workbookViewId="0">
      <pane ySplit="1" topLeftCell="A2" activePane="bottomLeft" state="frozen"/>
      <selection pane="bottomLeft" activeCell="A18" sqref="A18:M18"/>
    </sheetView>
  </sheetViews>
  <sheetFormatPr baseColWidth="8" defaultRowHeight="13.5"/>
  <cols>
    <col width="10.77734375" bestFit="1" customWidth="1" style="8" min="1" max="1"/>
    <col width="15.77734375" customWidth="1" style="8" min="2" max="13"/>
    <col width="8.88671875" customWidth="1" style="8" min="14" max="55"/>
    <col width="8.88671875" customWidth="1" style="8" min="56" max="16384"/>
  </cols>
  <sheetData>
    <row r="1" ht="25.5" customHeight="1" s="16">
      <c r="A1" s="702" t="inlineStr">
        <is>
          <t>통 신 ( 부 산 )</t>
        </is>
      </c>
      <c r="B1" s="700" t="n"/>
      <c r="C1" s="700" t="n"/>
      <c r="D1" s="700" t="n"/>
      <c r="E1" s="700" t="n"/>
      <c r="F1" s="700" t="n"/>
      <c r="G1" s="700" t="n"/>
      <c r="H1" s="700" t="n"/>
      <c r="I1" s="700" t="n"/>
      <c r="J1" s="700" t="n"/>
      <c r="K1" s="700" t="n"/>
      <c r="L1" s="700" t="n"/>
      <c r="M1" s="701" t="n"/>
    </row>
    <row r="2" ht="26.1" customFormat="1" customHeight="1" s="20">
      <c r="A2" s="455" t="inlineStr">
        <is>
          <t>회사명</t>
        </is>
      </c>
      <c r="B2" s="455" t="inlineStr">
        <is>
          <t>(합)기전사</t>
        </is>
      </c>
      <c r="C2" s="455" t="inlineStr">
        <is>
          <t>㈜금양이앤에스</t>
        </is>
      </c>
      <c r="D2" s="455" t="inlineStr">
        <is>
          <t>㈜노노</t>
        </is>
      </c>
      <c r="E2" s="455" t="inlineStr">
        <is>
          <t>대진전자통신㈜</t>
        </is>
      </c>
      <c r="F2" s="455" t="inlineStr">
        <is>
          <t>동남통신건설</t>
        </is>
      </c>
      <c r="G2" s="455" t="inlineStr">
        <is>
          <t>㈜박전사</t>
        </is>
      </c>
      <c r="H2" s="455" t="inlineStr">
        <is>
          <t>비호시스템㈜</t>
        </is>
      </c>
      <c r="I2" s="455" t="inlineStr">
        <is>
          <t>산돌전기㈜</t>
        </is>
      </c>
      <c r="J2" s="455" t="inlineStr">
        <is>
          <t>㈜이지에버텍</t>
        </is>
      </c>
      <c r="K2" s="455" t="inlineStr">
        <is>
          <t>청호㈜</t>
        </is>
      </c>
      <c r="L2" s="455" t="inlineStr">
        <is>
          <t>㈜케이티서브마린</t>
        </is>
      </c>
      <c r="M2" s="455" t="inlineStr">
        <is>
          <t>㈜한진중공업</t>
        </is>
      </c>
    </row>
    <row r="3" customFormat="1" s="329">
      <c r="A3" s="68" t="inlineStr">
        <is>
          <t>대표자</t>
        </is>
      </c>
      <c r="B3" s="441" t="inlineStr">
        <is>
          <t>성환규</t>
        </is>
      </c>
      <c r="C3" s="1" t="inlineStr">
        <is>
          <t>강용환</t>
        </is>
      </c>
      <c r="D3" s="1" t="inlineStr">
        <is>
          <t>장문석</t>
        </is>
      </c>
      <c r="E3" s="1" t="inlineStr">
        <is>
          <t>설진길</t>
        </is>
      </c>
      <c r="F3" s="9" t="inlineStr">
        <is>
          <t>박현운</t>
        </is>
      </c>
      <c r="G3" s="1" t="inlineStr">
        <is>
          <t>강정규</t>
        </is>
      </c>
      <c r="H3" s="752" t="inlineStr">
        <is>
          <t>강선욱</t>
        </is>
      </c>
      <c r="I3" s="9" t="inlineStr">
        <is>
          <t>조충현</t>
        </is>
      </c>
      <c r="J3" s="9" t="inlineStr">
        <is>
          <t>장원미</t>
        </is>
      </c>
      <c r="K3" s="752" t="inlineStr">
        <is>
          <t>최우희</t>
        </is>
      </c>
      <c r="L3" s="9" t="inlineStr">
        <is>
          <t>이철규</t>
        </is>
      </c>
      <c r="M3" s="9" t="inlineStr">
        <is>
          <t>안진규</t>
        </is>
      </c>
    </row>
    <row r="4" customFormat="1" s="22">
      <c r="A4" s="68" t="inlineStr">
        <is>
          <t>사업자번호</t>
        </is>
      </c>
      <c r="B4" s="445" t="inlineStr">
        <is>
          <t>607-81-06008</t>
        </is>
      </c>
      <c r="C4" s="1" t="inlineStr">
        <is>
          <t>617-86-07445</t>
        </is>
      </c>
      <c r="D4" s="1" t="inlineStr">
        <is>
          <t>607-81-50085</t>
        </is>
      </c>
      <c r="E4" s="1" t="inlineStr">
        <is>
          <t>605-81-62912</t>
        </is>
      </c>
      <c r="F4" s="9" t="inlineStr">
        <is>
          <t>603-08-94356</t>
        </is>
      </c>
      <c r="G4" s="1" t="inlineStr">
        <is>
          <t>607-81-33413</t>
        </is>
      </c>
      <c r="H4" s="54" t="inlineStr">
        <is>
          <t>607-81-47799</t>
        </is>
      </c>
      <c r="I4" s="9" t="inlineStr">
        <is>
          <t>608-81-44378</t>
        </is>
      </c>
      <c r="J4" s="9" t="inlineStr">
        <is>
          <t>621-86-09118</t>
        </is>
      </c>
      <c r="K4" s="54" t="inlineStr">
        <is>
          <t>621-81-96637</t>
        </is>
      </c>
      <c r="L4" s="9" t="inlineStr">
        <is>
          <t>618-81-18519</t>
        </is>
      </c>
      <c r="M4" s="9" t="inlineStr">
        <is>
          <t>602-81-42993</t>
        </is>
      </c>
    </row>
    <row r="5" customFormat="1" s="329">
      <c r="A5" s="68" t="inlineStr">
        <is>
          <t>지역</t>
        </is>
      </c>
      <c r="B5" s="441" t="inlineStr">
        <is>
          <t>부산광역시 동래구</t>
        </is>
      </c>
      <c r="C5" s="1" t="inlineStr">
        <is>
          <t>부산광역시 해운대구</t>
        </is>
      </c>
      <c r="D5" s="1" t="inlineStr">
        <is>
          <t>부산광역시 부산진구</t>
        </is>
      </c>
      <c r="E5" s="1" t="inlineStr">
        <is>
          <t>부산광역시 부산진구</t>
        </is>
      </c>
      <c r="F5" s="9" t="inlineStr">
        <is>
          <t>부산 사상</t>
        </is>
      </c>
      <c r="G5" s="1" t="inlineStr">
        <is>
          <t>부산광역시 동래구</t>
        </is>
      </c>
      <c r="H5" s="752" t="inlineStr">
        <is>
          <t>부산 남구</t>
        </is>
      </c>
      <c r="I5" s="9" t="inlineStr">
        <is>
          <t>부산 기장</t>
        </is>
      </c>
      <c r="J5" s="9" t="inlineStr">
        <is>
          <t>부산 기장</t>
        </is>
      </c>
      <c r="K5" s="752" t="inlineStr">
        <is>
          <t>부산 기장</t>
        </is>
      </c>
      <c r="L5" s="9" t="inlineStr">
        <is>
          <t>부산시 해운대구</t>
        </is>
      </c>
      <c r="M5" s="9" t="inlineStr">
        <is>
          <t>부산 영도</t>
        </is>
      </c>
    </row>
    <row r="6" customFormat="1" s="22">
      <c r="A6" s="68" t="inlineStr">
        <is>
          <t>통신시공능력</t>
        </is>
      </c>
      <c r="B6" s="742" t="n">
        <v>2575900000</v>
      </c>
      <c r="C6" s="732" t="n">
        <v>13019600000</v>
      </c>
      <c r="D6" s="732" t="n">
        <v>951600000</v>
      </c>
      <c r="E6" s="732" t="n">
        <v>8643200000</v>
      </c>
      <c r="F6" s="752" t="n">
        <v>26740400000</v>
      </c>
      <c r="G6" s="732" t="n">
        <v>1878300000</v>
      </c>
      <c r="H6" s="752" t="n">
        <v>1667000000</v>
      </c>
      <c r="I6" s="756" t="n">
        <v>376900000</v>
      </c>
      <c r="J6" s="756" t="n">
        <v>250000000</v>
      </c>
      <c r="K6" s="752" t="n">
        <v>1017000000</v>
      </c>
      <c r="L6" s="752" t="n">
        <v>50009300000</v>
      </c>
      <c r="M6" s="752" t="n">
        <v>23776700000</v>
      </c>
    </row>
    <row r="7" customFormat="1" s="329">
      <c r="A7" s="68" t="inlineStr">
        <is>
          <t>3년간 실적액</t>
        </is>
      </c>
      <c r="B7" s="742" t="n">
        <v>1754193000</v>
      </c>
      <c r="C7" s="732" t="n">
        <v>20921758000</v>
      </c>
      <c r="D7" s="732" t="n">
        <v>2400000</v>
      </c>
      <c r="E7" s="732" t="n">
        <v>8380057000</v>
      </c>
      <c r="F7" s="752" t="n">
        <v>45368462000</v>
      </c>
      <c r="G7" s="732" t="n">
        <v>1905658000</v>
      </c>
      <c r="H7" s="752" t="n"/>
      <c r="I7" s="756" t="n">
        <v>333750000</v>
      </c>
      <c r="J7" s="756" t="n">
        <v>116331000</v>
      </c>
      <c r="K7" s="752" t="n">
        <v>1058286000</v>
      </c>
      <c r="L7" s="752" t="n">
        <v>100119171000</v>
      </c>
      <c r="M7" s="752" t="n">
        <v>43765540000</v>
      </c>
    </row>
    <row r="8" customFormat="1" s="329">
      <c r="A8" s="68" t="inlineStr">
        <is>
          <t>5년간 실적액</t>
        </is>
      </c>
      <c r="B8" s="742" t="n">
        <v>2662654000</v>
      </c>
      <c r="C8" s="732" t="n">
        <v>31271158000</v>
      </c>
      <c r="D8" s="732" t="n">
        <v>46429000</v>
      </c>
      <c r="E8" s="732" t="n">
        <v>12503277000</v>
      </c>
      <c r="F8" s="752" t="n">
        <v>72406394000</v>
      </c>
      <c r="G8" s="732" t="n">
        <v>3409400000</v>
      </c>
      <c r="H8" s="752" t="n"/>
      <c r="I8" s="806" t="n">
        <v>339055000</v>
      </c>
      <c r="J8" s="806" t="n">
        <v>116331000</v>
      </c>
      <c r="K8" s="752" t="n">
        <v>1058286000</v>
      </c>
      <c r="L8" s="752" t="n">
        <v>161177528000</v>
      </c>
      <c r="M8" s="752" t="n">
        <v>94043011000</v>
      </c>
    </row>
    <row r="9" customFormat="1" s="790">
      <c r="A9" s="855" t="inlineStr">
        <is>
          <t>부채비율</t>
        </is>
      </c>
      <c r="B9" s="443" t="n">
        <v>0.2008</v>
      </c>
      <c r="C9" s="2" t="n">
        <v>0.3386</v>
      </c>
      <c r="D9" s="2" t="n">
        <v>0.2718</v>
      </c>
      <c r="E9" s="2" t="n">
        <v>0.492</v>
      </c>
      <c r="F9" s="10" t="n">
        <v>0.1878</v>
      </c>
      <c r="G9" s="2" t="n">
        <v>0.6147</v>
      </c>
      <c r="H9" s="10" t="n"/>
      <c r="I9" s="10" t="n">
        <v>0.6225000000000001</v>
      </c>
      <c r="J9" s="48" t="n">
        <v>0.9365</v>
      </c>
      <c r="K9" s="10" t="n">
        <v>0.2173</v>
      </c>
      <c r="L9" s="10" t="n">
        <v>0.3131</v>
      </c>
      <c r="M9" s="48" t="n">
        <v>2.3671</v>
      </c>
      <c r="N9" s="750" t="n"/>
    </row>
    <row r="10" customFormat="1" s="790">
      <c r="A10" s="855" t="inlineStr">
        <is>
          <t>유동비율</t>
        </is>
      </c>
      <c r="B10" s="443" t="n">
        <v>20.4459</v>
      </c>
      <c r="C10" s="2" t="n">
        <v>3.1788</v>
      </c>
      <c r="D10" s="2" t="n">
        <v>5.9645</v>
      </c>
      <c r="E10" s="2" t="n">
        <v>9.9306</v>
      </c>
      <c r="F10" s="10" t="n">
        <v>5.354</v>
      </c>
      <c r="G10" s="2" t="n">
        <v>4.4161</v>
      </c>
      <c r="H10" s="10" t="n"/>
      <c r="I10" s="10" t="n">
        <v>2.1152</v>
      </c>
      <c r="J10" s="10" t="n">
        <v>3.8367</v>
      </c>
      <c r="K10" s="10" t="n">
        <v>12.7814</v>
      </c>
      <c r="L10" s="48" t="n">
        <v>0.9822</v>
      </c>
      <c r="M10" s="48" t="n">
        <v>0.6343</v>
      </c>
      <c r="N10" s="750" t="n"/>
    </row>
    <row r="11" ht="24" customFormat="1" customHeight="1" s="790">
      <c r="A11" s="856" t="inlineStr">
        <is>
          <t>영업기간
공사업등록일</t>
        </is>
      </c>
      <c r="B11" s="446" t="inlineStr">
        <is>
          <t>2020.07.31</t>
        </is>
      </c>
      <c r="C11" s="2" t="inlineStr">
        <is>
          <t>1988.10.09</t>
        </is>
      </c>
      <c r="D11" s="2" t="inlineStr">
        <is>
          <t>2011.04.08</t>
        </is>
      </c>
      <c r="E11" s="2" t="inlineStr">
        <is>
          <t>1998.02.25</t>
        </is>
      </c>
      <c r="F11" s="10" t="inlineStr">
        <is>
          <t>10년이상%</t>
        </is>
      </c>
      <c r="G11" s="2" t="inlineStr">
        <is>
          <t>1997.06.17</t>
        </is>
      </c>
      <c r="H11" s="10" t="n"/>
      <c r="I11" s="10" t="inlineStr">
        <is>
          <t>5년이상%</t>
        </is>
      </c>
      <c r="J11" s="10" t="inlineStr">
        <is>
          <t>3년이상%</t>
        </is>
      </c>
      <c r="K11" s="10" t="inlineStr">
        <is>
          <t>3년이상%</t>
        </is>
      </c>
      <c r="L11" s="11" t="inlineStr">
        <is>
          <t>1996.04.12</t>
        </is>
      </c>
      <c r="M11" s="11" t="inlineStr">
        <is>
          <t>1999.09.01</t>
        </is>
      </c>
    </row>
    <row r="12" ht="22.5" customFormat="1" customHeight="1" s="329">
      <c r="A12" s="68" t="inlineStr">
        <is>
          <t>신용평가</t>
        </is>
      </c>
      <c r="B12" s="743" t="inlineStr">
        <is>
          <t>BB+
(25.06.27~26.06.26)</t>
        </is>
      </c>
      <c r="C12" s="153" t="inlineStr">
        <is>
          <t>BBO
(20.04.17~21.04.16)</t>
        </is>
      </c>
      <c r="D12" s="49" t="n"/>
      <c r="E12" s="49" t="n"/>
      <c r="F12" s="725" t="inlineStr">
        <is>
          <t>BBB+
(15.07.10~16.06.30)</t>
        </is>
      </c>
      <c r="G12" s="49" t="n"/>
      <c r="H12" s="803" t="n"/>
      <c r="I12" s="62" t="n"/>
      <c r="J12" s="803" t="n"/>
      <c r="K12" s="803" t="n"/>
      <c r="L12" s="725" t="inlineStr">
        <is>
          <t>BBB+
(19.05.16~20.05.15)</t>
        </is>
      </c>
      <c r="M12" s="736" t="n"/>
    </row>
    <row r="13" customFormat="1" s="329">
      <c r="A13" s="68" t="inlineStr">
        <is>
          <t>여성기업</t>
        </is>
      </c>
      <c r="B13" s="447" t="n"/>
      <c r="C13" s="12" t="n"/>
      <c r="D13" s="12" t="n"/>
      <c r="E13" s="12" t="n"/>
      <c r="F13" s="736" t="n"/>
      <c r="G13" s="12" t="n"/>
      <c r="H13" s="803" t="n"/>
      <c r="I13" s="62" t="n"/>
      <c r="J13" s="803" t="n"/>
      <c r="K13" s="803" t="n"/>
      <c r="L13" s="736" t="n"/>
      <c r="M13" s="736" t="n"/>
    </row>
    <row r="14" customFormat="1" s="329">
      <c r="A14" s="68" t="inlineStr">
        <is>
          <t>중소기업</t>
        </is>
      </c>
      <c r="B14" s="447" t="n"/>
      <c r="C14" s="12" t="n"/>
      <c r="D14" s="12" t="n"/>
      <c r="E14" s="12" t="n"/>
      <c r="F14" s="736" t="n"/>
      <c r="G14" s="12" t="n"/>
      <c r="H14" s="803" t="n"/>
      <c r="I14" s="62" t="n"/>
      <c r="J14" s="803" t="n"/>
      <c r="K14" s="803" t="n"/>
      <c r="L14" s="736" t="n"/>
      <c r="M14" s="736" t="n"/>
    </row>
    <row r="15" customFormat="1" s="329">
      <c r="A15" s="71" t="inlineStr">
        <is>
          <t>일자리창출실적</t>
        </is>
      </c>
      <c r="B15" s="447" t="n"/>
      <c r="C15" s="12" t="n"/>
      <c r="D15" s="12" t="n"/>
      <c r="E15" s="12" t="n"/>
      <c r="F15" s="736" t="n"/>
      <c r="G15" s="12" t="n"/>
      <c r="H15" s="803" t="n"/>
      <c r="I15" s="62" t="n"/>
      <c r="J15" s="803" t="n"/>
      <c r="K15" s="803" t="n"/>
      <c r="L15" s="736" t="n"/>
      <c r="M15" s="736" t="n"/>
    </row>
    <row r="16" customFormat="1" s="329">
      <c r="A16" s="71" t="inlineStr">
        <is>
          <t>시공품질평가</t>
        </is>
      </c>
      <c r="B16" s="833" t="inlineStr">
        <is>
          <t>없음 (25.05.01)</t>
        </is>
      </c>
      <c r="C16" s="12" t="n"/>
      <c r="D16" s="12" t="n"/>
      <c r="E16" s="12" t="n"/>
      <c r="F16" s="736" t="n"/>
      <c r="G16" s="12" t="n"/>
      <c r="H16" s="803" t="n"/>
      <c r="I16" s="62" t="n"/>
      <c r="J16" s="803" t="n"/>
      <c r="K16" s="803" t="n"/>
      <c r="L16" s="736" t="n"/>
      <c r="M16" s="736" t="n"/>
    </row>
    <row r="17" ht="45" customFormat="1" customHeight="1" s="329">
      <c r="A17" s="68" t="inlineStr">
        <is>
          <t>비  고</t>
        </is>
      </c>
      <c r="B17" s="441" t="inlineStr">
        <is>
          <t>이재웅</t>
        </is>
      </c>
      <c r="C17" s="73" t="inlineStr">
        <is>
          <t>배성광
-특2,고2(20.10.26)
-중소기업확인인서
(20.04.01~21.03.31)</t>
        </is>
      </c>
      <c r="D17" s="1" t="inlineStr">
        <is>
          <t>윤한봉</t>
        </is>
      </c>
      <c r="E17" s="1" t="inlineStr">
        <is>
          <t>윤명숙</t>
        </is>
      </c>
      <c r="F17" s="9" t="inlineStr">
        <is>
          <t>구본진</t>
        </is>
      </c>
      <c r="G17" s="1" t="inlineStr">
        <is>
          <t>송동은</t>
        </is>
      </c>
      <c r="H17" s="9" t="inlineStr">
        <is>
          <t>송종윤</t>
        </is>
      </c>
      <c r="I17" s="9" t="inlineStr">
        <is>
          <t>윤명숙</t>
        </is>
      </c>
      <c r="J17" s="752" t="inlineStr">
        <is>
          <t>윤명숙</t>
        </is>
      </c>
      <c r="K17" s="9" t="inlineStr">
        <is>
          <t>윤명숙</t>
        </is>
      </c>
      <c r="L17" s="9" t="n"/>
      <c r="M17" s="9" t="n"/>
    </row>
    <row r="18" ht="26.1" customHeight="1" s="16">
      <c r="A18" s="455" t="inlineStr">
        <is>
          <t>회사명</t>
        </is>
      </c>
      <c r="B18" s="455" t="inlineStr">
        <is>
          <t>㈜화신전기</t>
        </is>
      </c>
      <c r="C18" s="455" t="inlineStr">
        <is>
          <t>한울림네트웍㈜</t>
        </is>
      </c>
      <c r="D18" s="455" t="inlineStr">
        <is>
          <t>㈜씨에이치테크</t>
        </is>
      </c>
      <c r="E18" s="455" t="inlineStr">
        <is>
          <t>휴먼아이티에스㈜</t>
        </is>
      </c>
      <c r="F18" s="455" t="inlineStr">
        <is>
          <t>㈜드림정보기술</t>
        </is>
      </c>
      <c r="G18" s="455" t="inlineStr">
        <is>
          <t>(자)명신건설</t>
        </is>
      </c>
      <c r="H18" s="455" t="n"/>
      <c r="I18" s="455" t="n"/>
      <c r="J18" s="455" t="n"/>
      <c r="K18" s="455" t="n"/>
      <c r="L18" s="455" t="n"/>
      <c r="M18" s="455" t="n"/>
    </row>
    <row r="19">
      <c r="A19" s="68" t="inlineStr">
        <is>
          <t>대표자</t>
        </is>
      </c>
      <c r="B19" s="1" t="inlineStr">
        <is>
          <t>이장춘</t>
        </is>
      </c>
      <c r="C19" s="1" t="inlineStr">
        <is>
          <t>정운용</t>
        </is>
      </c>
      <c r="D19" s="9" t="inlineStr">
        <is>
          <t>박회성</t>
        </is>
      </c>
      <c r="E19" s="9" t="inlineStr">
        <is>
          <t>도기환</t>
        </is>
      </c>
      <c r="F19" s="9" t="inlineStr">
        <is>
          <t>김주철</t>
        </is>
      </c>
      <c r="G19" s="93" t="inlineStr">
        <is>
          <t>손동준</t>
        </is>
      </c>
      <c r="H19" s="9" t="n"/>
      <c r="I19" s="9" t="n"/>
      <c r="J19" s="9" t="n"/>
      <c r="K19" s="9" t="n"/>
      <c r="L19" s="9" t="n"/>
      <c r="M19" s="9" t="n"/>
    </row>
    <row r="20">
      <c r="A20" s="68" t="inlineStr">
        <is>
          <t>사업자번호</t>
        </is>
      </c>
      <c r="B20" s="1" t="inlineStr">
        <is>
          <t>617-81-03406</t>
        </is>
      </c>
      <c r="C20" s="1" t="inlineStr">
        <is>
          <t>606-81-91384</t>
        </is>
      </c>
      <c r="D20" s="9" t="inlineStr">
        <is>
          <t>605-81-52466</t>
        </is>
      </c>
      <c r="E20" s="9" t="inlineStr">
        <is>
          <t>605-81-51851</t>
        </is>
      </c>
      <c r="F20" s="9" t="inlineStr">
        <is>
          <t>605-86-29830</t>
        </is>
      </c>
      <c r="G20" s="93" t="inlineStr">
        <is>
          <t>606-81-09069</t>
        </is>
      </c>
      <c r="H20" s="9" t="n"/>
      <c r="I20" s="9" t="n"/>
      <c r="J20" s="9" t="n"/>
      <c r="K20" s="9" t="n"/>
      <c r="L20" s="9" t="n"/>
      <c r="M20" s="9" t="n"/>
    </row>
    <row r="21">
      <c r="A21" s="68" t="inlineStr">
        <is>
          <t>지역</t>
        </is>
      </c>
      <c r="B21" s="1" t="inlineStr">
        <is>
          <t>부산 해운대</t>
        </is>
      </c>
      <c r="C21" s="1" t="inlineStr">
        <is>
          <t>부산 금정구</t>
        </is>
      </c>
      <c r="D21" s="9" t="inlineStr">
        <is>
          <t>부산 해운대구</t>
        </is>
      </c>
      <c r="E21" s="9" t="inlineStr">
        <is>
          <t>부산 기장군</t>
        </is>
      </c>
      <c r="F21" s="9" t="inlineStr">
        <is>
          <t>부산 사상구</t>
        </is>
      </c>
      <c r="G21" s="93" t="inlineStr">
        <is>
          <t>부산 사상구</t>
        </is>
      </c>
      <c r="H21" s="9" t="n"/>
      <c r="I21" s="9" t="n"/>
      <c r="J21" s="9" t="n"/>
      <c r="K21" s="9" t="n"/>
      <c r="L21" s="9" t="n"/>
      <c r="M21" s="9" t="n"/>
    </row>
    <row r="22">
      <c r="A22" s="68" t="inlineStr">
        <is>
          <t>통신시공능력</t>
        </is>
      </c>
      <c r="B22" s="732" t="n">
        <v>6160100000</v>
      </c>
      <c r="C22" s="732" t="n">
        <v>4274100000</v>
      </c>
      <c r="D22" s="752" t="n">
        <v>3051400000</v>
      </c>
      <c r="E22" s="752" t="n">
        <v>5137300000</v>
      </c>
      <c r="F22" s="752" t="n">
        <v>3530000000</v>
      </c>
      <c r="G22" s="777" t="n">
        <v>1414400000</v>
      </c>
      <c r="H22" s="752" t="n"/>
      <c r="I22" s="752" t="n"/>
      <c r="J22" s="752" t="n"/>
      <c r="K22" s="752" t="n"/>
      <c r="L22" s="752" t="n"/>
      <c r="M22" s="752" t="n"/>
    </row>
    <row r="23">
      <c r="A23" s="68" t="inlineStr">
        <is>
          <t>3년간 실적액</t>
        </is>
      </c>
      <c r="B23" s="732" t="n">
        <v>5870985000</v>
      </c>
      <c r="C23" s="732" t="n">
        <v>5960605000</v>
      </c>
      <c r="D23" s="752" t="n">
        <v>1228435000</v>
      </c>
      <c r="E23" s="752" t="n">
        <v>5756194000</v>
      </c>
      <c r="F23" s="752" t="n">
        <v>4381912000</v>
      </c>
      <c r="G23" s="777" t="n">
        <v>1734435000</v>
      </c>
      <c r="H23" s="752" t="n"/>
      <c r="I23" s="752" t="n"/>
      <c r="J23" s="752" t="n"/>
      <c r="K23" s="752" t="n"/>
      <c r="L23" s="752" t="n"/>
      <c r="M23" s="752" t="n"/>
    </row>
    <row r="24">
      <c r="A24" s="68" t="inlineStr">
        <is>
          <t>5년간 실적액</t>
        </is>
      </c>
      <c r="B24" s="732" t="n">
        <v>6903502000</v>
      </c>
      <c r="C24" s="732" t="n">
        <v>11175788000</v>
      </c>
      <c r="D24" s="752" t="n">
        <v>1757457000</v>
      </c>
      <c r="E24" s="752" t="n">
        <v>8476443000</v>
      </c>
      <c r="F24" s="752" t="n">
        <v>6518630000</v>
      </c>
      <c r="G24" s="777" t="n">
        <v>2537029000</v>
      </c>
      <c r="H24" s="752" t="n"/>
      <c r="I24" s="752" t="n"/>
      <c r="J24" s="752" t="n"/>
      <c r="K24" s="752" t="n"/>
      <c r="L24" s="752" t="n"/>
      <c r="M24" s="752" t="n"/>
    </row>
    <row r="25">
      <c r="A25" s="855" t="inlineStr">
        <is>
          <t>부채비율</t>
        </is>
      </c>
      <c r="B25" s="2" t="n">
        <v>0.2595</v>
      </c>
      <c r="C25" s="2" t="n">
        <v>0.3722</v>
      </c>
      <c r="D25" s="10" t="n">
        <v>0.0455</v>
      </c>
      <c r="E25" s="10" t="n">
        <v>0.1677</v>
      </c>
      <c r="F25" s="10" t="n">
        <v>0.1588</v>
      </c>
      <c r="G25" s="101" t="n">
        <v>0.3266</v>
      </c>
      <c r="H25" s="10" t="n"/>
      <c r="I25" s="10" t="n"/>
      <c r="J25" s="10" t="n"/>
      <c r="K25" s="10" t="n"/>
      <c r="L25" s="10" t="n"/>
      <c r="M25" s="10" t="n"/>
      <c r="N25" s="750" t="n"/>
    </row>
    <row r="26">
      <c r="A26" s="855" t="inlineStr">
        <is>
          <t>유동비율</t>
        </is>
      </c>
      <c r="B26" s="2" t="n">
        <v>5.7132</v>
      </c>
      <c r="C26" s="2" t="n">
        <v>3.112</v>
      </c>
      <c r="D26" s="10" t="n">
        <v>21.6074</v>
      </c>
      <c r="E26" s="10" t="n">
        <v>3.5978</v>
      </c>
      <c r="F26" s="10" t="n">
        <v>6.9554</v>
      </c>
      <c r="G26" s="101" t="n">
        <v>2.8616</v>
      </c>
      <c r="H26" s="10" t="n"/>
      <c r="I26" s="10" t="n"/>
      <c r="J26" s="10" t="n"/>
      <c r="K26" s="10" t="n"/>
      <c r="L26" s="10" t="n"/>
      <c r="M26" s="10" t="n"/>
      <c r="N26" s="750" t="n"/>
    </row>
    <row r="27" ht="24" customHeight="1" s="16">
      <c r="A27" s="856" t="inlineStr">
        <is>
          <t>영업기간
공사업등록일</t>
        </is>
      </c>
      <c r="B27" s="2" t="inlineStr">
        <is>
          <t>10년이상%</t>
        </is>
      </c>
      <c r="C27" s="2" t="inlineStr">
        <is>
          <t>2006.12.12</t>
        </is>
      </c>
      <c r="D27" s="10" t="inlineStr">
        <is>
          <t>2015.10.22</t>
        </is>
      </c>
      <c r="E27" s="10" t="inlineStr">
        <is>
          <t>2004.05.04</t>
        </is>
      </c>
      <c r="F27" s="10" t="inlineStr">
        <is>
          <t>2014.08.25</t>
        </is>
      </c>
      <c r="G27" s="101" t="inlineStr">
        <is>
          <t>2016.05.11</t>
        </is>
      </c>
      <c r="H27" s="10" t="n"/>
      <c r="I27" s="10" t="n"/>
      <c r="J27" s="10" t="n"/>
      <c r="K27" s="10" t="n"/>
      <c r="L27" s="10" t="n"/>
      <c r="M27" s="10" t="n"/>
    </row>
    <row r="28">
      <c r="A28" s="68" t="inlineStr">
        <is>
          <t>신용평가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</row>
    <row r="29">
      <c r="A29" s="68" t="inlineStr">
        <is>
          <t>여성기업</t>
        </is>
      </c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</row>
    <row r="30">
      <c r="A30" s="68" t="inlineStr">
        <is>
          <t>중소기업</t>
        </is>
      </c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</row>
    <row r="31">
      <c r="A31" s="71" t="inlineStr">
        <is>
          <t>일자리창출실적</t>
        </is>
      </c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</row>
    <row r="32">
      <c r="A32" s="71" t="inlineStr">
        <is>
          <t>시공품질평가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</row>
    <row r="33">
      <c r="A33" s="68" t="inlineStr">
        <is>
          <t>비  고</t>
        </is>
      </c>
      <c r="B33" s="9" t="n"/>
      <c r="C33" s="1" t="inlineStr">
        <is>
          <t>구본진</t>
        </is>
      </c>
      <c r="D33" s="9" t="inlineStr">
        <is>
          <t>서권형</t>
        </is>
      </c>
      <c r="E33" s="9" t="inlineStr">
        <is>
          <t>서권형</t>
        </is>
      </c>
      <c r="F33" s="9" t="inlineStr">
        <is>
          <t>조정</t>
        </is>
      </c>
      <c r="G33" s="93" t="inlineStr">
        <is>
          <t>구본진</t>
        </is>
      </c>
      <c r="H33" s="9" t="n"/>
      <c r="I33" s="9" t="n"/>
      <c r="J33" s="9" t="n"/>
      <c r="K33" s="9" t="n"/>
      <c r="L33" s="9" t="n"/>
      <c r="M33" s="9" t="n"/>
    </row>
  </sheetData>
  <mergeCells count="1">
    <mergeCell ref="A1:M1"/>
  </mergeCells>
  <printOptions horizontalCentered="1"/>
  <pageMargins left="0.03937007874015748" right="0.03937007874015748" top="0.1968503937007874" bottom="0.1968503937007874" header="0" footer="0"/>
  <pageSetup orientation="landscape" paperSize="9" scale="55"/>
</worksheet>
</file>

<file path=xl/worksheets/sheet9.xml><?xml version="1.0" encoding="utf-8"?>
<worksheet xmlns="http://schemas.openxmlformats.org/spreadsheetml/2006/main">
  <sheetPr codeName="Sheet9">
    <outlinePr summaryBelow="1" summaryRight="1"/>
    <pageSetUpPr/>
  </sheetPr>
  <dimension ref="A1:N34"/>
  <sheetViews>
    <sheetView zoomScaleNormal="100" workbookViewId="0">
      <pane ySplit="1" topLeftCell="A8" activePane="bottomLeft" state="frozen"/>
      <selection pane="bottomLeft" activeCell="A18" sqref="A18:M18"/>
    </sheetView>
  </sheetViews>
  <sheetFormatPr baseColWidth="8" defaultRowHeight="13.5"/>
  <cols>
    <col width="10.77734375" bestFit="1" customWidth="1" style="16" min="1" max="1"/>
    <col width="15.77734375" customWidth="1" style="16" min="2" max="13"/>
    <col width="8.88671875" customWidth="1" style="16" min="14" max="55"/>
    <col width="8.88671875" customWidth="1" style="16" min="56" max="16384"/>
  </cols>
  <sheetData>
    <row r="1" ht="25.5" customHeight="1" s="16">
      <c r="A1" s="702" t="inlineStr">
        <is>
          <t>통 신 ( 경 남 )</t>
        </is>
      </c>
      <c r="B1" s="700" t="n"/>
      <c r="C1" s="700" t="n"/>
      <c r="D1" s="700" t="n"/>
      <c r="E1" s="700" t="n"/>
      <c r="F1" s="700" t="n"/>
      <c r="G1" s="700" t="n"/>
      <c r="H1" s="700" t="n"/>
      <c r="I1" s="700" t="n"/>
      <c r="J1" s="700" t="n"/>
      <c r="K1" s="700" t="n"/>
      <c r="L1" s="700" t="n"/>
      <c r="M1" s="701" t="n"/>
    </row>
    <row r="2" ht="26.1" customFormat="1" customHeight="1" s="18">
      <c r="A2" s="455" t="inlineStr">
        <is>
          <t>회사명</t>
        </is>
      </c>
      <c r="B2" s="455" t="inlineStr">
        <is>
          <t>대경건설㈜</t>
        </is>
      </c>
      <c r="C2" s="455" t="inlineStr">
        <is>
          <t>대성정보기술㈜</t>
        </is>
      </c>
      <c r="D2" s="455" t="inlineStr">
        <is>
          <t>대성아이넷㈜</t>
        </is>
      </c>
      <c r="E2" s="455" t="inlineStr">
        <is>
          <t>㈜새한아이엔씨</t>
        </is>
      </c>
      <c r="F2" s="455" t="inlineStr">
        <is>
          <t>㈜세진기업</t>
        </is>
      </c>
      <c r="G2" s="455" t="inlineStr">
        <is>
          <t>수이건설㈜</t>
        </is>
      </c>
      <c r="H2" s="455" t="inlineStr">
        <is>
          <t>대신네트윅스㈜</t>
        </is>
      </c>
      <c r="I2" s="455" t="inlineStr">
        <is>
          <t>(합)세기전력</t>
        </is>
      </c>
      <c r="J2" s="455" t="inlineStr">
        <is>
          <t>㈜태양전력</t>
        </is>
      </c>
      <c r="K2" s="455" t="inlineStr">
        <is>
          <t>㈜제일정보통신</t>
        </is>
      </c>
      <c r="L2" s="455" t="inlineStr">
        <is>
          <t>㈜세안정보통신전기</t>
        </is>
      </c>
      <c r="M2" s="455" t="inlineStr">
        <is>
          <t>㈜대아전력</t>
        </is>
      </c>
    </row>
    <row r="3" customFormat="1" s="23">
      <c r="A3" s="68" t="inlineStr">
        <is>
          <t>대표자</t>
        </is>
      </c>
      <c r="B3" s="752" t="inlineStr">
        <is>
          <t>이윤우</t>
        </is>
      </c>
      <c r="C3" s="732" t="inlineStr">
        <is>
          <t>임광수</t>
        </is>
      </c>
      <c r="D3" s="732" t="inlineStr">
        <is>
          <t>김영태</t>
        </is>
      </c>
      <c r="E3" s="9" t="inlineStr">
        <is>
          <t>박미란</t>
        </is>
      </c>
      <c r="F3" s="732" t="inlineStr">
        <is>
          <t>강필혜</t>
        </is>
      </c>
      <c r="G3" s="1" t="inlineStr">
        <is>
          <t>임아영</t>
        </is>
      </c>
      <c r="H3" s="752" t="inlineStr">
        <is>
          <t>김영식</t>
        </is>
      </c>
      <c r="I3" s="85" t="inlineStr">
        <is>
          <t>하상길</t>
        </is>
      </c>
      <c r="J3" s="1" t="inlineStr">
        <is>
          <t>김연주</t>
        </is>
      </c>
      <c r="K3" s="752" t="inlineStr">
        <is>
          <t>박재길</t>
        </is>
      </c>
      <c r="L3" s="9" t="inlineStr">
        <is>
          <t>류해경</t>
        </is>
      </c>
      <c r="M3" s="752" t="inlineStr">
        <is>
          <t>추길호</t>
        </is>
      </c>
    </row>
    <row r="4" customFormat="1" s="21">
      <c r="A4" s="68" t="inlineStr">
        <is>
          <t>사업자번호</t>
        </is>
      </c>
      <c r="B4" s="54" t="inlineStr">
        <is>
          <t>613-81-23526</t>
        </is>
      </c>
      <c r="C4" s="4" t="inlineStr">
        <is>
          <t>609-81-96452</t>
        </is>
      </c>
      <c r="D4" s="4" t="inlineStr">
        <is>
          <t>609-81-90287</t>
        </is>
      </c>
      <c r="E4" s="9" t="inlineStr">
        <is>
          <t>613-81-78166</t>
        </is>
      </c>
      <c r="F4" s="4" t="inlineStr">
        <is>
          <t>613-81-20835</t>
        </is>
      </c>
      <c r="G4" s="1" t="inlineStr">
        <is>
          <t>615-81-39437</t>
        </is>
      </c>
      <c r="H4" s="54" t="inlineStr">
        <is>
          <t>608-81-18002</t>
        </is>
      </c>
      <c r="I4" s="86" t="inlineStr">
        <is>
          <t>613-81-20233</t>
        </is>
      </c>
      <c r="J4" s="1" t="inlineStr">
        <is>
          <t>613-81-70238</t>
        </is>
      </c>
      <c r="K4" s="54" t="inlineStr">
        <is>
          <t>622-81-12606</t>
        </is>
      </c>
      <c r="L4" s="9" t="inlineStr">
        <is>
          <t>615-81-68835</t>
        </is>
      </c>
      <c r="M4" s="54" t="inlineStr">
        <is>
          <t>612-81-19034</t>
        </is>
      </c>
    </row>
    <row r="5" customFormat="1" s="23">
      <c r="A5" s="68" t="inlineStr">
        <is>
          <t>지역</t>
        </is>
      </c>
      <c r="B5" s="54" t="inlineStr">
        <is>
          <t>경남 진주</t>
        </is>
      </c>
      <c r="C5" s="4" t="inlineStr">
        <is>
          <t>경남 창원</t>
        </is>
      </c>
      <c r="D5" s="4" t="inlineStr">
        <is>
          <t>경남 창원</t>
        </is>
      </c>
      <c r="E5" s="9" t="inlineStr">
        <is>
          <t>경남 사천</t>
        </is>
      </c>
      <c r="F5" s="4" t="inlineStr">
        <is>
          <t>경남 창원</t>
        </is>
      </c>
      <c r="G5" s="1" t="inlineStr">
        <is>
          <t>경남</t>
        </is>
      </c>
      <c r="H5" s="54" t="inlineStr">
        <is>
          <t>경남 창원시</t>
        </is>
      </c>
      <c r="I5" s="85" t="inlineStr">
        <is>
          <t>경남 진주시</t>
        </is>
      </c>
      <c r="J5" s="1" t="inlineStr">
        <is>
          <t>경남 통영시</t>
        </is>
      </c>
      <c r="K5" s="54" t="inlineStr">
        <is>
          <t>경남 김해시</t>
        </is>
      </c>
      <c r="L5" s="9" t="inlineStr">
        <is>
          <t>경남 김해시</t>
        </is>
      </c>
      <c r="M5" s="54" t="inlineStr">
        <is>
          <t>경남 진주시</t>
        </is>
      </c>
    </row>
    <row r="6" customFormat="1" s="21">
      <c r="A6" s="68" t="inlineStr">
        <is>
          <t>통신시공능력</t>
        </is>
      </c>
      <c r="B6" s="752" t="n">
        <v>743400000</v>
      </c>
      <c r="C6" s="777" t="n">
        <v>3845500000</v>
      </c>
      <c r="D6" s="732" t="n">
        <v>1448800000</v>
      </c>
      <c r="E6" s="756" t="n">
        <v>9595700000</v>
      </c>
      <c r="F6" s="777" t="n">
        <v>1034100000</v>
      </c>
      <c r="G6" s="804" t="n">
        <v>8050800000</v>
      </c>
      <c r="H6" s="752" t="n">
        <v>24379600000</v>
      </c>
      <c r="I6" s="902" t="n">
        <v>730700000</v>
      </c>
      <c r="J6" s="804" t="n">
        <v>3860900000</v>
      </c>
      <c r="K6" s="752" t="n">
        <v>27864300000</v>
      </c>
      <c r="L6" s="756" t="n">
        <v>11758700000</v>
      </c>
      <c r="M6" s="777" t="n">
        <v>1084300000</v>
      </c>
    </row>
    <row r="7" customFormat="1" s="23">
      <c r="A7" s="68" t="inlineStr">
        <is>
          <t>3년간 실적액</t>
        </is>
      </c>
      <c r="B7" s="752" t="n">
        <v>0</v>
      </c>
      <c r="C7" s="732" t="n">
        <v>474580000</v>
      </c>
      <c r="D7" s="732" t="n">
        <v>1141207000</v>
      </c>
      <c r="E7" s="756" t="n">
        <v>19165343000</v>
      </c>
      <c r="F7" s="732" t="n">
        <v>1733545000</v>
      </c>
      <c r="G7" s="804" t="n">
        <v>3346957000</v>
      </c>
      <c r="H7" s="752" t="n">
        <v>38541592000</v>
      </c>
      <c r="I7" s="902" t="n">
        <v>145965000</v>
      </c>
      <c r="J7" s="804" t="n">
        <v>5460467000</v>
      </c>
      <c r="K7" s="752" t="n">
        <v>44993923000</v>
      </c>
      <c r="L7" s="756" t="n">
        <v>17084632000</v>
      </c>
      <c r="M7" s="752" t="n">
        <v>1845433000</v>
      </c>
    </row>
    <row r="8" customFormat="1" s="23">
      <c r="A8" s="68" t="inlineStr">
        <is>
          <t>5년간 실적액</t>
        </is>
      </c>
      <c r="B8" s="752" t="n">
        <v>1406274000</v>
      </c>
      <c r="C8" s="732" t="n">
        <v>474580000</v>
      </c>
      <c r="D8" s="732" t="n">
        <v>1141207000</v>
      </c>
      <c r="E8" s="806" t="n">
        <v>32073895000</v>
      </c>
      <c r="F8" s="732" t="n">
        <v>4690421000</v>
      </c>
      <c r="G8" s="810" t="n">
        <v>3346957000</v>
      </c>
      <c r="H8" s="752" t="n">
        <v>59813126000</v>
      </c>
      <c r="I8" s="902" t="n">
        <v>2553739000</v>
      </c>
      <c r="J8" s="810" t="n">
        <v>9652414000</v>
      </c>
      <c r="K8" s="752" t="n">
        <v>71959978000</v>
      </c>
      <c r="L8" s="806" t="n">
        <v>22404479000</v>
      </c>
      <c r="M8" s="752" t="n">
        <v>5316560000</v>
      </c>
    </row>
    <row r="9" customFormat="1" s="886">
      <c r="A9" s="855" t="inlineStr">
        <is>
          <t>부채비율</t>
        </is>
      </c>
      <c r="B9" s="10" t="n">
        <v>0.1204</v>
      </c>
      <c r="C9" s="2" t="n">
        <v>0.4317</v>
      </c>
      <c r="D9" s="2" t="n">
        <v>0.0722</v>
      </c>
      <c r="E9" s="10" t="n">
        <v>0.1092</v>
      </c>
      <c r="F9" s="2" t="n">
        <v>0.9651999999999999</v>
      </c>
      <c r="G9" s="10" t="n"/>
      <c r="H9" s="10" t="n">
        <v>0.1319</v>
      </c>
      <c r="I9" s="87" t="n">
        <v>0.4339</v>
      </c>
      <c r="J9" s="2" t="n">
        <v>0.2437</v>
      </c>
      <c r="K9" s="10" t="n">
        <v>0.0912</v>
      </c>
      <c r="L9" s="10" t="n">
        <v>0.1197</v>
      </c>
      <c r="M9" s="10" t="n">
        <v>0.3207</v>
      </c>
      <c r="N9" s="750" t="n"/>
    </row>
    <row r="10" customFormat="1" s="886">
      <c r="A10" s="855" t="inlineStr">
        <is>
          <t>유동비율</t>
        </is>
      </c>
      <c r="B10" s="10" t="n">
        <v>5.4508</v>
      </c>
      <c r="C10" s="2" t="n">
        <v>2.4495</v>
      </c>
      <c r="D10" s="2" t="n">
        <v>12.9588</v>
      </c>
      <c r="E10" s="10" t="n">
        <v>2.2786</v>
      </c>
      <c r="F10" s="2" t="n">
        <v>2.0396</v>
      </c>
      <c r="G10" s="2" t="n">
        <v>3.5195</v>
      </c>
      <c r="H10" s="10" t="n">
        <v>6.4694</v>
      </c>
      <c r="I10" s="87" t="n">
        <v>3.6678</v>
      </c>
      <c r="J10" s="2" t="n">
        <v>9.417199999999999</v>
      </c>
      <c r="K10" s="10" t="n">
        <v>6.7411</v>
      </c>
      <c r="L10" s="10" t="n">
        <v>6.8327</v>
      </c>
      <c r="M10" s="10" t="n">
        <v>6.0924</v>
      </c>
      <c r="N10" s="750" t="n"/>
    </row>
    <row r="11" ht="24" customFormat="1" customHeight="1" s="886">
      <c r="A11" s="856" t="inlineStr">
        <is>
          <t>영업기간
공사업등록일</t>
        </is>
      </c>
      <c r="B11" s="10" t="inlineStr">
        <is>
          <t>2000.07.21</t>
        </is>
      </c>
      <c r="C11" s="2" t="inlineStr">
        <is>
          <t>3년미만%</t>
        </is>
      </c>
      <c r="D11" s="2" t="inlineStr">
        <is>
          <t>3년이상%</t>
        </is>
      </c>
      <c r="E11" s="10" t="inlineStr">
        <is>
          <t>5년이상%</t>
        </is>
      </c>
      <c r="F11" s="2" t="inlineStr">
        <is>
          <t>10년이상%</t>
        </is>
      </c>
      <c r="G11" s="10" t="n"/>
      <c r="H11" s="10" t="inlineStr">
        <is>
          <t>1994.05.02</t>
        </is>
      </c>
      <c r="I11" s="903" t="inlineStr">
        <is>
          <t>2010.02.25</t>
        </is>
      </c>
      <c r="J11" s="2" t="inlineStr">
        <is>
          <t>2012.06.25</t>
        </is>
      </c>
      <c r="K11" s="10" t="inlineStr">
        <is>
          <t>1994.03.08</t>
        </is>
      </c>
      <c r="L11" s="10" t="inlineStr">
        <is>
          <t>2000.08.07</t>
        </is>
      </c>
      <c r="M11" s="10" t="inlineStr">
        <is>
          <t>2008.08.07</t>
        </is>
      </c>
    </row>
    <row r="12" ht="22.5" customFormat="1" customHeight="1" s="23">
      <c r="A12" s="68" t="inlineStr">
        <is>
          <t>신용평가</t>
        </is>
      </c>
      <c r="B12" s="396" t="inlineStr">
        <is>
          <t>BBB-
(25.07.01~26.06.30)</t>
        </is>
      </c>
      <c r="C12" s="12" t="n"/>
      <c r="D12" s="12" t="n"/>
      <c r="E12" s="803" t="n"/>
      <c r="F12" s="12" t="n"/>
      <c r="G12" s="120" t="n"/>
      <c r="H12" s="153" t="inlineStr">
        <is>
          <t>A-
(23.07.13~24.07.12)</t>
        </is>
      </c>
      <c r="I12" s="121" t="n"/>
      <c r="J12" s="122" t="n"/>
      <c r="K12" s="12" t="n"/>
      <c r="L12" s="803" t="n"/>
      <c r="M12" s="396" t="inlineStr">
        <is>
          <t>BBB-
(25.05.02~26.05.01)</t>
        </is>
      </c>
    </row>
    <row r="13" customFormat="1" s="23">
      <c r="A13" s="68" t="inlineStr">
        <is>
          <t>여성기업</t>
        </is>
      </c>
      <c r="B13" s="12" t="n"/>
      <c r="C13" s="12" t="n"/>
      <c r="D13" s="12" t="n"/>
      <c r="E13" s="803" t="n"/>
      <c r="F13" s="12" t="n"/>
      <c r="G13" s="120" t="n"/>
      <c r="H13" s="12" t="n"/>
      <c r="I13" s="121" t="n"/>
      <c r="J13" s="122" t="n"/>
      <c r="K13" s="12" t="n"/>
      <c r="L13" s="803" t="n"/>
      <c r="M13" s="12" t="n"/>
    </row>
    <row r="14" customFormat="1" s="23">
      <c r="A14" s="68" t="inlineStr">
        <is>
          <t>중소기업</t>
        </is>
      </c>
      <c r="B14" s="12" t="n"/>
      <c r="C14" s="12" t="n"/>
      <c r="D14" s="12" t="n"/>
      <c r="E14" s="803" t="n"/>
      <c r="F14" s="12" t="n"/>
      <c r="G14" s="120" t="n"/>
      <c r="H14" s="12" t="n"/>
      <c r="I14" s="121" t="n"/>
      <c r="J14" s="122" t="n"/>
      <c r="K14" s="12" t="n"/>
      <c r="L14" s="803" t="n"/>
      <c r="M14" s="12" t="n"/>
    </row>
    <row r="15" customFormat="1" s="23">
      <c r="A15" s="71" t="inlineStr">
        <is>
          <t>일자리창출실적</t>
        </is>
      </c>
      <c r="B15" s="12" t="n"/>
      <c r="C15" s="12" t="n"/>
      <c r="D15" s="12" t="n"/>
      <c r="E15" s="803" t="n"/>
      <c r="F15" s="12" t="n"/>
      <c r="G15" s="120" t="n"/>
      <c r="H15" s="12" t="n"/>
      <c r="I15" s="121" t="n"/>
      <c r="J15" s="122" t="n"/>
      <c r="K15" s="12" t="n"/>
      <c r="L15" s="803" t="n"/>
      <c r="M15" s="12" t="n"/>
    </row>
    <row r="16" customFormat="1" s="23">
      <c r="A16" s="71" t="inlineStr">
        <is>
          <t>시공품질평가</t>
        </is>
      </c>
      <c r="B16" s="12" t="n"/>
      <c r="C16" s="12" t="n"/>
      <c r="D16" s="12" t="n"/>
      <c r="E16" s="803" t="n"/>
      <c r="F16" s="12" t="n"/>
      <c r="G16" s="120" t="n"/>
      <c r="H16" s="795" t="inlineStr">
        <is>
          <t>없음 (24.05.01)</t>
        </is>
      </c>
      <c r="I16" s="121" t="n"/>
      <c r="J16" s="122" t="n"/>
      <c r="K16" s="12" t="n"/>
      <c r="L16" s="803" t="n"/>
      <c r="M16" s="12" t="n"/>
    </row>
    <row r="17" customFormat="1" s="23">
      <c r="A17" s="68" t="inlineStr">
        <is>
          <t>비  고</t>
        </is>
      </c>
      <c r="B17" s="9" t="inlineStr">
        <is>
          <t>송종윤</t>
        </is>
      </c>
      <c r="C17" s="1" t="inlineStr">
        <is>
          <t>송종윤</t>
        </is>
      </c>
      <c r="D17" s="1" t="inlineStr">
        <is>
          <t>송종윤</t>
        </is>
      </c>
      <c r="E17" s="9" t="inlineStr">
        <is>
          <t>윤한봉</t>
        </is>
      </c>
      <c r="F17" s="1" t="inlineStr">
        <is>
          <t>송종윤</t>
        </is>
      </c>
      <c r="G17" s="1" t="inlineStr">
        <is>
          <t>윤명숙</t>
        </is>
      </c>
      <c r="H17" s="9" t="inlineStr">
        <is>
          <t>구본진</t>
        </is>
      </c>
      <c r="I17" s="121" t="n"/>
      <c r="J17" s="9" t="n"/>
      <c r="K17" s="752" t="inlineStr">
        <is>
          <t>윤한봉</t>
        </is>
      </c>
      <c r="L17" s="9" t="n"/>
      <c r="M17" s="9" t="inlineStr">
        <is>
          <t>윤한봉</t>
        </is>
      </c>
    </row>
    <row r="18" ht="26.1" customHeight="1" s="16">
      <c r="A18" s="455" t="inlineStr">
        <is>
          <t>회사명</t>
        </is>
      </c>
      <c r="B18" s="455" t="inlineStr">
        <is>
          <t>㈜명천전기통신</t>
        </is>
      </c>
      <c r="C18" s="455" t="inlineStr">
        <is>
          <t>㈜보금</t>
        </is>
      </c>
      <c r="D18" s="455" t="inlineStr">
        <is>
          <t>㈜만성전기공사</t>
        </is>
      </c>
      <c r="E18" s="455" t="inlineStr">
        <is>
          <t>㈜경봉</t>
        </is>
      </c>
      <c r="F18" s="455" t="inlineStr">
        <is>
          <t>청방네트웍스㈜</t>
        </is>
      </c>
      <c r="G18" s="455" t="inlineStr">
        <is>
          <t>태임전설㈜</t>
        </is>
      </c>
      <c r="H18" s="455" t="inlineStr">
        <is>
          <t>㈜렉터슨</t>
        </is>
      </c>
      <c r="I18" s="455" t="inlineStr">
        <is>
          <t>㈜광진티앤씨</t>
        </is>
      </c>
      <c r="J18" s="455" t="inlineStr">
        <is>
          <t>㈜한미르정보통신</t>
        </is>
      </c>
      <c r="K18" s="455" t="n"/>
      <c r="L18" s="455" t="n"/>
      <c r="M18" s="455" t="n"/>
    </row>
    <row r="19" ht="14.25" customHeight="1" s="16">
      <c r="A19" s="68" t="inlineStr">
        <is>
          <t>대표자</t>
        </is>
      </c>
      <c r="B19" s="752" t="inlineStr">
        <is>
          <t>정복순</t>
        </is>
      </c>
      <c r="C19" s="752" t="inlineStr">
        <is>
          <t>박규비</t>
        </is>
      </c>
      <c r="D19" s="752" t="inlineStr">
        <is>
          <t>김자령</t>
        </is>
      </c>
      <c r="E19" s="9" t="inlineStr">
        <is>
          <t>김익기</t>
        </is>
      </c>
      <c r="F19" s="752" t="inlineStr">
        <is>
          <t>안재홍</t>
        </is>
      </c>
      <c r="G19" s="202" t="inlineStr">
        <is>
          <t>이기숙</t>
        </is>
      </c>
      <c r="H19" s="259" t="inlineStr">
        <is>
          <t>김동률</t>
        </is>
      </c>
      <c r="I19" s="123" t="inlineStr">
        <is>
          <t>공호영</t>
        </is>
      </c>
      <c r="J19" s="400" t="inlineStr">
        <is>
          <t>한태환</t>
        </is>
      </c>
      <c r="K19" s="777" t="inlineStr">
        <is>
          <t>`</t>
        </is>
      </c>
      <c r="L19" s="9" t="n"/>
      <c r="M19" s="752" t="n"/>
    </row>
    <row r="20">
      <c r="A20" s="68" t="inlineStr">
        <is>
          <t>사업자번호</t>
        </is>
      </c>
      <c r="B20" s="54" t="inlineStr">
        <is>
          <t>283-81-00472</t>
        </is>
      </c>
      <c r="C20" s="54" t="inlineStr">
        <is>
          <t>608-81-81112</t>
        </is>
      </c>
      <c r="D20" s="54" t="inlineStr">
        <is>
          <t>612-81-29250</t>
        </is>
      </c>
      <c r="E20" s="9" t="inlineStr">
        <is>
          <t>613-81-64018</t>
        </is>
      </c>
      <c r="F20" s="54" t="inlineStr">
        <is>
          <t>608-81-55031</t>
        </is>
      </c>
      <c r="G20" s="203" t="inlineStr">
        <is>
          <t>517-81-00415</t>
        </is>
      </c>
      <c r="H20" s="260" t="inlineStr">
        <is>
          <t>220-81-92122</t>
        </is>
      </c>
      <c r="I20" s="124" t="inlineStr">
        <is>
          <t>621-81-81963</t>
        </is>
      </c>
      <c r="J20" s="401" t="inlineStr">
        <is>
          <t>802-81-00443</t>
        </is>
      </c>
      <c r="K20" s="54" t="n"/>
      <c r="L20" s="9" t="n"/>
      <c r="M20" s="54" t="n"/>
    </row>
    <row r="21">
      <c r="A21" s="68" t="inlineStr">
        <is>
          <t>지역</t>
        </is>
      </c>
      <c r="B21" s="54" t="inlineStr">
        <is>
          <t>경남 사천시</t>
        </is>
      </c>
      <c r="C21" s="54" t="inlineStr">
        <is>
          <t>경남 창녕군</t>
        </is>
      </c>
      <c r="D21" s="54" t="inlineStr">
        <is>
          <t>경남 고성군</t>
        </is>
      </c>
      <c r="E21" s="9" t="inlineStr">
        <is>
          <t>경남 진주시</t>
        </is>
      </c>
      <c r="F21" s="54" t="inlineStr">
        <is>
          <t>경남 창원시</t>
        </is>
      </c>
      <c r="G21" s="202" t="inlineStr">
        <is>
          <t>경남 김해시</t>
        </is>
      </c>
      <c r="H21" s="259" t="inlineStr">
        <is>
          <t>경남 창원시</t>
        </is>
      </c>
      <c r="I21" s="123" t="inlineStr">
        <is>
          <t>경남 고성군</t>
        </is>
      </c>
      <c r="J21" s="400" t="inlineStr">
        <is>
          <t>경남 양산시</t>
        </is>
      </c>
      <c r="K21" s="54" t="n"/>
      <c r="L21" s="9" t="n"/>
      <c r="M21" s="54" t="n"/>
    </row>
    <row r="22">
      <c r="A22" s="68" t="inlineStr">
        <is>
          <t>통신시공능력</t>
        </is>
      </c>
      <c r="B22" s="777" t="n">
        <v>2477100000</v>
      </c>
      <c r="C22" s="777" t="n">
        <v>2765200000</v>
      </c>
      <c r="D22" s="777" t="n">
        <v>1468700000</v>
      </c>
      <c r="E22" s="815" t="n">
        <v>4964500000</v>
      </c>
      <c r="F22" s="752" t="n">
        <v>6003600000</v>
      </c>
      <c r="G22" s="904" t="n">
        <v>1108900000</v>
      </c>
      <c r="H22" s="905" t="n">
        <v>734500000</v>
      </c>
      <c r="I22" s="906" t="n">
        <v>8056500000</v>
      </c>
      <c r="J22" s="907" t="n">
        <v>4086100000</v>
      </c>
      <c r="K22" s="752" t="n"/>
      <c r="L22" s="756" t="n"/>
      <c r="M22" s="752" t="n"/>
    </row>
    <row r="23">
      <c r="A23" s="68" t="inlineStr">
        <is>
          <t>3년간 실적액</t>
        </is>
      </c>
      <c r="B23" s="752" t="n">
        <v>1304432000</v>
      </c>
      <c r="C23" s="752" t="n">
        <v>2129591000</v>
      </c>
      <c r="D23" s="752" t="n">
        <v>633235000</v>
      </c>
      <c r="E23" s="756" t="n">
        <v>3483543000</v>
      </c>
      <c r="F23" s="752" t="n">
        <v>6011367000</v>
      </c>
      <c r="G23" s="904" t="n">
        <v>401461000</v>
      </c>
      <c r="H23" s="905" t="n">
        <v>354401000</v>
      </c>
      <c r="I23" s="906" t="n">
        <v>8795752000</v>
      </c>
      <c r="J23" s="907" t="n">
        <v>3163207000</v>
      </c>
      <c r="K23" s="752" t="n"/>
      <c r="L23" s="756" t="n"/>
      <c r="M23" s="752" t="n"/>
    </row>
    <row r="24">
      <c r="A24" s="68" t="inlineStr">
        <is>
          <t>5년간 실적액</t>
        </is>
      </c>
      <c r="B24" s="752" t="n">
        <v>2498057000</v>
      </c>
      <c r="C24" s="752" t="n">
        <v>3549177000</v>
      </c>
      <c r="D24" s="752" t="n">
        <v>988230000</v>
      </c>
      <c r="E24" s="806" t="n">
        <v>6549363000</v>
      </c>
      <c r="F24" s="752" t="n">
        <v>10616506000</v>
      </c>
      <c r="G24" s="908" t="n">
        <v>401461000</v>
      </c>
      <c r="H24" s="909" t="n">
        <v>373893000</v>
      </c>
      <c r="I24" s="906" t="n">
        <v>14353858000</v>
      </c>
      <c r="J24" s="907" t="n">
        <v>3679536000</v>
      </c>
      <c r="K24" s="752" t="n"/>
      <c r="L24" s="806" t="n"/>
      <c r="M24" s="752" t="n"/>
    </row>
    <row r="25">
      <c r="A25" s="855" t="inlineStr">
        <is>
          <t>부채비율</t>
        </is>
      </c>
      <c r="B25" s="10" t="n">
        <v>0.5833</v>
      </c>
      <c r="C25" s="10" t="n">
        <v>0.0465</v>
      </c>
      <c r="D25" s="10" t="n">
        <v>0.1113</v>
      </c>
      <c r="E25" s="10" t="n">
        <v>0.1282</v>
      </c>
      <c r="F25" s="48" t="n">
        <v>0.7931</v>
      </c>
      <c r="G25" s="204" t="n">
        <v>0.4951</v>
      </c>
      <c r="H25" s="261" t="n">
        <v>0.945</v>
      </c>
      <c r="I25" s="125" t="n">
        <v>1.2768</v>
      </c>
      <c r="J25" s="402" t="n">
        <v>0.9492</v>
      </c>
      <c r="K25" s="10" t="n"/>
      <c r="L25" s="10" t="n"/>
      <c r="M25" s="10" t="n"/>
    </row>
    <row r="26">
      <c r="A26" s="855" t="inlineStr">
        <is>
          <t>유동비율</t>
        </is>
      </c>
      <c r="B26" s="10" t="n">
        <v>38.3839</v>
      </c>
      <c r="C26" s="10" t="n">
        <v>20.8479</v>
      </c>
      <c r="D26" s="10" t="n">
        <v>13.8148</v>
      </c>
      <c r="E26" s="10" t="n">
        <v>11.8294</v>
      </c>
      <c r="F26" s="10" t="n">
        <v>54.3228</v>
      </c>
      <c r="G26" s="204" t="n">
        <v>2.6176</v>
      </c>
      <c r="H26" s="261" t="n">
        <v>1.1336</v>
      </c>
      <c r="I26" s="125" t="n">
        <v>1.4046</v>
      </c>
      <c r="J26" s="402" t="n">
        <v>1.9569</v>
      </c>
      <c r="K26" s="10" t="n"/>
      <c r="L26" s="10" t="n"/>
      <c r="M26" s="10" t="n"/>
    </row>
    <row r="27" ht="24" customHeight="1" s="16">
      <c r="A27" s="856" t="inlineStr">
        <is>
          <t>영업기간
공사업등록일</t>
        </is>
      </c>
      <c r="B27" s="10" t="inlineStr">
        <is>
          <t>2007.11.20</t>
        </is>
      </c>
      <c r="C27" s="10" t="inlineStr">
        <is>
          <t>2010.05.20</t>
        </is>
      </c>
      <c r="D27" s="10" t="inlineStr">
        <is>
          <t>2019.03.12</t>
        </is>
      </c>
      <c r="E27" s="10" t="inlineStr">
        <is>
          <t>2012.04.06</t>
        </is>
      </c>
      <c r="F27" s="10" t="inlineStr">
        <is>
          <t>2004.04.14</t>
        </is>
      </c>
      <c r="G27" s="205" t="inlineStr">
        <is>
          <t>2022.08.16</t>
        </is>
      </c>
      <c r="H27" s="262" t="inlineStr">
        <is>
          <t>2021.04.13</t>
        </is>
      </c>
      <c r="I27" s="910" t="inlineStr">
        <is>
          <t>1994.04.09</t>
        </is>
      </c>
      <c r="J27" s="911" t="inlineStr">
        <is>
          <t>2016.08.09</t>
        </is>
      </c>
      <c r="K27" s="10" t="n"/>
      <c r="L27" s="10" t="n"/>
      <c r="M27" s="10" t="n"/>
    </row>
    <row r="28" ht="22.5" customHeight="1" s="16">
      <c r="A28" s="68" t="inlineStr">
        <is>
          <t>신용평가</t>
        </is>
      </c>
      <c r="B28" s="12" t="n"/>
      <c r="C28" s="12" t="n"/>
      <c r="D28" s="396" t="inlineStr">
        <is>
          <t>BB0
(25.05.08~26.05.07)</t>
        </is>
      </c>
      <c r="E28" s="803" t="n"/>
      <c r="F28" s="12" t="n"/>
      <c r="G28" s="152" t="inlineStr">
        <is>
          <t>BB+
(25.05.23~26.05.22)</t>
        </is>
      </c>
      <c r="H28" s="152" t="inlineStr">
        <is>
          <t>BB0
(25.04.29~26.04.28)</t>
        </is>
      </c>
      <c r="I28" s="152" t="inlineStr">
        <is>
          <t>BB0
(25.04.14~26.04.16)</t>
        </is>
      </c>
      <c r="J28" s="7" t="n"/>
      <c r="K28" s="12" t="n"/>
      <c r="L28" s="803" t="n"/>
      <c r="M28" s="12" t="n"/>
    </row>
    <row r="29">
      <c r="A29" s="68" t="inlineStr">
        <is>
          <t>여성기업</t>
        </is>
      </c>
      <c r="B29" s="12" t="n"/>
      <c r="C29" s="103" t="inlineStr">
        <is>
          <t>22.11.01 ~ 25.10.31</t>
        </is>
      </c>
      <c r="D29" s="12" t="n"/>
      <c r="E29" s="803" t="n"/>
      <c r="F29" s="12" t="n"/>
      <c r="G29" s="206" t="inlineStr">
        <is>
          <t>25.08.11~28.08.10</t>
        </is>
      </c>
      <c r="H29" s="263" t="n"/>
      <c r="I29" s="121" t="n"/>
      <c r="J29" s="400" t="n"/>
      <c r="K29" s="12" t="n"/>
      <c r="L29" s="803" t="n"/>
      <c r="M29" s="12" t="n"/>
    </row>
    <row r="30">
      <c r="A30" s="68" t="inlineStr">
        <is>
          <t>중소기업</t>
        </is>
      </c>
      <c r="B30" s="12" t="n"/>
      <c r="C30" s="12" t="n"/>
      <c r="D30" s="12" t="n"/>
      <c r="E30" s="803" t="n"/>
      <c r="F30" s="12" t="n"/>
      <c r="G30" s="206" t="n"/>
      <c r="H30" s="263" t="n"/>
      <c r="I30" s="121" t="n"/>
      <c r="J30" s="400" t="n"/>
      <c r="K30" s="12" t="n"/>
      <c r="L30" s="803" t="n"/>
      <c r="M30" s="12" t="n"/>
    </row>
    <row r="31">
      <c r="A31" s="71" t="inlineStr">
        <is>
          <t>일자리창출실적</t>
        </is>
      </c>
      <c r="B31" s="12" t="n"/>
      <c r="C31" s="12" t="n"/>
      <c r="D31" s="12" t="n"/>
      <c r="E31" s="803" t="n"/>
      <c r="F31" s="12" t="n"/>
      <c r="G31" s="206" t="n"/>
      <c r="H31" s="263" t="n"/>
      <c r="I31" s="121" t="n"/>
      <c r="J31" s="400" t="n"/>
      <c r="K31" s="12" t="n"/>
      <c r="L31" s="803" t="n"/>
      <c r="M31" s="12" t="n"/>
    </row>
    <row r="32">
      <c r="A32" s="71" t="inlineStr">
        <is>
          <t>시공품질평가</t>
        </is>
      </c>
      <c r="B32" s="12" t="n"/>
      <c r="C32" s="12" t="n"/>
      <c r="D32" s="12" t="n"/>
      <c r="E32" s="803" t="n"/>
      <c r="F32" s="12" t="n"/>
      <c r="G32" s="206" t="n"/>
      <c r="H32" s="264" t="inlineStr">
        <is>
          <t>없음 (24.05.01)</t>
        </is>
      </c>
      <c r="I32" s="121" t="n"/>
      <c r="J32" s="400" t="n"/>
      <c r="K32" s="12" t="n"/>
      <c r="L32" s="803" t="n"/>
      <c r="M32" s="12" t="n"/>
    </row>
    <row r="33" ht="22.5" customHeight="1" s="16">
      <c r="A33" s="68" t="inlineStr">
        <is>
          <t>비  고</t>
        </is>
      </c>
      <c r="B33" s="9" t="inlineStr">
        <is>
          <t>윤한봉</t>
        </is>
      </c>
      <c r="C33" s="9" t="inlineStr">
        <is>
          <t>서권형</t>
        </is>
      </c>
      <c r="D33" s="9" t="inlineStr">
        <is>
          <t>서권형</t>
        </is>
      </c>
      <c r="E33" s="9" t="inlineStr">
        <is>
          <t>구본진</t>
        </is>
      </c>
      <c r="F33" s="9" t="n"/>
      <c r="G33" s="201" t="inlineStr">
        <is>
          <t>태임 박혜경 대리
010 7682 7777</t>
        </is>
      </c>
      <c r="H33" s="259" t="n"/>
      <c r="I33" s="121" t="n"/>
      <c r="J33" s="400" t="n"/>
      <c r="K33" s="752" t="n"/>
      <c r="L33" s="9" t="n"/>
      <c r="M33" s="9" t="n"/>
    </row>
    <row r="34">
      <c r="J34" s="9" t="n"/>
    </row>
  </sheetData>
  <mergeCells count="1">
    <mergeCell ref="A1:M1"/>
  </mergeCells>
  <printOptions horizontalCentered="1"/>
  <pageMargins left="0.03937007874015748" right="0.03937007874015748" top="0.1968503937007874" bottom="0.1968503937007874" header="0" footer="0"/>
  <pageSetup orientation="landscape" paperSize="9" scale="55"/>
</worksheet>
</file>

<file path=xl/worksheets/sheet10.xml><?xml version="1.0" encoding="utf-8"?>
<worksheet xmlns="http://schemas.openxmlformats.org/spreadsheetml/2006/main">
  <sheetPr codeName="Sheet10">
    <outlinePr summaryBelow="1" summaryRight="1"/>
    <pageSetUpPr/>
  </sheetPr>
  <dimension ref="A1:N65"/>
  <sheetViews>
    <sheetView zoomScaleNormal="100" workbookViewId="0">
      <pane ySplit="1" topLeftCell="A32" activePane="bottomLeft" state="frozen"/>
      <selection pane="bottomLeft" activeCell="A50" sqref="A50:M50"/>
    </sheetView>
  </sheetViews>
  <sheetFormatPr baseColWidth="8" defaultRowHeight="13.5"/>
  <cols>
    <col width="10.77734375" bestFit="1" customWidth="1" style="8" min="1" max="1"/>
    <col width="15.77734375" customWidth="1" style="8" min="2" max="12"/>
    <col width="16.77734375" customWidth="1" style="8" min="13" max="13"/>
    <col width="8.88671875" customWidth="1" style="8" min="14" max="55"/>
    <col width="8.88671875" customWidth="1" style="8" min="56" max="16384"/>
  </cols>
  <sheetData>
    <row r="1" ht="25.5" customHeight="1" s="16">
      <c r="A1" s="866" t="inlineStr">
        <is>
          <t>통 신 ( 경 북 )</t>
        </is>
      </c>
      <c r="B1" s="704" t="n"/>
      <c r="C1" s="704" t="n"/>
      <c r="D1" s="704" t="n"/>
      <c r="E1" s="704" t="n"/>
      <c r="F1" s="704" t="n"/>
      <c r="G1" s="704" t="n"/>
      <c r="H1" s="704" t="n"/>
      <c r="I1" s="704" t="n"/>
      <c r="J1" s="704" t="n"/>
      <c r="K1" s="704" t="n"/>
      <c r="L1" s="704" t="n"/>
      <c r="M1" s="705" t="n"/>
    </row>
    <row r="2" ht="26.1" customFormat="1" customHeight="1" s="13">
      <c r="A2" s="455" t="inlineStr">
        <is>
          <t>회사명</t>
        </is>
      </c>
      <c r="B2" s="455" t="inlineStr">
        <is>
          <t>광명이엔씨㈜</t>
        </is>
      </c>
      <c r="C2" s="455" t="inlineStr">
        <is>
          <t>경일전력㈜</t>
        </is>
      </c>
      <c r="D2" s="455" t="inlineStr">
        <is>
          <t>㈜길호</t>
        </is>
      </c>
      <c r="E2" s="455" t="inlineStr">
        <is>
          <t>경일엔지니어링㈜</t>
        </is>
      </c>
      <c r="F2" s="455" t="inlineStr">
        <is>
          <t>다온이엔씨㈜</t>
        </is>
      </c>
      <c r="G2" s="455" t="inlineStr">
        <is>
          <t>동우정보통신</t>
        </is>
      </c>
      <c r="H2" s="455" t="inlineStr">
        <is>
          <t>로얄무선통신</t>
        </is>
      </c>
      <c r="I2" s="455" t="inlineStr">
        <is>
          <t>㈜삼영전업사</t>
        </is>
      </c>
      <c r="J2" s="455" t="inlineStr">
        <is>
          <t>㈜이현정보통신</t>
        </is>
      </c>
      <c r="K2" s="455" t="inlineStr">
        <is>
          <t>우성통신</t>
        </is>
      </c>
      <c r="L2" s="455" t="inlineStr">
        <is>
          <t>야베스정보통신㈜</t>
        </is>
      </c>
      <c r="M2" s="455" t="inlineStr">
        <is>
          <t>㈜이코우</t>
        </is>
      </c>
    </row>
    <row r="3" customFormat="1" s="329">
      <c r="A3" s="71" t="inlineStr">
        <is>
          <t>대표자</t>
        </is>
      </c>
      <c r="B3" s="732" t="inlineStr">
        <is>
          <t>김형근</t>
        </is>
      </c>
      <c r="C3" s="752" t="inlineStr">
        <is>
          <t>박한선</t>
        </is>
      </c>
      <c r="D3" s="732" t="inlineStr">
        <is>
          <t>김기태</t>
        </is>
      </c>
      <c r="E3" s="732" t="inlineStr">
        <is>
          <t>이우규</t>
        </is>
      </c>
      <c r="F3" s="732" t="inlineStr">
        <is>
          <t>이숙희</t>
        </is>
      </c>
      <c r="G3" s="752" t="inlineStr">
        <is>
          <t>최옥순</t>
        </is>
      </c>
      <c r="H3" s="752" t="inlineStr">
        <is>
          <t>한상조</t>
        </is>
      </c>
      <c r="I3" s="777" t="inlineStr">
        <is>
          <t>권준찬</t>
        </is>
      </c>
      <c r="J3" s="752" t="inlineStr">
        <is>
          <t>황보현철</t>
        </is>
      </c>
      <c r="K3" s="732" t="inlineStr">
        <is>
          <t>고임종</t>
        </is>
      </c>
      <c r="L3" s="752" t="inlineStr">
        <is>
          <t>박영희</t>
        </is>
      </c>
      <c r="M3" s="752" t="inlineStr">
        <is>
          <t>김경규</t>
        </is>
      </c>
    </row>
    <row r="4" ht="11.25" customFormat="1" customHeight="1" s="14">
      <c r="A4" s="74" t="inlineStr">
        <is>
          <t>사업자번호</t>
        </is>
      </c>
      <c r="B4" s="4" t="inlineStr">
        <is>
          <t>513-81-39015</t>
        </is>
      </c>
      <c r="C4" s="54" t="inlineStr">
        <is>
          <t>506-81-34574</t>
        </is>
      </c>
      <c r="D4" s="4" t="inlineStr">
        <is>
          <t>514-88-01511</t>
        </is>
      </c>
      <c r="E4" s="4" t="inlineStr">
        <is>
          <t>506-81-17920</t>
        </is>
      </c>
      <c r="F4" s="4" t="inlineStr">
        <is>
          <t>615-81-11439</t>
        </is>
      </c>
      <c r="G4" s="54" t="inlineStr">
        <is>
          <t>502-18-73057</t>
        </is>
      </c>
      <c r="H4" s="54" t="inlineStr">
        <is>
          <t>513-01-74892</t>
        </is>
      </c>
      <c r="I4" s="106" t="inlineStr">
        <is>
          <t>508-81-01201</t>
        </is>
      </c>
      <c r="J4" s="54" t="inlineStr">
        <is>
          <t>517-86-00462</t>
        </is>
      </c>
      <c r="K4" s="4" t="inlineStr">
        <is>
          <t xml:space="preserve">505-03-71807 </t>
        </is>
      </c>
      <c r="L4" s="54" t="inlineStr">
        <is>
          <t>515-81-23203</t>
        </is>
      </c>
      <c r="M4" s="54" t="inlineStr">
        <is>
          <t>503-81-34949</t>
        </is>
      </c>
    </row>
    <row r="5" ht="11.25" customFormat="1" customHeight="1" s="14">
      <c r="A5" s="74" t="inlineStr">
        <is>
          <t>지역</t>
        </is>
      </c>
      <c r="B5" s="732" t="inlineStr">
        <is>
          <t>경북 구미시</t>
        </is>
      </c>
      <c r="C5" s="752" t="inlineStr">
        <is>
          <t>경북 포항시</t>
        </is>
      </c>
      <c r="D5" s="732" t="inlineStr">
        <is>
          <t>경북 안동시</t>
        </is>
      </c>
      <c r="E5" s="732" t="inlineStr">
        <is>
          <t>경북 포항시</t>
        </is>
      </c>
      <c r="F5" s="1" t="inlineStr">
        <is>
          <t>경북 청송군</t>
        </is>
      </c>
      <c r="G5" s="752" t="inlineStr">
        <is>
          <t>경북 영덕군</t>
        </is>
      </c>
      <c r="H5" s="752" t="inlineStr">
        <is>
          <t>경북 구미</t>
        </is>
      </c>
      <c r="I5" s="777" t="inlineStr">
        <is>
          <t>경북 안동시</t>
        </is>
      </c>
      <c r="J5" s="752" t="inlineStr">
        <is>
          <t>경북 포항시</t>
        </is>
      </c>
      <c r="K5" s="732" t="inlineStr">
        <is>
          <t>경북 경주시</t>
        </is>
      </c>
      <c r="L5" s="752" t="inlineStr">
        <is>
          <t>경북 경산시</t>
        </is>
      </c>
      <c r="M5" s="752" t="inlineStr">
        <is>
          <t>경북 성주</t>
        </is>
      </c>
    </row>
    <row r="6" customFormat="1" s="329">
      <c r="A6" s="71" t="inlineStr">
        <is>
          <t>통신시공능력</t>
        </is>
      </c>
      <c r="B6" s="732" t="n">
        <v>2478200000</v>
      </c>
      <c r="C6" s="752" t="n">
        <v>2888100000</v>
      </c>
      <c r="D6" s="777" t="n">
        <v>864500000</v>
      </c>
      <c r="E6" s="777" t="n">
        <v>585500000</v>
      </c>
      <c r="F6" s="83" t="n">
        <v>1128400000</v>
      </c>
      <c r="G6" s="777" t="n">
        <v>2698300000</v>
      </c>
      <c r="H6" s="752" t="n">
        <v>1496000000</v>
      </c>
      <c r="I6" s="777" t="n">
        <v>865300000</v>
      </c>
      <c r="J6" s="777" t="n">
        <v>3299000000</v>
      </c>
      <c r="K6" s="732" t="n">
        <v>1427500000</v>
      </c>
      <c r="L6" s="752" t="n">
        <v>10147700000</v>
      </c>
      <c r="M6" s="752" t="n">
        <v>5351300000</v>
      </c>
    </row>
    <row r="7" customFormat="1" s="329">
      <c r="A7" s="71" t="inlineStr">
        <is>
          <t>3년간 실적액</t>
        </is>
      </c>
      <c r="B7" s="732" t="n">
        <v>1170790000</v>
      </c>
      <c r="C7" s="752" t="n">
        <v>42005000</v>
      </c>
      <c r="D7" s="732" t="n">
        <v>414094000</v>
      </c>
      <c r="E7" s="732" t="n">
        <v>0</v>
      </c>
      <c r="F7" s="83" t="n">
        <v>973405000</v>
      </c>
      <c r="G7" s="752" t="n">
        <v>2140025000</v>
      </c>
      <c r="H7" s="752" t="n">
        <v>582782000</v>
      </c>
      <c r="I7" s="777" t="n">
        <v>535630000</v>
      </c>
      <c r="J7" s="752" t="n">
        <v>2803761000</v>
      </c>
      <c r="K7" s="732" t="n">
        <v>376855000</v>
      </c>
      <c r="L7" s="752" t="n">
        <v>11388552000</v>
      </c>
      <c r="M7" s="752" t="n">
        <v>4538937000</v>
      </c>
    </row>
    <row r="8" customFormat="1" s="329">
      <c r="A8" s="71" t="inlineStr">
        <is>
          <t>5년간 실적액</t>
        </is>
      </c>
      <c r="B8" s="732" t="n">
        <v>2818110000</v>
      </c>
      <c r="C8" s="752" t="n">
        <v>42005000</v>
      </c>
      <c r="D8" s="732" t="n">
        <v>771594000</v>
      </c>
      <c r="E8" s="732" t="n">
        <v>0</v>
      </c>
      <c r="F8" s="83" t="n">
        <v>1390423000</v>
      </c>
      <c r="G8" s="752" t="n">
        <v>3545808000</v>
      </c>
      <c r="H8" s="752" t="n">
        <v>582782000</v>
      </c>
      <c r="I8" s="777" t="n">
        <v>783256000</v>
      </c>
      <c r="J8" s="752" t="n">
        <v>3845807000</v>
      </c>
      <c r="K8" s="732" t="n">
        <v>3168911000</v>
      </c>
      <c r="L8" s="752" t="n">
        <v>19317849000</v>
      </c>
      <c r="M8" s="752" t="n">
        <v>5309459000</v>
      </c>
    </row>
    <row r="9" customFormat="1" s="790">
      <c r="A9" s="791" t="inlineStr">
        <is>
          <t>부채비율</t>
        </is>
      </c>
      <c r="B9" s="2" t="n">
        <v>0.2341</v>
      </c>
      <c r="C9" s="2" t="n">
        <v>0.07829999999999999</v>
      </c>
      <c r="D9" s="2" t="n">
        <v>0.2598</v>
      </c>
      <c r="E9" s="2" t="n">
        <v>0.4708</v>
      </c>
      <c r="F9" s="2" t="n">
        <v>0.1253</v>
      </c>
      <c r="G9" s="10" t="n">
        <v>0.1102</v>
      </c>
      <c r="H9" s="10" t="n">
        <v>0.0721</v>
      </c>
      <c r="I9" s="101" t="n">
        <v>0.0605</v>
      </c>
      <c r="J9" s="47" t="n">
        <v>0.5693</v>
      </c>
      <c r="K9" s="2" t="n">
        <v>0.5988</v>
      </c>
      <c r="L9" s="10" t="n">
        <v>0.4389</v>
      </c>
      <c r="M9" s="10" t="n">
        <v>0.1343</v>
      </c>
      <c r="N9" s="750" t="n"/>
    </row>
    <row r="10" customFormat="1" s="790">
      <c r="A10" s="791" t="inlineStr">
        <is>
          <t>유동비율</t>
        </is>
      </c>
      <c r="B10" s="2" t="n">
        <v>67.60469999999999</v>
      </c>
      <c r="C10" s="2" t="n">
        <v>8.921799999999999</v>
      </c>
      <c r="D10" s="2" t="n">
        <v>5.4023</v>
      </c>
      <c r="E10" s="2" t="n">
        <v>3.1481</v>
      </c>
      <c r="F10" s="2" t="n">
        <v>9.1341</v>
      </c>
      <c r="G10" s="10" t="n">
        <v>12.8054</v>
      </c>
      <c r="H10" s="10" t="n">
        <v>9.1995</v>
      </c>
      <c r="I10" s="101" t="n">
        <v>15.7995</v>
      </c>
      <c r="J10" s="47" t="n">
        <v>19.1789</v>
      </c>
      <c r="K10" s="2" t="n">
        <v>13.725</v>
      </c>
      <c r="L10" s="10" t="n">
        <v>3.9337</v>
      </c>
      <c r="M10" s="10" t="n">
        <v>6.7802</v>
      </c>
      <c r="N10" s="750" t="n"/>
    </row>
    <row r="11" ht="21" customFormat="1" customHeight="1" s="790">
      <c r="A11" s="792" t="inlineStr">
        <is>
          <t>영업기간
공사업등록일</t>
        </is>
      </c>
      <c r="B11" s="67" t="inlineStr">
        <is>
          <t>2001.08.17</t>
        </is>
      </c>
      <c r="C11" s="2" t="inlineStr">
        <is>
          <t>2015.11.20</t>
        </is>
      </c>
      <c r="D11" s="67" t="inlineStr">
        <is>
          <t>1983.03.18</t>
        </is>
      </c>
      <c r="E11" s="67" t="inlineStr">
        <is>
          <t>2021.02.01</t>
        </is>
      </c>
      <c r="F11" s="67" t="inlineStr">
        <is>
          <t>1997.11.27</t>
        </is>
      </c>
      <c r="G11" s="10" t="inlineStr">
        <is>
          <t>2005.11.30</t>
        </is>
      </c>
      <c r="H11" s="10" t="inlineStr">
        <is>
          <t>5년이상%</t>
        </is>
      </c>
      <c r="I11" s="101" t="inlineStr">
        <is>
          <t>2011.02.18</t>
        </is>
      </c>
      <c r="J11" s="11" t="inlineStr">
        <is>
          <t>2017.01.25</t>
        </is>
      </c>
      <c r="K11" s="2" t="inlineStr">
        <is>
          <t>1999.01.25</t>
        </is>
      </c>
      <c r="L11" s="10" t="inlineStr">
        <is>
          <t>1998.01.20</t>
        </is>
      </c>
      <c r="M11" s="10" t="inlineStr">
        <is>
          <t>2011.06.10</t>
        </is>
      </c>
    </row>
    <row r="12" ht="22.5" customFormat="1" customHeight="1" s="329">
      <c r="A12" s="71" t="inlineStr">
        <is>
          <t>신용평가</t>
        </is>
      </c>
      <c r="B12" s="736" t="n"/>
      <c r="C12" s="157" t="inlineStr">
        <is>
          <t>BBB-
(24.05.16~25.05.15)</t>
        </is>
      </c>
      <c r="D12" s="803" t="n"/>
      <c r="E12" s="803" t="n"/>
      <c r="F12" s="736" t="n"/>
      <c r="G12" s="803" t="n"/>
      <c r="H12" s="803" t="n"/>
      <c r="I12" s="157" t="inlineStr">
        <is>
          <t>BBB-
(24.04.30~25.04.29)</t>
        </is>
      </c>
      <c r="J12" s="55" t="n"/>
      <c r="K12" s="803" t="n"/>
      <c r="L12" s="736" t="n"/>
      <c r="M12" s="55" t="n"/>
    </row>
    <row r="13" customFormat="1" s="329">
      <c r="A13" s="71" t="inlineStr">
        <is>
          <t>여성기업</t>
        </is>
      </c>
      <c r="B13" s="736" t="n"/>
      <c r="C13" s="803" t="n"/>
      <c r="D13" s="803" t="n"/>
      <c r="E13" s="803" t="n"/>
      <c r="F13" s="736" t="n"/>
      <c r="G13" s="803" t="n"/>
      <c r="H13" s="803" t="n"/>
      <c r="I13" s="736" t="n"/>
      <c r="J13" s="55" t="n"/>
      <c r="K13" s="803" t="n"/>
      <c r="L13" s="803" t="n"/>
      <c r="M13" s="55" t="n"/>
    </row>
    <row r="14" customFormat="1" s="329">
      <c r="A14" s="71" t="inlineStr">
        <is>
          <t>중소기업</t>
        </is>
      </c>
      <c r="B14" s="736" t="n"/>
      <c r="C14" s="803" t="n"/>
      <c r="D14" s="803" t="n"/>
      <c r="E14" s="803" t="n"/>
      <c r="F14" s="736" t="n"/>
      <c r="G14" s="803" t="n"/>
      <c r="H14" s="803" t="n"/>
      <c r="I14" s="736" t="n"/>
      <c r="J14" s="55" t="n"/>
      <c r="K14" s="803" t="n"/>
      <c r="L14" s="803" t="n"/>
      <c r="M14" s="55" t="n"/>
    </row>
    <row r="15" customFormat="1" s="329">
      <c r="A15" s="71" t="inlineStr">
        <is>
          <t>일자리창출실적</t>
        </is>
      </c>
      <c r="B15" s="736" t="n"/>
      <c r="C15" s="803" t="n"/>
      <c r="D15" s="803" t="n"/>
      <c r="E15" s="803" t="n"/>
      <c r="F15" s="736" t="n"/>
      <c r="G15" s="803" t="n"/>
      <c r="H15" s="803" t="n"/>
      <c r="I15" s="736" t="n"/>
      <c r="J15" s="55" t="n"/>
      <c r="K15" s="803" t="n"/>
      <c r="L15" s="803" t="n"/>
      <c r="M15" s="55" t="n"/>
    </row>
    <row r="16" customFormat="1" s="329">
      <c r="A16" s="71" t="inlineStr">
        <is>
          <t>시공품질평가</t>
        </is>
      </c>
      <c r="B16" s="736" t="n"/>
      <c r="C16" s="126" t="inlineStr">
        <is>
          <t>없음 (24.05.01)</t>
        </is>
      </c>
      <c r="D16" s="803" t="n"/>
      <c r="E16" s="803" t="n"/>
      <c r="F16" s="736" t="n"/>
      <c r="G16" s="803" t="n"/>
      <c r="H16" s="803" t="n"/>
      <c r="I16" s="736" t="n"/>
      <c r="J16" s="55" t="n"/>
      <c r="K16" s="803" t="n"/>
      <c r="L16" s="803" t="n"/>
      <c r="M16" s="55" t="n"/>
    </row>
    <row r="17" ht="22.5" customFormat="1" customHeight="1" s="329">
      <c r="A17" s="71" t="inlineStr">
        <is>
          <t>비  고</t>
        </is>
      </c>
      <c r="B17" s="79" t="inlineStr">
        <is>
          <t>임태균</t>
        </is>
      </c>
      <c r="C17" s="57" t="inlineStr">
        <is>
          <t>이동훈
철도안전 전문인력 보유</t>
        </is>
      </c>
      <c r="D17" s="1" t="inlineStr">
        <is>
          <t>구본진</t>
        </is>
      </c>
      <c r="E17" s="9" t="n"/>
      <c r="F17" s="1" t="inlineStr">
        <is>
          <t>임태균</t>
        </is>
      </c>
      <c r="G17" s="57" t="inlineStr">
        <is>
          <t>김진일</t>
        </is>
      </c>
      <c r="H17" s="752" t="n"/>
      <c r="I17" s="100" t="inlineStr">
        <is>
          <t>김진일</t>
        </is>
      </c>
      <c r="J17" s="57" t="inlineStr">
        <is>
          <t>김대열</t>
        </is>
      </c>
      <c r="K17" s="1" t="inlineStr">
        <is>
          <t>서권형</t>
        </is>
      </c>
      <c r="L17" s="57" t="inlineStr">
        <is>
          <t>김용길
특2,고9</t>
        </is>
      </c>
      <c r="M17" s="9" t="n"/>
    </row>
    <row r="18" ht="26.1" customHeight="1" s="16">
      <c r="A18" s="455" t="inlineStr">
        <is>
          <t>회사명</t>
        </is>
      </c>
      <c r="B18" s="455" t="inlineStr">
        <is>
          <t>㈜지케이이</t>
        </is>
      </c>
      <c r="C18" s="455" t="inlineStr">
        <is>
          <t>㈜제닉인프라</t>
        </is>
      </c>
      <c r="D18" s="455" t="inlineStr">
        <is>
          <t>㈜정우비앤에스</t>
        </is>
      </c>
      <c r="E18" s="455" t="inlineStr">
        <is>
          <t>㈜팔공</t>
        </is>
      </c>
      <c r="F18" s="455" t="inlineStr">
        <is>
          <t>㈜포스코ICT</t>
        </is>
      </c>
      <c r="G18" s="455" t="inlineStr">
        <is>
          <t>한국개발㈜</t>
        </is>
      </c>
      <c r="H18" s="455" t="inlineStr">
        <is>
          <t>㈜한남전기통신공사</t>
        </is>
      </c>
      <c r="I18" s="455" t="inlineStr">
        <is>
          <t>한솔티엔씨㈜</t>
        </is>
      </c>
      <c r="J18" s="455" t="inlineStr">
        <is>
          <t>황제전기통신</t>
        </is>
      </c>
      <c r="K18" s="455" t="inlineStr">
        <is>
          <t>㈜영남전기공사</t>
        </is>
      </c>
      <c r="L18" s="455" t="inlineStr">
        <is>
          <t>㈜디엔알</t>
        </is>
      </c>
      <c r="M18" s="455" t="inlineStr">
        <is>
          <t>㈜대영정보통신</t>
        </is>
      </c>
    </row>
    <row r="19">
      <c r="A19" s="71" t="inlineStr">
        <is>
          <t>대표자</t>
        </is>
      </c>
      <c r="B19" s="777" t="inlineStr">
        <is>
          <t>이지규</t>
        </is>
      </c>
      <c r="C19" s="752" t="inlineStr">
        <is>
          <t>박정미</t>
        </is>
      </c>
      <c r="D19" s="732" t="inlineStr">
        <is>
          <t>최금순</t>
        </is>
      </c>
      <c r="E19" s="752" t="inlineStr">
        <is>
          <t>김연주</t>
        </is>
      </c>
      <c r="F19" s="752" t="inlineStr">
        <is>
          <t>최두환</t>
        </is>
      </c>
      <c r="G19" s="752" t="inlineStr">
        <is>
          <t>윤영호</t>
        </is>
      </c>
      <c r="H19" s="730" t="inlineStr">
        <is>
          <t>이승재</t>
        </is>
      </c>
      <c r="I19" s="732" t="inlineStr">
        <is>
          <t>도원준</t>
        </is>
      </c>
      <c r="J19" s="814" t="inlineStr">
        <is>
          <t>이상태</t>
        </is>
      </c>
      <c r="K19" s="1" t="inlineStr">
        <is>
          <t>김영주</t>
        </is>
      </c>
      <c r="L19" s="732" t="inlineStr">
        <is>
          <t>이경문</t>
        </is>
      </c>
      <c r="M19" s="732" t="inlineStr">
        <is>
          <t>표인숙</t>
        </is>
      </c>
    </row>
    <row r="20">
      <c r="A20" s="74" t="inlineStr">
        <is>
          <t>사업자번호</t>
        </is>
      </c>
      <c r="B20" s="106" t="inlineStr">
        <is>
          <t>515-81-29814</t>
        </is>
      </c>
      <c r="C20" s="54" t="inlineStr">
        <is>
          <t>127-86-09047</t>
        </is>
      </c>
      <c r="D20" s="4" t="inlineStr">
        <is>
          <t>508-81-20192</t>
        </is>
      </c>
      <c r="E20" s="54" t="inlineStr">
        <is>
          <t>556-87-02405</t>
        </is>
      </c>
      <c r="F20" s="54" t="inlineStr">
        <is>
          <t>219-81-00428</t>
        </is>
      </c>
      <c r="G20" s="54" t="inlineStr">
        <is>
          <t>515-81-00777</t>
        </is>
      </c>
      <c r="H20" s="4" t="inlineStr">
        <is>
          <t>502-86-16623</t>
        </is>
      </c>
      <c r="I20" s="4" t="inlineStr">
        <is>
          <t>613-81-17534</t>
        </is>
      </c>
      <c r="J20" s="226" t="inlineStr">
        <is>
          <t>505-11-66731</t>
        </is>
      </c>
      <c r="K20" s="1" t="inlineStr">
        <is>
          <t>503-81-95456</t>
        </is>
      </c>
      <c r="L20" s="4" t="inlineStr">
        <is>
          <t>513-81-37259</t>
        </is>
      </c>
      <c r="M20" s="4" t="inlineStr">
        <is>
          <t>105-86-19152</t>
        </is>
      </c>
    </row>
    <row r="21">
      <c r="A21" s="74" t="inlineStr">
        <is>
          <t>지역</t>
        </is>
      </c>
      <c r="B21" s="777" t="inlineStr">
        <is>
          <t>경북 경산시</t>
        </is>
      </c>
      <c r="C21" s="752" t="inlineStr">
        <is>
          <t>경북 울진군</t>
        </is>
      </c>
      <c r="D21" s="732" t="inlineStr">
        <is>
          <t>경북 안동시</t>
        </is>
      </c>
      <c r="E21" s="9" t="inlineStr">
        <is>
          <t>경북 영천시</t>
        </is>
      </c>
      <c r="F21" s="752" t="inlineStr">
        <is>
          <t>경북 포항</t>
        </is>
      </c>
      <c r="G21" s="752" t="inlineStr">
        <is>
          <t>경북 경산시</t>
        </is>
      </c>
      <c r="H21" s="732" t="inlineStr">
        <is>
          <t>경북 경산시</t>
        </is>
      </c>
      <c r="I21" s="732" t="inlineStr">
        <is>
          <t>경북 포항</t>
        </is>
      </c>
      <c r="J21" s="814" t="inlineStr">
        <is>
          <t>경북 경주</t>
        </is>
      </c>
      <c r="K21" s="1" t="inlineStr">
        <is>
          <t>경북 청송군</t>
        </is>
      </c>
      <c r="L21" s="732" t="inlineStr">
        <is>
          <t>경북 안동시</t>
        </is>
      </c>
      <c r="M21" s="732" t="inlineStr">
        <is>
          <t>경북 의성군</t>
        </is>
      </c>
    </row>
    <row r="22">
      <c r="A22" s="71" t="inlineStr">
        <is>
          <t>통신시공능력</t>
        </is>
      </c>
      <c r="B22" s="777" t="n">
        <v>968500000</v>
      </c>
      <c r="C22" s="752" t="n">
        <v>2436500000</v>
      </c>
      <c r="D22" s="732" t="n">
        <v>2872100000</v>
      </c>
      <c r="E22" s="777" t="n">
        <v>873100000</v>
      </c>
      <c r="F22" s="752" t="n">
        <v>22833800000</v>
      </c>
      <c r="G22" s="777" t="n">
        <v>1895300000</v>
      </c>
      <c r="H22" s="777" t="n">
        <v>713200000</v>
      </c>
      <c r="I22" s="732" t="n">
        <v>1186400000</v>
      </c>
      <c r="J22" s="912" t="n">
        <v>1974100000</v>
      </c>
      <c r="K22" s="777" t="n">
        <v>1078800000</v>
      </c>
      <c r="L22" s="732" t="n">
        <v>1817700000</v>
      </c>
      <c r="M22" s="732" t="n">
        <v>1151400000</v>
      </c>
    </row>
    <row r="23">
      <c r="A23" s="71" t="inlineStr">
        <is>
          <t>3년간 실적액</t>
        </is>
      </c>
      <c r="B23" s="777" t="n">
        <v>206026000</v>
      </c>
      <c r="C23" s="752" t="n">
        <v>2632787000</v>
      </c>
      <c r="D23" s="732" t="n">
        <v>3936477000</v>
      </c>
      <c r="E23" s="752" t="n">
        <v>350198000</v>
      </c>
      <c r="F23" s="752" t="n">
        <v>27871531000</v>
      </c>
      <c r="G23" s="752" t="n">
        <v>1963810000</v>
      </c>
      <c r="H23" s="732" t="n">
        <v>243192000</v>
      </c>
      <c r="I23" s="732" t="n">
        <v>1189081000</v>
      </c>
      <c r="J23" s="912" t="n">
        <v>851177000</v>
      </c>
      <c r="K23" s="732" t="n">
        <v>154384000</v>
      </c>
      <c r="L23" s="732" t="n">
        <v>1897324000</v>
      </c>
      <c r="M23" s="732" t="n">
        <v>804908000</v>
      </c>
    </row>
    <row r="24">
      <c r="A24" s="71" t="inlineStr">
        <is>
          <t>5년간 실적액</t>
        </is>
      </c>
      <c r="B24" s="777" t="n">
        <v>672229000</v>
      </c>
      <c r="C24" s="752">
        <f>488693000+502377000+531815000+1356539000+744433000</f>
        <v/>
      </c>
      <c r="D24" s="732" t="n">
        <v>4769225000</v>
      </c>
      <c r="E24" s="752" t="n">
        <v>1087311000</v>
      </c>
      <c r="F24" s="752" t="n">
        <v>60610613000</v>
      </c>
      <c r="G24" s="752" t="n">
        <v>3111198000</v>
      </c>
      <c r="H24" s="732" t="n">
        <v>725591000</v>
      </c>
      <c r="I24" s="732" t="n">
        <v>2299026000</v>
      </c>
      <c r="J24" s="912" t="n">
        <v>1536396000</v>
      </c>
      <c r="K24" s="732" t="n">
        <v>1782844000</v>
      </c>
      <c r="L24" s="732" t="n">
        <v>2222945000</v>
      </c>
      <c r="M24" s="732" t="n">
        <v>1540373000</v>
      </c>
    </row>
    <row r="25">
      <c r="A25" s="791" t="inlineStr">
        <is>
          <t>부채비율</t>
        </is>
      </c>
      <c r="B25" s="101" t="n">
        <v>0.0472</v>
      </c>
      <c r="C25" s="10" t="n">
        <v>0.2106</v>
      </c>
      <c r="D25" s="2" t="n">
        <v>0.0722</v>
      </c>
      <c r="E25" s="10" t="n">
        <v>0.254</v>
      </c>
      <c r="F25" s="48" t="n">
        <v>0.9086</v>
      </c>
      <c r="G25" s="10" t="n">
        <v>0.0897</v>
      </c>
      <c r="H25" s="2" t="n">
        <v>0.1947</v>
      </c>
      <c r="I25" s="2" t="n">
        <v>0.1191</v>
      </c>
      <c r="J25" s="239" t="n">
        <v>0.1157</v>
      </c>
      <c r="K25" s="2" t="n">
        <v>0.3959</v>
      </c>
      <c r="L25" s="2" t="n">
        <v>0.2781</v>
      </c>
      <c r="M25" s="2" t="n">
        <v>0.0794</v>
      </c>
      <c r="N25" s="750" t="n"/>
    </row>
    <row r="26">
      <c r="A26" s="791" t="inlineStr">
        <is>
          <t>유동비율</t>
        </is>
      </c>
      <c r="B26" s="101" t="n">
        <v>11.6038</v>
      </c>
      <c r="C26" s="10" t="n">
        <v>4.6639</v>
      </c>
      <c r="D26" s="2" t="n">
        <v>10.601</v>
      </c>
      <c r="E26" s="48" t="n">
        <v>1.7695</v>
      </c>
      <c r="F26" s="48" t="n">
        <v>1.3198</v>
      </c>
      <c r="G26" s="10" t="n">
        <v>7.8537</v>
      </c>
      <c r="H26" s="2" t="n">
        <v>4.7607</v>
      </c>
      <c r="I26" s="2" t="n">
        <v>7.285</v>
      </c>
      <c r="J26" s="239" t="n">
        <v>56.3555</v>
      </c>
      <c r="K26" s="2" t="n">
        <v>7.4731</v>
      </c>
      <c r="L26" s="2" t="n">
        <v>29.4209</v>
      </c>
      <c r="M26" s="2" t="n">
        <v>10.1707</v>
      </c>
      <c r="N26" s="750" t="n"/>
    </row>
    <row r="27" ht="21" customHeight="1" s="16">
      <c r="A27" s="792" t="inlineStr">
        <is>
          <t>영업기간
공사업등록일</t>
        </is>
      </c>
      <c r="B27" s="98" t="inlineStr">
        <is>
          <t>2000.10.04</t>
        </is>
      </c>
      <c r="C27" s="10" t="inlineStr">
        <is>
          <t>2008.05.21</t>
        </is>
      </c>
      <c r="D27" s="2" t="inlineStr">
        <is>
          <t>5년이상%</t>
        </is>
      </c>
      <c r="E27" s="11" t="inlineStr">
        <is>
          <t>1999.09.20</t>
        </is>
      </c>
      <c r="F27" s="11" t="inlineStr">
        <is>
          <t>1990.01.08</t>
        </is>
      </c>
      <c r="G27" s="10" t="inlineStr">
        <is>
          <t>1999.08.11</t>
        </is>
      </c>
      <c r="H27" s="2" t="inlineStr">
        <is>
          <t>2000.02.24</t>
        </is>
      </c>
      <c r="I27" s="2" t="inlineStr">
        <is>
          <t>10년이상%</t>
        </is>
      </c>
      <c r="J27" s="232" t="inlineStr">
        <is>
          <t>1997.12.12</t>
        </is>
      </c>
      <c r="K27" s="2" t="inlineStr">
        <is>
          <t>2015.10.08</t>
        </is>
      </c>
      <c r="L27" s="2" t="inlineStr">
        <is>
          <t>2010.03.11</t>
        </is>
      </c>
      <c r="M27" s="67" t="inlineStr">
        <is>
          <t>2003.09.22</t>
        </is>
      </c>
    </row>
    <row r="28" ht="22.5" customHeight="1" s="16">
      <c r="A28" s="71" t="inlineStr">
        <is>
          <t>신용평가</t>
        </is>
      </c>
      <c r="B28" s="724" t="inlineStr">
        <is>
          <t>BB+
(25.04.14~26.04.13)</t>
        </is>
      </c>
      <c r="C28" s="803" t="n"/>
      <c r="D28" s="803" t="n"/>
      <c r="E28" s="736" t="n"/>
      <c r="F28" s="803" t="n"/>
      <c r="G28" s="803" t="n"/>
      <c r="H28" s="803" t="n"/>
      <c r="I28" s="803" t="n"/>
      <c r="J28" s="803" t="n"/>
      <c r="K28" s="803" t="n"/>
      <c r="L28" s="803" t="n"/>
      <c r="M28" s="803" t="n"/>
    </row>
    <row r="29">
      <c r="A29" s="71" t="inlineStr">
        <is>
          <t>여성기업</t>
        </is>
      </c>
      <c r="B29" s="736" t="n"/>
      <c r="C29" s="803" t="n"/>
      <c r="D29" s="803" t="n"/>
      <c r="E29" s="736" t="n"/>
      <c r="F29" s="803" t="n"/>
      <c r="G29" s="803" t="n"/>
      <c r="H29" s="803" t="n"/>
      <c r="I29" s="803" t="n"/>
      <c r="J29" s="913" t="n"/>
      <c r="K29" s="803" t="n"/>
      <c r="L29" s="803" t="n"/>
      <c r="M29" s="803" t="n"/>
    </row>
    <row r="30">
      <c r="A30" s="71" t="inlineStr">
        <is>
          <t>중소기업</t>
        </is>
      </c>
      <c r="B30" s="736" t="n"/>
      <c r="C30" s="803" t="n"/>
      <c r="D30" s="803" t="n"/>
      <c r="E30" s="736" t="n"/>
      <c r="F30" s="803" t="n"/>
      <c r="G30" s="803" t="n"/>
      <c r="H30" s="803" t="n"/>
      <c r="I30" s="803" t="n"/>
      <c r="J30" s="913" t="n"/>
      <c r="K30" s="803" t="n"/>
      <c r="L30" s="803" t="n"/>
      <c r="M30" s="803" t="n"/>
    </row>
    <row r="31">
      <c r="A31" s="71" t="inlineStr">
        <is>
          <t>일자리창출실적</t>
        </is>
      </c>
      <c r="B31" s="736" t="n"/>
      <c r="C31" s="803" t="n"/>
      <c r="D31" s="803" t="n"/>
      <c r="E31" s="736" t="n"/>
      <c r="F31" s="803" t="n"/>
      <c r="G31" s="803" t="n"/>
      <c r="H31" s="803" t="n"/>
      <c r="I31" s="803" t="n"/>
      <c r="J31" s="913" t="n"/>
      <c r="K31" s="803" t="n"/>
      <c r="L31" s="803" t="n"/>
      <c r="M31" s="803" t="n"/>
    </row>
    <row r="32">
      <c r="A32" s="71" t="inlineStr">
        <is>
          <t>시공품질평가</t>
        </is>
      </c>
      <c r="B32" s="736" t="n"/>
      <c r="C32" s="803" t="n"/>
      <c r="D32" s="803" t="n"/>
      <c r="E32" s="736" t="n"/>
      <c r="F32" s="803" t="n"/>
      <c r="G32" s="803" t="n"/>
      <c r="H32" s="803" t="n"/>
      <c r="I32" s="803" t="n"/>
      <c r="J32" s="913" t="n"/>
      <c r="K32" s="803" t="n"/>
      <c r="L32" s="803" t="n"/>
      <c r="M32" s="803" t="n"/>
    </row>
    <row r="33">
      <c r="A33" s="71" t="inlineStr">
        <is>
          <t>비  고</t>
        </is>
      </c>
      <c r="B33" s="93" t="inlineStr">
        <is>
          <t>조재진</t>
        </is>
      </c>
      <c r="C33" s="9" t="n"/>
      <c r="D33" s="1" t="inlineStr">
        <is>
          <t>김진일</t>
        </is>
      </c>
      <c r="E33" s="9" t="inlineStr">
        <is>
          <t>서권형</t>
        </is>
      </c>
      <c r="F33" s="9" t="n"/>
      <c r="G33" s="9" t="inlineStr">
        <is>
          <t>윤명숙</t>
        </is>
      </c>
      <c r="H33" s="1" t="inlineStr">
        <is>
          <t>구본진</t>
        </is>
      </c>
      <c r="I33" s="1" t="inlineStr">
        <is>
          <t>이장형</t>
        </is>
      </c>
      <c r="J33" s="230" t="inlineStr">
        <is>
          <t>송종윤</t>
        </is>
      </c>
      <c r="K33" s="1" t="inlineStr">
        <is>
          <t>서보 조정</t>
        </is>
      </c>
      <c r="L33" s="9" t="n"/>
      <c r="M33" s="9" t="n"/>
    </row>
    <row r="34" ht="26.1" customHeight="1" s="16">
      <c r="A34" s="455" t="inlineStr">
        <is>
          <t>회사명</t>
        </is>
      </c>
      <c r="B34" s="455" t="inlineStr">
        <is>
          <t>㈜유성건설</t>
        </is>
      </c>
      <c r="C34" s="455" t="inlineStr">
        <is>
          <t>㈜현진이앤씨</t>
        </is>
      </c>
      <c r="D34" s="455" t="inlineStr">
        <is>
          <t>㈜코러싱</t>
        </is>
      </c>
      <c r="E34" s="455" t="inlineStr">
        <is>
          <t>㈜서보</t>
        </is>
      </c>
      <c r="F34" s="455" t="inlineStr">
        <is>
          <t>㈜룩스정보</t>
        </is>
      </c>
      <c r="G34" s="455" t="inlineStr">
        <is>
          <t>㈜북경</t>
        </is>
      </c>
      <c r="H34" s="455" t="inlineStr">
        <is>
          <t>에이스정보통신</t>
        </is>
      </c>
      <c r="I34" s="455" t="inlineStr">
        <is>
          <t>태성미디어</t>
        </is>
      </c>
      <c r="J34" s="455" t="inlineStr">
        <is>
          <t>㈜명신전기통신</t>
        </is>
      </c>
      <c r="K34" s="455" t="inlineStr">
        <is>
          <t>㈜지성전설</t>
        </is>
      </c>
      <c r="L34" s="455" t="inlineStr">
        <is>
          <t>㈜로뎀씨엔씨</t>
        </is>
      </c>
      <c r="M34" s="455" t="inlineStr">
        <is>
          <t>㈜하나전기</t>
        </is>
      </c>
    </row>
    <row r="35">
      <c r="A35" s="71" t="inlineStr">
        <is>
          <t>대표자</t>
        </is>
      </c>
      <c r="B35" s="732" t="inlineStr">
        <is>
          <t>김준태</t>
        </is>
      </c>
      <c r="C35" s="732" t="inlineStr">
        <is>
          <t>이미현</t>
        </is>
      </c>
      <c r="D35" s="777" t="inlineStr">
        <is>
          <t>박정희, 박동식</t>
        </is>
      </c>
      <c r="E35" s="775" t="inlineStr">
        <is>
          <t>이덕록</t>
        </is>
      </c>
      <c r="F35" s="732" t="inlineStr">
        <is>
          <t>전은희</t>
        </is>
      </c>
      <c r="G35" s="732" t="inlineStr">
        <is>
          <t>박순선</t>
        </is>
      </c>
      <c r="H35" s="732" t="inlineStr">
        <is>
          <t>장영현</t>
        </is>
      </c>
      <c r="I35" s="1" t="inlineStr">
        <is>
          <t>지태웅</t>
        </is>
      </c>
      <c r="J35" s="752" t="inlineStr">
        <is>
          <t>전상렬</t>
        </is>
      </c>
      <c r="K35" s="732" t="inlineStr">
        <is>
          <t>서혜란</t>
        </is>
      </c>
      <c r="L35" s="732" t="inlineStr">
        <is>
          <t>오세용</t>
        </is>
      </c>
      <c r="M35" s="93" t="inlineStr">
        <is>
          <t>김득수</t>
        </is>
      </c>
    </row>
    <row r="36">
      <c r="A36" s="74" t="inlineStr">
        <is>
          <t>사업자번호</t>
        </is>
      </c>
      <c r="B36" s="4" t="inlineStr">
        <is>
          <t>505-81-06323</t>
        </is>
      </c>
      <c r="C36" s="4" t="inlineStr">
        <is>
          <t>502-81-78115</t>
        </is>
      </c>
      <c r="D36" s="127" t="inlineStr">
        <is>
          <t>515-81-48470</t>
        </is>
      </c>
      <c r="E36" s="175" t="inlineStr">
        <is>
          <t>510-81-01219</t>
        </is>
      </c>
      <c r="F36" s="4" t="inlineStr">
        <is>
          <t>338-86-01077</t>
        </is>
      </c>
      <c r="G36" s="4" t="inlineStr">
        <is>
          <t>508-81-19491</t>
        </is>
      </c>
      <c r="H36" s="4" t="inlineStr">
        <is>
          <t>511-08-75929</t>
        </is>
      </c>
      <c r="I36" s="1" t="inlineStr">
        <is>
          <t>504-09-99861</t>
        </is>
      </c>
      <c r="J36" s="54" t="inlineStr">
        <is>
          <t>507-81-11521</t>
        </is>
      </c>
      <c r="K36" s="4" t="inlineStr">
        <is>
          <t>513-81-37036</t>
        </is>
      </c>
      <c r="L36" s="4" t="inlineStr">
        <is>
          <t>411-81-47261</t>
        </is>
      </c>
      <c r="M36" s="93" t="inlineStr">
        <is>
          <t>510-81-22475</t>
        </is>
      </c>
    </row>
    <row r="37">
      <c r="A37" s="74" t="inlineStr">
        <is>
          <t>지역</t>
        </is>
      </c>
      <c r="B37" s="732" t="inlineStr">
        <is>
          <t>경북 경산시</t>
        </is>
      </c>
      <c r="C37" s="732" t="inlineStr">
        <is>
          <t>경북 고령군</t>
        </is>
      </c>
      <c r="D37" s="777" t="inlineStr">
        <is>
          <t>경북 구미시</t>
        </is>
      </c>
      <c r="E37" s="889" t="inlineStr">
        <is>
          <t>경북 성주군</t>
        </is>
      </c>
      <c r="F37" s="732" t="inlineStr">
        <is>
          <t>경북 경산시</t>
        </is>
      </c>
      <c r="G37" s="732" t="inlineStr">
        <is>
          <t>경북 안동시</t>
        </is>
      </c>
      <c r="H37" s="732" t="inlineStr">
        <is>
          <t>경북 상주시</t>
        </is>
      </c>
      <c r="I37" s="1" t="inlineStr">
        <is>
          <t>경북 울진군</t>
        </is>
      </c>
      <c r="J37" s="752" t="inlineStr">
        <is>
          <t>경북 울진군</t>
        </is>
      </c>
      <c r="K37" s="1" t="inlineStr">
        <is>
          <t>경북 영천시</t>
        </is>
      </c>
      <c r="L37" s="1" t="inlineStr">
        <is>
          <t>경북 구미시</t>
        </is>
      </c>
      <c r="M37" s="93" t="inlineStr">
        <is>
          <t>경북 김천시</t>
        </is>
      </c>
    </row>
    <row r="38">
      <c r="A38" s="71" t="inlineStr">
        <is>
          <t>통신시공능력</t>
        </is>
      </c>
      <c r="B38" s="732" t="n">
        <v>2493100000</v>
      </c>
      <c r="C38" s="732" t="n">
        <v>1419300000</v>
      </c>
      <c r="D38" s="777" t="n">
        <v>1405500000</v>
      </c>
      <c r="E38" s="769" t="n">
        <v>7180300000</v>
      </c>
      <c r="F38" s="732" t="n">
        <v>1467500000</v>
      </c>
      <c r="G38" s="732" t="n">
        <v>666100000</v>
      </c>
      <c r="H38" s="732" t="n">
        <v>3423200000</v>
      </c>
      <c r="I38" s="732" t="n">
        <v>1131200000</v>
      </c>
      <c r="J38" s="777" t="n">
        <v>1386200000</v>
      </c>
      <c r="K38" s="732" t="n">
        <v>2586800000</v>
      </c>
      <c r="L38" s="732" t="n">
        <v>1528500000</v>
      </c>
      <c r="M38" s="777" t="n">
        <v>705700000</v>
      </c>
    </row>
    <row r="39">
      <c r="A39" s="71" t="inlineStr">
        <is>
          <t>3년간 실적액</t>
        </is>
      </c>
      <c r="B39" s="732" t="n">
        <v>670263000</v>
      </c>
      <c r="C39" s="732" t="n">
        <v>558365000</v>
      </c>
      <c r="D39" s="777" t="n">
        <v>1287969000</v>
      </c>
      <c r="E39" s="769" t="n">
        <v>7345905000</v>
      </c>
      <c r="F39" s="732" t="n">
        <v>1308666000</v>
      </c>
      <c r="G39" s="732" t="n">
        <v>267258000</v>
      </c>
      <c r="H39" s="732" t="n">
        <v>2669568000</v>
      </c>
      <c r="I39" s="732" t="n">
        <v>881537000</v>
      </c>
      <c r="J39" s="752" t="n">
        <v>671838000</v>
      </c>
      <c r="K39" s="732" t="n">
        <v>1342572000</v>
      </c>
      <c r="L39" s="732" t="n">
        <v>1394864000</v>
      </c>
      <c r="M39" s="777" t="n">
        <v>341124000</v>
      </c>
    </row>
    <row r="40">
      <c r="A40" s="71" t="inlineStr">
        <is>
          <t>5년간 실적액</t>
        </is>
      </c>
      <c r="B40" s="732" t="n">
        <v>2001553000</v>
      </c>
      <c r="C40" s="732" t="n">
        <v>2239214000</v>
      </c>
      <c r="D40" s="777" t="n">
        <v>2023838000</v>
      </c>
      <c r="E40" s="769" t="n">
        <v>15807791000</v>
      </c>
      <c r="F40" s="732" t="n">
        <v>1308666000</v>
      </c>
      <c r="G40" s="732" t="n">
        <v>461690000</v>
      </c>
      <c r="H40" s="732" t="n">
        <v>3908178000</v>
      </c>
      <c r="I40" s="732" t="n">
        <v>1725693000</v>
      </c>
      <c r="J40" s="752" t="n">
        <v>968222000</v>
      </c>
      <c r="K40" s="732" t="n">
        <v>1710276000</v>
      </c>
      <c r="L40" s="732" t="n">
        <v>1926492000</v>
      </c>
      <c r="M40" s="777" t="n">
        <v>341124000</v>
      </c>
    </row>
    <row r="41">
      <c r="A41" s="791" t="inlineStr">
        <is>
          <t>부채비율</t>
        </is>
      </c>
      <c r="B41" s="66" t="n">
        <v>1.2295</v>
      </c>
      <c r="C41" s="2" t="n">
        <v>0.1599</v>
      </c>
      <c r="D41" s="101" t="n">
        <v>0.15</v>
      </c>
      <c r="E41" s="176" t="n">
        <v>0.2108</v>
      </c>
      <c r="F41" s="2" t="n">
        <v>0.322</v>
      </c>
      <c r="G41" s="2" t="n">
        <v>0.2051</v>
      </c>
      <c r="H41" s="2" t="n">
        <v>0.1009</v>
      </c>
      <c r="I41" s="2" t="n">
        <v>0.7164</v>
      </c>
      <c r="J41" s="10" t="n">
        <v>0.1656</v>
      </c>
      <c r="K41" s="2" t="n">
        <v>0.1173</v>
      </c>
      <c r="L41" s="2" t="n">
        <v>0.4336</v>
      </c>
      <c r="M41" s="101" t="n">
        <v>0.4545</v>
      </c>
      <c r="N41" s="750" t="n"/>
    </row>
    <row r="42">
      <c r="A42" s="791" t="inlineStr">
        <is>
          <t>유동비율</t>
        </is>
      </c>
      <c r="B42" s="66" t="n">
        <v>1.6231</v>
      </c>
      <c r="C42" s="2" t="n">
        <v>15.1063</v>
      </c>
      <c r="D42" s="101" t="n">
        <v>9.768700000000001</v>
      </c>
      <c r="E42" s="176" t="n">
        <v>5.4615</v>
      </c>
      <c r="F42" s="2" t="n">
        <v>3.7074</v>
      </c>
      <c r="G42" s="2" t="n">
        <v>6.6669</v>
      </c>
      <c r="H42" s="2" t="n">
        <v>8.1723</v>
      </c>
      <c r="I42" s="2" t="n">
        <v>8.7044</v>
      </c>
      <c r="J42" s="10" t="n">
        <v>16.0022</v>
      </c>
      <c r="K42" s="2" t="n">
        <v>8.833399999999999</v>
      </c>
      <c r="L42" s="2" t="n">
        <v>12.3597</v>
      </c>
      <c r="M42" s="97" t="n">
        <v>4.2138</v>
      </c>
      <c r="N42" s="750" t="n"/>
    </row>
    <row r="43" ht="21" customHeight="1" s="16">
      <c r="A43" s="792" t="inlineStr">
        <is>
          <t>영업기간
공사업등록일</t>
        </is>
      </c>
      <c r="B43" s="67" t="inlineStr">
        <is>
          <t>1991.06.28</t>
        </is>
      </c>
      <c r="C43" s="67" t="inlineStr">
        <is>
          <t>2005.01.27</t>
        </is>
      </c>
      <c r="D43" s="11" t="n"/>
      <c r="E43" s="177" t="inlineStr">
        <is>
          <t>1999.04.16</t>
        </is>
      </c>
      <c r="F43" s="67" t="inlineStr">
        <is>
          <t>2018.06.22</t>
        </is>
      </c>
      <c r="G43" s="67" t="inlineStr">
        <is>
          <t>2015.03.05</t>
        </is>
      </c>
      <c r="H43" s="67" t="inlineStr">
        <is>
          <t>2012.06.08</t>
        </is>
      </c>
      <c r="I43" s="67" t="inlineStr">
        <is>
          <t>2003.02.26</t>
        </is>
      </c>
      <c r="J43" s="11" t="inlineStr">
        <is>
          <t>2012.08.27</t>
        </is>
      </c>
      <c r="K43" s="67" t="inlineStr">
        <is>
          <t>2002.04.25</t>
        </is>
      </c>
      <c r="L43" s="67" t="inlineStr">
        <is>
          <t>2007.04.25</t>
        </is>
      </c>
      <c r="M43" s="98" t="inlineStr">
        <is>
          <t>2021.04.26</t>
        </is>
      </c>
    </row>
    <row r="44" ht="22.5" customHeight="1" s="16">
      <c r="A44" s="71" t="inlineStr">
        <is>
          <t>신용평가</t>
        </is>
      </c>
      <c r="B44" s="157" t="inlineStr">
        <is>
          <t>BBB0
(21.06.04~22.06.03)</t>
        </is>
      </c>
      <c r="C44" s="803" t="n"/>
      <c r="D44" s="157" t="inlineStr">
        <is>
          <t>BB-
(21.04.26~22.04.25)</t>
        </is>
      </c>
      <c r="E44" s="159" t="inlineStr">
        <is>
          <t>BBB+
(25.05.09~26.05.08)</t>
        </is>
      </c>
      <c r="F44" s="803" t="n"/>
      <c r="G44" s="803" t="n"/>
      <c r="H44" s="803" t="n"/>
      <c r="I44" s="803" t="n"/>
      <c r="J44" s="803" t="n"/>
      <c r="K44" s="725" t="inlineStr">
        <is>
          <t>BBB-
(22.06.29~23.06.28)</t>
        </is>
      </c>
      <c r="L44" s="736" t="n"/>
      <c r="M44" s="736" t="n"/>
    </row>
    <row r="45">
      <c r="A45" s="71" t="inlineStr">
        <is>
          <t>여성기업</t>
        </is>
      </c>
      <c r="B45" s="55" t="n"/>
      <c r="C45" s="803" t="n"/>
      <c r="D45" s="55" t="n"/>
      <c r="E45" s="821" t="n"/>
      <c r="F45" s="803" t="n"/>
      <c r="G45" s="803" t="n"/>
      <c r="H45" s="803" t="n"/>
      <c r="I45" s="803" t="n"/>
      <c r="J45" s="803" t="n"/>
      <c r="K45" s="736" t="n"/>
      <c r="L45" s="736" t="n"/>
      <c r="M45" s="736" t="n"/>
    </row>
    <row r="46">
      <c r="A46" s="71" t="inlineStr">
        <is>
          <t>중소기업</t>
        </is>
      </c>
      <c r="B46" s="55" t="n"/>
      <c r="C46" s="803" t="n"/>
      <c r="D46" s="55" t="n"/>
      <c r="E46" s="821" t="n"/>
      <c r="F46" s="803" t="n"/>
      <c r="G46" s="803" t="n"/>
      <c r="H46" s="803" t="n"/>
      <c r="I46" s="803" t="n"/>
      <c r="J46" s="803" t="n"/>
      <c r="K46" s="736" t="n"/>
      <c r="L46" s="736" t="n"/>
      <c r="M46" s="736" t="n"/>
    </row>
    <row r="47">
      <c r="A47" s="71" t="inlineStr">
        <is>
          <t>일자리창출실적</t>
        </is>
      </c>
      <c r="B47" s="55" t="n"/>
      <c r="C47" s="803" t="n"/>
      <c r="D47" s="55" t="n"/>
      <c r="E47" s="821" t="n"/>
      <c r="F47" s="803" t="n"/>
      <c r="G47" s="803" t="n"/>
      <c r="H47" s="803" t="n"/>
      <c r="I47" s="803" t="n"/>
      <c r="J47" s="803" t="n"/>
      <c r="K47" s="736" t="n"/>
      <c r="L47" s="736" t="n"/>
      <c r="M47" s="736" t="n"/>
    </row>
    <row r="48">
      <c r="A48" s="71" t="inlineStr">
        <is>
          <t>시공품질평가</t>
        </is>
      </c>
      <c r="B48" s="55" t="n"/>
      <c r="C48" s="803" t="n"/>
      <c r="D48" s="55" t="n"/>
      <c r="E48" s="178" t="inlineStr">
        <is>
          <t>없음 (24.05.01)</t>
        </is>
      </c>
      <c r="F48" s="803" t="n"/>
      <c r="G48" s="803" t="n"/>
      <c r="H48" s="803" t="n"/>
      <c r="I48" s="803" t="n"/>
      <c r="J48" s="803" t="n"/>
      <c r="K48" s="736" t="n"/>
      <c r="L48" s="736" t="n"/>
      <c r="M48" s="736" t="n"/>
    </row>
    <row r="49">
      <c r="A49" s="71" t="inlineStr">
        <is>
          <t>비  고</t>
        </is>
      </c>
      <c r="B49" s="73" t="inlineStr">
        <is>
          <t>조동규</t>
        </is>
      </c>
      <c r="C49" s="1" t="inlineStr">
        <is>
          <t>구본진</t>
        </is>
      </c>
      <c r="D49" s="57" t="n"/>
      <c r="E49" s="178" t="inlineStr">
        <is>
          <t>조정</t>
        </is>
      </c>
      <c r="F49" s="9" t="n"/>
      <c r="G49" s="9" t="n"/>
      <c r="H49" s="9" t="n"/>
      <c r="I49" s="9" t="n"/>
      <c r="J49" s="9" t="inlineStr">
        <is>
          <t>서보 조정</t>
        </is>
      </c>
      <c r="K49" s="1" t="inlineStr">
        <is>
          <t>조정</t>
        </is>
      </c>
      <c r="L49" s="1" t="inlineStr">
        <is>
          <t>임태균</t>
        </is>
      </c>
      <c r="M49" s="93" t="inlineStr">
        <is>
          <t>조재진</t>
        </is>
      </c>
    </row>
    <row r="50" ht="26.1" customHeight="1" s="16">
      <c r="A50" s="455" t="inlineStr">
        <is>
          <t>회사명</t>
        </is>
      </c>
      <c r="B50" s="455" t="inlineStr">
        <is>
          <t>㈜글로벌텍</t>
        </is>
      </c>
      <c r="C50" s="455" t="n"/>
      <c r="D50" s="455" t="n"/>
      <c r="E50" s="455" t="n"/>
      <c r="F50" s="455" t="n"/>
      <c r="G50" s="455" t="n"/>
      <c r="H50" s="455" t="n"/>
      <c r="I50" s="455" t="n"/>
      <c r="J50" s="455" t="n"/>
      <c r="K50" s="455" t="n"/>
      <c r="L50" s="455" t="n"/>
      <c r="M50" s="455" t="n"/>
    </row>
    <row r="51">
      <c r="A51" s="71" t="inlineStr">
        <is>
          <t>대표자</t>
        </is>
      </c>
      <c r="B51" s="914" t="inlineStr">
        <is>
          <t>김은실</t>
        </is>
      </c>
      <c r="C51" s="752" t="n"/>
      <c r="D51" s="752" t="n"/>
      <c r="E51" s="758" t="n"/>
      <c r="F51" s="752" t="n"/>
      <c r="G51" s="752" t="n"/>
      <c r="H51" s="752" t="n"/>
      <c r="I51" s="9" t="n"/>
      <c r="J51" s="752" t="n"/>
      <c r="K51" s="752" t="n"/>
      <c r="L51" s="752" t="n"/>
      <c r="M51" s="752" t="n"/>
    </row>
    <row r="52">
      <c r="A52" s="74" t="inlineStr">
        <is>
          <t>사업자번호</t>
        </is>
      </c>
      <c r="B52" s="438" t="inlineStr">
        <is>
          <t>441-81-02362</t>
        </is>
      </c>
      <c r="C52" s="54" t="n"/>
      <c r="D52" s="128" t="n"/>
      <c r="E52" s="54" t="n"/>
      <c r="F52" s="54" t="n"/>
      <c r="G52" s="54" t="n"/>
      <c r="H52" s="54" t="n"/>
      <c r="I52" s="9" t="n"/>
      <c r="J52" s="54" t="n"/>
      <c r="K52" s="54" t="n"/>
      <c r="L52" s="54" t="n"/>
      <c r="M52" s="54" t="n"/>
    </row>
    <row r="53">
      <c r="A53" s="74" t="inlineStr">
        <is>
          <t>지역</t>
        </is>
      </c>
      <c r="B53" s="825" t="inlineStr">
        <is>
          <t>경북 고령군</t>
        </is>
      </c>
      <c r="C53" s="752" t="n"/>
      <c r="D53" s="752" t="n"/>
      <c r="E53" s="752" t="n"/>
      <c r="F53" s="752" t="n"/>
      <c r="G53" s="752" t="n"/>
      <c r="H53" s="752" t="n"/>
      <c r="I53" s="9" t="n"/>
      <c r="J53" s="9" t="n"/>
      <c r="K53" s="9" t="n"/>
      <c r="L53" s="9" t="n"/>
      <c r="M53" s="9" t="n"/>
    </row>
    <row r="54">
      <c r="A54" s="71" t="inlineStr">
        <is>
          <t>통신시공능력</t>
        </is>
      </c>
      <c r="B54" s="914" t="n">
        <v>1854700000</v>
      </c>
      <c r="C54" s="752" t="n"/>
      <c r="D54" s="752" t="n"/>
      <c r="E54" s="752" t="n"/>
      <c r="F54" s="752" t="n"/>
      <c r="G54" s="752" t="n"/>
      <c r="H54" s="752" t="n"/>
      <c r="I54" s="752" t="n"/>
      <c r="J54" s="752" t="n"/>
      <c r="K54" s="752" t="n"/>
      <c r="L54" s="752" t="n"/>
      <c r="M54" s="752" t="n"/>
    </row>
    <row r="55">
      <c r="A55" s="71" t="inlineStr">
        <is>
          <t>3년간 실적액</t>
        </is>
      </c>
      <c r="B55" s="914" t="n">
        <v>2169924000</v>
      </c>
      <c r="C55" s="752" t="n"/>
      <c r="D55" s="752" t="n"/>
      <c r="E55" s="752" t="n"/>
      <c r="F55" s="752" t="n"/>
      <c r="G55" s="752" t="n"/>
      <c r="H55" s="752" t="n"/>
      <c r="I55" s="752" t="n"/>
      <c r="J55" s="752" t="n"/>
      <c r="K55" s="752" t="n"/>
      <c r="L55" s="752" t="n"/>
      <c r="M55" s="752" t="n"/>
    </row>
    <row r="56">
      <c r="A56" s="71" t="inlineStr">
        <is>
          <t>5년간 실적액</t>
        </is>
      </c>
      <c r="B56" s="914" t="n">
        <v>2169924000</v>
      </c>
      <c r="C56" s="752" t="n"/>
      <c r="D56" s="752" t="n"/>
      <c r="E56" s="752" t="n"/>
      <c r="F56" s="752" t="n"/>
      <c r="G56" s="752" t="n"/>
      <c r="H56" s="752" t="n"/>
      <c r="I56" s="752" t="n"/>
      <c r="J56" s="752" t="n"/>
      <c r="K56" s="752" t="n"/>
      <c r="L56" s="752" t="n"/>
      <c r="M56" s="752" t="n"/>
    </row>
    <row r="57">
      <c r="A57" s="791" t="inlineStr">
        <is>
          <t>부채비율</t>
        </is>
      </c>
      <c r="B57" s="450" t="n">
        <v>0.3138</v>
      </c>
      <c r="C57" s="10" t="n"/>
      <c r="D57" s="915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</row>
    <row r="58">
      <c r="A58" s="791" t="inlineStr">
        <is>
          <t>유동비율</t>
        </is>
      </c>
      <c r="B58" s="450" t="n">
        <v>3.9327</v>
      </c>
      <c r="C58" s="10" t="n"/>
      <c r="D58" s="915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48" t="n"/>
    </row>
    <row r="59" ht="21" customHeight="1" s="16">
      <c r="A59" s="792" t="inlineStr">
        <is>
          <t>영업기간
공사업등록일</t>
        </is>
      </c>
      <c r="B59" s="449" t="inlineStr">
        <is>
          <t>2022.04.08</t>
        </is>
      </c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</row>
    <row r="60">
      <c r="A60" s="71" t="inlineStr">
        <is>
          <t>신용평가</t>
        </is>
      </c>
      <c r="B60" s="157" t="n"/>
      <c r="C60" s="803" t="n"/>
      <c r="D60" s="55" t="n"/>
      <c r="E60" s="736" t="n"/>
      <c r="F60" s="803" t="n"/>
      <c r="G60" s="803" t="n"/>
      <c r="H60" s="803" t="n"/>
      <c r="I60" s="803" t="n"/>
      <c r="J60" s="736" t="n"/>
      <c r="K60" s="736" t="n"/>
      <c r="L60" s="736" t="n"/>
      <c r="M60" s="736" t="n"/>
    </row>
    <row r="61">
      <c r="A61" s="71" t="inlineStr">
        <is>
          <t>여성기업</t>
        </is>
      </c>
      <c r="B61" s="451" t="n"/>
      <c r="C61" s="803" t="n"/>
      <c r="D61" s="55" t="n"/>
      <c r="E61" s="803" t="n"/>
      <c r="F61" s="803" t="n"/>
      <c r="G61" s="803" t="n"/>
      <c r="H61" s="803" t="n"/>
      <c r="I61" s="803" t="n"/>
      <c r="J61" s="736" t="n"/>
      <c r="K61" s="736" t="n"/>
      <c r="L61" s="736" t="n"/>
      <c r="M61" s="736" t="n"/>
    </row>
    <row r="62">
      <c r="A62" s="71" t="inlineStr">
        <is>
          <t>중소기업</t>
        </is>
      </c>
      <c r="B62" s="451" t="n"/>
      <c r="C62" s="803" t="n"/>
      <c r="D62" s="55" t="n"/>
      <c r="E62" s="803" t="n"/>
      <c r="F62" s="803" t="n"/>
      <c r="G62" s="803" t="n"/>
      <c r="H62" s="803" t="n"/>
      <c r="I62" s="803" t="n"/>
      <c r="J62" s="736" t="n"/>
      <c r="K62" s="736" t="n"/>
      <c r="L62" s="736" t="n"/>
      <c r="M62" s="736" t="n"/>
    </row>
    <row r="63">
      <c r="A63" s="71" t="inlineStr">
        <is>
          <t>일자리창출실적</t>
        </is>
      </c>
      <c r="B63" s="451" t="n"/>
      <c r="C63" s="803" t="n"/>
      <c r="D63" s="55" t="n"/>
      <c r="E63" s="803" t="n"/>
      <c r="F63" s="803" t="n"/>
      <c r="G63" s="803" t="n"/>
      <c r="H63" s="803" t="n"/>
      <c r="I63" s="803" t="n"/>
      <c r="J63" s="736" t="n"/>
      <c r="K63" s="736" t="n"/>
      <c r="L63" s="736" t="n"/>
      <c r="M63" s="736" t="n"/>
    </row>
    <row r="64">
      <c r="A64" s="71" t="inlineStr">
        <is>
          <t>시공품질평가</t>
        </is>
      </c>
      <c r="B64" s="451" t="n"/>
      <c r="C64" s="803" t="n"/>
      <c r="D64" s="55" t="n"/>
      <c r="E64" s="62" t="n"/>
      <c r="F64" s="803" t="n"/>
      <c r="G64" s="803" t="n"/>
      <c r="H64" s="803" t="n"/>
      <c r="I64" s="803" t="n"/>
      <c r="J64" s="736" t="n"/>
      <c r="K64" s="736" t="n"/>
      <c r="L64" s="736" t="n"/>
      <c r="M64" s="736" t="n"/>
    </row>
    <row r="65">
      <c r="A65" s="71" t="inlineStr">
        <is>
          <t>비  고</t>
        </is>
      </c>
      <c r="B65" s="454" t="inlineStr">
        <is>
          <t>박성균</t>
        </is>
      </c>
      <c r="C65" s="9" t="n"/>
      <c r="D65" s="57" t="n"/>
      <c r="E65" s="62" t="n"/>
      <c r="F65" s="9" t="n"/>
      <c r="G65" s="9" t="n"/>
      <c r="H65" s="9" t="n"/>
      <c r="I65" s="9" t="n"/>
      <c r="J65" s="9" t="n"/>
      <c r="K65" s="9" t="n"/>
      <c r="L65" s="9" t="n"/>
      <c r="M65" s="9" t="n"/>
    </row>
  </sheetData>
  <mergeCells count="1">
    <mergeCell ref="A1:M1"/>
  </mergeCells>
  <printOptions horizontalCentered="1"/>
  <pageMargins left="0.03937007874015748" right="0.03937007874015748" top="0.1968503937007874" bottom="0.1968503937007874" header="0" footer="0"/>
  <pageSetup orientation="landscape" paperSize="9" scale="55"/>
</worksheet>
</file>

<file path=xl/worksheets/sheet11.xml><?xml version="1.0" encoding="utf-8"?>
<worksheet xmlns="http://schemas.openxmlformats.org/spreadsheetml/2006/main">
  <sheetPr codeName="Sheet11">
    <outlinePr summaryBelow="1" summaryRight="1"/>
    <pageSetUpPr/>
  </sheetPr>
  <dimension ref="A1:N65"/>
  <sheetViews>
    <sheetView zoomScaleNormal="100" workbookViewId="0">
      <pane ySplit="1" topLeftCell="A35" activePane="bottomLeft" state="frozen"/>
      <selection pane="bottomLeft" activeCell="A50" sqref="A50:M50"/>
    </sheetView>
  </sheetViews>
  <sheetFormatPr baseColWidth="8" defaultColWidth="12.109375" defaultRowHeight="13.5"/>
  <cols>
    <col width="10" bestFit="1" customWidth="1" style="8" min="1" max="1"/>
    <col width="15.77734375" customWidth="1" style="8" min="2" max="13"/>
    <col width="12.109375" customWidth="1" style="8" min="14" max="55"/>
    <col width="12.109375" customWidth="1" style="8" min="56" max="16384"/>
  </cols>
  <sheetData>
    <row r="1" ht="25.5" customHeight="1" s="16">
      <c r="A1" s="702" t="inlineStr">
        <is>
          <t>통 신 ( 전 남 )</t>
        </is>
      </c>
      <c r="B1" s="700" t="n"/>
      <c r="C1" s="700" t="n"/>
      <c r="D1" s="700" t="n"/>
      <c r="E1" s="700" t="n"/>
      <c r="F1" s="700" t="n"/>
      <c r="G1" s="700" t="n"/>
      <c r="H1" s="700" t="n"/>
      <c r="I1" s="700" t="n"/>
      <c r="J1" s="700" t="n"/>
      <c r="K1" s="700" t="n"/>
      <c r="L1" s="700" t="n"/>
      <c r="M1" s="701" t="n"/>
    </row>
    <row r="2" ht="26.1" customFormat="1" customHeight="1" s="20">
      <c r="A2" s="455" t="inlineStr">
        <is>
          <t>회사명</t>
        </is>
      </c>
      <c r="B2" s="455" t="inlineStr">
        <is>
          <t>남해종합개발</t>
        </is>
      </c>
      <c r="C2" s="455" t="inlineStr">
        <is>
          <t>건영전기㈜</t>
        </is>
      </c>
      <c r="D2" s="455" t="inlineStr">
        <is>
          <t>대호전기㈜</t>
        </is>
      </c>
      <c r="E2" s="455" t="inlineStr">
        <is>
          <t>동도전력㈜</t>
        </is>
      </c>
      <c r="F2" s="455" t="inlineStr">
        <is>
          <t>㈜대양정보통신</t>
        </is>
      </c>
      <c r="G2" s="455" t="inlineStr">
        <is>
          <t>㈜리드텍</t>
        </is>
      </c>
      <c r="H2" s="455" t="inlineStr">
        <is>
          <t>㈜라인건설</t>
        </is>
      </c>
      <c r="I2" s="455" t="inlineStr">
        <is>
          <t>㈜백두기연</t>
        </is>
      </c>
      <c r="J2" s="455" t="inlineStr">
        <is>
          <t>㈜보선</t>
        </is>
      </c>
      <c r="K2" s="455" t="inlineStr">
        <is>
          <t>㈜신한전기</t>
        </is>
      </c>
      <c r="L2" s="455" t="inlineStr">
        <is>
          <t>㈜원탑</t>
        </is>
      </c>
      <c r="M2" s="455" t="inlineStr">
        <is>
          <t>㈜원탑정보기술</t>
        </is>
      </c>
    </row>
    <row r="3" customFormat="1" s="329">
      <c r="A3" s="74" t="inlineStr">
        <is>
          <t>대표자</t>
        </is>
      </c>
      <c r="B3" s="732" t="inlineStr">
        <is>
          <t>김응서</t>
        </is>
      </c>
      <c r="C3" s="802" t="inlineStr">
        <is>
          <t>김병곤</t>
        </is>
      </c>
      <c r="D3" s="732" t="inlineStr">
        <is>
          <t>최윤채,이기상</t>
        </is>
      </c>
      <c r="E3" s="752" t="inlineStr">
        <is>
          <t>김동주</t>
        </is>
      </c>
      <c r="F3" s="732" t="inlineStr">
        <is>
          <t>주양로</t>
        </is>
      </c>
      <c r="G3" s="732" t="inlineStr">
        <is>
          <t>양규영</t>
        </is>
      </c>
      <c r="H3" s="732" t="inlineStr">
        <is>
          <t>강영식</t>
        </is>
      </c>
      <c r="I3" s="777" t="inlineStr">
        <is>
          <t>양정승</t>
        </is>
      </c>
      <c r="J3" s="732" t="inlineStr">
        <is>
          <t>송용주</t>
        </is>
      </c>
      <c r="K3" s="752" t="inlineStr">
        <is>
          <t>신현출</t>
        </is>
      </c>
      <c r="L3" s="825" t="inlineStr">
        <is>
          <t>박귀남</t>
        </is>
      </c>
      <c r="M3" s="777" t="inlineStr">
        <is>
          <t>박진영</t>
        </is>
      </c>
    </row>
    <row r="4" customFormat="1" s="22">
      <c r="A4" s="74" t="inlineStr">
        <is>
          <t>사업자번호</t>
        </is>
      </c>
      <c r="B4" s="4" t="inlineStr">
        <is>
          <t>756-87-01137</t>
        </is>
      </c>
      <c r="C4" s="284" t="inlineStr">
        <is>
          <t>417-81-20877</t>
        </is>
      </c>
      <c r="D4" s="4" t="inlineStr">
        <is>
          <t>409-81-18123</t>
        </is>
      </c>
      <c r="E4" s="54" t="inlineStr">
        <is>
          <t>413-81-00603</t>
        </is>
      </c>
      <c r="F4" s="4" t="inlineStr">
        <is>
          <t>411-81-28191</t>
        </is>
      </c>
      <c r="G4" s="4" t="inlineStr">
        <is>
          <t>409-81-98525</t>
        </is>
      </c>
      <c r="H4" s="4" t="inlineStr">
        <is>
          <t>616-81-03970</t>
        </is>
      </c>
      <c r="I4" s="106" t="inlineStr">
        <is>
          <t>411-81-34354</t>
        </is>
      </c>
      <c r="J4" s="4" t="inlineStr">
        <is>
          <t>408-81-45457</t>
        </is>
      </c>
      <c r="K4" s="54" t="inlineStr">
        <is>
          <t>409-81-49835</t>
        </is>
      </c>
      <c r="L4" s="438" t="inlineStr">
        <is>
          <t>415-81-50657</t>
        </is>
      </c>
      <c r="M4" s="106" t="inlineStr">
        <is>
          <t>848-88-02413</t>
        </is>
      </c>
    </row>
    <row r="5" customFormat="1" s="329">
      <c r="A5" s="74" t="inlineStr">
        <is>
          <t>지역</t>
        </is>
      </c>
      <c r="B5" s="732" t="inlineStr">
        <is>
          <t>전남 화순군</t>
        </is>
      </c>
      <c r="C5" s="802" t="inlineStr">
        <is>
          <t>전남 여수시</t>
        </is>
      </c>
      <c r="D5" s="732" t="inlineStr">
        <is>
          <t>전남 영광군</t>
        </is>
      </c>
      <c r="E5" s="752" t="inlineStr">
        <is>
          <t>전남 보성</t>
        </is>
      </c>
      <c r="F5" s="732" t="inlineStr">
        <is>
          <t>전남 목포</t>
        </is>
      </c>
      <c r="G5" s="732" t="inlineStr">
        <is>
          <t>전남 담양군</t>
        </is>
      </c>
      <c r="H5" s="732" t="inlineStr">
        <is>
          <t>전남 담양군</t>
        </is>
      </c>
      <c r="I5" s="777" t="inlineStr">
        <is>
          <t>전남 목포시</t>
        </is>
      </c>
      <c r="J5" s="732" t="inlineStr">
        <is>
          <t>전남 무안군</t>
        </is>
      </c>
      <c r="K5" s="752" t="inlineStr">
        <is>
          <t>전남 담양</t>
        </is>
      </c>
      <c r="L5" s="825" t="inlineStr">
        <is>
          <t>전남 강진군</t>
        </is>
      </c>
      <c r="M5" s="777" t="inlineStr">
        <is>
          <t>전남 함평군</t>
        </is>
      </c>
    </row>
    <row r="6" customFormat="1" s="22">
      <c r="A6" s="74" t="inlineStr">
        <is>
          <t>통신시공능력</t>
        </is>
      </c>
      <c r="B6" s="732" t="n">
        <v>531900000</v>
      </c>
      <c r="C6" s="741" t="n">
        <v>1657300000</v>
      </c>
      <c r="D6" s="732" t="n">
        <v>7953400000</v>
      </c>
      <c r="E6" s="752" t="n">
        <v>745200000</v>
      </c>
      <c r="F6" s="732" t="n">
        <v>13339500000</v>
      </c>
      <c r="G6" s="732" t="n">
        <v>2142100000</v>
      </c>
      <c r="H6" s="732" t="n">
        <v>7261800000</v>
      </c>
      <c r="I6" s="777" t="n">
        <v>1785100000</v>
      </c>
      <c r="J6" s="732" t="n">
        <v>3980600000</v>
      </c>
      <c r="K6" s="752" t="n">
        <v>691400000</v>
      </c>
      <c r="L6" s="742" t="n">
        <v>1731300000</v>
      </c>
      <c r="M6" s="777" t="n">
        <v>2935900000</v>
      </c>
    </row>
    <row r="7" customFormat="1" s="329">
      <c r="A7" s="74" t="inlineStr">
        <is>
          <t>3년간 실적액</t>
        </is>
      </c>
      <c r="B7" s="732" t="n">
        <v>0</v>
      </c>
      <c r="C7" s="741" t="n">
        <v>2567555000</v>
      </c>
      <c r="D7" s="732" t="n">
        <v>9643220000</v>
      </c>
      <c r="E7" s="752" t="n">
        <v>534715000</v>
      </c>
      <c r="F7" s="732" t="n">
        <v>16474125000</v>
      </c>
      <c r="G7" s="732" t="n">
        <v>2288344000</v>
      </c>
      <c r="H7" s="732" t="n">
        <v>8488437000</v>
      </c>
      <c r="I7" s="777" t="n">
        <v>1053166000</v>
      </c>
      <c r="J7" s="732" t="n">
        <v>5506136000</v>
      </c>
      <c r="K7" s="752" t="n">
        <v>570440000</v>
      </c>
      <c r="L7" s="742" t="n">
        <v>1938621000</v>
      </c>
      <c r="M7" s="777" t="n">
        <v>2615531000</v>
      </c>
    </row>
    <row r="8" customFormat="1" s="329">
      <c r="A8" s="74" t="inlineStr">
        <is>
          <t>5년간 실적액</t>
        </is>
      </c>
      <c r="B8" s="732" t="n">
        <v>368512000</v>
      </c>
      <c r="C8" s="741" t="n">
        <v>3812894000</v>
      </c>
      <c r="D8" s="732" t="n">
        <v>14129275000</v>
      </c>
      <c r="E8" s="752" t="n">
        <v>3028675000</v>
      </c>
      <c r="F8" s="732" t="n">
        <v>27855108000</v>
      </c>
      <c r="G8" s="732" t="n">
        <v>3811636000</v>
      </c>
      <c r="H8" s="732" t="n">
        <v>21196602000</v>
      </c>
      <c r="I8" s="777" t="n">
        <v>1474191000</v>
      </c>
      <c r="J8" s="732" t="n">
        <v>10375987000</v>
      </c>
      <c r="K8" s="752" t="n">
        <v>803440000</v>
      </c>
      <c r="L8" s="742" t="n">
        <v>2399449000</v>
      </c>
      <c r="M8" s="777" t="n">
        <v>2615531000</v>
      </c>
    </row>
    <row r="9" customFormat="1" s="790">
      <c r="A9" s="916" t="inlineStr">
        <is>
          <t>부채비율</t>
        </is>
      </c>
      <c r="B9" s="66" t="n">
        <v>0.955</v>
      </c>
      <c r="C9" s="285" t="n">
        <v>0.2655</v>
      </c>
      <c r="D9" s="10" t="n"/>
      <c r="E9" s="10" t="n"/>
      <c r="F9" s="2" t="n">
        <v>0.1863</v>
      </c>
      <c r="G9" s="2" t="n">
        <v>0.439</v>
      </c>
      <c r="H9" s="2" t="n">
        <v>0.4502</v>
      </c>
      <c r="I9" s="101" t="n">
        <v>0.1806</v>
      </c>
      <c r="J9" s="2" t="n">
        <v>0.4371</v>
      </c>
      <c r="K9" s="10" t="n"/>
      <c r="L9" s="443" t="n">
        <v>0.5101</v>
      </c>
      <c r="M9" s="101" t="n">
        <v>0.3762</v>
      </c>
      <c r="N9" s="750" t="n"/>
    </row>
    <row r="10" customFormat="1" s="790">
      <c r="A10" s="916" t="inlineStr">
        <is>
          <t>유동비율</t>
        </is>
      </c>
      <c r="B10" s="66" t="n">
        <v>1.9025</v>
      </c>
      <c r="C10" s="285" t="n">
        <v>8.095599999999999</v>
      </c>
      <c r="D10" s="10" t="n"/>
      <c r="E10" s="10" t="n"/>
      <c r="F10" s="2" t="n">
        <v>4.21</v>
      </c>
      <c r="G10" s="2" t="n">
        <v>5.5975</v>
      </c>
      <c r="H10" s="2" t="n">
        <v>2.6149</v>
      </c>
      <c r="I10" s="101" t="n">
        <v>7.2015</v>
      </c>
      <c r="J10" s="2" t="n">
        <v>3.406</v>
      </c>
      <c r="K10" s="10" t="n"/>
      <c r="L10" s="443" t="n">
        <v>4.2683</v>
      </c>
      <c r="M10" s="101" t="n">
        <v>3.265</v>
      </c>
      <c r="N10" s="750" t="n"/>
    </row>
    <row r="11" ht="22.5" customFormat="1" customHeight="1" s="790">
      <c r="A11" s="917" t="inlineStr">
        <is>
          <t>영업기간
공사업등록일</t>
        </is>
      </c>
      <c r="B11" s="2" t="inlineStr">
        <is>
          <t>2000.04.14</t>
        </is>
      </c>
      <c r="C11" s="296" t="inlineStr">
        <is>
          <t>2021.05.26</t>
        </is>
      </c>
      <c r="D11" s="11" t="n"/>
      <c r="E11" s="10" t="inlineStr">
        <is>
          <t>10년이상%</t>
        </is>
      </c>
      <c r="F11" s="2" t="inlineStr">
        <is>
          <t>10년이상%</t>
        </is>
      </c>
      <c r="G11" s="2" t="inlineStr">
        <is>
          <t>2009.06.04</t>
        </is>
      </c>
      <c r="H11" s="2" t="inlineStr">
        <is>
          <t>2002.10.16</t>
        </is>
      </c>
      <c r="I11" s="101" t="inlineStr">
        <is>
          <t>2016.05.02</t>
        </is>
      </c>
      <c r="J11" s="2" t="inlineStr">
        <is>
          <t>1997.04.07</t>
        </is>
      </c>
      <c r="K11" s="10" t="inlineStr">
        <is>
          <t>10년이상%</t>
        </is>
      </c>
      <c r="L11" s="446" t="inlineStr">
        <is>
          <t>2019.11.05</t>
        </is>
      </c>
      <c r="M11" s="101" t="inlineStr">
        <is>
          <t>2021.08.28</t>
        </is>
      </c>
    </row>
    <row r="12" ht="22.5" customFormat="1" customHeight="1" s="329">
      <c r="A12" s="74" t="inlineStr">
        <is>
          <t>신용평가</t>
        </is>
      </c>
      <c r="B12" s="725" t="inlineStr">
        <is>
          <t>A-
(22.06.18~23.06.17)</t>
        </is>
      </c>
      <c r="C12" s="724" t="inlineStr">
        <is>
          <t>BBB0
(25.05.29~26.05.28)</t>
        </is>
      </c>
      <c r="D12" s="786" t="inlineStr">
        <is>
          <t>A+</t>
        </is>
      </c>
      <c r="E12" s="736" t="inlineStr">
        <is>
          <t xml:space="preserve">BBB0
</t>
        </is>
      </c>
      <c r="F12" s="153" t="inlineStr">
        <is>
          <t>BB+
(13.04.02~14.04.01)</t>
        </is>
      </c>
      <c r="G12" s="725" t="inlineStr">
        <is>
          <t xml:space="preserve"> BB+
(22.05.18~23.05.17) </t>
        </is>
      </c>
      <c r="H12" s="725" t="inlineStr">
        <is>
          <t>AAO
(20.06.26~21.06.25)</t>
        </is>
      </c>
      <c r="I12" s="918" t="inlineStr">
        <is>
          <t>BB+
(25.06.02~26.06.01)</t>
        </is>
      </c>
      <c r="J12" s="725" t="inlineStr">
        <is>
          <t>BBB-
(21.04.21~22.04.20)</t>
        </is>
      </c>
      <c r="K12" s="736" t="inlineStr">
        <is>
          <t>BBO</t>
        </is>
      </c>
      <c r="L12" s="724" t="inlineStr">
        <is>
          <t>BB-
(25.04.03~26.04.02)</t>
        </is>
      </c>
      <c r="M12" s="736" t="n"/>
    </row>
    <row r="13" customFormat="1" s="329">
      <c r="A13" s="74" t="inlineStr">
        <is>
          <t>여성기업</t>
        </is>
      </c>
      <c r="B13" s="736" t="n"/>
      <c r="C13" s="744" t="n"/>
      <c r="D13" s="736" t="n"/>
      <c r="E13" s="736" t="n"/>
      <c r="F13" s="49" t="n"/>
      <c r="G13" s="803" t="n"/>
      <c r="H13" s="736" t="n"/>
      <c r="I13" s="736" t="n"/>
      <c r="J13" s="736" t="n"/>
      <c r="K13" s="736" t="n"/>
      <c r="L13" s="833" t="n"/>
      <c r="M13" s="736" t="n"/>
    </row>
    <row r="14" customFormat="1" s="329">
      <c r="A14" s="74" t="inlineStr">
        <is>
          <t>중소기업</t>
        </is>
      </c>
      <c r="B14" s="736" t="n"/>
      <c r="C14" s="744" t="n"/>
      <c r="D14" s="736" t="n"/>
      <c r="E14" s="736" t="n"/>
      <c r="F14" s="49" t="n"/>
      <c r="G14" s="803" t="n"/>
      <c r="H14" s="736" t="n"/>
      <c r="I14" s="736" t="n"/>
      <c r="J14" s="736" t="n"/>
      <c r="K14" s="736" t="n"/>
      <c r="L14" s="833" t="n"/>
      <c r="M14" s="736" t="n"/>
    </row>
    <row r="15" customFormat="1" s="329">
      <c r="A15" s="71" t="inlineStr">
        <is>
          <t>일자리창출실적</t>
        </is>
      </c>
      <c r="B15" s="736" t="n"/>
      <c r="C15" s="744" t="n"/>
      <c r="D15" s="736" t="n"/>
      <c r="E15" s="736" t="n"/>
      <c r="F15" s="49" t="n"/>
      <c r="G15" s="803" t="n"/>
      <c r="H15" s="736" t="n"/>
      <c r="I15" s="736" t="n"/>
      <c r="J15" s="736" t="n"/>
      <c r="K15" s="736" t="n"/>
      <c r="L15" s="833" t="n"/>
      <c r="M15" s="736" t="n"/>
    </row>
    <row r="16" customFormat="1" s="329">
      <c r="A16" s="71" t="inlineStr">
        <is>
          <t>시공품질평가</t>
        </is>
      </c>
      <c r="B16" s="736" t="n"/>
      <c r="C16" s="744" t="inlineStr">
        <is>
          <t>없음 (24.05.01)</t>
        </is>
      </c>
      <c r="D16" s="736" t="n"/>
      <c r="E16" s="736" t="n"/>
      <c r="F16" s="49" t="n"/>
      <c r="G16" s="803" t="n"/>
      <c r="H16" s="736" t="n"/>
      <c r="I16" s="795" t="inlineStr">
        <is>
          <t>없음 (24.05.01)</t>
        </is>
      </c>
      <c r="J16" s="736" t="n"/>
      <c r="K16" s="736" t="n"/>
      <c r="L16" s="833" t="n"/>
      <c r="M16" s="736" t="n"/>
    </row>
    <row r="17" ht="22.5" customFormat="1" customHeight="1" s="329">
      <c r="A17" s="74" t="inlineStr">
        <is>
          <t>비  고</t>
        </is>
      </c>
      <c r="B17" s="732" t="inlineStr">
        <is>
          <t>고1(20.04.08)</t>
        </is>
      </c>
      <c r="C17" s="802" t="inlineStr">
        <is>
          <t>김희준</t>
        </is>
      </c>
      <c r="D17" s="732" t="inlineStr">
        <is>
          <t>김희준</t>
        </is>
      </c>
      <c r="E17" s="752" t="inlineStr">
        <is>
          <t>신갑철부장</t>
        </is>
      </c>
      <c r="F17" s="732" t="inlineStr">
        <is>
          <t>서건형</t>
        </is>
      </c>
      <c r="G17" s="730" t="inlineStr">
        <is>
          <t>김화성</t>
        </is>
      </c>
      <c r="H17" s="752" t="n"/>
      <c r="I17" s="781" t="inlineStr">
        <is>
          <t>송용주
특1,초3(22.08.01)</t>
        </is>
      </c>
      <c r="J17" s="752" t="n"/>
      <c r="K17" s="752" t="inlineStr">
        <is>
          <t>신갑철</t>
        </is>
      </c>
      <c r="L17" s="825" t="inlineStr">
        <is>
          <t>윤명숙</t>
        </is>
      </c>
      <c r="M17" s="777" t="inlineStr">
        <is>
          <t>윤명숙</t>
        </is>
      </c>
    </row>
    <row r="18" ht="26.1" customFormat="1" customHeight="1" s="20">
      <c r="A18" s="455" t="inlineStr">
        <is>
          <t>회사명</t>
        </is>
      </c>
      <c r="B18" s="455" t="inlineStr">
        <is>
          <t>㈜유동</t>
        </is>
      </c>
      <c r="C18" s="455" t="inlineStr">
        <is>
          <t>아주통신㈜</t>
        </is>
      </c>
      <c r="D18" s="455" t="inlineStr">
        <is>
          <t>㈜용산전력</t>
        </is>
      </c>
      <c r="E18" s="455" t="inlineStr">
        <is>
          <t>㈜에스제이이엔지</t>
        </is>
      </c>
      <c r="F18" s="455" t="inlineStr">
        <is>
          <t>온누리㈜</t>
        </is>
      </c>
      <c r="G18" s="455" t="inlineStr">
        <is>
          <t>㈜운경건설</t>
        </is>
      </c>
      <c r="H18" s="455" t="inlineStr">
        <is>
          <t>㈜진도전력</t>
        </is>
      </c>
      <c r="I18" s="455" t="inlineStr">
        <is>
          <t>㈜서원이엔지</t>
        </is>
      </c>
      <c r="J18" s="455" t="inlineStr">
        <is>
          <t>(합)자유이엔씨</t>
        </is>
      </c>
      <c r="K18" s="455" t="inlineStr">
        <is>
          <t>중흥건설㈜</t>
        </is>
      </c>
      <c r="L18" s="455" t="inlineStr">
        <is>
          <t>중흥토건㈜</t>
        </is>
      </c>
      <c r="M18" s="455" t="inlineStr">
        <is>
          <t>천지전력정보㈜</t>
        </is>
      </c>
    </row>
    <row r="19" customFormat="1" s="329">
      <c r="A19" s="74" t="inlineStr">
        <is>
          <t>대표자</t>
        </is>
      </c>
      <c r="B19" s="732" t="inlineStr">
        <is>
          <t>고성동</t>
        </is>
      </c>
      <c r="C19" s="752" t="inlineStr">
        <is>
          <t>김순식</t>
        </is>
      </c>
      <c r="D19" s="54" t="inlineStr">
        <is>
          <t>송경종</t>
        </is>
      </c>
      <c r="E19" s="752" t="inlineStr">
        <is>
          <t>설영임</t>
        </is>
      </c>
      <c r="F19" s="732" t="inlineStr">
        <is>
          <t>임대형</t>
        </is>
      </c>
      <c r="G19" s="732" t="inlineStr">
        <is>
          <t>이종근</t>
        </is>
      </c>
      <c r="H19" s="742" t="inlineStr">
        <is>
          <t>백현란</t>
        </is>
      </c>
      <c r="I19" s="732" t="inlineStr">
        <is>
          <t>안혜란</t>
        </is>
      </c>
      <c r="J19" s="752" t="inlineStr">
        <is>
          <t>김재필</t>
        </is>
      </c>
      <c r="K19" s="752" t="inlineStr">
        <is>
          <t>백승권</t>
        </is>
      </c>
      <c r="L19" s="752" t="inlineStr">
        <is>
          <t>장세면</t>
        </is>
      </c>
      <c r="M19" s="752" t="inlineStr">
        <is>
          <t>배숙희</t>
        </is>
      </c>
    </row>
    <row r="20" customFormat="1" s="22">
      <c r="A20" s="74" t="inlineStr">
        <is>
          <t>사업자번호</t>
        </is>
      </c>
      <c r="B20" s="4" t="inlineStr">
        <is>
          <t>215-87-57237</t>
        </is>
      </c>
      <c r="C20" s="54" t="inlineStr">
        <is>
          <t>416-81-44691</t>
        </is>
      </c>
      <c r="D20" s="54" t="inlineStr">
        <is>
          <t>409-81-32649</t>
        </is>
      </c>
      <c r="E20" s="54" t="inlineStr">
        <is>
          <t>401-81-30201</t>
        </is>
      </c>
      <c r="F20" s="4" t="inlineStr">
        <is>
          <t>409-81-49397</t>
        </is>
      </c>
      <c r="G20" s="4" t="inlineStr">
        <is>
          <t>408-81-09960</t>
        </is>
      </c>
      <c r="H20" s="438" t="inlineStr">
        <is>
          <t>408-81-78981</t>
        </is>
      </c>
      <c r="I20" s="4" t="inlineStr">
        <is>
          <t>850-81-02101</t>
        </is>
      </c>
      <c r="J20" s="54" t="inlineStr">
        <is>
          <t>409-81-09207</t>
        </is>
      </c>
      <c r="K20" s="54" t="inlineStr">
        <is>
          <t>409-81-08436</t>
        </is>
      </c>
      <c r="L20" s="54" t="inlineStr">
        <is>
          <t>416-81-13368</t>
        </is>
      </c>
      <c r="M20" s="54" t="inlineStr">
        <is>
          <t>410-81-52233</t>
        </is>
      </c>
    </row>
    <row r="21" customFormat="1" s="329">
      <c r="A21" s="74" t="inlineStr">
        <is>
          <t>지역</t>
        </is>
      </c>
      <c r="B21" s="732" t="inlineStr">
        <is>
          <t>전남 강진군</t>
        </is>
      </c>
      <c r="C21" s="752" t="inlineStr">
        <is>
          <t>전남 순천</t>
        </is>
      </c>
      <c r="D21" s="752" t="inlineStr">
        <is>
          <t>전남 화순</t>
        </is>
      </c>
      <c r="E21" s="752" t="inlineStr">
        <is>
          <t>전남 담양</t>
        </is>
      </c>
      <c r="F21" s="732" t="inlineStr">
        <is>
          <t>전남 장성</t>
        </is>
      </c>
      <c r="G21" s="732" t="inlineStr">
        <is>
          <t>전남 곡성</t>
        </is>
      </c>
      <c r="H21" s="825" t="inlineStr">
        <is>
          <t>전남 강진군</t>
        </is>
      </c>
      <c r="I21" s="732" t="inlineStr">
        <is>
          <t>전남 완도군</t>
        </is>
      </c>
      <c r="J21" s="752" t="inlineStr">
        <is>
          <t>전남 담양군</t>
        </is>
      </c>
      <c r="K21" s="752" t="inlineStr">
        <is>
          <t>전남 나주</t>
        </is>
      </c>
      <c r="L21" s="752" t="inlineStr">
        <is>
          <t>전남 나주</t>
        </is>
      </c>
      <c r="M21" s="752" t="inlineStr">
        <is>
          <t>전남 나주</t>
        </is>
      </c>
    </row>
    <row r="22" customFormat="1" s="22">
      <c r="A22" s="74" t="inlineStr">
        <is>
          <t>통신시공능력</t>
        </is>
      </c>
      <c r="B22" s="732" t="n">
        <v>1915600000</v>
      </c>
      <c r="C22" s="752" t="n">
        <v>21171800000</v>
      </c>
      <c r="D22" s="752" t="n">
        <v>2192100000</v>
      </c>
      <c r="E22" s="752" t="n">
        <v>721200000</v>
      </c>
      <c r="F22" s="732" t="n">
        <v>6353400000</v>
      </c>
      <c r="G22" s="732" t="n">
        <v>1865800000</v>
      </c>
      <c r="H22" s="742" t="n">
        <v>979400000</v>
      </c>
      <c r="I22" s="732" t="n">
        <v>523800000</v>
      </c>
      <c r="J22" s="752" t="n">
        <v>3552900000</v>
      </c>
      <c r="K22" s="752" t="n">
        <v>30643500000</v>
      </c>
      <c r="L22" s="752" t="n">
        <v>15516600000</v>
      </c>
      <c r="M22" s="752" t="n">
        <v>10759400000</v>
      </c>
    </row>
    <row r="23" customFormat="1" s="329">
      <c r="A23" s="74" t="inlineStr">
        <is>
          <t>3년간 실적액</t>
        </is>
      </c>
      <c r="B23" s="732" t="n">
        <v>1321438000</v>
      </c>
      <c r="C23" s="752" t="n">
        <v>32247168000</v>
      </c>
      <c r="D23" s="752" t="n">
        <v>2966713000</v>
      </c>
      <c r="E23" s="752" t="n">
        <v>726702000</v>
      </c>
      <c r="F23" s="732" t="n">
        <v>8474506000</v>
      </c>
      <c r="G23" s="732" t="n">
        <v>1870321000</v>
      </c>
      <c r="H23" s="742" t="n">
        <v>915002000</v>
      </c>
      <c r="I23" s="732" t="n">
        <v>0</v>
      </c>
      <c r="J23" s="752" t="n">
        <v>1451310000</v>
      </c>
      <c r="K23" s="752" t="n">
        <v>58413039000</v>
      </c>
      <c r="L23" s="752" t="n">
        <v>28368540000</v>
      </c>
      <c r="M23" s="752" t="n">
        <v>15337473000</v>
      </c>
    </row>
    <row r="24" customFormat="1" s="329">
      <c r="A24" s="74" t="inlineStr">
        <is>
          <t>5년간 실적액</t>
        </is>
      </c>
      <c r="B24" s="732" t="n">
        <v>1833145000</v>
      </c>
      <c r="C24" s="752" t="n">
        <v>41907870000</v>
      </c>
      <c r="D24" s="752" t="n">
        <v>5638538000</v>
      </c>
      <c r="E24" s="752" t="n">
        <v>743039000</v>
      </c>
      <c r="F24" s="732" t="n">
        <v>15653802000</v>
      </c>
      <c r="G24" s="732" t="n">
        <v>3223546000</v>
      </c>
      <c r="H24" s="742" t="n">
        <v>1126152000</v>
      </c>
      <c r="I24" s="732" t="n">
        <v>0</v>
      </c>
      <c r="J24" s="752" t="n">
        <v>6670410000</v>
      </c>
      <c r="K24" s="752" t="n">
        <v>80602295000</v>
      </c>
      <c r="L24" s="752" t="n">
        <v>28368540000</v>
      </c>
      <c r="M24" s="752" t="n">
        <v>23185391000</v>
      </c>
    </row>
    <row r="25" customFormat="1" s="790">
      <c r="A25" s="916" t="inlineStr">
        <is>
          <t>부채비율</t>
        </is>
      </c>
      <c r="B25" s="2" t="n">
        <v>0.1646</v>
      </c>
      <c r="C25" s="10" t="n">
        <v>0.5919</v>
      </c>
      <c r="D25" s="10" t="inlineStr">
        <is>
          <t>경영빠짐</t>
        </is>
      </c>
      <c r="E25" s="10" t="n"/>
      <c r="F25" s="2" t="n">
        <v>0.08690000000000001</v>
      </c>
      <c r="G25" s="2" t="n">
        <v>0.2542</v>
      </c>
      <c r="H25" s="443" t="n">
        <v>0.1696</v>
      </c>
      <c r="I25" s="2" t="n">
        <v>0.0033</v>
      </c>
      <c r="J25" s="10" t="n">
        <v>0.1256</v>
      </c>
      <c r="K25" s="10" t="n">
        <v>0.3862</v>
      </c>
      <c r="L25" s="48" t="n">
        <v>2.9138</v>
      </c>
      <c r="M25" s="10" t="n">
        <v>0.2308</v>
      </c>
      <c r="N25" s="750" t="n"/>
    </row>
    <row r="26" customFormat="1" s="790">
      <c r="A26" s="916" t="inlineStr">
        <is>
          <t>유동비율</t>
        </is>
      </c>
      <c r="B26" s="2" t="n">
        <v>8.8156</v>
      </c>
      <c r="C26" s="10" t="n">
        <v>2.1278</v>
      </c>
      <c r="D26" s="10" t="n"/>
      <c r="E26" s="10" t="n"/>
      <c r="F26" s="2" t="n">
        <v>10.2319</v>
      </c>
      <c r="G26" s="2" t="n">
        <v>8.082100000000001</v>
      </c>
      <c r="H26" s="443" t="n">
        <v>7.4102</v>
      </c>
      <c r="I26" s="2" t="n">
        <v>301</v>
      </c>
      <c r="J26" s="10" t="n">
        <v>6.7761</v>
      </c>
      <c r="K26" s="10" t="n">
        <v>2.9953</v>
      </c>
      <c r="L26" s="48" t="n">
        <v>1.1414</v>
      </c>
      <c r="M26" s="10" t="n">
        <v>4.8842</v>
      </c>
      <c r="N26" s="750" t="n"/>
    </row>
    <row r="27" ht="22.5" customFormat="1" customHeight="1" s="790">
      <c r="A27" s="917" t="inlineStr">
        <is>
          <t>영업기간
공사업등록일</t>
        </is>
      </c>
      <c r="B27" s="2" t="inlineStr">
        <is>
          <t>2002.03.12</t>
        </is>
      </c>
      <c r="C27" s="10" t="inlineStr">
        <is>
          <t>10년이상%</t>
        </is>
      </c>
      <c r="D27" s="10" t="n"/>
      <c r="E27" s="10" t="n"/>
      <c r="F27" s="2" t="inlineStr">
        <is>
          <t>10년이상%</t>
        </is>
      </c>
      <c r="G27" s="2" t="inlineStr">
        <is>
          <t>10년이상%</t>
        </is>
      </c>
      <c r="H27" s="446" t="inlineStr">
        <is>
          <t>2011.02.08</t>
        </is>
      </c>
      <c r="I27" s="2" t="inlineStr">
        <is>
          <t>2021.08.07</t>
        </is>
      </c>
      <c r="J27" s="10" t="inlineStr">
        <is>
          <t>1995.10.31</t>
        </is>
      </c>
      <c r="K27" s="11" t="inlineStr">
        <is>
          <t>1999.01.30</t>
        </is>
      </c>
      <c r="L27" s="11" t="inlineStr">
        <is>
          <t>2013.04.30</t>
        </is>
      </c>
      <c r="M27" s="10" t="inlineStr">
        <is>
          <t>10년이상%</t>
        </is>
      </c>
    </row>
    <row r="28" ht="22.5" customFormat="1" customHeight="1" s="329">
      <c r="A28" s="74" t="inlineStr">
        <is>
          <t>신용평가</t>
        </is>
      </c>
      <c r="B28" s="725" t="inlineStr">
        <is>
          <t>B+
(24.04.26~25.04.25)</t>
        </is>
      </c>
      <c r="C28" s="803" t="n"/>
      <c r="D28" s="803" t="inlineStr">
        <is>
          <t>BB+</t>
        </is>
      </c>
      <c r="E28" s="803" t="inlineStr">
        <is>
          <t>BB+</t>
        </is>
      </c>
      <c r="F28" s="803" t="n"/>
      <c r="G28" s="153" t="inlineStr">
        <is>
          <t>BBB-
(13.03.29~14.03.28)</t>
        </is>
      </c>
      <c r="H28" s="736" t="n"/>
      <c r="I28" s="736" t="n"/>
      <c r="J28" s="725" t="inlineStr">
        <is>
          <t>BBBO
(19.06.28~20.06.27)</t>
        </is>
      </c>
      <c r="K28" s="725" t="inlineStr">
        <is>
          <t>AA-
(16.06.27~17.06.26)</t>
        </is>
      </c>
      <c r="L28" s="725" t="inlineStr">
        <is>
          <t>A+
(16.04.19~17.04.18)</t>
        </is>
      </c>
      <c r="M28" s="153" t="inlineStr">
        <is>
          <t>BB0
(13.06.27~14.06.26)</t>
        </is>
      </c>
    </row>
    <row r="29" customFormat="1" s="329">
      <c r="A29" s="74" t="inlineStr">
        <is>
          <t>여성기업</t>
        </is>
      </c>
      <c r="B29" s="736" t="n"/>
      <c r="C29" s="803" t="n"/>
      <c r="D29" s="803" t="n"/>
      <c r="E29" s="803" t="n"/>
      <c r="F29" s="803" t="n"/>
      <c r="G29" s="49" t="n"/>
      <c r="H29" s="833" t="n"/>
      <c r="I29" s="736" t="n"/>
      <c r="J29" s="736" t="n"/>
      <c r="K29" s="736" t="n"/>
      <c r="L29" s="736" t="n"/>
      <c r="M29" s="49" t="n"/>
    </row>
    <row r="30" customFormat="1" s="329">
      <c r="A30" s="74" t="inlineStr">
        <is>
          <t>중소기업</t>
        </is>
      </c>
      <c r="B30" s="736" t="n"/>
      <c r="C30" s="803" t="n"/>
      <c r="D30" s="803" t="n"/>
      <c r="E30" s="803" t="n"/>
      <c r="F30" s="803" t="n"/>
      <c r="G30" s="49" t="n"/>
      <c r="H30" s="833" t="n"/>
      <c r="I30" s="736" t="n"/>
      <c r="J30" s="736" t="n"/>
      <c r="K30" s="736" t="n"/>
      <c r="L30" s="736" t="n"/>
      <c r="M30" s="49" t="n"/>
    </row>
    <row r="31" customFormat="1" s="329">
      <c r="A31" s="71" t="inlineStr">
        <is>
          <t>일자리창출실적</t>
        </is>
      </c>
      <c r="B31" s="736" t="n"/>
      <c r="C31" s="803" t="n"/>
      <c r="D31" s="803" t="n"/>
      <c r="E31" s="803" t="n"/>
      <c r="F31" s="803" t="n"/>
      <c r="G31" s="49" t="n"/>
      <c r="H31" s="833" t="n"/>
      <c r="I31" s="736" t="n"/>
      <c r="J31" s="736" t="n"/>
      <c r="K31" s="736" t="n"/>
      <c r="L31" s="736" t="n"/>
      <c r="M31" s="49" t="n"/>
    </row>
    <row r="32" customFormat="1" s="329">
      <c r="A32" s="71" t="inlineStr">
        <is>
          <t>시공품질평가</t>
        </is>
      </c>
      <c r="B32" s="736" t="n"/>
      <c r="C32" s="803" t="n"/>
      <c r="D32" s="803" t="n"/>
      <c r="E32" s="803" t="n"/>
      <c r="F32" s="803" t="n"/>
      <c r="G32" s="49" t="n"/>
      <c r="H32" s="833" t="n"/>
      <c r="I32" s="736" t="n"/>
      <c r="J32" s="736" t="n"/>
      <c r="K32" s="736" t="n"/>
      <c r="L32" s="736" t="n"/>
      <c r="M32" s="49" t="n"/>
    </row>
    <row r="33" customFormat="1" s="329">
      <c r="A33" s="74" t="inlineStr">
        <is>
          <t>비  고</t>
        </is>
      </c>
      <c r="B33" s="732" t="inlineStr">
        <is>
          <t>송용주</t>
        </is>
      </c>
      <c r="C33" s="752" t="inlineStr">
        <is>
          <t>송종윤</t>
        </is>
      </c>
      <c r="D33" s="752" t="inlineStr">
        <is>
          <t>주영중</t>
        </is>
      </c>
      <c r="E33" s="752" t="inlineStr">
        <is>
          <t>주영중</t>
        </is>
      </c>
      <c r="F33" s="732" t="inlineStr">
        <is>
          <t>김영균부장</t>
        </is>
      </c>
      <c r="G33" s="752" t="n"/>
      <c r="H33" s="825" t="inlineStr">
        <is>
          <t>윤명숙</t>
        </is>
      </c>
      <c r="I33" s="732" t="inlineStr">
        <is>
          <t>김대열</t>
        </is>
      </c>
      <c r="J33" s="752" t="n"/>
      <c r="K33" s="752" t="n"/>
      <c r="L33" s="752" t="n"/>
      <c r="M33" s="752" t="inlineStr">
        <is>
          <t>김성수</t>
        </is>
      </c>
    </row>
    <row r="34" ht="26.1" customHeight="1" s="16">
      <c r="A34" s="455" t="inlineStr">
        <is>
          <t>회사명</t>
        </is>
      </c>
      <c r="B34" s="455" t="inlineStr">
        <is>
          <t>탑솔라㈜</t>
        </is>
      </c>
      <c r="C34" s="455" t="inlineStr">
        <is>
          <t>㈜한국종합전기</t>
        </is>
      </c>
      <c r="D34" s="455" t="inlineStr">
        <is>
          <t>㈜한백통신</t>
        </is>
      </c>
      <c r="E34" s="455" t="inlineStr">
        <is>
          <t>해동건설㈜</t>
        </is>
      </c>
      <c r="F34" s="455" t="inlineStr">
        <is>
          <t>㈜수수전력</t>
        </is>
      </c>
      <c r="G34" s="455" t="inlineStr">
        <is>
          <t>㈜에스엠소프트</t>
        </is>
      </c>
      <c r="H34" s="455" t="inlineStr">
        <is>
          <t>(유)한빛이엔씨</t>
        </is>
      </c>
      <c r="I34" s="455" t="inlineStr">
        <is>
          <t>㈜아이씨티</t>
        </is>
      </c>
      <c r="J34" s="455" t="inlineStr">
        <is>
          <t>㈜담장</t>
        </is>
      </c>
      <c r="K34" s="455" t="inlineStr">
        <is>
          <t>㈜무강기업</t>
        </is>
      </c>
      <c r="L34" s="455" t="inlineStr">
        <is>
          <t>한결정보기술㈜</t>
        </is>
      </c>
      <c r="M34" s="455" t="inlineStr">
        <is>
          <t>㈜마루종합전기</t>
        </is>
      </c>
    </row>
    <row r="35">
      <c r="A35" s="74" t="inlineStr">
        <is>
          <t>대표자</t>
        </is>
      </c>
      <c r="B35" s="732" t="inlineStr">
        <is>
          <t>오형석</t>
        </is>
      </c>
      <c r="C35" s="752" t="inlineStr">
        <is>
          <t>김동현</t>
        </is>
      </c>
      <c r="D35" s="752" t="inlineStr">
        <is>
          <t>김정호</t>
        </is>
      </c>
      <c r="E35" s="762" t="inlineStr">
        <is>
          <t>박 찬</t>
        </is>
      </c>
      <c r="F35" s="732" t="inlineStr">
        <is>
          <t>신인수</t>
        </is>
      </c>
      <c r="G35" s="777" t="inlineStr">
        <is>
          <t>박영님</t>
        </is>
      </c>
      <c r="H35" s="732" t="inlineStr">
        <is>
          <t>조은아</t>
        </is>
      </c>
      <c r="I35" s="732" t="inlineStr">
        <is>
          <t>윤선아</t>
        </is>
      </c>
      <c r="J35" s="732" t="inlineStr">
        <is>
          <t>이승희</t>
        </is>
      </c>
      <c r="K35" s="752" t="inlineStr">
        <is>
          <t>박생봉</t>
        </is>
      </c>
      <c r="L35" s="732" t="inlineStr">
        <is>
          <t>정병호</t>
        </is>
      </c>
      <c r="M35" s="752" t="inlineStr">
        <is>
          <t>남도우</t>
        </is>
      </c>
    </row>
    <row r="36">
      <c r="A36" s="74" t="inlineStr">
        <is>
          <t>사업자번호</t>
        </is>
      </c>
      <c r="B36" s="4" t="inlineStr">
        <is>
          <t>408-81-54131</t>
        </is>
      </c>
      <c r="C36" s="54" t="inlineStr">
        <is>
          <t>412-81-04305</t>
        </is>
      </c>
      <c r="D36" s="54" t="inlineStr">
        <is>
          <t>410-81-61746</t>
        </is>
      </c>
      <c r="E36" s="197" t="inlineStr">
        <is>
          <t>417-81-03015</t>
        </is>
      </c>
      <c r="F36" s="4" t="inlineStr">
        <is>
          <t>888-88-01009</t>
        </is>
      </c>
      <c r="G36" s="106" t="inlineStr">
        <is>
          <t>411-81-41592</t>
        </is>
      </c>
      <c r="H36" s="4" t="inlineStr">
        <is>
          <t>125-87-00218</t>
        </is>
      </c>
      <c r="I36" s="4" t="inlineStr">
        <is>
          <t>107-88-41751</t>
        </is>
      </c>
      <c r="J36" s="4" t="inlineStr">
        <is>
          <t>350-86-01102</t>
        </is>
      </c>
      <c r="K36" s="54" t="inlineStr">
        <is>
          <t>410-86-31193</t>
        </is>
      </c>
      <c r="L36" s="4" t="inlineStr">
        <is>
          <t>298-81-00246</t>
        </is>
      </c>
      <c r="M36" s="54" t="inlineStr">
        <is>
          <t>410-81-44048</t>
        </is>
      </c>
    </row>
    <row r="37">
      <c r="A37" s="74" t="inlineStr">
        <is>
          <t>지역</t>
        </is>
      </c>
      <c r="B37" s="732" t="inlineStr">
        <is>
          <t>전남 나주시</t>
        </is>
      </c>
      <c r="C37" s="752" t="inlineStr">
        <is>
          <t>전남 강진</t>
        </is>
      </c>
      <c r="D37" s="752" t="inlineStr">
        <is>
          <t>전남 영광</t>
        </is>
      </c>
      <c r="E37" s="762" t="inlineStr">
        <is>
          <t>전남 여수시</t>
        </is>
      </c>
      <c r="F37" s="732" t="inlineStr">
        <is>
          <t>전남 순천시</t>
        </is>
      </c>
      <c r="G37" s="777" t="inlineStr">
        <is>
          <t>전남 나주시</t>
        </is>
      </c>
      <c r="H37" s="732" t="inlineStr">
        <is>
          <t>전남 순천시</t>
        </is>
      </c>
      <c r="I37" s="732" t="inlineStr">
        <is>
          <t>전남 영암군</t>
        </is>
      </c>
      <c r="J37" s="732" t="inlineStr">
        <is>
          <t>전남 나주시</t>
        </is>
      </c>
      <c r="K37" s="752" t="inlineStr">
        <is>
          <t>전남 장성군</t>
        </is>
      </c>
      <c r="L37" s="732" t="inlineStr">
        <is>
          <t>전남 장흥군</t>
        </is>
      </c>
      <c r="M37" s="752" t="inlineStr">
        <is>
          <t>전남 강진군</t>
        </is>
      </c>
    </row>
    <row r="38">
      <c r="A38" s="74" t="inlineStr">
        <is>
          <t>통신시공능력</t>
        </is>
      </c>
      <c r="B38" s="732" t="n">
        <v>13709100000</v>
      </c>
      <c r="C38" s="752" t="n">
        <v>2229900000</v>
      </c>
      <c r="D38" s="752" t="n">
        <v>5447100000</v>
      </c>
      <c r="E38" s="764" t="n">
        <v>799000000</v>
      </c>
      <c r="F38" s="732" t="n">
        <v>500600000</v>
      </c>
      <c r="G38" s="777" t="n">
        <v>3343300000</v>
      </c>
      <c r="H38" s="732" t="n">
        <v>758600000</v>
      </c>
      <c r="I38" s="732" t="n">
        <v>5468800000</v>
      </c>
      <c r="J38" s="732" t="n">
        <v>1267000000</v>
      </c>
      <c r="K38" s="752" t="n">
        <v>1816100000</v>
      </c>
      <c r="L38" s="732" t="inlineStr">
        <is>
          <t xml:space="preserve"> ㅜ</t>
        </is>
      </c>
      <c r="M38" s="752" t="n">
        <v>1390300000</v>
      </c>
    </row>
    <row r="39">
      <c r="A39" s="74" t="inlineStr">
        <is>
          <t>3년간 실적액</t>
        </is>
      </c>
      <c r="B39" s="732" t="n">
        <v>23889159000</v>
      </c>
      <c r="C39" s="752" t="n">
        <v>1289400000</v>
      </c>
      <c r="D39" s="752" t="n">
        <v>3683301000</v>
      </c>
      <c r="E39" s="764" t="n">
        <v>548352000</v>
      </c>
      <c r="F39" s="732" t="n">
        <v>0</v>
      </c>
      <c r="G39" s="777" t="n">
        <v>486000000</v>
      </c>
      <c r="H39" s="732" t="n">
        <v>273903000</v>
      </c>
      <c r="I39" s="732" t="n">
        <v>4757098000</v>
      </c>
      <c r="J39" s="732" t="n">
        <v>868192000</v>
      </c>
      <c r="K39" s="752" t="n">
        <v>2067191000</v>
      </c>
      <c r="L39" s="732" t="n">
        <v>1243300000</v>
      </c>
      <c r="M39" s="752" t="n">
        <v>1052316000</v>
      </c>
    </row>
    <row r="40">
      <c r="A40" s="74" t="inlineStr">
        <is>
          <t>5년간 실적액</t>
        </is>
      </c>
      <c r="B40" s="732" t="n">
        <v>23889159000</v>
      </c>
      <c r="C40" s="752" t="n">
        <v>1301400000</v>
      </c>
      <c r="D40" s="752" t="n">
        <v>15671452000</v>
      </c>
      <c r="E40" s="764" t="n">
        <v>599472000</v>
      </c>
      <c r="F40" s="732" t="n">
        <v>0</v>
      </c>
      <c r="G40" s="777" t="n">
        <v>486000000</v>
      </c>
      <c r="H40" s="732" t="n">
        <v>658874000</v>
      </c>
      <c r="I40" s="732" t="n">
        <v>7079429000</v>
      </c>
      <c r="J40" s="732" t="n">
        <v>868192000</v>
      </c>
      <c r="K40" s="752" t="n">
        <v>4036869000</v>
      </c>
      <c r="L40" s="732" t="n">
        <v>1809165000</v>
      </c>
      <c r="M40" s="752" t="n">
        <v>1471987000</v>
      </c>
    </row>
    <row r="41">
      <c r="A41" s="916" t="inlineStr">
        <is>
          <t>부채비율</t>
        </is>
      </c>
      <c r="B41" s="66" t="n">
        <v>1.4071</v>
      </c>
      <c r="C41" s="10" t="n">
        <v>0.0636</v>
      </c>
      <c r="D41" s="10" t="n">
        <v>0.0117</v>
      </c>
      <c r="E41" s="207" t="n">
        <v>1.2349</v>
      </c>
      <c r="F41" s="2" t="n">
        <v>0.2388</v>
      </c>
      <c r="G41" s="95" t="n">
        <v>0.9573</v>
      </c>
      <c r="H41" s="2" t="n">
        <v>0.1178</v>
      </c>
      <c r="I41" s="2" t="n">
        <v>0.2867</v>
      </c>
      <c r="J41" s="2" t="n">
        <v>0.4523</v>
      </c>
      <c r="K41" s="10" t="n">
        <v>0.0945</v>
      </c>
      <c r="L41" s="2" t="n">
        <v>0.3189</v>
      </c>
      <c r="M41" s="47" t="n">
        <v>0.4339</v>
      </c>
      <c r="N41" s="750" t="n"/>
    </row>
    <row r="42">
      <c r="A42" s="916" t="inlineStr">
        <is>
          <t>유동비율</t>
        </is>
      </c>
      <c r="B42" s="66" t="n">
        <v>1.1948</v>
      </c>
      <c r="C42" s="10" t="n">
        <v>10.5022</v>
      </c>
      <c r="D42" s="10" t="n">
        <v>75.5057</v>
      </c>
      <c r="E42" s="207" t="n">
        <v>1.2104</v>
      </c>
      <c r="F42" s="2" t="n">
        <v>8.0036</v>
      </c>
      <c r="G42" s="101" t="n">
        <v>7.235</v>
      </c>
      <c r="H42" s="2" t="n">
        <v>13.7784</v>
      </c>
      <c r="I42" s="2" t="n">
        <v>3.9744</v>
      </c>
      <c r="J42" s="2" t="n">
        <v>4.0264</v>
      </c>
      <c r="K42" s="10" t="n">
        <v>38.072</v>
      </c>
      <c r="L42" s="2" t="n">
        <v>5.8245</v>
      </c>
      <c r="M42" s="47" t="n">
        <v>3.0858</v>
      </c>
      <c r="N42" s="750" t="n"/>
    </row>
    <row r="43" ht="22.5" customHeight="1" s="16">
      <c r="A43" s="917" t="inlineStr">
        <is>
          <t>영업기간
공사업등록일</t>
        </is>
      </c>
      <c r="B43" s="2" t="inlineStr">
        <is>
          <t>2005.08.17</t>
        </is>
      </c>
      <c r="C43" s="10" t="inlineStr">
        <is>
          <t>10년이상%</t>
        </is>
      </c>
      <c r="D43" s="10" t="inlineStr">
        <is>
          <t>10년이상%</t>
        </is>
      </c>
      <c r="E43" s="205" t="inlineStr">
        <is>
          <t>2020.03.19</t>
        </is>
      </c>
      <c r="F43" s="2" t="inlineStr">
        <is>
          <t>2022.03.02</t>
        </is>
      </c>
      <c r="G43" s="101" t="inlineStr">
        <is>
          <t>2022.10.18</t>
        </is>
      </c>
      <c r="H43" s="2" t="inlineStr">
        <is>
          <t>2013.03.04</t>
        </is>
      </c>
      <c r="I43" s="2" t="inlineStr">
        <is>
          <t>2015.12.10</t>
        </is>
      </c>
      <c r="J43" s="2" t="inlineStr">
        <is>
          <t>2019.02.27</t>
        </is>
      </c>
      <c r="K43" s="11" t="inlineStr">
        <is>
          <t>2013.07.18</t>
        </is>
      </c>
      <c r="L43" s="2" t="inlineStr">
        <is>
          <t>2017.06.20</t>
        </is>
      </c>
      <c r="M43" s="10" t="inlineStr">
        <is>
          <t>2013.02.07</t>
        </is>
      </c>
    </row>
    <row r="44" ht="22.5" customHeight="1" s="16">
      <c r="A44" s="74" t="inlineStr">
        <is>
          <t>신용평가</t>
        </is>
      </c>
      <c r="B44" s="725" t="inlineStr">
        <is>
          <t>A+
(21.04.28~22.04.27)</t>
        </is>
      </c>
      <c r="C44" s="803" t="n"/>
      <c r="D44" s="153" t="inlineStr">
        <is>
          <t>BB-
(13.05.07~14.05.06)</t>
        </is>
      </c>
      <c r="E44" s="724" t="inlineStr">
        <is>
          <t>A0
(25.04.11~26.04.10)</t>
        </is>
      </c>
      <c r="F44" s="736" t="n"/>
      <c r="G44" s="725" t="inlineStr">
        <is>
          <t>B+
(24.06.20~25.06.19)</t>
        </is>
      </c>
      <c r="H44" s="736" t="n"/>
      <c r="I44" s="736" t="n"/>
      <c r="J44" s="736" t="n"/>
      <c r="K44" s="725" t="inlineStr">
        <is>
          <t xml:space="preserve">BB0
(23.05.26~24.05.25) </t>
        </is>
      </c>
      <c r="L44" s="736" t="n"/>
      <c r="M44" s="736" t="n"/>
    </row>
    <row r="45">
      <c r="A45" s="74" t="inlineStr">
        <is>
          <t>여성기업</t>
        </is>
      </c>
      <c r="B45" s="736" t="n"/>
      <c r="C45" s="803" t="n"/>
      <c r="D45" s="49" t="n"/>
      <c r="E45" s="721" t="n"/>
      <c r="F45" s="736" t="n"/>
      <c r="G45" s="736" t="n"/>
      <c r="H45" s="736" t="n"/>
      <c r="I45" s="736" t="n"/>
      <c r="J45" s="736" t="n"/>
      <c r="K45" s="736" t="n"/>
      <c r="L45" s="736" t="n"/>
      <c r="M45" s="736" t="n"/>
    </row>
    <row r="46">
      <c r="A46" s="74" t="inlineStr">
        <is>
          <t>중소기업</t>
        </is>
      </c>
      <c r="B46" s="736" t="n"/>
      <c r="C46" s="803" t="n"/>
      <c r="D46" s="49" t="n"/>
      <c r="E46" s="721" t="n"/>
      <c r="F46" s="736" t="n"/>
      <c r="G46" s="736" t="n"/>
      <c r="H46" s="736" t="n"/>
      <c r="I46" s="736" t="n"/>
      <c r="J46" s="736" t="n"/>
      <c r="K46" s="736" t="n"/>
      <c r="L46" s="736" t="n"/>
      <c r="M46" s="736" t="n"/>
    </row>
    <row r="47">
      <c r="A47" s="71" t="inlineStr">
        <is>
          <t>일자리창출실적</t>
        </is>
      </c>
      <c r="B47" s="736" t="n"/>
      <c r="C47" s="803" t="n"/>
      <c r="D47" s="49" t="n"/>
      <c r="E47" s="721" t="n"/>
      <c r="F47" s="736" t="n"/>
      <c r="G47" s="736" t="n"/>
      <c r="H47" s="736" t="n"/>
      <c r="I47" s="736" t="n"/>
      <c r="J47" s="736" t="n"/>
      <c r="K47" s="736" t="n"/>
      <c r="L47" s="736" t="n"/>
      <c r="M47" s="736" t="n"/>
    </row>
    <row r="48">
      <c r="A48" s="71" t="inlineStr">
        <is>
          <t>시공품질평가</t>
        </is>
      </c>
      <c r="B48" s="736" t="n"/>
      <c r="C48" s="803" t="n"/>
      <c r="D48" s="49" t="n"/>
      <c r="E48" s="721" t="inlineStr">
        <is>
          <t>없음 (24.05.01)</t>
        </is>
      </c>
      <c r="F48" s="736" t="n"/>
      <c r="G48" s="736" t="n"/>
      <c r="H48" s="736" t="n"/>
      <c r="I48" s="736" t="n"/>
      <c r="J48" s="736" t="n"/>
      <c r="K48" s="736" t="n"/>
      <c r="L48" s="736" t="n"/>
      <c r="M48" s="736" t="n"/>
    </row>
    <row r="49">
      <c r="A49" s="74" t="inlineStr">
        <is>
          <t>비  고</t>
        </is>
      </c>
      <c r="B49" s="732" t="inlineStr">
        <is>
          <t>김희준</t>
        </is>
      </c>
      <c r="C49" s="752" t="n"/>
      <c r="D49" s="752" t="n"/>
      <c r="E49" s="762" t="n"/>
      <c r="F49" s="732" t="inlineStr">
        <is>
          <t>송용주</t>
        </is>
      </c>
      <c r="G49" s="777" t="inlineStr">
        <is>
          <t>송용주</t>
        </is>
      </c>
      <c r="H49" s="732" t="inlineStr">
        <is>
          <t>유형민</t>
        </is>
      </c>
      <c r="I49" s="732" t="inlineStr">
        <is>
          <t>임태균</t>
        </is>
      </c>
      <c r="J49" s="732" t="inlineStr">
        <is>
          <t>유형민</t>
        </is>
      </c>
      <c r="K49" s="758" t="inlineStr">
        <is>
          <t>구본진,윤명숙</t>
        </is>
      </c>
      <c r="L49" s="752" t="n"/>
      <c r="M49" s="752" t="inlineStr">
        <is>
          <t>김희준</t>
        </is>
      </c>
    </row>
    <row r="50" ht="26.1" customHeight="1" s="16">
      <c r="A50" s="455" t="inlineStr">
        <is>
          <t>회사명</t>
        </is>
      </c>
      <c r="B50" s="455" t="inlineStr">
        <is>
          <t>아이오티씨큐(유)</t>
        </is>
      </c>
      <c r="C50" s="455" t="inlineStr">
        <is>
          <t>로이앤테크㈜</t>
        </is>
      </c>
      <c r="D50" s="455" t="inlineStr">
        <is>
          <t>㈜유동전력통신</t>
        </is>
      </c>
      <c r="E50" s="455" t="inlineStr">
        <is>
          <t>㈜가람이앤씨</t>
        </is>
      </c>
      <c r="F50" s="455" t="inlineStr">
        <is>
          <t>㈜호반엔지니어링</t>
        </is>
      </c>
      <c r="G50" s="455" t="inlineStr">
        <is>
          <t>㈜인성시스템</t>
        </is>
      </c>
      <c r="H50" s="455" t="inlineStr">
        <is>
          <t>(유)엔젤시스템</t>
        </is>
      </c>
      <c r="I50" s="455" t="inlineStr">
        <is>
          <t>㈜아름전력</t>
        </is>
      </c>
      <c r="J50" s="455" t="inlineStr">
        <is>
          <t>㈜가온이알텍</t>
        </is>
      </c>
      <c r="K50" s="455" t="inlineStr">
        <is>
          <t>새천년종합건설㈜</t>
        </is>
      </c>
      <c r="L50" s="455" t="inlineStr">
        <is>
          <t>(주)남전</t>
        </is>
      </c>
      <c r="M50" s="455" t="n"/>
    </row>
    <row r="51">
      <c r="A51" s="74" t="inlineStr">
        <is>
          <t>대표자</t>
        </is>
      </c>
      <c r="B51" s="825" t="inlineStr">
        <is>
          <t>이도행</t>
        </is>
      </c>
      <c r="C51" s="825" t="inlineStr">
        <is>
          <t>정민주</t>
        </is>
      </c>
      <c r="D51" s="825" t="inlineStr">
        <is>
          <t>문영덕</t>
        </is>
      </c>
      <c r="E51" s="752" t="inlineStr">
        <is>
          <t>김성수</t>
        </is>
      </c>
      <c r="F51" s="777" t="inlineStr">
        <is>
          <t>조이환</t>
        </is>
      </c>
      <c r="G51" s="742" t="inlineStr">
        <is>
          <t>서성인</t>
        </is>
      </c>
      <c r="H51" s="752" t="inlineStr">
        <is>
          <t>강미진</t>
        </is>
      </c>
      <c r="I51" s="752" t="inlineStr">
        <is>
          <t>박민희</t>
        </is>
      </c>
      <c r="J51" s="919" t="inlineStr">
        <is>
          <t>박형재</t>
        </is>
      </c>
      <c r="K51" s="920" t="inlineStr">
        <is>
          <t>정기승</t>
        </is>
      </c>
      <c r="L51" s="742" t="inlineStr">
        <is>
          <t>이은솔</t>
        </is>
      </c>
      <c r="M51" s="752" t="n"/>
    </row>
    <row r="52">
      <c r="A52" s="74" t="inlineStr">
        <is>
          <t>사업자번호</t>
        </is>
      </c>
      <c r="B52" s="438" t="inlineStr">
        <is>
          <t>404-81-25503</t>
        </is>
      </c>
      <c r="C52" s="438" t="inlineStr">
        <is>
          <t>440-81-02641</t>
        </is>
      </c>
      <c r="D52" s="438" t="inlineStr">
        <is>
          <t>310-81-18032</t>
        </is>
      </c>
      <c r="E52" s="54" t="inlineStr">
        <is>
          <t>409-81-99714</t>
        </is>
      </c>
      <c r="F52" s="106" t="inlineStr">
        <is>
          <t>756-88-00829</t>
        </is>
      </c>
      <c r="G52" s="438" t="inlineStr">
        <is>
          <t>410-86-38288</t>
        </is>
      </c>
      <c r="H52" s="54" t="inlineStr">
        <is>
          <t>411-81-23181</t>
        </is>
      </c>
      <c r="I52" s="54" t="inlineStr">
        <is>
          <t>411-81-23497</t>
        </is>
      </c>
      <c r="J52" s="115" t="inlineStr">
        <is>
          <t>411-81-59258</t>
        </is>
      </c>
      <c r="K52" s="385" t="inlineStr">
        <is>
          <t>414-81-02642</t>
        </is>
      </c>
      <c r="L52" s="438" t="inlineStr">
        <is>
          <t>867-86-02900</t>
        </is>
      </c>
      <c r="M52" s="54" t="n"/>
    </row>
    <row r="53">
      <c r="A53" s="74" t="inlineStr">
        <is>
          <t>지역</t>
        </is>
      </c>
      <c r="B53" s="825" t="inlineStr">
        <is>
          <t>전남 강진군</t>
        </is>
      </c>
      <c r="C53" s="825" t="inlineStr">
        <is>
          <t>전남 신안군</t>
        </is>
      </c>
      <c r="D53" s="825" t="inlineStr">
        <is>
          <t>전남 해남군</t>
        </is>
      </c>
      <c r="E53" s="752" t="inlineStr">
        <is>
          <t>전남 광양시</t>
        </is>
      </c>
      <c r="F53" s="777" t="inlineStr">
        <is>
          <t>전남 목포시</t>
        </is>
      </c>
      <c r="G53" s="825" t="inlineStr">
        <is>
          <t>전남 나주시</t>
        </is>
      </c>
      <c r="H53" s="752" t="inlineStr">
        <is>
          <t>전남 목포시</t>
        </is>
      </c>
      <c r="I53" s="752" t="inlineStr">
        <is>
          <t>전남 무안군</t>
        </is>
      </c>
      <c r="J53" s="919" t="inlineStr">
        <is>
          <t>전남 영암군</t>
        </is>
      </c>
      <c r="K53" s="920" t="inlineStr">
        <is>
          <t>전남 나주시</t>
        </is>
      </c>
      <c r="L53" s="742" t="inlineStr">
        <is>
          <t>전남 나주시</t>
        </is>
      </c>
      <c r="M53" s="752" t="n"/>
    </row>
    <row r="54">
      <c r="A54" s="74" t="inlineStr">
        <is>
          <t>통신시공능력</t>
        </is>
      </c>
      <c r="B54" s="742" t="n">
        <v>1293400000</v>
      </c>
      <c r="C54" s="742" t="n">
        <v>1248600000</v>
      </c>
      <c r="D54" s="742" t="n">
        <v>1319800000</v>
      </c>
      <c r="E54" s="752" t="n">
        <v>541200000</v>
      </c>
      <c r="F54" s="777" t="n">
        <v>814900000</v>
      </c>
      <c r="G54" s="742" t="n">
        <v>2914900000</v>
      </c>
      <c r="H54" s="752" t="n">
        <v>618700000</v>
      </c>
      <c r="I54" s="752" t="n">
        <v>849600000</v>
      </c>
      <c r="J54" s="919" t="n">
        <v>752200000</v>
      </c>
      <c r="K54" s="921" t="n">
        <v>964900000</v>
      </c>
      <c r="L54" s="742" t="n">
        <v>882700000</v>
      </c>
      <c r="M54" s="752" t="n"/>
    </row>
    <row r="55">
      <c r="A55" s="74" t="inlineStr">
        <is>
          <t>3년간 실적액</t>
        </is>
      </c>
      <c r="B55" s="742" t="n">
        <v>212878000</v>
      </c>
      <c r="C55" s="742" t="n">
        <v>652210000</v>
      </c>
      <c r="D55" s="742" t="n">
        <v>885449000</v>
      </c>
      <c r="E55" s="752" t="n">
        <v>252347000</v>
      </c>
      <c r="F55" s="777" t="n">
        <v>350371000</v>
      </c>
      <c r="G55" s="742" t="n">
        <v>1615514000</v>
      </c>
      <c r="H55" s="752" t="n">
        <v>204932000</v>
      </c>
      <c r="I55" s="752" t="n">
        <v>21890000</v>
      </c>
      <c r="J55" s="919" t="n">
        <v>457287000</v>
      </c>
      <c r="K55" s="921" t="n">
        <v>1554572000</v>
      </c>
      <c r="L55" s="742" t="n">
        <v>593738000</v>
      </c>
      <c r="M55" s="752" t="n"/>
    </row>
    <row r="56">
      <c r="A56" s="74" t="inlineStr">
        <is>
          <t>5년간 실적액</t>
        </is>
      </c>
      <c r="B56" s="742" t="n">
        <v>1414088000</v>
      </c>
      <c r="C56" s="742" t="n">
        <v>652210000</v>
      </c>
      <c r="D56" s="742" t="n">
        <v>1418047000</v>
      </c>
      <c r="E56" s="752" t="n">
        <v>371554000</v>
      </c>
      <c r="F56" s="777" t="n">
        <v>350371000</v>
      </c>
      <c r="G56" s="742" t="n">
        <v>2976304000</v>
      </c>
      <c r="H56" s="752" t="n">
        <v>1151495000</v>
      </c>
      <c r="I56" s="752" t="n">
        <v>99872000</v>
      </c>
      <c r="J56" s="919" t="n">
        <v>757978000</v>
      </c>
      <c r="K56" s="921" t="n">
        <v>2124915000</v>
      </c>
      <c r="L56" s="742" t="n">
        <v>2032300000</v>
      </c>
      <c r="M56" s="752" t="n"/>
    </row>
    <row r="57" ht="15" customHeight="1" s="16">
      <c r="A57" s="916" t="inlineStr">
        <is>
          <t>부채비율</t>
        </is>
      </c>
      <c r="B57" s="443" t="n">
        <v>0.4342</v>
      </c>
      <c r="C57" s="443" t="n">
        <v>0.3904</v>
      </c>
      <c r="D57" s="443" t="n">
        <v>0.0708</v>
      </c>
      <c r="E57" s="48" t="n">
        <v>2.2274</v>
      </c>
      <c r="F57" s="95" t="n">
        <v>1.4058</v>
      </c>
      <c r="G57" s="443" t="n">
        <v>0.3184</v>
      </c>
      <c r="H57" s="10" t="n">
        <v>0.2057</v>
      </c>
      <c r="I57" s="10" t="n">
        <v>0.0504</v>
      </c>
      <c r="J57" s="97" t="n">
        <v>0.1702</v>
      </c>
      <c r="K57" s="386" t="n">
        <v>-1.5153</v>
      </c>
      <c r="L57" s="443" t="n">
        <v>1.0486</v>
      </c>
      <c r="M57" s="47" t="n"/>
    </row>
    <row r="58">
      <c r="A58" s="916" t="inlineStr">
        <is>
          <t>유동비율</t>
        </is>
      </c>
      <c r="B58" s="443" t="n">
        <v>8.8132</v>
      </c>
      <c r="C58" s="443" t="n">
        <v>3.2134</v>
      </c>
      <c r="D58" s="443" t="n">
        <v>7.8799</v>
      </c>
      <c r="E58" s="10" t="n">
        <v>29.6278</v>
      </c>
      <c r="F58" s="101" t="n">
        <v>169.7533</v>
      </c>
      <c r="G58" s="443" t="n">
        <v>17.4941</v>
      </c>
      <c r="H58" s="10" t="n">
        <v>20.8714</v>
      </c>
      <c r="I58" s="10" t="n">
        <v>37.7136</v>
      </c>
      <c r="J58" s="97" t="n">
        <v>15.9883</v>
      </c>
      <c r="K58" s="387" t="n">
        <v>0.2735</v>
      </c>
      <c r="L58" s="443" t="n">
        <v>1.6736</v>
      </c>
      <c r="M58" s="47" t="n"/>
    </row>
    <row r="59" ht="22.5" customHeight="1" s="16">
      <c r="A59" s="917" t="inlineStr">
        <is>
          <t>영업기간
공사업등록일</t>
        </is>
      </c>
      <c r="B59" s="446" t="inlineStr">
        <is>
          <t>2008.05.15</t>
        </is>
      </c>
      <c r="C59" s="446" t="inlineStr">
        <is>
          <t>2022.11.17</t>
        </is>
      </c>
      <c r="D59" s="922" t="inlineStr">
        <is>
          <t>2009.12.21</t>
        </is>
      </c>
      <c r="E59" s="10" t="inlineStr">
        <is>
          <t>2015.03.30</t>
        </is>
      </c>
      <c r="F59" s="117" t="inlineStr">
        <is>
          <t>2021.09.05</t>
        </is>
      </c>
      <c r="G59" s="446" t="inlineStr">
        <is>
          <t>2010.05.17</t>
        </is>
      </c>
      <c r="H59" s="10" t="inlineStr">
        <is>
          <t>2010.10.18</t>
        </is>
      </c>
      <c r="I59" s="10" t="inlineStr">
        <is>
          <t>2008.06.23</t>
        </is>
      </c>
      <c r="J59" s="117" t="inlineStr">
        <is>
          <t>2019.10.10</t>
        </is>
      </c>
      <c r="K59" s="386" t="inlineStr">
        <is>
          <t>2012.04.23</t>
        </is>
      </c>
      <c r="L59" s="443" t="inlineStr">
        <is>
          <t>2018.10.08</t>
        </is>
      </c>
      <c r="M59" s="10" t="n"/>
    </row>
    <row r="60" ht="22.5" customHeight="1" s="16">
      <c r="A60" s="74" t="inlineStr">
        <is>
          <t>신용평가</t>
        </is>
      </c>
      <c r="B60" s="736" t="n"/>
      <c r="C60" s="803" t="n"/>
      <c r="D60" s="49" t="n"/>
      <c r="E60" s="725" t="inlineStr">
        <is>
          <t>B+
(23.05.22~24.05.21)</t>
        </is>
      </c>
      <c r="F60" s="157" t="inlineStr">
        <is>
          <t>BB0
(24.06.28~25.06.27)</t>
        </is>
      </c>
      <c r="G60" s="736" t="n"/>
      <c r="H60" s="736" t="n"/>
      <c r="I60" s="725" t="inlineStr">
        <is>
          <t>B0
(23.07.05~24.06.30)</t>
        </is>
      </c>
      <c r="J60" s="161" t="n"/>
      <c r="K60" s="923" t="inlineStr">
        <is>
          <t>BB0
(25.08.12~26.06.30)</t>
        </is>
      </c>
      <c r="L60" s="772" t="inlineStr">
        <is>
          <t>BB-
(25.04.23~26.04.22)</t>
        </is>
      </c>
      <c r="M60" s="736" t="n"/>
    </row>
    <row r="61">
      <c r="A61" s="74" t="inlineStr">
        <is>
          <t>여성기업</t>
        </is>
      </c>
      <c r="B61" s="833" t="n"/>
      <c r="C61" s="874" t="n"/>
      <c r="D61" s="448" t="n"/>
      <c r="E61" s="736" t="n"/>
      <c r="F61" s="736" t="n"/>
      <c r="G61" s="833" t="n"/>
      <c r="H61" s="736" t="n"/>
      <c r="I61" s="736" t="n"/>
      <c r="J61" s="924" t="n"/>
      <c r="K61" s="925" t="n"/>
      <c r="L61" s="772" t="n"/>
      <c r="M61" s="736" t="n"/>
    </row>
    <row r="62">
      <c r="A62" s="74" t="inlineStr">
        <is>
          <t>중소기업</t>
        </is>
      </c>
      <c r="B62" s="833" t="n"/>
      <c r="C62" s="874" t="n"/>
      <c r="D62" s="448" t="n"/>
      <c r="E62" s="736" t="n"/>
      <c r="F62" s="736" t="n"/>
      <c r="G62" s="833" t="n"/>
      <c r="H62" s="736" t="n"/>
      <c r="I62" s="736" t="n"/>
      <c r="J62" s="924" t="n"/>
      <c r="K62" s="925" t="n"/>
      <c r="L62" s="736" t="n"/>
      <c r="M62" s="736" t="n"/>
    </row>
    <row r="63">
      <c r="A63" s="71" t="inlineStr">
        <is>
          <t>일자리창출실적</t>
        </is>
      </c>
      <c r="B63" s="833" t="n"/>
      <c r="C63" s="874" t="n"/>
      <c r="D63" s="448" t="n"/>
      <c r="E63" s="736" t="n"/>
      <c r="F63" s="736" t="n"/>
      <c r="G63" s="833" t="n"/>
      <c r="H63" s="736" t="n"/>
      <c r="I63" s="736" t="n"/>
      <c r="J63" s="924" t="n"/>
      <c r="K63" s="925" t="n"/>
      <c r="L63" s="772" t="n"/>
      <c r="M63" s="736" t="n"/>
    </row>
    <row r="64">
      <c r="A64" s="71" t="inlineStr">
        <is>
          <t>시공품질평가</t>
        </is>
      </c>
      <c r="B64" s="833" t="n"/>
      <c r="C64" s="874" t="n"/>
      <c r="D64" s="448" t="n"/>
      <c r="E64" s="736" t="n"/>
      <c r="F64" s="736" t="n"/>
      <c r="G64" s="833" t="n"/>
      <c r="H64" s="736" t="n"/>
      <c r="I64" s="736" t="n"/>
      <c r="J64" s="924" t="n"/>
      <c r="K64" s="925" t="n"/>
      <c r="L64" s="772" t="n"/>
      <c r="M64" s="736" t="n"/>
    </row>
    <row r="65">
      <c r="A65" s="74" t="inlineStr">
        <is>
          <t>비  고</t>
        </is>
      </c>
      <c r="B65" s="825" t="inlineStr">
        <is>
          <t>윤명숙</t>
        </is>
      </c>
      <c r="C65" s="825" t="inlineStr">
        <is>
          <t>윤명숙</t>
        </is>
      </c>
      <c r="D65" s="825" t="inlineStr">
        <is>
          <t>송용주</t>
        </is>
      </c>
      <c r="E65" s="752" t="inlineStr">
        <is>
          <t>이동훈</t>
        </is>
      </c>
      <c r="F65" s="781" t="inlineStr">
        <is>
          <t>송용주</t>
        </is>
      </c>
      <c r="G65" s="825" t="inlineStr">
        <is>
          <t>윤명숙</t>
        </is>
      </c>
      <c r="H65" s="752" t="inlineStr">
        <is>
          <t>송용주</t>
        </is>
      </c>
      <c r="I65" s="9" t="inlineStr">
        <is>
          <t>서권형</t>
        </is>
      </c>
      <c r="J65" s="926" t="inlineStr">
        <is>
          <t>송용주</t>
        </is>
      </c>
      <c r="K65" s="927" t="inlineStr">
        <is>
          <t>유형민</t>
        </is>
      </c>
      <c r="L65" s="742" t="inlineStr">
        <is>
          <t>정송인</t>
        </is>
      </c>
      <c r="M65" s="752" t="n"/>
    </row>
  </sheetData>
  <mergeCells count="1">
    <mergeCell ref="A1:M1"/>
  </mergeCells>
  <printOptions horizontalCentered="1"/>
  <pageMargins left="0.03937007874015748" right="0.03937007874015748" top="0.1968503937007874" bottom="0.1968503937007874" header="0" footer="0"/>
  <pageSetup orientation="landscape" paperSize="9" scale="55"/>
</worksheet>
</file>

<file path=xl/worksheets/sheet12.xml><?xml version="1.0" encoding="utf-8"?>
<worksheet xmlns="http://schemas.openxmlformats.org/spreadsheetml/2006/main">
  <sheetPr codeName="Sheet12">
    <outlinePr summaryBelow="1" summaryRight="1"/>
    <pageSetUpPr/>
  </sheetPr>
  <dimension ref="A1:N33"/>
  <sheetViews>
    <sheetView zoomScaleNormal="100" workbookViewId="0">
      <pane ySplit="1" topLeftCell="A2" activePane="bottomLeft" state="frozen"/>
      <selection pane="bottomLeft" activeCell="A18" sqref="A18:M18"/>
    </sheetView>
  </sheetViews>
  <sheetFormatPr baseColWidth="8" defaultRowHeight="13.5"/>
  <cols>
    <col width="10.77734375" bestFit="1" customWidth="1" style="16" min="1" max="1"/>
    <col width="15.77734375" customWidth="1" style="16" min="2" max="13"/>
    <col width="8.88671875" customWidth="1" style="16" min="14" max="55"/>
    <col width="8.88671875" customWidth="1" style="16" min="56" max="16384"/>
  </cols>
  <sheetData>
    <row r="1" ht="25.5" customHeight="1" s="16">
      <c r="A1" s="702" t="inlineStr">
        <is>
          <t>통 신 ( 전 북 )</t>
        </is>
      </c>
      <c r="B1" s="700" t="n"/>
      <c r="C1" s="700" t="n"/>
      <c r="D1" s="700" t="n"/>
      <c r="E1" s="700" t="n"/>
      <c r="F1" s="700" t="n"/>
      <c r="G1" s="700" t="n"/>
      <c r="H1" s="700" t="n"/>
      <c r="I1" s="700" t="n"/>
      <c r="J1" s="700" t="n"/>
      <c r="K1" s="700" t="n"/>
      <c r="L1" s="700" t="n"/>
      <c r="M1" s="701" t="n"/>
    </row>
    <row r="2" ht="26.1" customFormat="1" customHeight="1" s="18">
      <c r="A2" s="455" t="inlineStr">
        <is>
          <t>회사명</t>
        </is>
      </c>
      <c r="B2" s="455" t="inlineStr">
        <is>
          <t>금부㈜</t>
        </is>
      </c>
      <c r="C2" s="455" t="inlineStr">
        <is>
          <t>㈜대동전력</t>
        </is>
      </c>
      <c r="D2" s="455" t="inlineStr">
        <is>
          <t>㈜더블유제이이엔에스</t>
        </is>
      </c>
      <c r="E2" s="455" t="inlineStr">
        <is>
          <t>(유)라인정보통신</t>
        </is>
      </c>
      <c r="F2" s="455" t="inlineStr">
        <is>
          <t>(유)바울전기통신</t>
        </is>
      </c>
      <c r="G2" s="455" t="inlineStr">
        <is>
          <t>상명이엔씨㈜</t>
        </is>
      </c>
      <c r="H2" s="455" t="inlineStr">
        <is>
          <t>삼오전기㈜</t>
        </is>
      </c>
      <c r="I2" s="455" t="inlineStr">
        <is>
          <t>(유)시원</t>
        </is>
      </c>
      <c r="J2" s="455" t="inlineStr">
        <is>
          <t>㈜신세기
엔지니어링</t>
        </is>
      </c>
      <c r="K2" s="455" t="inlineStr">
        <is>
          <t>㈜에이치케이</t>
        </is>
      </c>
      <c r="L2" s="455" t="inlineStr">
        <is>
          <t>(유)태림통신</t>
        </is>
      </c>
      <c r="M2" s="455" t="inlineStr">
        <is>
          <t>(유)테마이엔씨</t>
        </is>
      </c>
    </row>
    <row r="3" customFormat="1" s="23">
      <c r="A3" s="68" t="inlineStr">
        <is>
          <t>대표자</t>
        </is>
      </c>
      <c r="B3" s="752" t="inlineStr">
        <is>
          <t>진창자</t>
        </is>
      </c>
      <c r="C3" s="752" t="inlineStr">
        <is>
          <t>장정단</t>
        </is>
      </c>
      <c r="D3" s="752" t="inlineStr">
        <is>
          <t>강우진</t>
        </is>
      </c>
      <c r="E3" s="752" t="inlineStr">
        <is>
          <t>박진영</t>
        </is>
      </c>
      <c r="F3" s="732" t="inlineStr">
        <is>
          <t>최신정</t>
        </is>
      </c>
      <c r="G3" s="732" t="inlineStr">
        <is>
          <t>이율재</t>
        </is>
      </c>
      <c r="H3" s="752" t="inlineStr">
        <is>
          <t>김은하</t>
        </is>
      </c>
      <c r="I3" s="732" t="inlineStr">
        <is>
          <t>김형모</t>
        </is>
      </c>
      <c r="J3" s="732" t="inlineStr">
        <is>
          <t>이원일</t>
        </is>
      </c>
      <c r="K3" s="752" t="inlineStr">
        <is>
          <t>고봉석</t>
        </is>
      </c>
      <c r="L3" s="1" t="inlineStr">
        <is>
          <t>김안석</t>
        </is>
      </c>
      <c r="M3" s="732" t="inlineStr">
        <is>
          <t>임종명</t>
        </is>
      </c>
    </row>
    <row r="4" customFormat="1" s="21">
      <c r="A4" s="68" t="inlineStr">
        <is>
          <t>사업자번호</t>
        </is>
      </c>
      <c r="B4" s="54" t="inlineStr">
        <is>
          <t>404-81-11936</t>
        </is>
      </c>
      <c r="C4" s="54" t="inlineStr">
        <is>
          <t>410-81-21706</t>
        </is>
      </c>
      <c r="D4" s="54" t="inlineStr">
        <is>
          <t>102-81-24535</t>
        </is>
      </c>
      <c r="E4" s="54" t="inlineStr">
        <is>
          <t>401-81-30031</t>
        </is>
      </c>
      <c r="F4" s="4" t="inlineStr">
        <is>
          <t>403-81-33505</t>
        </is>
      </c>
      <c r="G4" s="4" t="inlineStr">
        <is>
          <t>410-81-17482</t>
        </is>
      </c>
      <c r="H4" s="54" t="inlineStr">
        <is>
          <t>418-81-29245</t>
        </is>
      </c>
      <c r="I4" s="4" t="inlineStr">
        <is>
          <t>402-81-48776</t>
        </is>
      </c>
      <c r="J4" s="4" t="inlineStr">
        <is>
          <t>403-81-05839</t>
        </is>
      </c>
      <c r="K4" s="54" t="inlineStr">
        <is>
          <t>404-81-21211</t>
        </is>
      </c>
      <c r="L4" s="1" t="inlineStr">
        <is>
          <t>405-81-07978</t>
        </is>
      </c>
      <c r="M4" s="4" t="inlineStr">
        <is>
          <t>407-81-11804</t>
        </is>
      </c>
    </row>
    <row r="5" customFormat="1" s="23">
      <c r="A5" s="68" t="inlineStr">
        <is>
          <t>지역</t>
        </is>
      </c>
      <c r="B5" s="752" t="inlineStr">
        <is>
          <t>전북 정읍시</t>
        </is>
      </c>
      <c r="C5" s="752" t="inlineStr">
        <is>
          <t>전북 부안군</t>
        </is>
      </c>
      <c r="D5" s="752" t="inlineStr">
        <is>
          <t>전북</t>
        </is>
      </c>
      <c r="E5" s="752" t="inlineStr">
        <is>
          <t>전북 군산시</t>
        </is>
      </c>
      <c r="F5" s="732" t="inlineStr">
        <is>
          <t>전북</t>
        </is>
      </c>
      <c r="G5" s="732" t="inlineStr">
        <is>
          <t>전북 완주군</t>
        </is>
      </c>
      <c r="H5" s="752" t="inlineStr">
        <is>
          <t>전북 김제시</t>
        </is>
      </c>
      <c r="I5" s="732" t="inlineStr">
        <is>
          <t>전북</t>
        </is>
      </c>
      <c r="J5" s="732" t="inlineStr">
        <is>
          <t>전북 익산시</t>
        </is>
      </c>
      <c r="K5" s="752" t="inlineStr">
        <is>
          <t>전북 정읍시</t>
        </is>
      </c>
      <c r="L5" s="1" t="inlineStr">
        <is>
          <t>전북</t>
        </is>
      </c>
      <c r="M5" s="732" t="inlineStr">
        <is>
          <t>전북 남원시</t>
        </is>
      </c>
    </row>
    <row r="6" customFormat="1" s="21">
      <c r="A6" s="68" t="inlineStr">
        <is>
          <t>통신시공능력</t>
        </is>
      </c>
      <c r="B6" s="752" t="n">
        <v>4758000000</v>
      </c>
      <c r="C6" s="752" t="n">
        <v>1324900000</v>
      </c>
      <c r="D6" s="752" t="n">
        <v>3179400000</v>
      </c>
      <c r="E6" s="752" t="n">
        <v>1304000000</v>
      </c>
      <c r="F6" s="732" t="n">
        <v>3768000000</v>
      </c>
      <c r="G6" s="732" t="n">
        <v>1811500000</v>
      </c>
      <c r="H6" s="752" t="n">
        <v>1455500000</v>
      </c>
      <c r="I6" s="732" t="n">
        <v>3828900000</v>
      </c>
      <c r="J6" s="732" t="n">
        <v>6652300000</v>
      </c>
      <c r="K6" s="777" t="n">
        <v>1628900000</v>
      </c>
      <c r="L6" s="732" t="n">
        <v>1175700000</v>
      </c>
      <c r="M6" s="732" t="n">
        <v>1636400000</v>
      </c>
    </row>
    <row r="7" customFormat="1" s="23">
      <c r="A7" s="68" t="inlineStr">
        <is>
          <t>3년간 실적액</t>
        </is>
      </c>
      <c r="B7" s="752" t="n">
        <v>2094930000</v>
      </c>
      <c r="C7" s="752" t="n">
        <v>385333000</v>
      </c>
      <c r="D7" s="752">
        <f>1305766000+1697792000+437750000</f>
        <v/>
      </c>
      <c r="E7" s="752" t="n">
        <v>527809000</v>
      </c>
      <c r="F7" s="732" t="n">
        <v>3142664000</v>
      </c>
      <c r="G7" s="732" t="n">
        <v>395512000</v>
      </c>
      <c r="H7" s="752" t="n">
        <v>1927005000</v>
      </c>
      <c r="I7" s="732" t="n">
        <v>4571451000</v>
      </c>
      <c r="J7" s="732" t="n">
        <v>8980272000</v>
      </c>
      <c r="K7" s="752" t="n">
        <v>953179000</v>
      </c>
      <c r="L7" s="732" t="n">
        <v>792826000</v>
      </c>
      <c r="M7" s="732" t="n">
        <v>1903347000</v>
      </c>
    </row>
    <row r="8" customFormat="1" s="23">
      <c r="A8" s="68" t="inlineStr">
        <is>
          <t>5년간 실적액</t>
        </is>
      </c>
      <c r="B8" s="752" t="n">
        <v>2094930000</v>
      </c>
      <c r="C8" s="752" t="n">
        <v>385333000</v>
      </c>
      <c r="D8" s="752">
        <f>D7+549292</f>
        <v/>
      </c>
      <c r="E8" s="752" t="n">
        <v>1341024000</v>
      </c>
      <c r="F8" s="732" t="n">
        <v>4025661000</v>
      </c>
      <c r="G8" s="732" t="n">
        <v>395512000</v>
      </c>
      <c r="H8" s="752" t="n">
        <v>2948894000</v>
      </c>
      <c r="I8" s="732" t="n">
        <v>6252886000</v>
      </c>
      <c r="J8" s="732" t="n">
        <v>11291019000</v>
      </c>
      <c r="K8" s="752" t="n">
        <v>1343670000</v>
      </c>
      <c r="L8" s="732" t="n">
        <v>1035922000</v>
      </c>
      <c r="M8" s="732" t="n">
        <v>2108924000</v>
      </c>
    </row>
    <row r="9" customFormat="1" s="886">
      <c r="A9" s="855" t="inlineStr">
        <is>
          <t>부채비율</t>
        </is>
      </c>
      <c r="B9" s="10" t="n">
        <v>0</v>
      </c>
      <c r="C9" s="10" t="n">
        <v>0.1376</v>
      </c>
      <c r="D9" s="10" t="n">
        <v>0.3525</v>
      </c>
      <c r="E9" s="10" t="n">
        <v>0.1129</v>
      </c>
      <c r="F9" s="2" t="n">
        <v>0.6301</v>
      </c>
      <c r="G9" s="10" t="n"/>
      <c r="H9" s="10" t="n">
        <v>0.1223</v>
      </c>
      <c r="I9" s="2" t="n">
        <v>0.6724</v>
      </c>
      <c r="J9" s="2" t="n">
        <v>0.2477</v>
      </c>
      <c r="K9" s="10" t="n">
        <v>0.2403</v>
      </c>
      <c r="L9" s="2" t="n">
        <v>0.3015</v>
      </c>
      <c r="M9" s="2" t="n">
        <v>0.08160000000000001</v>
      </c>
    </row>
    <row r="10" customFormat="1" s="886">
      <c r="A10" s="855" t="inlineStr">
        <is>
          <t>유동비율</t>
        </is>
      </c>
      <c r="B10" s="10" t="inlineStr">
        <is>
          <t>∞</t>
        </is>
      </c>
      <c r="C10" s="10" t="n">
        <v>19.3628</v>
      </c>
      <c r="D10" s="10" t="n">
        <v>2.5021</v>
      </c>
      <c r="E10" s="10" t="n">
        <v>22.5463</v>
      </c>
      <c r="F10" s="2" t="n">
        <v>3.3444</v>
      </c>
      <c r="G10" s="10" t="n"/>
      <c r="H10" s="10" t="n">
        <v>16.6549</v>
      </c>
      <c r="I10" s="2" t="n">
        <v>2.2595</v>
      </c>
      <c r="J10" s="2" t="n">
        <v>5.2507</v>
      </c>
      <c r="K10" s="10" t="n">
        <v>16.8703</v>
      </c>
      <c r="L10" s="2" t="n">
        <v>6.1264</v>
      </c>
      <c r="M10" s="2" t="n">
        <v>143.0931</v>
      </c>
    </row>
    <row r="11" ht="24" customFormat="1" customHeight="1" s="886">
      <c r="A11" s="856" t="inlineStr">
        <is>
          <t>영업기간
공사업등록일</t>
        </is>
      </c>
      <c r="B11" s="10" t="inlineStr">
        <is>
          <t>2016.03.15</t>
        </is>
      </c>
      <c r="C11" s="10" t="inlineStr">
        <is>
          <t>2000.07.26</t>
        </is>
      </c>
      <c r="D11" s="10" t="inlineStr">
        <is>
          <t>3년이상%</t>
        </is>
      </c>
      <c r="E11" s="10" t="inlineStr">
        <is>
          <t>2005.10.30</t>
        </is>
      </c>
      <c r="F11" s="2" t="inlineStr">
        <is>
          <t>10년이상%</t>
        </is>
      </c>
      <c r="G11" s="10" t="n"/>
      <c r="H11" s="10" t="inlineStr">
        <is>
          <t>2011.02.09</t>
        </is>
      </c>
      <c r="I11" s="2" t="inlineStr">
        <is>
          <t>5년이상%</t>
        </is>
      </c>
      <c r="J11" s="2" t="inlineStr">
        <is>
          <t>10년이상%</t>
        </is>
      </c>
      <c r="K11" s="10" t="inlineStr">
        <is>
          <t>2018.02.21</t>
        </is>
      </c>
      <c r="L11" s="2" t="inlineStr">
        <is>
          <t>10년이상%</t>
        </is>
      </c>
      <c r="M11" s="2" t="inlineStr">
        <is>
          <t>5년이상%</t>
        </is>
      </c>
    </row>
    <row r="12" ht="22.5" customFormat="1" customHeight="1" s="23">
      <c r="A12" s="68" t="inlineStr">
        <is>
          <t>신용평가</t>
        </is>
      </c>
      <c r="B12" s="736" t="n"/>
      <c r="C12" s="736" t="n"/>
      <c r="D12" s="803" t="n"/>
      <c r="E12" s="803" t="n"/>
      <c r="F12" s="803" t="n"/>
      <c r="G12" s="820" t="inlineStr">
        <is>
          <t>BBB-</t>
        </is>
      </c>
      <c r="H12" s="803" t="n"/>
      <c r="I12" s="803" t="n"/>
      <c r="J12" s="803" t="n"/>
      <c r="K12" s="803" t="n"/>
      <c r="L12" s="12" t="n"/>
      <c r="M12" s="803" t="n"/>
    </row>
    <row r="13" customFormat="1" s="23">
      <c r="A13" s="68" t="inlineStr">
        <is>
          <t>여성기업</t>
        </is>
      </c>
      <c r="B13" s="736" t="n"/>
      <c r="C13" s="736" t="n"/>
      <c r="D13" s="803" t="n"/>
      <c r="E13" s="803" t="n"/>
      <c r="F13" s="803" t="n"/>
      <c r="G13" s="803" t="n"/>
      <c r="H13" s="803" t="n"/>
      <c r="I13" s="803" t="n"/>
      <c r="J13" s="803" t="n"/>
      <c r="K13" s="803" t="n"/>
      <c r="L13" s="12" t="n"/>
      <c r="M13" s="803" t="n"/>
    </row>
    <row r="14" customFormat="1" s="23">
      <c r="A14" s="68" t="inlineStr">
        <is>
          <t>중소기업</t>
        </is>
      </c>
      <c r="B14" s="736" t="n"/>
      <c r="C14" s="736" t="n"/>
      <c r="D14" s="803" t="n"/>
      <c r="E14" s="803" t="n"/>
      <c r="F14" s="803" t="n"/>
      <c r="G14" s="803" t="n"/>
      <c r="H14" s="803" t="n"/>
      <c r="I14" s="803" t="n"/>
      <c r="J14" s="803" t="n"/>
      <c r="K14" s="803" t="n"/>
      <c r="L14" s="12" t="n"/>
      <c r="M14" s="803" t="n"/>
    </row>
    <row r="15" customFormat="1" s="23">
      <c r="A15" s="71" t="inlineStr">
        <is>
          <t>일자리창출실적</t>
        </is>
      </c>
      <c r="B15" s="736" t="n"/>
      <c r="C15" s="736" t="n"/>
      <c r="D15" s="803" t="n"/>
      <c r="E15" s="803" t="n"/>
      <c r="F15" s="803" t="n"/>
      <c r="G15" s="803" t="n"/>
      <c r="H15" s="803" t="n"/>
      <c r="I15" s="803" t="n"/>
      <c r="J15" s="803" t="n"/>
      <c r="K15" s="803" t="n"/>
      <c r="L15" s="12" t="n"/>
      <c r="M15" s="803" t="n"/>
    </row>
    <row r="16" customFormat="1" s="23">
      <c r="A16" s="71" t="inlineStr">
        <is>
          <t>시공품질평가</t>
        </is>
      </c>
      <c r="B16" s="736" t="n"/>
      <c r="C16" s="736" t="n"/>
      <c r="D16" s="803" t="n"/>
      <c r="E16" s="803" t="n"/>
      <c r="F16" s="803" t="n"/>
      <c r="G16" s="803" t="n"/>
      <c r="H16" s="803" t="n"/>
      <c r="I16" s="803" t="n"/>
      <c r="J16" s="803" t="n"/>
      <c r="K16" s="803" t="n"/>
      <c r="L16" s="12" t="n"/>
      <c r="M16" s="803" t="n"/>
    </row>
    <row r="17" customFormat="1" s="23">
      <c r="A17" s="68" t="inlineStr">
        <is>
          <t>비  고</t>
        </is>
      </c>
      <c r="B17" s="752" t="inlineStr">
        <is>
          <t>윤명숙</t>
        </is>
      </c>
      <c r="C17" s="752" t="n"/>
      <c r="D17" s="752" t="n"/>
      <c r="E17" s="752" t="inlineStr">
        <is>
          <t>윤명숙</t>
        </is>
      </c>
      <c r="F17" s="732" t="inlineStr">
        <is>
          <t>송동은</t>
        </is>
      </c>
      <c r="G17" s="732" t="inlineStr">
        <is>
          <t>김희준</t>
        </is>
      </c>
      <c r="H17" s="752" t="inlineStr">
        <is>
          <t>윤명숙</t>
        </is>
      </c>
      <c r="I17" s="732" t="inlineStr">
        <is>
          <t>송동은</t>
        </is>
      </c>
      <c r="J17" s="752" t="n"/>
      <c r="K17" s="752" t="inlineStr">
        <is>
          <t>윤명숙</t>
        </is>
      </c>
      <c r="L17" s="732" t="inlineStr">
        <is>
          <t>홍정구</t>
        </is>
      </c>
      <c r="M17" s="732" t="inlineStr">
        <is>
          <t>김성수</t>
        </is>
      </c>
    </row>
    <row r="18" ht="26.1" customHeight="1" s="16">
      <c r="A18" s="455" t="inlineStr">
        <is>
          <t>회사명</t>
        </is>
      </c>
      <c r="B18" s="455" t="inlineStr">
        <is>
          <t>㈜포유</t>
        </is>
      </c>
      <c r="C18" s="455" t="inlineStr">
        <is>
          <t>㈜하이테크</t>
        </is>
      </c>
      <c r="D18" s="455" t="inlineStr">
        <is>
          <t>㈜송현전력</t>
        </is>
      </c>
      <c r="E18" s="455" t="inlineStr">
        <is>
          <t>(유)혁신엔지니어링</t>
        </is>
      </c>
      <c r="F18" s="455" t="inlineStr">
        <is>
          <t>㈜주왕산업</t>
        </is>
      </c>
      <c r="G18" s="455" t="inlineStr">
        <is>
          <t>㈜미르엘코</t>
        </is>
      </c>
      <c r="H18" s="455" t="inlineStr">
        <is>
          <t>㈜사물네트워크기술</t>
        </is>
      </c>
      <c r="I18" s="455" t="inlineStr">
        <is>
          <t>유성정보통신</t>
        </is>
      </c>
      <c r="J18" s="455" t="inlineStr">
        <is>
          <t>(유)다복</t>
        </is>
      </c>
      <c r="K18" s="455" t="inlineStr">
        <is>
          <t>㈜서경이엔씨</t>
        </is>
      </c>
      <c r="L18" s="455" t="n"/>
      <c r="M18" s="455" t="n"/>
    </row>
    <row r="19">
      <c r="A19" s="68" t="inlineStr">
        <is>
          <t>대표자</t>
        </is>
      </c>
      <c r="B19" s="732" t="inlineStr">
        <is>
          <t>최낙춘</t>
        </is>
      </c>
      <c r="C19" s="732" t="inlineStr">
        <is>
          <t>이진희</t>
        </is>
      </c>
      <c r="D19" s="777" t="inlineStr">
        <is>
          <t>최성락</t>
        </is>
      </c>
      <c r="E19" s="732" t="inlineStr">
        <is>
          <t>이현아</t>
        </is>
      </c>
      <c r="F19" s="732" t="inlineStr">
        <is>
          <t>나윤경</t>
        </is>
      </c>
      <c r="G19" s="732" t="inlineStr">
        <is>
          <t>문래천</t>
        </is>
      </c>
      <c r="H19" s="732" t="inlineStr">
        <is>
          <t>안정은</t>
        </is>
      </c>
      <c r="I19" s="752" t="inlineStr">
        <is>
          <t>김태형</t>
        </is>
      </c>
      <c r="J19" s="777" t="inlineStr">
        <is>
          <t>안경춘</t>
        </is>
      </c>
      <c r="K19" s="875" t="inlineStr">
        <is>
          <t>이일선</t>
        </is>
      </c>
      <c r="L19" s="752" t="n"/>
      <c r="M19" s="752" t="n"/>
    </row>
    <row r="20">
      <c r="A20" s="68" t="inlineStr">
        <is>
          <t>사업자번호</t>
        </is>
      </c>
      <c r="B20" s="4" t="inlineStr">
        <is>
          <t>402-81-68393</t>
        </is>
      </c>
      <c r="C20" s="4" t="inlineStr">
        <is>
          <t>796-86-00411</t>
        </is>
      </c>
      <c r="D20" s="106" t="inlineStr">
        <is>
          <t>409-81-90066</t>
        </is>
      </c>
      <c r="E20" s="4" t="inlineStr">
        <is>
          <t>407-81-17036</t>
        </is>
      </c>
      <c r="F20" s="4" t="inlineStr">
        <is>
          <t>402-81-66342</t>
        </is>
      </c>
      <c r="G20" s="4" t="inlineStr">
        <is>
          <t>527-88-02063</t>
        </is>
      </c>
      <c r="H20" s="4" t="inlineStr">
        <is>
          <t>376-86-01481</t>
        </is>
      </c>
      <c r="I20" s="54" t="inlineStr">
        <is>
          <t>403-02-82016</t>
        </is>
      </c>
      <c r="J20" s="106" t="inlineStr">
        <is>
          <t>418-81-07810</t>
        </is>
      </c>
      <c r="K20" s="348" t="inlineStr">
        <is>
          <t>231-81-04123</t>
        </is>
      </c>
      <c r="L20" s="54" t="n"/>
      <c r="M20" s="54" t="n"/>
    </row>
    <row r="21">
      <c r="A21" s="68" t="inlineStr">
        <is>
          <t>지역</t>
        </is>
      </c>
      <c r="B21" s="732" t="inlineStr">
        <is>
          <t>전북</t>
        </is>
      </c>
      <c r="C21" s="732" t="inlineStr">
        <is>
          <t>전북 익산시</t>
        </is>
      </c>
      <c r="D21" s="777" t="inlineStr">
        <is>
          <t>전북 무주군</t>
        </is>
      </c>
      <c r="E21" s="732" t="inlineStr">
        <is>
          <t>전북 순창군</t>
        </is>
      </c>
      <c r="F21" s="732" t="inlineStr">
        <is>
          <t>전북 남원시</t>
        </is>
      </c>
      <c r="G21" s="732" t="inlineStr">
        <is>
          <t>전북 고창군</t>
        </is>
      </c>
      <c r="H21" s="732" t="inlineStr">
        <is>
          <t>전북 전주시</t>
        </is>
      </c>
      <c r="I21" s="752" t="inlineStr">
        <is>
          <t>전북 익산시</t>
        </is>
      </c>
      <c r="J21" s="777" t="inlineStr">
        <is>
          <t>전북 군산시</t>
        </is>
      </c>
      <c r="K21" s="875" t="inlineStr">
        <is>
          <t>전북 전주시</t>
        </is>
      </c>
      <c r="L21" s="752" t="n"/>
      <c r="M21" s="752" t="n"/>
    </row>
    <row r="22">
      <c r="A22" s="68" t="inlineStr">
        <is>
          <t>통신시공능력</t>
        </is>
      </c>
      <c r="B22" s="732" t="n">
        <v>3538600000</v>
      </c>
      <c r="C22" s="732" t="n">
        <v>1589500000</v>
      </c>
      <c r="D22" s="777" t="n">
        <v>1288900000</v>
      </c>
      <c r="E22" s="732" t="n">
        <v>1110600000</v>
      </c>
      <c r="F22" s="732" t="n">
        <v>4586800000</v>
      </c>
      <c r="G22" s="732" t="n">
        <v>911200000</v>
      </c>
      <c r="H22" s="732" t="n">
        <v>987400000</v>
      </c>
      <c r="I22" s="752" t="n">
        <v>3096300000</v>
      </c>
      <c r="J22" s="777" t="n">
        <v>1329400000</v>
      </c>
      <c r="K22" s="877" t="n">
        <v>3683400000</v>
      </c>
      <c r="L22" s="752" t="n"/>
      <c r="M22" s="752" t="n"/>
    </row>
    <row r="23">
      <c r="A23" s="68" t="inlineStr">
        <is>
          <t>3년간 실적액</t>
        </is>
      </c>
      <c r="B23" s="732" t="n">
        <v>5548168000</v>
      </c>
      <c r="C23" s="732" t="n">
        <v>1854413000</v>
      </c>
      <c r="D23" s="777" t="n">
        <v>1022000000</v>
      </c>
      <c r="E23" s="732" t="n">
        <v>565688000</v>
      </c>
      <c r="F23" s="732" t="n">
        <v>5906461000</v>
      </c>
      <c r="G23" s="732" t="n">
        <v>108598000</v>
      </c>
      <c r="H23" s="732" t="n">
        <v>553316000</v>
      </c>
      <c r="I23" s="752" t="n">
        <v>2758864000</v>
      </c>
      <c r="J23" s="777" t="n">
        <v>887000000</v>
      </c>
      <c r="K23" s="877" t="n">
        <v>502698000</v>
      </c>
      <c r="L23" s="752" t="n"/>
      <c r="M23" s="752" t="n"/>
    </row>
    <row r="24">
      <c r="A24" s="68" t="inlineStr">
        <is>
          <t>5년간 실적액</t>
        </is>
      </c>
      <c r="B24" s="732" t="n">
        <v>5548168000</v>
      </c>
      <c r="C24" s="732" t="n">
        <v>2443212000</v>
      </c>
      <c r="D24" s="777" t="n">
        <v>1655000000</v>
      </c>
      <c r="E24" s="732" t="n">
        <v>1210618000</v>
      </c>
      <c r="F24" s="732" t="n">
        <v>6746118000</v>
      </c>
      <c r="G24" s="732" t="n">
        <v>108598000</v>
      </c>
      <c r="H24" s="732" t="n">
        <v>553316000</v>
      </c>
      <c r="I24" s="752" t="n">
        <v>5040782000</v>
      </c>
      <c r="J24" s="777" t="n">
        <v>1315000000</v>
      </c>
      <c r="K24" s="877" t="n">
        <v>602818000</v>
      </c>
      <c r="L24" s="752" t="n"/>
      <c r="M24" s="752" t="n"/>
    </row>
    <row r="25">
      <c r="A25" s="855" t="inlineStr">
        <is>
          <t>부채비율</t>
        </is>
      </c>
      <c r="B25" s="2" t="n">
        <v>0.7143</v>
      </c>
      <c r="C25" s="2" t="n">
        <v>0.4984</v>
      </c>
      <c r="D25" s="101" t="n">
        <v>0.5208</v>
      </c>
      <c r="E25" s="2" t="n">
        <v>0.4233</v>
      </c>
      <c r="F25" s="2" t="n">
        <v>0.1745</v>
      </c>
      <c r="G25" s="2" t="n">
        <v>0.0806</v>
      </c>
      <c r="H25" s="2" t="n">
        <v>0.09669999999999999</v>
      </c>
      <c r="I25" s="10" t="n">
        <v>0.0049</v>
      </c>
      <c r="J25" s="101" t="n">
        <v>0.3682</v>
      </c>
      <c r="K25" s="349" t="n">
        <v>0.0452</v>
      </c>
      <c r="L25" s="10" t="n"/>
      <c r="M25" s="10" t="n"/>
      <c r="N25" s="750" t="n"/>
    </row>
    <row r="26">
      <c r="A26" s="855" t="inlineStr">
        <is>
          <t>유동비율</t>
        </is>
      </c>
      <c r="B26" s="2" t="n">
        <v>3.7963</v>
      </c>
      <c r="C26" s="2" t="n">
        <v>4.286</v>
      </c>
      <c r="D26" s="101" t="n">
        <v>5.8549</v>
      </c>
      <c r="E26" s="2" t="n">
        <v>8.6637</v>
      </c>
      <c r="F26" s="2" t="n">
        <v>17.0876</v>
      </c>
      <c r="G26" s="2" t="n">
        <v>11.9838</v>
      </c>
      <c r="H26" s="2" t="n">
        <v>10.198</v>
      </c>
      <c r="I26" s="10" t="n">
        <v>70.3128</v>
      </c>
      <c r="J26" s="101" t="n">
        <v>3.1275</v>
      </c>
      <c r="K26" s="349" t="n">
        <v>26.4293</v>
      </c>
      <c r="L26" s="10" t="n"/>
      <c r="M26" s="10" t="n"/>
      <c r="N26" s="750" t="n"/>
    </row>
    <row r="27" ht="24" customHeight="1" s="16">
      <c r="A27" s="856" t="inlineStr">
        <is>
          <t>영업기간
공사업등록일</t>
        </is>
      </c>
      <c r="B27" s="2" t="inlineStr">
        <is>
          <t>3년이상%</t>
        </is>
      </c>
      <c r="C27" s="2" t="inlineStr">
        <is>
          <t>2016.08.01</t>
        </is>
      </c>
      <c r="D27" s="101" t="inlineStr">
        <is>
          <t>2012.06.01</t>
        </is>
      </c>
      <c r="E27" s="2" t="inlineStr">
        <is>
          <t>2008.04.01</t>
        </is>
      </c>
      <c r="F27" s="2" t="inlineStr">
        <is>
          <t>2009.03.06</t>
        </is>
      </c>
      <c r="G27" s="2" t="inlineStr">
        <is>
          <t>2021.04.12</t>
        </is>
      </c>
      <c r="H27" s="2" t="inlineStr">
        <is>
          <t>2020.01.02</t>
        </is>
      </c>
      <c r="I27" s="10" t="inlineStr">
        <is>
          <t>2009.07.23</t>
        </is>
      </c>
      <c r="J27" s="101" t="inlineStr">
        <is>
          <t>2017.03.09</t>
        </is>
      </c>
      <c r="K27" s="350" t="inlineStr">
        <is>
          <t>2012.03.13</t>
        </is>
      </c>
      <c r="L27" s="10" t="n"/>
      <c r="M27" s="10" t="n"/>
    </row>
    <row r="28" ht="22.5" customHeight="1" s="16">
      <c r="A28" s="68" t="inlineStr">
        <is>
          <t>신용평가</t>
        </is>
      </c>
      <c r="B28" s="803" t="n"/>
      <c r="C28" s="803" t="n"/>
      <c r="D28" s="803" t="n"/>
      <c r="E28" s="803" t="n"/>
      <c r="F28" s="803" t="n"/>
      <c r="G28" s="803" t="n"/>
      <c r="H28" s="803" t="n"/>
      <c r="I28" s="803" t="n"/>
      <c r="J28" s="725" t="inlineStr">
        <is>
          <t>BB-
(24.06.27~25.06.26)</t>
        </is>
      </c>
      <c r="K28" s="928" t="inlineStr">
        <is>
          <t>BB-
(25.06.27~26.06.26)</t>
        </is>
      </c>
      <c r="L28" s="803" t="n"/>
      <c r="M28" s="803" t="n"/>
    </row>
    <row r="29">
      <c r="A29" s="68" t="inlineStr">
        <is>
          <t>여성기업</t>
        </is>
      </c>
      <c r="B29" s="803" t="n"/>
      <c r="C29" s="803" t="n"/>
      <c r="D29" s="803" t="n"/>
      <c r="E29" s="803" t="n"/>
      <c r="F29" s="803" t="n"/>
      <c r="G29" s="803" t="n"/>
      <c r="H29" s="803" t="n"/>
      <c r="I29" s="803" t="n"/>
      <c r="J29" s="803" t="n"/>
      <c r="K29" s="883" t="n"/>
      <c r="L29" s="803" t="n"/>
      <c r="M29" s="803" t="n"/>
    </row>
    <row r="30">
      <c r="A30" s="68" t="inlineStr">
        <is>
          <t>중소기업</t>
        </is>
      </c>
      <c r="B30" s="803" t="n"/>
      <c r="C30" s="803" t="n"/>
      <c r="D30" s="803" t="n"/>
      <c r="E30" s="803" t="n"/>
      <c r="F30" s="803" t="n"/>
      <c r="G30" s="803" t="n"/>
      <c r="H30" s="803" t="n"/>
      <c r="I30" s="803" t="n"/>
      <c r="J30" s="803" t="n"/>
      <c r="K30" s="883" t="n"/>
      <c r="L30" s="803" t="n"/>
      <c r="M30" s="803" t="n"/>
    </row>
    <row r="31">
      <c r="A31" s="71" t="inlineStr">
        <is>
          <t>일자리창출실적</t>
        </is>
      </c>
      <c r="B31" s="803" t="n"/>
      <c r="C31" s="803" t="n"/>
      <c r="D31" s="803" t="n"/>
      <c r="E31" s="803" t="n"/>
      <c r="F31" s="803" t="n"/>
      <c r="G31" s="803" t="n"/>
      <c r="H31" s="803" t="n"/>
      <c r="I31" s="803" t="n"/>
      <c r="J31" s="803" t="n"/>
      <c r="K31" s="883" t="n"/>
      <c r="L31" s="803" t="n"/>
      <c r="M31" s="803" t="n"/>
    </row>
    <row r="32">
      <c r="A32" s="71" t="inlineStr">
        <is>
          <t>시공품질평가</t>
        </is>
      </c>
      <c r="B32" s="803" t="n"/>
      <c r="C32" s="803" t="n"/>
      <c r="D32" s="803" t="n"/>
      <c r="E32" s="803" t="n"/>
      <c r="F32" s="803" t="n"/>
      <c r="G32" s="803" t="n"/>
      <c r="H32" s="803" t="n"/>
      <c r="I32" s="803" t="n"/>
      <c r="J32" s="803" t="n"/>
      <c r="K32" s="883" t="n"/>
      <c r="L32" s="803" t="n"/>
      <c r="M32" s="803" t="n"/>
    </row>
    <row r="33">
      <c r="A33" s="68" t="inlineStr">
        <is>
          <t>비  고</t>
        </is>
      </c>
      <c r="B33" s="732" t="inlineStr">
        <is>
          <t>송동은</t>
        </is>
      </c>
      <c r="C33" s="732" t="inlineStr">
        <is>
          <t>김대열</t>
        </is>
      </c>
      <c r="D33" s="777" t="inlineStr">
        <is>
          <t>송용주</t>
        </is>
      </c>
      <c r="E33" s="732" t="inlineStr">
        <is>
          <t>전영덕</t>
        </is>
      </c>
      <c r="F33" s="752" t="n"/>
      <c r="G33" s="732" t="inlineStr">
        <is>
          <t>여인백</t>
        </is>
      </c>
      <c r="H33" s="752" t="n"/>
      <c r="I33" s="752" t="inlineStr">
        <is>
          <t>조정</t>
        </is>
      </c>
      <c r="J33" s="777" t="inlineStr">
        <is>
          <t>송용주</t>
        </is>
      </c>
      <c r="K33" s="347" t="inlineStr">
        <is>
          <t>신흥식</t>
        </is>
      </c>
      <c r="L33" s="752" t="n"/>
      <c r="M33" s="752" t="n"/>
    </row>
  </sheetData>
  <mergeCells count="1">
    <mergeCell ref="A1:M1"/>
  </mergeCells>
  <printOptions horizontalCentered="1"/>
  <pageMargins left="0.03937007874015748" right="0.03937007874015748" top="0.1968503937007874" bottom="0.1968503937007874" header="0" footer="0"/>
  <pageSetup orientation="landscape" paperSize="9" scale="55"/>
</worksheet>
</file>

<file path=xl/worksheets/sheet13.xml><?xml version="1.0" encoding="utf-8"?>
<worksheet xmlns="http://schemas.openxmlformats.org/spreadsheetml/2006/main">
  <sheetPr codeName="Sheet13">
    <outlinePr summaryBelow="1" summaryRight="1"/>
    <pageSetUpPr/>
  </sheetPr>
  <dimension ref="A1:N49"/>
  <sheetViews>
    <sheetView topLeftCell="B1" zoomScaleNormal="100" workbookViewId="0">
      <pane ySplit="1" topLeftCell="A2" activePane="bottomLeft" state="frozen"/>
      <selection pane="bottomLeft" activeCell="A34" sqref="A34:M34"/>
    </sheetView>
  </sheetViews>
  <sheetFormatPr baseColWidth="8" defaultRowHeight="13.5"/>
  <cols>
    <col width="10" bestFit="1" customWidth="1" style="16" min="1" max="1"/>
    <col width="15.77734375" customWidth="1" style="16" min="2" max="4"/>
    <col width="17.44140625" customWidth="1" style="16" min="5" max="5"/>
    <col width="18" customWidth="1" style="16" min="6" max="6"/>
    <col width="15.77734375" customWidth="1" style="16" min="7" max="13"/>
    <col width="8.88671875" customWidth="1" style="16" min="14" max="55"/>
    <col width="8.88671875" customWidth="1" style="16" min="56" max="16384"/>
  </cols>
  <sheetData>
    <row r="1" ht="25.5" customHeight="1" s="16">
      <c r="A1" s="866" t="inlineStr">
        <is>
          <t>통 신 ( 광 주 )</t>
        </is>
      </c>
      <c r="B1" s="704" t="n"/>
      <c r="C1" s="704" t="n"/>
      <c r="D1" s="704" t="n"/>
      <c r="E1" s="704" t="n"/>
      <c r="F1" s="704" t="n"/>
      <c r="G1" s="704" t="n"/>
      <c r="H1" s="704" t="n"/>
      <c r="I1" s="704" t="n"/>
      <c r="J1" s="704" t="n"/>
      <c r="K1" s="704" t="n"/>
      <c r="L1" s="704" t="n"/>
      <c r="M1" s="705" t="n"/>
    </row>
    <row r="2" ht="26.1" customFormat="1" customHeight="1" s="24">
      <c r="A2" s="455" t="inlineStr">
        <is>
          <t>회사명</t>
        </is>
      </c>
      <c r="B2" s="455" t="inlineStr">
        <is>
          <t>㈜누리일렉콤</t>
        </is>
      </c>
      <c r="C2" s="455" t="inlineStr">
        <is>
          <t>남광건설㈜</t>
        </is>
      </c>
      <c r="D2" s="455" t="inlineStr">
        <is>
          <t>㈜나사</t>
        </is>
      </c>
      <c r="E2" s="455" t="inlineStr">
        <is>
          <t>㈜대연이에프씨</t>
        </is>
      </c>
      <c r="F2" s="455" t="inlineStr">
        <is>
          <t>㈜동형</t>
        </is>
      </c>
      <c r="G2" s="455" t="inlineStr">
        <is>
          <t>디에스종합건설㈜</t>
        </is>
      </c>
      <c r="H2" s="455" t="inlineStr">
        <is>
          <t>㈜대덕지에스</t>
        </is>
      </c>
      <c r="I2" s="455" t="inlineStr">
        <is>
          <t>㈜라인산업</t>
        </is>
      </c>
      <c r="J2" s="455" t="inlineStr">
        <is>
          <t>㈜부국전력통신공사</t>
        </is>
      </c>
      <c r="K2" s="455" t="inlineStr">
        <is>
          <t>㈜브레인컨설팅호남</t>
        </is>
      </c>
      <c r="L2" s="455" t="inlineStr">
        <is>
          <t>한울통신㈜</t>
        </is>
      </c>
      <c r="M2" s="455" t="inlineStr">
        <is>
          <t>(유)우전</t>
        </is>
      </c>
    </row>
    <row r="3" customFormat="1" s="23">
      <c r="A3" s="74" t="inlineStr">
        <is>
          <t>대표자</t>
        </is>
      </c>
      <c r="B3" s="9" t="inlineStr">
        <is>
          <t>김용권</t>
        </is>
      </c>
      <c r="C3" s="1" t="inlineStr">
        <is>
          <t>장구식</t>
        </is>
      </c>
      <c r="D3" s="1" t="inlineStr">
        <is>
          <t>나사균</t>
        </is>
      </c>
      <c r="E3" s="129" t="inlineStr">
        <is>
          <t>송용주</t>
        </is>
      </c>
      <c r="F3" s="93" t="inlineStr">
        <is>
          <t>최삼수</t>
        </is>
      </c>
      <c r="G3" s="1" t="inlineStr">
        <is>
          <t>임홍남</t>
        </is>
      </c>
      <c r="H3" s="1" t="inlineStr">
        <is>
          <t>노향희</t>
        </is>
      </c>
      <c r="I3" s="1" t="inlineStr">
        <is>
          <t>권혁용</t>
        </is>
      </c>
      <c r="J3" s="278" t="inlineStr">
        <is>
          <t>김기수</t>
        </is>
      </c>
      <c r="K3" s="93" t="inlineStr">
        <is>
          <t>지재윤</t>
        </is>
      </c>
      <c r="L3" s="1" t="inlineStr">
        <is>
          <t>김미자</t>
        </is>
      </c>
      <c r="M3" s="93" t="inlineStr">
        <is>
          <t>정남기</t>
        </is>
      </c>
    </row>
    <row r="4" ht="11.25" customFormat="1" customHeight="1" s="17">
      <c r="A4" s="74" t="inlineStr">
        <is>
          <t>사업자번호</t>
        </is>
      </c>
      <c r="B4" s="9" t="inlineStr">
        <is>
          <t>409-81-31960</t>
        </is>
      </c>
      <c r="C4" s="1" t="inlineStr">
        <is>
          <t>408-81-00391</t>
        </is>
      </c>
      <c r="D4" s="1" t="inlineStr">
        <is>
          <t>410-81-08116</t>
        </is>
      </c>
      <c r="E4" s="130" t="inlineStr">
        <is>
          <t>411-81-71529</t>
        </is>
      </c>
      <c r="F4" s="93" t="inlineStr">
        <is>
          <t>312-81-49579</t>
        </is>
      </c>
      <c r="G4" s="1" t="inlineStr">
        <is>
          <t xml:space="preserve">408-81-97974 </t>
        </is>
      </c>
      <c r="H4" s="1" t="inlineStr">
        <is>
          <t>410-81-62162</t>
        </is>
      </c>
      <c r="I4" s="1" t="inlineStr">
        <is>
          <t>411-81-36110</t>
        </is>
      </c>
      <c r="J4" s="279" t="inlineStr">
        <is>
          <t>410-81-11682</t>
        </is>
      </c>
      <c r="K4" s="93" t="inlineStr">
        <is>
          <t>409-86-50400</t>
        </is>
      </c>
      <c r="L4" s="1" t="inlineStr">
        <is>
          <t>153-87-00080</t>
        </is>
      </c>
      <c r="M4" s="93" t="inlineStr">
        <is>
          <t>410-81-19063</t>
        </is>
      </c>
    </row>
    <row r="5" ht="11.25" customFormat="1" customHeight="1" s="17">
      <c r="A5" s="74" t="inlineStr">
        <is>
          <t>지역</t>
        </is>
      </c>
      <c r="B5" s="9" t="inlineStr">
        <is>
          <t>광주시 북구</t>
        </is>
      </c>
      <c r="C5" s="1" t="inlineStr">
        <is>
          <t>광주광역시 동구</t>
        </is>
      </c>
      <c r="D5" s="1" t="inlineStr">
        <is>
          <t>광주 서구</t>
        </is>
      </c>
      <c r="E5" s="129" t="inlineStr">
        <is>
          <t>광주광역시 서구</t>
        </is>
      </c>
      <c r="F5" s="93" t="inlineStr">
        <is>
          <t>광주광역시 북구</t>
        </is>
      </c>
      <c r="G5" s="1" t="inlineStr">
        <is>
          <t>광주광역시 북구</t>
        </is>
      </c>
      <c r="H5" s="1" t="inlineStr">
        <is>
          <t>광주 북구</t>
        </is>
      </c>
      <c r="I5" s="1" t="inlineStr">
        <is>
          <t>광주광역시 북구</t>
        </is>
      </c>
      <c r="J5" s="278" t="inlineStr">
        <is>
          <t>광주광역시 서구</t>
        </is>
      </c>
      <c r="K5" s="93" t="inlineStr">
        <is>
          <t>광주광역시 남구</t>
        </is>
      </c>
      <c r="L5" s="1" t="inlineStr">
        <is>
          <t>광주광역시 서구</t>
        </is>
      </c>
      <c r="M5" s="93" t="inlineStr">
        <is>
          <t>광주광역시 광산구</t>
        </is>
      </c>
    </row>
    <row r="6" customFormat="1" s="23">
      <c r="A6" s="74" t="inlineStr">
        <is>
          <t>통신시공능력</t>
        </is>
      </c>
      <c r="B6" s="752" t="n">
        <v>9233000000</v>
      </c>
      <c r="C6" s="732" t="n">
        <v>683000000</v>
      </c>
      <c r="D6" s="732" t="n">
        <v>7688200000</v>
      </c>
      <c r="E6" s="714" t="n">
        <v>1435800000</v>
      </c>
      <c r="F6" s="777" t="n">
        <v>1994000000</v>
      </c>
      <c r="G6" s="732" t="n">
        <v>1130700000</v>
      </c>
      <c r="H6" s="732" t="n">
        <v>6085500000</v>
      </c>
      <c r="I6" s="732" t="n">
        <v>5045100000</v>
      </c>
      <c r="J6" s="789" t="n">
        <v>1412600000</v>
      </c>
      <c r="K6" s="777" t="n">
        <v>1674300000</v>
      </c>
      <c r="L6" s="804" t="n">
        <v>1608700000</v>
      </c>
      <c r="M6" s="777" t="n">
        <v>677900000</v>
      </c>
    </row>
    <row r="7" customFormat="1" s="23">
      <c r="A7" s="74" t="inlineStr">
        <is>
          <t>3년간 실적액</t>
        </is>
      </c>
      <c r="B7" s="756" t="n">
        <v>11064149000</v>
      </c>
      <c r="C7" s="804" t="n">
        <v>305224000</v>
      </c>
      <c r="D7" s="804" t="n">
        <v>8233848000</v>
      </c>
      <c r="E7" s="835" t="n">
        <v>1869300000</v>
      </c>
      <c r="F7" s="815" t="n">
        <v>876000000</v>
      </c>
      <c r="G7" s="804" t="n">
        <v>554129000</v>
      </c>
      <c r="H7" s="804" t="n">
        <v>5352676000</v>
      </c>
      <c r="I7" s="732" t="n">
        <v>3927462000</v>
      </c>
      <c r="J7" s="854" t="n">
        <v>617336000</v>
      </c>
      <c r="K7" s="815" t="n">
        <v>466886000</v>
      </c>
      <c r="L7" s="804" t="n">
        <v>1284730000</v>
      </c>
      <c r="M7" s="815" t="n">
        <v>318485000</v>
      </c>
    </row>
    <row r="8" customFormat="1" s="23">
      <c r="A8" s="74" t="inlineStr">
        <is>
          <t>5년간 실적액</t>
        </is>
      </c>
      <c r="B8" s="806" t="n">
        <v>21575685000</v>
      </c>
      <c r="C8" s="810" t="n">
        <v>406654000</v>
      </c>
      <c r="D8" s="810" t="n">
        <v>12906977000</v>
      </c>
      <c r="E8" s="835" t="n">
        <v>2280559000</v>
      </c>
      <c r="F8" s="815" t="n">
        <v>1274000000</v>
      </c>
      <c r="G8" s="804" t="n">
        <v>554129000</v>
      </c>
      <c r="H8" s="810" t="n">
        <v>7480093000</v>
      </c>
      <c r="I8" s="732" t="n">
        <v>7881897000</v>
      </c>
      <c r="J8" s="854" t="n">
        <v>2736126000</v>
      </c>
      <c r="K8" s="816" t="n">
        <v>883983000</v>
      </c>
      <c r="L8" s="810" t="n">
        <v>2118826000</v>
      </c>
      <c r="M8" s="816" t="n">
        <v>568432000</v>
      </c>
    </row>
    <row r="9" customFormat="1" s="886">
      <c r="A9" s="916" t="inlineStr">
        <is>
          <t>부채비율</t>
        </is>
      </c>
      <c r="B9" s="10" t="n">
        <v>0.4436</v>
      </c>
      <c r="C9" s="66" t="n">
        <v>1.544</v>
      </c>
      <c r="D9" s="2" t="n">
        <v>0.0735</v>
      </c>
      <c r="E9" s="131" t="n">
        <v>0.3076</v>
      </c>
      <c r="F9" s="101" t="n">
        <v>0.0201</v>
      </c>
      <c r="G9" s="10" t="n"/>
      <c r="H9" s="2" t="n">
        <v>0.5612</v>
      </c>
      <c r="I9" s="2" t="n">
        <v>0.141</v>
      </c>
      <c r="J9" s="271" t="n">
        <v>0.1584</v>
      </c>
      <c r="K9" s="101" t="n">
        <v>0.07920000000000001</v>
      </c>
      <c r="L9" s="2" t="n">
        <v>0.2418</v>
      </c>
      <c r="M9" s="101" t="n">
        <v>0.0433</v>
      </c>
      <c r="N9" s="750" t="n"/>
    </row>
    <row r="10" customFormat="1" s="886">
      <c r="A10" s="916" t="inlineStr">
        <is>
          <t>유동비율</t>
        </is>
      </c>
      <c r="B10" s="10" t="n">
        <v>4.1776</v>
      </c>
      <c r="C10" s="66" t="n">
        <v>1.2315</v>
      </c>
      <c r="D10" s="2" t="n">
        <v>7.207</v>
      </c>
      <c r="E10" s="131" t="n">
        <v>7.4589</v>
      </c>
      <c r="F10" s="101" t="n">
        <v>462.226</v>
      </c>
      <c r="G10" s="10" t="n"/>
      <c r="H10" s="2" t="n">
        <v>7.988</v>
      </c>
      <c r="I10" s="2" t="n">
        <v>4.3094</v>
      </c>
      <c r="J10" s="271" t="n">
        <v>9.845499999999999</v>
      </c>
      <c r="K10" s="101" t="n">
        <v>11.6422</v>
      </c>
      <c r="L10" s="2" t="n">
        <v>4.2219</v>
      </c>
      <c r="M10" s="101" t="n">
        <v>19.9151</v>
      </c>
      <c r="N10" s="750" t="n"/>
    </row>
    <row r="11" ht="22.5" customFormat="1" customHeight="1" s="886">
      <c r="A11" s="917" t="inlineStr">
        <is>
          <t>영업기간
공사업등록일</t>
        </is>
      </c>
      <c r="B11" s="10" t="inlineStr">
        <is>
          <t>1994.04.29</t>
        </is>
      </c>
      <c r="C11" s="67" t="inlineStr">
        <is>
          <t>1995.08.12</t>
        </is>
      </c>
      <c r="D11" s="2" t="inlineStr">
        <is>
          <t>10년이상%</t>
        </is>
      </c>
      <c r="E11" s="133" t="inlineStr">
        <is>
          <t>2014.09.02</t>
        </is>
      </c>
      <c r="F11" s="98" t="inlineStr">
        <is>
          <t>2001.09.04</t>
        </is>
      </c>
      <c r="G11" s="67" t="inlineStr">
        <is>
          <t>2020.05.29</t>
        </is>
      </c>
      <c r="H11" s="2" t="inlineStr">
        <is>
          <t>5년이상%</t>
        </is>
      </c>
      <c r="I11" s="2" t="inlineStr">
        <is>
          <t>2015.01.21</t>
        </is>
      </c>
      <c r="J11" s="272" t="inlineStr">
        <is>
          <t>1994.04.29</t>
        </is>
      </c>
      <c r="K11" s="98" t="inlineStr">
        <is>
          <t>2017.08.24</t>
        </is>
      </c>
      <c r="L11" s="67" t="inlineStr">
        <is>
          <t>2015.07.16</t>
        </is>
      </c>
      <c r="M11" s="98" t="inlineStr">
        <is>
          <t>2011.01.26</t>
        </is>
      </c>
    </row>
    <row r="12" ht="22.5" customFormat="1" customHeight="1" s="23">
      <c r="A12" s="74" t="inlineStr">
        <is>
          <t>신용평가</t>
        </is>
      </c>
      <c r="B12" s="736" t="n"/>
      <c r="C12" s="833" t="inlineStr">
        <is>
          <t>BB0
(25.09.29~26.06.30)</t>
        </is>
      </c>
      <c r="D12" s="725" t="inlineStr">
        <is>
          <t>BB0
(13.07.08~14.06.30)</t>
        </is>
      </c>
      <c r="E12" s="724" t="inlineStr">
        <is>
          <t>BB0
(25.05.08~26.05.07)</t>
        </is>
      </c>
      <c r="F12" s="725" t="inlineStr">
        <is>
          <t>BB-
(21.07.23~22.06.30)</t>
        </is>
      </c>
      <c r="G12" s="725" t="inlineStr">
        <is>
          <t>A0
(22.06.22~23.06.21)</t>
        </is>
      </c>
      <c r="H12" s="725" t="inlineStr">
        <is>
          <t>BB+
(13.04.10~14.04.09)</t>
        </is>
      </c>
      <c r="I12" s="725" t="inlineStr">
        <is>
          <t xml:space="preserve"> A+
(20.06.26~21.06.25)</t>
        </is>
      </c>
      <c r="J12" s="725" t="inlineStr">
        <is>
          <t>BB+
(24.06.20~25.06.19)</t>
        </is>
      </c>
      <c r="K12" s="736" t="n"/>
      <c r="L12" s="12" t="n"/>
      <c r="M12" s="724" t="inlineStr">
        <is>
          <t>BB+
(25.05.09~26.05.08)</t>
        </is>
      </c>
    </row>
    <row r="13" customFormat="1" s="23">
      <c r="A13" s="74" t="inlineStr">
        <is>
          <t>여성기업</t>
        </is>
      </c>
      <c r="B13" s="736" t="n"/>
      <c r="C13" s="736" t="n"/>
      <c r="D13" s="736" t="n"/>
      <c r="E13" s="729" t="n"/>
      <c r="F13" s="736" t="n"/>
      <c r="G13" s="736" t="n"/>
      <c r="H13" s="736" t="n"/>
      <c r="I13" s="803" t="n"/>
      <c r="J13" s="793" t="n"/>
      <c r="K13" s="736" t="n"/>
      <c r="L13" s="12" t="n"/>
      <c r="M13" s="736" t="n"/>
    </row>
    <row r="14" customFormat="1" s="23">
      <c r="A14" s="74" t="inlineStr">
        <is>
          <t>중소기업</t>
        </is>
      </c>
      <c r="B14" s="736" t="n"/>
      <c r="C14" s="736" t="n"/>
      <c r="D14" s="736" t="n"/>
      <c r="E14" s="729" t="n"/>
      <c r="F14" s="736" t="n"/>
      <c r="G14" s="736" t="n"/>
      <c r="H14" s="736" t="n"/>
      <c r="I14" s="803" t="n"/>
      <c r="J14" s="793" t="n"/>
      <c r="K14" s="736" t="n"/>
      <c r="L14" s="12" t="n"/>
      <c r="M14" s="736" t="n"/>
    </row>
    <row r="15" customFormat="1" s="23">
      <c r="A15" s="71" t="inlineStr">
        <is>
          <t>일자리창출실적</t>
        </is>
      </c>
      <c r="B15" s="736" t="n"/>
      <c r="C15" s="736" t="n"/>
      <c r="D15" s="736" t="n"/>
      <c r="E15" s="729" t="n"/>
      <c r="F15" s="736" t="n"/>
      <c r="G15" s="736" t="n"/>
      <c r="H15" s="736" t="n"/>
      <c r="I15" s="803" t="n"/>
      <c r="J15" s="793" t="n"/>
      <c r="K15" s="736" t="n"/>
      <c r="L15" s="12" t="n"/>
      <c r="M15" s="736" t="n"/>
    </row>
    <row r="16" customFormat="1" s="23">
      <c r="A16" s="71" t="inlineStr">
        <is>
          <t>시공품질평가</t>
        </is>
      </c>
      <c r="B16" s="736" t="n"/>
      <c r="C16" s="736" t="n"/>
      <c r="D16" s="736" t="n"/>
      <c r="E16" s="929" t="inlineStr">
        <is>
          <t>없음 (24.05.01)</t>
        </is>
      </c>
      <c r="F16" s="736" t="n"/>
      <c r="G16" s="736" t="n"/>
      <c r="H16" s="736" t="n"/>
      <c r="I16" s="803" t="n"/>
      <c r="J16" s="793" t="inlineStr">
        <is>
          <t>없음 (25.05.01)</t>
        </is>
      </c>
      <c r="K16" s="736" t="n"/>
      <c r="L16" s="12" t="n"/>
      <c r="M16" s="795" t="inlineStr">
        <is>
          <t>없음 (25.05.01)</t>
        </is>
      </c>
    </row>
    <row r="17" ht="33.75" customFormat="1" customHeight="1" s="23">
      <c r="A17" s="74" t="inlineStr">
        <is>
          <t>비  고</t>
        </is>
      </c>
      <c r="B17" s="9" t="inlineStr">
        <is>
          <t>송동은</t>
        </is>
      </c>
      <c r="C17" s="1" t="inlineStr">
        <is>
          <t>이동훈</t>
        </is>
      </c>
      <c r="D17" s="1" t="inlineStr">
        <is>
          <t>구팀</t>
        </is>
      </c>
      <c r="E17" s="134" t="inlineStr">
        <is>
          <t>송용주</t>
        </is>
      </c>
      <c r="F17" s="100" t="inlineStr">
        <is>
          <t>송용주</t>
        </is>
      </c>
      <c r="G17" s="9" t="n"/>
      <c r="H17" s="1" t="inlineStr">
        <is>
          <t>송동은</t>
        </is>
      </c>
      <c r="I17" s="1" t="inlineStr">
        <is>
          <t>라인건설 자회사</t>
        </is>
      </c>
      <c r="J17" s="273" t="inlineStr">
        <is>
          <t>김희준
고2 초1 기1
(23.09.19)</t>
        </is>
      </c>
      <c r="K17" s="93" t="inlineStr">
        <is>
          <t>송용주</t>
        </is>
      </c>
      <c r="L17" s="1" t="inlineStr">
        <is>
          <t>유형민</t>
        </is>
      </c>
      <c r="M17" s="100" t="inlineStr">
        <is>
          <t>박용규
중소기업확인서
(24.04.01~25.03.31)</t>
        </is>
      </c>
    </row>
    <row r="18" ht="26.1" customHeight="1" s="16">
      <c r="A18" s="455" t="inlineStr">
        <is>
          <t>회사명</t>
        </is>
      </c>
      <c r="B18" s="455" t="inlineStr">
        <is>
          <t>㈜아이티에스호남</t>
        </is>
      </c>
      <c r="C18" s="455" t="inlineStr">
        <is>
          <t>㈜유림</t>
        </is>
      </c>
      <c r="D18" s="455" t="inlineStr">
        <is>
          <t>㈜신아이엔지</t>
        </is>
      </c>
      <c r="E18" s="455" t="inlineStr">
        <is>
          <t>㈜부원정보통신</t>
        </is>
      </c>
      <c r="F18" s="455" t="inlineStr">
        <is>
          <t>㈜주성파워텍</t>
        </is>
      </c>
      <c r="G18" s="455" t="inlineStr">
        <is>
          <t>㈜지에스파워</t>
        </is>
      </c>
      <c r="H18" s="455" t="inlineStr">
        <is>
          <t>㈜하나전력</t>
        </is>
      </c>
      <c r="I18" s="455" t="inlineStr">
        <is>
          <t>㈜하나이엔지전력</t>
        </is>
      </c>
      <c r="J18" s="455" t="inlineStr">
        <is>
          <t>㈜케이씨에스</t>
        </is>
      </c>
      <c r="K18" s="455" t="inlineStr">
        <is>
          <t>㈜금호이앤시</t>
        </is>
      </c>
      <c r="L18" s="455" t="inlineStr">
        <is>
          <t>㈜다원이엔씨</t>
        </is>
      </c>
      <c r="M18" s="455" t="inlineStr">
        <is>
          <t>㈜승호전력</t>
        </is>
      </c>
    </row>
    <row r="19">
      <c r="A19" s="74" t="inlineStr">
        <is>
          <t>대표자</t>
        </is>
      </c>
      <c r="B19" s="1" t="inlineStr">
        <is>
          <t>김진석</t>
        </is>
      </c>
      <c r="C19" s="1" t="inlineStr">
        <is>
          <t>윤보선</t>
        </is>
      </c>
      <c r="D19" s="732" t="inlineStr">
        <is>
          <t>조해선</t>
        </is>
      </c>
      <c r="E19" s="777" t="inlineStr">
        <is>
          <t>이인중</t>
        </is>
      </c>
      <c r="F19" s="1" t="inlineStr">
        <is>
          <t>강성률</t>
        </is>
      </c>
      <c r="G19" s="732" t="inlineStr">
        <is>
          <t>조승준</t>
        </is>
      </c>
      <c r="H19" s="1" t="inlineStr">
        <is>
          <t>정현태</t>
        </is>
      </c>
      <c r="I19" s="1" t="inlineStr">
        <is>
          <t>정인태</t>
        </is>
      </c>
      <c r="J19" s="9" t="inlineStr">
        <is>
          <t>김철수</t>
        </is>
      </c>
      <c r="K19" s="732" t="inlineStr">
        <is>
          <t>최순희</t>
        </is>
      </c>
      <c r="L19" s="732" t="inlineStr">
        <is>
          <t>장기만</t>
        </is>
      </c>
      <c r="M19" s="732" t="inlineStr">
        <is>
          <t>유현진</t>
        </is>
      </c>
    </row>
    <row r="20">
      <c r="A20" s="74" t="inlineStr">
        <is>
          <t>사업자번호</t>
        </is>
      </c>
      <c r="B20" s="1" t="inlineStr">
        <is>
          <t>410-86-15873</t>
        </is>
      </c>
      <c r="C20" s="1" t="inlineStr">
        <is>
          <t>410-81-05201</t>
        </is>
      </c>
      <c r="D20" s="4" t="inlineStr">
        <is>
          <t>410-81-72296</t>
        </is>
      </c>
      <c r="E20" s="106" t="inlineStr">
        <is>
          <t>411-81-24915</t>
        </is>
      </c>
      <c r="F20" s="1" t="inlineStr">
        <is>
          <t>412-81-39333</t>
        </is>
      </c>
      <c r="G20" s="4" t="inlineStr">
        <is>
          <t>409-86-10562</t>
        </is>
      </c>
      <c r="H20" s="1" t="inlineStr">
        <is>
          <t>410-81-74367</t>
        </is>
      </c>
      <c r="I20" s="1" t="inlineStr">
        <is>
          <t>411-81-78731</t>
        </is>
      </c>
      <c r="J20" s="9" t="inlineStr">
        <is>
          <t>105-86-57573</t>
        </is>
      </c>
      <c r="K20" s="4" t="inlineStr">
        <is>
          <t>410-86-08111</t>
        </is>
      </c>
      <c r="L20" s="4" t="inlineStr">
        <is>
          <t>410-86-41406</t>
        </is>
      </c>
      <c r="M20" s="4" t="inlineStr">
        <is>
          <t>142-87-01018</t>
        </is>
      </c>
    </row>
    <row r="21">
      <c r="A21" s="74" t="inlineStr">
        <is>
          <t>지역</t>
        </is>
      </c>
      <c r="B21" s="1" t="inlineStr">
        <is>
          <t>광주 광산구</t>
        </is>
      </c>
      <c r="C21" s="1" t="inlineStr">
        <is>
          <t>광주 남구</t>
        </is>
      </c>
      <c r="D21" s="732" t="inlineStr">
        <is>
          <t>광주시 서구</t>
        </is>
      </c>
      <c r="E21" s="777" t="inlineStr">
        <is>
          <t>광주광역시 서구</t>
        </is>
      </c>
      <c r="F21" s="1" t="inlineStr">
        <is>
          <t>광주광역시 북구</t>
        </is>
      </c>
      <c r="G21" s="732" t="inlineStr">
        <is>
          <t>광주 북구</t>
        </is>
      </c>
      <c r="H21" s="1" t="inlineStr">
        <is>
          <t>광주광역시 서구</t>
        </is>
      </c>
      <c r="I21" s="1" t="inlineStr">
        <is>
          <t>광주광역시 서구</t>
        </is>
      </c>
      <c r="J21" s="9" t="inlineStr">
        <is>
          <t>광주광역시 광산구</t>
        </is>
      </c>
      <c r="K21" s="732" t="inlineStr">
        <is>
          <t>광주광역시 북구</t>
        </is>
      </c>
      <c r="L21" s="732" t="inlineStr">
        <is>
          <t>광주광역시 서구</t>
        </is>
      </c>
      <c r="M21" s="732" t="inlineStr">
        <is>
          <t>광주광역시 북구</t>
        </is>
      </c>
    </row>
    <row r="22">
      <c r="A22" s="74" t="inlineStr">
        <is>
          <t>통신시공능력</t>
        </is>
      </c>
      <c r="B22" s="804" t="n">
        <v>33083500000</v>
      </c>
      <c r="C22" s="732" t="n">
        <v>2679000000</v>
      </c>
      <c r="D22" s="732" t="n">
        <v>2025800000</v>
      </c>
      <c r="E22" s="777" t="n">
        <v>3319200000</v>
      </c>
      <c r="F22" s="732" t="n">
        <v>709200000</v>
      </c>
      <c r="G22" s="732" t="n">
        <v>580700000</v>
      </c>
      <c r="H22" s="732" t="n">
        <v>692800000</v>
      </c>
      <c r="I22" s="732" t="n">
        <v>573500000</v>
      </c>
      <c r="J22" s="756" t="n">
        <v>3331700000</v>
      </c>
      <c r="K22" s="732" t="n">
        <v>2163500000</v>
      </c>
      <c r="L22" s="732" t="n">
        <v>834100000</v>
      </c>
      <c r="M22" s="732" t="n">
        <v>1313200000</v>
      </c>
    </row>
    <row r="23">
      <c r="A23" s="74" t="inlineStr">
        <is>
          <t>3년간 실적액</t>
        </is>
      </c>
      <c r="B23" s="804" t="n">
        <v>60942178000</v>
      </c>
      <c r="C23" s="804" t="n">
        <v>2035174000</v>
      </c>
      <c r="D23" s="732" t="n">
        <v>2982923000</v>
      </c>
      <c r="E23" s="777" t="n">
        <v>3588000000</v>
      </c>
      <c r="F23" s="804" t="n">
        <v>98595000</v>
      </c>
      <c r="G23" s="732" t="n">
        <v>416316000</v>
      </c>
      <c r="H23" s="732" t="n">
        <v>130399000</v>
      </c>
      <c r="I23" s="732" t="n">
        <v>0</v>
      </c>
      <c r="J23" s="756" t="n">
        <v>6219000</v>
      </c>
      <c r="K23" s="732" t="n">
        <v>2040888000</v>
      </c>
      <c r="L23" s="732" t="n">
        <v>674358000</v>
      </c>
      <c r="M23" s="732" t="n">
        <v>1162916000</v>
      </c>
    </row>
    <row r="24">
      <c r="A24" s="74" t="inlineStr">
        <is>
          <t>5년간 실적액</t>
        </is>
      </c>
      <c r="B24" s="810" t="n">
        <v>72081901000</v>
      </c>
      <c r="C24" s="810" t="n">
        <v>3056837000</v>
      </c>
      <c r="D24" s="732" t="n">
        <v>6373855000</v>
      </c>
      <c r="E24" s="777" t="n">
        <v>7406000000</v>
      </c>
      <c r="F24" s="810" t="n">
        <v>98595000</v>
      </c>
      <c r="G24" s="732" t="n">
        <v>416316000</v>
      </c>
      <c r="H24" s="732" t="n">
        <v>130399000</v>
      </c>
      <c r="I24" s="732" t="n">
        <v>0</v>
      </c>
      <c r="J24" s="756" t="n">
        <v>32619000</v>
      </c>
      <c r="K24" s="732" t="n">
        <v>3150648000</v>
      </c>
      <c r="L24" s="732" t="n">
        <v>1006344000</v>
      </c>
      <c r="M24" s="732" t="n">
        <v>1162916000</v>
      </c>
    </row>
    <row r="25">
      <c r="A25" s="916" t="inlineStr">
        <is>
          <t>부채비율</t>
        </is>
      </c>
      <c r="B25" s="2" t="n">
        <v>1.606</v>
      </c>
      <c r="C25" s="2" t="n">
        <v>0.0675</v>
      </c>
      <c r="D25" s="2" t="n">
        <v>0.6196</v>
      </c>
      <c r="E25" s="101" t="n">
        <v>0.1873</v>
      </c>
      <c r="F25" s="2" t="n">
        <v>0.4841</v>
      </c>
      <c r="G25" s="10" t="n"/>
      <c r="H25" s="2" t="n">
        <v>0.2937</v>
      </c>
      <c r="I25" s="2" t="n">
        <v>0.176</v>
      </c>
      <c r="J25" s="10" t="n">
        <v>0.1572</v>
      </c>
      <c r="K25" s="2" t="n">
        <v>0.3295</v>
      </c>
      <c r="L25" s="2" t="n">
        <v>0.161</v>
      </c>
      <c r="M25" s="2" t="n">
        <v>0.4763</v>
      </c>
      <c r="N25" s="750" t="n"/>
    </row>
    <row r="26">
      <c r="A26" s="916" t="inlineStr">
        <is>
          <t>유동비율</t>
        </is>
      </c>
      <c r="B26" s="2" t="n">
        <v>1.4057</v>
      </c>
      <c r="C26" s="2" t="n">
        <v>13.9253</v>
      </c>
      <c r="D26" s="2" t="n">
        <v>9.178100000000001</v>
      </c>
      <c r="E26" s="101" t="n">
        <v>12.6159</v>
      </c>
      <c r="F26" s="2" t="n">
        <v>7.7376</v>
      </c>
      <c r="G26" s="10" t="n"/>
      <c r="H26" s="2" t="n">
        <v>4.4584</v>
      </c>
      <c r="I26" s="2" t="n">
        <v>9.3024</v>
      </c>
      <c r="J26" s="10" t="n">
        <v>8.362299999999999</v>
      </c>
      <c r="K26" s="2" t="n">
        <v>6.1072</v>
      </c>
      <c r="L26" s="2" t="n">
        <v>7.9252</v>
      </c>
      <c r="M26" s="2" t="n">
        <v>3.6605</v>
      </c>
      <c r="N26" s="750" t="n"/>
    </row>
    <row r="27" ht="22.5" customHeight="1" s="16">
      <c r="A27" s="917" t="inlineStr">
        <is>
          <t>영업기간
공사업등록일</t>
        </is>
      </c>
      <c r="B27" s="2" t="inlineStr">
        <is>
          <t>5년이상%</t>
        </is>
      </c>
      <c r="C27" s="2" t="inlineStr">
        <is>
          <t>10년이상%</t>
        </is>
      </c>
      <c r="D27" s="67" t="inlineStr">
        <is>
          <t>2006.03.21</t>
        </is>
      </c>
      <c r="E27" s="101" t="inlineStr">
        <is>
          <t>1998.05.29</t>
        </is>
      </c>
      <c r="F27" s="67" t="inlineStr">
        <is>
          <t>2020.02.12</t>
        </is>
      </c>
      <c r="G27" s="10" t="n"/>
      <c r="H27" s="2" t="inlineStr">
        <is>
          <t>2019.05.07</t>
        </is>
      </c>
      <c r="I27" s="2" t="inlineStr">
        <is>
          <t>2020.07.27</t>
        </is>
      </c>
      <c r="J27" s="11" t="inlineStr">
        <is>
          <t>2005.11.07</t>
        </is>
      </c>
      <c r="K27" s="2" t="inlineStr">
        <is>
          <t>2007.03.09</t>
        </is>
      </c>
      <c r="L27" s="2" t="inlineStr">
        <is>
          <t>2012.06.18</t>
        </is>
      </c>
      <c r="M27" s="2" t="inlineStr">
        <is>
          <t>2019.02.19</t>
        </is>
      </c>
    </row>
    <row r="28" ht="22.5" customHeight="1" s="16">
      <c r="A28" s="74" t="inlineStr">
        <is>
          <t>신용평가</t>
        </is>
      </c>
      <c r="B28" s="3" t="inlineStr">
        <is>
          <t>BBB-</t>
        </is>
      </c>
      <c r="C28" s="736" t="n"/>
      <c r="D28" s="725" t="inlineStr">
        <is>
          <t>BBBO
(18.07.10~19.06.30)</t>
        </is>
      </c>
      <c r="E28" s="725" t="inlineStr">
        <is>
          <t>BB-
(24.04.22~25.04.21)</t>
        </is>
      </c>
      <c r="F28" s="736" t="n"/>
      <c r="G28" s="820" t="inlineStr">
        <is>
          <t>BB0</t>
        </is>
      </c>
      <c r="H28" s="12" t="n"/>
      <c r="I28" s="12" t="n"/>
      <c r="J28" s="12" t="n"/>
      <c r="K28" s="803" t="n"/>
      <c r="L28" s="803" t="n"/>
      <c r="M28" s="803" t="n"/>
    </row>
    <row r="29">
      <c r="A29" s="74" t="inlineStr">
        <is>
          <t>여성기업</t>
        </is>
      </c>
      <c r="B29" s="12" t="n"/>
      <c r="C29" s="736" t="n"/>
      <c r="D29" s="736" t="n"/>
      <c r="E29" s="803" t="n"/>
      <c r="F29" s="736" t="n"/>
      <c r="G29" s="803" t="n"/>
      <c r="H29" s="12" t="n"/>
      <c r="I29" s="803" t="n"/>
      <c r="J29" s="12" t="n"/>
      <c r="K29" s="803" t="n"/>
      <c r="L29" s="803" t="n"/>
      <c r="M29" s="803" t="n"/>
    </row>
    <row r="30">
      <c r="A30" s="74" t="inlineStr">
        <is>
          <t>중소기업</t>
        </is>
      </c>
      <c r="B30" s="12" t="n"/>
      <c r="C30" s="736" t="n"/>
      <c r="D30" s="736" t="n"/>
      <c r="E30" s="803" t="n"/>
      <c r="F30" s="736" t="n"/>
      <c r="G30" s="803" t="n"/>
      <c r="H30" s="12" t="n"/>
      <c r="I30" s="803" t="n"/>
      <c r="J30" s="12" t="n"/>
      <c r="K30" s="803" t="n"/>
      <c r="L30" s="803" t="n"/>
      <c r="M30" s="803" t="n"/>
    </row>
    <row r="31">
      <c r="A31" s="71" t="inlineStr">
        <is>
          <t>일자리창출실적</t>
        </is>
      </c>
      <c r="B31" s="12" t="n"/>
      <c r="C31" s="736" t="n"/>
      <c r="D31" s="736" t="n"/>
      <c r="E31" s="803" t="n"/>
      <c r="F31" s="736" t="n"/>
      <c r="G31" s="803" t="n"/>
      <c r="H31" s="12" t="n"/>
      <c r="I31" s="803" t="n"/>
      <c r="J31" s="12" t="n"/>
      <c r="K31" s="803" t="n"/>
      <c r="L31" s="803" t="n"/>
      <c r="M31" s="803" t="n"/>
    </row>
    <row r="32">
      <c r="A32" s="71" t="inlineStr">
        <is>
          <t>시공품질평가</t>
        </is>
      </c>
      <c r="B32" s="12" t="n"/>
      <c r="C32" s="736" t="n"/>
      <c r="D32" s="736" t="n"/>
      <c r="E32" s="803" t="n"/>
      <c r="F32" s="736" t="n"/>
      <c r="G32" s="803" t="n"/>
      <c r="H32" s="12" t="n"/>
      <c r="I32" s="803" t="n"/>
      <c r="J32" s="12" t="n"/>
      <c r="K32" s="803" t="n"/>
      <c r="L32" s="803" t="n"/>
      <c r="M32" s="803" t="n"/>
    </row>
    <row r="33">
      <c r="A33" s="74" t="inlineStr">
        <is>
          <t>비  고</t>
        </is>
      </c>
      <c r="B33" s="1" t="inlineStr">
        <is>
          <t>김영균부장</t>
        </is>
      </c>
      <c r="C33" s="9" t="n"/>
      <c r="D33" s="752" t="n"/>
      <c r="E33" s="777" t="inlineStr">
        <is>
          <t>송용주</t>
        </is>
      </c>
      <c r="F33" s="1" t="inlineStr">
        <is>
          <t>조동규</t>
        </is>
      </c>
      <c r="G33" s="732" t="inlineStr">
        <is>
          <t>주영중</t>
        </is>
      </c>
      <c r="H33" s="1" t="inlineStr">
        <is>
          <t>윤명숙</t>
        </is>
      </c>
      <c r="I33" s="1" t="inlineStr">
        <is>
          <t>윤명숙</t>
        </is>
      </c>
      <c r="J33" s="9" t="inlineStr">
        <is>
          <t>김대열</t>
        </is>
      </c>
      <c r="K33" s="732" t="inlineStr">
        <is>
          <t>조재진</t>
        </is>
      </c>
      <c r="L33" s="732" t="inlineStr">
        <is>
          <t>조재진</t>
        </is>
      </c>
      <c r="M33" s="752" t="n"/>
    </row>
    <row r="34" ht="26.1" customHeight="1" s="16">
      <c r="A34" s="455" t="inlineStr">
        <is>
          <t>회사명</t>
        </is>
      </c>
      <c r="B34" s="455" t="inlineStr">
        <is>
          <t>대명전기㈜</t>
        </is>
      </c>
      <c r="C34" s="455" t="inlineStr">
        <is>
          <t>㈜선강</t>
        </is>
      </c>
      <c r="D34" s="455" t="inlineStr">
        <is>
          <t>㈜거성</t>
        </is>
      </c>
      <c r="E34" s="455" t="inlineStr">
        <is>
          <t>명서산업㈜</t>
        </is>
      </c>
      <c r="F34" s="455" t="inlineStr">
        <is>
          <t>㈜버티스</t>
        </is>
      </c>
      <c r="G34" s="455" t="inlineStr">
        <is>
          <t>㈜문호</t>
        </is>
      </c>
      <c r="H34" s="455" t="inlineStr">
        <is>
          <t>㈜대광건영</t>
        </is>
      </c>
      <c r="I34" s="455" t="inlineStr">
        <is>
          <t>㈜로제비앙건설</t>
        </is>
      </c>
      <c r="J34" s="455" t="inlineStr">
        <is>
          <t>사단법인 다솜복지회</t>
        </is>
      </c>
      <c r="K34" s="455" t="inlineStr">
        <is>
          <t>(주)대은기전</t>
        </is>
      </c>
      <c r="L34" s="455" t="n"/>
      <c r="M34" s="455" t="n"/>
    </row>
    <row r="35">
      <c r="A35" s="74" t="inlineStr">
        <is>
          <t>대표자</t>
        </is>
      </c>
      <c r="B35" s="1" t="inlineStr">
        <is>
          <t>이기선</t>
        </is>
      </c>
      <c r="C35" s="93" t="inlineStr">
        <is>
          <t>강선</t>
        </is>
      </c>
      <c r="D35" s="9" t="inlineStr">
        <is>
          <t>양종희</t>
        </is>
      </c>
      <c r="E35" s="9" t="inlineStr">
        <is>
          <t>박생봉</t>
        </is>
      </c>
      <c r="F35" s="93" t="inlineStr">
        <is>
          <t>김형국</t>
        </is>
      </c>
      <c r="G35" s="9" t="inlineStr">
        <is>
          <t>고숙영</t>
        </is>
      </c>
      <c r="H35" s="930" t="inlineStr">
        <is>
          <t>김남중</t>
        </is>
      </c>
      <c r="I35" s="167" t="inlineStr">
        <is>
          <t>김인욱</t>
        </is>
      </c>
      <c r="J35" s="445" t="inlineStr">
        <is>
          <t>이승수</t>
        </is>
      </c>
      <c r="K35" s="445" t="inlineStr">
        <is>
          <t>김종원</t>
        </is>
      </c>
      <c r="L35" s="9" t="n"/>
      <c r="M35" s="9" t="n"/>
    </row>
    <row r="36">
      <c r="A36" s="74" t="inlineStr">
        <is>
          <t>사업자번호</t>
        </is>
      </c>
      <c r="B36" s="1" t="inlineStr">
        <is>
          <t>392-87-01568</t>
        </is>
      </c>
      <c r="C36" s="93" t="inlineStr">
        <is>
          <t>783-81-00351</t>
        </is>
      </c>
      <c r="D36" s="9" t="inlineStr">
        <is>
          <t>410-81-26206</t>
        </is>
      </c>
      <c r="E36" s="9" t="inlineStr">
        <is>
          <t>228-81-06391</t>
        </is>
      </c>
      <c r="F36" s="93" t="inlineStr">
        <is>
          <t>410-86-31927</t>
        </is>
      </c>
      <c r="G36" s="9" t="inlineStr">
        <is>
          <t>278-81-01197</t>
        </is>
      </c>
      <c r="H36" s="163" t="inlineStr">
        <is>
          <t>410-81-74561</t>
        </is>
      </c>
      <c r="I36" s="168" t="inlineStr">
        <is>
          <t>410-86-11843</t>
        </is>
      </c>
      <c r="J36" s="445" t="inlineStr">
        <is>
          <t>410-82-20913</t>
        </is>
      </c>
      <c r="K36" s="445" t="inlineStr">
        <is>
          <t>430-86-02862</t>
        </is>
      </c>
      <c r="L36" s="9" t="n"/>
      <c r="M36" s="9" t="n"/>
    </row>
    <row r="37">
      <c r="A37" s="74" t="inlineStr">
        <is>
          <t>지역</t>
        </is>
      </c>
      <c r="B37" s="1" t="inlineStr">
        <is>
          <t>광주광역시 남구</t>
        </is>
      </c>
      <c r="C37" s="93" t="inlineStr">
        <is>
          <t>광주광역시 광산구</t>
        </is>
      </c>
      <c r="D37" s="9" t="inlineStr">
        <is>
          <t>광주 북구</t>
        </is>
      </c>
      <c r="E37" s="9" t="inlineStr">
        <is>
          <t>광주 북구</t>
        </is>
      </c>
      <c r="F37" s="93" t="inlineStr">
        <is>
          <t>광주 광산구</t>
        </is>
      </c>
      <c r="G37" s="9" t="inlineStr">
        <is>
          <t>광주 동구</t>
        </is>
      </c>
      <c r="H37" s="930" t="inlineStr">
        <is>
          <t>광주광역시 서구</t>
        </is>
      </c>
      <c r="I37" s="167" t="inlineStr">
        <is>
          <t>광주광역시 서구</t>
        </is>
      </c>
      <c r="J37" s="445" t="inlineStr">
        <is>
          <t>광주 광산구</t>
        </is>
      </c>
      <c r="K37" s="445" t="inlineStr">
        <is>
          <t>광주광역시 남구</t>
        </is>
      </c>
      <c r="L37" s="9" t="n"/>
      <c r="M37" s="9" t="n"/>
    </row>
    <row r="38">
      <c r="A38" s="74" t="inlineStr">
        <is>
          <t>통신시공능력</t>
        </is>
      </c>
      <c r="B38" s="804" t="n">
        <v>2801200000</v>
      </c>
      <c r="C38" s="815" t="n">
        <v>757500000</v>
      </c>
      <c r="D38" s="756" t="n">
        <v>772200000</v>
      </c>
      <c r="E38" s="756" t="n">
        <v>499000000</v>
      </c>
      <c r="F38" s="815" t="n">
        <v>5435400000</v>
      </c>
      <c r="G38" s="756" t="n">
        <v>502900000</v>
      </c>
      <c r="H38" s="717" t="n">
        <v>7325300000</v>
      </c>
      <c r="I38" s="931" t="n">
        <v>431300000</v>
      </c>
      <c r="J38" s="932" t="n">
        <v>2052200000</v>
      </c>
      <c r="K38" s="932" t="n">
        <v>4991000000</v>
      </c>
      <c r="L38" s="756" t="n"/>
      <c r="M38" s="756" t="n"/>
    </row>
    <row r="39">
      <c r="A39" s="74" t="inlineStr">
        <is>
          <t>3년간 실적액</t>
        </is>
      </c>
      <c r="B39" s="804" t="n">
        <v>3044400000</v>
      </c>
      <c r="C39" s="815" t="n">
        <v>156000000</v>
      </c>
      <c r="D39" s="756" t="n">
        <v>474005000</v>
      </c>
      <c r="E39" s="756" t="n">
        <v>0</v>
      </c>
      <c r="F39" s="815" t="n">
        <v>7903966000</v>
      </c>
      <c r="G39" s="756" t="n">
        <v>0</v>
      </c>
      <c r="H39" s="933" t="n">
        <v>9888171000</v>
      </c>
      <c r="I39" s="931" t="n">
        <v>0</v>
      </c>
      <c r="J39" s="932" t="n">
        <v>1105610000</v>
      </c>
      <c r="K39" s="932" t="n">
        <v>5890963000</v>
      </c>
      <c r="L39" s="756" t="n"/>
      <c r="M39" s="756" t="n"/>
    </row>
    <row r="40">
      <c r="A40" s="74" t="inlineStr">
        <is>
          <t>5년간 실적액</t>
        </is>
      </c>
      <c r="B40" s="804" t="n">
        <v>3044400000</v>
      </c>
      <c r="C40" s="815" t="n">
        <v>156000000</v>
      </c>
      <c r="D40" s="806" t="n">
        <v>474005000</v>
      </c>
      <c r="E40" s="806" t="n">
        <v>0</v>
      </c>
      <c r="F40" s="816" t="n">
        <v>11274276000</v>
      </c>
      <c r="G40" s="806" t="n">
        <v>0</v>
      </c>
      <c r="H40" s="933" t="n">
        <v>14186630000</v>
      </c>
      <c r="I40" s="934" t="n">
        <v>0</v>
      </c>
      <c r="J40" s="935" t="n">
        <v>1435974000</v>
      </c>
      <c r="K40" s="935" t="n">
        <v>7777405000</v>
      </c>
      <c r="L40" s="806" t="n"/>
      <c r="M40" s="806" t="n"/>
    </row>
    <row r="41">
      <c r="A41" s="916" t="inlineStr">
        <is>
          <t>부채비율</t>
        </is>
      </c>
      <c r="B41" s="2" t="n">
        <v>0.44</v>
      </c>
      <c r="C41" s="101" t="n">
        <v>0.3448</v>
      </c>
      <c r="D41" s="10" t="n">
        <v>0.2261</v>
      </c>
      <c r="E41" s="10" t="n">
        <v>0.0314</v>
      </c>
      <c r="F41" s="101" t="n">
        <v>0.5419</v>
      </c>
      <c r="G41" s="10" t="n">
        <v>0.4324</v>
      </c>
      <c r="H41" s="164" t="n">
        <v>0.9952</v>
      </c>
      <c r="I41" s="164" t="n">
        <v>16.2129</v>
      </c>
      <c r="J41" s="443" t="n">
        <v>0.589</v>
      </c>
      <c r="K41" s="443" t="n">
        <v>0.3795</v>
      </c>
      <c r="L41" s="10" t="n"/>
      <c r="M41" s="10" t="n"/>
      <c r="N41" s="750" t="n"/>
    </row>
    <row r="42">
      <c r="A42" s="916" t="inlineStr">
        <is>
          <t>유동비율</t>
        </is>
      </c>
      <c r="B42" s="2" t="n">
        <v>2.6421</v>
      </c>
      <c r="C42" s="101" t="n">
        <v>3.9532</v>
      </c>
      <c r="D42" s="10" t="n">
        <v>11.4619</v>
      </c>
      <c r="E42" s="10" t="n">
        <v>31.7672</v>
      </c>
      <c r="F42" s="101" t="n">
        <v>3.7879</v>
      </c>
      <c r="G42" s="10" t="n">
        <v>4.5396</v>
      </c>
      <c r="H42" s="165" t="n">
        <v>3.1506</v>
      </c>
      <c r="I42" s="165" t="n">
        <v>2.429</v>
      </c>
      <c r="J42" s="443" t="n">
        <v>2.6858</v>
      </c>
      <c r="K42" s="443" t="n">
        <v>3.1659</v>
      </c>
      <c r="L42" s="10" t="n"/>
      <c r="M42" s="10" t="n"/>
      <c r="N42" s="750" t="n"/>
    </row>
    <row r="43" ht="22.5" customHeight="1" s="16">
      <c r="A43" s="917" t="inlineStr">
        <is>
          <t>영업기간
공사업등록일</t>
        </is>
      </c>
      <c r="B43" s="67" t="inlineStr">
        <is>
          <t>2020.04.03</t>
        </is>
      </c>
      <c r="C43" s="98" t="inlineStr">
        <is>
          <t>2021.05.11</t>
        </is>
      </c>
      <c r="D43" s="11" t="inlineStr">
        <is>
          <t>2009.03.09</t>
        </is>
      </c>
      <c r="E43" s="11" t="inlineStr">
        <is>
          <t>2023.03.08</t>
        </is>
      </c>
      <c r="F43" s="98" t="inlineStr">
        <is>
          <t>2004.08.20</t>
        </is>
      </c>
      <c r="G43" s="11" t="inlineStr">
        <is>
          <t>2023.10.31</t>
        </is>
      </c>
      <c r="H43" s="166" t="n"/>
      <c r="I43" s="173" t="n"/>
      <c r="J43" s="449" t="inlineStr">
        <is>
          <t>2019.02.01</t>
        </is>
      </c>
      <c r="K43" s="449" t="inlineStr">
        <is>
          <t>2007.01.23</t>
        </is>
      </c>
      <c r="L43" s="11" t="n"/>
      <c r="M43" s="11" t="n"/>
    </row>
    <row r="44" ht="22.5" customHeight="1" s="16">
      <c r="A44" s="74" t="inlineStr">
        <is>
          <t>신용평가</t>
        </is>
      </c>
      <c r="B44" s="12" t="n"/>
      <c r="C44" s="725" t="inlineStr">
        <is>
          <t>BB0
(24.06.26~25.06.25)</t>
        </is>
      </c>
      <c r="D44" s="12" t="n"/>
      <c r="E44" s="12" t="n"/>
      <c r="F44" s="725" t="inlineStr">
        <is>
          <t>BB0
(24.04.18~25.04.17)</t>
        </is>
      </c>
      <c r="G44" s="12" t="n"/>
      <c r="H44" s="833" t="inlineStr">
        <is>
          <t>AA-
(25.05.15~26.05.14)</t>
        </is>
      </c>
      <c r="I44" s="833" t="inlineStr">
        <is>
          <t>BBB0
(25.06.23~26.06.22)</t>
        </is>
      </c>
      <c r="J44" s="438" t="n"/>
      <c r="K44" s="438" t="inlineStr">
        <is>
          <t>BB+
(25.06.30~26.06.29)</t>
        </is>
      </c>
      <c r="L44" s="12" t="n"/>
      <c r="M44" s="12" t="n"/>
    </row>
    <row r="45">
      <c r="A45" s="74" t="inlineStr">
        <is>
          <t>여성기업</t>
        </is>
      </c>
      <c r="B45" s="12" t="n"/>
      <c r="C45" s="12" t="n"/>
      <c r="D45" s="12" t="n"/>
      <c r="E45" s="12" t="n"/>
      <c r="F45" s="12" t="n"/>
      <c r="G45" s="12" t="n"/>
      <c r="H45" s="936" t="n"/>
      <c r="I45" s="170" t="n"/>
      <c r="J45" s="438" t="n"/>
      <c r="K45" s="438" t="n"/>
      <c r="L45" s="12" t="n"/>
      <c r="M45" s="12" t="n"/>
    </row>
    <row r="46">
      <c r="A46" s="74" t="inlineStr">
        <is>
          <t>중소기업</t>
        </is>
      </c>
      <c r="B46" s="12" t="n"/>
      <c r="C46" s="12" t="n"/>
      <c r="D46" s="12" t="n"/>
      <c r="E46" s="12" t="n"/>
      <c r="F46" s="12" t="n"/>
      <c r="G46" s="12" t="n"/>
      <c r="H46" s="936" t="n"/>
      <c r="I46" s="170" t="n"/>
      <c r="J46" s="12" t="n"/>
      <c r="K46" s="12" t="n"/>
      <c r="L46" s="12" t="n"/>
      <c r="M46" s="12" t="n"/>
    </row>
    <row r="47">
      <c r="A47" s="71" t="inlineStr">
        <is>
          <t>일자리창출실적</t>
        </is>
      </c>
      <c r="B47" s="12" t="n"/>
      <c r="C47" s="12" t="n"/>
      <c r="D47" s="12" t="n"/>
      <c r="E47" s="12" t="n"/>
      <c r="F47" s="12" t="n"/>
      <c r="G47" s="12" t="n"/>
      <c r="H47" s="936" t="n"/>
      <c r="I47" s="170" t="n"/>
      <c r="J47" s="438" t="n"/>
      <c r="K47" s="438" t="n"/>
      <c r="L47" s="12" t="n"/>
      <c r="M47" s="12" t="n"/>
    </row>
    <row r="48">
      <c r="A48" s="71" t="inlineStr">
        <is>
          <t>시공품질평가</t>
        </is>
      </c>
      <c r="B48" s="12" t="n"/>
      <c r="C48" s="12" t="n"/>
      <c r="D48" s="12" t="n"/>
      <c r="E48" s="12" t="n"/>
      <c r="F48" s="12" t="n"/>
      <c r="G48" s="12" t="n"/>
      <c r="H48" s="936" t="n"/>
      <c r="I48" s="170" t="n"/>
      <c r="J48" s="438" t="n"/>
      <c r="K48" s="438" t="n"/>
      <c r="L48" s="12" t="n"/>
      <c r="M48" s="12" t="n"/>
    </row>
    <row r="49" ht="22.5" customHeight="1" s="16">
      <c r="A49" s="74" t="inlineStr">
        <is>
          <t>비  고</t>
        </is>
      </c>
      <c r="B49" s="73" t="inlineStr">
        <is>
          <t>라원전기 상호변경
김영균 부장</t>
        </is>
      </c>
      <c r="C49" s="93" t="inlineStr">
        <is>
          <t>송용주</t>
        </is>
      </c>
      <c r="D49" s="9" t="inlineStr">
        <is>
          <t>김대열</t>
        </is>
      </c>
      <c r="E49" s="9" t="inlineStr">
        <is>
          <t>김대열</t>
        </is>
      </c>
      <c r="F49" s="93" t="inlineStr">
        <is>
          <t>윤명숙</t>
        </is>
      </c>
      <c r="G49" s="9" t="inlineStr">
        <is>
          <t>임태균</t>
        </is>
      </c>
      <c r="H49" s="930" t="inlineStr">
        <is>
          <t>유형민</t>
        </is>
      </c>
      <c r="I49" s="167" t="inlineStr">
        <is>
          <t>대광건영자회사</t>
        </is>
      </c>
      <c r="J49" s="445" t="inlineStr">
        <is>
          <t>윤명숙</t>
        </is>
      </c>
      <c r="K49" s="445" t="inlineStr">
        <is>
          <t>김정훈</t>
        </is>
      </c>
      <c r="L49" s="9" t="n"/>
      <c r="M49" s="9" t="n"/>
    </row>
  </sheetData>
  <mergeCells count="1">
    <mergeCell ref="A1:M1"/>
  </mergeCells>
  <printOptions horizontalCentered="1"/>
  <pageMargins left="0.03937007874015748" right="0.03937007874015748" top="0.1968503937007874" bottom="0.1968503937007874" header="0" footer="0"/>
  <pageSetup orientation="landscape" paperSize="9" scale="5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 codeName="Sheet14">
    <outlinePr summaryBelow="1" summaryRight="1"/>
    <pageSetUpPr/>
  </sheetPr>
  <dimension ref="A1:N17"/>
  <sheetViews>
    <sheetView zoomScale="115" zoomScaleNormal="115" workbookViewId="0">
      <pane ySplit="1" topLeftCell="A2" activePane="bottomLeft" state="frozen"/>
      <selection pane="bottomLeft" activeCell="A2" sqref="A2:M2"/>
    </sheetView>
  </sheetViews>
  <sheetFormatPr baseColWidth="8" defaultRowHeight="13.5"/>
  <cols>
    <col width="10" bestFit="1" customWidth="1" style="16" min="1" max="1"/>
    <col width="15.77734375" customWidth="1" style="16" min="2" max="13"/>
    <col width="8.88671875" customWidth="1" style="16" min="14" max="55"/>
    <col width="8.88671875" customWidth="1" style="16" min="56" max="16384"/>
  </cols>
  <sheetData>
    <row r="1" ht="25.5" customHeight="1" s="16">
      <c r="A1" s="706" t="inlineStr">
        <is>
          <t>통 신 ( 울 산 )</t>
        </is>
      </c>
      <c r="B1" s="700" t="n"/>
      <c r="C1" s="700" t="n"/>
      <c r="D1" s="700" t="n"/>
      <c r="E1" s="700" t="n"/>
      <c r="F1" s="700" t="n"/>
      <c r="G1" s="700" t="n"/>
      <c r="H1" s="700" t="n"/>
      <c r="I1" s="700" t="n"/>
      <c r="J1" s="700" t="n"/>
      <c r="K1" s="700" t="n"/>
      <c r="L1" s="700" t="n"/>
      <c r="M1" s="701" t="n"/>
    </row>
    <row r="2" ht="26.1" customFormat="1" customHeight="1" s="18">
      <c r="A2" s="455" t="inlineStr">
        <is>
          <t>회사명</t>
        </is>
      </c>
      <c r="B2" s="455" t="inlineStr">
        <is>
          <t>㈜길리</t>
        </is>
      </c>
      <c r="C2" s="455" t="inlineStr">
        <is>
          <t>㈜성전사</t>
        </is>
      </c>
      <c r="D2" s="455" t="inlineStr">
        <is>
          <t>석우정보기술㈜</t>
        </is>
      </c>
      <c r="E2" s="455" t="inlineStr">
        <is>
          <t>㈜창운</t>
        </is>
      </c>
      <c r="F2" s="455" t="inlineStr">
        <is>
          <t>앤드통신서비스㈜</t>
        </is>
      </c>
      <c r="G2" s="455" t="inlineStr">
        <is>
          <t>㈜뉴텍</t>
        </is>
      </c>
      <c r="H2" s="455" t="inlineStr">
        <is>
          <t>㈜유피시앤에스</t>
        </is>
      </c>
      <c r="I2" s="455" t="inlineStr">
        <is>
          <t>㈜태성아이오티</t>
        </is>
      </c>
      <c r="J2" s="455" t="n"/>
      <c r="K2" s="455" t="n"/>
      <c r="L2" s="455" t="n"/>
      <c r="M2" s="455" t="n"/>
    </row>
    <row r="3" customFormat="1" s="23">
      <c r="A3" s="74" t="inlineStr">
        <is>
          <t>대표자</t>
        </is>
      </c>
      <c r="B3" s="352" t="inlineStr">
        <is>
          <t>김승열</t>
        </is>
      </c>
      <c r="C3" s="143" t="inlineStr">
        <is>
          <t>김 철</t>
        </is>
      </c>
      <c r="D3" s="1" t="inlineStr">
        <is>
          <t>정승희</t>
        </is>
      </c>
      <c r="E3" s="1" t="inlineStr">
        <is>
          <t>조현수</t>
        </is>
      </c>
      <c r="F3" s="9" t="inlineStr">
        <is>
          <t>전종배</t>
        </is>
      </c>
      <c r="G3" s="9" t="inlineStr">
        <is>
          <t>장기열</t>
        </is>
      </c>
      <c r="H3" s="9" t="inlineStr">
        <is>
          <t>오경모</t>
        </is>
      </c>
      <c r="I3" s="9" t="inlineStr">
        <is>
          <t>임병국</t>
        </is>
      </c>
      <c r="J3" s="9" t="n"/>
      <c r="K3" s="9" t="n"/>
      <c r="L3" s="9" t="n"/>
      <c r="M3" s="9" t="n"/>
    </row>
    <row r="4" ht="11.25" customFormat="1" customHeight="1" s="17">
      <c r="A4" s="74" t="inlineStr">
        <is>
          <t>사업자번호</t>
        </is>
      </c>
      <c r="B4" s="357" t="inlineStr">
        <is>
          <t>610-81-16588</t>
        </is>
      </c>
      <c r="C4" s="149" t="inlineStr">
        <is>
          <t>620-81-06559</t>
        </is>
      </c>
      <c r="D4" s="1" t="inlineStr">
        <is>
          <t>624-81-01857</t>
        </is>
      </c>
      <c r="E4" s="1" t="inlineStr">
        <is>
          <t>610-81-12224</t>
        </is>
      </c>
      <c r="F4" s="9" t="inlineStr">
        <is>
          <t>373-86-01804</t>
        </is>
      </c>
      <c r="G4" s="9" t="inlineStr">
        <is>
          <t>610-81-69881</t>
        </is>
      </c>
      <c r="H4" s="9" t="inlineStr">
        <is>
          <t>610-86-25272</t>
        </is>
      </c>
      <c r="I4" s="9" t="inlineStr">
        <is>
          <t>747-87-00492</t>
        </is>
      </c>
      <c r="J4" s="9" t="n"/>
      <c r="K4" s="9" t="n"/>
      <c r="L4" s="54" t="n"/>
      <c r="M4" s="9" t="n"/>
    </row>
    <row r="5" ht="11.25" customFormat="1" customHeight="1" s="17">
      <c r="A5" s="74" t="inlineStr">
        <is>
          <t>지역</t>
        </is>
      </c>
      <c r="B5" s="352" t="inlineStr">
        <is>
          <t>울산광역시 남구</t>
        </is>
      </c>
      <c r="C5" s="143" t="inlineStr">
        <is>
          <t>울산광역시 중구</t>
        </is>
      </c>
      <c r="D5" s="1" t="inlineStr">
        <is>
          <t>울산광역시 북구</t>
        </is>
      </c>
      <c r="E5" s="1" t="inlineStr">
        <is>
          <t>울산광역시 남구</t>
        </is>
      </c>
      <c r="F5" s="9" t="inlineStr">
        <is>
          <t>울산광역시 중구</t>
        </is>
      </c>
      <c r="G5" s="9" t="inlineStr">
        <is>
          <t>울산광역시 중구</t>
        </is>
      </c>
      <c r="H5" s="9" t="inlineStr">
        <is>
          <t>울산광역시 중구</t>
        </is>
      </c>
      <c r="I5" s="9" t="inlineStr">
        <is>
          <t>울상광역시 남구</t>
        </is>
      </c>
      <c r="J5" s="9" t="n"/>
      <c r="K5" s="752" t="n"/>
      <c r="L5" s="752" t="n"/>
      <c r="M5" s="9" t="n"/>
    </row>
    <row r="6" ht="11.25" customFormat="1" customHeight="1" s="17">
      <c r="A6" s="74" t="inlineStr">
        <is>
          <t>통신시공능력</t>
        </is>
      </c>
      <c r="B6" s="841" t="n">
        <v>2237500000</v>
      </c>
      <c r="C6" s="828" t="n">
        <v>1141700000</v>
      </c>
      <c r="D6" s="777" t="n">
        <v>2577900000</v>
      </c>
      <c r="E6" s="890" t="n">
        <v>418200000</v>
      </c>
      <c r="F6" s="752" t="n">
        <v>2663300000</v>
      </c>
      <c r="G6" s="777" t="n">
        <v>707600000</v>
      </c>
      <c r="H6" s="752" t="n">
        <v>3383000000</v>
      </c>
      <c r="I6" s="756" t="n">
        <v>2236700000</v>
      </c>
      <c r="J6" s="752" t="n"/>
      <c r="K6" s="752" t="n"/>
      <c r="L6" s="752" t="n"/>
      <c r="M6" s="752" t="n"/>
    </row>
    <row r="7" ht="11.25" customFormat="1" customHeight="1" s="17">
      <c r="A7" s="74" t="inlineStr">
        <is>
          <t>3년간 실적액</t>
        </is>
      </c>
      <c r="B7" s="841" t="n">
        <v>2306905000</v>
      </c>
      <c r="C7" s="828" t="n">
        <v>540650000</v>
      </c>
      <c r="D7" s="732" t="n">
        <v>570029000</v>
      </c>
      <c r="E7" s="890" t="n">
        <v>218806000</v>
      </c>
      <c r="F7" s="752" t="n">
        <v>3561249000</v>
      </c>
      <c r="G7" s="752" t="n">
        <v>95144000</v>
      </c>
      <c r="H7" s="752" t="n">
        <v>1910439000</v>
      </c>
      <c r="I7" s="756" t="n">
        <v>2193573000</v>
      </c>
      <c r="J7" s="752" t="n"/>
      <c r="K7" s="752" t="n"/>
      <c r="L7" s="752" t="n"/>
      <c r="M7" s="752" t="n"/>
    </row>
    <row r="8" customFormat="1" s="19">
      <c r="A8" s="74" t="inlineStr">
        <is>
          <t>5년간 실적액</t>
        </is>
      </c>
      <c r="B8" s="841" t="n">
        <v>3843363000</v>
      </c>
      <c r="C8" s="828" t="n">
        <v>1046650000</v>
      </c>
      <c r="D8" s="732" t="n">
        <v>570029000</v>
      </c>
      <c r="E8" s="890" t="n">
        <v>1362958000</v>
      </c>
      <c r="F8" s="752" t="n">
        <v>3561249000</v>
      </c>
      <c r="G8" s="752" t="n">
        <v>190640000</v>
      </c>
      <c r="H8" s="752" t="n">
        <v>1910439000</v>
      </c>
      <c r="I8" s="756" t="n">
        <v>2193573000</v>
      </c>
      <c r="J8" s="752" t="n"/>
      <c r="K8" s="752" t="n"/>
      <c r="L8" s="752" t="n"/>
      <c r="M8" s="752" t="n"/>
    </row>
    <row r="9" customFormat="1" s="886">
      <c r="A9" s="916" t="inlineStr">
        <is>
          <t>부채비율</t>
        </is>
      </c>
      <c r="B9" s="354" t="n">
        <v>0.5212</v>
      </c>
      <c r="C9" s="144" t="n">
        <v>0.3044</v>
      </c>
      <c r="D9" s="66" t="n">
        <v>0.9717</v>
      </c>
      <c r="E9" s="10" t="n"/>
      <c r="F9" s="48" t="n">
        <v>1.6051</v>
      </c>
      <c r="G9" s="10" t="n">
        <v>0.4978</v>
      </c>
      <c r="H9" s="48" t="n">
        <v>0.6956</v>
      </c>
      <c r="I9" s="48" t="n">
        <v>1.2393</v>
      </c>
      <c r="J9" s="10" t="n"/>
      <c r="K9" s="10" t="n"/>
      <c r="L9" s="10" t="n"/>
      <c r="M9" s="10" t="n"/>
      <c r="N9" s="750" t="n"/>
    </row>
    <row r="10" customFormat="1" s="886">
      <c r="A10" s="916" t="inlineStr">
        <is>
          <t>유동비율</t>
        </is>
      </c>
      <c r="B10" s="354" t="n">
        <v>5.2258</v>
      </c>
      <c r="C10" s="144" t="n">
        <v>2.5419</v>
      </c>
      <c r="D10" s="2" t="n">
        <v>4.527</v>
      </c>
      <c r="E10" s="10" t="n"/>
      <c r="F10" s="48" t="n">
        <v>0.7891</v>
      </c>
      <c r="G10" s="10" t="n">
        <v>2.909</v>
      </c>
      <c r="H10" s="48" t="n">
        <v>1.8279</v>
      </c>
      <c r="I10" s="10" t="n">
        <v>11.5657</v>
      </c>
      <c r="J10" s="10" t="n"/>
      <c r="K10" s="10" t="n"/>
      <c r="L10" s="10" t="n"/>
      <c r="M10" s="10" t="n"/>
      <c r="N10" s="750" t="n"/>
    </row>
    <row r="11" ht="22.5" customFormat="1" customHeight="1" s="886">
      <c r="A11" s="917" t="inlineStr">
        <is>
          <t>엽업기간
공사업등록일</t>
        </is>
      </c>
      <c r="B11" s="358" t="inlineStr">
        <is>
          <t>2007.06.20</t>
        </is>
      </c>
      <c r="C11" s="147" t="inlineStr">
        <is>
          <t>2003.08.14</t>
        </is>
      </c>
      <c r="D11" s="67" t="inlineStr">
        <is>
          <t>2021.04.29</t>
        </is>
      </c>
      <c r="E11" s="11" t="n"/>
      <c r="F11" s="11" t="inlineStr">
        <is>
          <t>2020.12.24</t>
        </is>
      </c>
      <c r="G11" s="11" t="inlineStr">
        <is>
          <t>2011.12.28</t>
        </is>
      </c>
      <c r="H11" s="11" t="inlineStr">
        <is>
          <t>2021.01.14</t>
        </is>
      </c>
      <c r="I11" s="11" t="inlineStr">
        <is>
          <t>2020.07.27</t>
        </is>
      </c>
      <c r="J11" s="11" t="n"/>
      <c r="K11" s="11" t="n"/>
      <c r="L11" s="11" t="n"/>
      <c r="M11" s="11" t="n"/>
    </row>
    <row r="12" ht="22.5" customFormat="1" customHeight="1" s="23">
      <c r="A12" s="74" t="inlineStr">
        <is>
          <t>신용평가</t>
        </is>
      </c>
      <c r="B12" s="399" t="inlineStr">
        <is>
          <t>BB0
(25.05.07~26.05.06)</t>
        </is>
      </c>
      <c r="C12" s="159" t="inlineStr">
        <is>
          <t>BBB0
(25.04.12~26.04.11)</t>
        </is>
      </c>
      <c r="D12" s="12" t="n"/>
      <c r="E12" s="157" t="inlineStr">
        <is>
          <t>BB+
(14.04.21~15.04.20)</t>
        </is>
      </c>
      <c r="F12" s="12" t="n"/>
      <c r="G12" s="12" t="n"/>
      <c r="H12" s="12" t="n"/>
      <c r="I12" s="803" t="n"/>
      <c r="J12" s="12" t="n"/>
      <c r="K12" s="803" t="n"/>
      <c r="L12" s="803" t="n"/>
      <c r="M12" s="12" t="n"/>
    </row>
    <row r="13" customFormat="1" s="23">
      <c r="A13" s="74" t="inlineStr">
        <is>
          <t>여성기업</t>
        </is>
      </c>
      <c r="B13" s="352" t="n"/>
      <c r="C13" s="143" t="n"/>
      <c r="D13" s="12" t="n"/>
      <c r="E13" s="55" t="n"/>
      <c r="F13" s="12" t="n"/>
      <c r="G13" s="12" t="n"/>
      <c r="H13" s="12" t="n"/>
      <c r="I13" s="803" t="n"/>
      <c r="J13" s="12" t="n"/>
      <c r="K13" s="803" t="n"/>
      <c r="L13" s="803" t="n"/>
      <c r="M13" s="12" t="n"/>
    </row>
    <row r="14" customFormat="1" s="23">
      <c r="A14" s="74" t="inlineStr">
        <is>
          <t>중소기업</t>
        </is>
      </c>
      <c r="B14" s="352" t="n"/>
      <c r="C14" s="143" t="n"/>
      <c r="D14" s="12" t="n"/>
      <c r="E14" s="55" t="n"/>
      <c r="F14" s="12" t="n"/>
      <c r="G14" s="12" t="n"/>
      <c r="H14" s="12" t="n"/>
      <c r="I14" s="803" t="n"/>
      <c r="J14" s="12" t="n"/>
      <c r="K14" s="803" t="n"/>
      <c r="L14" s="803" t="n"/>
      <c r="M14" s="12" t="n"/>
    </row>
    <row r="15" customFormat="1" s="23">
      <c r="A15" s="71" t="inlineStr">
        <is>
          <t>일자리창출실적</t>
        </is>
      </c>
      <c r="B15" s="352" t="n"/>
      <c r="C15" s="143" t="n"/>
      <c r="D15" s="12" t="n"/>
      <c r="E15" s="55" t="n"/>
      <c r="F15" s="12" t="n"/>
      <c r="G15" s="12" t="n"/>
      <c r="H15" s="12" t="n"/>
      <c r="I15" s="803" t="n"/>
      <c r="J15" s="12" t="n"/>
      <c r="K15" s="803" t="n"/>
      <c r="L15" s="803" t="n"/>
      <c r="M15" s="12" t="n"/>
    </row>
    <row r="16" customFormat="1" s="23">
      <c r="A16" s="71" t="inlineStr">
        <is>
          <t>시공품질평가</t>
        </is>
      </c>
      <c r="B16" s="359" t="inlineStr">
        <is>
          <t>없음 (24.05.01)</t>
        </is>
      </c>
      <c r="C16" s="150" t="inlineStr">
        <is>
          <t>없음 (25.05.01)</t>
        </is>
      </c>
      <c r="D16" s="12" t="n"/>
      <c r="E16" s="55" t="n"/>
      <c r="F16" s="12" t="n"/>
      <c r="G16" s="12" t="n"/>
      <c r="H16" s="12" t="n"/>
      <c r="I16" s="803" t="n"/>
      <c r="J16" s="12" t="n"/>
      <c r="K16" s="803" t="n"/>
      <c r="L16" s="803" t="n"/>
      <c r="M16" s="12" t="n"/>
    </row>
    <row r="17" customFormat="1" s="23">
      <c r="A17" s="74" t="inlineStr">
        <is>
          <t>비  고</t>
        </is>
      </c>
      <c r="B17" s="360" t="inlineStr">
        <is>
          <t>김희준</t>
        </is>
      </c>
      <c r="C17" s="145" t="n"/>
      <c r="D17" s="732" t="inlineStr">
        <is>
          <t>여인백</t>
        </is>
      </c>
      <c r="E17" s="9" t="n"/>
      <c r="F17" s="752" t="inlineStr">
        <is>
          <t>서권형</t>
        </is>
      </c>
      <c r="G17" s="752" t="inlineStr">
        <is>
          <t>여인백</t>
        </is>
      </c>
      <c r="H17" s="752" t="inlineStr">
        <is>
          <t>서권형</t>
        </is>
      </c>
      <c r="I17" s="752" t="inlineStr">
        <is>
          <t>서권형</t>
        </is>
      </c>
      <c r="J17" s="752" t="n"/>
      <c r="K17" s="9" t="n"/>
      <c r="L17" s="9" t="n"/>
      <c r="M17" s="9" t="n"/>
    </row>
  </sheetData>
  <mergeCells count="1">
    <mergeCell ref="A1:M1"/>
  </mergeCells>
  <printOptions horizontalCentered="1"/>
  <pageMargins left="0.03937007874015748" right="0.03937007874015748" top="0.1968503937007874" bottom="0.1968503937007874" header="0" footer="0"/>
  <pageSetup orientation="landscape" paperSize="9" scale="55"/>
</worksheet>
</file>

<file path=xl/worksheets/sheet15.xml><?xml version="1.0" encoding="utf-8"?>
<worksheet xmlns="http://schemas.openxmlformats.org/spreadsheetml/2006/main">
  <sheetPr codeName="Sheet15">
    <outlinePr summaryBelow="1" summaryRight="1"/>
    <pageSetUpPr/>
  </sheetPr>
  <dimension ref="A1:N33"/>
  <sheetViews>
    <sheetView zoomScaleNormal="100" workbookViewId="0">
      <pane ySplit="1" topLeftCell="A2" activePane="bottomLeft" state="frozen"/>
      <selection pane="bottomLeft" activeCell="A18" sqref="A18:M18"/>
    </sheetView>
  </sheetViews>
  <sheetFormatPr baseColWidth="8" defaultRowHeight="13.5"/>
  <cols>
    <col width="10" bestFit="1" customWidth="1" style="16" min="1" max="1"/>
    <col width="15.77734375" customWidth="1" style="16" min="2" max="13"/>
    <col width="8.88671875" customWidth="1" style="16" min="14" max="55"/>
    <col width="8.88671875" customWidth="1" style="16" min="56" max="16384"/>
  </cols>
  <sheetData>
    <row r="1" ht="25.5" customHeight="1" s="16">
      <c r="A1" s="702" t="inlineStr">
        <is>
          <t>통 신 ( 대 구 )</t>
        </is>
      </c>
      <c r="B1" s="700" t="n"/>
      <c r="C1" s="700" t="n"/>
      <c r="D1" s="700" t="n"/>
      <c r="E1" s="700" t="n"/>
      <c r="F1" s="700" t="n"/>
      <c r="G1" s="700" t="n"/>
      <c r="H1" s="700" t="n"/>
      <c r="I1" s="700" t="n"/>
      <c r="J1" s="700" t="n"/>
      <c r="K1" s="700" t="n"/>
      <c r="L1" s="700" t="n"/>
      <c r="M1" s="701" t="n"/>
    </row>
    <row r="2" ht="26.1" customFormat="1" customHeight="1" s="18">
      <c r="A2" s="455" t="inlineStr">
        <is>
          <t>회사명</t>
        </is>
      </c>
      <c r="B2" s="455" t="inlineStr">
        <is>
          <t>㈜동서개발</t>
        </is>
      </c>
      <c r="C2" s="455" t="inlineStr">
        <is>
          <t>동보정보통신㈜</t>
        </is>
      </c>
      <c r="D2" s="455" t="inlineStr">
        <is>
          <t>㈜광덕전력</t>
        </is>
      </c>
      <c r="E2" s="455" t="inlineStr">
        <is>
          <t>대창텔레콤㈜</t>
        </is>
      </c>
      <c r="F2" s="455" t="inlineStr">
        <is>
          <t>다윤월드㈜</t>
        </is>
      </c>
      <c r="G2" s="455" t="inlineStr">
        <is>
          <t>㈜대한정보</t>
        </is>
      </c>
      <c r="H2" s="455" t="inlineStr">
        <is>
          <t>㈜대동정보통신</t>
        </is>
      </c>
      <c r="I2" s="455" t="inlineStr">
        <is>
          <t>㈜빅스타건설</t>
        </is>
      </c>
      <c r="J2" s="455" t="inlineStr">
        <is>
          <t>㈜신한이엔텔</t>
        </is>
      </c>
      <c r="K2" s="455" t="inlineStr">
        <is>
          <t>휴먼테크㈜</t>
        </is>
      </c>
      <c r="L2" s="455" t="inlineStr">
        <is>
          <t>㈜이소전력</t>
        </is>
      </c>
      <c r="M2" s="455" t="inlineStr">
        <is>
          <t>태성씨앤씨㈜</t>
        </is>
      </c>
    </row>
    <row r="3" customFormat="1" s="23">
      <c r="A3" s="74" t="inlineStr">
        <is>
          <t>대표자</t>
        </is>
      </c>
      <c r="B3" s="1" t="inlineStr">
        <is>
          <t>이승현</t>
        </is>
      </c>
      <c r="C3" s="1" t="inlineStr">
        <is>
          <t>김기범</t>
        </is>
      </c>
      <c r="D3" s="9" t="inlineStr">
        <is>
          <t>이복희</t>
        </is>
      </c>
      <c r="E3" s="9" t="inlineStr">
        <is>
          <t>박종대</t>
        </is>
      </c>
      <c r="F3" s="1" t="inlineStr">
        <is>
          <t>하상호</t>
        </is>
      </c>
      <c r="G3" s="1" t="inlineStr">
        <is>
          <t>김승모</t>
        </is>
      </c>
      <c r="H3" s="9" t="inlineStr">
        <is>
          <t>최홍기</t>
        </is>
      </c>
      <c r="I3" s="1" t="inlineStr">
        <is>
          <t>신태노</t>
        </is>
      </c>
      <c r="J3" s="1" t="inlineStr">
        <is>
          <t>장세현</t>
        </is>
      </c>
      <c r="K3" s="457" t="inlineStr">
        <is>
          <t>이태진</t>
        </is>
      </c>
      <c r="L3" s="1" t="inlineStr">
        <is>
          <t>권경숙</t>
        </is>
      </c>
      <c r="M3" s="1" t="inlineStr">
        <is>
          <t>태성문</t>
        </is>
      </c>
    </row>
    <row r="4" customFormat="1" s="21">
      <c r="A4" s="74" t="inlineStr">
        <is>
          <t>사업자번호</t>
        </is>
      </c>
      <c r="B4" s="1" t="inlineStr">
        <is>
          <t>501-81-08746</t>
        </is>
      </c>
      <c r="C4" s="1" t="inlineStr">
        <is>
          <t>502-81-53185</t>
        </is>
      </c>
      <c r="D4" s="9" t="inlineStr">
        <is>
          <t>501-81-14821</t>
        </is>
      </c>
      <c r="E4" s="9" t="inlineStr">
        <is>
          <t>508-81-09178</t>
        </is>
      </c>
      <c r="F4" s="1" t="inlineStr">
        <is>
          <t>514-81-54566</t>
        </is>
      </c>
      <c r="G4" s="1" t="inlineStr">
        <is>
          <t>503-81-43701</t>
        </is>
      </c>
      <c r="H4" s="9" t="inlineStr">
        <is>
          <t>501-81-21322</t>
        </is>
      </c>
      <c r="I4" s="1" t="inlineStr">
        <is>
          <t>504-81-21433</t>
        </is>
      </c>
      <c r="J4" s="1" t="inlineStr">
        <is>
          <t>142-81-01035</t>
        </is>
      </c>
      <c r="K4" s="458" t="inlineStr">
        <is>
          <t>504-81-48432</t>
        </is>
      </c>
      <c r="L4" s="1" t="inlineStr">
        <is>
          <t>505-81-69745</t>
        </is>
      </c>
      <c r="M4" s="1" t="inlineStr">
        <is>
          <t>504-81-94751</t>
        </is>
      </c>
    </row>
    <row r="5" customFormat="1" s="23">
      <c r="A5" s="74" t="inlineStr">
        <is>
          <t>지역</t>
        </is>
      </c>
      <c r="B5" s="1" t="inlineStr">
        <is>
          <t>대구광역시 중구</t>
        </is>
      </c>
      <c r="C5" s="1" t="inlineStr">
        <is>
          <t>대구광역시 북구</t>
        </is>
      </c>
      <c r="D5" s="9" t="inlineStr">
        <is>
          <t>대구광역시 북구</t>
        </is>
      </c>
      <c r="E5" s="9" t="inlineStr">
        <is>
          <t>대구광역시 서구</t>
        </is>
      </c>
      <c r="F5" s="1" t="inlineStr">
        <is>
          <t>대구 달성군</t>
        </is>
      </c>
      <c r="G5" s="1" t="inlineStr">
        <is>
          <t>대구 북구</t>
        </is>
      </c>
      <c r="H5" s="9" t="inlineStr">
        <is>
          <t>대구 북구</t>
        </is>
      </c>
      <c r="I5" s="1" t="inlineStr">
        <is>
          <t>대구 중구</t>
        </is>
      </c>
      <c r="J5" s="1" t="inlineStr">
        <is>
          <t>대구 북구</t>
        </is>
      </c>
      <c r="K5" s="457" t="inlineStr">
        <is>
          <t>대구 수성구</t>
        </is>
      </c>
      <c r="L5" s="1" t="inlineStr">
        <is>
          <t>대구광역시 달성군</t>
        </is>
      </c>
      <c r="M5" s="1" t="inlineStr">
        <is>
          <t>대구 북구</t>
        </is>
      </c>
    </row>
    <row r="6" customFormat="1" s="21">
      <c r="A6" s="74" t="inlineStr">
        <is>
          <t>통신시공능력</t>
        </is>
      </c>
      <c r="B6" s="777" t="n">
        <v>1883700000</v>
      </c>
      <c r="C6" s="732" t="n">
        <v>10797900000</v>
      </c>
      <c r="D6" s="752" t="n">
        <v>5114100000</v>
      </c>
      <c r="E6" s="752" t="n">
        <v>5848000000</v>
      </c>
      <c r="F6" s="732" t="n">
        <v>703800000</v>
      </c>
      <c r="G6" s="804" t="n">
        <v>1026600000</v>
      </c>
      <c r="H6" s="756" t="n">
        <v>1008400000</v>
      </c>
      <c r="I6" s="804" t="n">
        <v>21007400000</v>
      </c>
      <c r="J6" s="804" t="n">
        <v>3428200000</v>
      </c>
      <c r="K6" s="937" t="n">
        <v>4346800000</v>
      </c>
      <c r="L6" s="732" t="n">
        <v>713000000</v>
      </c>
      <c r="M6" s="804" t="n">
        <v>485300000</v>
      </c>
    </row>
    <row r="7" customFormat="1" s="23">
      <c r="A7" s="74" t="inlineStr">
        <is>
          <t>3년간 실적액</t>
        </is>
      </c>
      <c r="B7" s="732" t="n">
        <v>903977000</v>
      </c>
      <c r="C7" s="732" t="n">
        <v>14338972000</v>
      </c>
      <c r="D7" s="752" t="n">
        <v>7509730000</v>
      </c>
      <c r="E7" s="752" t="n">
        <v>5236888000</v>
      </c>
      <c r="F7" s="732" t="n">
        <v>559943000</v>
      </c>
      <c r="G7" s="804" t="n">
        <v>618711000</v>
      </c>
      <c r="H7" s="756" t="n">
        <v>157736000</v>
      </c>
      <c r="I7" s="804" t="n">
        <v>34969653000</v>
      </c>
      <c r="J7" s="804" t="n">
        <v>4302553000</v>
      </c>
      <c r="K7" s="937" t="n">
        <v>3680385000</v>
      </c>
      <c r="L7" s="732" t="n">
        <v>0</v>
      </c>
      <c r="M7" s="804" t="n">
        <v>0</v>
      </c>
    </row>
    <row r="8" customFormat="1" s="23">
      <c r="A8" s="74" t="inlineStr">
        <is>
          <t>5년간 실적액</t>
        </is>
      </c>
      <c r="B8" s="732" t="n">
        <v>1766051000</v>
      </c>
      <c r="C8" s="732" t="n">
        <v>19895135000</v>
      </c>
      <c r="D8" s="752" t="n">
        <v>10924953000</v>
      </c>
      <c r="E8" s="752" t="n">
        <v>10119487000</v>
      </c>
      <c r="F8" s="732" t="n">
        <v>559943000</v>
      </c>
      <c r="G8" s="804" t="n">
        <v>1426912000</v>
      </c>
      <c r="H8" s="756" t="n">
        <v>1061292000</v>
      </c>
      <c r="I8" s="804" t="n">
        <v>45801921000</v>
      </c>
      <c r="J8" s="804" t="n">
        <v>6206514000</v>
      </c>
      <c r="K8" s="937" t="n">
        <v>7004046000</v>
      </c>
      <c r="L8" s="732" t="n">
        <v>0</v>
      </c>
      <c r="M8" s="804" t="n">
        <v>0</v>
      </c>
    </row>
    <row r="9" customFormat="1" s="886">
      <c r="A9" s="916" t="inlineStr">
        <is>
          <t>부채비율</t>
        </is>
      </c>
      <c r="B9" s="2" t="n">
        <v>0.1742</v>
      </c>
      <c r="C9" s="2" t="n">
        <v>0.1164</v>
      </c>
      <c r="D9" s="10" t="n">
        <v>0.4125</v>
      </c>
      <c r="E9" s="10" t="n">
        <v>0.2501</v>
      </c>
      <c r="F9" s="2" t="n">
        <v>0.7344000000000001</v>
      </c>
      <c r="G9" s="2" t="n">
        <v>1.4</v>
      </c>
      <c r="H9" s="10" t="n">
        <v>0.2799</v>
      </c>
      <c r="I9" s="2" t="n">
        <v>0.7799</v>
      </c>
      <c r="J9" s="2" t="n">
        <v>0.6988</v>
      </c>
      <c r="K9" s="459" t="n">
        <v>0.3217</v>
      </c>
      <c r="L9" s="2" t="n">
        <v>0.3295</v>
      </c>
      <c r="M9" s="2" t="n">
        <v>1.5093</v>
      </c>
      <c r="N9" s="750" t="n"/>
    </row>
    <row r="10" customFormat="1" s="886">
      <c r="A10" s="916" t="inlineStr">
        <is>
          <t>유동비율</t>
        </is>
      </c>
      <c r="B10" s="2" t="n">
        <v>8.818</v>
      </c>
      <c r="C10" s="2" t="n">
        <v>4.1589</v>
      </c>
      <c r="D10" s="10" t="n">
        <v>2.658</v>
      </c>
      <c r="E10" s="10" t="n">
        <v>7.3921</v>
      </c>
      <c r="F10" s="2" t="n">
        <v>3.1448</v>
      </c>
      <c r="G10" s="2" t="n">
        <v>0.9092</v>
      </c>
      <c r="H10" s="10" t="n">
        <v>3.3748</v>
      </c>
      <c r="I10" s="2" t="n">
        <v>2.3548</v>
      </c>
      <c r="J10" s="2" t="n">
        <v>919.88</v>
      </c>
      <c r="K10" s="459" t="n">
        <v>4.9191</v>
      </c>
      <c r="L10" s="2" t="n">
        <v>4.5634</v>
      </c>
      <c r="M10" s="2" t="n">
        <v>1.2985</v>
      </c>
      <c r="N10" s="750" t="n"/>
    </row>
    <row r="11" ht="22.5" customFormat="1" customHeight="1" s="886">
      <c r="A11" s="917" t="inlineStr">
        <is>
          <t>영업기간
공사업등록일</t>
        </is>
      </c>
      <c r="B11" s="2" t="inlineStr">
        <is>
          <t>2007.08.03</t>
        </is>
      </c>
      <c r="C11" s="2" t="inlineStr">
        <is>
          <t>2000.07.18</t>
        </is>
      </c>
      <c r="D11" s="10" t="inlineStr">
        <is>
          <t>2002.07.19</t>
        </is>
      </c>
      <c r="E11" s="10" t="inlineStr">
        <is>
          <t>2000.09.08</t>
        </is>
      </c>
      <c r="F11" s="2" t="inlineStr">
        <is>
          <t>3년이상%</t>
        </is>
      </c>
      <c r="G11" s="10" t="n"/>
      <c r="H11" s="10" t="inlineStr">
        <is>
          <t>1990.01.08</t>
        </is>
      </c>
      <c r="I11" s="2" t="inlineStr">
        <is>
          <t>10년이상%</t>
        </is>
      </c>
      <c r="J11" s="2" t="inlineStr">
        <is>
          <t>10년이상%</t>
        </is>
      </c>
      <c r="K11" s="460" t="inlineStr">
        <is>
          <t>10년이상%</t>
        </is>
      </c>
      <c r="L11" s="2" t="inlineStr">
        <is>
          <t>2020.03.11</t>
        </is>
      </c>
      <c r="M11" s="10" t="n"/>
    </row>
    <row r="12" ht="22.5" customFormat="1" customHeight="1" s="23">
      <c r="A12" s="74" t="inlineStr">
        <is>
          <t>신용평가</t>
        </is>
      </c>
      <c r="B12" s="803" t="n"/>
      <c r="C12" s="803" t="n"/>
      <c r="D12" s="725" t="inlineStr">
        <is>
          <t>BBBO
(20.04.14~21.04.13)</t>
        </is>
      </c>
      <c r="E12" s="803" t="n"/>
      <c r="F12" s="803" t="n"/>
      <c r="G12" s="803" t="n"/>
      <c r="H12" s="803" t="n"/>
      <c r="I12" s="6" t="inlineStr">
        <is>
          <t>BBB-</t>
        </is>
      </c>
      <c r="J12" s="803" t="n"/>
      <c r="K12" s="803" t="n"/>
      <c r="L12" s="803" t="n"/>
      <c r="M12" s="803" t="n"/>
    </row>
    <row r="13" customFormat="1" s="23">
      <c r="A13" s="74" t="inlineStr">
        <is>
          <t>여성기업</t>
        </is>
      </c>
      <c r="B13" s="803" t="n"/>
      <c r="C13" s="803" t="n"/>
      <c r="D13" s="803" t="inlineStr">
        <is>
          <t>(19.04.16~20.04.15)</t>
        </is>
      </c>
      <c r="E13" s="803" t="n"/>
      <c r="F13" s="803" t="n"/>
      <c r="G13" s="803" t="n"/>
      <c r="H13" s="803" t="n"/>
      <c r="I13" s="62" t="n"/>
      <c r="J13" s="803" t="n"/>
      <c r="K13" s="938" t="n"/>
      <c r="L13" s="803" t="n"/>
      <c r="M13" s="803" t="n"/>
    </row>
    <row r="14" customFormat="1" s="23">
      <c r="A14" s="74" t="inlineStr">
        <is>
          <t>중소기업</t>
        </is>
      </c>
      <c r="B14" s="803" t="n"/>
      <c r="C14" s="803" t="n"/>
      <c r="D14" s="803" t="n"/>
      <c r="E14" s="803" t="n"/>
      <c r="F14" s="803" t="n"/>
      <c r="G14" s="803" t="n"/>
      <c r="H14" s="803" t="n"/>
      <c r="I14" s="62" t="n"/>
      <c r="J14" s="803" t="n"/>
      <c r="K14" s="938" t="n"/>
      <c r="L14" s="803" t="n"/>
      <c r="M14" s="803" t="n"/>
    </row>
    <row r="15" customFormat="1" s="23">
      <c r="A15" s="71" t="inlineStr">
        <is>
          <t>일자리창출실적</t>
        </is>
      </c>
      <c r="B15" s="803" t="n"/>
      <c r="C15" s="803" t="n"/>
      <c r="D15" s="803" t="n"/>
      <c r="E15" s="803" t="n"/>
      <c r="F15" s="803" t="n"/>
      <c r="G15" s="803" t="n"/>
      <c r="H15" s="803" t="n"/>
      <c r="I15" s="62" t="n"/>
      <c r="J15" s="803" t="n"/>
      <c r="K15" s="938" t="n"/>
      <c r="L15" s="803" t="n"/>
      <c r="M15" s="803" t="n"/>
    </row>
    <row r="16" customFormat="1" s="23">
      <c r="A16" s="71" t="inlineStr">
        <is>
          <t>시공품질평가</t>
        </is>
      </c>
      <c r="B16" s="803" t="n"/>
      <c r="C16" s="803" t="n"/>
      <c r="D16" s="803" t="n"/>
      <c r="E16" s="803" t="n"/>
      <c r="F16" s="803" t="n"/>
      <c r="G16" s="803" t="n"/>
      <c r="H16" s="803" t="n"/>
      <c r="I16" s="62" t="n"/>
      <c r="J16" s="803" t="n"/>
      <c r="K16" s="938" t="n"/>
      <c r="L16" s="803" t="n"/>
      <c r="M16" s="803" t="n"/>
    </row>
    <row r="17" customFormat="1" s="23">
      <c r="A17" s="74" t="inlineStr">
        <is>
          <t>비  고</t>
        </is>
      </c>
      <c r="B17" s="1" t="inlineStr">
        <is>
          <t>윤명숙</t>
        </is>
      </c>
      <c r="C17" s="1" t="inlineStr">
        <is>
          <t>윤한봉</t>
        </is>
      </c>
      <c r="D17" s="9" t="inlineStr">
        <is>
          <t>김희준</t>
        </is>
      </c>
      <c r="E17" s="9" t="inlineStr">
        <is>
          <t>윤한봉</t>
        </is>
      </c>
      <c r="F17" s="9" t="n"/>
      <c r="G17" s="1" t="inlineStr">
        <is>
          <t>김영택</t>
        </is>
      </c>
      <c r="H17" s="9" t="inlineStr">
        <is>
          <t>송종윤</t>
        </is>
      </c>
      <c r="I17" s="9" t="n"/>
      <c r="J17" s="9" t="n"/>
      <c r="K17" s="457" t="n"/>
      <c r="L17" s="1" t="inlineStr">
        <is>
          <t>서보 조정부장</t>
        </is>
      </c>
      <c r="M17" s="732" t="inlineStr">
        <is>
          <t>김영택</t>
        </is>
      </c>
    </row>
    <row r="18" ht="26.1" customHeight="1" s="16">
      <c r="A18" s="455" t="inlineStr">
        <is>
          <t>회사명</t>
        </is>
      </c>
      <c r="B18" s="455" t="inlineStr">
        <is>
          <t>대신네트웍스㈜</t>
        </is>
      </c>
      <c r="C18" s="455" t="inlineStr">
        <is>
          <t>㈜정원</t>
        </is>
      </c>
      <c r="D18" s="455" t="inlineStr">
        <is>
          <t>㈜유명이앤씨</t>
        </is>
      </c>
      <c r="E18" s="455" t="inlineStr">
        <is>
          <t>㈜가람전기</t>
        </is>
      </c>
      <c r="F18" s="455" t="inlineStr">
        <is>
          <t>㈜대부전력</t>
        </is>
      </c>
      <c r="G18" s="455" t="inlineStr">
        <is>
          <t>㈜명진전력</t>
        </is>
      </c>
      <c r="H18" s="455" t="inlineStr">
        <is>
          <t>㈜명성전력</t>
        </is>
      </c>
      <c r="I18" s="455" t="inlineStr">
        <is>
          <t>㈜대유기전공사</t>
        </is>
      </c>
      <c r="J18" s="455" t="n"/>
      <c r="K18" s="455" t="n"/>
      <c r="L18" s="455" t="n"/>
      <c r="M18" s="455" t="n"/>
    </row>
    <row r="19">
      <c r="A19" s="74" t="inlineStr">
        <is>
          <t>대표자</t>
        </is>
      </c>
      <c r="B19" s="1" t="inlineStr">
        <is>
          <t>장우혁</t>
        </is>
      </c>
      <c r="C19" s="1" t="inlineStr">
        <is>
          <t>윤운환</t>
        </is>
      </c>
      <c r="D19" s="411" t="inlineStr">
        <is>
          <t>김계진</t>
        </is>
      </c>
      <c r="E19" s="93" t="inlineStr">
        <is>
          <t>김은영</t>
        </is>
      </c>
      <c r="F19" s="93" t="inlineStr">
        <is>
          <t>이병채</t>
        </is>
      </c>
      <c r="G19" s="93" t="inlineStr">
        <is>
          <t>김정진</t>
        </is>
      </c>
      <c r="H19" s="151" t="inlineStr">
        <is>
          <t>이소원</t>
        </is>
      </c>
      <c r="I19" s="430" t="inlineStr">
        <is>
          <t>권오종</t>
        </is>
      </c>
      <c r="J19" s="9" t="n"/>
      <c r="K19" s="9" t="n"/>
      <c r="L19" s="9" t="n"/>
      <c r="M19" s="9" t="n"/>
    </row>
    <row r="20">
      <c r="A20" s="74" t="inlineStr">
        <is>
          <t>사업자번호</t>
        </is>
      </c>
      <c r="B20" s="1" t="inlineStr">
        <is>
          <t>514-81-07442</t>
        </is>
      </c>
      <c r="C20" s="1" t="inlineStr">
        <is>
          <t>504-81-91040</t>
        </is>
      </c>
      <c r="D20" s="412" t="inlineStr">
        <is>
          <t>514-81-36189</t>
        </is>
      </c>
      <c r="E20" s="93" t="inlineStr">
        <is>
          <t>514-81-85190</t>
        </is>
      </c>
      <c r="F20" s="93" t="inlineStr">
        <is>
          <t>514-81-93346</t>
        </is>
      </c>
      <c r="G20" s="93" t="inlineStr">
        <is>
          <t>882-874-00397</t>
        </is>
      </c>
      <c r="H20" s="151" t="inlineStr">
        <is>
          <t>307-81-49257</t>
        </is>
      </c>
      <c r="I20" s="430" t="inlineStr">
        <is>
          <t>502-81-52473</t>
        </is>
      </c>
      <c r="J20" s="9" t="n"/>
      <c r="K20" s="9" t="n"/>
      <c r="L20" s="9" t="n"/>
      <c r="M20" s="9" t="n"/>
    </row>
    <row r="21">
      <c r="A21" s="74" t="inlineStr">
        <is>
          <t>지역</t>
        </is>
      </c>
      <c r="B21" s="1" t="inlineStr">
        <is>
          <t>대구 달서구</t>
        </is>
      </c>
      <c r="C21" s="1" t="inlineStr">
        <is>
          <t>대구 북구</t>
        </is>
      </c>
      <c r="D21" s="411" t="inlineStr">
        <is>
          <t>대구 달서구</t>
        </is>
      </c>
      <c r="E21" s="93" t="inlineStr">
        <is>
          <t>대구 달성군</t>
        </is>
      </c>
      <c r="F21" s="93" t="inlineStr">
        <is>
          <t>대구 동구</t>
        </is>
      </c>
      <c r="G21" s="93" t="inlineStr">
        <is>
          <t>대구 북구</t>
        </is>
      </c>
      <c r="H21" s="151" t="inlineStr">
        <is>
          <t>대구 달서구</t>
        </is>
      </c>
      <c r="I21" s="430" t="inlineStr">
        <is>
          <t>대구광역시 수성구</t>
        </is>
      </c>
      <c r="J21" s="9" t="n"/>
      <c r="K21" s="9" t="n"/>
      <c r="L21" s="9" t="n"/>
      <c r="M21" s="9" t="n"/>
    </row>
    <row r="22">
      <c r="A22" s="74" t="inlineStr">
        <is>
          <t>통신시공능력</t>
        </is>
      </c>
      <c r="B22" s="804" t="n">
        <v>12687900000</v>
      </c>
      <c r="C22" s="804" t="n">
        <v>8542300000</v>
      </c>
      <c r="D22" s="939" t="n">
        <v>7048000000</v>
      </c>
      <c r="E22" s="815" t="n">
        <v>486300000</v>
      </c>
      <c r="F22" s="815" t="n">
        <v>844600000</v>
      </c>
      <c r="G22" s="815" t="n">
        <v>705500000</v>
      </c>
      <c r="H22" s="940" t="n">
        <v>2140100000</v>
      </c>
      <c r="I22" s="941" t="n">
        <v>1182300000</v>
      </c>
      <c r="J22" s="756" t="n"/>
      <c r="K22" s="756" t="n"/>
      <c r="L22" s="756" t="n"/>
      <c r="M22" s="756" t="n"/>
    </row>
    <row r="23">
      <c r="A23" s="74" t="inlineStr">
        <is>
          <t>3년간 실적액</t>
        </is>
      </c>
      <c r="B23" s="804" t="n">
        <v>16650035000</v>
      </c>
      <c r="C23" s="804" t="n">
        <v>11579595000</v>
      </c>
      <c r="D23" s="939" t="n">
        <v>9918534000</v>
      </c>
      <c r="E23" s="815" t="n">
        <v>157153000</v>
      </c>
      <c r="F23" s="815" t="n">
        <v>105604000</v>
      </c>
      <c r="G23" s="815" t="n">
        <v>519061000</v>
      </c>
      <c r="H23" s="940" t="n">
        <v>2232687000</v>
      </c>
      <c r="I23" s="941" t="n">
        <v>1268066000</v>
      </c>
      <c r="J23" s="756" t="n"/>
      <c r="K23" s="756" t="n"/>
      <c r="L23" s="756" t="n"/>
      <c r="M23" s="756" t="n"/>
    </row>
    <row r="24">
      <c r="A24" s="74" t="inlineStr">
        <is>
          <t>5년간 실적액</t>
        </is>
      </c>
      <c r="B24" s="804" t="n">
        <v>26896130000</v>
      </c>
      <c r="C24" s="804" t="n">
        <v>17370645000</v>
      </c>
      <c r="D24" s="939" t="n">
        <v>16746581000</v>
      </c>
      <c r="E24" s="815" t="n">
        <v>828137000</v>
      </c>
      <c r="F24" s="815" t="n">
        <v>105604000</v>
      </c>
      <c r="G24" s="815" t="n">
        <v>519061000</v>
      </c>
      <c r="H24" s="940" t="n">
        <v>8920433000</v>
      </c>
      <c r="I24" s="941" t="n">
        <v>1896430000</v>
      </c>
      <c r="J24" s="756" t="n"/>
      <c r="K24" s="756" t="n"/>
      <c r="L24" s="756" t="n"/>
      <c r="M24" s="756" t="n"/>
    </row>
    <row r="25">
      <c r="A25" s="916" t="inlineStr">
        <is>
          <t>부채비율</t>
        </is>
      </c>
      <c r="B25" s="2" t="n">
        <v>0.3073</v>
      </c>
      <c r="C25" s="66" t="n">
        <v>0.7181</v>
      </c>
      <c r="D25" s="413" t="n">
        <v>0.4854</v>
      </c>
      <c r="E25" s="97" t="n">
        <v>0.2608</v>
      </c>
      <c r="F25" s="101" t="n">
        <v>0.1958</v>
      </c>
      <c r="G25" s="101" t="n">
        <v>0.6078</v>
      </c>
      <c r="H25" s="174" t="n">
        <v>0.2166</v>
      </c>
      <c r="I25" s="431" t="n">
        <v>0.383</v>
      </c>
      <c r="J25" s="10" t="n"/>
      <c r="K25" s="10" t="n"/>
      <c r="L25" s="10" t="n"/>
      <c r="M25" s="10" t="n"/>
    </row>
    <row r="26">
      <c r="A26" s="916" t="inlineStr">
        <is>
          <t>유동비율</t>
        </is>
      </c>
      <c r="B26" s="2" t="n">
        <v>4.253</v>
      </c>
      <c r="C26" s="2" t="n">
        <v>6.3246</v>
      </c>
      <c r="D26" s="413" t="n">
        <v>3.158</v>
      </c>
      <c r="E26" s="97" t="n">
        <v>4.0647</v>
      </c>
      <c r="F26" s="101" t="n">
        <v>3.9906</v>
      </c>
      <c r="G26" s="101" t="n">
        <v>8.2156</v>
      </c>
      <c r="H26" s="174" t="n">
        <v>5.2618</v>
      </c>
      <c r="I26" s="431" t="n">
        <v>8.732699999999999</v>
      </c>
      <c r="J26" s="10" t="n"/>
      <c r="K26" s="10" t="n"/>
      <c r="L26" s="10" t="n"/>
      <c r="M26" s="10" t="n"/>
    </row>
    <row r="27" ht="22.5" customHeight="1" s="16">
      <c r="A27" s="917" t="inlineStr">
        <is>
          <t>영업기간
공사업등록일</t>
        </is>
      </c>
      <c r="B27" s="2" t="inlineStr">
        <is>
          <t>1991.09.30</t>
        </is>
      </c>
      <c r="C27" s="2" t="inlineStr">
        <is>
          <t>2011.03.14</t>
        </is>
      </c>
      <c r="D27" s="414" t="inlineStr">
        <is>
          <t>2013.07.02</t>
        </is>
      </c>
      <c r="E27" s="101" t="inlineStr">
        <is>
          <t>2004.01.08</t>
        </is>
      </c>
      <c r="F27" s="101" t="inlineStr">
        <is>
          <t>2022.07.06</t>
        </is>
      </c>
      <c r="G27" s="101" t="inlineStr">
        <is>
          <t>2021.03.04</t>
        </is>
      </c>
      <c r="H27" s="174" t="inlineStr">
        <is>
          <t>2003.08.26</t>
        </is>
      </c>
      <c r="I27" s="431" t="inlineStr">
        <is>
          <t>2007.06.29</t>
        </is>
      </c>
      <c r="J27" s="10" t="n"/>
      <c r="K27" s="10" t="n"/>
      <c r="L27" s="10" t="n"/>
      <c r="M27" s="10" t="n"/>
    </row>
    <row r="28" ht="22.5" customHeight="1" s="16">
      <c r="A28" s="74" t="inlineStr">
        <is>
          <t>신용평가</t>
        </is>
      </c>
      <c r="B28" s="803" t="n"/>
      <c r="C28" s="725" t="inlineStr">
        <is>
          <t>BBO
(22.04.27~23.04.26)</t>
        </is>
      </c>
      <c r="D28" s="725" t="inlineStr">
        <is>
          <t>BBB+
(23.04.07~24.04.06)</t>
        </is>
      </c>
      <c r="E28" s="736" t="n"/>
      <c r="F28" s="803" t="n"/>
      <c r="G28" s="803" t="n"/>
      <c r="H28" s="942" t="inlineStr">
        <is>
          <t>BB+
(25.04.11~26.04.10)</t>
        </is>
      </c>
      <c r="I28" s="798" t="n"/>
      <c r="J28" s="803" t="n"/>
      <c r="K28" s="803" t="n"/>
      <c r="L28" s="803" t="n"/>
      <c r="M28" s="803" t="n"/>
    </row>
    <row r="29">
      <c r="A29" s="74" t="inlineStr">
        <is>
          <t>여성기업</t>
        </is>
      </c>
      <c r="B29" s="803" t="n"/>
      <c r="C29" s="803" t="n"/>
      <c r="D29" s="943" t="n"/>
      <c r="E29" s="803" t="n"/>
      <c r="F29" s="803" t="n"/>
      <c r="G29" s="803" t="n"/>
      <c r="H29" s="803" t="n"/>
      <c r="I29" s="798" t="n"/>
      <c r="J29" s="803" t="n"/>
      <c r="K29" s="803" t="n"/>
      <c r="L29" s="803" t="n"/>
      <c r="M29" s="803" t="n"/>
    </row>
    <row r="30">
      <c r="A30" s="74" t="inlineStr">
        <is>
          <t>중소기업</t>
        </is>
      </c>
      <c r="B30" s="803" t="n"/>
      <c r="C30" s="803" t="n"/>
      <c r="D30" s="943" t="n"/>
      <c r="E30" s="803" t="n"/>
      <c r="F30" s="803" t="n"/>
      <c r="G30" s="803" t="n"/>
      <c r="H30" s="803" t="n"/>
      <c r="I30" s="803" t="n"/>
      <c r="J30" s="803" t="n"/>
      <c r="K30" s="803" t="n"/>
      <c r="L30" s="803" t="n"/>
      <c r="M30" s="803" t="n"/>
    </row>
    <row r="31">
      <c r="A31" s="71" t="inlineStr">
        <is>
          <t>일자리창출실적</t>
        </is>
      </c>
      <c r="B31" s="803" t="n"/>
      <c r="C31" s="803" t="n"/>
      <c r="D31" s="943" t="n"/>
      <c r="E31" s="803" t="n"/>
      <c r="F31" s="803" t="n"/>
      <c r="G31" s="803" t="n"/>
      <c r="H31" s="803" t="n"/>
      <c r="I31" s="798" t="n"/>
      <c r="J31" s="803" t="n"/>
      <c r="K31" s="803" t="n"/>
      <c r="L31" s="803" t="n"/>
      <c r="M31" s="803" t="n"/>
    </row>
    <row r="32">
      <c r="A32" s="71" t="inlineStr">
        <is>
          <t>시공품질평가</t>
        </is>
      </c>
      <c r="B32" s="803" t="n"/>
      <c r="C32" s="803" t="n"/>
      <c r="D32" s="943" t="n"/>
      <c r="E32" s="803" t="n"/>
      <c r="F32" s="803" t="n"/>
      <c r="G32" s="803" t="n"/>
      <c r="H32" s="803" t="n"/>
      <c r="I32" s="798" t="n"/>
      <c r="J32" s="803" t="n"/>
      <c r="K32" s="803" t="n"/>
      <c r="L32" s="803" t="n"/>
      <c r="M32" s="803" t="n"/>
    </row>
    <row r="33">
      <c r="A33" s="74" t="inlineStr">
        <is>
          <t>비  고</t>
        </is>
      </c>
      <c r="B33" s="1" t="inlineStr">
        <is>
          <t>구본진</t>
        </is>
      </c>
      <c r="C33" s="1" t="inlineStr">
        <is>
          <t>서권형</t>
        </is>
      </c>
      <c r="D33" s="411" t="inlineStr">
        <is>
          <t>윤명숙</t>
        </is>
      </c>
      <c r="E33" s="93" t="inlineStr">
        <is>
          <t>조정</t>
        </is>
      </c>
      <c r="F33" s="93" t="inlineStr">
        <is>
          <t>박성균</t>
        </is>
      </c>
      <c r="G33" s="93" t="inlineStr">
        <is>
          <t>조정</t>
        </is>
      </c>
      <c r="H33" s="151" t="inlineStr">
        <is>
          <t>서보 조정부장</t>
        </is>
      </c>
      <c r="I33" s="430" t="inlineStr">
        <is>
          <t>김희준</t>
        </is>
      </c>
      <c r="J33" s="9" t="n"/>
      <c r="K33" s="9" t="n"/>
      <c r="L33" s="9" t="n"/>
      <c r="M33" s="9" t="n"/>
    </row>
  </sheetData>
  <mergeCells count="1">
    <mergeCell ref="A1:M1"/>
  </mergeCells>
  <printOptions horizontalCentered="1"/>
  <pageMargins left="0.03937007874015748" right="0.03937007874015748" top="0.1968503937007874" bottom="0.1968503937007874" header="0" footer="0"/>
  <pageSetup orientation="landscape" paperSize="9" scale="55"/>
</worksheet>
</file>

<file path=xl/worksheets/sheet16.xml><?xml version="1.0" encoding="utf-8"?>
<worksheet xmlns="http://schemas.openxmlformats.org/spreadsheetml/2006/main">
  <sheetPr codeName="Sheet16">
    <outlinePr summaryBelow="1" summaryRight="1"/>
    <pageSetUpPr/>
  </sheetPr>
  <dimension ref="A1:N33"/>
  <sheetViews>
    <sheetView zoomScaleNormal="100" workbookViewId="0">
      <pane ySplit="1" topLeftCell="A2" activePane="bottomLeft" state="frozen"/>
      <selection pane="bottomLeft" activeCell="A18" sqref="A18:M18"/>
    </sheetView>
  </sheetViews>
  <sheetFormatPr baseColWidth="8" defaultRowHeight="13.5"/>
  <cols>
    <col width="10.77734375" bestFit="1" customWidth="1" style="16" min="1" max="1"/>
    <col width="15.77734375" customWidth="1" style="16" min="2" max="13"/>
    <col width="8.88671875" customWidth="1" style="16" min="14" max="55"/>
    <col width="8.88671875" customWidth="1" style="16" min="56" max="16384"/>
  </cols>
  <sheetData>
    <row r="1" ht="25.5" customHeight="1" s="16">
      <c r="A1" s="866" t="inlineStr">
        <is>
          <t>통 신 ( 세종 )</t>
        </is>
      </c>
      <c r="B1" s="704" t="n"/>
      <c r="C1" s="704" t="n"/>
      <c r="D1" s="704" t="n"/>
      <c r="E1" s="704" t="n"/>
      <c r="F1" s="704" t="n"/>
      <c r="G1" s="704" t="n"/>
      <c r="H1" s="704" t="n"/>
      <c r="I1" s="704" t="n"/>
      <c r="J1" s="704" t="n"/>
      <c r="K1" s="704" t="n"/>
      <c r="L1" s="704" t="n"/>
      <c r="M1" s="705" t="n"/>
    </row>
    <row r="2" ht="26.1" customFormat="1" customHeight="1" s="24">
      <c r="A2" s="455" t="inlineStr">
        <is>
          <t>회사명</t>
        </is>
      </c>
      <c r="B2" s="455" t="inlineStr">
        <is>
          <t>㈜가보</t>
        </is>
      </c>
      <c r="C2" s="455" t="inlineStr">
        <is>
          <t>광연㈜</t>
        </is>
      </c>
      <c r="D2" s="455" t="inlineStr">
        <is>
          <t>㈜극동정보통신</t>
        </is>
      </c>
      <c r="E2" s="455" t="inlineStr">
        <is>
          <t>㈜남전</t>
        </is>
      </c>
      <c r="F2" s="455" t="inlineStr">
        <is>
          <t>㈜진선텔레콤</t>
        </is>
      </c>
      <c r="G2" s="455" t="inlineStr">
        <is>
          <t>㈜대흥정보통신</t>
        </is>
      </c>
      <c r="H2" s="455" t="inlineStr">
        <is>
          <t>㈜라인산업</t>
        </is>
      </c>
      <c r="I2" s="455" t="inlineStr">
        <is>
          <t>세종방송통신㈜</t>
        </is>
      </c>
      <c r="J2" s="455" t="inlineStr">
        <is>
          <t>세종신호㈜</t>
        </is>
      </c>
      <c r="K2" s="455" t="inlineStr">
        <is>
          <t>㈜이서</t>
        </is>
      </c>
      <c r="L2" s="455" t="inlineStr">
        <is>
          <t>㈜위진전기통신</t>
        </is>
      </c>
      <c r="M2" s="455" t="inlineStr">
        <is>
          <t>에이엠테크㈜</t>
        </is>
      </c>
    </row>
    <row r="3" customFormat="1" s="23">
      <c r="A3" s="71" t="inlineStr">
        <is>
          <t>대표자</t>
        </is>
      </c>
      <c r="B3" s="1" t="inlineStr">
        <is>
          <t>김진희</t>
        </is>
      </c>
      <c r="C3" s="1" t="inlineStr">
        <is>
          <t>이제연</t>
        </is>
      </c>
      <c r="D3" s="9" t="inlineStr">
        <is>
          <t>박대순</t>
        </is>
      </c>
      <c r="E3" s="9" t="inlineStr">
        <is>
          <t>이정숙</t>
        </is>
      </c>
      <c r="F3" s="9" t="inlineStr">
        <is>
          <t>이재영</t>
        </is>
      </c>
      <c r="G3" s="9" t="inlineStr">
        <is>
          <t>김한수</t>
        </is>
      </c>
      <c r="H3" s="9" t="inlineStr">
        <is>
          <t>이용일</t>
        </is>
      </c>
      <c r="I3" s="1" t="inlineStr">
        <is>
          <t>김철수</t>
        </is>
      </c>
      <c r="J3" s="9" t="inlineStr">
        <is>
          <t>박권순</t>
        </is>
      </c>
      <c r="K3" s="1" t="inlineStr">
        <is>
          <t>이희순</t>
        </is>
      </c>
      <c r="L3" s="1" t="inlineStr">
        <is>
          <t>강윤철</t>
        </is>
      </c>
      <c r="M3" s="9" t="inlineStr">
        <is>
          <t>노병훈</t>
        </is>
      </c>
    </row>
    <row r="4" ht="11.25" customFormat="1" customHeight="1" s="17">
      <c r="A4" s="74" t="inlineStr">
        <is>
          <t>사업자번호</t>
        </is>
      </c>
      <c r="B4" s="4" t="inlineStr">
        <is>
          <t>210-86-00732</t>
        </is>
      </c>
      <c r="C4" s="1" t="inlineStr">
        <is>
          <t>125-81-67333</t>
        </is>
      </c>
      <c r="D4" s="9" t="inlineStr">
        <is>
          <t>307-81-18429</t>
        </is>
      </c>
      <c r="E4" s="9" t="inlineStr">
        <is>
          <t>109-86-08657</t>
        </is>
      </c>
      <c r="F4" s="9" t="inlineStr">
        <is>
          <t>126-86-27931</t>
        </is>
      </c>
      <c r="G4" s="9" t="inlineStr">
        <is>
          <t>212-81-91063</t>
        </is>
      </c>
      <c r="H4" s="9" t="inlineStr">
        <is>
          <t>411-81-36110</t>
        </is>
      </c>
      <c r="I4" s="4" t="inlineStr">
        <is>
          <t>307-81-40519</t>
        </is>
      </c>
      <c r="J4" s="9" t="inlineStr">
        <is>
          <t>307-81-35170</t>
        </is>
      </c>
      <c r="K4" s="4" t="inlineStr">
        <is>
          <t>104-81-96530</t>
        </is>
      </c>
      <c r="L4" s="1" t="inlineStr">
        <is>
          <t>308-81-21489</t>
        </is>
      </c>
      <c r="M4" s="9" t="inlineStr">
        <is>
          <t>310-81-13681</t>
        </is>
      </c>
    </row>
    <row r="5" ht="11.25" customFormat="1" customHeight="1" s="17">
      <c r="A5" s="74" t="inlineStr">
        <is>
          <t>지역</t>
        </is>
      </c>
      <c r="B5" s="732" t="inlineStr">
        <is>
          <t>세종시 조치원읍</t>
        </is>
      </c>
      <c r="C5" s="1" t="inlineStr">
        <is>
          <t>세종 조치원</t>
        </is>
      </c>
      <c r="D5" s="9" t="inlineStr">
        <is>
          <t>세종</t>
        </is>
      </c>
      <c r="E5" s="9" t="inlineStr">
        <is>
          <t>세종</t>
        </is>
      </c>
      <c r="F5" s="9" t="inlineStr">
        <is>
          <t>세종</t>
        </is>
      </c>
      <c r="G5" s="9" t="inlineStr">
        <is>
          <t>세종</t>
        </is>
      </c>
      <c r="H5" s="9" t="inlineStr">
        <is>
          <t>세종시 도담동</t>
        </is>
      </c>
      <c r="I5" s="732" t="inlineStr">
        <is>
          <t>세종시 조치원읍</t>
        </is>
      </c>
      <c r="J5" s="9" t="inlineStr">
        <is>
          <t>세종</t>
        </is>
      </c>
      <c r="K5" s="732" t="inlineStr">
        <is>
          <t>세종시</t>
        </is>
      </c>
      <c r="L5" s="1" t="inlineStr">
        <is>
          <t>세종</t>
        </is>
      </c>
      <c r="M5" s="9" t="inlineStr">
        <is>
          <t>세종</t>
        </is>
      </c>
    </row>
    <row r="6" customFormat="1" s="23">
      <c r="A6" s="71" t="inlineStr">
        <is>
          <t>통신시공능력</t>
        </is>
      </c>
      <c r="B6" s="732" t="n">
        <v>677400000</v>
      </c>
      <c r="C6" s="732" t="n">
        <v>4047300000</v>
      </c>
      <c r="D6" s="756" t="n">
        <v>3635300000</v>
      </c>
      <c r="E6" s="752" t="n">
        <v>1218100000</v>
      </c>
      <c r="F6" s="752" t="n">
        <v>1644200000</v>
      </c>
      <c r="G6" s="752" t="n">
        <v>4370000000</v>
      </c>
      <c r="H6" s="752" t="n">
        <v>4375600000</v>
      </c>
      <c r="I6" s="732" t="n">
        <v>1701500000</v>
      </c>
      <c r="J6" s="752" t="n">
        <v>1777500000</v>
      </c>
      <c r="K6" s="732" t="n">
        <v>2096600000</v>
      </c>
      <c r="L6" s="732" t="n">
        <v>2012700000</v>
      </c>
      <c r="M6" s="756" t="n">
        <v>6169900000</v>
      </c>
    </row>
    <row r="7" customFormat="1" s="23">
      <c r="A7" s="71" t="inlineStr">
        <is>
          <t>3년간 실적액</t>
        </is>
      </c>
      <c r="B7" s="732" t="n">
        <v>51936000</v>
      </c>
      <c r="C7" s="732" t="n">
        <v>4779146000</v>
      </c>
      <c r="D7" s="756" t="n">
        <v>2717780000</v>
      </c>
      <c r="E7" s="756" t="n">
        <v>865930000</v>
      </c>
      <c r="F7" s="756">
        <f>1104169000+133210000+188507000</f>
        <v/>
      </c>
      <c r="G7" s="756" t="n">
        <v>7542783000</v>
      </c>
      <c r="H7" s="756" t="n">
        <v>3104320000</v>
      </c>
      <c r="I7" s="732" t="n">
        <v>990325000</v>
      </c>
      <c r="J7" s="756" t="n">
        <v>2198904000</v>
      </c>
      <c r="K7" s="732" t="n">
        <v>1392617000</v>
      </c>
      <c r="L7" s="804" t="n">
        <v>972854000</v>
      </c>
      <c r="M7" s="756" t="n">
        <v>9523072000</v>
      </c>
    </row>
    <row r="8" customFormat="1" s="23">
      <c r="A8" s="71" t="inlineStr">
        <is>
          <t>5년간 실적액</t>
        </is>
      </c>
      <c r="B8" s="732" t="n">
        <v>253988000</v>
      </c>
      <c r="C8" s="732" t="n">
        <v>6857769000</v>
      </c>
      <c r="D8" s="806" t="n">
        <v>3763091000</v>
      </c>
      <c r="E8" s="756" t="n">
        <v>1855717000</v>
      </c>
      <c r="F8" s="806">
        <f>F7+438900000</f>
        <v/>
      </c>
      <c r="G8" s="806">
        <f>G7+7830414000+3581579000</f>
        <v/>
      </c>
      <c r="H8" s="756" t="n">
        <v>3104320000</v>
      </c>
      <c r="I8" s="732" t="n">
        <v>1343380000</v>
      </c>
      <c r="J8" s="756" t="n">
        <v>2367106000</v>
      </c>
      <c r="K8" s="732" t="n">
        <v>1834599000</v>
      </c>
      <c r="L8" s="810" t="n">
        <v>1090858000</v>
      </c>
      <c r="M8" s="756" t="n">
        <v>23734559000</v>
      </c>
    </row>
    <row r="9" customFormat="1" s="886">
      <c r="A9" s="791" t="inlineStr">
        <is>
          <t>부채비율</t>
        </is>
      </c>
      <c r="B9" s="2" t="n">
        <v>0.4039</v>
      </c>
      <c r="C9" s="2" t="n">
        <v>0.1605</v>
      </c>
      <c r="D9" s="10" t="n">
        <v>0.1256</v>
      </c>
      <c r="E9" s="10" t="n">
        <v>0.2541</v>
      </c>
      <c r="F9" s="10" t="n">
        <v>0.0977</v>
      </c>
      <c r="G9" s="10" t="n">
        <v>0.6687</v>
      </c>
      <c r="H9" s="10" t="n">
        <v>0.1528</v>
      </c>
      <c r="I9" s="2" t="n">
        <v>0.5054</v>
      </c>
      <c r="J9" s="10" t="n">
        <v>1.9166</v>
      </c>
      <c r="K9" s="2" t="n">
        <v>0.0204</v>
      </c>
      <c r="L9" s="2" t="n">
        <v>0.7191</v>
      </c>
      <c r="M9" s="10" t="n">
        <v>0.2963</v>
      </c>
      <c r="N9" s="750" t="n"/>
    </row>
    <row r="10" customFormat="1" s="886">
      <c r="A10" s="791" t="inlineStr">
        <is>
          <t>유동비율</t>
        </is>
      </c>
      <c r="B10" s="2" t="n">
        <v>3.6339</v>
      </c>
      <c r="C10" s="2" t="n">
        <v>5.4206</v>
      </c>
      <c r="D10" s="10" t="n">
        <v>9.2662</v>
      </c>
      <c r="E10" s="10" t="n">
        <v>4.7603</v>
      </c>
      <c r="F10" s="10" t="n">
        <v>16.4905</v>
      </c>
      <c r="G10" s="10" t="n">
        <v>2.9013</v>
      </c>
      <c r="H10" s="10" t="n">
        <v>3.9733</v>
      </c>
      <c r="I10" s="2" t="n">
        <v>2.2496</v>
      </c>
      <c r="J10" s="10" t="n">
        <v>1.3249</v>
      </c>
      <c r="K10" s="2" t="n">
        <v>54.6769</v>
      </c>
      <c r="L10" s="2" t="n">
        <v>24.4217</v>
      </c>
      <c r="M10" s="10" t="n">
        <v>2.9462</v>
      </c>
      <c r="N10" s="750" t="n"/>
    </row>
    <row r="11" ht="21" customFormat="1" customHeight="1" s="886">
      <c r="A11" s="792" t="inlineStr">
        <is>
          <t>영업기간
공사업등록일</t>
        </is>
      </c>
      <c r="B11" s="67" t="inlineStr">
        <is>
          <t>1979.10.24</t>
        </is>
      </c>
      <c r="C11" s="67" t="inlineStr">
        <is>
          <t>2007.05.10</t>
        </is>
      </c>
      <c r="D11" s="10" t="inlineStr">
        <is>
          <t>10년이상%</t>
        </is>
      </c>
      <c r="E11" s="10" t="inlineStr">
        <is>
          <t>5년이상%</t>
        </is>
      </c>
      <c r="F11" s="10" t="inlineStr">
        <is>
          <t>3년이상%</t>
        </is>
      </c>
      <c r="G11" s="10" t="inlineStr">
        <is>
          <t>10년이상%</t>
        </is>
      </c>
      <c r="H11" s="11" t="inlineStr">
        <is>
          <t>2015.01.21</t>
        </is>
      </c>
      <c r="I11" s="67" t="inlineStr">
        <is>
          <t>2013.05.23</t>
        </is>
      </c>
      <c r="J11" s="10" t="inlineStr">
        <is>
          <t>3년이상%</t>
        </is>
      </c>
      <c r="K11" s="67" t="inlineStr">
        <is>
          <t>2005.11.07</t>
        </is>
      </c>
      <c r="L11" s="2" t="inlineStr">
        <is>
          <t>10년이상%</t>
        </is>
      </c>
      <c r="M11" s="10" t="inlineStr">
        <is>
          <t>10년이상%</t>
        </is>
      </c>
    </row>
    <row r="12" ht="22.5" customFormat="1" customHeight="1" s="23">
      <c r="A12" s="71" t="inlineStr">
        <is>
          <t>신용평가</t>
        </is>
      </c>
      <c r="B12" s="725" t="inlineStr">
        <is>
          <t>BBO
(21.05.13~22.05.12)</t>
        </is>
      </c>
      <c r="C12" s="786" t="inlineStr">
        <is>
          <t>BB-</t>
        </is>
      </c>
      <c r="D12" s="153" t="inlineStr">
        <is>
          <t>B+
(13.06.17~14.06.16)</t>
        </is>
      </c>
      <c r="E12" s="736" t="n"/>
      <c r="F12" s="803" t="n"/>
      <c r="G12" s="803" t="n"/>
      <c r="H12" s="725" t="inlineStr">
        <is>
          <t>A-
(16.06.30~17.06.29)</t>
        </is>
      </c>
      <c r="I12" s="736" t="n"/>
      <c r="J12" s="736" t="n"/>
      <c r="K12" s="736" t="n"/>
      <c r="L12" s="803" t="n"/>
      <c r="M12" s="725" t="inlineStr">
        <is>
          <t>BB-
(15.05.22~16.05.21)</t>
        </is>
      </c>
    </row>
    <row r="13" customFormat="1" s="23">
      <c r="A13" s="71" t="inlineStr">
        <is>
          <t>여성기업</t>
        </is>
      </c>
      <c r="B13" s="736" t="n"/>
      <c r="C13" s="736" t="n"/>
      <c r="D13" s="49" t="n"/>
      <c r="E13" s="736" t="n"/>
      <c r="F13" s="803" t="n"/>
      <c r="G13" s="803" t="n"/>
      <c r="H13" s="736" t="n"/>
      <c r="I13" s="736" t="n"/>
      <c r="J13" s="736" t="n"/>
      <c r="K13" s="736" t="n"/>
      <c r="L13" s="803" t="n"/>
      <c r="M13" s="736" t="n"/>
    </row>
    <row r="14" customFormat="1" s="23">
      <c r="A14" s="71" t="inlineStr">
        <is>
          <t>중소기업</t>
        </is>
      </c>
      <c r="B14" s="736" t="n"/>
      <c r="C14" s="736" t="n"/>
      <c r="D14" s="49" t="n"/>
      <c r="E14" s="736" t="n"/>
      <c r="F14" s="803" t="n"/>
      <c r="G14" s="803" t="n"/>
      <c r="H14" s="736" t="n"/>
      <c r="I14" s="736" t="n"/>
      <c r="J14" s="736" t="n"/>
      <c r="K14" s="736" t="n"/>
      <c r="L14" s="803" t="n"/>
      <c r="M14" s="736" t="n"/>
    </row>
    <row r="15" customFormat="1" s="23">
      <c r="A15" s="71" t="inlineStr">
        <is>
          <t>일자리창출실적</t>
        </is>
      </c>
      <c r="B15" s="736" t="n"/>
      <c r="C15" s="736" t="n"/>
      <c r="D15" s="49" t="n"/>
      <c r="E15" s="736" t="n"/>
      <c r="F15" s="803" t="n"/>
      <c r="G15" s="803" t="n"/>
      <c r="H15" s="736" t="n"/>
      <c r="I15" s="736" t="n"/>
      <c r="J15" s="736" t="n"/>
      <c r="K15" s="736" t="n"/>
      <c r="L15" s="803" t="n"/>
      <c r="M15" s="736" t="n"/>
    </row>
    <row r="16" customFormat="1" s="23">
      <c r="A16" s="71" t="inlineStr">
        <is>
          <t>시공품질평가</t>
        </is>
      </c>
      <c r="B16" s="736" t="n"/>
      <c r="C16" s="736" t="n"/>
      <c r="D16" s="49" t="n"/>
      <c r="E16" s="736" t="n"/>
      <c r="F16" s="803" t="n"/>
      <c r="G16" s="803" t="n"/>
      <c r="H16" s="736" t="n"/>
      <c r="I16" s="736" t="n"/>
      <c r="J16" s="736" t="n"/>
      <c r="K16" s="736" t="n"/>
      <c r="L16" s="803" t="n"/>
      <c r="M16" s="736" t="n"/>
    </row>
    <row r="17" customFormat="1" s="23">
      <c r="A17" s="71" t="inlineStr">
        <is>
          <t>비  고</t>
        </is>
      </c>
      <c r="B17" s="730" t="inlineStr">
        <is>
          <t>보선 자회사</t>
        </is>
      </c>
      <c r="C17" s="9" t="n"/>
      <c r="D17" s="9" t="inlineStr">
        <is>
          <t>윤한봉</t>
        </is>
      </c>
      <c r="E17" s="9" t="n"/>
      <c r="F17" s="9" t="n"/>
      <c r="G17" s="9" t="n"/>
      <c r="H17" s="9" t="n"/>
      <c r="I17" s="730" t="inlineStr">
        <is>
          <t>조재진</t>
        </is>
      </c>
      <c r="J17" s="9" t="inlineStr">
        <is>
          <t>윤한봉</t>
        </is>
      </c>
      <c r="K17" s="730" t="inlineStr">
        <is>
          <t>조동규</t>
        </is>
      </c>
      <c r="L17" s="1" t="inlineStr">
        <is>
          <t>윤한봉</t>
        </is>
      </c>
      <c r="M17" s="9" t="inlineStr">
        <is>
          <t>송종윤</t>
        </is>
      </c>
    </row>
    <row r="18" ht="26.1" customFormat="1" customHeight="1" s="25">
      <c r="A18" s="455" t="inlineStr">
        <is>
          <t>회사명</t>
        </is>
      </c>
      <c r="B18" s="455" t="inlineStr">
        <is>
          <t>영복통신㈜</t>
        </is>
      </c>
      <c r="C18" s="455" t="inlineStr">
        <is>
          <t>㈜우리기업</t>
        </is>
      </c>
      <c r="D18" s="455" t="inlineStr">
        <is>
          <t>㈜알엠텍정보통신</t>
        </is>
      </c>
      <c r="E18" s="455" t="n"/>
      <c r="F18" s="455" t="n"/>
      <c r="G18" s="455" t="n"/>
      <c r="H18" s="455" t="n"/>
      <c r="I18" s="455" t="n"/>
      <c r="J18" s="455" t="n"/>
      <c r="K18" s="455" t="n"/>
      <c r="L18" s="455" t="n"/>
      <c r="M18" s="455" t="n"/>
    </row>
    <row r="19">
      <c r="A19" s="71" t="inlineStr">
        <is>
          <t>대표자</t>
        </is>
      </c>
      <c r="B19" s="1" t="inlineStr">
        <is>
          <t>최복남</t>
        </is>
      </c>
      <c r="C19" s="1" t="inlineStr">
        <is>
          <t>신현진</t>
        </is>
      </c>
      <c r="D19" s="1" t="inlineStr">
        <is>
          <t>윤승욱</t>
        </is>
      </c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</row>
    <row r="20">
      <c r="A20" s="74" t="inlineStr">
        <is>
          <t>사업자번호</t>
        </is>
      </c>
      <c r="B20" s="1" t="inlineStr">
        <is>
          <t>307-81-39991</t>
        </is>
      </c>
      <c r="C20" s="1" t="inlineStr">
        <is>
          <t>308-81-18553</t>
        </is>
      </c>
      <c r="D20" s="1" t="inlineStr">
        <is>
          <t>305-86-03584</t>
        </is>
      </c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</row>
    <row r="21">
      <c r="A21" s="74" t="inlineStr">
        <is>
          <t>지역</t>
        </is>
      </c>
      <c r="B21" s="1" t="inlineStr">
        <is>
          <t>세종</t>
        </is>
      </c>
      <c r="C21" s="1" t="inlineStr">
        <is>
          <t>세종</t>
        </is>
      </c>
      <c r="D21" s="1" t="inlineStr">
        <is>
          <t>세종</t>
        </is>
      </c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</row>
    <row r="22">
      <c r="A22" s="71" t="inlineStr">
        <is>
          <t>통신시공능력</t>
        </is>
      </c>
      <c r="B22" s="804" t="n">
        <v>2129000000</v>
      </c>
      <c r="C22" s="804" t="n">
        <v>8963100000</v>
      </c>
      <c r="D22" s="732" t="n">
        <v>907500000</v>
      </c>
      <c r="E22" s="752" t="n"/>
      <c r="F22" s="752" t="n"/>
      <c r="G22" s="752" t="n"/>
      <c r="H22" s="752" t="n"/>
      <c r="I22" s="752" t="n"/>
      <c r="J22" s="752" t="n"/>
      <c r="K22" s="752" t="n"/>
      <c r="L22" s="752" t="n"/>
      <c r="M22" s="752" t="n"/>
    </row>
    <row r="23">
      <c r="A23" s="71" t="inlineStr">
        <is>
          <t>3년간 실적액</t>
        </is>
      </c>
      <c r="B23" s="804" t="n">
        <v>3547773000</v>
      </c>
      <c r="C23" s="804" t="n">
        <v>12985214000</v>
      </c>
      <c r="D23" s="804" t="n">
        <v>447327000</v>
      </c>
      <c r="E23" s="756" t="n"/>
      <c r="F23" s="756" t="n"/>
      <c r="G23" s="756" t="n"/>
      <c r="H23" s="756" t="n"/>
      <c r="I23" s="756" t="n"/>
      <c r="J23" s="756" t="n"/>
      <c r="K23" s="756" t="n"/>
      <c r="L23" s="756" t="n"/>
      <c r="M23" s="756" t="n"/>
    </row>
    <row r="24">
      <c r="A24" s="71" t="inlineStr">
        <is>
          <t>5년간 실적액</t>
        </is>
      </c>
      <c r="B24" s="810" t="n">
        <v>7244062000</v>
      </c>
      <c r="C24" s="810" t="n">
        <v>17397204000</v>
      </c>
      <c r="D24" s="810" t="n">
        <v>447327000</v>
      </c>
      <c r="E24" s="806" t="n"/>
      <c r="F24" s="806" t="n"/>
      <c r="G24" s="806" t="n"/>
      <c r="H24" s="806" t="n"/>
      <c r="I24" s="806" t="n"/>
      <c r="J24" s="806" t="n"/>
      <c r="K24" s="806" t="n"/>
      <c r="L24" s="806" t="n"/>
      <c r="M24" s="806" t="n"/>
    </row>
    <row r="25">
      <c r="A25" s="791" t="inlineStr">
        <is>
          <t>부채비율</t>
        </is>
      </c>
      <c r="B25" s="2" t="n">
        <v>0.6666</v>
      </c>
      <c r="C25" s="2" t="n">
        <v>0.1842</v>
      </c>
      <c r="D25" s="2" t="n">
        <v>1.0885</v>
      </c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</row>
    <row r="26">
      <c r="A26" s="791" t="inlineStr">
        <is>
          <t>유동비율</t>
        </is>
      </c>
      <c r="B26" s="2" t="n">
        <v>15</v>
      </c>
      <c r="C26" s="2" t="n">
        <v>16.5174</v>
      </c>
      <c r="D26" s="2" t="n">
        <v>1.3045</v>
      </c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</row>
    <row r="27" ht="21" customHeight="1" s="16">
      <c r="A27" s="792" t="inlineStr">
        <is>
          <t>영업기간
공사업등록일</t>
        </is>
      </c>
      <c r="B27" s="2" t="inlineStr">
        <is>
          <t>5년이상%</t>
        </is>
      </c>
      <c r="C27" s="2" t="inlineStr">
        <is>
          <t>10년이상%</t>
        </is>
      </c>
      <c r="D27" s="2" t="inlineStr">
        <is>
          <t>3년미만%</t>
        </is>
      </c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</row>
    <row r="28" ht="22.5" customHeight="1" s="16">
      <c r="A28" s="71" t="inlineStr">
        <is>
          <t>신용평가</t>
        </is>
      </c>
      <c r="B28" s="153" t="inlineStr">
        <is>
          <t>B-
(13.05.23~14.05.22)</t>
        </is>
      </c>
      <c r="C28" s="153" t="inlineStr">
        <is>
          <t>B+
(12.10.30~13.06.30)</t>
        </is>
      </c>
      <c r="D28" s="803" t="n"/>
      <c r="E28" s="803" t="n"/>
      <c r="F28" s="803" t="n"/>
      <c r="G28" s="803" t="n"/>
      <c r="H28" s="803" t="n"/>
      <c r="I28" s="803" t="n"/>
      <c r="J28" s="803" t="n"/>
      <c r="K28" s="803" t="n"/>
      <c r="L28" s="803" t="n"/>
      <c r="M28" s="803" t="n"/>
    </row>
    <row r="29">
      <c r="A29" s="71" t="inlineStr">
        <is>
          <t>여성기업</t>
        </is>
      </c>
      <c r="B29" s="49" t="n"/>
      <c r="C29" s="49" t="n"/>
      <c r="D29" s="803" t="n"/>
      <c r="E29" s="803" t="n"/>
      <c r="F29" s="803" t="n"/>
      <c r="G29" s="803" t="n"/>
      <c r="H29" s="803" t="n"/>
      <c r="I29" s="803" t="n"/>
      <c r="J29" s="803" t="n"/>
      <c r="K29" s="803" t="n"/>
      <c r="L29" s="803" t="n"/>
      <c r="M29" s="803" t="n"/>
    </row>
    <row r="30">
      <c r="A30" s="71" t="inlineStr">
        <is>
          <t>중소기업</t>
        </is>
      </c>
      <c r="B30" s="49" t="n"/>
      <c r="C30" s="49" t="n"/>
      <c r="D30" s="803" t="n"/>
      <c r="E30" s="803" t="n"/>
      <c r="F30" s="803" t="n"/>
      <c r="G30" s="803" t="n"/>
      <c r="H30" s="803" t="n"/>
      <c r="I30" s="803" t="n"/>
      <c r="J30" s="803" t="n"/>
      <c r="K30" s="803" t="n"/>
      <c r="L30" s="803" t="n"/>
      <c r="M30" s="803" t="n"/>
    </row>
    <row r="31">
      <c r="A31" s="71" t="inlineStr">
        <is>
          <t>일자리창출실적</t>
        </is>
      </c>
      <c r="B31" s="49" t="n"/>
      <c r="C31" s="49" t="n"/>
      <c r="D31" s="803" t="n"/>
      <c r="E31" s="803" t="n"/>
      <c r="F31" s="803" t="n"/>
      <c r="G31" s="803" t="n"/>
      <c r="H31" s="803" t="n"/>
      <c r="I31" s="803" t="n"/>
      <c r="J31" s="803" t="n"/>
      <c r="K31" s="803" t="n"/>
      <c r="L31" s="803" t="n"/>
      <c r="M31" s="803" t="n"/>
    </row>
    <row r="32">
      <c r="A32" s="71" t="inlineStr">
        <is>
          <t>시공품질평가</t>
        </is>
      </c>
      <c r="B32" s="49" t="n"/>
      <c r="C32" s="49" t="n"/>
      <c r="D32" s="803" t="n"/>
      <c r="E32" s="803" t="n"/>
      <c r="F32" s="803" t="n"/>
      <c r="G32" s="803" t="n"/>
      <c r="H32" s="803" t="n"/>
      <c r="I32" s="803" t="n"/>
      <c r="J32" s="803" t="n"/>
      <c r="K32" s="803" t="n"/>
      <c r="L32" s="803" t="n"/>
      <c r="M32" s="803" t="n"/>
    </row>
    <row r="33">
      <c r="A33" s="71" t="inlineStr">
        <is>
          <t>비  고</t>
        </is>
      </c>
      <c r="B33" s="1" t="inlineStr">
        <is>
          <t>송동은</t>
        </is>
      </c>
      <c r="C33" s="9" t="n"/>
      <c r="D33" s="1" t="inlineStr">
        <is>
          <t>윤한봉</t>
        </is>
      </c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</row>
  </sheetData>
  <mergeCells count="1">
    <mergeCell ref="A1:M1"/>
  </mergeCells>
  <printOptions horizontalCentered="1"/>
  <pageMargins left="0.03937007874015748" right="0.03937007874015748" top="0.1968503937007874" bottom="0.1968503937007874" header="0" footer="0"/>
  <pageSetup orientation="landscape" paperSize="9" scale="55"/>
</worksheet>
</file>

<file path=xl/worksheets/sheet17.xml><?xml version="1.0" encoding="utf-8"?>
<worksheet xmlns="http://schemas.openxmlformats.org/spreadsheetml/2006/main">
  <sheetPr codeName="Sheet17">
    <outlinePr summaryBelow="1" summaryRight="1"/>
    <pageSetUpPr/>
  </sheetPr>
  <dimension ref="A1:N17"/>
  <sheetViews>
    <sheetView zoomScale="115" zoomScaleNormal="115" workbookViewId="0">
      <pane ySplit="1" topLeftCell="A2" activePane="bottomLeft" state="frozen"/>
      <selection pane="bottomLeft" activeCell="A2" sqref="A2:M2"/>
    </sheetView>
  </sheetViews>
  <sheetFormatPr baseColWidth="8" defaultRowHeight="13.5"/>
  <cols>
    <col width="10" bestFit="1" customWidth="1" style="16" min="1" max="1"/>
    <col width="15.77734375" customWidth="1" style="16" min="2" max="13"/>
    <col width="8.88671875" customWidth="1" style="16" min="14" max="55"/>
    <col width="8.88671875" customWidth="1" style="16" min="56" max="16384"/>
  </cols>
  <sheetData>
    <row r="1" ht="25.5" customHeight="1" s="16">
      <c r="A1" s="702" t="inlineStr">
        <is>
          <t>통 신 ( 제 주 )</t>
        </is>
      </c>
      <c r="B1" s="700" t="n"/>
      <c r="C1" s="700" t="n"/>
      <c r="D1" s="700" t="n"/>
      <c r="E1" s="700" t="n"/>
      <c r="F1" s="700" t="n"/>
      <c r="G1" s="700" t="n"/>
      <c r="H1" s="700" t="n"/>
      <c r="I1" s="700" t="n"/>
      <c r="J1" s="700" t="n"/>
      <c r="K1" s="700" t="n"/>
      <c r="L1" s="700" t="n"/>
      <c r="M1" s="701" t="n"/>
    </row>
    <row r="2" ht="26.1" customFormat="1" customHeight="1" s="18">
      <c r="A2" s="455" t="inlineStr">
        <is>
          <t>회사명</t>
        </is>
      </c>
      <c r="B2" s="455" t="inlineStr">
        <is>
          <t>㈜광동전력</t>
        </is>
      </c>
      <c r="C2" s="455" t="inlineStr">
        <is>
          <t>가금테크</t>
        </is>
      </c>
      <c r="D2" s="455" t="inlineStr">
        <is>
          <t>광명디앤씨㈜</t>
        </is>
      </c>
      <c r="E2" s="455" t="inlineStr">
        <is>
          <t>㈜세경</t>
        </is>
      </c>
      <c r="F2" s="455" t="inlineStr">
        <is>
          <t>화진전기㈜</t>
        </is>
      </c>
      <c r="G2" s="455" t="inlineStr">
        <is>
          <t>㈜성우이앤씨</t>
        </is>
      </c>
      <c r="H2" s="455" t="inlineStr">
        <is>
          <t>㈜이노네트웍스</t>
        </is>
      </c>
      <c r="I2" s="455" t="n"/>
      <c r="J2" s="455" t="n"/>
      <c r="K2" s="455" t="n"/>
      <c r="L2" s="455" t="n"/>
      <c r="M2" s="455" t="n"/>
    </row>
    <row r="3" customFormat="1" s="23">
      <c r="A3" s="74" t="inlineStr">
        <is>
          <t>대표자</t>
        </is>
      </c>
      <c r="B3" s="288" t="inlineStr">
        <is>
          <t>오창진</t>
        </is>
      </c>
      <c r="C3" s="9" t="inlineStr">
        <is>
          <t>이창근</t>
        </is>
      </c>
      <c r="D3" s="9" t="inlineStr">
        <is>
          <t>김종헌</t>
        </is>
      </c>
      <c r="E3" s="1" t="inlineStr">
        <is>
          <t>서창덕</t>
        </is>
      </c>
      <c r="F3" s="1" t="inlineStr">
        <is>
          <t>양경욱</t>
        </is>
      </c>
      <c r="G3" s="1" t="inlineStr">
        <is>
          <t>장형석</t>
        </is>
      </c>
      <c r="H3" s="1" t="inlineStr">
        <is>
          <t>양방훈</t>
        </is>
      </c>
      <c r="I3" s="752" t="n"/>
      <c r="J3" s="752" t="n"/>
      <c r="K3" s="752" t="n"/>
      <c r="L3" s="752" t="n"/>
      <c r="M3" s="752" t="n"/>
    </row>
    <row r="4" customFormat="1" s="21">
      <c r="A4" s="74" t="inlineStr">
        <is>
          <t>사업자번호</t>
        </is>
      </c>
      <c r="B4" s="289" t="inlineStr">
        <is>
          <t>616-81-14822</t>
        </is>
      </c>
      <c r="C4" s="9" t="inlineStr">
        <is>
          <t>616-08-29318</t>
        </is>
      </c>
      <c r="D4" s="9" t="inlineStr">
        <is>
          <t>616-81-97255</t>
        </is>
      </c>
      <c r="E4" s="1" t="inlineStr">
        <is>
          <t>616-81-08882</t>
        </is>
      </c>
      <c r="F4" s="1" t="inlineStr">
        <is>
          <t>616-81-14588</t>
        </is>
      </c>
      <c r="G4" s="1" t="inlineStr">
        <is>
          <t>616-81-14458</t>
        </is>
      </c>
      <c r="H4" s="1" t="inlineStr">
        <is>
          <t>616-81-63982</t>
        </is>
      </c>
      <c r="I4" s="54" t="n"/>
      <c r="J4" s="54" t="n"/>
      <c r="K4" s="54" t="n"/>
      <c r="L4" s="54" t="n"/>
      <c r="M4" s="54" t="n"/>
    </row>
    <row r="5" customFormat="1" s="23">
      <c r="A5" s="74" t="inlineStr">
        <is>
          <t>지역</t>
        </is>
      </c>
      <c r="B5" s="288" t="inlineStr">
        <is>
          <t>제주도 서귀포시</t>
        </is>
      </c>
      <c r="C5" s="9" t="inlineStr">
        <is>
          <t>제주</t>
        </is>
      </c>
      <c r="D5" s="9" t="inlineStr">
        <is>
          <t>제주</t>
        </is>
      </c>
      <c r="E5" s="1" t="inlineStr">
        <is>
          <t>제주도 서귀포시</t>
        </is>
      </c>
      <c r="F5" s="1" t="inlineStr">
        <is>
          <t>제주도 서귀포시</t>
        </is>
      </c>
      <c r="G5" s="1" t="inlineStr">
        <is>
          <t>제주도 제주시</t>
        </is>
      </c>
      <c r="H5" s="1" t="inlineStr">
        <is>
          <t>제주도 제주시</t>
        </is>
      </c>
      <c r="I5" s="54" t="n"/>
      <c r="J5" s="54" t="n"/>
      <c r="K5" s="54" t="n"/>
      <c r="L5" s="54" t="n"/>
      <c r="M5" s="54" t="n"/>
    </row>
    <row r="6" customFormat="1" s="21">
      <c r="A6" s="74" t="inlineStr">
        <is>
          <t>통신시공능력</t>
        </is>
      </c>
      <c r="B6" s="741" t="n">
        <v>856300000</v>
      </c>
      <c r="C6" s="756" t="n">
        <v>781300000</v>
      </c>
      <c r="D6" s="756" t="n">
        <v>9983700000</v>
      </c>
      <c r="E6" s="804" t="n">
        <v>2414300000</v>
      </c>
      <c r="F6" s="804" t="n">
        <v>5905100000</v>
      </c>
      <c r="G6" s="804" t="n">
        <v>9268600000</v>
      </c>
      <c r="H6" s="804" t="n">
        <v>9358900000</v>
      </c>
      <c r="I6" s="752" t="n"/>
      <c r="J6" s="752" t="n"/>
      <c r="K6" s="752" t="n"/>
      <c r="L6" s="752" t="n"/>
      <c r="M6" s="752" t="n"/>
    </row>
    <row r="7" customFormat="1" s="23">
      <c r="A7" s="74" t="inlineStr">
        <is>
          <t>3년간 실적액</t>
        </is>
      </c>
      <c r="B7" s="747" t="n">
        <v>161338000</v>
      </c>
      <c r="C7" s="756" t="n">
        <v>0</v>
      </c>
      <c r="D7" s="756" t="n">
        <v>9614334000</v>
      </c>
      <c r="E7" s="804" t="n">
        <v>1907611000</v>
      </c>
      <c r="F7" s="804" t="n">
        <v>5017269000</v>
      </c>
      <c r="G7" s="804" t="n">
        <v>10364002000</v>
      </c>
      <c r="H7" s="804" t="n">
        <v>9379226000</v>
      </c>
      <c r="I7" s="752" t="n"/>
      <c r="J7" s="752" t="n"/>
      <c r="K7" s="752" t="n"/>
      <c r="L7" s="752" t="n"/>
      <c r="M7" s="752" t="n"/>
    </row>
    <row r="8" customFormat="1" s="23">
      <c r="A8" s="74" t="inlineStr">
        <is>
          <t>5년간 실적액</t>
        </is>
      </c>
      <c r="B8" s="747" t="n">
        <v>1008613000</v>
      </c>
      <c r="C8" s="756" t="n">
        <v>0</v>
      </c>
      <c r="D8" s="756" t="n">
        <v>19254370000</v>
      </c>
      <c r="E8" s="804" t="n">
        <v>2440596000</v>
      </c>
      <c r="F8" s="804" t="n">
        <v>8370842000</v>
      </c>
      <c r="G8" s="804" t="n">
        <v>18231358000</v>
      </c>
      <c r="H8" s="804" t="n">
        <v>15962425000</v>
      </c>
      <c r="I8" s="752" t="n"/>
      <c r="J8" s="752" t="n"/>
      <c r="K8" s="752" t="n"/>
      <c r="L8" s="752" t="n"/>
      <c r="M8" s="752" t="n"/>
    </row>
    <row r="9" customFormat="1" s="886">
      <c r="A9" s="916" t="inlineStr">
        <is>
          <t>부채비율</t>
        </is>
      </c>
      <c r="B9" s="285" t="n">
        <v>0.4079</v>
      </c>
      <c r="C9" s="10" t="n">
        <v>0.9249000000000001</v>
      </c>
      <c r="D9" s="10" t="n">
        <v>0.2077</v>
      </c>
      <c r="E9" s="2" t="n">
        <v>0.2076</v>
      </c>
      <c r="F9" s="2" t="n">
        <v>0.0649</v>
      </c>
      <c r="G9" s="2" t="n">
        <v>0.2781</v>
      </c>
      <c r="H9" s="2" t="n">
        <v>0.0648</v>
      </c>
      <c r="I9" s="10" t="n"/>
      <c r="J9" s="10" t="n"/>
      <c r="K9" s="10" t="n"/>
      <c r="L9" s="10" t="n"/>
      <c r="M9" s="10" t="n"/>
      <c r="N9" s="750" t="n"/>
    </row>
    <row r="10" customFormat="1" s="886">
      <c r="A10" s="916" t="inlineStr">
        <is>
          <t>유동비율</t>
        </is>
      </c>
      <c r="B10" s="285" t="n">
        <v>12.3391</v>
      </c>
      <c r="C10" s="10" t="n">
        <v>3.0751</v>
      </c>
      <c r="D10" s="10" t="n">
        <v>5.0836</v>
      </c>
      <c r="E10" s="2" t="n">
        <v>7.6697</v>
      </c>
      <c r="F10" s="2" t="n">
        <v>45.3606</v>
      </c>
      <c r="G10" s="2" t="n">
        <v>5.6097</v>
      </c>
      <c r="H10" s="2" t="n">
        <v>10.2889</v>
      </c>
      <c r="I10" s="10" t="n"/>
      <c r="J10" s="10" t="n"/>
      <c r="K10" s="10" t="n"/>
      <c r="L10" s="10" t="n"/>
      <c r="M10" s="10" t="n"/>
      <c r="N10" s="750" t="n"/>
    </row>
    <row r="11" ht="22.5" customFormat="1" customHeight="1" s="886">
      <c r="A11" s="917" t="inlineStr">
        <is>
          <t>영업기간
공사업등록일</t>
        </is>
      </c>
      <c r="B11" s="290" t="inlineStr">
        <is>
          <t>2013.07.11</t>
        </is>
      </c>
      <c r="C11" s="11" t="inlineStr">
        <is>
          <t>3년이상</t>
        </is>
      </c>
      <c r="D11" s="11" t="inlineStr">
        <is>
          <t>10년이상</t>
        </is>
      </c>
      <c r="E11" s="67" t="inlineStr">
        <is>
          <t>2004.11.03</t>
        </is>
      </c>
      <c r="F11" s="67" t="inlineStr">
        <is>
          <t>2006.12.11</t>
        </is>
      </c>
      <c r="G11" s="67" t="inlineStr">
        <is>
          <t>1991.08.13</t>
        </is>
      </c>
      <c r="H11" s="67" t="inlineStr">
        <is>
          <t>2008.02.14</t>
        </is>
      </c>
      <c r="I11" s="11" t="n"/>
      <c r="J11" s="11" t="n"/>
      <c r="K11" s="11" t="n"/>
      <c r="L11" s="11" t="n"/>
      <c r="M11" s="11" t="n"/>
    </row>
    <row r="12" ht="22.5" customFormat="1" customHeight="1" s="23">
      <c r="A12" s="74" t="inlineStr">
        <is>
          <t>신용평가</t>
        </is>
      </c>
      <c r="B12" s="162" t="inlineStr">
        <is>
          <t>BB-
(24.05.28~25.05.27)</t>
        </is>
      </c>
      <c r="C12" s="62" t="n"/>
      <c r="D12" s="62" t="n"/>
      <c r="E12" s="157" t="inlineStr">
        <is>
          <t>BBB-
(19.06.18~20.06.17)</t>
        </is>
      </c>
      <c r="F12" s="803" t="n"/>
      <c r="G12" s="120" t="n"/>
      <c r="H12" s="122" t="n"/>
      <c r="I12" s="12" t="n"/>
      <c r="J12" s="12" t="n"/>
      <c r="K12" s="12" t="n"/>
      <c r="L12" s="12" t="n"/>
      <c r="M12" s="12" t="n"/>
    </row>
    <row r="13" customFormat="1" s="23">
      <c r="A13" s="74" t="inlineStr">
        <is>
          <t>여성기업</t>
        </is>
      </c>
      <c r="B13" s="291" t="n"/>
      <c r="C13" s="62" t="n"/>
      <c r="D13" s="62" t="n"/>
      <c r="E13" s="62" t="n"/>
      <c r="F13" s="803" t="n"/>
      <c r="G13" s="120" t="n"/>
      <c r="H13" s="122" t="n"/>
      <c r="I13" s="12" t="n"/>
      <c r="J13" s="12" t="n"/>
      <c r="K13" s="12" t="n"/>
      <c r="L13" s="12" t="n"/>
      <c r="M13" s="12" t="n"/>
    </row>
    <row r="14" customFormat="1" s="23">
      <c r="A14" s="74" t="inlineStr">
        <is>
          <t>중소기업</t>
        </is>
      </c>
      <c r="B14" s="291" t="n"/>
      <c r="C14" s="62" t="n"/>
      <c r="D14" s="62" t="n"/>
      <c r="E14" s="62" t="n"/>
      <c r="F14" s="803" t="n"/>
      <c r="G14" s="120" t="n"/>
      <c r="H14" s="122" t="n"/>
      <c r="I14" s="12" t="n"/>
      <c r="J14" s="12" t="n"/>
      <c r="K14" s="12" t="n"/>
      <c r="L14" s="12" t="n"/>
      <c r="M14" s="12" t="n"/>
    </row>
    <row r="15" customFormat="1" s="23">
      <c r="A15" s="71" t="inlineStr">
        <is>
          <t>일자리창출실적</t>
        </is>
      </c>
      <c r="B15" s="291" t="n"/>
      <c r="C15" s="62" t="n"/>
      <c r="D15" s="62" t="n"/>
      <c r="E15" s="62" t="n"/>
      <c r="F15" s="803" t="n"/>
      <c r="G15" s="120" t="n"/>
      <c r="H15" s="122" t="n"/>
      <c r="I15" s="12" t="n"/>
      <c r="J15" s="12" t="n"/>
      <c r="K15" s="12" t="n"/>
      <c r="L15" s="12" t="n"/>
      <c r="M15" s="12" t="n"/>
    </row>
    <row r="16" customFormat="1" s="23">
      <c r="A16" s="71" t="inlineStr">
        <is>
          <t>시공품질평가</t>
        </is>
      </c>
      <c r="B16" s="744" t="inlineStr">
        <is>
          <t>없음 (24.05.01)</t>
        </is>
      </c>
      <c r="C16" s="62" t="n"/>
      <c r="D16" s="62" t="n"/>
      <c r="E16" s="62" t="n"/>
      <c r="F16" s="803" t="n"/>
      <c r="G16" s="120" t="n"/>
      <c r="H16" s="122" t="n"/>
      <c r="I16" s="12" t="n"/>
      <c r="J16" s="12" t="n"/>
      <c r="K16" s="12" t="n"/>
      <c r="L16" s="12" t="n"/>
      <c r="M16" s="12" t="n"/>
    </row>
    <row r="17" customFormat="1" s="23">
      <c r="A17" s="74" t="inlineStr">
        <is>
          <t>비  고</t>
        </is>
      </c>
      <c r="B17" s="292" t="inlineStr">
        <is>
          <t>이동훈</t>
        </is>
      </c>
      <c r="C17" s="9" t="inlineStr">
        <is>
          <t>윤한봉</t>
        </is>
      </c>
      <c r="D17" s="9" t="inlineStr">
        <is>
          <t>송동은</t>
        </is>
      </c>
      <c r="E17" s="1" t="inlineStr">
        <is>
          <t>서보 조정부장</t>
        </is>
      </c>
      <c r="F17" s="9" t="n"/>
      <c r="G17" s="1" t="inlineStr">
        <is>
          <t>구본진</t>
        </is>
      </c>
      <c r="H17" s="1" t="inlineStr">
        <is>
          <t>구본진</t>
        </is>
      </c>
      <c r="I17" s="752" t="n"/>
      <c r="J17" s="752" t="n"/>
      <c r="K17" s="9" t="n"/>
      <c r="L17" s="9" t="n"/>
      <c r="M17" s="9" t="n"/>
    </row>
  </sheetData>
  <mergeCells count="1">
    <mergeCell ref="A1:M1"/>
  </mergeCells>
  <printOptions horizontalCentered="1"/>
  <pageMargins left="0.03937007874015748" right="0.03937007874015748" top="0.1968503937007874" bottom="0.1968503937007874" header="0" footer="0"/>
  <pageSetup orientation="landscape" paperSize="9" scale="5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CGSComputer</dc:creator>
  <dcterms:created xmlns:dcterms="http://purl.org/dc/terms/" xmlns:xsi="http://www.w3.org/2001/XMLSchema-instance" xsi:type="dcterms:W3CDTF">2012-03-31T01:49:16Z</dcterms:created>
  <dcterms:modified xmlns:dcterms="http://purl.org/dc/terms/" xmlns:xsi="http://www.w3.org/2001/XMLSchema-instance" xsi:type="dcterms:W3CDTF">2025-12-31T04:13:20Z</dcterms:modified>
  <cp:lastModifiedBy>user</cp:lastModifiedBy>
  <cp:lastPrinted>2016-08-29T01:00:44Z</cp:lastPrinted>
</cp:coreProperties>
</file>