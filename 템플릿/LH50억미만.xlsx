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AX15" i="868" l="1"/>
  <c r="AW15" i="868"/>
  <c r="AN15" i="868"/>
  <c r="AO15" i="868" s="1"/>
  <c r="AB15" i="868"/>
  <c r="AC15" i="868" s="1"/>
  <c r="AE15" i="868" s="1"/>
  <c r="U15" i="868"/>
  <c r="V15" i="868" s="1"/>
  <c r="N15" i="868"/>
  <c r="AJ15" i="868" l="1"/>
  <c r="AH15" i="868"/>
  <c r="AO17" i="868"/>
  <c r="AL15" i="868" l="1"/>
  <c r="AK15" i="868"/>
  <c r="N116" i="868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43" i="868" l="1"/>
  <c r="AJ121" i="868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L13" i="868" s="1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J67" i="868"/>
  <c r="AH91" i="868"/>
  <c r="AJ120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" i="868" l="1"/>
  <c r="AK131" i="868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<sst xmlns="http://schemas.openxmlformats.org/spreadsheetml/2006/main" count="1978" uniqueCount="705">
  <si>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</si>
  <si>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</si>
  <si>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</si>
  <si>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</si>
  <si>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</si>
  <si>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</si>
  <si>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</si>
  <si>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</si>
  <si>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</si>
  <si>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</si>
  <si>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</si>
  <si>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</si>
  <si>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</si>
  <si>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</si>
  <si>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</si>
  <si>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</si>
  <si>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</si>
  <si>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</si>
  <si>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</si>
  <si>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</si>
  <si>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</si>
  <si>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</si>
  <si>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</si>
  <si>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</si>
  <si>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</si>
  <si>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</si>
  <si>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</si>
  <si>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</si>
  <si>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</si>
  <si>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</si>
  <si>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</si>
  <si>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</si>
  <si>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</si>
  <si>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</si>
  <si>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</si>
  <si>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</si>
  <si>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</si>
  <si>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</si>
  <si>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</si>
  <si>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</si>
  <si>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</si>
  <si>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</si>
  <si>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</si>
  <si>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</si>
  <si>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</si>
  <si>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</si>
  <si>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</si>
  <si>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</si>
  <si>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</si>
  <si>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</si>
  <si>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</si>
  <si>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</si>
  <si>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</si>
  <si>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</si>
  <si>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</si>
  <si>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</si>
  <si>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</si>
  <si>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</si>
  <si>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</si>
  <si>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</si>
  <si>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</si>
  <si>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</si>
  <si>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</si>
  <si>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</si>
  <si>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</si>
  <si>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</si>
  <si>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</si>
  <si>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</si>
  <si>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</si>
  <si>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</si>
  <si>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</si>
  <si>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</si>
  <si>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</si>
  <si>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</si>
  <si>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</si>
  <si>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</si>
  <si>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</si>
  <si>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</si>
  <si>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</si>
  <si>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</si>
  <si>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</si>
  <si>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</si>
  <si>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</si>
  <si>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</si>
  <si>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</si>
  <si>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</si>
  <si>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</si>
  <si>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</si>
  <si>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</si>
  <si>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</si>
  <si>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</si>
  <si>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</si>
  <si>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</si>
  <si>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</si>
  <si>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</si>
  <si>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</si>
  <si>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</si>
  <si>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</si>
  <si>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</si>
  <si>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</si>
  <si>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</si>
  <si>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</si>
  <si>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</si>
  <si>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</si>
  <si>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</si>
  <si>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</si>
  <si>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</si>
  <si>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</si>
  <si>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</si>
  <si>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</si>
  <si>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</si>
  <si>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</si>
  <si>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</si>
  <si>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</si>
  <si>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</si>
  <si>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</si>
  <si>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</si>
  <si>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</si>
  <si>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</si>
  <si>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</si>
  <si>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</si>
  <si>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</si>
  <si>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</si>
  <si>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</si>
  <si>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</si>
  <si>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</si>
  <si>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</si>
  <si>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</si>
  <si>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</si>
  <si>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</si>
  <si>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</si>
  <si>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</si>
  <si>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</si>
  <si>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</si>
  <si>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</si>
  <si>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</si>
  <si>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</si>
  <si>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</si>
  <si>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</si>
  <si>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</si>
  <si>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</si>
  <si>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</si>
  <si>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</si>
  <si>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</si>
  <si>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</si>
  <si>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</si>
  <si>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</si>
  <si>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</si>
  <si>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</si>
  <si>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</si>
  <si>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</si>
  <si>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</si>
  <si>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</si>
  <si>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</si>
  <si>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</si>
  <si>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</si>
  <si>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</si>
  <si>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</si>
  <si>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</si>
  <si>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</si>
  <si>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</si>
  <si>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</si>
  <si>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</si>
  <si>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</si>
  <si>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</si>
  <si>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</si>
  <si>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</si>
  <si>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</si>
  <si>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</si>
  <si>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</si>
  <si>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</si>
  <si>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</si>
  <si>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</si>
  <si>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</si>
  <si>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</si>
  <si>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</si>
  <si>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</si>
  <si>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</si>
  <si>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</si>
  <si>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</si>
  <si>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</si>
  <si>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</si>
  <si>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</si>
  <si>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</si>
  <si>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</si>
  <si>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</si>
  <si>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</si>
  <si>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</si>
  <si>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</si>
  <si>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</si>
  <si>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</si>
  <si>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</si>
  <si>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</si>
  <si>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</si>
  <si>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</si>
  <si>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</si>
  <si>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</si>
  <si>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</si>
  <si>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</si>
  <si>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</si>
  <si>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</si>
  <si>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</si>
  <si>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</si>
  <si>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</si>
  <si>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</si>
  <si>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</si>
  <si>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</si>
  <si>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</si>
  <si>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</si>
  <si>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</si>
  <si>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</si>
  <si>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</si>
  <si>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</si>
  <si>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</si>
  <si>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</si>
  <si>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</si>
  <si>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</si>
  <si>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</si>
  <si>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</si>
  <si>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</si>
  <si>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</si>
  <si>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</si>
  <si>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</si>
  <si>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</si>
  <si>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</si>
  <si>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</si>
  <si>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</si>
  <si>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</si>
  <si>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</si>
  <si>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</si>
  <si>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</si>
  <si>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</si>
  <si>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</si>
  <si>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</si>
  <si>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</si>
  <si>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</si>
  <si>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</si>
  <si>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</si>
  <si>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</si>
  <si>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</si>
  <si>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</si>
  <si>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</si>
  <si>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</si>
  <si>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</si>
  <si>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</si>
  <si>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</si>
  <si>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</si>
  <si>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</si>
  <si>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</si>
  <si>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</si>
  <si>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</si>
  <si>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</si>
  <si>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</si>
  <si>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</si>
  <si>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</si>
  <si>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</si>
  <si>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</si>
  <si>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</si>
  <si>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</si>
  <si>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</si>
  <si>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</si>
  <si>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</si>
  <si>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</si>
  <si>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</si>
  <si>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</si>
  <si>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</si>
  <si>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</si>
  <si>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</si>
  <si>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</si>
  <si>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</si>
  <si>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</si>
  <si>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</si>
  <si>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</si>
  <si>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</si>
  <si>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</si>
  <si>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</si>
  <si>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</si>
  <si>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</si>
  <si>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</si>
  <si>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</si>
  <si>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</si>
  <si>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</si>
  <si>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</si>
  <si>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</si>
  <si>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</si>
  <si>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</si>
  <si>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</si>
  <si>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</si>
  <si>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</si>
  <si>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</si>
  <si>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</si>
  <si>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</si>
  <si>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</si>
  <si>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</si>
  <si>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</si>
  <si>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</si>
  <si>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</si>
  <si>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</si>
  <si>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</si>
  <si>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</si>
  <si>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</si>
  <si>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</si>
  <si>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</si>
  <si>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</si>
  <si>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</si>
  <si>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</si>
  <si>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</si>
  <si>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</si>
  <si>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</si>
  <si>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</si>
  <si>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</si>
  <si>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</si>
  <si>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</si>
  <si>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</si>
  <si>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</si>
  <si>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</si>
  <si>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</si>
  <si>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</si>
  <si>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</si>
  <si>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</si>
  <si>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</si>
  <si>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</si>
  <si>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</si>
  <si>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</si>
  <si>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</si>
  <si>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</si>
  <si>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</si>
  <si>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</si>
  <si>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</si>
  <si>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</si>
  <si>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</si>
  <si>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</si>
  <si>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</si>
  <si>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</si>
  <si>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</si>
  <si>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</si>
  <si>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</si>
  <si>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</si>
  <si>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</si>
  <si>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</si>
  <si>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</si>
  <si>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</si>
  <si>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</si>
  <si>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</si>
  <si>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</si>
  <si>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</si>
  <si>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</si>
  <si>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</si>
  <si>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</si>
  <si>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</si>
  <si>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</si>
  <si>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</si>
  <si>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</si>
  <si>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</si>
  <si>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</si>
  <si>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</si>
  <si>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</si>
  <si>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</si>
  <si>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</si>
  <si>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</si>
  <si>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</si>
  <si>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</si>
  <si>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</si>
  <si>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</si>
  <si>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</si>
  <si>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</si>
  <si>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</si>
  <si>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</si>
  <si>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</si>
  <si>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</si>
  <si>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</si>
  <si>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</si>
  <si>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</si>
  <si>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</si>
  <si>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</si>
  <si>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</si>
  <si>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</si>
  <si>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</si>
  <si>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</si>
  <si>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</si>
  <si>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</si>
  <si>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</si>
  <si>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</si>
  <si>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</si>
  <si>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</si>
  <si>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</si>
  <si>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</si>
  <si>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</si>
  <si>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</si>
  <si>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</si>
  <si>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</si>
  <si>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</si>
  <si>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</si>
  <si>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</si>
  <si>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</si>
  <si>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</si>
  <si>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</si>
  <si>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</si>
  <si>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</si>
  <si>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</si>
  <si>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</si>
  <si>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</si>
  <si>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</si>
  <si>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</si>
  <si>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</si>
  <si>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</si>
  <si>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</si>
  <si>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</si>
  <si>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</si>
  <si>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</si>
  <si>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</si>
  <si>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</si>
  <si>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</si>
  <si>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</si>
  <si>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</si>
  <si>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</si>
  <si>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</si>
  <si>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</si>
  <si>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</si>
  <si>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</si>
  <si>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</si>
  <si>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</si>
  <si>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</si>
  <si>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</si>
  <si>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</si>
  <si>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</si>
  <si>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</si>
  <si>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</si>
  <si>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</si>
  <si>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</si>
  <si>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</si>
  <si>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</si>
  <si>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</si>
  <si>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</si>
  <si>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</si>
  <si>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</si>
  <si>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</si>
  <si>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</si>
  <si>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</si>
  <si>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</si>
  <si>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</si>
  <si>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</si>
  <si>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</si>
  <si>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</si>
  <si>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</si>
  <si>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</si>
  <si>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</si>
  <si>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</si>
  <si>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</si>
  <si>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</si>
  <si>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</si>
  <si>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</si>
  <si>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</si>
  <si>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</si>
  <si>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</si>
  <si>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</si>
  <si>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</si>
  <si>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</si>
  <si>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</si>
  <si>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</si>
  <si>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</si>
  <si>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</si>
  <si>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</si>
  <si>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</si>
  <si>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</si>
  <si>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</si>
  <si>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</si>
  <si>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</si>
  <si>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</si>
  <si>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</si>
  <si>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</si>
  <si>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</si>
  <si>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</si>
  <si>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</si>
  <si>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</si>
  <si>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</si>
  <si>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</si>
  <si>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</si>
  <si>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</si>
  <si>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</si>
  <si>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</si>
  <si>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</si>
  <si>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</si>
  <si>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</si>
  <si>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</si>
  <si>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</si>
  <si>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</si>
  <si>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</si>
  <si>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</si>
  <si>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</si>
  <si>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</si>
  <si>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</si>
  <si>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</si>
  <si>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</si>
  <si>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</si>
  <si>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</si>
  <si>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</si>
  <si>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</si>
  <si>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</si>
  <si>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</si>
  <si>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</si>
  <si>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</si>
  <si>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</si>
  <si>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</si>
  <si>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</si>
  <si>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</si>
  <si>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</si>
  <si>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</si>
  <si>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</si>
  <si>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</si>
  <si>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</si>
  <si>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</si>
  <si>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</si>
  <si>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</si>
  <si>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</si>
  <si>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</si>
  <si>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</si>
  <si>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</si>
  <si>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</si>
  <si>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</si>
  <si>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</si>
  <si>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</si>
  <si>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</si>
  <si>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</si>
  <si>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</si>
  <si>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</si>
  <si>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</si>
  <si>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</si>
  <si>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</si>
  <si>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</si>
  <si>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</si>
  <si>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</si>
  <si>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</si>
  <si>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</si>
  <si>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</si>
  <si>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</si>
  <si>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</si>
  <si>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</si>
  <si>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</si>
  <si>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</si>
  <si>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</si>
  <si>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</si>
  <si>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</si>
  <si>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</si>
  <si>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</si>
  <si>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</si>
  <si>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</si>
  <si>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</si>
  <si>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</si>
  <si>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</si>
  <si>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</si>
  <si>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</si>
  <si>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</si>
  <si>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</si>
  <si>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</si>
  <si>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</si>
  <si>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</si>
  <si>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</si>
  <si>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</si>
  <si>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</si>
  <si>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</si>
  <si>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</si>
  <si>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</si>
  <si>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</si>
  <si>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</si>
  <si>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</si>
  <si>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</si>
  <si>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</si>
  <si>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</si>
  <si>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</si>
  <si>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</si>
  <si>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</si>
  <si>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</si>
  <si>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</si>
  <si>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</si>
  <si>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</si>
  <si>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</si>
  <si>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</si>
  <si>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</si>
  <si>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</si>
  <si>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</si>
  <si>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</si>
  <si>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</si>
  <si>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</si>
  <si>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</si>
  <si>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</si>
  <si>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</si>
  <si>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</si>
  <si>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</si>
  <si>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</si>
  <si>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</si>
  <si>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</si>
  <si>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</si>
  <si>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</si>
  <si>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</si>
  <si>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</si>
  <si>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</si>
  <si>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</si>
  <si>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</si>
  <si>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</si>
  <si>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</si>
  <si>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</si>
  <si>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</si>
  <si>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</si>
  <si>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</si>
  <si>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</si>
  <si>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</si>
  <si>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</si>
  <si>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</si>
  <si>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</si>
  <si>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</si>
  <si>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</si>
  <si>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</si>
  <si>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</si>
  <si>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</si>
  <si>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</si>
  <si>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</si>
  <si>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</si>
  <si>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</si>
  <si>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</si>
  <si>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</si>
  <si>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</si>
  <si>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</si>
  <si>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</si>
  <si>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</si>
  <si>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</si>
  <si>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</si>
  <si>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</si>
  <si>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</si>
  <si>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</si>
  <si>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</si>
  <si>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</si>
  <si>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</si>
  <si>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</si>
  <si>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</si>
  <si>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</si>
  <si>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</si>
  <si>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</si>
  <si>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</si>
  <si>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</si>
  <si>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</si>
  <si>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</si>
  <si>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</si>
  <si>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</si>
  <si>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</si>
  <si>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</si>
  <si>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</si>
  <si>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</si>
  <si>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</si>
  <si>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</si>
  <si>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</si>
  <si>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</si>
  <si>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</si>
  <si>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</si>
  <si>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</si>
  <si>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</si>
  <si>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</si>
  <si>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</si>
  <si>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</si>
  <si>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</si>
  <si>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</si>
  <si>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</si>
  <si>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</si>
  <si>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</si>
  <si>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</si>
  <si>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</si>
  <si>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</si>
  <si>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</si>
  <si>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</si>
  <si>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</si>
  <si>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</si>
  <si>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</si>
  <si>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</si>
  <si>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</si>
  <si>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</si>
  <si>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</si>
  <si>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</si>
  <si>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</si>
  <si>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</si>
  <si>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</si>
  <si>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</si>
  <si>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</si>
  <si>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</si>
  <si>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</si>
  <si>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</si>
  <si>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</si>
  <si>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</si>
  <si>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</si>
  <si>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</si>
  <si>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</si>
  <si>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</si>
  <si>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</si>
  <si>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</si>
  <si>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</si>
  <si>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</si>
  <si>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</si>
  <si>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</si>
  <si>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</si>
  <si>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</si>
  <si>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</si>
  <si>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</si>
  <si>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</si>
  <si>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</si>
  <si>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</si>
  <si>
    <t>비고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</si>
</sst>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87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1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2128936000</v>
      </c>
      <c r="E1" s="340"/>
      <c r="F1" s="339"/>
      <c r="G1" s="340"/>
      <c r="H1" s="66" t="s">
        <v>29</v>
      </c>
      <c r="I1" s="341">
        <v>4833148320</v>
      </c>
      <c r="J1" s="341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v>2128936000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2341829600</v>
      </c>
      <c r="E2" s="328"/>
      <c r="F2" s="329"/>
      <c r="G2" s="330"/>
      <c r="H2" s="3" t="s">
        <v>28</v>
      </c>
      <c r="I2" s="331">
        <f>D2*1</f>
        <v>2341829600</v>
      </c>
      <c r="J2" s="329"/>
      <c r="K2" s="129" t="s">
        <v>46</v>
      </c>
      <c r="L2" s="130" t="s">
        <v>30</v>
      </c>
      <c r="M2" s="332">
        <v>45861.625</v>
      </c>
      <c r="N2" s="332"/>
      <c r="O2" s="332"/>
      <c r="P2" s="332"/>
      <c r="Q2" s="131" t="s">
        <v>69</v>
      </c>
      <c r="R2" s="131"/>
      <c r="S2" s="131"/>
      <c r="T2" s="94"/>
      <c r="U2" s="132"/>
      <c r="V2" s="132"/>
      <c r="W2" s="133"/>
      <c r="X2" s="134"/>
      <c r="Y2" s="333">
        <v>991239000</v>
      </c>
      <c r="Z2" s="333"/>
      <c r="AA2" s="334">
        <f>I1</f>
        <v>4833148320</v>
      </c>
      <c r="AB2" s="335"/>
      <c r="AC2" s="336"/>
      <c r="AD2" s="337">
        <f>TRUNC(Y2/AA2,4)</f>
        <v>0.20499999999999999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2128936000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148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149"/>
      <c r="AG3" s="149"/>
      <c r="AH3" s="149"/>
      <c r="AI3" s="149"/>
      <c r="AJ3" s="149"/>
      <c r="AK3" s="150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14:H14"/>
    <mergeCell ref="A16:H16"/>
    <mergeCell ref="A18:H18"/>
    <mergeCell ref="A20:H20"/>
    <mergeCell ref="AW3:AW4"/>
    <mergeCell ref="AP3:AP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1492460000</v>
      </c>
      <c r="E1" s="340"/>
      <c r="F1" s="339"/>
      <c r="G1" s="340"/>
      <c r="H1" s="66" t="s">
        <v>29</v>
      </c>
      <c r="I1" s="341">
        <v>3175832000</v>
      </c>
      <c r="J1" s="341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v>1492460000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1641706000</v>
      </c>
      <c r="E2" s="328"/>
      <c r="F2" s="329"/>
      <c r="G2" s="330"/>
      <c r="H2" s="3" t="s">
        <v>28</v>
      </c>
      <c r="I2" s="331">
        <f>D2*1</f>
        <v>1641706000</v>
      </c>
      <c r="J2" s="329"/>
      <c r="K2" s="129" t="s">
        <v>46</v>
      </c>
      <c r="L2" s="130" t="s">
        <v>30</v>
      </c>
      <c r="M2" s="332">
        <v>45904.625</v>
      </c>
      <c r="N2" s="332"/>
      <c r="O2" s="332"/>
      <c r="P2" s="332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34">
        <f>I1</f>
        <v>3175832000</v>
      </c>
      <c r="AB2" s="335"/>
      <c r="AC2" s="336"/>
      <c r="AD2" s="337">
        <f>TRUNC(Y2/AA2,4)</f>
        <v>0.78659999999999997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1492460000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160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158"/>
      <c r="AG3" s="158"/>
      <c r="AH3" s="158"/>
      <c r="AI3" s="158"/>
      <c r="AJ3" s="158"/>
      <c r="AK3" s="159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98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43</v>
      </c>
      <c r="B26" s="364"/>
      <c r="C26" s="364"/>
      <c r="D26" s="364"/>
      <c r="E26" s="364"/>
      <c r="F26" s="364"/>
      <c r="G26" s="364"/>
      <c r="H26" s="365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D1:E1"/>
    <mergeCell ref="F1:G1"/>
    <mergeCell ref="I1:J1"/>
    <mergeCell ref="Y1:Z1"/>
    <mergeCell ref="D2:E2"/>
    <mergeCell ref="F2:G2"/>
    <mergeCell ref="I2:J2"/>
    <mergeCell ref="M2:P2"/>
    <mergeCell ref="Y2:Z2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26:H26"/>
    <mergeCell ref="A14:H14"/>
    <mergeCell ref="A16:H16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1174047000</v>
      </c>
      <c r="E1" s="340"/>
      <c r="F1" s="339"/>
      <c r="G1" s="340"/>
      <c r="H1" s="66" t="s">
        <v>108</v>
      </c>
      <c r="I1" s="341">
        <v>1570536200</v>
      </c>
      <c r="J1" s="341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>
        <v>1174047000</v>
      </c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1291451000</v>
      </c>
      <c r="E2" s="328"/>
      <c r="F2" s="329"/>
      <c r="G2" s="330"/>
      <c r="H2" s="3" t="s">
        <v>28</v>
      </c>
      <c r="I2" s="331">
        <f>D2*1</f>
        <v>1291451000</v>
      </c>
      <c r="J2" s="329"/>
      <c r="K2" s="129" t="s">
        <v>114</v>
      </c>
      <c r="L2" s="130" t="s">
        <v>115</v>
      </c>
      <c r="M2" s="332">
        <v>45898.458333333336</v>
      </c>
      <c r="N2" s="332"/>
      <c r="O2" s="332"/>
      <c r="P2" s="332"/>
      <c r="Q2" s="131" t="s">
        <v>171</v>
      </c>
      <c r="R2" s="131"/>
      <c r="S2" s="131"/>
      <c r="T2" s="94"/>
      <c r="U2" s="132"/>
      <c r="V2" s="132"/>
      <c r="W2" s="133"/>
      <c r="X2" s="134"/>
      <c r="Y2" s="333">
        <v>1842992000</v>
      </c>
      <c r="Z2" s="333"/>
      <c r="AA2" s="334">
        <f>I1</f>
        <v>1570536200</v>
      </c>
      <c r="AB2" s="335"/>
      <c r="AC2" s="336"/>
      <c r="AD2" s="337">
        <f>TRUNC(Y2/AA2,4)</f>
        <v>1.1734</v>
      </c>
      <c r="AE2" s="338"/>
      <c r="AF2" s="135"/>
      <c r="AG2" s="322" t="s">
        <v>116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1174047000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174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175"/>
      <c r="AG3" s="175"/>
      <c r="AH3" s="175"/>
      <c r="AI3" s="175"/>
      <c r="AJ3" s="175"/>
      <c r="AK3" s="176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3434131000</v>
      </c>
      <c r="E1" s="340"/>
      <c r="F1" s="339"/>
      <c r="G1" s="340"/>
      <c r="H1" s="66" t="s">
        <v>108</v>
      </c>
      <c r="I1" s="341">
        <v>3725752000</v>
      </c>
      <c r="J1" s="341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180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3592399000</v>
      </c>
      <c r="E2" s="328"/>
      <c r="F2" s="329"/>
      <c r="G2" s="330"/>
      <c r="H2" s="3" t="s">
        <v>28</v>
      </c>
      <c r="I2" s="331">
        <f>D2*1</f>
        <v>3592399000</v>
      </c>
      <c r="J2" s="329"/>
      <c r="K2" s="129" t="s">
        <v>114</v>
      </c>
      <c r="L2" s="130" t="s">
        <v>115</v>
      </c>
      <c r="M2" s="332">
        <v>45903.458333333336</v>
      </c>
      <c r="N2" s="332"/>
      <c r="O2" s="332"/>
      <c r="P2" s="332"/>
      <c r="Q2" s="131" t="s">
        <v>181</v>
      </c>
      <c r="R2" s="131"/>
      <c r="S2" s="131"/>
      <c r="T2" s="94"/>
      <c r="U2" s="132"/>
      <c r="V2" s="132"/>
      <c r="W2" s="133"/>
      <c r="X2" s="134"/>
      <c r="Y2" s="333">
        <v>2212100000</v>
      </c>
      <c r="Z2" s="333"/>
      <c r="AA2" s="334">
        <f>I1</f>
        <v>3725752000</v>
      </c>
      <c r="AB2" s="335"/>
      <c r="AC2" s="336"/>
      <c r="AD2" s="337">
        <f>TRUNC(Y2/AA2,4)</f>
        <v>0.59370000000000001</v>
      </c>
      <c r="AE2" s="338"/>
      <c r="AF2" s="135"/>
      <c r="AG2" s="322" t="s">
        <v>116</v>
      </c>
      <c r="AH2" s="323"/>
      <c r="AI2" s="324">
        <v>3434131000</v>
      </c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188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189"/>
      <c r="AG3" s="189"/>
      <c r="AH3" s="189"/>
      <c r="AI3" s="189"/>
      <c r="AJ3" s="189"/>
      <c r="AK3" s="190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163</v>
      </c>
      <c r="B16" s="364"/>
      <c r="C16" s="364"/>
      <c r="D16" s="364"/>
      <c r="E16" s="364"/>
      <c r="F16" s="364"/>
      <c r="G16" s="364"/>
      <c r="H16" s="365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1048958000</v>
      </c>
      <c r="E1" s="340"/>
      <c r="F1" s="339"/>
      <c r="G1" s="340"/>
      <c r="H1" s="66" t="s">
        <v>29</v>
      </c>
      <c r="I1" s="341">
        <v>2393763240</v>
      </c>
      <c r="J1" s="341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>
        <v>1048958000</v>
      </c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1153854000</v>
      </c>
      <c r="E2" s="328"/>
      <c r="F2" s="329"/>
      <c r="G2" s="330"/>
      <c r="H2" s="3" t="s">
        <v>28</v>
      </c>
      <c r="I2" s="331">
        <f>D2*1</f>
        <v>1153854000</v>
      </c>
      <c r="J2" s="329"/>
      <c r="K2" s="129" t="s">
        <v>46</v>
      </c>
      <c r="L2" s="130" t="s">
        <v>30</v>
      </c>
      <c r="M2" s="332">
        <v>45917.458333333336</v>
      </c>
      <c r="N2" s="332"/>
      <c r="O2" s="332"/>
      <c r="P2" s="332"/>
      <c r="Q2" s="131" t="s">
        <v>195</v>
      </c>
      <c r="R2" s="131"/>
      <c r="S2" s="131"/>
      <c r="T2" s="94"/>
      <c r="U2" s="132"/>
      <c r="V2" s="132"/>
      <c r="W2" s="133"/>
      <c r="X2" s="134"/>
      <c r="Y2" s="333">
        <v>802982000</v>
      </c>
      <c r="Z2" s="333"/>
      <c r="AA2" s="334">
        <f>I1</f>
        <v>2393763240</v>
      </c>
      <c r="AB2" s="335"/>
      <c r="AC2" s="336"/>
      <c r="AD2" s="337">
        <f>TRUNC(Y2/AA2,4)</f>
        <v>0.33539999999999998</v>
      </c>
      <c r="AE2" s="338"/>
      <c r="AF2" s="135"/>
      <c r="AG2" s="322" t="s">
        <v>116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1048958000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09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207"/>
      <c r="AG3" s="207"/>
      <c r="AH3" s="207"/>
      <c r="AI3" s="207"/>
      <c r="AJ3" s="207"/>
      <c r="AK3" s="208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136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39">
        <v>4992656000</v>
      </c>
      <c r="E1" s="340"/>
      <c r="F1" s="339"/>
      <c r="G1" s="340"/>
      <c r="H1" s="66" t="s">
        <v>306</v>
      </c>
      <c r="I1" s="341">
        <v>5439217000</v>
      </c>
      <c r="J1" s="341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305</v>
      </c>
      <c r="Z1" s="342"/>
      <c r="AA1" s="343" t="s">
        <v>304</v>
      </c>
      <c r="AB1" s="344"/>
      <c r="AC1" s="345"/>
      <c r="AD1" s="346" t="s">
        <v>32</v>
      </c>
      <c r="AE1" s="347"/>
      <c r="AF1" s="55"/>
      <c r="AG1" s="322" t="s">
        <v>303</v>
      </c>
      <c r="AH1" s="323"/>
      <c r="AI1" s="324"/>
      <c r="AJ1" s="325"/>
      <c r="AK1" s="325"/>
      <c r="AL1" s="69" t="s">
        <v>302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27">
        <v>5161537000</v>
      </c>
      <c r="E2" s="328"/>
      <c r="F2" s="329"/>
      <c r="G2" s="330"/>
      <c r="H2" s="3" t="s">
        <v>300</v>
      </c>
      <c r="I2" s="331">
        <f>D2*1</f>
        <v>5161537000</v>
      </c>
      <c r="J2" s="329"/>
      <c r="K2" s="129" t="s">
        <v>299</v>
      </c>
      <c r="L2" s="130" t="s">
        <v>298</v>
      </c>
      <c r="M2" s="332">
        <v>45908.666666666664</v>
      </c>
      <c r="N2" s="332"/>
      <c r="O2" s="332"/>
      <c r="P2" s="332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2878500000</v>
      </c>
      <c r="Z2" s="377"/>
      <c r="AA2" s="334">
        <f>I1</f>
        <v>5439217000</v>
      </c>
      <c r="AB2" s="335"/>
      <c r="AC2" s="336"/>
      <c r="AD2" s="337">
        <f>TRUNC(Y2/AA2,4)</f>
        <v>0.5292</v>
      </c>
      <c r="AE2" s="338"/>
      <c r="AF2" s="135"/>
      <c r="AG2" s="322" t="s">
        <v>296</v>
      </c>
      <c r="AH2" s="323"/>
      <c r="AI2" s="324">
        <v>4992656000</v>
      </c>
      <c r="AJ2" s="325"/>
      <c r="AK2" s="325"/>
      <c r="AL2" s="10"/>
      <c r="AM2" s="10"/>
      <c r="AN2" s="11" t="s">
        <v>295</v>
      </c>
      <c r="AP2" s="1"/>
      <c r="AQ2" s="136"/>
      <c r="AR2" s="137" t="s">
        <v>294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293</v>
      </c>
      <c r="B3" s="352" t="s">
        <v>292</v>
      </c>
      <c r="C3" s="354" t="s">
        <v>291</v>
      </c>
      <c r="D3" s="355"/>
      <c r="E3" s="355"/>
      <c r="F3" s="355"/>
      <c r="G3" s="355"/>
      <c r="H3" s="356"/>
      <c r="I3" s="354" t="s">
        <v>290</v>
      </c>
      <c r="J3" s="355"/>
      <c r="K3" s="355"/>
      <c r="L3" s="355"/>
      <c r="M3" s="356"/>
      <c r="N3" s="357" t="s">
        <v>289</v>
      </c>
      <c r="O3" s="359" t="s">
        <v>288</v>
      </c>
      <c r="P3" s="354" t="s">
        <v>287</v>
      </c>
      <c r="Q3" s="355"/>
      <c r="R3" s="361"/>
      <c r="S3" s="361"/>
      <c r="T3" s="355"/>
      <c r="U3" s="356"/>
      <c r="V3" s="209"/>
      <c r="W3" s="354" t="s">
        <v>286</v>
      </c>
      <c r="X3" s="355"/>
      <c r="Y3" s="355"/>
      <c r="Z3" s="355"/>
      <c r="AA3" s="355"/>
      <c r="AB3" s="355"/>
      <c r="AC3" s="355"/>
      <c r="AD3" s="355"/>
      <c r="AE3" s="356"/>
      <c r="AF3" s="207"/>
      <c r="AG3" s="207"/>
      <c r="AH3" s="207"/>
      <c r="AI3" s="207"/>
      <c r="AJ3" s="207"/>
      <c r="AK3" s="208"/>
      <c r="AL3" s="370" t="s">
        <v>285</v>
      </c>
      <c r="AM3" s="366" t="s">
        <v>284</v>
      </c>
      <c r="AN3" s="372" t="s">
        <v>283</v>
      </c>
      <c r="AO3" s="374" t="s">
        <v>282</v>
      </c>
      <c r="AP3" s="376" t="s">
        <v>281</v>
      </c>
      <c r="AQ3" s="362" t="s">
        <v>280</v>
      </c>
      <c r="AR3" s="366" t="s">
        <v>279</v>
      </c>
      <c r="AS3" s="362" t="s">
        <v>278</v>
      </c>
      <c r="AT3" s="362" t="s">
        <v>277</v>
      </c>
      <c r="AU3" s="362" t="s">
        <v>136</v>
      </c>
      <c r="AV3" s="368" t="s">
        <v>276</v>
      </c>
      <c r="AW3" s="362" t="s">
        <v>275</v>
      </c>
      <c r="AX3" s="362" t="s">
        <v>274</v>
      </c>
    </row>
    <row r="4" spans="1:50" s="12" customFormat="1" ht="39.75" customHeight="1" thickBot="1" x14ac:dyDescent="0.2">
      <c r="A4" s="351"/>
      <c r="B4" s="353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8"/>
      <c r="O4" s="360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217</v>
      </c>
      <c r="B6" s="364"/>
      <c r="C6" s="364"/>
      <c r="D6" s="364"/>
      <c r="E6" s="364"/>
      <c r="F6" s="364"/>
      <c r="G6" s="364"/>
      <c r="H6" s="365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217</v>
      </c>
      <c r="B8" s="364"/>
      <c r="C8" s="364"/>
      <c r="D8" s="364"/>
      <c r="E8" s="364"/>
      <c r="F8" s="364"/>
      <c r="G8" s="364"/>
      <c r="H8" s="365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243</v>
      </c>
      <c r="B10" s="364"/>
      <c r="C10" s="364"/>
      <c r="D10" s="364"/>
      <c r="E10" s="364"/>
      <c r="F10" s="364"/>
      <c r="G10" s="364"/>
      <c r="H10" s="365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63" t="s">
        <v>242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63" t="s">
        <v>241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63" t="s">
        <v>221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63" t="s">
        <v>221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63" t="s">
        <v>221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63" t="s">
        <v>221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63" t="s">
        <v>221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63" t="s">
        <v>221</v>
      </c>
      <c r="B26" s="364"/>
      <c r="C26" s="364"/>
      <c r="D26" s="364"/>
      <c r="E26" s="364"/>
      <c r="F26" s="364"/>
      <c r="G26" s="364"/>
      <c r="H26" s="365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63" t="s">
        <v>217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63" t="s">
        <v>214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63" t="s">
        <v>210</v>
      </c>
      <c r="B32" s="364"/>
      <c r="C32" s="364"/>
      <c r="D32" s="364"/>
      <c r="E32" s="364"/>
      <c r="F32" s="364"/>
      <c r="G32" s="364"/>
      <c r="H32" s="365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63" t="s">
        <v>43</v>
      </c>
      <c r="B38" s="364"/>
      <c r="C38" s="364"/>
      <c r="D38" s="364"/>
      <c r="E38" s="364"/>
      <c r="F38" s="364"/>
      <c r="G38" s="364"/>
      <c r="H38" s="365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63" t="s">
        <v>43</v>
      </c>
      <c r="B40" s="364"/>
      <c r="C40" s="364"/>
      <c r="D40" s="364"/>
      <c r="E40" s="364"/>
      <c r="F40" s="364"/>
      <c r="G40" s="364"/>
      <c r="H40" s="365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63" t="s">
        <v>43</v>
      </c>
      <c r="B42" s="364"/>
      <c r="C42" s="364"/>
      <c r="D42" s="364"/>
      <c r="E42" s="364"/>
      <c r="F42" s="364"/>
      <c r="G42" s="364"/>
      <c r="H42" s="365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34:H34"/>
    <mergeCell ref="A36:H36"/>
    <mergeCell ref="A38:H38"/>
    <mergeCell ref="A40:H40"/>
    <mergeCell ref="A42:H4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39">
        <v>1673870000</v>
      </c>
      <c r="E1" s="340"/>
      <c r="F1" s="339"/>
      <c r="G1" s="340"/>
      <c r="H1" s="66" t="s">
        <v>416</v>
      </c>
      <c r="I1" s="341">
        <v>3124660000</v>
      </c>
      <c r="J1" s="341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415</v>
      </c>
      <c r="Z1" s="342"/>
      <c r="AA1" s="343" t="s">
        <v>414</v>
      </c>
      <c r="AB1" s="344"/>
      <c r="AC1" s="345"/>
      <c r="AD1" s="346" t="s">
        <v>32</v>
      </c>
      <c r="AE1" s="347"/>
      <c r="AF1" s="55"/>
      <c r="AG1" s="322" t="s">
        <v>413</v>
      </c>
      <c r="AH1" s="323"/>
      <c r="AI1" s="324">
        <f>D1</f>
        <v>1673870000</v>
      </c>
      <c r="AJ1" s="325"/>
      <c r="AK1" s="325"/>
      <c r="AL1" s="69" t="s">
        <v>412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27">
        <v>1841257000</v>
      </c>
      <c r="E2" s="328"/>
      <c r="F2" s="329"/>
      <c r="G2" s="330"/>
      <c r="H2" s="3" t="s">
        <v>410</v>
      </c>
      <c r="I2" s="331">
        <f>D2*1</f>
        <v>1841257000</v>
      </c>
      <c r="J2" s="329"/>
      <c r="K2" s="129" t="s">
        <v>409</v>
      </c>
      <c r="L2" s="130" t="s">
        <v>408</v>
      </c>
      <c r="M2" s="332">
        <v>45932.458333333336</v>
      </c>
      <c r="N2" s="332"/>
      <c r="O2" s="332"/>
      <c r="P2" s="332"/>
      <c r="Q2" s="131" t="s">
        <v>407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34">
        <f>I1</f>
        <v>3124660000</v>
      </c>
      <c r="AB2" s="335"/>
      <c r="AC2" s="336"/>
      <c r="AD2" s="337">
        <f>TRUNC(Y2/AA2,4)</f>
        <v>0.79949999999999999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8">
        <f>AI1</f>
        <v>1673870000</v>
      </c>
      <c r="AT2" s="349"/>
      <c r="AW2" s="72"/>
    </row>
    <row r="3" spans="1:50" s="12" customFormat="1" ht="24.95" customHeight="1" thickBot="1" x14ac:dyDescent="0.2">
      <c r="A3" s="350" t="s">
        <v>404</v>
      </c>
      <c r="B3" s="352" t="s">
        <v>403</v>
      </c>
      <c r="C3" s="354" t="s">
        <v>402</v>
      </c>
      <c r="D3" s="355"/>
      <c r="E3" s="355"/>
      <c r="F3" s="355"/>
      <c r="G3" s="355"/>
      <c r="H3" s="356"/>
      <c r="I3" s="354" t="s">
        <v>401</v>
      </c>
      <c r="J3" s="355"/>
      <c r="K3" s="355"/>
      <c r="L3" s="355"/>
      <c r="M3" s="356"/>
      <c r="N3" s="357" t="s">
        <v>400</v>
      </c>
      <c r="O3" s="359" t="s">
        <v>399</v>
      </c>
      <c r="P3" s="354" t="s">
        <v>398</v>
      </c>
      <c r="Q3" s="355"/>
      <c r="R3" s="361"/>
      <c r="S3" s="361"/>
      <c r="T3" s="355"/>
      <c r="U3" s="356"/>
      <c r="V3" s="222"/>
      <c r="W3" s="354" t="s">
        <v>397</v>
      </c>
      <c r="X3" s="355"/>
      <c r="Y3" s="355"/>
      <c r="Z3" s="355"/>
      <c r="AA3" s="355"/>
      <c r="AB3" s="355"/>
      <c r="AC3" s="355"/>
      <c r="AD3" s="355"/>
      <c r="AE3" s="356"/>
      <c r="AF3" s="220"/>
      <c r="AG3" s="220"/>
      <c r="AH3" s="220"/>
      <c r="AI3" s="220"/>
      <c r="AJ3" s="220"/>
      <c r="AK3" s="221"/>
      <c r="AL3" s="370" t="s">
        <v>396</v>
      </c>
      <c r="AM3" s="366" t="s">
        <v>395</v>
      </c>
      <c r="AN3" s="372" t="s">
        <v>394</v>
      </c>
      <c r="AO3" s="374" t="s">
        <v>393</v>
      </c>
      <c r="AP3" s="376" t="s">
        <v>392</v>
      </c>
      <c r="AQ3" s="362" t="s">
        <v>391</v>
      </c>
      <c r="AR3" s="366" t="s">
        <v>390</v>
      </c>
      <c r="AS3" s="362" t="s">
        <v>389</v>
      </c>
      <c r="AT3" s="362" t="s">
        <v>388</v>
      </c>
      <c r="AU3" s="362" t="s">
        <v>387</v>
      </c>
      <c r="AV3" s="368" t="s">
        <v>386</v>
      </c>
      <c r="AW3" s="362" t="s">
        <v>385</v>
      </c>
      <c r="AX3" s="362" t="s">
        <v>384</v>
      </c>
    </row>
    <row r="4" spans="1:50" s="12" customFormat="1" ht="39.75" customHeight="1" thickBot="1" x14ac:dyDescent="0.2">
      <c r="A4" s="351"/>
      <c r="B4" s="353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8"/>
      <c r="O4" s="360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358</v>
      </c>
      <c r="B6" s="364"/>
      <c r="C6" s="364"/>
      <c r="D6" s="364"/>
      <c r="E6" s="364"/>
      <c r="F6" s="364"/>
      <c r="G6" s="364"/>
      <c r="H6" s="365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358</v>
      </c>
      <c r="B8" s="364"/>
      <c r="C8" s="364"/>
      <c r="D8" s="364"/>
      <c r="E8" s="364"/>
      <c r="F8" s="364"/>
      <c r="G8" s="364"/>
      <c r="H8" s="365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358</v>
      </c>
      <c r="B10" s="364"/>
      <c r="C10" s="364"/>
      <c r="D10" s="364"/>
      <c r="E10" s="364"/>
      <c r="F10" s="364"/>
      <c r="G10" s="364"/>
      <c r="H10" s="365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 t="s">
        <v>317</v>
      </c>
      <c r="E1" s="340"/>
      <c r="F1" s="339"/>
      <c r="G1" s="340"/>
      <c r="H1" s="66" t="s">
        <v>29</v>
      </c>
      <c r="I1" s="341">
        <v>5831661000</v>
      </c>
      <c r="J1" s="341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v>3551490000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3906639000</v>
      </c>
      <c r="E2" s="328"/>
      <c r="F2" s="329"/>
      <c r="G2" s="330"/>
      <c r="H2" s="3" t="s">
        <v>28</v>
      </c>
      <c r="I2" s="331">
        <f>D2*1</f>
        <v>3906639000</v>
      </c>
      <c r="J2" s="329"/>
      <c r="K2" s="129" t="s">
        <v>46</v>
      </c>
      <c r="L2" s="130" t="s">
        <v>30</v>
      </c>
      <c r="M2" s="332">
        <v>45930.458333333336</v>
      </c>
      <c r="N2" s="332"/>
      <c r="O2" s="332"/>
      <c r="P2" s="332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2958370000</v>
      </c>
      <c r="Z2" s="377"/>
      <c r="AA2" s="334">
        <f>I1</f>
        <v>5831661000</v>
      </c>
      <c r="AB2" s="335"/>
      <c r="AC2" s="336"/>
      <c r="AD2" s="337">
        <f>TRUNC(Y2/AA2,4)</f>
        <v>0.50719999999999998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44</v>
      </c>
      <c r="AP2" s="1"/>
      <c r="AQ2" s="136"/>
      <c r="AR2" s="137" t="s">
        <v>38</v>
      </c>
      <c r="AS2" s="348">
        <f>AI1</f>
        <v>3551490000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10"/>
      <c r="W3" s="354" t="s">
        <v>424</v>
      </c>
      <c r="X3" s="355"/>
      <c r="Y3" s="355"/>
      <c r="Z3" s="355"/>
      <c r="AA3" s="355"/>
      <c r="AB3" s="355"/>
      <c r="AC3" s="355"/>
      <c r="AD3" s="355"/>
      <c r="AE3" s="356"/>
      <c r="AF3" s="211"/>
      <c r="AG3" s="211"/>
      <c r="AH3" s="211"/>
      <c r="AI3" s="211"/>
      <c r="AJ3" s="211"/>
      <c r="AK3" s="212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98</v>
      </c>
      <c r="B26" s="364"/>
      <c r="C26" s="364"/>
      <c r="D26" s="364"/>
      <c r="E26" s="364"/>
      <c r="F26" s="364"/>
      <c r="G26" s="364"/>
      <c r="H26" s="365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98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63" t="s">
        <v>43</v>
      </c>
      <c r="B33" s="364"/>
      <c r="C33" s="364"/>
      <c r="D33" s="364"/>
      <c r="E33" s="364"/>
      <c r="F33" s="364"/>
      <c r="G33" s="364"/>
      <c r="H33" s="365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63" t="s">
        <v>43</v>
      </c>
      <c r="B35" s="364"/>
      <c r="C35" s="364"/>
      <c r="D35" s="364"/>
      <c r="E35" s="364"/>
      <c r="F35" s="364"/>
      <c r="G35" s="364"/>
      <c r="H35" s="365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63" t="s">
        <v>43</v>
      </c>
      <c r="B39" s="364"/>
      <c r="C39" s="364"/>
      <c r="D39" s="364"/>
      <c r="E39" s="364"/>
      <c r="F39" s="364"/>
      <c r="G39" s="364"/>
      <c r="H39" s="365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63" t="s">
        <v>43</v>
      </c>
      <c r="B41" s="364"/>
      <c r="C41" s="364"/>
      <c r="D41" s="364"/>
      <c r="E41" s="364"/>
      <c r="F41" s="364"/>
      <c r="G41" s="364"/>
      <c r="H41" s="365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63" t="s">
        <v>43</v>
      </c>
      <c r="B43" s="364"/>
      <c r="C43" s="364"/>
      <c r="D43" s="364"/>
      <c r="E43" s="364"/>
      <c r="F43" s="364"/>
      <c r="G43" s="364"/>
      <c r="H43" s="365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4538070000</v>
      </c>
      <c r="E1" s="340"/>
      <c r="F1" s="339"/>
      <c r="G1" s="340"/>
      <c r="H1" s="66" t="s">
        <v>29</v>
      </c>
      <c r="I1" s="341">
        <v>4674530000</v>
      </c>
      <c r="J1" s="341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f>D1</f>
        <v>4538070000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4674530000</v>
      </c>
      <c r="E2" s="328"/>
      <c r="F2" s="329"/>
      <c r="G2" s="330"/>
      <c r="H2" s="3" t="s">
        <v>28</v>
      </c>
      <c r="I2" s="331">
        <f>D2*1</f>
        <v>4674530000</v>
      </c>
      <c r="J2" s="329"/>
      <c r="K2" s="129" t="s">
        <v>46</v>
      </c>
      <c r="L2" s="130" t="s">
        <v>30</v>
      </c>
      <c r="M2" s="332">
        <v>45950.458333333336</v>
      </c>
      <c r="N2" s="332"/>
      <c r="O2" s="332"/>
      <c r="P2" s="332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2847600000</v>
      </c>
      <c r="Z2" s="377"/>
      <c r="AA2" s="334">
        <f>I1</f>
        <v>4674530000</v>
      </c>
      <c r="AB2" s="335"/>
      <c r="AC2" s="336"/>
      <c r="AD2" s="337">
        <f>TRUNC(Y2/AA2,4)</f>
        <v>0.60909999999999997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4538070000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29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27"/>
      <c r="AG3" s="227"/>
      <c r="AH3" s="227"/>
      <c r="AI3" s="227"/>
      <c r="AJ3" s="227"/>
      <c r="AK3" s="228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43</v>
      </c>
      <c r="B26" s="364"/>
      <c r="C26" s="364"/>
      <c r="D26" s="364"/>
      <c r="E26" s="364"/>
      <c r="F26" s="364"/>
      <c r="G26" s="364"/>
      <c r="H26" s="365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43</v>
      </c>
      <c r="B28" s="364"/>
      <c r="C28" s="364"/>
      <c r="D28" s="364"/>
      <c r="E28" s="364"/>
      <c r="F28" s="364"/>
      <c r="G28" s="364"/>
      <c r="H28" s="365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3" t="s">
        <v>43</v>
      </c>
      <c r="B32" s="364"/>
      <c r="C32" s="364"/>
      <c r="D32" s="364"/>
      <c r="E32" s="364"/>
      <c r="F32" s="364"/>
      <c r="G32" s="364"/>
      <c r="H32" s="365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28:H28"/>
    <mergeCell ref="A30:H30"/>
    <mergeCell ref="AU3:AU4"/>
    <mergeCell ref="AV3:AV4"/>
    <mergeCell ref="AW3:AW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4748830000</v>
      </c>
      <c r="E1" s="340"/>
      <c r="F1" s="339"/>
      <c r="G1" s="340"/>
      <c r="H1" s="66" t="s">
        <v>29</v>
      </c>
      <c r="I1" s="341">
        <v>7160032000</v>
      </c>
      <c r="J1" s="341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470</v>
      </c>
      <c r="AH1" s="323"/>
      <c r="AI1" s="324">
        <f>D1</f>
        <v>4748830000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5223713000</v>
      </c>
      <c r="E2" s="328"/>
      <c r="F2" s="329"/>
      <c r="G2" s="330"/>
      <c r="H2" s="3" t="s">
        <v>28</v>
      </c>
      <c r="I2" s="331">
        <f>D2*1</f>
        <v>5223713000</v>
      </c>
      <c r="J2" s="329"/>
      <c r="K2" s="129" t="s">
        <v>46</v>
      </c>
      <c r="L2" s="130" t="s">
        <v>30</v>
      </c>
      <c r="M2" s="332">
        <v>45961.423611111109</v>
      </c>
      <c r="N2" s="332"/>
      <c r="O2" s="332"/>
      <c r="P2" s="332"/>
      <c r="Q2" s="131" t="s">
        <v>469</v>
      </c>
      <c r="R2" s="131"/>
      <c r="S2" s="131"/>
      <c r="T2" s="94"/>
      <c r="U2" s="132"/>
      <c r="V2" s="132"/>
      <c r="W2" s="133"/>
      <c r="X2" s="134"/>
      <c r="Y2" s="377">
        <v>854500000</v>
      </c>
      <c r="Z2" s="377"/>
      <c r="AA2" s="334">
        <f>I1</f>
        <v>7160032000</v>
      </c>
      <c r="AB2" s="335"/>
      <c r="AC2" s="336"/>
      <c r="AD2" s="337">
        <f>TRUNC(Y2/AA2,4)</f>
        <v>0.1193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4748830000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34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35"/>
      <c r="AG3" s="235"/>
      <c r="AH3" s="235"/>
      <c r="AI3" s="235"/>
      <c r="AJ3" s="235"/>
      <c r="AK3" s="236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43</v>
      </c>
      <c r="B26" s="364"/>
      <c r="C26" s="364"/>
      <c r="D26" s="364"/>
      <c r="E26" s="364"/>
      <c r="F26" s="364"/>
      <c r="G26" s="364"/>
      <c r="H26" s="365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43</v>
      </c>
      <c r="B28" s="364"/>
      <c r="C28" s="364"/>
      <c r="D28" s="364"/>
      <c r="E28" s="364"/>
      <c r="F28" s="364"/>
      <c r="G28" s="364"/>
      <c r="H28" s="365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3" t="s">
        <v>43</v>
      </c>
      <c r="B32" s="364"/>
      <c r="C32" s="364"/>
      <c r="D32" s="364"/>
      <c r="E32" s="364"/>
      <c r="F32" s="364"/>
      <c r="G32" s="364"/>
      <c r="H32" s="365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W3:AW4"/>
    <mergeCell ref="AX3:AX4"/>
    <mergeCell ref="AM3:AM4"/>
    <mergeCell ref="AN3:AN4"/>
    <mergeCell ref="AO3:AO4"/>
    <mergeCell ref="AP3:AP4"/>
    <mergeCell ref="AQ3:AQ4"/>
    <mergeCell ref="AR3:AR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4678177000</v>
      </c>
      <c r="E1" s="340"/>
      <c r="F1" s="339"/>
      <c r="G1" s="340"/>
      <c r="H1" s="66" t="s">
        <v>108</v>
      </c>
      <c r="I1" s="341">
        <v>5145064000</v>
      </c>
      <c r="J1" s="341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180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4813040000</v>
      </c>
      <c r="E2" s="328"/>
      <c r="F2" s="329"/>
      <c r="G2" s="330"/>
      <c r="H2" s="3" t="s">
        <v>28</v>
      </c>
      <c r="I2" s="331">
        <f>D2*1</f>
        <v>4813040000</v>
      </c>
      <c r="J2" s="329"/>
      <c r="K2" s="129" t="s">
        <v>114</v>
      </c>
      <c r="L2" s="130" t="s">
        <v>115</v>
      </c>
      <c r="M2" s="332">
        <v>45952.423611111109</v>
      </c>
      <c r="N2" s="332"/>
      <c r="O2" s="332"/>
      <c r="P2" s="332"/>
      <c r="Q2" s="131" t="s">
        <v>471</v>
      </c>
      <c r="R2" s="131"/>
      <c r="S2" s="131"/>
      <c r="T2" s="94"/>
      <c r="U2" s="132"/>
      <c r="V2" s="132"/>
      <c r="W2" s="133"/>
      <c r="X2" s="134"/>
      <c r="Y2" s="333">
        <v>4228600000</v>
      </c>
      <c r="Z2" s="333"/>
      <c r="AA2" s="334">
        <f>I1</f>
        <v>5145064000</v>
      </c>
      <c r="AB2" s="335"/>
      <c r="AC2" s="336"/>
      <c r="AD2" s="337">
        <f>TRUNC(Y2/AA2,4)</f>
        <v>0.82179999999999997</v>
      </c>
      <c r="AE2" s="338"/>
      <c r="AF2" s="135"/>
      <c r="AG2" s="322" t="s">
        <v>116</v>
      </c>
      <c r="AH2" s="323"/>
      <c r="AI2" s="324">
        <v>4678177000</v>
      </c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39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237"/>
      <c r="AG3" s="237"/>
      <c r="AH3" s="237"/>
      <c r="AI3" s="237"/>
      <c r="AJ3" s="237"/>
      <c r="AK3" s="238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163</v>
      </c>
      <c r="B16" s="364"/>
      <c r="C16" s="364"/>
      <c r="D16" s="364"/>
      <c r="E16" s="364"/>
      <c r="F16" s="364"/>
      <c r="G16" s="364"/>
      <c r="H16" s="365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39">
        <v>3241780000</v>
      </c>
      <c r="E1" s="340"/>
      <c r="F1" s="339"/>
      <c r="G1" s="340"/>
      <c r="H1" s="66" t="s">
        <v>490</v>
      </c>
      <c r="I1" s="341">
        <v>5499824000</v>
      </c>
      <c r="J1" s="341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491</v>
      </c>
      <c r="Z1" s="342"/>
      <c r="AA1" s="343" t="s">
        <v>492</v>
      </c>
      <c r="AB1" s="344"/>
      <c r="AC1" s="345"/>
      <c r="AD1" s="346" t="s">
        <v>32</v>
      </c>
      <c r="AE1" s="347"/>
      <c r="AF1" s="55"/>
      <c r="AG1" s="322" t="s">
        <v>493</v>
      </c>
      <c r="AH1" s="323"/>
      <c r="AI1" s="324">
        <v>3241780000</v>
      </c>
      <c r="AJ1" s="325"/>
      <c r="AK1" s="325"/>
      <c r="AL1" s="69" t="s">
        <v>494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27">
        <v>3565958000</v>
      </c>
      <c r="E2" s="328"/>
      <c r="F2" s="329"/>
      <c r="G2" s="330"/>
      <c r="H2" s="3" t="s">
        <v>496</v>
      </c>
      <c r="I2" s="331">
        <f>D2*1</f>
        <v>3565958000</v>
      </c>
      <c r="J2" s="329"/>
      <c r="K2" s="129" t="s">
        <v>497</v>
      </c>
      <c r="L2" s="130" t="s">
        <v>498</v>
      </c>
      <c r="M2" s="332">
        <v>45964.708333333336</v>
      </c>
      <c r="N2" s="332"/>
      <c r="O2" s="332"/>
      <c r="P2" s="332"/>
      <c r="Q2" s="131" t="s">
        <v>499</v>
      </c>
      <c r="R2" s="131"/>
      <c r="S2" s="131"/>
      <c r="T2" s="94"/>
      <c r="U2" s="132"/>
      <c r="V2" s="132"/>
      <c r="W2" s="133"/>
      <c r="X2" s="134"/>
      <c r="Y2" s="377">
        <v>1988526000</v>
      </c>
      <c r="Z2" s="377"/>
      <c r="AA2" s="334">
        <f>I1</f>
        <v>5499824000</v>
      </c>
      <c r="AB2" s="335"/>
      <c r="AC2" s="336"/>
      <c r="AD2" s="337">
        <f>TRUNC(Y2/AA2,4)</f>
        <v>0.36149999999999999</v>
      </c>
      <c r="AE2" s="338"/>
      <c r="AF2" s="135"/>
      <c r="AG2" s="322" t="s">
        <v>500</v>
      </c>
      <c r="AH2" s="323"/>
      <c r="AI2" s="324"/>
      <c r="AJ2" s="325"/>
      <c r="AK2" s="325"/>
      <c r="AL2" s="10"/>
      <c r="AM2" s="10"/>
      <c r="AN2" s="11" t="s">
        <v>501</v>
      </c>
      <c r="AP2" s="1"/>
      <c r="AQ2" s="136"/>
      <c r="AR2" s="137" t="s">
        <v>502</v>
      </c>
      <c r="AS2" s="348">
        <f>AI1</f>
        <v>3241780000</v>
      </c>
      <c r="AT2" s="349"/>
      <c r="AW2" s="72"/>
    </row>
    <row r="3" spans="1:50" s="12" customFormat="1" ht="24.95" customHeight="1" thickBot="1" x14ac:dyDescent="0.2">
      <c r="A3" s="350" t="s">
        <v>503</v>
      </c>
      <c r="B3" s="352" t="s">
        <v>504</v>
      </c>
      <c r="C3" s="354" t="s">
        <v>505</v>
      </c>
      <c r="D3" s="355"/>
      <c r="E3" s="355"/>
      <c r="F3" s="355"/>
      <c r="G3" s="355"/>
      <c r="H3" s="356"/>
      <c r="I3" s="354" t="s">
        <v>506</v>
      </c>
      <c r="J3" s="355"/>
      <c r="K3" s="355"/>
      <c r="L3" s="355"/>
      <c r="M3" s="356"/>
      <c r="N3" s="357" t="s">
        <v>507</v>
      </c>
      <c r="O3" s="359" t="s">
        <v>508</v>
      </c>
      <c r="P3" s="354" t="s">
        <v>509</v>
      </c>
      <c r="Q3" s="355"/>
      <c r="R3" s="361"/>
      <c r="S3" s="361"/>
      <c r="T3" s="355"/>
      <c r="U3" s="356"/>
      <c r="V3" s="241"/>
      <c r="W3" s="354" t="s">
        <v>510</v>
      </c>
      <c r="X3" s="355"/>
      <c r="Y3" s="355"/>
      <c r="Z3" s="355"/>
      <c r="AA3" s="355"/>
      <c r="AB3" s="355"/>
      <c r="AC3" s="355"/>
      <c r="AD3" s="355"/>
      <c r="AE3" s="356"/>
      <c r="AF3" s="242"/>
      <c r="AG3" s="242"/>
      <c r="AH3" s="242"/>
      <c r="AI3" s="242"/>
      <c r="AJ3" s="242"/>
      <c r="AK3" s="243"/>
      <c r="AL3" s="370" t="s">
        <v>511</v>
      </c>
      <c r="AM3" s="366" t="s">
        <v>512</v>
      </c>
      <c r="AN3" s="372" t="s">
        <v>513</v>
      </c>
      <c r="AO3" s="374" t="s">
        <v>514</v>
      </c>
      <c r="AP3" s="376" t="s">
        <v>515</v>
      </c>
      <c r="AQ3" s="362" t="s">
        <v>516</v>
      </c>
      <c r="AR3" s="366" t="s">
        <v>517</v>
      </c>
      <c r="AS3" s="362" t="s">
        <v>518</v>
      </c>
      <c r="AT3" s="362" t="s">
        <v>519</v>
      </c>
      <c r="AU3" s="362" t="s">
        <v>520</v>
      </c>
      <c r="AV3" s="368" t="s">
        <v>521</v>
      </c>
      <c r="AW3" s="362" t="s">
        <v>522</v>
      </c>
      <c r="AX3" s="362" t="s">
        <v>523</v>
      </c>
    </row>
    <row r="4" spans="1:50" s="12" customFormat="1" ht="39.75" customHeight="1" thickBot="1" x14ac:dyDescent="0.2">
      <c r="A4" s="351"/>
      <c r="B4" s="353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8"/>
      <c r="O4" s="360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542</v>
      </c>
      <c r="B6" s="364"/>
      <c r="C6" s="364"/>
      <c r="D6" s="364"/>
      <c r="E6" s="364"/>
      <c r="F6" s="364"/>
      <c r="G6" s="364"/>
      <c r="H6" s="365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542</v>
      </c>
      <c r="B8" s="364"/>
      <c r="C8" s="364"/>
      <c r="D8" s="364"/>
      <c r="E8" s="364"/>
      <c r="F8" s="364"/>
      <c r="G8" s="364"/>
      <c r="H8" s="365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542</v>
      </c>
      <c r="B10" s="364"/>
      <c r="C10" s="364"/>
      <c r="D10" s="364"/>
      <c r="E10" s="364"/>
      <c r="F10" s="364"/>
      <c r="G10" s="364"/>
      <c r="H10" s="365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63" t="s">
        <v>542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542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542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542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542</v>
      </c>
      <c r="B20" s="364"/>
      <c r="C20" s="364"/>
      <c r="D20" s="364"/>
      <c r="E20" s="364"/>
      <c r="F20" s="364"/>
      <c r="G20" s="364"/>
      <c r="H20" s="365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542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542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63" t="s">
        <v>542</v>
      </c>
      <c r="B26" s="364"/>
      <c r="C26" s="364"/>
      <c r="D26" s="364"/>
      <c r="E26" s="364"/>
      <c r="F26" s="364"/>
      <c r="G26" s="364"/>
      <c r="H26" s="365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542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542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63" t="s">
        <v>542</v>
      </c>
      <c r="B33" s="364"/>
      <c r="C33" s="364"/>
      <c r="D33" s="364"/>
      <c r="E33" s="364"/>
      <c r="F33" s="364"/>
      <c r="G33" s="364"/>
      <c r="H33" s="365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63" t="s">
        <v>542</v>
      </c>
      <c r="B35" s="364"/>
      <c r="C35" s="364"/>
      <c r="D35" s="364"/>
      <c r="E35" s="364"/>
      <c r="F35" s="364"/>
      <c r="G35" s="364"/>
      <c r="H35" s="365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78" t="s">
        <v>542</v>
      </c>
      <c r="B38" s="379"/>
      <c r="C38" s="379"/>
      <c r="D38" s="379"/>
      <c r="E38" s="379"/>
      <c r="F38" s="379"/>
      <c r="G38" s="379"/>
      <c r="H38" s="365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63" t="s">
        <v>542</v>
      </c>
      <c r="B40" s="364"/>
      <c r="C40" s="364"/>
      <c r="D40" s="364"/>
      <c r="E40" s="364"/>
      <c r="F40" s="364"/>
      <c r="G40" s="364"/>
      <c r="H40" s="365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63" t="s">
        <v>542</v>
      </c>
      <c r="B42" s="364"/>
      <c r="C42" s="364"/>
      <c r="D42" s="364"/>
      <c r="E42" s="364"/>
      <c r="F42" s="364"/>
      <c r="G42" s="364"/>
      <c r="H42" s="365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38:H38"/>
    <mergeCell ref="A40:H40"/>
    <mergeCell ref="A42:H42"/>
    <mergeCell ref="A26:H26"/>
    <mergeCell ref="A28:H28"/>
    <mergeCell ref="A30:H30"/>
    <mergeCell ref="A33:H33"/>
    <mergeCell ref="A35:H35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3612713536</v>
      </c>
      <c r="E1" s="340"/>
      <c r="F1" s="339"/>
      <c r="G1" s="340"/>
      <c r="H1" s="66" t="s">
        <v>108</v>
      </c>
      <c r="I1" s="341">
        <v>6235738889</v>
      </c>
      <c r="J1" s="341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>
        <v>3612713536</v>
      </c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3973985000</v>
      </c>
      <c r="E2" s="328"/>
      <c r="F2" s="329"/>
      <c r="G2" s="330"/>
      <c r="H2" s="3" t="s">
        <v>28</v>
      </c>
      <c r="I2" s="331">
        <f>D2*1</f>
        <v>3973985000</v>
      </c>
      <c r="J2" s="329"/>
      <c r="K2" s="129" t="s">
        <v>114</v>
      </c>
      <c r="L2" s="130" t="s">
        <v>115</v>
      </c>
      <c r="M2" s="332">
        <v>45959.625</v>
      </c>
      <c r="N2" s="332"/>
      <c r="O2" s="332"/>
      <c r="P2" s="332"/>
      <c r="Q2" s="131" t="s">
        <v>585</v>
      </c>
      <c r="R2" s="131"/>
      <c r="S2" s="131"/>
      <c r="T2" s="94"/>
      <c r="U2" s="132"/>
      <c r="V2" s="132"/>
      <c r="W2" s="133"/>
      <c r="X2" s="134"/>
      <c r="Y2" s="333">
        <v>1900000000</v>
      </c>
      <c r="Z2" s="333"/>
      <c r="AA2" s="334">
        <f>I1</f>
        <v>6235738889</v>
      </c>
      <c r="AB2" s="335"/>
      <c r="AC2" s="336"/>
      <c r="AD2" s="337">
        <f>TRUNC(Y2/AA2,4)</f>
        <v>0.30459999999999998</v>
      </c>
      <c r="AE2" s="338"/>
      <c r="AF2" s="135"/>
      <c r="AG2" s="322" t="s">
        <v>116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3612713536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123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47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245"/>
      <c r="AG3" s="245"/>
      <c r="AH3" s="245"/>
      <c r="AI3" s="245"/>
      <c r="AJ3" s="245"/>
      <c r="AK3" s="246"/>
      <c r="AL3" s="370" t="s">
        <v>127</v>
      </c>
      <c r="AM3" s="366" t="s">
        <v>128</v>
      </c>
      <c r="AN3" s="372" t="s">
        <v>129</v>
      </c>
      <c r="AO3" s="374" t="s">
        <v>130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39">
        <v>4774800000</v>
      </c>
      <c r="E1" s="340"/>
      <c r="F1" s="339"/>
      <c r="G1" s="340"/>
      <c r="H1" s="66" t="s">
        <v>29</v>
      </c>
      <c r="I1" s="341">
        <v>6574862800</v>
      </c>
      <c r="J1" s="341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>
        <f>D1</f>
        <v>4774800000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5252280000</v>
      </c>
      <c r="E2" s="328"/>
      <c r="F2" s="329"/>
      <c r="G2" s="330"/>
      <c r="H2" s="3" t="s">
        <v>28</v>
      </c>
      <c r="I2" s="331">
        <f>D2*1</f>
        <v>5252280000</v>
      </c>
      <c r="J2" s="329"/>
      <c r="K2" s="129" t="s">
        <v>46</v>
      </c>
      <c r="L2" s="130" t="s">
        <v>30</v>
      </c>
      <c r="M2" s="332">
        <v>45966.708333333336</v>
      </c>
      <c r="N2" s="332"/>
      <c r="O2" s="332"/>
      <c r="P2" s="332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2623000000</v>
      </c>
      <c r="Z2" s="377"/>
      <c r="AA2" s="334">
        <f>I1</f>
        <v>6574862800</v>
      </c>
      <c r="AB2" s="335"/>
      <c r="AC2" s="336"/>
      <c r="AD2" s="337">
        <f>TRUNC(Y2/AA2,4)</f>
        <v>0.39889999999999998</v>
      </c>
      <c r="AE2" s="338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8">
        <f>AI1</f>
        <v>4774800000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18</v>
      </c>
      <c r="P3" s="354" t="s">
        <v>48</v>
      </c>
      <c r="Q3" s="355"/>
      <c r="R3" s="361"/>
      <c r="S3" s="361"/>
      <c r="T3" s="355"/>
      <c r="U3" s="356"/>
      <c r="V3" s="250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48"/>
      <c r="AG3" s="248"/>
      <c r="AH3" s="248"/>
      <c r="AI3" s="248"/>
      <c r="AJ3" s="248"/>
      <c r="AK3" s="249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78" t="s">
        <v>43</v>
      </c>
      <c r="B26" s="379"/>
      <c r="C26" s="379"/>
      <c r="D26" s="379"/>
      <c r="E26" s="379"/>
      <c r="F26" s="379"/>
      <c r="G26" s="379"/>
      <c r="H26" s="365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63" t="s">
        <v>43</v>
      </c>
      <c r="B28" s="364"/>
      <c r="C28" s="364"/>
      <c r="D28" s="364"/>
      <c r="E28" s="364"/>
      <c r="F28" s="364"/>
      <c r="G28" s="364"/>
      <c r="H28" s="365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63" t="s">
        <v>43</v>
      </c>
      <c r="B30" s="364"/>
      <c r="C30" s="364"/>
      <c r="D30" s="364"/>
      <c r="E30" s="364"/>
      <c r="F30" s="364"/>
      <c r="G30" s="364"/>
      <c r="H30" s="365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63" t="s">
        <v>43</v>
      </c>
      <c r="B32" s="364"/>
      <c r="C32" s="364"/>
      <c r="D32" s="364"/>
      <c r="E32" s="364"/>
      <c r="F32" s="364"/>
      <c r="G32" s="364"/>
      <c r="H32" s="365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63" t="s">
        <v>43</v>
      </c>
      <c r="B38" s="364"/>
      <c r="C38" s="364"/>
      <c r="D38" s="364"/>
      <c r="E38" s="364"/>
      <c r="F38" s="364"/>
      <c r="G38" s="364"/>
      <c r="H38" s="365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63" t="s">
        <v>43</v>
      </c>
      <c r="B40" s="364"/>
      <c r="C40" s="364"/>
      <c r="D40" s="364"/>
      <c r="E40" s="364"/>
      <c r="F40" s="364"/>
      <c r="G40" s="364"/>
      <c r="H40" s="365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  <mergeCell ref="Y1:Z1"/>
    <mergeCell ref="AA1:AC1"/>
    <mergeCell ref="I2:J2"/>
    <mergeCell ref="M2:P2"/>
    <mergeCell ref="Y2:Z2"/>
    <mergeCell ref="AA2:AC2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26:H26"/>
    <mergeCell ref="A36:H36"/>
    <mergeCell ref="A28:H28"/>
    <mergeCell ref="A30:H30"/>
    <mergeCell ref="A32:H32"/>
    <mergeCell ref="A34:H3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0" t="s">
        <v>649</v>
      </c>
      <c r="B1" s="381"/>
      <c r="C1" s="3" t="s">
        <v>107</v>
      </c>
      <c r="D1" s="339">
        <v>714759091</v>
      </c>
      <c r="E1" s="340"/>
      <c r="F1" s="339"/>
      <c r="G1" s="340"/>
      <c r="H1" s="66" t="s">
        <v>108</v>
      </c>
      <c r="I1" s="341"/>
      <c r="J1" s="341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109</v>
      </c>
      <c r="Z1" s="342"/>
      <c r="AA1" s="343" t="s">
        <v>110</v>
      </c>
      <c r="AB1" s="344"/>
      <c r="AC1" s="345"/>
      <c r="AD1" s="346" t="s">
        <v>32</v>
      </c>
      <c r="AE1" s="347"/>
      <c r="AF1" s="55"/>
      <c r="AG1" s="322" t="s">
        <v>111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382"/>
      <c r="B2" s="383"/>
      <c r="C2" s="8" t="s">
        <v>113</v>
      </c>
      <c r="D2" s="327">
        <v>786235000</v>
      </c>
      <c r="E2" s="328"/>
      <c r="F2" s="329"/>
      <c r="G2" s="330"/>
      <c r="H2" s="3" t="s">
        <v>28</v>
      </c>
      <c r="I2" s="331">
        <f>D2*1</f>
        <v>786235000</v>
      </c>
      <c r="J2" s="329"/>
      <c r="K2" s="129" t="s">
        <v>114</v>
      </c>
      <c r="L2" s="130" t="s">
        <v>115</v>
      </c>
      <c r="M2" s="332">
        <v>45971.708333333336</v>
      </c>
      <c r="N2" s="332"/>
      <c r="O2" s="332"/>
      <c r="P2" s="332"/>
      <c r="Q2" s="131" t="s">
        <v>651</v>
      </c>
      <c r="R2" s="131"/>
      <c r="S2" s="131"/>
      <c r="T2" s="94"/>
      <c r="U2" s="132"/>
      <c r="V2" s="132"/>
      <c r="W2" s="133"/>
      <c r="X2" s="134"/>
      <c r="Y2" s="333"/>
      <c r="Z2" s="333"/>
      <c r="AA2" s="334">
        <f>I1</f>
        <v>0</v>
      </c>
      <c r="AB2" s="335"/>
      <c r="AC2" s="336"/>
      <c r="AD2" s="337" t="e">
        <f>TRUNC(Y2/AA2,4)</f>
        <v>#DIV/0!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123</v>
      </c>
      <c r="O3" s="359" t="s">
        <v>18</v>
      </c>
      <c r="P3" s="354" t="s">
        <v>125</v>
      </c>
      <c r="Q3" s="355"/>
      <c r="R3" s="361"/>
      <c r="S3" s="361"/>
      <c r="T3" s="355"/>
      <c r="U3" s="356"/>
      <c r="V3" s="292"/>
      <c r="W3" s="354" t="s">
        <v>40</v>
      </c>
      <c r="X3" s="355"/>
      <c r="Y3" s="355"/>
      <c r="Z3" s="355"/>
      <c r="AA3" s="355"/>
      <c r="AB3" s="355"/>
      <c r="AC3" s="355"/>
      <c r="AD3" s="355"/>
      <c r="AE3" s="356"/>
      <c r="AF3" s="293"/>
      <c r="AG3" s="293"/>
      <c r="AH3" s="293"/>
      <c r="AI3" s="293"/>
      <c r="AJ3" s="293"/>
      <c r="AK3" s="294"/>
      <c r="AL3" s="370" t="s">
        <v>17</v>
      </c>
      <c r="AM3" s="366" t="s">
        <v>128</v>
      </c>
      <c r="AN3" s="372" t="s">
        <v>129</v>
      </c>
      <c r="AO3" s="374" t="s">
        <v>14</v>
      </c>
      <c r="AP3" s="376" t="s">
        <v>131</v>
      </c>
      <c r="AQ3" s="362" t="s">
        <v>12</v>
      </c>
      <c r="AR3" s="366" t="s">
        <v>133</v>
      </c>
      <c r="AS3" s="362" t="s">
        <v>134</v>
      </c>
      <c r="AT3" s="362" t="s">
        <v>135</v>
      </c>
      <c r="AU3" s="362" t="s">
        <v>136</v>
      </c>
      <c r="AV3" s="368" t="s">
        <v>137</v>
      </c>
      <c r="AW3" s="362" t="s">
        <v>35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163</v>
      </c>
      <c r="B6" s="364"/>
      <c r="C6" s="364"/>
      <c r="D6" s="364"/>
      <c r="E6" s="364"/>
      <c r="F6" s="364"/>
      <c r="G6" s="364"/>
      <c r="H6" s="365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163</v>
      </c>
      <c r="B8" s="364"/>
      <c r="C8" s="364"/>
      <c r="D8" s="364"/>
      <c r="E8" s="364"/>
      <c r="F8" s="364"/>
      <c r="G8" s="364"/>
      <c r="H8" s="365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163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63" t="s">
        <v>163</v>
      </c>
      <c r="B12" s="364"/>
      <c r="C12" s="364"/>
      <c r="D12" s="364"/>
      <c r="E12" s="364"/>
      <c r="F12" s="364"/>
      <c r="G12" s="364"/>
      <c r="H12" s="365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63" t="s">
        <v>163</v>
      </c>
      <c r="B14" s="364"/>
      <c r="C14" s="364"/>
      <c r="D14" s="364"/>
      <c r="E14" s="364"/>
      <c r="F14" s="364"/>
      <c r="G14" s="364"/>
      <c r="H14" s="365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63" t="s">
        <v>163</v>
      </c>
      <c r="B16" s="364"/>
      <c r="C16" s="364"/>
      <c r="D16" s="364"/>
      <c r="E16" s="364"/>
      <c r="F16" s="364"/>
      <c r="G16" s="364"/>
      <c r="H16" s="365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63" t="s">
        <v>163</v>
      </c>
      <c r="B18" s="364"/>
      <c r="C18" s="364"/>
      <c r="D18" s="364"/>
      <c r="E18" s="364"/>
      <c r="F18" s="364"/>
      <c r="G18" s="364"/>
      <c r="H18" s="365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63" t="s">
        <v>163</v>
      </c>
      <c r="B20" s="364"/>
      <c r="C20" s="364"/>
      <c r="D20" s="364"/>
      <c r="E20" s="364"/>
      <c r="F20" s="364"/>
      <c r="G20" s="364"/>
      <c r="H20" s="365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63" t="s">
        <v>163</v>
      </c>
      <c r="B22" s="364"/>
      <c r="C22" s="364"/>
      <c r="D22" s="364"/>
      <c r="E22" s="364"/>
      <c r="F22" s="364"/>
      <c r="G22" s="364"/>
      <c r="H22" s="365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14:H14"/>
    <mergeCell ref="A1:B2"/>
    <mergeCell ref="A16:H16"/>
    <mergeCell ref="A18:H18"/>
    <mergeCell ref="A20:H20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3822489000</v>
      </c>
      <c r="E1" s="340"/>
      <c r="F1" s="339"/>
      <c r="G1" s="340"/>
      <c r="H1" s="66" t="s">
        <v>306</v>
      </c>
      <c r="I1" s="341">
        <v>4190997000</v>
      </c>
      <c r="J1" s="341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305</v>
      </c>
      <c r="Z1" s="342"/>
      <c r="AA1" s="343" t="s">
        <v>304</v>
      </c>
      <c r="AB1" s="344"/>
      <c r="AC1" s="345"/>
      <c r="AD1" s="346" t="s">
        <v>32</v>
      </c>
      <c r="AE1" s="347"/>
      <c r="AF1" s="55"/>
      <c r="AG1" s="322" t="s">
        <v>55</v>
      </c>
      <c r="AH1" s="323"/>
      <c r="AI1" s="324"/>
      <c r="AJ1" s="325"/>
      <c r="AK1" s="325"/>
      <c r="AL1" s="69" t="s">
        <v>112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27">
        <v>3930657000</v>
      </c>
      <c r="E2" s="328"/>
      <c r="F2" s="329"/>
      <c r="G2" s="330"/>
      <c r="H2" s="3" t="s">
        <v>300</v>
      </c>
      <c r="I2" s="331">
        <f>D2*1</f>
        <v>3930657000</v>
      </c>
      <c r="J2" s="329"/>
      <c r="K2" s="129" t="s">
        <v>114</v>
      </c>
      <c r="L2" s="130" t="s">
        <v>115</v>
      </c>
      <c r="M2" s="332">
        <v>45966.625</v>
      </c>
      <c r="N2" s="332"/>
      <c r="O2" s="332"/>
      <c r="P2" s="332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8940300000</v>
      </c>
      <c r="Z2" s="377"/>
      <c r="AA2" s="334">
        <f>I1</f>
        <v>4190997000</v>
      </c>
      <c r="AB2" s="335"/>
      <c r="AC2" s="336"/>
      <c r="AD2" s="337">
        <f>TRUNC(Y2/AA2,4)</f>
        <v>2.1332</v>
      </c>
      <c r="AE2" s="338"/>
      <c r="AF2" s="135"/>
      <c r="AG2" s="322" t="s">
        <v>56</v>
      </c>
      <c r="AH2" s="323"/>
      <c r="AI2" s="324">
        <v>3822489000</v>
      </c>
      <c r="AJ2" s="325"/>
      <c r="AK2" s="325"/>
      <c r="AL2" s="10"/>
      <c r="AM2" s="10"/>
      <c r="AN2" s="11" t="s">
        <v>117</v>
      </c>
      <c r="AP2" s="1"/>
      <c r="AQ2" s="136"/>
      <c r="AR2" s="137" t="s">
        <v>118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119</v>
      </c>
      <c r="B3" s="352" t="s">
        <v>120</v>
      </c>
      <c r="C3" s="354" t="s">
        <v>121</v>
      </c>
      <c r="D3" s="355"/>
      <c r="E3" s="355"/>
      <c r="F3" s="355"/>
      <c r="G3" s="355"/>
      <c r="H3" s="356"/>
      <c r="I3" s="354" t="s">
        <v>122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125</v>
      </c>
      <c r="Q3" s="355"/>
      <c r="R3" s="361"/>
      <c r="S3" s="361"/>
      <c r="T3" s="355"/>
      <c r="U3" s="356"/>
      <c r="V3" s="287"/>
      <c r="W3" s="354" t="s">
        <v>286</v>
      </c>
      <c r="X3" s="355"/>
      <c r="Y3" s="355"/>
      <c r="Z3" s="355"/>
      <c r="AA3" s="355"/>
      <c r="AB3" s="355"/>
      <c r="AC3" s="355"/>
      <c r="AD3" s="355"/>
      <c r="AE3" s="356"/>
      <c r="AF3" s="285"/>
      <c r="AG3" s="285"/>
      <c r="AH3" s="285"/>
      <c r="AI3" s="285"/>
      <c r="AJ3" s="285"/>
      <c r="AK3" s="286"/>
      <c r="AL3" s="370" t="s">
        <v>127</v>
      </c>
      <c r="AM3" s="366" t="s">
        <v>128</v>
      </c>
      <c r="AN3" s="372" t="s">
        <v>129</v>
      </c>
      <c r="AO3" s="374" t="s">
        <v>282</v>
      </c>
      <c r="AP3" s="376" t="s">
        <v>131</v>
      </c>
      <c r="AQ3" s="362" t="s">
        <v>132</v>
      </c>
      <c r="AR3" s="366" t="s">
        <v>133</v>
      </c>
      <c r="AS3" s="362" t="s">
        <v>134</v>
      </c>
      <c r="AT3" s="362" t="s">
        <v>52</v>
      </c>
      <c r="AU3" s="362" t="s">
        <v>136</v>
      </c>
      <c r="AV3" s="368" t="s">
        <v>276</v>
      </c>
      <c r="AW3" s="362" t="s">
        <v>138</v>
      </c>
      <c r="AX3" s="362" t="s">
        <v>139</v>
      </c>
    </row>
    <row r="4" spans="1:50" s="12" customFormat="1" ht="39.75" customHeight="1" thickBot="1" x14ac:dyDescent="0.2">
      <c r="A4" s="351"/>
      <c r="B4" s="353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8"/>
      <c r="O4" s="360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98</v>
      </c>
      <c r="B6" s="364"/>
      <c r="C6" s="364"/>
      <c r="D6" s="364"/>
      <c r="E6" s="364"/>
      <c r="F6" s="364"/>
      <c r="G6" s="364"/>
      <c r="H6" s="365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98</v>
      </c>
      <c r="B8" s="364"/>
      <c r="C8" s="364"/>
      <c r="D8" s="364"/>
      <c r="E8" s="364"/>
      <c r="F8" s="364"/>
      <c r="G8" s="364"/>
      <c r="H8" s="365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243</v>
      </c>
      <c r="B10" s="364"/>
      <c r="C10" s="364"/>
      <c r="D10" s="364"/>
      <c r="E10" s="364"/>
      <c r="F10" s="364"/>
      <c r="G10" s="364"/>
      <c r="H10" s="365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63" t="s">
        <v>98</v>
      </c>
      <c r="B12" s="364"/>
      <c r="C12" s="364"/>
      <c r="D12" s="364"/>
      <c r="E12" s="364"/>
      <c r="F12" s="364"/>
      <c r="G12" s="364"/>
      <c r="H12" s="365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63" t="s">
        <v>98</v>
      </c>
      <c r="B14" s="364"/>
      <c r="C14" s="364"/>
      <c r="D14" s="364"/>
      <c r="E14" s="364"/>
      <c r="F14" s="364"/>
      <c r="G14" s="364"/>
      <c r="H14" s="365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63" t="s">
        <v>98</v>
      </c>
      <c r="B16" s="364"/>
      <c r="C16" s="364"/>
      <c r="D16" s="364"/>
      <c r="E16" s="364"/>
      <c r="F16" s="364"/>
      <c r="G16" s="364"/>
      <c r="H16" s="365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63" t="s">
        <v>98</v>
      </c>
      <c r="B18" s="364"/>
      <c r="C18" s="364"/>
      <c r="D18" s="364"/>
      <c r="E18" s="364"/>
      <c r="F18" s="364"/>
      <c r="G18" s="364"/>
      <c r="H18" s="365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63" t="s">
        <v>98</v>
      </c>
      <c r="B20" s="364"/>
      <c r="C20" s="364"/>
      <c r="D20" s="364"/>
      <c r="E20" s="364"/>
      <c r="F20" s="364"/>
      <c r="G20" s="364"/>
      <c r="H20" s="365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63" t="s">
        <v>98</v>
      </c>
      <c r="B22" s="364"/>
      <c r="C22" s="364"/>
      <c r="D22" s="364"/>
      <c r="E22" s="364"/>
      <c r="F22" s="364"/>
      <c r="G22" s="364"/>
      <c r="H22" s="365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63" t="s">
        <v>98</v>
      </c>
      <c r="B24" s="364"/>
      <c r="C24" s="364"/>
      <c r="D24" s="364"/>
      <c r="E24" s="364"/>
      <c r="F24" s="364"/>
      <c r="G24" s="364"/>
      <c r="H24" s="365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63" t="s">
        <v>98</v>
      </c>
      <c r="B26" s="364"/>
      <c r="C26" s="364"/>
      <c r="D26" s="364"/>
      <c r="E26" s="364"/>
      <c r="F26" s="364"/>
      <c r="G26" s="364"/>
      <c r="H26" s="365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63" t="s">
        <v>98</v>
      </c>
      <c r="B28" s="364"/>
      <c r="C28" s="364"/>
      <c r="D28" s="364"/>
      <c r="E28" s="364"/>
      <c r="F28" s="364"/>
      <c r="G28" s="364"/>
      <c r="H28" s="365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63" t="s">
        <v>98</v>
      </c>
      <c r="B30" s="364"/>
      <c r="C30" s="364"/>
      <c r="D30" s="364"/>
      <c r="E30" s="364"/>
      <c r="F30" s="364"/>
      <c r="G30" s="364"/>
      <c r="H30" s="365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63" t="s">
        <v>98</v>
      </c>
      <c r="B32" s="364"/>
      <c r="C32" s="364"/>
      <c r="D32" s="364"/>
      <c r="E32" s="364"/>
      <c r="F32" s="364"/>
      <c r="G32" s="364"/>
      <c r="H32" s="365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63" t="s">
        <v>43</v>
      </c>
      <c r="B34" s="364"/>
      <c r="C34" s="364"/>
      <c r="D34" s="364"/>
      <c r="E34" s="364"/>
      <c r="F34" s="364"/>
      <c r="G34" s="364"/>
      <c r="H34" s="365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63" t="s">
        <v>43</v>
      </c>
      <c r="B36" s="364"/>
      <c r="C36" s="364"/>
      <c r="D36" s="364"/>
      <c r="E36" s="364"/>
      <c r="F36" s="364"/>
      <c r="G36" s="364"/>
      <c r="H36" s="365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63" t="s">
        <v>43</v>
      </c>
      <c r="B38" s="364"/>
      <c r="C38" s="364"/>
      <c r="D38" s="364"/>
      <c r="E38" s="364"/>
      <c r="F38" s="364"/>
      <c r="G38" s="364"/>
      <c r="H38" s="365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63" t="s">
        <v>43</v>
      </c>
      <c r="B40" s="364"/>
      <c r="C40" s="364"/>
      <c r="D40" s="364"/>
      <c r="E40" s="364"/>
      <c r="F40" s="364"/>
      <c r="G40" s="364"/>
      <c r="H40" s="365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63" t="s">
        <v>43</v>
      </c>
      <c r="B42" s="364"/>
      <c r="C42" s="364"/>
      <c r="D42" s="364"/>
      <c r="E42" s="364"/>
      <c r="F42" s="364"/>
      <c r="G42" s="364"/>
      <c r="H42" s="365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63" t="s">
        <v>43</v>
      </c>
      <c r="B44" s="364"/>
      <c r="C44" s="364"/>
      <c r="D44" s="364"/>
      <c r="E44" s="364"/>
      <c r="F44" s="364"/>
      <c r="G44" s="364"/>
      <c r="H44" s="365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63" t="s">
        <v>43</v>
      </c>
      <c r="B46" s="364"/>
      <c r="C46" s="364"/>
      <c r="D46" s="364"/>
      <c r="E46" s="364"/>
      <c r="F46" s="364"/>
      <c r="G46" s="364"/>
      <c r="H46" s="365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63" t="s">
        <v>43</v>
      </c>
      <c r="B48" s="364"/>
      <c r="C48" s="364"/>
      <c r="D48" s="364"/>
      <c r="E48" s="364"/>
      <c r="F48" s="364"/>
      <c r="G48" s="364"/>
      <c r="H48" s="365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63" t="s">
        <v>43</v>
      </c>
      <c r="B50" s="364"/>
      <c r="C50" s="364"/>
      <c r="D50" s="364"/>
      <c r="E50" s="364"/>
      <c r="F50" s="364"/>
      <c r="G50" s="364"/>
      <c r="H50" s="365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28:H28"/>
    <mergeCell ref="A30:H30"/>
    <mergeCell ref="A32:H32"/>
    <mergeCell ref="A34:H34"/>
    <mergeCell ref="A36:H3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>
        <v>4913633000</v>
      </c>
      <c r="E1" s="340"/>
      <c r="F1" s="339"/>
      <c r="G1" s="340"/>
      <c r="H1" s="66" t="s">
        <v>29</v>
      </c>
      <c r="I1" s="341">
        <v>5099688000</v>
      </c>
      <c r="J1" s="341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470</v>
      </c>
      <c r="AH1" s="323"/>
      <c r="AI1" s="324">
        <v>4913633000</v>
      </c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>
        <v>5052743000</v>
      </c>
      <c r="E2" s="328"/>
      <c r="F2" s="329"/>
      <c r="G2" s="330"/>
      <c r="H2" s="3" t="s">
        <v>28</v>
      </c>
      <c r="I2" s="331">
        <f>D2*1</f>
        <v>5052743000</v>
      </c>
      <c r="J2" s="329"/>
      <c r="K2" s="129" t="s">
        <v>46</v>
      </c>
      <c r="L2" s="130" t="s">
        <v>30</v>
      </c>
      <c r="M2" s="332">
        <v>45973.666666666664</v>
      </c>
      <c r="N2" s="332"/>
      <c r="O2" s="332"/>
      <c r="P2" s="332"/>
      <c r="Q2" s="131" t="s">
        <v>585</v>
      </c>
      <c r="R2" s="131"/>
      <c r="S2" s="131"/>
      <c r="T2" s="94"/>
      <c r="U2" s="132"/>
      <c r="V2" s="132"/>
      <c r="W2" s="133"/>
      <c r="X2" s="134"/>
      <c r="Y2" s="333">
        <v>5939900000</v>
      </c>
      <c r="Z2" s="333"/>
      <c r="AA2" s="334">
        <f>I1</f>
        <v>5099688000</v>
      </c>
      <c r="AB2" s="335"/>
      <c r="AC2" s="336"/>
      <c r="AD2" s="337">
        <f>TRUNC(Y2/AA2,4)</f>
        <v>1.1647000000000001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4913633000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20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48</v>
      </c>
      <c r="Q3" s="355"/>
      <c r="R3" s="361"/>
      <c r="S3" s="361"/>
      <c r="T3" s="355"/>
      <c r="U3" s="356"/>
      <c r="V3" s="304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305"/>
      <c r="AG3" s="305"/>
      <c r="AH3" s="305"/>
      <c r="AI3" s="305"/>
      <c r="AJ3" s="305"/>
      <c r="AK3" s="306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topLeftCell="A37" zoomScale="80" zoomScaleNormal="80" workbookViewId="0">
      <selection activeCell="M45" sqref="M45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4" width="8.33203125" style="1" customWidth="1"/>
    <col min="5" max="5" width="10.44140625" style="1" customWidth="1"/>
    <col min="6" max="7" width="8.33203125" style="1" customWidth="1"/>
    <col min="8" max="8" width="8.109375" style="1" customWidth="1"/>
    <col min="9" max="10" width="9" style="1" customWidth="1"/>
    <col min="11" max="13" width="8.5546875" style="1" customWidth="1"/>
    <col min="14" max="15" width="6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" style="1" customWidth="1"/>
    <col min="29" max="29" width="7.6640625" style="47" hidden="1" customWidth="1"/>
    <col min="30" max="31" width="7.6640625" style="47" customWidth="1"/>
    <col min="32" max="32" width="7" style="1" customWidth="1"/>
    <col min="33" max="33" width="7.21875" style="1" customWidth="1"/>
    <col min="34" max="34" width="7.6640625" style="1" customWidth="1"/>
    <col min="35" max="35" width="4.6640625" style="1" customWidth="1"/>
    <col min="36" max="36" width="9.5546875" style="1" customWidth="1"/>
    <col min="37" max="37" width="9.4414062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39"/>
      <c r="E1" s="340"/>
      <c r="F1" s="339"/>
      <c r="G1" s="340"/>
      <c r="H1" s="66" t="s">
        <v>29</v>
      </c>
      <c r="I1" s="341"/>
      <c r="J1" s="341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42" t="s">
        <v>24</v>
      </c>
      <c r="Z1" s="342"/>
      <c r="AA1" s="343" t="s">
        <v>23</v>
      </c>
      <c r="AB1" s="344"/>
      <c r="AC1" s="345"/>
      <c r="AD1" s="346" t="s">
        <v>32</v>
      </c>
      <c r="AE1" s="347"/>
      <c r="AF1" s="55"/>
      <c r="AG1" s="322" t="s">
        <v>470</v>
      </c>
      <c r="AH1" s="323"/>
      <c r="AI1" s="324"/>
      <c r="AJ1" s="325"/>
      <c r="AK1" s="325"/>
      <c r="AL1" s="69" t="s">
        <v>45</v>
      </c>
      <c r="AM1" s="326"/>
      <c r="AN1" s="326"/>
      <c r="AO1" s="326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27"/>
      <c r="E2" s="328"/>
      <c r="F2" s="329"/>
      <c r="G2" s="330"/>
      <c r="H2" s="3" t="s">
        <v>28</v>
      </c>
      <c r="I2" s="331">
        <f>D2*1</f>
        <v>0</v>
      </c>
      <c r="J2" s="329"/>
      <c r="K2" s="129" t="s">
        <v>46</v>
      </c>
      <c r="L2" s="130" t="s">
        <v>30</v>
      </c>
      <c r="M2" s="332">
        <v>46028.458333333336</v>
      </c>
      <c r="N2" s="332"/>
      <c r="O2" s="332"/>
      <c r="P2" s="332"/>
      <c r="Q2" s="131" t="s">
        <v>702</v>
      </c>
      <c r="R2" s="131"/>
      <c r="S2" s="131"/>
      <c r="T2" s="94"/>
      <c r="U2" s="132"/>
      <c r="V2" s="132"/>
      <c r="W2" s="133"/>
      <c r="X2" s="134"/>
      <c r="Y2" s="333"/>
      <c r="Z2" s="333"/>
      <c r="AA2" s="334">
        <f>I1</f>
        <v>0</v>
      </c>
      <c r="AB2" s="335"/>
      <c r="AC2" s="336"/>
      <c r="AD2" s="337" t="e">
        <f>TRUNC(Y2/AA2,4)</f>
        <v>#DIV/0!</v>
      </c>
      <c r="AE2" s="338"/>
      <c r="AF2" s="135"/>
      <c r="AG2" s="322" t="s">
        <v>56</v>
      </c>
      <c r="AH2" s="323"/>
      <c r="AI2" s="324"/>
      <c r="AJ2" s="325"/>
      <c r="AK2" s="325"/>
      <c r="AL2" s="10"/>
      <c r="AM2" s="10"/>
      <c r="AN2" s="11" t="s">
        <v>117</v>
      </c>
      <c r="AP2" s="1"/>
      <c r="AQ2" s="136"/>
      <c r="AR2" s="137" t="s">
        <v>38</v>
      </c>
      <c r="AS2" s="348">
        <f>AI1</f>
        <v>0</v>
      </c>
      <c r="AT2" s="349"/>
      <c r="AW2" s="72"/>
    </row>
    <row r="3" spans="1:50" s="12" customFormat="1" ht="24.95" customHeight="1" thickBot="1" x14ac:dyDescent="0.2">
      <c r="A3" s="350" t="s">
        <v>47</v>
      </c>
      <c r="B3" s="352" t="s">
        <v>21</v>
      </c>
      <c r="C3" s="354" t="s">
        <v>700</v>
      </c>
      <c r="D3" s="355"/>
      <c r="E3" s="355"/>
      <c r="F3" s="355"/>
      <c r="G3" s="355"/>
      <c r="H3" s="356"/>
      <c r="I3" s="354" t="s">
        <v>19</v>
      </c>
      <c r="J3" s="355"/>
      <c r="K3" s="355"/>
      <c r="L3" s="355"/>
      <c r="M3" s="356"/>
      <c r="N3" s="357" t="s">
        <v>51</v>
      </c>
      <c r="O3" s="359" t="s">
        <v>124</v>
      </c>
      <c r="P3" s="354" t="s">
        <v>48</v>
      </c>
      <c r="Q3" s="355"/>
      <c r="R3" s="361"/>
      <c r="S3" s="361"/>
      <c r="T3" s="355"/>
      <c r="U3" s="356"/>
      <c r="V3" s="320"/>
      <c r="W3" s="354" t="s">
        <v>126</v>
      </c>
      <c r="X3" s="355"/>
      <c r="Y3" s="355"/>
      <c r="Z3" s="355"/>
      <c r="AA3" s="355"/>
      <c r="AB3" s="355"/>
      <c r="AC3" s="355"/>
      <c r="AD3" s="355"/>
      <c r="AE3" s="356"/>
      <c r="AF3" s="318"/>
      <c r="AG3" s="318"/>
      <c r="AH3" s="318"/>
      <c r="AI3" s="318"/>
      <c r="AJ3" s="318"/>
      <c r="AK3" s="319"/>
      <c r="AL3" s="370" t="s">
        <v>17</v>
      </c>
      <c r="AM3" s="366" t="s">
        <v>16</v>
      </c>
      <c r="AN3" s="372" t="s">
        <v>15</v>
      </c>
      <c r="AO3" s="374" t="s">
        <v>14</v>
      </c>
      <c r="AP3" s="376" t="s">
        <v>13</v>
      </c>
      <c r="AQ3" s="362" t="s">
        <v>12</v>
      </c>
      <c r="AR3" s="366" t="s">
        <v>37</v>
      </c>
      <c r="AS3" s="362" t="s">
        <v>33</v>
      </c>
      <c r="AT3" s="362" t="s">
        <v>52</v>
      </c>
      <c r="AU3" s="362" t="s">
        <v>53</v>
      </c>
      <c r="AV3" s="368" t="s">
        <v>34</v>
      </c>
      <c r="AW3" s="362" t="s">
        <v>35</v>
      </c>
      <c r="AX3" s="362" t="s">
        <v>36</v>
      </c>
    </row>
    <row r="4" spans="1:50" s="12" customFormat="1" ht="39.75" customHeight="1" thickBot="1" x14ac:dyDescent="0.2">
      <c r="A4" s="351"/>
      <c r="B4" s="353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0" t="s">
        <v>704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8"/>
      <c r="O4" s="360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71"/>
      <c r="AM4" s="367"/>
      <c r="AN4" s="373"/>
      <c r="AO4" s="375"/>
      <c r="AP4" s="376"/>
      <c r="AQ4" s="362"/>
      <c r="AR4" s="367"/>
      <c r="AS4" s="362"/>
      <c r="AT4" s="362"/>
      <c r="AU4" s="362"/>
      <c r="AV4" s="369"/>
      <c r="AW4" s="362"/>
      <c r="AX4" s="362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40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/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63" t="s">
        <v>43</v>
      </c>
      <c r="B6" s="364"/>
      <c r="C6" s="364"/>
      <c r="D6" s="364"/>
      <c r="E6" s="364"/>
      <c r="F6" s="364"/>
      <c r="G6" s="364"/>
      <c r="H6" s="365"/>
      <c r="I6" s="104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0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/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63" t="s">
        <v>43</v>
      </c>
      <c r="B8" s="364"/>
      <c r="C8" s="364"/>
      <c r="D8" s="364"/>
      <c r="E8" s="364"/>
      <c r="F8" s="364"/>
      <c r="G8" s="364"/>
      <c r="H8" s="365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/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63" t="s">
        <v>43</v>
      </c>
      <c r="B10" s="364"/>
      <c r="C10" s="364"/>
      <c r="D10" s="364"/>
      <c r="E10" s="364"/>
      <c r="F10" s="364"/>
      <c r="G10" s="364"/>
      <c r="H10" s="365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1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17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/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63" t="s">
        <v>43</v>
      </c>
      <c r="B12" s="364"/>
      <c r="C12" s="364"/>
      <c r="D12" s="364"/>
      <c r="E12" s="364"/>
      <c r="F12" s="364"/>
      <c r="G12" s="364"/>
      <c r="H12" s="365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/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63" t="s">
        <v>43</v>
      </c>
      <c r="B14" s="364"/>
      <c r="C14" s="364"/>
      <c r="D14" s="364"/>
      <c r="E14" s="364"/>
      <c r="F14" s="364"/>
      <c r="G14" s="364"/>
      <c r="H14" s="365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295"/>
      <c r="D15" s="295"/>
      <c r="E15" s="54"/>
      <c r="F15" s="54"/>
      <c r="G15" s="53"/>
      <c r="H15" s="140"/>
      <c r="I15" s="311"/>
      <c r="J15" s="272"/>
      <c r="K15" s="26"/>
      <c r="L15" s="77"/>
      <c r="M15" s="78"/>
      <c r="N15" s="27">
        <f t="shared" ref="N15" si="13">SUM(I15:M15)</f>
        <v>0</v>
      </c>
      <c r="O15" s="28">
        <v>1</v>
      </c>
      <c r="P15" s="307"/>
      <c r="Q15" s="307"/>
      <c r="R15" s="56"/>
      <c r="S15" s="31"/>
      <c r="T15" s="89"/>
      <c r="U15" s="32">
        <f t="shared" ref="U15" si="14">ROUND(((P15*I15)+(Q15*J15)+(R15*K15)+(S15*L15)+(T15*M15))*O15,2)</f>
        <v>0</v>
      </c>
      <c r="V15" s="68">
        <f t="shared" ref="V15" si="15">IF(U15&gt;=15,15,U15)</f>
        <v>0</v>
      </c>
      <c r="W15" s="308"/>
      <c r="X15" s="308"/>
      <c r="Y15" s="34"/>
      <c r="Z15" s="45"/>
      <c r="AA15" s="35"/>
      <c r="AB15" s="36" t="e">
        <f t="shared" ref="AB15" si="16">ROUND((((W15*I15)+(X15*J15)+(Y15*K15)+(Z15*L15)+(AA15*M15))/$I$2),2)*13</f>
        <v>#DIV/0!</v>
      </c>
      <c r="AC15" s="68" t="e">
        <f t="shared" ref="AC15" si="17">IF(AB15&gt;=13,13,AB15)</f>
        <v>#DIV/0!</v>
      </c>
      <c r="AD15" s="63"/>
      <c r="AE15" s="32" t="e">
        <f t="shared" ref="AE15" si="18">IF((AC15+AD15)&gt;=15,15,(AC15+AD15))</f>
        <v>#DIV/0!</v>
      </c>
      <c r="AF15" s="61"/>
      <c r="AG15" s="114"/>
      <c r="AH15" s="37" t="e">
        <f t="shared" ref="AH15" si="19">IF((V15+AE15+AF15)&gt;=30,30,(V15+AE15+AF15))</f>
        <v>#DIV/0!</v>
      </c>
      <c r="AI15" s="38">
        <v>65</v>
      </c>
      <c r="AJ15" s="30" t="e">
        <f t="shared" ref="AJ15" si="20">V15+AE15+AF15+AI15+AG15</f>
        <v>#DIV/0!</v>
      </c>
      <c r="AK15" s="37" t="e">
        <f t="shared" ref="AK15" si="21">IF(AH15+AI15+AG15&gt;=95,95,AH15+AI15+AG15)</f>
        <v>#DIV/0!</v>
      </c>
      <c r="AL15" s="39" t="e">
        <f t="shared" ref="AL15" si="22">-((50-((176+(45+(50-AH15)))))/200)</f>
        <v>#DIV/0!</v>
      </c>
      <c r="AM15" s="40"/>
      <c r="AN15" s="41">
        <f t="shared" ref="AN15" si="23">100%+AM15</f>
        <v>1</v>
      </c>
      <c r="AO15" s="41">
        <f>100%+AN15</f>
        <v>2</v>
      </c>
      <c r="AP15" s="43">
        <v>521200000</v>
      </c>
      <c r="AQ15" s="70"/>
      <c r="AR15" s="310"/>
      <c r="AS15" s="310"/>
      <c r="AT15" s="58"/>
      <c r="AU15" s="58"/>
      <c r="AV15" s="59"/>
      <c r="AW15" s="71">
        <f t="shared" ref="AW15" si="24">AR15+AS15+AT15+AU15+AV15</f>
        <v>0</v>
      </c>
      <c r="AX15" s="71">
        <f t="shared" ref="AX15" si="25">(AR15*I15)+(AS15*J15)+(AT15*K15)+(AU15*L15)+(AV15*M15)</f>
        <v>0</v>
      </c>
    </row>
    <row r="16" spans="1:50" s="42" customFormat="1" ht="21.95" customHeight="1" thickBot="1" x14ac:dyDescent="0.2">
      <c r="A16" s="363" t="s">
        <v>43</v>
      </c>
      <c r="B16" s="364"/>
      <c r="C16" s="364"/>
      <c r="D16" s="364"/>
      <c r="E16" s="364"/>
      <c r="F16" s="364"/>
      <c r="G16" s="364"/>
      <c r="H16" s="365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49"/>
      <c r="F17" s="49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/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f>100%+AN17</f>
        <v>2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63" t="s">
        <v>43</v>
      </c>
      <c r="B18" s="364"/>
      <c r="C18" s="364"/>
      <c r="D18" s="364"/>
      <c r="E18" s="364"/>
      <c r="F18" s="364"/>
      <c r="G18" s="364"/>
      <c r="H18" s="365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/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63" t="s">
        <v>43</v>
      </c>
      <c r="B20" s="364"/>
      <c r="C20" s="364"/>
      <c r="D20" s="364"/>
      <c r="E20" s="364"/>
      <c r="F20" s="364"/>
      <c r="G20" s="364"/>
      <c r="H20" s="365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/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63" t="s">
        <v>43</v>
      </c>
      <c r="B22" s="364"/>
      <c r="C22" s="364"/>
      <c r="D22" s="364"/>
      <c r="E22" s="364"/>
      <c r="F22" s="364"/>
      <c r="G22" s="364"/>
      <c r="H22" s="365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3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4"/>
      <c r="X23" s="315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/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16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63" t="s">
        <v>43</v>
      </c>
      <c r="B24" s="364"/>
      <c r="C24" s="364"/>
      <c r="D24" s="364"/>
      <c r="E24" s="364"/>
      <c r="F24" s="364"/>
      <c r="G24" s="364"/>
      <c r="H24" s="365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3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4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/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4" t="s">
        <v>43</v>
      </c>
      <c r="B26" s="385"/>
      <c r="C26" s="385"/>
      <c r="D26" s="385"/>
      <c r="E26" s="385"/>
      <c r="F26" s="385"/>
      <c r="G26" s="385"/>
      <c r="H26" s="386"/>
      <c r="I26" s="309"/>
      <c r="J26" s="104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/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4" t="s">
        <v>43</v>
      </c>
      <c r="B28" s="385"/>
      <c r="C28" s="385"/>
      <c r="D28" s="385"/>
      <c r="E28" s="385"/>
      <c r="F28" s="385"/>
      <c r="G28" s="385"/>
      <c r="H28" s="386"/>
      <c r="I28" s="309"/>
      <c r="J28" s="104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/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4" t="s">
        <v>43</v>
      </c>
      <c r="B30" s="385"/>
      <c r="C30" s="385"/>
      <c r="D30" s="385"/>
      <c r="E30" s="385"/>
      <c r="F30" s="385"/>
      <c r="G30" s="385"/>
      <c r="H30" s="386"/>
      <c r="I30" s="309"/>
      <c r="J30" s="104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/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26">100%+AM31</f>
        <v>1</v>
      </c>
      <c r="AO31" s="41">
        <f t="shared" si="26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4" t="s">
        <v>43</v>
      </c>
      <c r="B32" s="385"/>
      <c r="C32" s="385"/>
      <c r="D32" s="385"/>
      <c r="E32" s="385"/>
      <c r="F32" s="385"/>
      <c r="G32" s="385"/>
      <c r="H32" s="386"/>
      <c r="I32" s="309"/>
      <c r="J32" s="104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/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26"/>
        <v>1</v>
      </c>
      <c r="AO33" s="41">
        <f t="shared" si="26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4" t="s">
        <v>43</v>
      </c>
      <c r="B34" s="385"/>
      <c r="C34" s="385"/>
      <c r="D34" s="385"/>
      <c r="E34" s="385"/>
      <c r="F34" s="385"/>
      <c r="G34" s="385"/>
      <c r="H34" s="386"/>
      <c r="I34" s="309"/>
      <c r="J34" s="104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/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26"/>
        <v>1</v>
      </c>
      <c r="AO35" s="41">
        <f t="shared" si="26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4" t="s">
        <v>43</v>
      </c>
      <c r="B36" s="385"/>
      <c r="C36" s="385"/>
      <c r="D36" s="385"/>
      <c r="E36" s="385"/>
      <c r="F36" s="385"/>
      <c r="G36" s="385"/>
      <c r="H36" s="386"/>
      <c r="I36" s="309"/>
      <c r="J36" s="104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/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26"/>
        <v>1</v>
      </c>
      <c r="AO37" s="41">
        <f t="shared" si="26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4" t="s">
        <v>43</v>
      </c>
      <c r="B38" s="385"/>
      <c r="C38" s="385"/>
      <c r="D38" s="385"/>
      <c r="E38" s="385"/>
      <c r="F38" s="385"/>
      <c r="G38" s="385"/>
      <c r="H38" s="386"/>
      <c r="I38" s="309"/>
      <c r="J38" s="104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/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26"/>
        <v>1</v>
      </c>
      <c r="AO39" s="41">
        <f t="shared" si="26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4" t="s">
        <v>43</v>
      </c>
      <c r="B40" s="385"/>
      <c r="C40" s="385"/>
      <c r="D40" s="385"/>
      <c r="E40" s="385"/>
      <c r="F40" s="385"/>
      <c r="G40" s="385"/>
      <c r="H40" s="386"/>
      <c r="I40" s="309"/>
      <c r="J40" s="104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/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26"/>
        <v>1</v>
      </c>
      <c r="AO41" s="41">
        <f t="shared" si="26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4" t="s">
        <v>43</v>
      </c>
      <c r="B42" s="385"/>
      <c r="C42" s="385"/>
      <c r="D42" s="385"/>
      <c r="E42" s="385"/>
      <c r="F42" s="385"/>
      <c r="G42" s="385"/>
      <c r="H42" s="386"/>
      <c r="I42" s="309"/>
      <c r="J42" s="104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27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/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26"/>
        <v>1</v>
      </c>
      <c r="AO43" s="41">
        <f t="shared" si="26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4" t="s">
        <v>43</v>
      </c>
      <c r="B44" s="385"/>
      <c r="C44" s="385"/>
      <c r="D44" s="385"/>
      <c r="E44" s="385"/>
      <c r="F44" s="385"/>
      <c r="G44" s="385"/>
      <c r="H44" s="386"/>
      <c r="I44" s="309"/>
      <c r="J44" s="104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27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/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26"/>
        <v>1</v>
      </c>
      <c r="AO45" s="41">
        <f t="shared" si="26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4" t="s">
        <v>43</v>
      </c>
      <c r="B46" s="385"/>
      <c r="C46" s="385"/>
      <c r="D46" s="385"/>
      <c r="E46" s="385"/>
      <c r="F46" s="385"/>
      <c r="G46" s="385"/>
      <c r="H46" s="386"/>
      <c r="I46" s="309"/>
      <c r="J46" s="104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27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/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26"/>
        <v>1</v>
      </c>
      <c r="AO47" s="41">
        <f t="shared" si="26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4" t="s">
        <v>43</v>
      </c>
      <c r="B48" s="385"/>
      <c r="C48" s="385"/>
      <c r="D48" s="385"/>
      <c r="E48" s="385"/>
      <c r="F48" s="385"/>
      <c r="G48" s="385"/>
      <c r="H48" s="386"/>
      <c r="I48" s="309"/>
      <c r="J48" s="104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27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/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26"/>
        <v>1</v>
      </c>
      <c r="AO49" s="41">
        <f t="shared" si="26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4" t="s">
        <v>43</v>
      </c>
      <c r="B50" s="385"/>
      <c r="C50" s="385"/>
      <c r="D50" s="385"/>
      <c r="E50" s="385"/>
      <c r="F50" s="385"/>
      <c r="G50" s="385"/>
      <c r="H50" s="386"/>
      <c r="I50" s="309"/>
      <c r="J50" s="104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27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/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28">100%+AM51</f>
        <v>1</v>
      </c>
      <c r="AO51" s="41">
        <f t="shared" si="28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4" t="s">
        <v>43</v>
      </c>
      <c r="B52" s="385"/>
      <c r="C52" s="385"/>
      <c r="D52" s="385"/>
      <c r="E52" s="385"/>
      <c r="F52" s="385"/>
      <c r="G52" s="385"/>
      <c r="H52" s="386"/>
      <c r="I52" s="309"/>
      <c r="J52" s="104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27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/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28"/>
        <v>1</v>
      </c>
      <c r="AO53" s="41">
        <f t="shared" si="28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4" t="s">
        <v>43</v>
      </c>
      <c r="B54" s="385"/>
      <c r="C54" s="385"/>
      <c r="D54" s="385"/>
      <c r="E54" s="385"/>
      <c r="F54" s="385"/>
      <c r="G54" s="385"/>
      <c r="H54" s="386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27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/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28"/>
        <v>1</v>
      </c>
      <c r="AO55" s="41">
        <f t="shared" si="28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4" t="s">
        <v>43</v>
      </c>
      <c r="B56" s="385"/>
      <c r="C56" s="385"/>
      <c r="D56" s="385"/>
      <c r="E56" s="385"/>
      <c r="F56" s="385"/>
      <c r="G56" s="385"/>
      <c r="H56" s="386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27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/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28"/>
        <v>1</v>
      </c>
      <c r="AO57" s="41">
        <f t="shared" si="28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4" t="s">
        <v>43</v>
      </c>
      <c r="B58" s="385"/>
      <c r="C58" s="385"/>
      <c r="D58" s="385"/>
      <c r="E58" s="385"/>
      <c r="F58" s="385"/>
      <c r="G58" s="385"/>
      <c r="H58" s="386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27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/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28"/>
        <v>1</v>
      </c>
      <c r="AO59" s="41">
        <f t="shared" si="28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4" t="s">
        <v>43</v>
      </c>
      <c r="B60" s="385"/>
      <c r="C60" s="385"/>
      <c r="D60" s="385"/>
      <c r="E60" s="385"/>
      <c r="F60" s="385"/>
      <c r="G60" s="385"/>
      <c r="H60" s="386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27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/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28"/>
        <v>1</v>
      </c>
      <c r="AO61" s="41">
        <f t="shared" si="28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4" t="s">
        <v>43</v>
      </c>
      <c r="B62" s="385"/>
      <c r="C62" s="385"/>
      <c r="D62" s="385"/>
      <c r="E62" s="385"/>
      <c r="F62" s="385"/>
      <c r="G62" s="385"/>
      <c r="H62" s="386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27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/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28"/>
        <v>1</v>
      </c>
      <c r="AO63" s="41">
        <f t="shared" si="28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4" t="s">
        <v>43</v>
      </c>
      <c r="B64" s="385"/>
      <c r="C64" s="385"/>
      <c r="D64" s="385"/>
      <c r="E64" s="385"/>
      <c r="F64" s="385"/>
      <c r="G64" s="385"/>
      <c r="H64" s="386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27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/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28"/>
        <v>1</v>
      </c>
      <c r="AO65" s="41">
        <f t="shared" si="28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4" t="s">
        <v>43</v>
      </c>
      <c r="B66" s="385"/>
      <c r="C66" s="385"/>
      <c r="D66" s="385"/>
      <c r="E66" s="385"/>
      <c r="F66" s="385"/>
      <c r="G66" s="385"/>
      <c r="H66" s="386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27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/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28"/>
        <v>1</v>
      </c>
      <c r="AO67" s="41">
        <f t="shared" si="28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4" t="s">
        <v>43</v>
      </c>
      <c r="B68" s="385"/>
      <c r="C68" s="385"/>
      <c r="D68" s="385"/>
      <c r="E68" s="385"/>
      <c r="F68" s="385"/>
      <c r="G68" s="385"/>
      <c r="H68" s="386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27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/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28"/>
        <v>1</v>
      </c>
      <c r="AO69" s="41">
        <f t="shared" si="28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4" t="s">
        <v>43</v>
      </c>
      <c r="B70" s="385"/>
      <c r="C70" s="385"/>
      <c r="D70" s="385"/>
      <c r="E70" s="385"/>
      <c r="F70" s="385"/>
      <c r="G70" s="385"/>
      <c r="H70" s="386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27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/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29">100%+AM71</f>
        <v>1</v>
      </c>
      <c r="AO71" s="41">
        <f t="shared" si="29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4" t="s">
        <v>43</v>
      </c>
      <c r="B72" s="385"/>
      <c r="C72" s="385"/>
      <c r="D72" s="385"/>
      <c r="E72" s="385"/>
      <c r="F72" s="385"/>
      <c r="G72" s="385"/>
      <c r="H72" s="386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27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/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29"/>
        <v>1</v>
      </c>
      <c r="AO73" s="41">
        <f t="shared" si="29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4" t="s">
        <v>43</v>
      </c>
      <c r="B74" s="385"/>
      <c r="C74" s="385"/>
      <c r="D74" s="385"/>
      <c r="E74" s="385"/>
      <c r="F74" s="385"/>
      <c r="G74" s="385"/>
      <c r="H74" s="386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27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30">ROUND(((P75*I75)+(Q75*J75)+(R75*K75)+(S75*L75)+(T75*M75))*O75,2)</f>
        <v>0</v>
      </c>
      <c r="V75" s="68">
        <f t="shared" ref="V75:V136" si="31">IF(U75&gt;=15,15,U75)</f>
        <v>0</v>
      </c>
      <c r="W75" s="57"/>
      <c r="X75" s="60"/>
      <c r="Y75" s="45"/>
      <c r="Z75" s="48"/>
      <c r="AA75" s="35"/>
      <c r="AB75" s="36" t="e">
        <f t="shared" ref="AB75:AB136" si="32">ROUND((((W75*I75)+(X75*J75)+(Y75*K75)+(Z75*L75)+(AA75*M75))/$I$2),2)*13</f>
        <v>#DIV/0!</v>
      </c>
      <c r="AC75" s="68" t="e">
        <f t="shared" ref="AC75:AC136" si="33">IF(AB75&gt;=13,13,AB75)</f>
        <v>#DIV/0!</v>
      </c>
      <c r="AD75" s="63"/>
      <c r="AE75" s="32" t="e">
        <f t="shared" ref="AE75:AE136" si="34">IF((AC75+AD75)&gt;=15,15,(AC75+AD75))</f>
        <v>#DIV/0!</v>
      </c>
      <c r="AF75" s="56"/>
      <c r="AG75" s="56"/>
      <c r="AH75" s="37" t="e">
        <f t="shared" ref="AH75:AH136" si="35">IF((V75+AE75+AF75)&gt;=30,30,(V75+AE75+AF75))</f>
        <v>#DIV/0!</v>
      </c>
      <c r="AI75" s="38">
        <v>65</v>
      </c>
      <c r="AJ75" s="30" t="e">
        <f t="shared" ref="AJ75:AJ136" si="36">V75+AE75+AF75+AI75+AG75</f>
        <v>#DIV/0!</v>
      </c>
      <c r="AK75" s="37" t="e">
        <f t="shared" ref="AK75:AK136" si="37">IF(AH75+AI75+AG75&gt;=95,95,AH75+AI75+AG75)</f>
        <v>#DIV/0!</v>
      </c>
      <c r="AL75" s="39" t="e">
        <f t="shared" ref="AL75:AL136" si="38">-((50-((176+(45+(50-AH75)))))/200)</f>
        <v>#DIV/0!</v>
      </c>
      <c r="AM75" s="40"/>
      <c r="AN75" s="41">
        <f t="shared" si="29"/>
        <v>1</v>
      </c>
      <c r="AO75" s="41">
        <f t="shared" si="29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39">AR75+AS75+AT75+AU75+AV75</f>
        <v>0</v>
      </c>
      <c r="AX75" s="71">
        <f t="shared" ref="AX75:AX136" si="40">(AR75*I75)+(AS75*J75)+(AT75*K75)+(AU75*L75)+(AV75*M75)</f>
        <v>0</v>
      </c>
    </row>
    <row r="76" spans="1:50" s="42" customFormat="1" ht="21.95" customHeight="1" thickBot="1" x14ac:dyDescent="0.2">
      <c r="A76" s="384" t="s">
        <v>43</v>
      </c>
      <c r="B76" s="385"/>
      <c r="C76" s="385"/>
      <c r="D76" s="385"/>
      <c r="E76" s="385"/>
      <c r="F76" s="385"/>
      <c r="G76" s="385"/>
      <c r="H76" s="386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27"/>
        <v>0</v>
      </c>
      <c r="O77" s="28">
        <v>1</v>
      </c>
      <c r="P77" s="29"/>
      <c r="Q77" s="30"/>
      <c r="R77" s="30"/>
      <c r="S77" s="30"/>
      <c r="T77" s="31"/>
      <c r="U77" s="32">
        <f t="shared" si="30"/>
        <v>0</v>
      </c>
      <c r="V77" s="68">
        <f t="shared" si="31"/>
        <v>0</v>
      </c>
      <c r="W77" s="57"/>
      <c r="X77" s="60"/>
      <c r="Y77" s="45"/>
      <c r="Z77" s="48"/>
      <c r="AA77" s="35"/>
      <c r="AB77" s="36" t="e">
        <f t="shared" si="32"/>
        <v>#DIV/0!</v>
      </c>
      <c r="AC77" s="68" t="e">
        <f t="shared" si="33"/>
        <v>#DIV/0!</v>
      </c>
      <c r="AD77" s="63"/>
      <c r="AE77" s="32" t="e">
        <f t="shared" si="34"/>
        <v>#DIV/0!</v>
      </c>
      <c r="AF77" s="56"/>
      <c r="AG77" s="56"/>
      <c r="AH77" s="37" t="e">
        <f t="shared" si="35"/>
        <v>#DIV/0!</v>
      </c>
      <c r="AI77" s="38">
        <v>65</v>
      </c>
      <c r="AJ77" s="30" t="e">
        <f t="shared" si="36"/>
        <v>#DIV/0!</v>
      </c>
      <c r="AK77" s="37" t="e">
        <f t="shared" si="37"/>
        <v>#DIV/0!</v>
      </c>
      <c r="AL77" s="39" t="e">
        <f t="shared" si="38"/>
        <v>#DIV/0!</v>
      </c>
      <c r="AM77" s="40"/>
      <c r="AN77" s="41">
        <f t="shared" si="29"/>
        <v>1</v>
      </c>
      <c r="AO77" s="41">
        <f t="shared" si="29"/>
        <v>2</v>
      </c>
      <c r="AP77" s="43"/>
      <c r="AQ77" s="70"/>
      <c r="AR77" s="58"/>
      <c r="AS77" s="58"/>
      <c r="AT77" s="58"/>
      <c r="AU77" s="58"/>
      <c r="AV77" s="59"/>
      <c r="AW77" s="71">
        <f t="shared" si="39"/>
        <v>0</v>
      </c>
      <c r="AX77" s="71">
        <f t="shared" si="40"/>
        <v>0</v>
      </c>
    </row>
    <row r="78" spans="1:50" s="42" customFormat="1" ht="21.95" customHeight="1" thickBot="1" x14ac:dyDescent="0.2">
      <c r="A78" s="384" t="s">
        <v>43</v>
      </c>
      <c r="B78" s="385"/>
      <c r="C78" s="385"/>
      <c r="D78" s="385"/>
      <c r="E78" s="385"/>
      <c r="F78" s="385"/>
      <c r="G78" s="385"/>
      <c r="H78" s="386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27"/>
        <v>0</v>
      </c>
      <c r="O79" s="28">
        <v>1</v>
      </c>
      <c r="P79" s="29"/>
      <c r="Q79" s="30"/>
      <c r="R79" s="30"/>
      <c r="S79" s="30"/>
      <c r="T79" s="31"/>
      <c r="U79" s="32">
        <f t="shared" si="30"/>
        <v>0</v>
      </c>
      <c r="V79" s="68">
        <f t="shared" si="31"/>
        <v>0</v>
      </c>
      <c r="W79" s="57"/>
      <c r="X79" s="60"/>
      <c r="Y79" s="45"/>
      <c r="Z79" s="48"/>
      <c r="AA79" s="35"/>
      <c r="AB79" s="36" t="e">
        <f t="shared" si="32"/>
        <v>#DIV/0!</v>
      </c>
      <c r="AC79" s="68" t="e">
        <f t="shared" si="33"/>
        <v>#DIV/0!</v>
      </c>
      <c r="AD79" s="63"/>
      <c r="AE79" s="32" t="e">
        <f t="shared" si="34"/>
        <v>#DIV/0!</v>
      </c>
      <c r="AF79" s="56"/>
      <c r="AG79" s="56"/>
      <c r="AH79" s="37" t="e">
        <f t="shared" si="35"/>
        <v>#DIV/0!</v>
      </c>
      <c r="AI79" s="38">
        <v>65</v>
      </c>
      <c r="AJ79" s="30" t="e">
        <f t="shared" si="36"/>
        <v>#DIV/0!</v>
      </c>
      <c r="AK79" s="37" t="e">
        <f t="shared" si="37"/>
        <v>#DIV/0!</v>
      </c>
      <c r="AL79" s="39" t="e">
        <f t="shared" si="38"/>
        <v>#DIV/0!</v>
      </c>
      <c r="AM79" s="40"/>
      <c r="AN79" s="41">
        <f t="shared" si="29"/>
        <v>1</v>
      </c>
      <c r="AO79" s="41">
        <f t="shared" si="29"/>
        <v>2</v>
      </c>
      <c r="AP79" s="43"/>
      <c r="AQ79" s="70"/>
      <c r="AR79" s="58"/>
      <c r="AS79" s="58"/>
      <c r="AT79" s="58"/>
      <c r="AU79" s="58"/>
      <c r="AV79" s="59"/>
      <c r="AW79" s="71">
        <f t="shared" si="39"/>
        <v>0</v>
      </c>
      <c r="AX79" s="71">
        <f t="shared" si="40"/>
        <v>0</v>
      </c>
    </row>
    <row r="80" spans="1:50" s="42" customFormat="1" ht="21.95" customHeight="1" thickBot="1" x14ac:dyDescent="0.2">
      <c r="A80" s="384" t="s">
        <v>43</v>
      </c>
      <c r="B80" s="385"/>
      <c r="C80" s="385"/>
      <c r="D80" s="385"/>
      <c r="E80" s="385"/>
      <c r="F80" s="385"/>
      <c r="G80" s="385"/>
      <c r="H80" s="386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27"/>
        <v>0</v>
      </c>
      <c r="O81" s="28">
        <v>1</v>
      </c>
      <c r="P81" s="29"/>
      <c r="Q81" s="30"/>
      <c r="R81" s="30"/>
      <c r="S81" s="30"/>
      <c r="T81" s="31"/>
      <c r="U81" s="32">
        <f t="shared" si="30"/>
        <v>0</v>
      </c>
      <c r="V81" s="68">
        <f t="shared" si="31"/>
        <v>0</v>
      </c>
      <c r="W81" s="57"/>
      <c r="X81" s="60"/>
      <c r="Y81" s="45"/>
      <c r="Z81" s="48"/>
      <c r="AA81" s="35"/>
      <c r="AB81" s="36" t="e">
        <f t="shared" si="32"/>
        <v>#DIV/0!</v>
      </c>
      <c r="AC81" s="68" t="e">
        <f t="shared" si="33"/>
        <v>#DIV/0!</v>
      </c>
      <c r="AD81" s="63"/>
      <c r="AE81" s="32" t="e">
        <f t="shared" si="34"/>
        <v>#DIV/0!</v>
      </c>
      <c r="AF81" s="56"/>
      <c r="AG81" s="56"/>
      <c r="AH81" s="37" t="e">
        <f t="shared" si="35"/>
        <v>#DIV/0!</v>
      </c>
      <c r="AI81" s="38">
        <v>65</v>
      </c>
      <c r="AJ81" s="30" t="e">
        <f t="shared" si="36"/>
        <v>#DIV/0!</v>
      </c>
      <c r="AK81" s="37" t="e">
        <f t="shared" si="37"/>
        <v>#DIV/0!</v>
      </c>
      <c r="AL81" s="39" t="e">
        <f t="shared" si="38"/>
        <v>#DIV/0!</v>
      </c>
      <c r="AM81" s="40"/>
      <c r="AN81" s="41">
        <f t="shared" si="29"/>
        <v>1</v>
      </c>
      <c r="AO81" s="41">
        <f t="shared" si="29"/>
        <v>2</v>
      </c>
      <c r="AP81" s="43"/>
      <c r="AQ81" s="70"/>
      <c r="AR81" s="58"/>
      <c r="AS81" s="58"/>
      <c r="AT81" s="58"/>
      <c r="AU81" s="58"/>
      <c r="AV81" s="59"/>
      <c r="AW81" s="71">
        <f t="shared" si="39"/>
        <v>0</v>
      </c>
      <c r="AX81" s="71">
        <f t="shared" si="40"/>
        <v>0</v>
      </c>
    </row>
    <row r="82" spans="1:50" s="42" customFormat="1" ht="21.95" customHeight="1" thickBot="1" x14ac:dyDescent="0.2">
      <c r="A82" s="384" t="s">
        <v>43</v>
      </c>
      <c r="B82" s="385"/>
      <c r="C82" s="385"/>
      <c r="D82" s="385"/>
      <c r="E82" s="385"/>
      <c r="F82" s="385"/>
      <c r="G82" s="385"/>
      <c r="H82" s="386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27"/>
        <v>0</v>
      </c>
      <c r="O83" s="28">
        <v>1</v>
      </c>
      <c r="P83" s="29"/>
      <c r="Q83" s="30"/>
      <c r="R83" s="30"/>
      <c r="S83" s="30"/>
      <c r="T83" s="31"/>
      <c r="U83" s="32">
        <f t="shared" si="30"/>
        <v>0</v>
      </c>
      <c r="V83" s="68">
        <f t="shared" si="31"/>
        <v>0</v>
      </c>
      <c r="W83" s="57"/>
      <c r="X83" s="60"/>
      <c r="Y83" s="45"/>
      <c r="Z83" s="48"/>
      <c r="AA83" s="35"/>
      <c r="AB83" s="36" t="e">
        <f t="shared" si="32"/>
        <v>#DIV/0!</v>
      </c>
      <c r="AC83" s="68" t="e">
        <f t="shared" si="33"/>
        <v>#DIV/0!</v>
      </c>
      <c r="AD83" s="63"/>
      <c r="AE83" s="32" t="e">
        <f t="shared" si="34"/>
        <v>#DIV/0!</v>
      </c>
      <c r="AF83" s="56"/>
      <c r="AG83" s="56"/>
      <c r="AH83" s="37" t="e">
        <f t="shared" si="35"/>
        <v>#DIV/0!</v>
      </c>
      <c r="AI83" s="38">
        <v>65</v>
      </c>
      <c r="AJ83" s="30" t="e">
        <f t="shared" si="36"/>
        <v>#DIV/0!</v>
      </c>
      <c r="AK83" s="37" t="e">
        <f t="shared" si="37"/>
        <v>#DIV/0!</v>
      </c>
      <c r="AL83" s="39" t="e">
        <f t="shared" si="38"/>
        <v>#DIV/0!</v>
      </c>
      <c r="AM83" s="40"/>
      <c r="AN83" s="41">
        <f t="shared" si="29"/>
        <v>1</v>
      </c>
      <c r="AO83" s="41">
        <f t="shared" si="29"/>
        <v>2</v>
      </c>
      <c r="AP83" s="43"/>
      <c r="AQ83" s="70"/>
      <c r="AR83" s="58"/>
      <c r="AS83" s="58"/>
      <c r="AT83" s="58"/>
      <c r="AU83" s="58"/>
      <c r="AV83" s="59"/>
      <c r="AW83" s="71">
        <f t="shared" si="39"/>
        <v>0</v>
      </c>
      <c r="AX83" s="71">
        <f t="shared" si="40"/>
        <v>0</v>
      </c>
    </row>
    <row r="84" spans="1:50" s="42" customFormat="1" ht="21.95" customHeight="1" thickBot="1" x14ac:dyDescent="0.2">
      <c r="A84" s="384" t="s">
        <v>43</v>
      </c>
      <c r="B84" s="385"/>
      <c r="C84" s="385"/>
      <c r="D84" s="385"/>
      <c r="E84" s="385"/>
      <c r="F84" s="385"/>
      <c r="G84" s="385"/>
      <c r="H84" s="386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27"/>
        <v>0</v>
      </c>
      <c r="O85" s="28">
        <v>1</v>
      </c>
      <c r="P85" s="29"/>
      <c r="Q85" s="30"/>
      <c r="R85" s="30"/>
      <c r="S85" s="30"/>
      <c r="T85" s="31"/>
      <c r="U85" s="32">
        <f t="shared" si="30"/>
        <v>0</v>
      </c>
      <c r="V85" s="68">
        <f t="shared" si="31"/>
        <v>0</v>
      </c>
      <c r="W85" s="57"/>
      <c r="X85" s="60"/>
      <c r="Y85" s="45"/>
      <c r="Z85" s="48"/>
      <c r="AA85" s="35"/>
      <c r="AB85" s="36" t="e">
        <f t="shared" si="32"/>
        <v>#DIV/0!</v>
      </c>
      <c r="AC85" s="68" t="e">
        <f t="shared" si="33"/>
        <v>#DIV/0!</v>
      </c>
      <c r="AD85" s="63"/>
      <c r="AE85" s="32" t="e">
        <f t="shared" si="34"/>
        <v>#DIV/0!</v>
      </c>
      <c r="AF85" s="56"/>
      <c r="AG85" s="56"/>
      <c r="AH85" s="37" t="e">
        <f t="shared" si="35"/>
        <v>#DIV/0!</v>
      </c>
      <c r="AI85" s="38">
        <v>65</v>
      </c>
      <c r="AJ85" s="30" t="e">
        <f t="shared" si="36"/>
        <v>#DIV/0!</v>
      </c>
      <c r="AK85" s="37" t="e">
        <f t="shared" si="37"/>
        <v>#DIV/0!</v>
      </c>
      <c r="AL85" s="39" t="e">
        <f t="shared" si="38"/>
        <v>#DIV/0!</v>
      </c>
      <c r="AM85" s="40"/>
      <c r="AN85" s="41">
        <f t="shared" si="29"/>
        <v>1</v>
      </c>
      <c r="AO85" s="41">
        <f t="shared" si="29"/>
        <v>2</v>
      </c>
      <c r="AP85" s="43"/>
      <c r="AQ85" s="70"/>
      <c r="AR85" s="58"/>
      <c r="AS85" s="58"/>
      <c r="AT85" s="58"/>
      <c r="AU85" s="58"/>
      <c r="AV85" s="59"/>
      <c r="AW85" s="71">
        <f t="shared" si="39"/>
        <v>0</v>
      </c>
      <c r="AX85" s="71">
        <f t="shared" si="40"/>
        <v>0</v>
      </c>
    </row>
    <row r="86" spans="1:50" s="42" customFormat="1" ht="21.95" customHeight="1" thickBot="1" x14ac:dyDescent="0.2">
      <c r="A86" s="384" t="s">
        <v>43</v>
      </c>
      <c r="B86" s="385"/>
      <c r="C86" s="385"/>
      <c r="D86" s="385"/>
      <c r="E86" s="385"/>
      <c r="F86" s="385"/>
      <c r="G86" s="385"/>
      <c r="H86" s="386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27"/>
        <v>0</v>
      </c>
      <c r="O87" s="28">
        <v>1</v>
      </c>
      <c r="P87" s="29"/>
      <c r="Q87" s="30"/>
      <c r="R87" s="30"/>
      <c r="S87" s="30"/>
      <c r="T87" s="31"/>
      <c r="U87" s="32">
        <f t="shared" si="30"/>
        <v>0</v>
      </c>
      <c r="V87" s="68">
        <f t="shared" si="31"/>
        <v>0</v>
      </c>
      <c r="W87" s="57"/>
      <c r="X87" s="60"/>
      <c r="Y87" s="45"/>
      <c r="Z87" s="48"/>
      <c r="AA87" s="35"/>
      <c r="AB87" s="36" t="e">
        <f t="shared" si="32"/>
        <v>#DIV/0!</v>
      </c>
      <c r="AC87" s="68" t="e">
        <f t="shared" si="33"/>
        <v>#DIV/0!</v>
      </c>
      <c r="AD87" s="63"/>
      <c r="AE87" s="32" t="e">
        <f t="shared" si="34"/>
        <v>#DIV/0!</v>
      </c>
      <c r="AF87" s="56"/>
      <c r="AG87" s="56"/>
      <c r="AH87" s="37" t="e">
        <f t="shared" si="35"/>
        <v>#DIV/0!</v>
      </c>
      <c r="AI87" s="38">
        <v>65</v>
      </c>
      <c r="AJ87" s="30" t="e">
        <f t="shared" si="36"/>
        <v>#DIV/0!</v>
      </c>
      <c r="AK87" s="37" t="e">
        <f t="shared" si="37"/>
        <v>#DIV/0!</v>
      </c>
      <c r="AL87" s="39" t="e">
        <f t="shared" si="38"/>
        <v>#DIV/0!</v>
      </c>
      <c r="AM87" s="40"/>
      <c r="AN87" s="41">
        <f t="shared" si="29"/>
        <v>1</v>
      </c>
      <c r="AO87" s="41">
        <f t="shared" si="29"/>
        <v>2</v>
      </c>
      <c r="AP87" s="43"/>
      <c r="AQ87" s="70"/>
      <c r="AR87" s="58"/>
      <c r="AS87" s="58"/>
      <c r="AT87" s="58"/>
      <c r="AU87" s="58"/>
      <c r="AV87" s="59"/>
      <c r="AW87" s="71">
        <f t="shared" si="39"/>
        <v>0</v>
      </c>
      <c r="AX87" s="71">
        <f t="shared" si="40"/>
        <v>0</v>
      </c>
    </row>
    <row r="88" spans="1:50" s="42" customFormat="1" ht="21.95" customHeight="1" thickBot="1" x14ac:dyDescent="0.2">
      <c r="A88" s="384" t="s">
        <v>43</v>
      </c>
      <c r="B88" s="385"/>
      <c r="C88" s="385"/>
      <c r="D88" s="385"/>
      <c r="E88" s="385"/>
      <c r="F88" s="385"/>
      <c r="G88" s="385"/>
      <c r="H88" s="386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27"/>
        <v>0</v>
      </c>
      <c r="O89" s="28">
        <v>1</v>
      </c>
      <c r="P89" s="29"/>
      <c r="Q89" s="30"/>
      <c r="R89" s="30"/>
      <c r="S89" s="30"/>
      <c r="T89" s="31"/>
      <c r="U89" s="32">
        <f t="shared" si="30"/>
        <v>0</v>
      </c>
      <c r="V89" s="68">
        <f t="shared" si="31"/>
        <v>0</v>
      </c>
      <c r="W89" s="57"/>
      <c r="X89" s="60"/>
      <c r="Y89" s="45"/>
      <c r="Z89" s="48"/>
      <c r="AA89" s="35"/>
      <c r="AB89" s="36" t="e">
        <f t="shared" si="32"/>
        <v>#DIV/0!</v>
      </c>
      <c r="AC89" s="68" t="e">
        <f t="shared" si="33"/>
        <v>#DIV/0!</v>
      </c>
      <c r="AD89" s="63"/>
      <c r="AE89" s="32" t="e">
        <f t="shared" si="34"/>
        <v>#DIV/0!</v>
      </c>
      <c r="AF89" s="56"/>
      <c r="AG89" s="56"/>
      <c r="AH89" s="37" t="e">
        <f t="shared" si="35"/>
        <v>#DIV/0!</v>
      </c>
      <c r="AI89" s="38">
        <v>65</v>
      </c>
      <c r="AJ89" s="30" t="e">
        <f t="shared" si="36"/>
        <v>#DIV/0!</v>
      </c>
      <c r="AK89" s="37" t="e">
        <f t="shared" si="37"/>
        <v>#DIV/0!</v>
      </c>
      <c r="AL89" s="39" t="e">
        <f t="shared" si="38"/>
        <v>#DIV/0!</v>
      </c>
      <c r="AM89" s="40"/>
      <c r="AN89" s="41">
        <f t="shared" si="29"/>
        <v>1</v>
      </c>
      <c r="AO89" s="41">
        <f t="shared" si="29"/>
        <v>2</v>
      </c>
      <c r="AP89" s="43"/>
      <c r="AQ89" s="70"/>
      <c r="AR89" s="58"/>
      <c r="AS89" s="58"/>
      <c r="AT89" s="58"/>
      <c r="AU89" s="58"/>
      <c r="AV89" s="59"/>
      <c r="AW89" s="71">
        <f t="shared" si="39"/>
        <v>0</v>
      </c>
      <c r="AX89" s="71">
        <f t="shared" si="40"/>
        <v>0</v>
      </c>
    </row>
    <row r="90" spans="1:50" s="42" customFormat="1" ht="21.95" customHeight="1" thickBot="1" x14ac:dyDescent="0.2">
      <c r="A90" s="384" t="s">
        <v>43</v>
      </c>
      <c r="B90" s="385"/>
      <c r="C90" s="385"/>
      <c r="D90" s="385"/>
      <c r="E90" s="385"/>
      <c r="F90" s="385"/>
      <c r="G90" s="385"/>
      <c r="H90" s="386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27"/>
        <v>0</v>
      </c>
      <c r="O91" s="28">
        <v>1</v>
      </c>
      <c r="P91" s="29"/>
      <c r="Q91" s="30"/>
      <c r="R91" s="30"/>
      <c r="S91" s="30"/>
      <c r="T91" s="31"/>
      <c r="U91" s="32">
        <f t="shared" si="30"/>
        <v>0</v>
      </c>
      <c r="V91" s="68">
        <f t="shared" si="31"/>
        <v>0</v>
      </c>
      <c r="W91" s="57"/>
      <c r="X91" s="60"/>
      <c r="Y91" s="45"/>
      <c r="Z91" s="48"/>
      <c r="AA91" s="35"/>
      <c r="AB91" s="36" t="e">
        <f t="shared" si="32"/>
        <v>#DIV/0!</v>
      </c>
      <c r="AC91" s="68" t="e">
        <f t="shared" si="33"/>
        <v>#DIV/0!</v>
      </c>
      <c r="AD91" s="63"/>
      <c r="AE91" s="32" t="e">
        <f t="shared" si="34"/>
        <v>#DIV/0!</v>
      </c>
      <c r="AF91" s="56"/>
      <c r="AG91" s="56"/>
      <c r="AH91" s="37" t="e">
        <f t="shared" si="35"/>
        <v>#DIV/0!</v>
      </c>
      <c r="AI91" s="38">
        <v>65</v>
      </c>
      <c r="AJ91" s="30" t="e">
        <f t="shared" si="36"/>
        <v>#DIV/0!</v>
      </c>
      <c r="AK91" s="37" t="e">
        <f t="shared" si="37"/>
        <v>#DIV/0!</v>
      </c>
      <c r="AL91" s="39" t="e">
        <f t="shared" si="38"/>
        <v>#DIV/0!</v>
      </c>
      <c r="AM91" s="40"/>
      <c r="AN91" s="41">
        <f t="shared" ref="AN91:AO109" si="41">100%+AM91</f>
        <v>1</v>
      </c>
      <c r="AO91" s="41">
        <f t="shared" si="41"/>
        <v>2</v>
      </c>
      <c r="AP91" s="43"/>
      <c r="AQ91" s="70"/>
      <c r="AR91" s="58"/>
      <c r="AS91" s="58"/>
      <c r="AT91" s="58"/>
      <c r="AU91" s="58"/>
      <c r="AV91" s="59"/>
      <c r="AW91" s="71">
        <f t="shared" si="39"/>
        <v>0</v>
      </c>
      <c r="AX91" s="71">
        <f t="shared" si="40"/>
        <v>0</v>
      </c>
    </row>
    <row r="92" spans="1:50" s="42" customFormat="1" ht="21.95" customHeight="1" thickBot="1" x14ac:dyDescent="0.2">
      <c r="A92" s="384" t="s">
        <v>43</v>
      </c>
      <c r="B92" s="385"/>
      <c r="C92" s="385"/>
      <c r="D92" s="385"/>
      <c r="E92" s="385"/>
      <c r="F92" s="385"/>
      <c r="G92" s="385"/>
      <c r="H92" s="386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27"/>
        <v>0</v>
      </c>
      <c r="O93" s="28">
        <v>1</v>
      </c>
      <c r="P93" s="29"/>
      <c r="Q93" s="30"/>
      <c r="R93" s="30"/>
      <c r="S93" s="30"/>
      <c r="T93" s="31"/>
      <c r="U93" s="32">
        <f t="shared" si="30"/>
        <v>0</v>
      </c>
      <c r="V93" s="68">
        <f t="shared" si="31"/>
        <v>0</v>
      </c>
      <c r="W93" s="57"/>
      <c r="X93" s="60"/>
      <c r="Y93" s="45"/>
      <c r="Z93" s="48"/>
      <c r="AA93" s="35"/>
      <c r="AB93" s="36" t="e">
        <f t="shared" si="32"/>
        <v>#DIV/0!</v>
      </c>
      <c r="AC93" s="68" t="e">
        <f t="shared" si="33"/>
        <v>#DIV/0!</v>
      </c>
      <c r="AD93" s="63"/>
      <c r="AE93" s="32" t="e">
        <f t="shared" si="34"/>
        <v>#DIV/0!</v>
      </c>
      <c r="AF93" s="56"/>
      <c r="AG93" s="56"/>
      <c r="AH93" s="37" t="e">
        <f t="shared" si="35"/>
        <v>#DIV/0!</v>
      </c>
      <c r="AI93" s="38">
        <v>65</v>
      </c>
      <c r="AJ93" s="30" t="e">
        <f t="shared" si="36"/>
        <v>#DIV/0!</v>
      </c>
      <c r="AK93" s="37" t="e">
        <f t="shared" si="37"/>
        <v>#DIV/0!</v>
      </c>
      <c r="AL93" s="39" t="e">
        <f t="shared" si="38"/>
        <v>#DIV/0!</v>
      </c>
      <c r="AM93" s="40"/>
      <c r="AN93" s="41">
        <f t="shared" si="41"/>
        <v>1</v>
      </c>
      <c r="AO93" s="41">
        <f t="shared" si="41"/>
        <v>2</v>
      </c>
      <c r="AP93" s="43"/>
      <c r="AQ93" s="70"/>
      <c r="AR93" s="58"/>
      <c r="AS93" s="58"/>
      <c r="AT93" s="58"/>
      <c r="AU93" s="58"/>
      <c r="AV93" s="59"/>
      <c r="AW93" s="71">
        <f t="shared" si="39"/>
        <v>0</v>
      </c>
      <c r="AX93" s="71">
        <f t="shared" si="40"/>
        <v>0</v>
      </c>
    </row>
    <row r="94" spans="1:50" s="42" customFormat="1" ht="21.95" customHeight="1" thickBot="1" x14ac:dyDescent="0.2">
      <c r="A94" s="384" t="s">
        <v>43</v>
      </c>
      <c r="B94" s="385"/>
      <c r="C94" s="385"/>
      <c r="D94" s="385"/>
      <c r="E94" s="385"/>
      <c r="F94" s="385"/>
      <c r="G94" s="385"/>
      <c r="H94" s="386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27"/>
        <v>0</v>
      </c>
      <c r="O95" s="28">
        <v>1</v>
      </c>
      <c r="P95" s="29"/>
      <c r="Q95" s="30"/>
      <c r="R95" s="30"/>
      <c r="S95" s="30"/>
      <c r="T95" s="31"/>
      <c r="U95" s="32">
        <f t="shared" si="30"/>
        <v>0</v>
      </c>
      <c r="V95" s="68">
        <f t="shared" si="31"/>
        <v>0</v>
      </c>
      <c r="W95" s="57"/>
      <c r="X95" s="60"/>
      <c r="Y95" s="45"/>
      <c r="Z95" s="48"/>
      <c r="AA95" s="35"/>
      <c r="AB95" s="36" t="e">
        <f t="shared" si="32"/>
        <v>#DIV/0!</v>
      </c>
      <c r="AC95" s="68" t="e">
        <f t="shared" si="33"/>
        <v>#DIV/0!</v>
      </c>
      <c r="AD95" s="63"/>
      <c r="AE95" s="32" t="e">
        <f t="shared" si="34"/>
        <v>#DIV/0!</v>
      </c>
      <c r="AF95" s="56"/>
      <c r="AG95" s="56"/>
      <c r="AH95" s="37" t="e">
        <f t="shared" si="35"/>
        <v>#DIV/0!</v>
      </c>
      <c r="AI95" s="38">
        <v>65</v>
      </c>
      <c r="AJ95" s="30" t="e">
        <f t="shared" si="36"/>
        <v>#DIV/0!</v>
      </c>
      <c r="AK95" s="37" t="e">
        <f t="shared" si="37"/>
        <v>#DIV/0!</v>
      </c>
      <c r="AL95" s="39" t="e">
        <f t="shared" si="38"/>
        <v>#DIV/0!</v>
      </c>
      <c r="AM95" s="40"/>
      <c r="AN95" s="41">
        <f t="shared" si="41"/>
        <v>1</v>
      </c>
      <c r="AO95" s="41">
        <f t="shared" si="41"/>
        <v>2</v>
      </c>
      <c r="AP95" s="43"/>
      <c r="AQ95" s="70"/>
      <c r="AR95" s="58"/>
      <c r="AS95" s="58"/>
      <c r="AT95" s="58"/>
      <c r="AU95" s="58"/>
      <c r="AV95" s="59"/>
      <c r="AW95" s="71">
        <f t="shared" si="39"/>
        <v>0</v>
      </c>
      <c r="AX95" s="71">
        <f t="shared" si="40"/>
        <v>0</v>
      </c>
    </row>
    <row r="96" spans="1:50" s="42" customFormat="1" ht="21.95" customHeight="1" thickBot="1" x14ac:dyDescent="0.2">
      <c r="A96" s="384" t="s">
        <v>43</v>
      </c>
      <c r="B96" s="385"/>
      <c r="C96" s="385"/>
      <c r="D96" s="385"/>
      <c r="E96" s="385"/>
      <c r="F96" s="385"/>
      <c r="G96" s="385"/>
      <c r="H96" s="386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27"/>
        <v>0</v>
      </c>
      <c r="O97" s="28">
        <v>1</v>
      </c>
      <c r="P97" s="29"/>
      <c r="Q97" s="30"/>
      <c r="R97" s="30"/>
      <c r="S97" s="30"/>
      <c r="T97" s="31"/>
      <c r="U97" s="32">
        <f t="shared" si="30"/>
        <v>0</v>
      </c>
      <c r="V97" s="68">
        <f t="shared" si="31"/>
        <v>0</v>
      </c>
      <c r="W97" s="57"/>
      <c r="X97" s="60"/>
      <c r="Y97" s="45"/>
      <c r="Z97" s="48"/>
      <c r="AA97" s="35"/>
      <c r="AB97" s="36" t="e">
        <f t="shared" si="32"/>
        <v>#DIV/0!</v>
      </c>
      <c r="AC97" s="68" t="e">
        <f t="shared" si="33"/>
        <v>#DIV/0!</v>
      </c>
      <c r="AD97" s="63"/>
      <c r="AE97" s="32" t="e">
        <f t="shared" si="34"/>
        <v>#DIV/0!</v>
      </c>
      <c r="AF97" s="56"/>
      <c r="AG97" s="56"/>
      <c r="AH97" s="37" t="e">
        <f t="shared" si="35"/>
        <v>#DIV/0!</v>
      </c>
      <c r="AI97" s="38">
        <v>65</v>
      </c>
      <c r="AJ97" s="30" t="e">
        <f t="shared" si="36"/>
        <v>#DIV/0!</v>
      </c>
      <c r="AK97" s="37" t="e">
        <f t="shared" si="37"/>
        <v>#DIV/0!</v>
      </c>
      <c r="AL97" s="39" t="e">
        <f t="shared" si="38"/>
        <v>#DIV/0!</v>
      </c>
      <c r="AM97" s="40"/>
      <c r="AN97" s="41">
        <f t="shared" si="41"/>
        <v>1</v>
      </c>
      <c r="AO97" s="41">
        <f t="shared" si="41"/>
        <v>2</v>
      </c>
      <c r="AP97" s="43"/>
      <c r="AQ97" s="70"/>
      <c r="AR97" s="58"/>
      <c r="AS97" s="58"/>
      <c r="AT97" s="58"/>
      <c r="AU97" s="58"/>
      <c r="AV97" s="59"/>
      <c r="AW97" s="71">
        <f t="shared" si="39"/>
        <v>0</v>
      </c>
      <c r="AX97" s="71">
        <f t="shared" si="40"/>
        <v>0</v>
      </c>
    </row>
    <row r="98" spans="1:50" s="42" customFormat="1" ht="21.95" customHeight="1" thickBot="1" x14ac:dyDescent="0.2">
      <c r="A98" s="384" t="s">
        <v>43</v>
      </c>
      <c r="B98" s="385"/>
      <c r="C98" s="385"/>
      <c r="D98" s="385"/>
      <c r="E98" s="385"/>
      <c r="F98" s="385"/>
      <c r="G98" s="385"/>
      <c r="H98" s="386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27"/>
        <v>0</v>
      </c>
      <c r="O99" s="28">
        <v>1</v>
      </c>
      <c r="P99" s="29"/>
      <c r="Q99" s="30"/>
      <c r="R99" s="30"/>
      <c r="S99" s="30"/>
      <c r="T99" s="31"/>
      <c r="U99" s="32">
        <f t="shared" si="30"/>
        <v>0</v>
      </c>
      <c r="V99" s="68">
        <f t="shared" si="31"/>
        <v>0</v>
      </c>
      <c r="W99" s="57"/>
      <c r="X99" s="60"/>
      <c r="Y99" s="45"/>
      <c r="Z99" s="48"/>
      <c r="AA99" s="35"/>
      <c r="AB99" s="36" t="e">
        <f t="shared" si="32"/>
        <v>#DIV/0!</v>
      </c>
      <c r="AC99" s="68" t="e">
        <f t="shared" si="33"/>
        <v>#DIV/0!</v>
      </c>
      <c r="AD99" s="63"/>
      <c r="AE99" s="32" t="e">
        <f t="shared" si="34"/>
        <v>#DIV/0!</v>
      </c>
      <c r="AF99" s="56"/>
      <c r="AG99" s="56"/>
      <c r="AH99" s="37" t="e">
        <f t="shared" si="35"/>
        <v>#DIV/0!</v>
      </c>
      <c r="AI99" s="38">
        <v>65</v>
      </c>
      <c r="AJ99" s="30" t="e">
        <f t="shared" si="36"/>
        <v>#DIV/0!</v>
      </c>
      <c r="AK99" s="37" t="e">
        <f t="shared" si="37"/>
        <v>#DIV/0!</v>
      </c>
      <c r="AL99" s="39" t="e">
        <f t="shared" si="38"/>
        <v>#DIV/0!</v>
      </c>
      <c r="AM99" s="40"/>
      <c r="AN99" s="41">
        <f t="shared" si="41"/>
        <v>1</v>
      </c>
      <c r="AO99" s="41">
        <f t="shared" si="41"/>
        <v>2</v>
      </c>
      <c r="AP99" s="43"/>
      <c r="AQ99" s="70"/>
      <c r="AR99" s="58"/>
      <c r="AS99" s="58"/>
      <c r="AT99" s="58"/>
      <c r="AU99" s="58"/>
      <c r="AV99" s="59"/>
      <c r="AW99" s="71">
        <f t="shared" si="39"/>
        <v>0</v>
      </c>
      <c r="AX99" s="71">
        <f t="shared" si="40"/>
        <v>0</v>
      </c>
    </row>
    <row r="100" spans="1:50" s="42" customFormat="1" ht="21.95" customHeight="1" thickBot="1" x14ac:dyDescent="0.2">
      <c r="A100" s="384" t="s">
        <v>43</v>
      </c>
      <c r="B100" s="385"/>
      <c r="C100" s="385"/>
      <c r="D100" s="385"/>
      <c r="E100" s="385"/>
      <c r="F100" s="385"/>
      <c r="G100" s="385"/>
      <c r="H100" s="386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27"/>
        <v>0</v>
      </c>
      <c r="O101" s="28">
        <v>1</v>
      </c>
      <c r="P101" s="29"/>
      <c r="Q101" s="30"/>
      <c r="R101" s="30"/>
      <c r="S101" s="30"/>
      <c r="T101" s="31"/>
      <c r="U101" s="32">
        <f t="shared" si="30"/>
        <v>0</v>
      </c>
      <c r="V101" s="68">
        <f t="shared" si="31"/>
        <v>0</v>
      </c>
      <c r="W101" s="57"/>
      <c r="X101" s="60"/>
      <c r="Y101" s="45"/>
      <c r="Z101" s="48"/>
      <c r="AA101" s="35"/>
      <c r="AB101" s="36" t="e">
        <f t="shared" si="32"/>
        <v>#DIV/0!</v>
      </c>
      <c r="AC101" s="68" t="e">
        <f t="shared" si="33"/>
        <v>#DIV/0!</v>
      </c>
      <c r="AD101" s="63"/>
      <c r="AE101" s="32" t="e">
        <f t="shared" si="34"/>
        <v>#DIV/0!</v>
      </c>
      <c r="AF101" s="56"/>
      <c r="AG101" s="56"/>
      <c r="AH101" s="37" t="e">
        <f t="shared" si="35"/>
        <v>#DIV/0!</v>
      </c>
      <c r="AI101" s="38">
        <v>65</v>
      </c>
      <c r="AJ101" s="30" t="e">
        <f t="shared" si="36"/>
        <v>#DIV/0!</v>
      </c>
      <c r="AK101" s="37" t="e">
        <f t="shared" si="37"/>
        <v>#DIV/0!</v>
      </c>
      <c r="AL101" s="39" t="e">
        <f t="shared" si="38"/>
        <v>#DIV/0!</v>
      </c>
      <c r="AM101" s="40"/>
      <c r="AN101" s="41">
        <f t="shared" si="41"/>
        <v>1</v>
      </c>
      <c r="AO101" s="41">
        <f t="shared" si="41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9"/>
        <v>0</v>
      </c>
      <c r="AX101" s="71">
        <f t="shared" si="40"/>
        <v>0</v>
      </c>
    </row>
    <row r="102" spans="1:50" s="42" customFormat="1" ht="21.95" customHeight="1" thickBot="1" x14ac:dyDescent="0.2">
      <c r="A102" s="384" t="s">
        <v>43</v>
      </c>
      <c r="B102" s="385"/>
      <c r="C102" s="385"/>
      <c r="D102" s="385"/>
      <c r="E102" s="385"/>
      <c r="F102" s="385"/>
      <c r="G102" s="385"/>
      <c r="H102" s="386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27"/>
        <v>0</v>
      </c>
      <c r="O103" s="28">
        <v>1</v>
      </c>
      <c r="P103" s="29"/>
      <c r="Q103" s="30"/>
      <c r="R103" s="30"/>
      <c r="S103" s="30"/>
      <c r="T103" s="31"/>
      <c r="U103" s="32">
        <f t="shared" si="30"/>
        <v>0</v>
      </c>
      <c r="V103" s="68">
        <f t="shared" si="31"/>
        <v>0</v>
      </c>
      <c r="W103" s="57"/>
      <c r="X103" s="60"/>
      <c r="Y103" s="45"/>
      <c r="Z103" s="48"/>
      <c r="AA103" s="35"/>
      <c r="AB103" s="36" t="e">
        <f t="shared" si="32"/>
        <v>#DIV/0!</v>
      </c>
      <c r="AC103" s="68" t="e">
        <f t="shared" si="33"/>
        <v>#DIV/0!</v>
      </c>
      <c r="AD103" s="63"/>
      <c r="AE103" s="32" t="e">
        <f t="shared" si="34"/>
        <v>#DIV/0!</v>
      </c>
      <c r="AF103" s="56"/>
      <c r="AG103" s="56"/>
      <c r="AH103" s="37" t="e">
        <f t="shared" si="35"/>
        <v>#DIV/0!</v>
      </c>
      <c r="AI103" s="38">
        <v>65</v>
      </c>
      <c r="AJ103" s="30" t="e">
        <f t="shared" si="36"/>
        <v>#DIV/0!</v>
      </c>
      <c r="AK103" s="37" t="e">
        <f t="shared" si="37"/>
        <v>#DIV/0!</v>
      </c>
      <c r="AL103" s="39" t="e">
        <f t="shared" si="38"/>
        <v>#DIV/0!</v>
      </c>
      <c r="AM103" s="40"/>
      <c r="AN103" s="41">
        <f t="shared" si="41"/>
        <v>1</v>
      </c>
      <c r="AO103" s="41">
        <f t="shared" si="41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9"/>
        <v>0</v>
      </c>
      <c r="AX103" s="71">
        <f t="shared" si="40"/>
        <v>0</v>
      </c>
    </row>
    <row r="104" spans="1:50" s="42" customFormat="1" ht="21.95" customHeight="1" thickBot="1" x14ac:dyDescent="0.2">
      <c r="A104" s="384" t="s">
        <v>43</v>
      </c>
      <c r="B104" s="385"/>
      <c r="C104" s="385"/>
      <c r="D104" s="385"/>
      <c r="E104" s="385"/>
      <c r="F104" s="385"/>
      <c r="G104" s="385"/>
      <c r="H104" s="386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27"/>
        <v>0</v>
      </c>
      <c r="O105" s="28">
        <v>1</v>
      </c>
      <c r="P105" s="29"/>
      <c r="Q105" s="30"/>
      <c r="R105" s="30"/>
      <c r="S105" s="30"/>
      <c r="T105" s="31"/>
      <c r="U105" s="32">
        <f t="shared" si="30"/>
        <v>0</v>
      </c>
      <c r="V105" s="68">
        <f t="shared" si="31"/>
        <v>0</v>
      </c>
      <c r="W105" s="57"/>
      <c r="X105" s="60"/>
      <c r="Y105" s="45"/>
      <c r="Z105" s="48"/>
      <c r="AA105" s="35"/>
      <c r="AB105" s="36" t="e">
        <f t="shared" si="32"/>
        <v>#DIV/0!</v>
      </c>
      <c r="AC105" s="68" t="e">
        <f t="shared" si="33"/>
        <v>#DIV/0!</v>
      </c>
      <c r="AD105" s="63"/>
      <c r="AE105" s="32" t="e">
        <f t="shared" si="34"/>
        <v>#DIV/0!</v>
      </c>
      <c r="AF105" s="56"/>
      <c r="AG105" s="56"/>
      <c r="AH105" s="37" t="e">
        <f t="shared" si="35"/>
        <v>#DIV/0!</v>
      </c>
      <c r="AI105" s="38">
        <v>65</v>
      </c>
      <c r="AJ105" s="30" t="e">
        <f t="shared" si="36"/>
        <v>#DIV/0!</v>
      </c>
      <c r="AK105" s="37" t="e">
        <f t="shared" si="37"/>
        <v>#DIV/0!</v>
      </c>
      <c r="AL105" s="39" t="e">
        <f t="shared" si="38"/>
        <v>#DIV/0!</v>
      </c>
      <c r="AM105" s="40"/>
      <c r="AN105" s="41">
        <f t="shared" si="41"/>
        <v>1</v>
      </c>
      <c r="AO105" s="41">
        <f t="shared" si="41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9"/>
        <v>0</v>
      </c>
      <c r="AX105" s="71">
        <f t="shared" si="40"/>
        <v>0</v>
      </c>
    </row>
    <row r="106" spans="1:50" s="42" customFormat="1" ht="21.95" customHeight="1" thickBot="1" x14ac:dyDescent="0.2">
      <c r="A106" s="384" t="s">
        <v>43</v>
      </c>
      <c r="B106" s="385"/>
      <c r="C106" s="385"/>
      <c r="D106" s="385"/>
      <c r="E106" s="385"/>
      <c r="F106" s="385"/>
      <c r="G106" s="385"/>
      <c r="H106" s="386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42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30"/>
        <v>0</v>
      </c>
      <c r="V107" s="68">
        <f t="shared" si="31"/>
        <v>0</v>
      </c>
      <c r="W107" s="57"/>
      <c r="X107" s="60"/>
      <c r="Y107" s="45"/>
      <c r="Z107" s="48"/>
      <c r="AA107" s="35"/>
      <c r="AB107" s="36" t="e">
        <f t="shared" si="32"/>
        <v>#DIV/0!</v>
      </c>
      <c r="AC107" s="68" t="e">
        <f t="shared" si="33"/>
        <v>#DIV/0!</v>
      </c>
      <c r="AD107" s="63"/>
      <c r="AE107" s="32" t="e">
        <f t="shared" si="34"/>
        <v>#DIV/0!</v>
      </c>
      <c r="AF107" s="56"/>
      <c r="AG107" s="56"/>
      <c r="AH107" s="37" t="e">
        <f t="shared" si="35"/>
        <v>#DIV/0!</v>
      </c>
      <c r="AI107" s="38">
        <v>65</v>
      </c>
      <c r="AJ107" s="30" t="e">
        <f t="shared" si="36"/>
        <v>#DIV/0!</v>
      </c>
      <c r="AK107" s="37" t="e">
        <f t="shared" si="37"/>
        <v>#DIV/0!</v>
      </c>
      <c r="AL107" s="39" t="e">
        <f t="shared" si="38"/>
        <v>#DIV/0!</v>
      </c>
      <c r="AM107" s="40"/>
      <c r="AN107" s="41">
        <f t="shared" si="41"/>
        <v>1</v>
      </c>
      <c r="AO107" s="41">
        <f t="shared" si="41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39"/>
        <v>0</v>
      </c>
      <c r="AX107" s="71">
        <f t="shared" si="40"/>
        <v>0</v>
      </c>
    </row>
    <row r="108" spans="1:50" s="42" customFormat="1" ht="21.95" customHeight="1" thickBot="1" x14ac:dyDescent="0.2">
      <c r="A108" s="384" t="s">
        <v>43</v>
      </c>
      <c r="B108" s="385"/>
      <c r="C108" s="385"/>
      <c r="D108" s="385"/>
      <c r="E108" s="385"/>
      <c r="F108" s="385"/>
      <c r="G108" s="385"/>
      <c r="H108" s="386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42"/>
        <v>0</v>
      </c>
      <c r="O109" s="28">
        <v>1</v>
      </c>
      <c r="P109" s="29"/>
      <c r="Q109" s="30"/>
      <c r="R109" s="30"/>
      <c r="S109" s="30"/>
      <c r="T109" s="31"/>
      <c r="U109" s="32">
        <f t="shared" si="30"/>
        <v>0</v>
      </c>
      <c r="V109" s="68">
        <f t="shared" si="31"/>
        <v>0</v>
      </c>
      <c r="W109" s="57"/>
      <c r="X109" s="60"/>
      <c r="Y109" s="45"/>
      <c r="Z109" s="48"/>
      <c r="AA109" s="35"/>
      <c r="AB109" s="36" t="e">
        <f t="shared" si="32"/>
        <v>#DIV/0!</v>
      </c>
      <c r="AC109" s="68" t="e">
        <f t="shared" si="33"/>
        <v>#DIV/0!</v>
      </c>
      <c r="AD109" s="63"/>
      <c r="AE109" s="32" t="e">
        <f t="shared" si="34"/>
        <v>#DIV/0!</v>
      </c>
      <c r="AF109" s="56"/>
      <c r="AG109" s="56"/>
      <c r="AH109" s="37" t="e">
        <f t="shared" si="35"/>
        <v>#DIV/0!</v>
      </c>
      <c r="AI109" s="38">
        <v>65</v>
      </c>
      <c r="AJ109" s="30" t="e">
        <f t="shared" si="36"/>
        <v>#DIV/0!</v>
      </c>
      <c r="AK109" s="37" t="e">
        <f t="shared" si="37"/>
        <v>#DIV/0!</v>
      </c>
      <c r="AL109" s="39" t="e">
        <f t="shared" si="38"/>
        <v>#DIV/0!</v>
      </c>
      <c r="AM109" s="40"/>
      <c r="AN109" s="41">
        <f t="shared" si="41"/>
        <v>1</v>
      </c>
      <c r="AO109" s="41">
        <f t="shared" si="41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9"/>
        <v>0</v>
      </c>
      <c r="AX109" s="71">
        <f t="shared" si="40"/>
        <v>0</v>
      </c>
    </row>
    <row r="110" spans="1:50" s="42" customFormat="1" ht="21.95" customHeight="1" thickBot="1" x14ac:dyDescent="0.2">
      <c r="A110" s="384" t="s">
        <v>43</v>
      </c>
      <c r="B110" s="385"/>
      <c r="C110" s="385"/>
      <c r="D110" s="385"/>
      <c r="E110" s="385"/>
      <c r="F110" s="385"/>
      <c r="G110" s="385"/>
      <c r="H110" s="386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42"/>
        <v>0</v>
      </c>
      <c r="O111" s="28">
        <v>1</v>
      </c>
      <c r="P111" s="29"/>
      <c r="Q111" s="30"/>
      <c r="R111" s="30"/>
      <c r="S111" s="30"/>
      <c r="T111" s="31"/>
      <c r="U111" s="32">
        <f t="shared" si="30"/>
        <v>0</v>
      </c>
      <c r="V111" s="68">
        <f t="shared" si="31"/>
        <v>0</v>
      </c>
      <c r="W111" s="57"/>
      <c r="X111" s="60"/>
      <c r="Y111" s="45"/>
      <c r="Z111" s="48"/>
      <c r="AA111" s="35"/>
      <c r="AB111" s="36" t="e">
        <f t="shared" si="32"/>
        <v>#DIV/0!</v>
      </c>
      <c r="AC111" s="68" t="e">
        <f t="shared" si="33"/>
        <v>#DIV/0!</v>
      </c>
      <c r="AD111" s="63"/>
      <c r="AE111" s="32" t="e">
        <f t="shared" si="34"/>
        <v>#DIV/0!</v>
      </c>
      <c r="AF111" s="56"/>
      <c r="AG111" s="56"/>
      <c r="AH111" s="37" t="e">
        <f t="shared" si="35"/>
        <v>#DIV/0!</v>
      </c>
      <c r="AI111" s="38">
        <v>65</v>
      </c>
      <c r="AJ111" s="30" t="e">
        <f t="shared" si="36"/>
        <v>#DIV/0!</v>
      </c>
      <c r="AK111" s="37" t="e">
        <f t="shared" si="37"/>
        <v>#DIV/0!</v>
      </c>
      <c r="AL111" s="39" t="e">
        <f t="shared" si="38"/>
        <v>#DIV/0!</v>
      </c>
      <c r="AM111" s="40"/>
      <c r="AN111" s="41">
        <f t="shared" ref="AN111:AO130" si="43">100%+AM111</f>
        <v>1</v>
      </c>
      <c r="AO111" s="41">
        <f t="shared" si="4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9"/>
        <v>0</v>
      </c>
      <c r="AX111" s="71">
        <f t="shared" si="40"/>
        <v>0</v>
      </c>
    </row>
    <row r="112" spans="1:50" s="42" customFormat="1" ht="21.95" customHeight="1" thickBot="1" x14ac:dyDescent="0.2">
      <c r="A112" s="384" t="s">
        <v>43</v>
      </c>
      <c r="B112" s="385"/>
      <c r="C112" s="385"/>
      <c r="D112" s="385"/>
      <c r="E112" s="385"/>
      <c r="F112" s="385"/>
      <c r="G112" s="385"/>
      <c r="H112" s="386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42"/>
        <v>0</v>
      </c>
      <c r="O113" s="28">
        <v>1</v>
      </c>
      <c r="P113" s="29"/>
      <c r="Q113" s="30"/>
      <c r="R113" s="30"/>
      <c r="S113" s="30"/>
      <c r="T113" s="31"/>
      <c r="U113" s="32">
        <f t="shared" si="30"/>
        <v>0</v>
      </c>
      <c r="V113" s="68">
        <f t="shared" si="31"/>
        <v>0</v>
      </c>
      <c r="W113" s="57"/>
      <c r="X113" s="60"/>
      <c r="Y113" s="45"/>
      <c r="Z113" s="48"/>
      <c r="AA113" s="35"/>
      <c r="AB113" s="36" t="e">
        <f t="shared" si="32"/>
        <v>#DIV/0!</v>
      </c>
      <c r="AC113" s="68" t="e">
        <f t="shared" si="33"/>
        <v>#DIV/0!</v>
      </c>
      <c r="AD113" s="63">
        <v>2</v>
      </c>
      <c r="AE113" s="32" t="e">
        <f t="shared" si="34"/>
        <v>#DIV/0!</v>
      </c>
      <c r="AF113" s="56"/>
      <c r="AG113" s="56"/>
      <c r="AH113" s="37" t="e">
        <f t="shared" si="35"/>
        <v>#DIV/0!</v>
      </c>
      <c r="AI113" s="38">
        <v>65</v>
      </c>
      <c r="AJ113" s="30" t="e">
        <f t="shared" si="36"/>
        <v>#DIV/0!</v>
      </c>
      <c r="AK113" s="37" t="e">
        <f t="shared" si="37"/>
        <v>#DIV/0!</v>
      </c>
      <c r="AL113" s="39" t="e">
        <f t="shared" si="38"/>
        <v>#DIV/0!</v>
      </c>
      <c r="AM113" s="40"/>
      <c r="AN113" s="41">
        <f t="shared" si="43"/>
        <v>1</v>
      </c>
      <c r="AO113" s="41">
        <f t="shared" si="4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9"/>
        <v>0</v>
      </c>
      <c r="AX113" s="71">
        <f t="shared" si="40"/>
        <v>0</v>
      </c>
    </row>
    <row r="114" spans="1:50" s="42" customFormat="1" ht="21.95" customHeight="1" thickBot="1" x14ac:dyDescent="0.2">
      <c r="A114" s="384" t="s">
        <v>43</v>
      </c>
      <c r="B114" s="385"/>
      <c r="C114" s="385"/>
      <c r="D114" s="385"/>
      <c r="E114" s="385"/>
      <c r="F114" s="385"/>
      <c r="G114" s="385"/>
      <c r="H114" s="386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42"/>
        <v>0</v>
      </c>
      <c r="O115" s="28">
        <v>1</v>
      </c>
      <c r="P115" s="29"/>
      <c r="Q115" s="30"/>
      <c r="R115" s="30"/>
      <c r="S115" s="30"/>
      <c r="T115" s="31"/>
      <c r="U115" s="32">
        <f t="shared" si="30"/>
        <v>0</v>
      </c>
      <c r="V115" s="68">
        <f t="shared" si="31"/>
        <v>0</v>
      </c>
      <c r="W115" s="57"/>
      <c r="X115" s="60"/>
      <c r="Y115" s="45"/>
      <c r="Z115" s="48"/>
      <c r="AA115" s="35"/>
      <c r="AB115" s="36" t="e">
        <f t="shared" si="32"/>
        <v>#DIV/0!</v>
      </c>
      <c r="AC115" s="68" t="e">
        <f t="shared" si="33"/>
        <v>#DIV/0!</v>
      </c>
      <c r="AD115" s="63">
        <v>2</v>
      </c>
      <c r="AE115" s="32" t="e">
        <f t="shared" si="34"/>
        <v>#DIV/0!</v>
      </c>
      <c r="AF115" s="56"/>
      <c r="AG115" s="56"/>
      <c r="AH115" s="37" t="e">
        <f t="shared" si="35"/>
        <v>#DIV/0!</v>
      </c>
      <c r="AI115" s="38">
        <v>65</v>
      </c>
      <c r="AJ115" s="30" t="e">
        <f t="shared" si="36"/>
        <v>#DIV/0!</v>
      </c>
      <c r="AK115" s="37" t="e">
        <f t="shared" si="37"/>
        <v>#DIV/0!</v>
      </c>
      <c r="AL115" s="39" t="e">
        <f t="shared" si="38"/>
        <v>#DIV/0!</v>
      </c>
      <c r="AM115" s="40"/>
      <c r="AN115" s="41">
        <f t="shared" si="43"/>
        <v>1</v>
      </c>
      <c r="AO115" s="41">
        <f t="shared" si="4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9"/>
        <v>0</v>
      </c>
      <c r="AX115" s="71">
        <f t="shared" si="40"/>
        <v>0</v>
      </c>
    </row>
    <row r="116" spans="1:50" s="42" customFormat="1" ht="21.95" customHeight="1" thickBot="1" x14ac:dyDescent="0.2">
      <c r="A116" s="384" t="s">
        <v>43</v>
      </c>
      <c r="B116" s="385"/>
      <c r="C116" s="385"/>
      <c r="D116" s="385"/>
      <c r="E116" s="385"/>
      <c r="F116" s="385"/>
      <c r="G116" s="385"/>
      <c r="H116" s="386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42"/>
        <v>0</v>
      </c>
      <c r="O117" s="28">
        <v>1</v>
      </c>
      <c r="P117" s="29"/>
      <c r="Q117" s="30"/>
      <c r="R117" s="30"/>
      <c r="S117" s="30"/>
      <c r="T117" s="31"/>
      <c r="U117" s="32">
        <f t="shared" si="30"/>
        <v>0</v>
      </c>
      <c r="V117" s="68">
        <f t="shared" si="31"/>
        <v>0</v>
      </c>
      <c r="W117" s="57"/>
      <c r="X117" s="60"/>
      <c r="Y117" s="45"/>
      <c r="Z117" s="48"/>
      <c r="AA117" s="35"/>
      <c r="AB117" s="36" t="e">
        <f t="shared" si="32"/>
        <v>#DIV/0!</v>
      </c>
      <c r="AC117" s="68" t="e">
        <f t="shared" si="33"/>
        <v>#DIV/0!</v>
      </c>
      <c r="AD117" s="63">
        <v>2</v>
      </c>
      <c r="AE117" s="32" t="e">
        <f t="shared" si="34"/>
        <v>#DIV/0!</v>
      </c>
      <c r="AF117" s="56"/>
      <c r="AG117" s="56"/>
      <c r="AH117" s="37" t="e">
        <f t="shared" si="35"/>
        <v>#DIV/0!</v>
      </c>
      <c r="AI117" s="38">
        <v>65</v>
      </c>
      <c r="AJ117" s="30" t="e">
        <f t="shared" si="36"/>
        <v>#DIV/0!</v>
      </c>
      <c r="AK117" s="37" t="e">
        <f t="shared" si="37"/>
        <v>#DIV/0!</v>
      </c>
      <c r="AL117" s="39" t="e">
        <f t="shared" si="38"/>
        <v>#DIV/0!</v>
      </c>
      <c r="AM117" s="40"/>
      <c r="AN117" s="41">
        <f t="shared" si="43"/>
        <v>1</v>
      </c>
      <c r="AO117" s="41">
        <f t="shared" si="4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9"/>
        <v>0</v>
      </c>
      <c r="AX117" s="71">
        <f t="shared" si="40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42"/>
        <v>0</v>
      </c>
      <c r="O118" s="28">
        <v>1</v>
      </c>
      <c r="P118" s="29"/>
      <c r="Q118" s="30"/>
      <c r="R118" s="30"/>
      <c r="S118" s="30"/>
      <c r="T118" s="31"/>
      <c r="U118" s="32">
        <f t="shared" si="30"/>
        <v>0</v>
      </c>
      <c r="V118" s="68">
        <f t="shared" si="31"/>
        <v>0</v>
      </c>
      <c r="W118" s="57"/>
      <c r="X118" s="60"/>
      <c r="Y118" s="45"/>
      <c r="Z118" s="48"/>
      <c r="AA118" s="35"/>
      <c r="AB118" s="36" t="e">
        <f t="shared" si="32"/>
        <v>#DIV/0!</v>
      </c>
      <c r="AC118" s="68" t="e">
        <f t="shared" si="33"/>
        <v>#DIV/0!</v>
      </c>
      <c r="AD118" s="63">
        <v>2</v>
      </c>
      <c r="AE118" s="32" t="e">
        <f t="shared" si="34"/>
        <v>#DIV/0!</v>
      </c>
      <c r="AF118" s="56"/>
      <c r="AG118" s="56"/>
      <c r="AH118" s="37" t="e">
        <f t="shared" si="35"/>
        <v>#DIV/0!</v>
      </c>
      <c r="AI118" s="38">
        <v>65</v>
      </c>
      <c r="AJ118" s="30" t="e">
        <f t="shared" si="36"/>
        <v>#DIV/0!</v>
      </c>
      <c r="AK118" s="37" t="e">
        <f t="shared" si="37"/>
        <v>#DIV/0!</v>
      </c>
      <c r="AL118" s="39" t="e">
        <f t="shared" si="38"/>
        <v>#DIV/0!</v>
      </c>
      <c r="AM118" s="40"/>
      <c r="AN118" s="41">
        <f t="shared" si="43"/>
        <v>1</v>
      </c>
      <c r="AO118" s="41">
        <f t="shared" si="4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9"/>
        <v>0</v>
      </c>
      <c r="AX118" s="71">
        <f t="shared" si="40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42"/>
        <v>0</v>
      </c>
      <c r="O119" s="28">
        <v>1</v>
      </c>
      <c r="P119" s="29"/>
      <c r="Q119" s="30"/>
      <c r="R119" s="30"/>
      <c r="S119" s="30"/>
      <c r="T119" s="31"/>
      <c r="U119" s="32">
        <f t="shared" si="30"/>
        <v>0</v>
      </c>
      <c r="V119" s="68">
        <f t="shared" si="31"/>
        <v>0</v>
      </c>
      <c r="W119" s="57"/>
      <c r="X119" s="60"/>
      <c r="Y119" s="45"/>
      <c r="Z119" s="48"/>
      <c r="AA119" s="35"/>
      <c r="AB119" s="36" t="e">
        <f t="shared" si="32"/>
        <v>#DIV/0!</v>
      </c>
      <c r="AC119" s="68" t="e">
        <f t="shared" si="33"/>
        <v>#DIV/0!</v>
      </c>
      <c r="AD119" s="63">
        <v>2</v>
      </c>
      <c r="AE119" s="32" t="e">
        <f t="shared" si="34"/>
        <v>#DIV/0!</v>
      </c>
      <c r="AF119" s="56"/>
      <c r="AG119" s="56"/>
      <c r="AH119" s="37" t="e">
        <f t="shared" si="35"/>
        <v>#DIV/0!</v>
      </c>
      <c r="AI119" s="38">
        <v>65</v>
      </c>
      <c r="AJ119" s="30" t="e">
        <f t="shared" si="36"/>
        <v>#DIV/0!</v>
      </c>
      <c r="AK119" s="37" t="e">
        <f t="shared" si="37"/>
        <v>#DIV/0!</v>
      </c>
      <c r="AL119" s="39" t="e">
        <f t="shared" si="38"/>
        <v>#DIV/0!</v>
      </c>
      <c r="AM119" s="40"/>
      <c r="AN119" s="41">
        <f t="shared" si="43"/>
        <v>1</v>
      </c>
      <c r="AO119" s="41">
        <f t="shared" si="4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9"/>
        <v>0</v>
      </c>
      <c r="AX119" s="71">
        <f t="shared" si="40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42"/>
        <v>0</v>
      </c>
      <c r="O120" s="28">
        <v>1</v>
      </c>
      <c r="P120" s="29"/>
      <c r="Q120" s="30"/>
      <c r="R120" s="30"/>
      <c r="S120" s="30"/>
      <c r="T120" s="31"/>
      <c r="U120" s="32">
        <f t="shared" si="30"/>
        <v>0</v>
      </c>
      <c r="V120" s="68">
        <f t="shared" si="31"/>
        <v>0</v>
      </c>
      <c r="W120" s="57"/>
      <c r="X120" s="60"/>
      <c r="Y120" s="45"/>
      <c r="Z120" s="48"/>
      <c r="AA120" s="35"/>
      <c r="AB120" s="36" t="e">
        <f t="shared" si="32"/>
        <v>#DIV/0!</v>
      </c>
      <c r="AC120" s="68" t="e">
        <f t="shared" si="33"/>
        <v>#DIV/0!</v>
      </c>
      <c r="AD120" s="63">
        <v>2</v>
      </c>
      <c r="AE120" s="32" t="e">
        <f t="shared" si="34"/>
        <v>#DIV/0!</v>
      </c>
      <c r="AF120" s="56"/>
      <c r="AG120" s="56"/>
      <c r="AH120" s="37" t="e">
        <f t="shared" si="35"/>
        <v>#DIV/0!</v>
      </c>
      <c r="AI120" s="38">
        <v>65</v>
      </c>
      <c r="AJ120" s="30" t="e">
        <f t="shared" si="36"/>
        <v>#DIV/0!</v>
      </c>
      <c r="AK120" s="37" t="e">
        <f t="shared" si="37"/>
        <v>#DIV/0!</v>
      </c>
      <c r="AL120" s="39" t="e">
        <f t="shared" si="38"/>
        <v>#DIV/0!</v>
      </c>
      <c r="AM120" s="40"/>
      <c r="AN120" s="41">
        <f t="shared" si="43"/>
        <v>1</v>
      </c>
      <c r="AO120" s="41">
        <f t="shared" si="4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9"/>
        <v>0</v>
      </c>
      <c r="AX120" s="71">
        <f t="shared" si="40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42"/>
        <v>0</v>
      </c>
      <c r="O121" s="28">
        <v>1</v>
      </c>
      <c r="P121" s="29"/>
      <c r="Q121" s="30"/>
      <c r="R121" s="30"/>
      <c r="S121" s="30"/>
      <c r="T121" s="31"/>
      <c r="U121" s="32">
        <f t="shared" si="30"/>
        <v>0</v>
      </c>
      <c r="V121" s="68">
        <f t="shared" si="31"/>
        <v>0</v>
      </c>
      <c r="W121" s="57"/>
      <c r="X121" s="60"/>
      <c r="Y121" s="45"/>
      <c r="Z121" s="48"/>
      <c r="AA121" s="35"/>
      <c r="AB121" s="36" t="e">
        <f t="shared" si="32"/>
        <v>#DIV/0!</v>
      </c>
      <c r="AC121" s="68" t="e">
        <f t="shared" si="33"/>
        <v>#DIV/0!</v>
      </c>
      <c r="AD121" s="63">
        <v>2</v>
      </c>
      <c r="AE121" s="32" t="e">
        <f t="shared" si="34"/>
        <v>#DIV/0!</v>
      </c>
      <c r="AF121" s="56"/>
      <c r="AG121" s="56"/>
      <c r="AH121" s="37" t="e">
        <f t="shared" si="35"/>
        <v>#DIV/0!</v>
      </c>
      <c r="AI121" s="38">
        <v>65</v>
      </c>
      <c r="AJ121" s="30" t="e">
        <f t="shared" si="36"/>
        <v>#DIV/0!</v>
      </c>
      <c r="AK121" s="37" t="e">
        <f t="shared" si="37"/>
        <v>#DIV/0!</v>
      </c>
      <c r="AL121" s="39" t="e">
        <f t="shared" si="38"/>
        <v>#DIV/0!</v>
      </c>
      <c r="AM121" s="40"/>
      <c r="AN121" s="41">
        <f t="shared" si="43"/>
        <v>1</v>
      </c>
      <c r="AO121" s="41">
        <f t="shared" si="4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9"/>
        <v>0</v>
      </c>
      <c r="AX121" s="71">
        <f t="shared" si="40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42"/>
        <v>0</v>
      </c>
      <c r="O122" s="28">
        <v>1</v>
      </c>
      <c r="P122" s="29"/>
      <c r="Q122" s="30"/>
      <c r="R122" s="30"/>
      <c r="S122" s="30"/>
      <c r="T122" s="31"/>
      <c r="U122" s="32">
        <f t="shared" si="30"/>
        <v>0</v>
      </c>
      <c r="V122" s="68">
        <f t="shared" si="31"/>
        <v>0</v>
      </c>
      <c r="W122" s="57"/>
      <c r="X122" s="60"/>
      <c r="Y122" s="45"/>
      <c r="Z122" s="48"/>
      <c r="AA122" s="35"/>
      <c r="AB122" s="36" t="e">
        <f t="shared" si="32"/>
        <v>#DIV/0!</v>
      </c>
      <c r="AC122" s="68" t="e">
        <f t="shared" si="33"/>
        <v>#DIV/0!</v>
      </c>
      <c r="AD122" s="63">
        <v>2</v>
      </c>
      <c r="AE122" s="32" t="e">
        <f t="shared" si="34"/>
        <v>#DIV/0!</v>
      </c>
      <c r="AF122" s="56"/>
      <c r="AG122" s="56"/>
      <c r="AH122" s="37" t="e">
        <f t="shared" si="35"/>
        <v>#DIV/0!</v>
      </c>
      <c r="AI122" s="38">
        <v>65</v>
      </c>
      <c r="AJ122" s="30" t="e">
        <f t="shared" si="36"/>
        <v>#DIV/0!</v>
      </c>
      <c r="AK122" s="37" t="e">
        <f t="shared" si="37"/>
        <v>#DIV/0!</v>
      </c>
      <c r="AL122" s="39" t="e">
        <f t="shared" si="38"/>
        <v>#DIV/0!</v>
      </c>
      <c r="AM122" s="40"/>
      <c r="AN122" s="41">
        <f t="shared" si="43"/>
        <v>1</v>
      </c>
      <c r="AO122" s="41">
        <f t="shared" si="4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9"/>
        <v>0</v>
      </c>
      <c r="AX122" s="71">
        <f t="shared" si="40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42"/>
        <v>0</v>
      </c>
      <c r="O123" s="28">
        <v>1</v>
      </c>
      <c r="P123" s="29"/>
      <c r="Q123" s="30"/>
      <c r="R123" s="30"/>
      <c r="S123" s="30"/>
      <c r="T123" s="31"/>
      <c r="U123" s="32">
        <f t="shared" si="30"/>
        <v>0</v>
      </c>
      <c r="V123" s="68">
        <f t="shared" si="31"/>
        <v>0</v>
      </c>
      <c r="W123" s="57"/>
      <c r="X123" s="60"/>
      <c r="Y123" s="45"/>
      <c r="Z123" s="48"/>
      <c r="AA123" s="35"/>
      <c r="AB123" s="36" t="e">
        <f t="shared" si="32"/>
        <v>#DIV/0!</v>
      </c>
      <c r="AC123" s="68" t="e">
        <f t="shared" si="33"/>
        <v>#DIV/0!</v>
      </c>
      <c r="AD123" s="63">
        <v>2</v>
      </c>
      <c r="AE123" s="32" t="e">
        <f t="shared" si="34"/>
        <v>#DIV/0!</v>
      </c>
      <c r="AF123" s="56"/>
      <c r="AG123" s="56"/>
      <c r="AH123" s="37" t="e">
        <f t="shared" si="35"/>
        <v>#DIV/0!</v>
      </c>
      <c r="AI123" s="38">
        <v>65</v>
      </c>
      <c r="AJ123" s="30" t="e">
        <f t="shared" si="36"/>
        <v>#DIV/0!</v>
      </c>
      <c r="AK123" s="37" t="e">
        <f t="shared" si="37"/>
        <v>#DIV/0!</v>
      </c>
      <c r="AL123" s="39" t="e">
        <f t="shared" si="38"/>
        <v>#DIV/0!</v>
      </c>
      <c r="AM123" s="40"/>
      <c r="AN123" s="41">
        <f t="shared" si="43"/>
        <v>1</v>
      </c>
      <c r="AO123" s="41">
        <f t="shared" si="4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9"/>
        <v>0</v>
      </c>
      <c r="AX123" s="71">
        <f t="shared" si="40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42"/>
        <v>0</v>
      </c>
      <c r="O124" s="28">
        <v>1</v>
      </c>
      <c r="P124" s="29"/>
      <c r="Q124" s="30"/>
      <c r="R124" s="30"/>
      <c r="S124" s="30"/>
      <c r="T124" s="31"/>
      <c r="U124" s="32">
        <f t="shared" si="30"/>
        <v>0</v>
      </c>
      <c r="V124" s="68">
        <f t="shared" si="31"/>
        <v>0</v>
      </c>
      <c r="W124" s="57"/>
      <c r="X124" s="60"/>
      <c r="Y124" s="45"/>
      <c r="Z124" s="48"/>
      <c r="AA124" s="35"/>
      <c r="AB124" s="36" t="e">
        <f t="shared" si="32"/>
        <v>#DIV/0!</v>
      </c>
      <c r="AC124" s="68" t="e">
        <f t="shared" si="33"/>
        <v>#DIV/0!</v>
      </c>
      <c r="AD124" s="63">
        <v>2</v>
      </c>
      <c r="AE124" s="32" t="e">
        <f t="shared" si="34"/>
        <v>#DIV/0!</v>
      </c>
      <c r="AF124" s="56"/>
      <c r="AG124" s="56"/>
      <c r="AH124" s="37" t="e">
        <f t="shared" si="35"/>
        <v>#DIV/0!</v>
      </c>
      <c r="AI124" s="38">
        <v>65</v>
      </c>
      <c r="AJ124" s="30" t="e">
        <f t="shared" si="36"/>
        <v>#DIV/0!</v>
      </c>
      <c r="AK124" s="37" t="e">
        <f t="shared" si="37"/>
        <v>#DIV/0!</v>
      </c>
      <c r="AL124" s="39" t="e">
        <f t="shared" si="38"/>
        <v>#DIV/0!</v>
      </c>
      <c r="AM124" s="40"/>
      <c r="AN124" s="41">
        <f t="shared" si="43"/>
        <v>1</v>
      </c>
      <c r="AO124" s="41">
        <f t="shared" si="4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9"/>
        <v>0</v>
      </c>
      <c r="AX124" s="71">
        <f t="shared" si="40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42"/>
        <v>0</v>
      </c>
      <c r="O125" s="28">
        <v>1</v>
      </c>
      <c r="P125" s="29"/>
      <c r="Q125" s="30"/>
      <c r="R125" s="30"/>
      <c r="S125" s="30"/>
      <c r="T125" s="31"/>
      <c r="U125" s="32">
        <f t="shared" si="30"/>
        <v>0</v>
      </c>
      <c r="V125" s="68">
        <f t="shared" si="31"/>
        <v>0</v>
      </c>
      <c r="W125" s="57"/>
      <c r="X125" s="60"/>
      <c r="Y125" s="45"/>
      <c r="Z125" s="48"/>
      <c r="AA125" s="35"/>
      <c r="AB125" s="36" t="e">
        <f t="shared" si="32"/>
        <v>#DIV/0!</v>
      </c>
      <c r="AC125" s="68" t="e">
        <f t="shared" si="33"/>
        <v>#DIV/0!</v>
      </c>
      <c r="AD125" s="63">
        <v>2</v>
      </c>
      <c r="AE125" s="32" t="e">
        <f t="shared" si="34"/>
        <v>#DIV/0!</v>
      </c>
      <c r="AF125" s="56"/>
      <c r="AG125" s="56"/>
      <c r="AH125" s="37" t="e">
        <f t="shared" si="35"/>
        <v>#DIV/0!</v>
      </c>
      <c r="AI125" s="38">
        <v>65</v>
      </c>
      <c r="AJ125" s="30" t="e">
        <f t="shared" si="36"/>
        <v>#DIV/0!</v>
      </c>
      <c r="AK125" s="37" t="e">
        <f t="shared" si="37"/>
        <v>#DIV/0!</v>
      </c>
      <c r="AL125" s="39" t="e">
        <f t="shared" si="38"/>
        <v>#DIV/0!</v>
      </c>
      <c r="AM125" s="40"/>
      <c r="AN125" s="41">
        <f t="shared" si="43"/>
        <v>1</v>
      </c>
      <c r="AO125" s="41">
        <f t="shared" si="4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9"/>
        <v>0</v>
      </c>
      <c r="AX125" s="71">
        <f t="shared" si="40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42"/>
        <v>0</v>
      </c>
      <c r="O126" s="28">
        <v>1</v>
      </c>
      <c r="P126" s="29"/>
      <c r="Q126" s="30"/>
      <c r="R126" s="30"/>
      <c r="S126" s="30"/>
      <c r="T126" s="31"/>
      <c r="U126" s="32">
        <f t="shared" si="30"/>
        <v>0</v>
      </c>
      <c r="V126" s="68">
        <f t="shared" si="31"/>
        <v>0</v>
      </c>
      <c r="W126" s="57"/>
      <c r="X126" s="60"/>
      <c r="Y126" s="45"/>
      <c r="Z126" s="48"/>
      <c r="AA126" s="35"/>
      <c r="AB126" s="36" t="e">
        <f t="shared" si="32"/>
        <v>#DIV/0!</v>
      </c>
      <c r="AC126" s="68" t="e">
        <f t="shared" si="33"/>
        <v>#DIV/0!</v>
      </c>
      <c r="AD126" s="63">
        <v>2</v>
      </c>
      <c r="AE126" s="32" t="e">
        <f t="shared" si="34"/>
        <v>#DIV/0!</v>
      </c>
      <c r="AF126" s="56"/>
      <c r="AG126" s="56"/>
      <c r="AH126" s="37" t="e">
        <f t="shared" si="35"/>
        <v>#DIV/0!</v>
      </c>
      <c r="AI126" s="38">
        <v>65</v>
      </c>
      <c r="AJ126" s="30" t="e">
        <f t="shared" si="36"/>
        <v>#DIV/0!</v>
      </c>
      <c r="AK126" s="37" t="e">
        <f t="shared" si="37"/>
        <v>#DIV/0!</v>
      </c>
      <c r="AL126" s="39" t="e">
        <f t="shared" si="38"/>
        <v>#DIV/0!</v>
      </c>
      <c r="AM126" s="40"/>
      <c r="AN126" s="41">
        <f t="shared" si="43"/>
        <v>1</v>
      </c>
      <c r="AO126" s="41">
        <f t="shared" si="4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9"/>
        <v>0</v>
      </c>
      <c r="AX126" s="71">
        <f t="shared" si="40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42"/>
        <v>0</v>
      </c>
      <c r="O127" s="28">
        <v>1</v>
      </c>
      <c r="P127" s="29"/>
      <c r="Q127" s="30"/>
      <c r="R127" s="30"/>
      <c r="S127" s="30"/>
      <c r="T127" s="31"/>
      <c r="U127" s="32">
        <f t="shared" si="30"/>
        <v>0</v>
      </c>
      <c r="V127" s="68">
        <f t="shared" si="31"/>
        <v>0</v>
      </c>
      <c r="W127" s="57"/>
      <c r="X127" s="60"/>
      <c r="Y127" s="45"/>
      <c r="Z127" s="48"/>
      <c r="AA127" s="35"/>
      <c r="AB127" s="36" t="e">
        <f t="shared" si="32"/>
        <v>#DIV/0!</v>
      </c>
      <c r="AC127" s="68" t="e">
        <f t="shared" si="33"/>
        <v>#DIV/0!</v>
      </c>
      <c r="AD127" s="63">
        <v>2</v>
      </c>
      <c r="AE127" s="32" t="e">
        <f t="shared" si="34"/>
        <v>#DIV/0!</v>
      </c>
      <c r="AF127" s="56"/>
      <c r="AG127" s="56"/>
      <c r="AH127" s="37" t="e">
        <f t="shared" si="35"/>
        <v>#DIV/0!</v>
      </c>
      <c r="AI127" s="38">
        <v>65</v>
      </c>
      <c r="AJ127" s="30" t="e">
        <f t="shared" si="36"/>
        <v>#DIV/0!</v>
      </c>
      <c r="AK127" s="37" t="e">
        <f t="shared" si="37"/>
        <v>#DIV/0!</v>
      </c>
      <c r="AL127" s="39" t="e">
        <f t="shared" si="38"/>
        <v>#DIV/0!</v>
      </c>
      <c r="AM127" s="40"/>
      <c r="AN127" s="41">
        <f t="shared" si="43"/>
        <v>1</v>
      </c>
      <c r="AO127" s="41">
        <f t="shared" si="4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9"/>
        <v>0</v>
      </c>
      <c r="AX127" s="71">
        <f t="shared" si="40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42"/>
        <v>0</v>
      </c>
      <c r="O128" s="28">
        <v>1</v>
      </c>
      <c r="P128" s="29"/>
      <c r="Q128" s="30"/>
      <c r="R128" s="30"/>
      <c r="S128" s="30"/>
      <c r="T128" s="31"/>
      <c r="U128" s="32">
        <f t="shared" si="30"/>
        <v>0</v>
      </c>
      <c r="V128" s="68">
        <f t="shared" si="31"/>
        <v>0</v>
      </c>
      <c r="W128" s="57"/>
      <c r="X128" s="60"/>
      <c r="Y128" s="45"/>
      <c r="Z128" s="48"/>
      <c r="AA128" s="35"/>
      <c r="AB128" s="36" t="e">
        <f t="shared" si="32"/>
        <v>#DIV/0!</v>
      </c>
      <c r="AC128" s="68" t="e">
        <f t="shared" si="33"/>
        <v>#DIV/0!</v>
      </c>
      <c r="AD128" s="63">
        <v>2</v>
      </c>
      <c r="AE128" s="32" t="e">
        <f t="shared" si="34"/>
        <v>#DIV/0!</v>
      </c>
      <c r="AF128" s="56"/>
      <c r="AG128" s="56"/>
      <c r="AH128" s="37" t="e">
        <f t="shared" si="35"/>
        <v>#DIV/0!</v>
      </c>
      <c r="AI128" s="38">
        <v>65</v>
      </c>
      <c r="AJ128" s="30" t="e">
        <f t="shared" si="36"/>
        <v>#DIV/0!</v>
      </c>
      <c r="AK128" s="37" t="e">
        <f t="shared" si="37"/>
        <v>#DIV/0!</v>
      </c>
      <c r="AL128" s="39" t="e">
        <f t="shared" si="38"/>
        <v>#DIV/0!</v>
      </c>
      <c r="AM128" s="40"/>
      <c r="AN128" s="41">
        <f t="shared" si="43"/>
        <v>1</v>
      </c>
      <c r="AO128" s="41">
        <f t="shared" si="4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9"/>
        <v>0</v>
      </c>
      <c r="AX128" s="71">
        <f t="shared" si="40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2"/>
        <v>1</v>
      </c>
      <c r="O129" s="28">
        <v>1</v>
      </c>
      <c r="P129" s="29"/>
      <c r="Q129" s="30"/>
      <c r="R129" s="30"/>
      <c r="S129" s="30"/>
      <c r="T129" s="31"/>
      <c r="U129" s="32">
        <f t="shared" si="30"/>
        <v>0</v>
      </c>
      <c r="V129" s="68">
        <f t="shared" si="31"/>
        <v>0</v>
      </c>
      <c r="W129" s="57"/>
      <c r="X129" s="60"/>
      <c r="Y129" s="45"/>
      <c r="Z129" s="48"/>
      <c r="AA129" s="35"/>
      <c r="AB129" s="36" t="e">
        <f t="shared" si="32"/>
        <v>#DIV/0!</v>
      </c>
      <c r="AC129" s="68" t="e">
        <f t="shared" si="33"/>
        <v>#DIV/0!</v>
      </c>
      <c r="AD129" s="63">
        <v>2</v>
      </c>
      <c r="AE129" s="32" t="e">
        <f t="shared" si="34"/>
        <v>#DIV/0!</v>
      </c>
      <c r="AF129" s="56"/>
      <c r="AG129" s="56"/>
      <c r="AH129" s="37" t="e">
        <f t="shared" si="35"/>
        <v>#DIV/0!</v>
      </c>
      <c r="AI129" s="38">
        <v>65</v>
      </c>
      <c r="AJ129" s="30" t="e">
        <f t="shared" si="36"/>
        <v>#DIV/0!</v>
      </c>
      <c r="AK129" s="37" t="e">
        <f t="shared" si="37"/>
        <v>#DIV/0!</v>
      </c>
      <c r="AL129" s="39" t="e">
        <f t="shared" si="38"/>
        <v>#DIV/0!</v>
      </c>
      <c r="AM129" s="40"/>
      <c r="AN129" s="41">
        <f t="shared" si="43"/>
        <v>1</v>
      </c>
      <c r="AO129" s="41">
        <f t="shared" si="4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9"/>
        <v>0</v>
      </c>
      <c r="AX129" s="71">
        <f t="shared" si="40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2"/>
        <v>1</v>
      </c>
      <c r="O130" s="28">
        <v>1</v>
      </c>
      <c r="P130" s="29"/>
      <c r="Q130" s="30"/>
      <c r="R130" s="30"/>
      <c r="S130" s="30"/>
      <c r="T130" s="31"/>
      <c r="U130" s="32">
        <f t="shared" si="30"/>
        <v>0</v>
      </c>
      <c r="V130" s="68">
        <f t="shared" si="31"/>
        <v>0</v>
      </c>
      <c r="W130" s="57"/>
      <c r="X130" s="60"/>
      <c r="Y130" s="45"/>
      <c r="Z130" s="48"/>
      <c r="AA130" s="35"/>
      <c r="AB130" s="36" t="e">
        <f t="shared" si="32"/>
        <v>#DIV/0!</v>
      </c>
      <c r="AC130" s="68" t="e">
        <f t="shared" si="33"/>
        <v>#DIV/0!</v>
      </c>
      <c r="AD130" s="63">
        <v>2</v>
      </c>
      <c r="AE130" s="32" t="e">
        <f t="shared" si="34"/>
        <v>#DIV/0!</v>
      </c>
      <c r="AF130" s="56"/>
      <c r="AG130" s="56"/>
      <c r="AH130" s="37" t="e">
        <f t="shared" si="35"/>
        <v>#DIV/0!</v>
      </c>
      <c r="AI130" s="38">
        <v>65</v>
      </c>
      <c r="AJ130" s="30" t="e">
        <f t="shared" si="36"/>
        <v>#DIV/0!</v>
      </c>
      <c r="AK130" s="37" t="e">
        <f t="shared" si="37"/>
        <v>#DIV/0!</v>
      </c>
      <c r="AL130" s="39" t="e">
        <f t="shared" si="38"/>
        <v>#DIV/0!</v>
      </c>
      <c r="AM130" s="40"/>
      <c r="AN130" s="41">
        <f t="shared" si="43"/>
        <v>1</v>
      </c>
      <c r="AO130" s="41">
        <f t="shared" si="4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9"/>
        <v>0</v>
      </c>
      <c r="AX130" s="71">
        <f t="shared" si="40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2"/>
        <v>1</v>
      </c>
      <c r="O131" s="28">
        <v>1</v>
      </c>
      <c r="P131" s="29"/>
      <c r="Q131" s="30"/>
      <c r="R131" s="30"/>
      <c r="S131" s="30"/>
      <c r="T131" s="31"/>
      <c r="U131" s="32">
        <f t="shared" si="30"/>
        <v>0</v>
      </c>
      <c r="V131" s="68">
        <f t="shared" si="31"/>
        <v>0</v>
      </c>
      <c r="W131" s="57"/>
      <c r="X131" s="60"/>
      <c r="Y131" s="45"/>
      <c r="Z131" s="48"/>
      <c r="AA131" s="35"/>
      <c r="AB131" s="36" t="e">
        <f t="shared" si="32"/>
        <v>#DIV/0!</v>
      </c>
      <c r="AC131" s="68" t="e">
        <f t="shared" si="33"/>
        <v>#DIV/0!</v>
      </c>
      <c r="AD131" s="63">
        <v>2</v>
      </c>
      <c r="AE131" s="32" t="e">
        <f t="shared" si="34"/>
        <v>#DIV/0!</v>
      </c>
      <c r="AF131" s="56"/>
      <c r="AG131" s="56"/>
      <c r="AH131" s="37" t="e">
        <f t="shared" si="35"/>
        <v>#DIV/0!</v>
      </c>
      <c r="AI131" s="38">
        <v>65</v>
      </c>
      <c r="AJ131" s="30" t="e">
        <f t="shared" si="36"/>
        <v>#DIV/0!</v>
      </c>
      <c r="AK131" s="37" t="e">
        <f t="shared" si="37"/>
        <v>#DIV/0!</v>
      </c>
      <c r="AL131" s="39" t="e">
        <f t="shared" si="38"/>
        <v>#DIV/0!</v>
      </c>
      <c r="AM131" s="40"/>
      <c r="AN131" s="41">
        <f t="shared" ref="AN131:AO136" si="44">100%+AM131</f>
        <v>1</v>
      </c>
      <c r="AO131" s="41">
        <f t="shared" si="4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9"/>
        <v>0</v>
      </c>
      <c r="AX131" s="71">
        <f t="shared" si="40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2"/>
        <v>1</v>
      </c>
      <c r="O132" s="28">
        <v>1</v>
      </c>
      <c r="P132" s="29"/>
      <c r="Q132" s="30"/>
      <c r="R132" s="30"/>
      <c r="S132" s="30"/>
      <c r="T132" s="31"/>
      <c r="U132" s="32">
        <f t="shared" si="30"/>
        <v>0</v>
      </c>
      <c r="V132" s="68">
        <f t="shared" si="31"/>
        <v>0</v>
      </c>
      <c r="W132" s="57"/>
      <c r="X132" s="60"/>
      <c r="Y132" s="45"/>
      <c r="Z132" s="48"/>
      <c r="AA132" s="35"/>
      <c r="AB132" s="36" t="e">
        <f t="shared" si="32"/>
        <v>#DIV/0!</v>
      </c>
      <c r="AC132" s="68" t="e">
        <f t="shared" si="33"/>
        <v>#DIV/0!</v>
      </c>
      <c r="AD132" s="63">
        <v>2</v>
      </c>
      <c r="AE132" s="32" t="e">
        <f t="shared" si="34"/>
        <v>#DIV/0!</v>
      </c>
      <c r="AF132" s="56"/>
      <c r="AG132" s="56"/>
      <c r="AH132" s="37" t="e">
        <f t="shared" si="35"/>
        <v>#DIV/0!</v>
      </c>
      <c r="AI132" s="38">
        <v>65</v>
      </c>
      <c r="AJ132" s="30" t="e">
        <f t="shared" si="36"/>
        <v>#DIV/0!</v>
      </c>
      <c r="AK132" s="37" t="e">
        <f t="shared" si="37"/>
        <v>#DIV/0!</v>
      </c>
      <c r="AL132" s="39" t="e">
        <f t="shared" si="38"/>
        <v>#DIV/0!</v>
      </c>
      <c r="AM132" s="40"/>
      <c r="AN132" s="41">
        <f t="shared" si="44"/>
        <v>1</v>
      </c>
      <c r="AO132" s="41">
        <f t="shared" si="4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9"/>
        <v>0</v>
      </c>
      <c r="AX132" s="71">
        <f t="shared" si="40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2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30"/>
        <v>15</v>
      </c>
      <c r="V133" s="68">
        <f t="shared" si="31"/>
        <v>15</v>
      </c>
      <c r="W133" s="57"/>
      <c r="X133" s="60"/>
      <c r="Y133" s="45"/>
      <c r="Z133" s="48"/>
      <c r="AA133" s="35"/>
      <c r="AB133" s="36" t="e">
        <f t="shared" si="32"/>
        <v>#DIV/0!</v>
      </c>
      <c r="AC133" s="68" t="e">
        <f t="shared" si="33"/>
        <v>#DIV/0!</v>
      </c>
      <c r="AD133" s="63">
        <v>2</v>
      </c>
      <c r="AE133" s="32" t="e">
        <f t="shared" si="34"/>
        <v>#DIV/0!</v>
      </c>
      <c r="AF133" s="56"/>
      <c r="AG133" s="56"/>
      <c r="AH133" s="37" t="e">
        <f t="shared" si="35"/>
        <v>#DIV/0!</v>
      </c>
      <c r="AI133" s="38">
        <v>65</v>
      </c>
      <c r="AJ133" s="30" t="e">
        <f t="shared" si="36"/>
        <v>#DIV/0!</v>
      </c>
      <c r="AK133" s="37" t="e">
        <f t="shared" si="37"/>
        <v>#DIV/0!</v>
      </c>
      <c r="AL133" s="39" t="e">
        <f t="shared" si="38"/>
        <v>#DIV/0!</v>
      </c>
      <c r="AM133" s="40"/>
      <c r="AN133" s="41">
        <f t="shared" si="44"/>
        <v>1</v>
      </c>
      <c r="AO133" s="41">
        <f t="shared" si="4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9"/>
        <v>0</v>
      </c>
      <c r="AX133" s="71">
        <f t="shared" si="40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2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30"/>
        <v>15</v>
      </c>
      <c r="V134" s="68">
        <f t="shared" si="31"/>
        <v>15</v>
      </c>
      <c r="W134" s="57"/>
      <c r="X134" s="60"/>
      <c r="Y134" s="45"/>
      <c r="Z134" s="48"/>
      <c r="AA134" s="35"/>
      <c r="AB134" s="36" t="e">
        <f t="shared" si="32"/>
        <v>#DIV/0!</v>
      </c>
      <c r="AC134" s="68" t="e">
        <f t="shared" si="33"/>
        <v>#DIV/0!</v>
      </c>
      <c r="AD134" s="63">
        <v>2</v>
      </c>
      <c r="AE134" s="32" t="e">
        <f t="shared" si="34"/>
        <v>#DIV/0!</v>
      </c>
      <c r="AF134" s="56"/>
      <c r="AG134" s="56"/>
      <c r="AH134" s="37" t="e">
        <f t="shared" si="35"/>
        <v>#DIV/0!</v>
      </c>
      <c r="AI134" s="38">
        <v>65</v>
      </c>
      <c r="AJ134" s="30" t="e">
        <f t="shared" si="36"/>
        <v>#DIV/0!</v>
      </c>
      <c r="AK134" s="37" t="e">
        <f t="shared" si="37"/>
        <v>#DIV/0!</v>
      </c>
      <c r="AL134" s="39" t="e">
        <f t="shared" si="38"/>
        <v>#DIV/0!</v>
      </c>
      <c r="AM134" s="40"/>
      <c r="AN134" s="41">
        <f t="shared" si="44"/>
        <v>1</v>
      </c>
      <c r="AO134" s="41">
        <f t="shared" si="4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9"/>
        <v>0</v>
      </c>
      <c r="AX134" s="71">
        <f t="shared" si="40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2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30"/>
        <v>15</v>
      </c>
      <c r="V135" s="68">
        <f t="shared" si="31"/>
        <v>15</v>
      </c>
      <c r="W135" s="57"/>
      <c r="X135" s="60"/>
      <c r="Y135" s="45"/>
      <c r="Z135" s="48"/>
      <c r="AA135" s="35"/>
      <c r="AB135" s="36" t="e">
        <f t="shared" si="32"/>
        <v>#DIV/0!</v>
      </c>
      <c r="AC135" s="68" t="e">
        <f t="shared" si="33"/>
        <v>#DIV/0!</v>
      </c>
      <c r="AD135" s="63">
        <v>2</v>
      </c>
      <c r="AE135" s="32" t="e">
        <f t="shared" si="34"/>
        <v>#DIV/0!</v>
      </c>
      <c r="AF135" s="56"/>
      <c r="AG135" s="56"/>
      <c r="AH135" s="37" t="e">
        <f t="shared" si="35"/>
        <v>#DIV/0!</v>
      </c>
      <c r="AI135" s="38">
        <v>65</v>
      </c>
      <c r="AJ135" s="30" t="e">
        <f t="shared" si="36"/>
        <v>#DIV/0!</v>
      </c>
      <c r="AK135" s="37" t="e">
        <f t="shared" si="37"/>
        <v>#DIV/0!</v>
      </c>
      <c r="AL135" s="39" t="e">
        <f t="shared" si="38"/>
        <v>#DIV/0!</v>
      </c>
      <c r="AM135" s="40"/>
      <c r="AN135" s="41">
        <f t="shared" si="44"/>
        <v>1</v>
      </c>
      <c r="AO135" s="41">
        <f t="shared" si="4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9"/>
        <v>0</v>
      </c>
      <c r="AX135" s="71">
        <f t="shared" si="40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2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30"/>
        <v>15</v>
      </c>
      <c r="V136" s="68">
        <f t="shared" si="31"/>
        <v>15</v>
      </c>
      <c r="W136" s="57"/>
      <c r="X136" s="60"/>
      <c r="Y136" s="45"/>
      <c r="Z136" s="48"/>
      <c r="AA136" s="35"/>
      <c r="AB136" s="36" t="e">
        <f t="shared" si="32"/>
        <v>#DIV/0!</v>
      </c>
      <c r="AC136" s="68" t="e">
        <f t="shared" si="33"/>
        <v>#DIV/0!</v>
      </c>
      <c r="AD136" s="63">
        <v>2</v>
      </c>
      <c r="AE136" s="32" t="e">
        <f t="shared" si="34"/>
        <v>#DIV/0!</v>
      </c>
      <c r="AF136" s="56"/>
      <c r="AG136" s="56"/>
      <c r="AH136" s="37" t="e">
        <f t="shared" si="35"/>
        <v>#DIV/0!</v>
      </c>
      <c r="AI136" s="38">
        <v>65</v>
      </c>
      <c r="AJ136" s="30" t="e">
        <f t="shared" si="36"/>
        <v>#DIV/0!</v>
      </c>
      <c r="AK136" s="37" t="e">
        <f t="shared" si="37"/>
        <v>#DIV/0!</v>
      </c>
      <c r="AL136" s="39" t="e">
        <f t="shared" si="38"/>
        <v>#DIV/0!</v>
      </c>
      <c r="AM136" s="40"/>
      <c r="AN136" s="41">
        <f t="shared" si="44"/>
        <v>1</v>
      </c>
      <c r="AO136" s="41">
        <f t="shared" si="4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9"/>
        <v>0</v>
      </c>
      <c r="AX136" s="71">
        <f t="shared" si="40"/>
        <v>0</v>
      </c>
    </row>
  </sheetData>
  <mergeCells count="96">
    <mergeCell ref="A108:H108"/>
    <mergeCell ref="A110:H110"/>
    <mergeCell ref="A112:H112"/>
    <mergeCell ref="A114:H114"/>
    <mergeCell ref="A116:H116"/>
    <mergeCell ref="A98:H98"/>
    <mergeCell ref="A100:H100"/>
    <mergeCell ref="A102:H102"/>
    <mergeCell ref="A104:H104"/>
    <mergeCell ref="A106:H106"/>
    <mergeCell ref="A88:H88"/>
    <mergeCell ref="A90:H90"/>
    <mergeCell ref="A92:H92"/>
    <mergeCell ref="A94:H94"/>
    <mergeCell ref="A96:H96"/>
    <mergeCell ref="A78:H78"/>
    <mergeCell ref="A80:H80"/>
    <mergeCell ref="A82:H82"/>
    <mergeCell ref="A84:H84"/>
    <mergeCell ref="A86:H86"/>
    <mergeCell ref="A68:H68"/>
    <mergeCell ref="A70:H70"/>
    <mergeCell ref="A72:H72"/>
    <mergeCell ref="A74:H74"/>
    <mergeCell ref="A76:H76"/>
    <mergeCell ref="A58:H58"/>
    <mergeCell ref="A60:H60"/>
    <mergeCell ref="A62:H62"/>
    <mergeCell ref="A64:H64"/>
    <mergeCell ref="A66:H66"/>
    <mergeCell ref="A48:H48"/>
    <mergeCell ref="A50:H50"/>
    <mergeCell ref="A52:H52"/>
    <mergeCell ref="A54:H54"/>
    <mergeCell ref="A56:H56"/>
    <mergeCell ref="A38:H38"/>
    <mergeCell ref="A40:H40"/>
    <mergeCell ref="A42:H42"/>
    <mergeCell ref="A44:H44"/>
    <mergeCell ref="A46:H46"/>
    <mergeCell ref="A28:H28"/>
    <mergeCell ref="A30:H30"/>
    <mergeCell ref="A32:H32"/>
    <mergeCell ref="A34:H34"/>
    <mergeCell ref="A36:H3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26:H26"/>
    <mergeCell ref="A14:H14"/>
    <mergeCell ref="A16:H16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2026-01-20T01:05:15Z</dcterms:modified>
</cp:coreProperties>
</file>