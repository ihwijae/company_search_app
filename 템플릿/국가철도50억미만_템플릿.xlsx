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템플릿\"/>
    </mc:Choice>
  </mc:AlternateContent>
  <bookViews>
    <workbookView xWindow="-120" yWindow="-120" windowWidth="29040" windowHeight="15840" tabRatio="871"/>
  </bookViews>
  <sheets>
    <sheet name="양식" sheetId="21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53" i="214" l="1"/>
  <c r="BA52" i="214"/>
  <c r="BA51" i="214"/>
  <c r="BA50" i="214"/>
  <c r="BA49" i="214"/>
  <c r="BA48" i="214"/>
  <c r="BA47" i="214"/>
  <c r="BA46" i="214"/>
  <c r="BA45" i="214"/>
  <c r="BA44" i="214"/>
  <c r="BA43" i="214"/>
  <c r="BA42" i="214"/>
  <c r="BA41" i="214"/>
  <c r="BA40" i="214"/>
  <c r="BA39" i="214"/>
  <c r="BA38" i="214"/>
  <c r="BA37" i="214"/>
  <c r="BA36" i="214"/>
  <c r="BA35" i="214"/>
  <c r="BA34" i="214"/>
  <c r="BA33" i="214"/>
  <c r="BA32" i="214"/>
  <c r="BA31" i="214"/>
  <c r="BA30" i="214"/>
  <c r="BA29" i="214"/>
  <c r="BA28" i="214"/>
  <c r="BA27" i="214"/>
  <c r="BA26" i="214"/>
  <c r="BA25" i="214"/>
  <c r="BA24" i="214"/>
  <c r="BA23" i="214"/>
  <c r="BA22" i="214"/>
  <c r="BA21" i="214"/>
  <c r="BA20" i="214"/>
  <c r="BA19" i="214"/>
  <c r="BA18" i="214"/>
  <c r="BA17" i="214"/>
  <c r="BA16" i="214"/>
  <c r="BA15" i="214"/>
  <c r="BA14" i="214"/>
  <c r="BA13" i="214"/>
  <c r="BA12" i="214"/>
  <c r="BA11" i="214"/>
  <c r="BA10" i="214"/>
  <c r="BA9" i="214"/>
  <c r="BA8" i="214"/>
  <c r="BA7" i="214"/>
  <c r="BA6" i="214"/>
  <c r="BB53" i="214" l="1"/>
  <c r="AS53" i="214"/>
  <c r="AI53" i="214"/>
  <c r="AJ53" i="214" s="1"/>
  <c r="U53" i="214"/>
  <c r="V53" i="214" s="1"/>
  <c r="N53" i="214"/>
  <c r="BB52" i="214"/>
  <c r="AS52" i="214"/>
  <c r="AI52" i="214"/>
  <c r="AJ52" i="214" s="1"/>
  <c r="U52" i="214"/>
  <c r="V52" i="214" s="1"/>
  <c r="N52" i="214"/>
  <c r="BB51" i="214"/>
  <c r="AS51" i="214"/>
  <c r="AI51" i="214"/>
  <c r="AJ51" i="214" s="1"/>
  <c r="U51" i="214"/>
  <c r="V51" i="214" s="1"/>
  <c r="N51" i="214"/>
  <c r="BB50" i="214"/>
  <c r="AS50" i="214"/>
  <c r="AI50" i="214"/>
  <c r="AJ50" i="214" s="1"/>
  <c r="U50" i="214"/>
  <c r="V50" i="214" s="1"/>
  <c r="N50" i="214"/>
  <c r="BB49" i="214"/>
  <c r="AS49" i="214"/>
  <c r="AI49" i="214"/>
  <c r="AJ49" i="214" s="1"/>
  <c r="U49" i="214"/>
  <c r="V49" i="214" s="1"/>
  <c r="N49" i="214"/>
  <c r="BB48" i="214"/>
  <c r="AS48" i="214"/>
  <c r="AI48" i="214"/>
  <c r="AJ48" i="214" s="1"/>
  <c r="U48" i="214"/>
  <c r="V48" i="214" s="1"/>
  <c r="N48" i="214"/>
  <c r="BB47" i="214"/>
  <c r="AS47" i="214"/>
  <c r="AI47" i="214"/>
  <c r="AJ47" i="214" s="1"/>
  <c r="U47" i="214"/>
  <c r="V47" i="214" s="1"/>
  <c r="N47" i="214"/>
  <c r="BB46" i="214"/>
  <c r="AS46" i="214"/>
  <c r="AI46" i="214"/>
  <c r="AJ46" i="214" s="1"/>
  <c r="U46" i="214"/>
  <c r="V46" i="214" s="1"/>
  <c r="N46" i="214"/>
  <c r="BB45" i="214"/>
  <c r="AS45" i="214"/>
  <c r="AI45" i="214"/>
  <c r="AJ45" i="214" s="1"/>
  <c r="U45" i="214"/>
  <c r="V45" i="214" s="1"/>
  <c r="N45" i="214"/>
  <c r="BB44" i="214"/>
  <c r="AI44" i="214"/>
  <c r="AJ44" i="214" s="1"/>
  <c r="U44" i="214"/>
  <c r="V44" i="214" s="1"/>
  <c r="AM44" i="214" s="1"/>
  <c r="AO44" i="214" s="1"/>
  <c r="N44" i="214"/>
  <c r="BB43" i="214"/>
  <c r="AS43" i="214"/>
  <c r="AI43" i="214"/>
  <c r="AJ43" i="214" s="1"/>
  <c r="U43" i="214"/>
  <c r="V43" i="214" s="1"/>
  <c r="N43" i="214"/>
  <c r="BB42" i="214"/>
  <c r="AS42" i="214"/>
  <c r="AI42" i="214"/>
  <c r="AJ42" i="214" s="1"/>
  <c r="U42" i="214"/>
  <c r="V42" i="214" s="1"/>
  <c r="N42" i="214"/>
  <c r="BB41" i="214"/>
  <c r="AS41" i="214"/>
  <c r="AI41" i="214"/>
  <c r="AJ41" i="214" s="1"/>
  <c r="U41" i="214"/>
  <c r="V41" i="214" s="1"/>
  <c r="N41" i="214"/>
  <c r="BB40" i="214"/>
  <c r="AI40" i="214"/>
  <c r="AJ40" i="214" s="1"/>
  <c r="U40" i="214"/>
  <c r="V40" i="214" s="1"/>
  <c r="N40" i="214"/>
  <c r="BB39" i="214"/>
  <c r="AS39" i="214"/>
  <c r="AI39" i="214"/>
  <c r="AJ39" i="214" s="1"/>
  <c r="U39" i="214"/>
  <c r="V39" i="214" s="1"/>
  <c r="N39" i="214"/>
  <c r="BB38" i="214"/>
  <c r="AS38" i="214"/>
  <c r="AI38" i="214"/>
  <c r="AJ38" i="214" s="1"/>
  <c r="U38" i="214"/>
  <c r="V38" i="214" s="1"/>
  <c r="N38" i="214"/>
  <c r="BB37" i="214"/>
  <c r="AS37" i="214"/>
  <c r="AI37" i="214"/>
  <c r="AJ37" i="214" s="1"/>
  <c r="U37" i="214"/>
  <c r="V37" i="214" s="1"/>
  <c r="N37" i="214"/>
  <c r="BB36" i="214"/>
  <c r="AI36" i="214"/>
  <c r="AJ36" i="214" s="1"/>
  <c r="U36" i="214"/>
  <c r="V36" i="214" s="1"/>
  <c r="N36" i="214"/>
  <c r="BB35" i="214"/>
  <c r="AS35" i="214"/>
  <c r="AI35" i="214"/>
  <c r="AJ35" i="214" s="1"/>
  <c r="U35" i="214"/>
  <c r="V35" i="214" s="1"/>
  <c r="N35" i="214"/>
  <c r="BB34" i="214"/>
  <c r="AS34" i="214"/>
  <c r="AI34" i="214"/>
  <c r="AJ34" i="214" s="1"/>
  <c r="U34" i="214"/>
  <c r="V34" i="214" s="1"/>
  <c r="N34" i="214"/>
  <c r="BB33" i="214"/>
  <c r="AS33" i="214"/>
  <c r="AI33" i="214"/>
  <c r="AJ33" i="214" s="1"/>
  <c r="U33" i="214"/>
  <c r="V33" i="214" s="1"/>
  <c r="N33" i="214"/>
  <c r="BB32" i="214"/>
  <c r="AS32" i="214"/>
  <c r="AI32" i="214"/>
  <c r="AJ32" i="214" s="1"/>
  <c r="U32" i="214"/>
  <c r="V32" i="214" s="1"/>
  <c r="N32" i="214"/>
  <c r="BB31" i="214"/>
  <c r="AS31" i="214"/>
  <c r="AI31" i="214"/>
  <c r="AJ31" i="214" s="1"/>
  <c r="U31" i="214"/>
  <c r="V31" i="214" s="1"/>
  <c r="N31" i="214"/>
  <c r="BB30" i="214"/>
  <c r="AS30" i="214"/>
  <c r="AI30" i="214"/>
  <c r="AJ30" i="214" s="1"/>
  <c r="U30" i="214"/>
  <c r="V30" i="214" s="1"/>
  <c r="N30" i="214"/>
  <c r="BB29" i="214"/>
  <c r="AS29" i="214"/>
  <c r="AI29" i="214"/>
  <c r="AJ29" i="214" s="1"/>
  <c r="U29" i="214"/>
  <c r="V29" i="214" s="1"/>
  <c r="N29" i="214"/>
  <c r="BB28" i="214"/>
  <c r="AS28" i="214"/>
  <c r="AI28" i="214"/>
  <c r="AJ28" i="214" s="1"/>
  <c r="U28" i="214"/>
  <c r="V28" i="214" s="1"/>
  <c r="N28" i="214"/>
  <c r="BB27" i="214"/>
  <c r="AS27" i="214"/>
  <c r="AI27" i="214"/>
  <c r="AJ27" i="214" s="1"/>
  <c r="U27" i="214"/>
  <c r="V27" i="214" s="1"/>
  <c r="N27" i="214"/>
  <c r="BB26" i="214"/>
  <c r="AS26" i="214"/>
  <c r="AI26" i="214"/>
  <c r="AJ26" i="214" s="1"/>
  <c r="U26" i="214"/>
  <c r="V26" i="214" s="1"/>
  <c r="N26" i="214"/>
  <c r="BB25" i="214"/>
  <c r="AS25" i="214"/>
  <c r="AI25" i="214"/>
  <c r="AJ25" i="214" s="1"/>
  <c r="U25" i="214"/>
  <c r="V25" i="214" s="1"/>
  <c r="N25" i="214"/>
  <c r="BB24" i="214"/>
  <c r="AS24" i="214"/>
  <c r="AI24" i="214"/>
  <c r="AJ24" i="214" s="1"/>
  <c r="U24" i="214"/>
  <c r="V24" i="214" s="1"/>
  <c r="N24" i="214"/>
  <c r="BB23" i="214"/>
  <c r="AS23" i="214"/>
  <c r="AI23" i="214"/>
  <c r="AJ23" i="214" s="1"/>
  <c r="U23" i="214"/>
  <c r="V23" i="214" s="1"/>
  <c r="N23" i="214"/>
  <c r="BB22" i="214"/>
  <c r="AS22" i="214"/>
  <c r="AI22" i="214"/>
  <c r="AJ22" i="214" s="1"/>
  <c r="U22" i="214"/>
  <c r="V22" i="214" s="1"/>
  <c r="N22" i="214"/>
  <c r="BB21" i="214"/>
  <c r="AS21" i="214"/>
  <c r="AI21" i="214"/>
  <c r="AJ21" i="214" s="1"/>
  <c r="U21" i="214"/>
  <c r="V21" i="214" s="1"/>
  <c r="N21" i="214"/>
  <c r="BB20" i="214"/>
  <c r="AS20" i="214"/>
  <c r="AI20" i="214"/>
  <c r="AJ20" i="214" s="1"/>
  <c r="U20" i="214"/>
  <c r="V20" i="214" s="1"/>
  <c r="N20" i="214"/>
  <c r="BB19" i="214"/>
  <c r="AS19" i="214"/>
  <c r="AI19" i="214"/>
  <c r="AJ19" i="214" s="1"/>
  <c r="U19" i="214"/>
  <c r="V19" i="214" s="1"/>
  <c r="N19" i="214"/>
  <c r="BB18" i="214"/>
  <c r="AS18" i="214"/>
  <c r="AI18" i="214"/>
  <c r="AJ18" i="214" s="1"/>
  <c r="U18" i="214"/>
  <c r="V18" i="214" s="1"/>
  <c r="N18" i="214"/>
  <c r="BB17" i="214"/>
  <c r="AS17" i="214"/>
  <c r="AJ17" i="214"/>
  <c r="AI17" i="214"/>
  <c r="U17" i="214"/>
  <c r="V17" i="214" s="1"/>
  <c r="N17" i="214"/>
  <c r="BB16" i="214"/>
  <c r="AS16" i="214"/>
  <c r="AI16" i="214"/>
  <c r="AJ16" i="214" s="1"/>
  <c r="U16" i="214"/>
  <c r="V16" i="214" s="1"/>
  <c r="N16" i="214"/>
  <c r="BB15" i="214"/>
  <c r="AS15" i="214"/>
  <c r="AI15" i="214"/>
  <c r="AJ15" i="214" s="1"/>
  <c r="U15" i="214"/>
  <c r="V15" i="214" s="1"/>
  <c r="N15" i="214"/>
  <c r="BB14" i="214"/>
  <c r="AS14" i="214"/>
  <c r="AJ14" i="214"/>
  <c r="AI14" i="214"/>
  <c r="U14" i="214"/>
  <c r="V14" i="214" s="1"/>
  <c r="N14" i="214"/>
  <c r="BB13" i="214"/>
  <c r="AS13" i="214"/>
  <c r="AK13" i="214"/>
  <c r="AJ13" i="214"/>
  <c r="AI13" i="214"/>
  <c r="U13" i="214"/>
  <c r="V13" i="214" s="1"/>
  <c r="N13" i="214"/>
  <c r="BB12" i="214"/>
  <c r="AS12" i="214"/>
  <c r="AI12" i="214"/>
  <c r="AJ12" i="214" s="1"/>
  <c r="U12" i="214"/>
  <c r="V12" i="214" s="1"/>
  <c r="N12" i="214"/>
  <c r="BB11" i="214"/>
  <c r="AS11" i="214"/>
  <c r="AI11" i="214"/>
  <c r="AJ11" i="214" s="1"/>
  <c r="U11" i="214"/>
  <c r="V11" i="214" s="1"/>
  <c r="N11" i="214"/>
  <c r="BB10" i="214"/>
  <c r="AS10" i="214"/>
  <c r="AI10" i="214"/>
  <c r="AJ10" i="214" s="1"/>
  <c r="U10" i="214"/>
  <c r="V10" i="214" s="1"/>
  <c r="N10" i="214"/>
  <c r="BB9" i="214"/>
  <c r="AS9" i="214"/>
  <c r="AI9" i="214"/>
  <c r="AJ9" i="214" s="1"/>
  <c r="V9" i="214"/>
  <c r="U9" i="214"/>
  <c r="N9" i="214"/>
  <c r="BB8" i="214"/>
  <c r="AS8" i="214"/>
  <c r="AK8" i="214"/>
  <c r="AI8" i="214"/>
  <c r="AJ8" i="214" s="1"/>
  <c r="U8" i="214"/>
  <c r="V8" i="214" s="1"/>
  <c r="N8" i="214"/>
  <c r="BB7" i="214"/>
  <c r="AS7" i="214"/>
  <c r="AK7" i="214"/>
  <c r="AI7" i="214"/>
  <c r="AJ7" i="214" s="1"/>
  <c r="U7" i="214"/>
  <c r="V7" i="214" s="1"/>
  <c r="N7" i="214"/>
  <c r="BB6" i="214"/>
  <c r="AS6" i="214"/>
  <c r="AI6" i="214"/>
  <c r="U6" i="214"/>
  <c r="V6" i="214" s="1"/>
  <c r="N6" i="214"/>
  <c r="BB5" i="214"/>
  <c r="BA5" i="214"/>
  <c r="AS5" i="214"/>
  <c r="AI5" i="214"/>
  <c r="U5" i="214"/>
  <c r="V5" i="214" s="1"/>
  <c r="N5" i="214"/>
  <c r="I1" i="214"/>
  <c r="I2" i="214" s="1"/>
  <c r="AB46" i="214" l="1"/>
  <c r="AC46" i="214" s="1"/>
  <c r="AM46" i="214" s="1"/>
  <c r="AB36" i="214"/>
  <c r="AC36" i="214" s="1"/>
  <c r="AB16" i="214"/>
  <c r="AC16" i="214" s="1"/>
  <c r="AB49" i="214"/>
  <c r="AC49" i="214" s="1"/>
  <c r="AM49" i="214" s="1"/>
  <c r="AB41" i="214"/>
  <c r="AC41" i="214" s="1"/>
  <c r="AM41" i="214" s="1"/>
  <c r="AB19" i="214"/>
  <c r="AC19" i="214" s="1"/>
  <c r="AB6" i="214"/>
  <c r="AC6" i="214" s="1"/>
  <c r="AM6" i="214" s="1"/>
  <c r="AB52" i="214"/>
  <c r="AC52" i="214" s="1"/>
  <c r="AB44" i="214"/>
  <c r="AB22" i="214"/>
  <c r="AC22" i="214" s="1"/>
  <c r="AM22" i="214" s="1"/>
  <c r="AB13" i="214"/>
  <c r="AC13" i="214" s="1"/>
  <c r="AM13" i="214" s="1"/>
  <c r="AB25" i="214"/>
  <c r="AC25" i="214" s="1"/>
  <c r="AM25" i="214" s="1"/>
  <c r="AB31" i="214"/>
  <c r="AC31" i="214" s="1"/>
  <c r="AM31" i="214" s="1"/>
  <c r="AB34" i="214"/>
  <c r="AC34" i="214" s="1"/>
  <c r="AM34" i="214" s="1"/>
  <c r="AB47" i="214"/>
  <c r="AC47" i="214" s="1"/>
  <c r="AM47" i="214" s="1"/>
  <c r="AB17" i="214"/>
  <c r="AC17" i="214" s="1"/>
  <c r="AM17" i="214" s="1"/>
  <c r="AB14" i="214"/>
  <c r="AC14" i="214" s="1"/>
  <c r="AM14" i="214" s="1"/>
  <c r="AB50" i="214"/>
  <c r="AC50" i="214" s="1"/>
  <c r="AM50" i="214" s="1"/>
  <c r="AB42" i="214"/>
  <c r="AC42" i="214" s="1"/>
  <c r="AM42" i="214" s="1"/>
  <c r="AB20" i="214"/>
  <c r="AC20" i="214" s="1"/>
  <c r="AM20" i="214" s="1"/>
  <c r="AB7" i="214"/>
  <c r="AC7" i="214" s="1"/>
  <c r="AB53" i="214"/>
  <c r="AC53" i="214" s="1"/>
  <c r="AM53" i="214" s="1"/>
  <c r="AB37" i="214"/>
  <c r="AC37" i="214" s="1"/>
  <c r="AM37" i="214" s="1"/>
  <c r="AB26" i="214"/>
  <c r="AC26" i="214" s="1"/>
  <c r="AM26" i="214" s="1"/>
  <c r="AB11" i="214"/>
  <c r="AC11" i="214" s="1"/>
  <c r="AM11" i="214" s="1"/>
  <c r="AB40" i="214"/>
  <c r="AC40" i="214" s="1"/>
  <c r="AM40" i="214" s="1"/>
  <c r="AO40" i="214" s="1"/>
  <c r="AB29" i="214"/>
  <c r="AC29" i="214" s="1"/>
  <c r="AM29" i="214" s="1"/>
  <c r="AB32" i="214"/>
  <c r="AC32" i="214" s="1"/>
  <c r="AM32" i="214" s="1"/>
  <c r="AB45" i="214"/>
  <c r="AC45" i="214" s="1"/>
  <c r="AM45" i="214" s="1"/>
  <c r="AB35" i="214"/>
  <c r="AC35" i="214" s="1"/>
  <c r="AM35" i="214" s="1"/>
  <c r="AB15" i="214"/>
  <c r="AC15" i="214" s="1"/>
  <c r="AM15" i="214" s="1"/>
  <c r="AB8" i="214"/>
  <c r="AC8" i="214" s="1"/>
  <c r="AM8" i="214" s="1"/>
  <c r="AB27" i="214"/>
  <c r="AC27" i="214" s="1"/>
  <c r="AM27" i="214" s="1"/>
  <c r="AB48" i="214"/>
  <c r="AC48" i="214" s="1"/>
  <c r="AM48" i="214" s="1"/>
  <c r="AB24" i="214"/>
  <c r="AC24" i="214" s="1"/>
  <c r="AM24" i="214" s="1"/>
  <c r="AB12" i="214"/>
  <c r="AC12" i="214" s="1"/>
  <c r="AM12" i="214" s="1"/>
  <c r="AB39" i="214"/>
  <c r="AC39" i="214" s="1"/>
  <c r="AM39" i="214" s="1"/>
  <c r="AB23" i="214"/>
  <c r="AC23" i="214" s="1"/>
  <c r="AM23" i="214" s="1"/>
  <c r="AB51" i="214"/>
  <c r="AC51" i="214" s="1"/>
  <c r="AM51" i="214" s="1"/>
  <c r="AB18" i="214"/>
  <c r="AC18" i="214" s="1"/>
  <c r="AM18" i="214" s="1"/>
  <c r="AB38" i="214"/>
  <c r="AC38" i="214" s="1"/>
  <c r="AB9" i="214"/>
  <c r="AC9" i="214" s="1"/>
  <c r="AM9" i="214" s="1"/>
  <c r="AB21" i="214"/>
  <c r="AC21" i="214" s="1"/>
  <c r="AB33" i="214"/>
  <c r="AC33" i="214" s="1"/>
  <c r="AB10" i="214"/>
  <c r="AC10" i="214" s="1"/>
  <c r="AM10" i="214" s="1"/>
  <c r="AB28" i="214"/>
  <c r="AC28" i="214" s="1"/>
  <c r="AM28" i="214" s="1"/>
  <c r="AB5" i="214"/>
  <c r="AC5" i="214" s="1"/>
  <c r="AM5" i="214" s="1"/>
  <c r="AB30" i="214"/>
  <c r="AC30" i="214" s="1"/>
  <c r="AB43" i="214"/>
  <c r="AC43" i="214" s="1"/>
  <c r="AM43" i="214" s="1"/>
  <c r="AM19" i="214"/>
  <c r="AM36" i="214"/>
  <c r="AO36" i="214" s="1"/>
  <c r="AM52" i="214"/>
  <c r="AM16" i="214"/>
  <c r="AM21" i="214"/>
  <c r="AM33" i="214"/>
  <c r="AM30" i="214"/>
  <c r="AM38" i="214"/>
  <c r="AM7" i="214"/>
  <c r="AP47" i="214" l="1"/>
  <c r="AT47" i="214" s="1"/>
  <c r="AO47" i="214"/>
  <c r="AP39" i="214"/>
  <c r="AT39" i="214" s="1"/>
  <c r="AO39" i="214"/>
  <c r="AP17" i="214"/>
  <c r="AT17" i="214" s="1"/>
  <c r="AO17" i="214"/>
  <c r="AP27" i="214"/>
  <c r="AT27" i="214" s="1"/>
  <c r="AO27" i="214"/>
  <c r="AP15" i="214"/>
  <c r="AT15" i="214" s="1"/>
  <c r="AO15" i="214"/>
  <c r="AP35" i="214"/>
  <c r="AT35" i="214" s="1"/>
  <c r="AO35" i="214"/>
  <c r="AP43" i="214"/>
  <c r="AT43" i="214" s="1"/>
  <c r="AO43" i="214"/>
  <c r="AP32" i="214"/>
  <c r="AT32" i="214" s="1"/>
  <c r="AO32" i="214"/>
  <c r="AP6" i="214"/>
  <c r="AT6" i="214" s="1"/>
  <c r="AO6" i="214"/>
  <c r="AO26" i="214"/>
  <c r="AP26" i="214"/>
  <c r="AT26" i="214" s="1"/>
  <c r="AP14" i="214"/>
  <c r="AT14" i="214" s="1"/>
  <c r="AO14" i="214"/>
  <c r="AP24" i="214"/>
  <c r="AT24" i="214" s="1"/>
  <c r="AO24" i="214"/>
  <c r="AO25" i="214"/>
  <c r="AP25" i="214"/>
  <c r="AT25" i="214" s="1"/>
  <c r="AP9" i="214"/>
  <c r="AT9" i="214" s="1"/>
  <c r="AO9" i="214"/>
  <c r="AP23" i="214"/>
  <c r="AT23" i="214" s="1"/>
  <c r="AO23" i="214"/>
  <c r="AP12" i="214"/>
  <c r="AT12" i="214" s="1"/>
  <c r="AO12" i="214"/>
  <c r="AP48" i="214"/>
  <c r="AT48" i="214" s="1"/>
  <c r="AO48" i="214"/>
  <c r="AP8" i="214"/>
  <c r="AT8" i="214" s="1"/>
  <c r="AO8" i="214"/>
  <c r="AP45" i="214"/>
  <c r="AT45" i="214" s="1"/>
  <c r="AO45" i="214"/>
  <c r="AO5" i="214"/>
  <c r="AP5" i="214"/>
  <c r="AT5" i="214" s="1"/>
  <c r="AP28" i="214"/>
  <c r="AT28" i="214" s="1"/>
  <c r="AO28" i="214"/>
  <c r="AP10" i="214"/>
  <c r="AT10" i="214" s="1"/>
  <c r="AO10" i="214"/>
  <c r="AO49" i="214"/>
  <c r="AP49" i="214"/>
  <c r="AT49" i="214" s="1"/>
  <c r="AO37" i="214"/>
  <c r="AP37" i="214"/>
  <c r="AT37" i="214" s="1"/>
  <c r="AP51" i="214"/>
  <c r="AT51" i="214" s="1"/>
  <c r="AO51" i="214"/>
  <c r="AP33" i="214"/>
  <c r="AT33" i="214" s="1"/>
  <c r="AO33" i="214"/>
  <c r="AP7" i="214"/>
  <c r="AT7" i="214" s="1"/>
  <c r="AO7" i="214"/>
  <c r="AO11" i="214"/>
  <c r="AP11" i="214"/>
  <c r="AT11" i="214" s="1"/>
  <c r="AO16" i="214"/>
  <c r="AP16" i="214"/>
  <c r="AT16" i="214" s="1"/>
  <c r="AP18" i="214"/>
  <c r="AT18" i="214" s="1"/>
  <c r="AO18" i="214"/>
  <c r="AP30" i="214"/>
  <c r="AT30" i="214" s="1"/>
  <c r="AO30" i="214"/>
  <c r="AP13" i="214"/>
  <c r="AT13" i="214" s="1"/>
  <c r="AO13" i="214"/>
  <c r="AO21" i="214"/>
  <c r="AP21" i="214"/>
  <c r="AT21" i="214" s="1"/>
  <c r="AO46" i="214"/>
  <c r="AP46" i="214"/>
  <c r="AT46" i="214" s="1"/>
  <c r="AO52" i="214"/>
  <c r="AP52" i="214"/>
  <c r="AT52" i="214" s="1"/>
  <c r="AP34" i="214"/>
  <c r="AT34" i="214" s="1"/>
  <c r="AO34" i="214"/>
  <c r="AO19" i="214"/>
  <c r="AP19" i="214"/>
  <c r="AT19" i="214" s="1"/>
  <c r="AO31" i="214"/>
  <c r="AP31" i="214"/>
  <c r="AT31" i="214" s="1"/>
  <c r="AP53" i="214"/>
  <c r="AT53" i="214" s="1"/>
  <c r="AO53" i="214"/>
  <c r="AP20" i="214"/>
  <c r="AT20" i="214" s="1"/>
  <c r="AO20" i="214"/>
  <c r="AP50" i="214"/>
  <c r="AT50" i="214" s="1"/>
  <c r="AO50" i="214"/>
  <c r="AP29" i="214"/>
  <c r="AT29" i="214" s="1"/>
  <c r="AO29" i="214"/>
  <c r="AP22" i="214"/>
  <c r="AT22" i="214" s="1"/>
  <c r="AO22" i="214"/>
  <c r="AP38" i="214"/>
  <c r="AT38" i="214" s="1"/>
  <c r="AO38" i="214"/>
  <c r="AP41" i="214"/>
  <c r="AT41" i="214" s="1"/>
  <c r="AO41" i="214"/>
  <c r="AP42" i="214"/>
  <c r="AT42" i="214" s="1"/>
  <c r="AO42" i="214"/>
</calcChain>
</file>

<file path=xl/sharedStrings.xml><?xml version="1.0" encoding="utf-8"?>
<sst xmlns="http://schemas.openxmlformats.org/spreadsheetml/2006/main" count="71" uniqueCount="51">
  <si>
    <t>구성원3</t>
  </si>
  <si>
    <t>구성원4</t>
  </si>
  <si>
    <t>기술자              평가대상</t>
    <phoneticPr fontId="3" type="noConversion"/>
  </si>
  <si>
    <t>기초금액</t>
    <phoneticPr fontId="3" type="noConversion"/>
  </si>
  <si>
    <t>입찰</t>
    <phoneticPr fontId="3" type="noConversion"/>
  </si>
  <si>
    <t>연번</t>
    <phoneticPr fontId="3" type="noConversion"/>
  </si>
  <si>
    <t>대표사</t>
    <phoneticPr fontId="3" type="noConversion"/>
  </si>
  <si>
    <t>기술능력
(5점만점)</t>
    <phoneticPr fontId="3" type="noConversion"/>
  </si>
  <si>
    <t>평가대상금액</t>
    <phoneticPr fontId="3" type="noConversion"/>
  </si>
  <si>
    <t>소방실적</t>
    <phoneticPr fontId="3" type="noConversion"/>
  </si>
  <si>
    <t>실적  만점</t>
    <phoneticPr fontId="3" type="noConversion"/>
  </si>
  <si>
    <t>5년 1배수</t>
    <phoneticPr fontId="3" type="noConversion"/>
  </si>
  <si>
    <t>2025.03.04</t>
    <phoneticPr fontId="3" type="noConversion"/>
  </si>
  <si>
    <t>입찰참가자격
시평제한</t>
    <phoneticPr fontId="3" type="noConversion"/>
  </si>
  <si>
    <t>업 체 명</t>
    <phoneticPr fontId="3" type="noConversion"/>
  </si>
  <si>
    <t>지 분</t>
    <phoneticPr fontId="3" type="noConversion"/>
  </si>
  <si>
    <t>합산
지분</t>
    <phoneticPr fontId="3" type="noConversion"/>
  </si>
  <si>
    <t>가점</t>
    <phoneticPr fontId="3" type="noConversion"/>
  </si>
  <si>
    <t>경영상태(부채,유동,영업기간)</t>
    <phoneticPr fontId="3" type="noConversion"/>
  </si>
  <si>
    <t>시공실적(최근5년간 1배수)</t>
    <phoneticPr fontId="3" type="noConversion"/>
  </si>
  <si>
    <t>기술능력</t>
    <phoneticPr fontId="3" type="noConversion"/>
  </si>
  <si>
    <t>x0.5/3</t>
    <phoneticPr fontId="3" type="noConversion"/>
  </si>
  <si>
    <t>투찰율[%]  소수점3째자리 반올림</t>
    <phoneticPr fontId="3" type="noConversion"/>
  </si>
  <si>
    <t>격차</t>
    <phoneticPr fontId="3" type="noConversion"/>
  </si>
  <si>
    <t>사정율</t>
    <phoneticPr fontId="3" type="noConversion"/>
  </si>
  <si>
    <t>예가         투찰율</t>
    <phoneticPr fontId="3" type="noConversion"/>
  </si>
  <si>
    <t>투찰금액</t>
    <phoneticPr fontId="3" type="noConversion"/>
  </si>
  <si>
    <t>비 고</t>
    <phoneticPr fontId="3" type="noConversion"/>
  </si>
  <si>
    <t>시공능력 대표사</t>
    <phoneticPr fontId="3" type="noConversion"/>
  </si>
  <si>
    <t>시공능력구성사1</t>
    <phoneticPr fontId="3" type="noConversion"/>
  </si>
  <si>
    <t>시공능력구성사2</t>
    <phoneticPr fontId="3" type="noConversion"/>
  </si>
  <si>
    <t>시공능력구성사3</t>
    <phoneticPr fontId="3" type="noConversion"/>
  </si>
  <si>
    <t>시공능력구성사4</t>
    <phoneticPr fontId="3" type="noConversion"/>
  </si>
  <si>
    <t>시공능력합산</t>
    <phoneticPr fontId="3" type="noConversion"/>
  </si>
  <si>
    <t>시공능력*시공비율</t>
    <phoneticPr fontId="3" type="noConversion"/>
  </si>
  <si>
    <t>구성원1</t>
    <phoneticPr fontId="3" type="noConversion"/>
  </si>
  <si>
    <t>구성원2</t>
    <phoneticPr fontId="3" type="noConversion"/>
  </si>
  <si>
    <t>비고</t>
    <phoneticPr fontId="3" type="noConversion"/>
  </si>
  <si>
    <t>경영          (15점만점)</t>
    <phoneticPr fontId="3" type="noConversion"/>
  </si>
  <si>
    <t>경영적용점수</t>
    <phoneticPr fontId="3" type="noConversion"/>
  </si>
  <si>
    <t>실적         (10점만점)</t>
    <phoneticPr fontId="3" type="noConversion"/>
  </si>
  <si>
    <t>실적점수적용</t>
    <phoneticPr fontId="3" type="noConversion"/>
  </si>
  <si>
    <t>기술자
합산</t>
    <phoneticPr fontId="3" type="noConversion"/>
  </si>
  <si>
    <t>신인도
가점</t>
    <phoneticPr fontId="3" type="noConversion"/>
  </si>
  <si>
    <t>순공사
점수</t>
    <phoneticPr fontId="3" type="noConversion"/>
  </si>
  <si>
    <t>합산점수</t>
    <phoneticPr fontId="3" type="noConversion"/>
  </si>
  <si>
    <t>입찰점수</t>
    <phoneticPr fontId="3" type="noConversion"/>
  </si>
  <si>
    <t>예상점수</t>
    <phoneticPr fontId="3" type="noConversion"/>
  </si>
  <si>
    <t>알림</t>
    <phoneticPr fontId="3" type="noConversion"/>
  </si>
  <si>
    <t>공고명/공고번호</t>
    <phoneticPr fontId="3" type="noConversion"/>
  </si>
  <si>
    <t>메모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</si>
</sst>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0_-;\-* #,##0.00_-;_-* &quot;-&quot;_-;_-@_-"/>
    <numFmt numFmtId="178" formatCode="0.000%"/>
    <numFmt numFmtId="179" formatCode="0.0000%"/>
    <numFmt numFmtId="180" formatCode="_-* #,##0.000_-;\-* #,##0.000_-;_-* &quot;-&quot;_-;_-@_-"/>
    <numFmt numFmtId="181" formatCode="_-* #,##0_-;\-* #,##0_-;_-* \-_-;_-@_-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b/>
      <sz val="10"/>
      <name val="굴림체"/>
      <family val="3"/>
      <charset val="129"/>
    </font>
    <font>
      <b/>
      <sz val="18"/>
      <name val="굴림체"/>
      <family val="3"/>
      <charset val="129"/>
    </font>
    <font>
      <sz val="10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sz val="10"/>
      <color rgb="FFFF0000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9"/>
      <color rgb="FFFF0000"/>
      <name val="굴림체"/>
      <family val="3"/>
      <charset val="129"/>
    </font>
    <font>
      <b/>
      <sz val="14"/>
      <color rgb="FFFF0000"/>
      <name val="Dotum"/>
      <family val="3"/>
      <charset val="129"/>
    </font>
    <font>
      <b/>
      <sz val="14"/>
      <color rgb="FFFF0000"/>
      <name val="굴림체"/>
      <family val="3"/>
      <charset val="129"/>
    </font>
    <font>
      <b/>
      <sz val="9"/>
      <name val="굴림체"/>
      <family val="3"/>
      <charset val="129"/>
    </font>
    <font>
      <sz val="10"/>
      <color rgb="FF000000"/>
      <name val="한양신명조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name val="굴림체"/>
      <family val="3"/>
      <charset val="129"/>
    </font>
    <font>
      <b/>
      <sz val="12"/>
      <color theme="1"/>
      <name val="굴림체"/>
      <family val="3"/>
      <charset val="129"/>
    </font>
    <font>
      <b/>
      <sz val="14"/>
      <name val="굴림체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81" fontId="1" fillId="0" borderId="0" applyBorder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1" fontId="4" fillId="2" borderId="0" xfId="1" applyFont="1" applyFill="1" applyBorder="1" applyAlignment="1">
      <alignment horizontal="center" vertical="center"/>
    </xf>
    <xf numFmtId="0" fontId="6" fillId="2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 shrinkToFit="1"/>
    </xf>
    <xf numFmtId="0" fontId="6" fillId="0" borderId="2" xfId="0" applyFont="1" applyBorder="1" applyAlignment="1">
      <alignment horizontal="center" vertical="center" wrapText="1" shrinkToFit="1"/>
    </xf>
    <xf numFmtId="176" fontId="6" fillId="0" borderId="30" xfId="0" applyNumberFormat="1" applyFont="1" applyBorder="1" applyAlignment="1">
      <alignment horizontal="center" vertical="center"/>
    </xf>
    <xf numFmtId="176" fontId="6" fillId="0" borderId="13" xfId="0" applyNumberFormat="1" applyFont="1" applyBorder="1" applyAlignment="1">
      <alignment horizontal="center" vertical="center"/>
    </xf>
    <xf numFmtId="9" fontId="6" fillId="0" borderId="32" xfId="0" applyNumberFormat="1" applyFont="1" applyBorder="1" applyAlignment="1">
      <alignment horizontal="center" vertical="center"/>
    </xf>
    <xf numFmtId="177" fontId="6" fillId="0" borderId="32" xfId="1" applyNumberFormat="1" applyFont="1" applyFill="1" applyBorder="1">
      <alignment vertical="center"/>
    </xf>
    <xf numFmtId="177" fontId="6" fillId="0" borderId="31" xfId="1" applyNumberFormat="1" applyFont="1" applyFill="1" applyBorder="1">
      <alignment vertical="center"/>
    </xf>
    <xf numFmtId="177" fontId="6" fillId="0" borderId="10" xfId="1" applyNumberFormat="1" applyFont="1" applyFill="1" applyBorder="1">
      <alignment vertical="center"/>
    </xf>
    <xf numFmtId="41" fontId="6" fillId="0" borderId="31" xfId="1" applyFont="1" applyFill="1" applyBorder="1" applyAlignment="1">
      <alignment vertical="center" wrapText="1" shrinkToFit="1"/>
    </xf>
    <xf numFmtId="177" fontId="6" fillId="0" borderId="12" xfId="1" applyNumberFormat="1" applyFont="1" applyFill="1" applyBorder="1">
      <alignment vertical="center"/>
    </xf>
    <xf numFmtId="177" fontId="6" fillId="0" borderId="13" xfId="1" applyNumberFormat="1" applyFont="1" applyFill="1" applyBorder="1">
      <alignment vertical="center"/>
    </xf>
    <xf numFmtId="177" fontId="8" fillId="0" borderId="32" xfId="1" applyNumberFormat="1" applyFont="1" applyFill="1" applyBorder="1">
      <alignment vertical="center"/>
    </xf>
    <xf numFmtId="41" fontId="6" fillId="0" borderId="20" xfId="1" applyFont="1" applyFill="1" applyBorder="1">
      <alignment vertical="center"/>
    </xf>
    <xf numFmtId="0" fontId="6" fillId="0" borderId="12" xfId="0" applyFont="1" applyBorder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6" fillId="2" borderId="39" xfId="0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177" fontId="6" fillId="0" borderId="24" xfId="1" applyNumberFormat="1" applyFont="1" applyFill="1" applyBorder="1">
      <alignment vertical="center"/>
    </xf>
    <xf numFmtId="179" fontId="6" fillId="0" borderId="25" xfId="2" applyNumberFormat="1" applyFont="1" applyFill="1" applyBorder="1">
      <alignment vertical="center"/>
    </xf>
    <xf numFmtId="179" fontId="6" fillId="0" borderId="35" xfId="2" applyNumberFormat="1" applyFont="1" applyFill="1" applyBorder="1">
      <alignment vertical="center"/>
    </xf>
    <xf numFmtId="0" fontId="8" fillId="2" borderId="35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38" xfId="0" applyNumberFormat="1" applyFont="1" applyBorder="1" applyAlignment="1">
      <alignment horizontal="center" vertical="center"/>
    </xf>
    <xf numFmtId="9" fontId="6" fillId="0" borderId="44" xfId="0" applyNumberFormat="1" applyFont="1" applyBorder="1" applyAlignment="1">
      <alignment horizontal="center" vertical="center"/>
    </xf>
    <xf numFmtId="177" fontId="6" fillId="0" borderId="42" xfId="1" applyNumberFormat="1" applyFont="1" applyFill="1" applyBorder="1">
      <alignment vertical="center"/>
    </xf>
    <xf numFmtId="177" fontId="6" fillId="0" borderId="26" xfId="1" applyNumberFormat="1" applyFont="1" applyFill="1" applyBorder="1">
      <alignment vertical="center"/>
    </xf>
    <xf numFmtId="177" fontId="8" fillId="0" borderId="44" xfId="1" applyNumberFormat="1" applyFont="1" applyFill="1" applyBorder="1">
      <alignment vertical="center"/>
    </xf>
    <xf numFmtId="176" fontId="6" fillId="0" borderId="36" xfId="0" applyNumberFormat="1" applyFont="1" applyBorder="1" applyAlignment="1">
      <alignment horizontal="center" vertical="center"/>
    </xf>
    <xf numFmtId="176" fontId="6" fillId="0" borderId="25" xfId="0" applyNumberFormat="1" applyFont="1" applyBorder="1" applyAlignment="1">
      <alignment horizontal="center" vertical="center"/>
    </xf>
    <xf numFmtId="177" fontId="6" fillId="0" borderId="44" xfId="1" applyNumberFormat="1" applyFont="1" applyFill="1" applyBorder="1">
      <alignment vertical="center"/>
    </xf>
    <xf numFmtId="41" fontId="6" fillId="0" borderId="26" xfId="1" applyFont="1" applyFill="1" applyBorder="1">
      <alignment vertical="center"/>
    </xf>
    <xf numFmtId="177" fontId="6" fillId="0" borderId="26" xfId="0" applyNumberFormat="1" applyFont="1" applyBorder="1">
      <alignment vertical="center"/>
    </xf>
    <xf numFmtId="178" fontId="8" fillId="0" borderId="26" xfId="2" applyNumberFormat="1" applyFont="1" applyFill="1" applyBorder="1" applyAlignment="1">
      <alignment vertical="center"/>
    </xf>
    <xf numFmtId="43" fontId="4" fillId="0" borderId="35" xfId="0" applyNumberFormat="1" applyFont="1" applyBorder="1">
      <alignment vertical="center"/>
    </xf>
    <xf numFmtId="0" fontId="6" fillId="0" borderId="44" xfId="0" applyFont="1" applyBorder="1" applyAlignment="1">
      <alignment horizontal="left" vertical="center" wrapText="1" shrinkToFit="1"/>
    </xf>
    <xf numFmtId="0" fontId="6" fillId="0" borderId="35" xfId="0" applyFont="1" applyBorder="1" applyAlignment="1">
      <alignment horizontal="center" vertical="center" wrapText="1"/>
    </xf>
    <xf numFmtId="177" fontId="8" fillId="0" borderId="13" xfId="1" applyNumberFormat="1" applyFont="1" applyFill="1" applyBorder="1">
      <alignment vertical="center"/>
    </xf>
    <xf numFmtId="41" fontId="6" fillId="0" borderId="3" xfId="1" applyFont="1" applyFill="1" applyBorder="1" applyAlignment="1">
      <alignment vertical="center" wrapText="1" shrinkToFit="1"/>
    </xf>
    <xf numFmtId="41" fontId="6" fillId="0" borderId="13" xfId="1" applyFont="1" applyFill="1" applyBorder="1" applyAlignment="1">
      <alignment vertical="center" wrapText="1" shrinkToFit="1"/>
    </xf>
    <xf numFmtId="177" fontId="6" fillId="0" borderId="30" xfId="1" applyNumberFormat="1" applyFont="1" applyFill="1" applyBorder="1">
      <alignment vertical="center"/>
    </xf>
    <xf numFmtId="0" fontId="6" fillId="2" borderId="48" xfId="0" applyFont="1" applyFill="1" applyBorder="1" applyAlignment="1">
      <alignment horizontal="center" vertical="center" wrapText="1"/>
    </xf>
    <xf numFmtId="177" fontId="6" fillId="0" borderId="35" xfId="1" applyNumberFormat="1" applyFont="1" applyFill="1" applyBorder="1">
      <alignment vertical="center"/>
    </xf>
    <xf numFmtId="177" fontId="6" fillId="0" borderId="1" xfId="1" applyNumberFormat="1" applyFont="1" applyFill="1" applyBorder="1">
      <alignment vertical="center"/>
    </xf>
    <xf numFmtId="177" fontId="6" fillId="0" borderId="27" xfId="1" applyNumberFormat="1" applyFont="1" applyFill="1" applyBorder="1">
      <alignment vertical="center"/>
    </xf>
    <xf numFmtId="41" fontId="6" fillId="0" borderId="1" xfId="1" applyFont="1" applyFill="1" applyBorder="1" applyAlignment="1">
      <alignment vertical="center" wrapText="1" shrinkToFit="1"/>
    </xf>
    <xf numFmtId="41" fontId="6" fillId="0" borderId="26" xfId="1" applyFont="1" applyFill="1" applyBorder="1" applyAlignment="1">
      <alignment vertical="center" wrapText="1" shrinkToFit="1"/>
    </xf>
    <xf numFmtId="41" fontId="6" fillId="0" borderId="12" xfId="1" applyFont="1" applyFill="1" applyBorder="1" applyAlignment="1">
      <alignment vertical="center" wrapText="1" shrinkToFit="1"/>
    </xf>
    <xf numFmtId="177" fontId="9" fillId="0" borderId="13" xfId="1" applyNumberFormat="1" applyFont="1" applyFill="1" applyBorder="1">
      <alignment vertical="center"/>
    </xf>
    <xf numFmtId="177" fontId="6" fillId="0" borderId="28" xfId="1" applyNumberFormat="1" applyFont="1" applyFill="1" applyBorder="1">
      <alignment vertical="center"/>
    </xf>
    <xf numFmtId="41" fontId="6" fillId="0" borderId="33" xfId="1" applyFont="1" applyFill="1" applyBorder="1" applyAlignment="1">
      <alignment vertical="center" wrapText="1" shrinkToFit="1"/>
    </xf>
    <xf numFmtId="177" fontId="6" fillId="0" borderId="3" xfId="1" applyNumberFormat="1" applyFont="1" applyFill="1" applyBorder="1">
      <alignment vertical="center"/>
    </xf>
    <xf numFmtId="41" fontId="6" fillId="0" borderId="31" xfId="1" applyFont="1" applyBorder="1" applyAlignment="1">
      <alignment vertical="center" wrapText="1" shrinkToFit="1"/>
    </xf>
    <xf numFmtId="41" fontId="6" fillId="0" borderId="13" xfId="1" applyFont="1" applyBorder="1" applyAlignment="1">
      <alignment vertical="center" wrapText="1" shrinkToFit="1"/>
    </xf>
    <xf numFmtId="41" fontId="6" fillId="0" borderId="12" xfId="1" applyFont="1" applyBorder="1" applyAlignment="1">
      <alignment vertical="center" wrapText="1" shrinkToFit="1"/>
    </xf>
    <xf numFmtId="41" fontId="6" fillId="0" borderId="3" xfId="1" applyFont="1" applyBorder="1" applyAlignment="1">
      <alignment vertical="center" wrapText="1" shrinkToFit="1"/>
    </xf>
    <xf numFmtId="41" fontId="10" fillId="2" borderId="1" xfId="1" applyFont="1" applyFill="1" applyBorder="1" applyAlignment="1">
      <alignment vertical="center"/>
    </xf>
    <xf numFmtId="0" fontId="6" fillId="7" borderId="13" xfId="0" applyFont="1" applyFill="1" applyBorder="1" applyAlignment="1">
      <alignment horizontal="center" vertical="center" wrapText="1"/>
    </xf>
    <xf numFmtId="41" fontId="6" fillId="0" borderId="33" xfId="1" applyFont="1" applyBorder="1" applyAlignment="1">
      <alignment vertical="center" wrapText="1" shrinkToFit="1"/>
    </xf>
    <xf numFmtId="0" fontId="8" fillId="2" borderId="24" xfId="0" applyFont="1" applyFill="1" applyBorder="1" applyAlignment="1">
      <alignment horizontal="center" vertical="center" wrapText="1"/>
    </xf>
    <xf numFmtId="177" fontId="6" fillId="0" borderId="31" xfId="1" applyNumberFormat="1" applyFont="1" applyBorder="1">
      <alignment vertical="center"/>
    </xf>
    <xf numFmtId="177" fontId="6" fillId="0" borderId="13" xfId="1" applyNumberFormat="1" applyFont="1" applyBorder="1">
      <alignment vertical="center"/>
    </xf>
    <xf numFmtId="0" fontId="6" fillId="2" borderId="5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177" fontId="6" fillId="7" borderId="42" xfId="1" applyNumberFormat="1" applyFont="1" applyFill="1" applyBorder="1">
      <alignment vertical="center"/>
    </xf>
    <xf numFmtId="177" fontId="6" fillId="7" borderId="13" xfId="1" applyNumberFormat="1" applyFont="1" applyFill="1" applyBorder="1">
      <alignment vertical="center"/>
    </xf>
    <xf numFmtId="0" fontId="5" fillId="2" borderId="0" xfId="0" applyFont="1" applyFill="1" applyAlignment="1">
      <alignment horizontal="center" vertical="center" wrapText="1"/>
    </xf>
    <xf numFmtId="22" fontId="11" fillId="0" borderId="2" xfId="0" applyNumberFormat="1" applyFont="1" applyBorder="1" applyAlignment="1">
      <alignment vertical="center"/>
    </xf>
    <xf numFmtId="41" fontId="12" fillId="2" borderId="0" xfId="1" applyFont="1" applyFill="1" applyBorder="1" applyAlignment="1">
      <alignment horizontal="center" vertical="center"/>
    </xf>
    <xf numFmtId="41" fontId="4" fillId="2" borderId="52" xfId="1" applyFont="1" applyFill="1" applyBorder="1" applyAlignment="1">
      <alignment horizontal="center" vertical="center"/>
    </xf>
    <xf numFmtId="41" fontId="4" fillId="2" borderId="51" xfId="1" applyFont="1" applyFill="1" applyBorder="1" applyAlignment="1">
      <alignment horizontal="center" vertical="center"/>
    </xf>
    <xf numFmtId="41" fontId="6" fillId="0" borderId="21" xfId="1" applyFont="1" applyFill="1" applyBorder="1">
      <alignment vertical="center"/>
    </xf>
    <xf numFmtId="0" fontId="6" fillId="0" borderId="42" xfId="0" applyFont="1" applyBorder="1">
      <alignment vertical="center"/>
    </xf>
    <xf numFmtId="0" fontId="6" fillId="5" borderId="49" xfId="0" applyFont="1" applyFill="1" applyBorder="1" applyAlignment="1">
      <alignment horizontal="center" vertical="center" wrapText="1" shrinkToFit="1"/>
    </xf>
    <xf numFmtId="0" fontId="6" fillId="2" borderId="18" xfId="0" applyFont="1" applyFill="1" applyBorder="1" applyAlignment="1">
      <alignment horizontal="center" vertical="center" wrapText="1" shrinkToFit="1"/>
    </xf>
    <xf numFmtId="177" fontId="8" fillId="0" borderId="43" xfId="1" applyNumberFormat="1" applyFont="1" applyFill="1" applyBorder="1">
      <alignment vertical="center"/>
    </xf>
    <xf numFmtId="0" fontId="6" fillId="6" borderId="20" xfId="0" applyFont="1" applyFill="1" applyBorder="1" applyAlignment="1">
      <alignment horizontal="center" vertical="center" wrapText="1" shrinkToFit="1"/>
    </xf>
    <xf numFmtId="180" fontId="6" fillId="6" borderId="44" xfId="1" applyNumberFormat="1" applyFont="1" applyFill="1" applyBorder="1">
      <alignment vertical="center"/>
    </xf>
    <xf numFmtId="177" fontId="6" fillId="6" borderId="44" xfId="1" applyNumberFormat="1" applyFont="1" applyFill="1" applyBorder="1">
      <alignment vertical="center"/>
    </xf>
    <xf numFmtId="180" fontId="6" fillId="6" borderId="21" xfId="1" applyNumberFormat="1" applyFont="1" applyFill="1" applyBorder="1">
      <alignment vertical="center"/>
    </xf>
    <xf numFmtId="41" fontId="6" fillId="6" borderId="44" xfId="1" applyFont="1" applyFill="1" applyBorder="1">
      <alignment vertical="center"/>
    </xf>
    <xf numFmtId="41" fontId="6" fillId="6" borderId="21" xfId="1" applyFont="1" applyFill="1" applyBorder="1">
      <alignment vertical="center"/>
    </xf>
    <xf numFmtId="0" fontId="6" fillId="0" borderId="20" xfId="0" applyFont="1" applyBorder="1" applyAlignment="1">
      <alignment horizontal="center" vertical="center" wrapText="1" shrinkToFit="1"/>
    </xf>
    <xf numFmtId="177" fontId="6" fillId="0" borderId="21" xfId="1" applyNumberFormat="1" applyFont="1" applyFill="1" applyBorder="1">
      <alignment vertical="center"/>
    </xf>
    <xf numFmtId="0" fontId="9" fillId="5" borderId="4" xfId="0" applyFont="1" applyFill="1" applyBorder="1" applyAlignment="1">
      <alignment horizontal="center" vertical="center" wrapText="1" shrinkToFit="1"/>
    </xf>
    <xf numFmtId="0" fontId="8" fillId="2" borderId="13" xfId="0" applyFont="1" applyFill="1" applyBorder="1" applyAlignment="1">
      <alignment horizontal="center" vertical="center" wrapText="1"/>
    </xf>
    <xf numFmtId="3" fontId="8" fillId="2" borderId="13" xfId="0" applyNumberFormat="1" applyFont="1" applyFill="1" applyBorder="1" applyAlignment="1">
      <alignment horizontal="center" vertical="center" wrapText="1"/>
    </xf>
    <xf numFmtId="41" fontId="14" fillId="0" borderId="13" xfId="1" applyFont="1" applyBorder="1" applyAlignment="1">
      <alignment horizontal="justify" vertical="center" wrapText="1"/>
    </xf>
    <xf numFmtId="41" fontId="6" fillId="2" borderId="13" xfId="1" applyFont="1" applyFill="1" applyBorder="1" applyAlignment="1">
      <alignment horizontal="center" vertical="center" wrapText="1"/>
    </xf>
    <xf numFmtId="41" fontId="14" fillId="0" borderId="13" xfId="1" applyFont="1" applyBorder="1" applyAlignment="1">
      <alignment horizontal="center" vertical="center" wrapText="1"/>
    </xf>
    <xf numFmtId="3" fontId="8" fillId="2" borderId="24" xfId="0" applyNumberFormat="1" applyFont="1" applyFill="1" applyBorder="1" applyAlignment="1">
      <alignment horizontal="center" vertical="center" wrapText="1"/>
    </xf>
    <xf numFmtId="41" fontId="6" fillId="0" borderId="29" xfId="1" applyFont="1" applyFill="1" applyBorder="1" applyAlignment="1">
      <alignment vertical="center" wrapText="1" shrinkToFit="1"/>
    </xf>
    <xf numFmtId="41" fontId="6" fillId="0" borderId="35" xfId="1" applyFont="1" applyFill="1" applyBorder="1" applyAlignment="1">
      <alignment vertical="center" wrapText="1" shrinkToFit="1"/>
    </xf>
    <xf numFmtId="0" fontId="6" fillId="5" borderId="20" xfId="0" applyFont="1" applyFill="1" applyBorder="1" applyAlignment="1">
      <alignment horizontal="center" vertical="center" wrapText="1" shrinkToFit="1"/>
    </xf>
    <xf numFmtId="177" fontId="8" fillId="0" borderId="21" xfId="1" applyNumberFormat="1" applyFont="1" applyFill="1" applyBorder="1">
      <alignment vertical="center"/>
    </xf>
    <xf numFmtId="176" fontId="6" fillId="0" borderId="42" xfId="0" applyNumberFormat="1" applyFont="1" applyBorder="1" applyAlignment="1">
      <alignment horizontal="center" vertical="center"/>
    </xf>
    <xf numFmtId="41" fontId="6" fillId="0" borderId="42" xfId="1" applyFont="1" applyFill="1" applyBorder="1" applyAlignment="1">
      <alignment vertical="center" wrapText="1" shrinkToFit="1"/>
    </xf>
    <xf numFmtId="177" fontId="6" fillId="7" borderId="10" xfId="1" applyNumberFormat="1" applyFont="1" applyFill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6" fillId="0" borderId="44" xfId="0" applyFont="1" applyBorder="1" applyAlignment="1">
      <alignment horizontal="center" vertical="center" wrapText="1" shrinkToFit="1"/>
    </xf>
    <xf numFmtId="3" fontId="13" fillId="2" borderId="19" xfId="0" applyNumberFormat="1" applyFont="1" applyFill="1" applyBorder="1" applyAlignment="1">
      <alignment horizontal="center" vertical="center" wrapText="1"/>
    </xf>
    <xf numFmtId="177" fontId="6" fillId="7" borderId="26" xfId="1" applyNumberFormat="1" applyFont="1" applyFill="1" applyBorder="1">
      <alignment vertical="center"/>
    </xf>
    <xf numFmtId="0" fontId="6" fillId="7" borderId="35" xfId="0" applyFont="1" applyFill="1" applyBorder="1" applyAlignment="1">
      <alignment horizontal="left" vertical="center" wrapText="1"/>
    </xf>
    <xf numFmtId="0" fontId="6" fillId="7" borderId="26" xfId="0" applyFont="1" applyFill="1" applyBorder="1" applyAlignment="1">
      <alignment horizontal="left" vertical="center" wrapText="1"/>
    </xf>
    <xf numFmtId="0" fontId="6" fillId="0" borderId="35" xfId="0" applyFont="1" applyFill="1" applyBorder="1" applyAlignment="1">
      <alignment horizontal="center" vertical="center" wrapText="1"/>
    </xf>
    <xf numFmtId="176" fontId="6" fillId="0" borderId="12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left" vertical="center" wrapText="1" shrinkToFit="1"/>
    </xf>
    <xf numFmtId="0" fontId="6" fillId="2" borderId="35" xfId="0" applyFont="1" applyFill="1" applyBorder="1" applyAlignment="1">
      <alignment horizontal="left" vertical="center" wrapText="1"/>
    </xf>
    <xf numFmtId="176" fontId="6" fillId="0" borderId="31" xfId="0" applyNumberFormat="1" applyFont="1" applyBorder="1" applyAlignment="1">
      <alignment horizontal="center" vertical="center"/>
    </xf>
    <xf numFmtId="0" fontId="6" fillId="2" borderId="24" xfId="0" applyFont="1" applyFill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 shrinkToFit="1"/>
    </xf>
    <xf numFmtId="0" fontId="4" fillId="0" borderId="44" xfId="0" applyFont="1" applyBorder="1" applyAlignment="1">
      <alignment horizontal="left" vertical="center" wrapText="1" shrinkToFit="1"/>
    </xf>
    <xf numFmtId="0" fontId="6" fillId="0" borderId="35" xfId="0" applyFont="1" applyBorder="1" applyAlignment="1">
      <alignment horizontal="left" vertical="center" wrapText="1"/>
    </xf>
    <xf numFmtId="0" fontId="6" fillId="7" borderId="26" xfId="0" applyFont="1" applyFill="1" applyBorder="1" applyAlignment="1">
      <alignment horizontal="left" vertical="center" wrapText="1" shrinkToFit="1"/>
    </xf>
    <xf numFmtId="176" fontId="6" fillId="0" borderId="55" xfId="0" applyNumberFormat="1" applyFont="1" applyBorder="1" applyAlignment="1">
      <alignment horizontal="center" vertical="center"/>
    </xf>
    <xf numFmtId="0" fontId="5" fillId="2" borderId="0" xfId="0" applyFont="1" applyFill="1" applyBorder="1" applyAlignment="1">
      <alignment vertical="center" wrapText="1"/>
    </xf>
    <xf numFmtId="177" fontId="8" fillId="0" borderId="42" xfId="1" applyNumberFormat="1" applyFont="1" applyFill="1" applyBorder="1">
      <alignment vertical="center"/>
    </xf>
    <xf numFmtId="177" fontId="6" fillId="0" borderId="25" xfId="1" applyNumberFormat="1" applyFont="1" applyFill="1" applyBorder="1">
      <alignment vertical="center"/>
    </xf>
    <xf numFmtId="177" fontId="6" fillId="0" borderId="35" xfId="1" applyNumberFormat="1" applyFont="1" applyFill="1" applyBorder="1" applyAlignment="1">
      <alignment horizontal="center" vertical="center"/>
    </xf>
    <xf numFmtId="177" fontId="6" fillId="0" borderId="43" xfId="1" applyNumberFormat="1" applyFont="1" applyFill="1" applyBorder="1">
      <alignment vertical="center"/>
    </xf>
    <xf numFmtId="41" fontId="17" fillId="7" borderId="2" xfId="1" applyFont="1" applyFill="1" applyBorder="1" applyAlignment="1">
      <alignment vertical="center" wrapText="1"/>
    </xf>
    <xf numFmtId="41" fontId="9" fillId="0" borderId="13" xfId="1" applyFont="1" applyBorder="1" applyAlignment="1">
      <alignment vertical="center" wrapText="1" shrinkToFit="1"/>
    </xf>
    <xf numFmtId="177" fontId="6" fillId="0" borderId="36" xfId="1" applyNumberFormat="1" applyFont="1" applyFill="1" applyBorder="1">
      <alignment vertical="center"/>
    </xf>
    <xf numFmtId="41" fontId="6" fillId="0" borderId="56" xfId="1" applyFont="1" applyFill="1" applyBorder="1" applyAlignment="1">
      <alignment vertical="center" wrapText="1" shrinkToFit="1"/>
    </xf>
    <xf numFmtId="176" fontId="6" fillId="0" borderId="35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4" fillId="7" borderId="44" xfId="0" applyFont="1" applyFill="1" applyBorder="1" applyAlignment="1">
      <alignment horizontal="left" vertical="center" wrapText="1" shrinkToFit="1"/>
    </xf>
    <xf numFmtId="41" fontId="6" fillId="7" borderId="13" xfId="1" applyFont="1" applyFill="1" applyBorder="1" applyAlignment="1">
      <alignment vertical="center" wrapText="1" shrinkToFit="1"/>
    </xf>
    <xf numFmtId="177" fontId="6" fillId="7" borderId="25" xfId="1" applyNumberFormat="1" applyFont="1" applyFill="1" applyBorder="1">
      <alignment vertical="center"/>
    </xf>
    <xf numFmtId="177" fontId="6" fillId="7" borderId="31" xfId="1" applyNumberFormat="1" applyFont="1" applyFill="1" applyBorder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41" fontId="4" fillId="2" borderId="1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41" fontId="4" fillId="2" borderId="12" xfId="1" applyFont="1" applyFill="1" applyBorder="1" applyAlignment="1">
      <alignment horizontal="center" vertical="center"/>
    </xf>
    <xf numFmtId="3" fontId="4" fillId="2" borderId="13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41" fontId="7" fillId="2" borderId="1" xfId="1" applyFont="1" applyFill="1" applyBorder="1" applyAlignment="1">
      <alignment horizontal="center" vertical="center"/>
    </xf>
    <xf numFmtId="22" fontId="11" fillId="0" borderId="2" xfId="0" applyNumberFormat="1" applyFont="1" applyBorder="1" applyAlignment="1">
      <alignment horizontal="center" vertical="center"/>
    </xf>
    <xf numFmtId="41" fontId="16" fillId="8" borderId="0" xfId="1" applyFont="1" applyFill="1" applyBorder="1" applyAlignment="1">
      <alignment horizontal="center" vertical="center" wrapText="1"/>
    </xf>
    <xf numFmtId="41" fontId="16" fillId="8" borderId="2" xfId="1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6" fillId="2" borderId="52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5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left" vertical="center" wrapText="1"/>
    </xf>
  </cellXfs>
  <cellStyles count="5">
    <cellStyle name="Excel Built-in Comma [0]" xfId="3"/>
    <cellStyle name="백분율" xfId="2" builtinId="5"/>
    <cellStyle name="쉼표 [0]" xfId="1" builtinId="6"/>
    <cellStyle name="쉼표 [0] 2" xfId="4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3"/>
  <sheetViews>
    <sheetView showZeros="0" tabSelected="1" view="pageBreakPreview" zoomScale="85" zoomScaleSheetLayoutView="85" workbookViewId="0">
      <selection activeCell="S7" sqref="S7"/>
    </sheetView>
  </sheetViews>
  <sheetFormatPr defaultColWidth="8.88671875" defaultRowHeight="13.5"/>
  <cols>
    <col min="1" max="2" width="3.88671875" style="1" customWidth="1"/>
    <col min="3" max="3" width="9.21875" style="28" customWidth="1"/>
    <col min="4" max="5" width="8.33203125" style="1" customWidth="1"/>
    <col min="6" max="6" width="8.6640625" style="1" customWidth="1"/>
    <col min="7" max="7" width="8" style="1" customWidth="1"/>
    <col min="8" max="8" width="6.6640625" style="1" customWidth="1"/>
    <col min="9" max="10" width="8.77734375" style="1" customWidth="1"/>
    <col min="11" max="12" width="8" style="1" customWidth="1"/>
    <col min="13" max="13" width="7.6640625" style="1" customWidth="1"/>
    <col min="14" max="15" width="6.44140625" style="1" customWidth="1"/>
    <col min="16" max="21" width="8.33203125" style="1" customWidth="1"/>
    <col min="22" max="22" width="8.109375" style="29" hidden="1" customWidth="1"/>
    <col min="23" max="24" width="8" style="1" customWidth="1"/>
    <col min="25" max="26" width="7.44140625" style="1" customWidth="1"/>
    <col min="27" max="27" width="7.88671875" style="1" customWidth="1"/>
    <col min="28" max="28" width="7.77734375" style="1" customWidth="1"/>
    <col min="29" max="29" width="8.77734375" style="116" hidden="1" customWidth="1"/>
    <col min="30" max="34" width="7.33203125" style="1" customWidth="1"/>
    <col min="35" max="35" width="7.77734375" style="1" customWidth="1"/>
    <col min="36" max="36" width="7.77734375" style="29" customWidth="1"/>
    <col min="37" max="38" width="7.33203125" style="1" customWidth="1"/>
    <col min="39" max="39" width="7.88671875" style="1" customWidth="1"/>
    <col min="40" max="40" width="4.6640625" style="1" customWidth="1"/>
    <col min="41" max="41" width="8.21875" style="1" customWidth="1"/>
    <col min="42" max="42" width="8.77734375" style="1" customWidth="1"/>
    <col min="43" max="43" width="7.5546875" style="1" hidden="1" customWidth="1"/>
    <col min="44" max="45" width="8.33203125" style="1" hidden="1" customWidth="1"/>
    <col min="46" max="46" width="20.21875" style="1" hidden="1" customWidth="1"/>
    <col min="47" max="47" width="8.33203125" style="1" hidden="1" customWidth="1"/>
    <col min="48" max="51" width="17.6640625" style="1" customWidth="1"/>
    <col min="52" max="52" width="2.88671875" style="1" hidden="1" customWidth="1"/>
    <col min="53" max="54" width="17.6640625" style="1" customWidth="1"/>
    <col min="55" max="16384" width="8.88671875" style="1"/>
  </cols>
  <sheetData>
    <row r="1" spans="1:54" ht="32.25" customHeight="1">
      <c r="C1" s="2" t="s">
        <v>2</v>
      </c>
      <c r="D1" s="151">
        <v>2</v>
      </c>
      <c r="E1" s="151"/>
      <c r="F1" s="152"/>
      <c r="G1" s="153"/>
      <c r="H1" s="2" t="s">
        <v>8</v>
      </c>
      <c r="I1" s="151">
        <f>D2</f>
        <v>0</v>
      </c>
      <c r="J1" s="151"/>
      <c r="K1" s="118" t="s">
        <v>9</v>
      </c>
      <c r="L1" s="154"/>
      <c r="M1" s="154"/>
      <c r="N1" s="155" t="s">
        <v>49</v>
      </c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33"/>
      <c r="AD1" s="173" t="s">
        <v>50</v>
      </c>
      <c r="AE1" s="173"/>
      <c r="AF1" s="173"/>
      <c r="AG1" s="173"/>
      <c r="AH1" s="173"/>
      <c r="AI1" s="173"/>
      <c r="AJ1" s="173"/>
      <c r="AK1" s="173"/>
      <c r="AL1" s="80"/>
      <c r="AM1" s="80"/>
      <c r="AN1" s="80"/>
      <c r="AO1" s="83"/>
      <c r="AP1" s="83"/>
      <c r="AQ1" s="3"/>
      <c r="AR1" s="4"/>
      <c r="AS1" s="4"/>
      <c r="AT1" s="4"/>
      <c r="AU1" s="4"/>
    </row>
    <row r="2" spans="1:54" s="7" customFormat="1" ht="29.25" customHeight="1" thickBot="1">
      <c r="A2" s="5"/>
      <c r="B2" s="5"/>
      <c r="C2" s="2" t="s">
        <v>3</v>
      </c>
      <c r="D2" s="151"/>
      <c r="E2" s="151"/>
      <c r="F2" s="152"/>
      <c r="G2" s="153"/>
      <c r="H2" s="2" t="s">
        <v>10</v>
      </c>
      <c r="I2" s="171">
        <f>I1</f>
        <v>0</v>
      </c>
      <c r="J2" s="171"/>
      <c r="K2" s="73" t="s">
        <v>11</v>
      </c>
      <c r="L2" s="86"/>
      <c r="M2" s="87"/>
      <c r="N2" s="6"/>
      <c r="O2" s="85" t="s">
        <v>4</v>
      </c>
      <c r="P2" s="172"/>
      <c r="Q2" s="172"/>
      <c r="R2" s="172"/>
      <c r="S2" s="172"/>
      <c r="T2" s="84"/>
      <c r="U2" s="157"/>
      <c r="V2" s="157"/>
      <c r="W2" s="157"/>
      <c r="X2" s="157"/>
      <c r="Y2" s="157"/>
      <c r="Z2" s="157"/>
      <c r="AA2" s="5"/>
      <c r="AB2" s="5"/>
      <c r="AC2" s="115"/>
      <c r="AD2" s="174"/>
      <c r="AE2" s="174"/>
      <c r="AF2" s="174"/>
      <c r="AG2" s="174"/>
      <c r="AH2" s="174"/>
      <c r="AI2" s="174"/>
      <c r="AJ2" s="174"/>
      <c r="AK2" s="174"/>
      <c r="AL2" s="138"/>
      <c r="AM2" s="5"/>
      <c r="AN2" s="5"/>
      <c r="AO2" s="5"/>
      <c r="AQ2" s="8"/>
      <c r="AR2" s="9"/>
      <c r="AS2" s="9"/>
      <c r="AT2" s="10" t="s">
        <v>12</v>
      </c>
      <c r="AV2" s="102" t="s">
        <v>13</v>
      </c>
      <c r="AW2" s="103">
        <v>1136930000</v>
      </c>
      <c r="AX2" s="37"/>
      <c r="AY2" s="76"/>
      <c r="AZ2" s="76"/>
      <c r="BA2" s="76"/>
      <c r="BB2" s="107"/>
    </row>
    <row r="3" spans="1:54" s="12" customFormat="1" ht="24.95" customHeight="1" thickBot="1">
      <c r="A3" s="158" t="s">
        <v>5</v>
      </c>
      <c r="B3" s="158" t="s">
        <v>48</v>
      </c>
      <c r="C3" s="160" t="s">
        <v>14</v>
      </c>
      <c r="D3" s="161"/>
      <c r="E3" s="161"/>
      <c r="F3" s="162"/>
      <c r="G3" s="162"/>
      <c r="H3" s="163"/>
      <c r="I3" s="160" t="s">
        <v>15</v>
      </c>
      <c r="J3" s="161"/>
      <c r="K3" s="161"/>
      <c r="L3" s="164"/>
      <c r="M3" s="165"/>
      <c r="N3" s="166" t="s">
        <v>16</v>
      </c>
      <c r="O3" s="168" t="s">
        <v>17</v>
      </c>
      <c r="P3" s="160" t="s">
        <v>18</v>
      </c>
      <c r="Q3" s="161"/>
      <c r="R3" s="161"/>
      <c r="S3" s="161"/>
      <c r="T3" s="161"/>
      <c r="U3" s="170"/>
      <c r="V3" s="11"/>
      <c r="W3" s="160" t="s">
        <v>19</v>
      </c>
      <c r="X3" s="161"/>
      <c r="Y3" s="161"/>
      <c r="Z3" s="161"/>
      <c r="AA3" s="161"/>
      <c r="AB3" s="162"/>
      <c r="AC3" s="150"/>
      <c r="AD3" s="160" t="s">
        <v>20</v>
      </c>
      <c r="AE3" s="161"/>
      <c r="AF3" s="161"/>
      <c r="AG3" s="161"/>
      <c r="AH3" s="161"/>
      <c r="AI3" s="161"/>
      <c r="AJ3" s="170"/>
      <c r="AK3" s="148" t="s">
        <v>21</v>
      </c>
      <c r="AL3" s="149"/>
      <c r="AM3" s="149"/>
      <c r="AN3" s="149"/>
      <c r="AO3" s="79"/>
      <c r="AP3" s="178" t="s">
        <v>22</v>
      </c>
      <c r="AQ3" s="180" t="s">
        <v>23</v>
      </c>
      <c r="AR3" s="182" t="s">
        <v>24</v>
      </c>
      <c r="AS3" s="184" t="s">
        <v>25</v>
      </c>
      <c r="AT3" s="186" t="s">
        <v>26</v>
      </c>
      <c r="AU3" s="176" t="s">
        <v>27</v>
      </c>
      <c r="AV3" s="175" t="s">
        <v>28</v>
      </c>
      <c r="AW3" s="175" t="s">
        <v>29</v>
      </c>
      <c r="AX3" s="175" t="s">
        <v>30</v>
      </c>
      <c r="AY3" s="175" t="s">
        <v>31</v>
      </c>
      <c r="AZ3" s="175" t="s">
        <v>32</v>
      </c>
      <c r="BA3" s="175" t="s">
        <v>33</v>
      </c>
      <c r="BB3" s="175" t="s">
        <v>34</v>
      </c>
    </row>
    <row r="4" spans="1:54" s="12" customFormat="1" ht="39.75" customHeight="1" thickBot="1">
      <c r="A4" s="159"/>
      <c r="B4" s="159"/>
      <c r="C4" s="30" t="s">
        <v>6</v>
      </c>
      <c r="D4" s="33" t="s">
        <v>35</v>
      </c>
      <c r="E4" s="33" t="s">
        <v>36</v>
      </c>
      <c r="F4" s="33" t="s">
        <v>0</v>
      </c>
      <c r="G4" s="58" t="s">
        <v>1</v>
      </c>
      <c r="H4" s="13" t="s">
        <v>37</v>
      </c>
      <c r="I4" s="30" t="s">
        <v>6</v>
      </c>
      <c r="J4" s="33" t="s">
        <v>35</v>
      </c>
      <c r="K4" s="33" t="s">
        <v>36</v>
      </c>
      <c r="L4" s="33" t="s">
        <v>0</v>
      </c>
      <c r="M4" s="58" t="s">
        <v>1</v>
      </c>
      <c r="N4" s="167"/>
      <c r="O4" s="169"/>
      <c r="P4" s="30" t="s">
        <v>6</v>
      </c>
      <c r="Q4" s="33" t="s">
        <v>35</v>
      </c>
      <c r="R4" s="33" t="s">
        <v>36</v>
      </c>
      <c r="S4" s="33" t="s">
        <v>0</v>
      </c>
      <c r="T4" s="58" t="s">
        <v>1</v>
      </c>
      <c r="U4" s="14" t="s">
        <v>38</v>
      </c>
      <c r="V4" s="15" t="s">
        <v>39</v>
      </c>
      <c r="W4" s="30" t="s">
        <v>6</v>
      </c>
      <c r="X4" s="33" t="s">
        <v>35</v>
      </c>
      <c r="Y4" s="33" t="s">
        <v>36</v>
      </c>
      <c r="Z4" s="33" t="s">
        <v>0</v>
      </c>
      <c r="AA4" s="31" t="s">
        <v>1</v>
      </c>
      <c r="AB4" s="110" t="s">
        <v>40</v>
      </c>
      <c r="AC4" s="117" t="s">
        <v>41</v>
      </c>
      <c r="AD4" s="79" t="s">
        <v>6</v>
      </c>
      <c r="AE4" s="33" t="s">
        <v>35</v>
      </c>
      <c r="AF4" s="33" t="s">
        <v>36</v>
      </c>
      <c r="AG4" s="33" t="s">
        <v>0</v>
      </c>
      <c r="AH4" s="31" t="s">
        <v>1</v>
      </c>
      <c r="AI4" s="99" t="s">
        <v>42</v>
      </c>
      <c r="AJ4" s="101" t="s">
        <v>7</v>
      </c>
      <c r="AK4" s="93" t="s">
        <v>43</v>
      </c>
      <c r="AL4" s="93" t="s">
        <v>44</v>
      </c>
      <c r="AM4" s="90" t="s">
        <v>45</v>
      </c>
      <c r="AN4" s="91" t="s">
        <v>46</v>
      </c>
      <c r="AO4" s="91" t="s">
        <v>47</v>
      </c>
      <c r="AP4" s="179"/>
      <c r="AQ4" s="181"/>
      <c r="AR4" s="183"/>
      <c r="AS4" s="185"/>
      <c r="AT4" s="187"/>
      <c r="AU4" s="177"/>
      <c r="AV4" s="175"/>
      <c r="AW4" s="175"/>
      <c r="AX4" s="175"/>
      <c r="AY4" s="175"/>
      <c r="AZ4" s="175"/>
      <c r="BA4" s="175"/>
      <c r="BB4" s="175"/>
    </row>
    <row r="5" spans="1:54" s="12" customFormat="1" ht="39.950000000000003" customHeight="1" thickBot="1">
      <c r="A5" s="122"/>
      <c r="B5" s="122"/>
      <c r="C5" s="120"/>
      <c r="D5" s="130"/>
      <c r="E5" s="131"/>
      <c r="F5" s="128"/>
      <c r="G5" s="127"/>
      <c r="H5" s="129"/>
      <c r="I5" s="126"/>
      <c r="J5" s="39"/>
      <c r="K5" s="17"/>
      <c r="L5" s="39"/>
      <c r="M5" s="45"/>
      <c r="N5" s="41">
        <f t="shared" ref="N5" si="0">SUM(I5:L5)</f>
        <v>0</v>
      </c>
      <c r="O5" s="47">
        <v>1</v>
      </c>
      <c r="P5" s="24"/>
      <c r="Q5" s="43"/>
      <c r="R5" s="43"/>
      <c r="S5" s="24"/>
      <c r="T5" s="57"/>
      <c r="U5" s="44">
        <f t="shared" ref="U5:U53" si="1">ROUND((((P5*15/15*I5)+(Q5*15/15*J5)+(R5*15/15*K5)+(S5*15/15*L5)+(T5*15/15*M5))*O5),2)</f>
        <v>0</v>
      </c>
      <c r="V5" s="47">
        <f t="shared" ref="V5:V53" si="2">IF(U5&gt;=15,15,U5)</f>
        <v>0</v>
      </c>
      <c r="W5" s="113"/>
      <c r="X5" s="56"/>
      <c r="Y5" s="145"/>
      <c r="Z5" s="56"/>
      <c r="AA5" s="55"/>
      <c r="AB5" s="44" t="e">
        <f t="shared" ref="AB5:AB53" si="3">ROUND(((W5*I5)+(X5*J5)+(Y5*K5)+(Z5*L5)+(AA5*M5))/$I$2,2)*10</f>
        <v>#DIV/0!</v>
      </c>
      <c r="AC5" s="47" t="e">
        <f t="shared" ref="AC5:AC43" si="4">IF(AB5&gt;=10,10,AB5)</f>
        <v>#DIV/0!</v>
      </c>
      <c r="AD5" s="146"/>
      <c r="AE5" s="82"/>
      <c r="AF5" s="82"/>
      <c r="AG5" s="43"/>
      <c r="AH5" s="59"/>
      <c r="AI5" s="47">
        <f t="shared" ref="AI5:AI53" si="5">(AD5*I5)+(AE5*J5)+(AF5*K5)+(AG5*L5)+(AH5*M5)</f>
        <v>0</v>
      </c>
      <c r="AJ5" s="92">
        <v>5</v>
      </c>
      <c r="AK5" s="94"/>
      <c r="AL5" s="97"/>
      <c r="AM5" s="34" t="e">
        <f t="shared" ref="AM5:AM53" si="6">IF((V5+AC5+AJ5+AK5)&gt;=30,30,(V5+AC5+AJ5+AK5))</f>
        <v>#DIV/0!</v>
      </c>
      <c r="AN5" s="48">
        <v>65</v>
      </c>
      <c r="AO5" s="49" t="e">
        <f t="shared" ref="AO5:AO53" si="7">AN5+AM5+AL5</f>
        <v>#DIV/0!</v>
      </c>
      <c r="AP5" s="50" t="e">
        <f t="shared" ref="AP5:AP35" si="8">-((70-((264+(65+(30-AM5)))))/300)</f>
        <v>#DIV/0!</v>
      </c>
      <c r="AQ5" s="51"/>
      <c r="AR5" s="35">
        <v>0</v>
      </c>
      <c r="AS5" s="36">
        <f t="shared" ref="AS5:AS35" si="9">100%+AR5</f>
        <v>1</v>
      </c>
      <c r="AT5" s="26" t="e">
        <f t="shared" ref="AT5:AT35" si="10">ROUNDUP($D$2*AP5*AS5,-3)</f>
        <v>#DIV/0!</v>
      </c>
      <c r="AU5" s="27"/>
      <c r="AV5" s="104"/>
      <c r="AW5" s="104"/>
      <c r="AX5" s="104"/>
      <c r="AY5" s="104"/>
      <c r="AZ5" s="105"/>
      <c r="BA5" s="105">
        <f t="shared" ref="BA5:BA53" si="11">AV5+AW5+AX5+AY5+AZ5</f>
        <v>0</v>
      </c>
      <c r="BB5" s="106">
        <f t="shared" ref="BB5:BB53" si="12">(AV5*I5)+(AW5*J5)+(AX5*K5)+(AY5*L5)+(AZ5*M5)</f>
        <v>0</v>
      </c>
    </row>
    <row r="6" spans="1:54" s="12" customFormat="1" ht="39.950000000000003" customHeight="1" thickBot="1">
      <c r="A6" s="122"/>
      <c r="B6" s="122"/>
      <c r="C6" s="131"/>
      <c r="D6" s="130"/>
      <c r="E6" s="130"/>
      <c r="F6" s="128"/>
      <c r="G6" s="188"/>
      <c r="H6" s="129"/>
      <c r="I6" s="126"/>
      <c r="J6" s="39"/>
      <c r="K6" s="39"/>
      <c r="L6" s="39"/>
      <c r="M6" s="45"/>
      <c r="N6" s="41">
        <f>SUM(I6:L6)</f>
        <v>0</v>
      </c>
      <c r="O6" s="19">
        <v>1</v>
      </c>
      <c r="P6" s="137"/>
      <c r="Q6" s="43"/>
      <c r="R6" s="43"/>
      <c r="S6" s="43"/>
      <c r="T6" s="57"/>
      <c r="U6" s="44">
        <f t="shared" si="1"/>
        <v>0</v>
      </c>
      <c r="V6" s="19">
        <f t="shared" si="2"/>
        <v>0</v>
      </c>
      <c r="W6" s="69"/>
      <c r="X6" s="139"/>
      <c r="Y6" s="56"/>
      <c r="Z6" s="56"/>
      <c r="AA6" s="55"/>
      <c r="AB6" s="44" t="e">
        <f t="shared" si="3"/>
        <v>#DIV/0!</v>
      </c>
      <c r="AC6" s="47" t="e">
        <f t="shared" si="4"/>
        <v>#DIV/0!</v>
      </c>
      <c r="AD6" s="81"/>
      <c r="AE6" s="119"/>
      <c r="AF6" s="119"/>
      <c r="AG6" s="43"/>
      <c r="AH6" s="59"/>
      <c r="AI6" s="47">
        <f t="shared" si="5"/>
        <v>0</v>
      </c>
      <c r="AJ6" s="92">
        <v>5</v>
      </c>
      <c r="AK6" s="94"/>
      <c r="AL6" s="97"/>
      <c r="AM6" s="34" t="e">
        <f t="shared" si="6"/>
        <v>#DIV/0!</v>
      </c>
      <c r="AN6" s="48">
        <v>65</v>
      </c>
      <c r="AO6" s="49" t="e">
        <f t="shared" si="7"/>
        <v>#DIV/0!</v>
      </c>
      <c r="AP6" s="50" t="e">
        <f t="shared" si="8"/>
        <v>#DIV/0!</v>
      </c>
      <c r="AQ6" s="51"/>
      <c r="AR6" s="35">
        <v>0</v>
      </c>
      <c r="AS6" s="36">
        <f t="shared" si="9"/>
        <v>1</v>
      </c>
      <c r="AT6" s="26" t="e">
        <f t="shared" si="10"/>
        <v>#DIV/0!</v>
      </c>
      <c r="AU6" s="27"/>
      <c r="AV6" s="104"/>
      <c r="AW6" s="104"/>
      <c r="AX6" s="104"/>
      <c r="AY6" s="104"/>
      <c r="AZ6" s="105"/>
      <c r="BA6" s="105">
        <f t="shared" si="11"/>
        <v>0</v>
      </c>
      <c r="BB6" s="106">
        <f t="shared" si="12"/>
        <v>0</v>
      </c>
    </row>
    <row r="7" spans="1:54" s="12" customFormat="1" ht="39.950000000000003" customHeight="1" thickBot="1">
      <c r="A7" s="38"/>
      <c r="B7" s="38"/>
      <c r="C7" s="120"/>
      <c r="D7" s="131"/>
      <c r="E7" s="131"/>
      <c r="F7" s="124"/>
      <c r="G7" s="188"/>
      <c r="H7" s="144"/>
      <c r="I7" s="132"/>
      <c r="J7" s="39"/>
      <c r="K7" s="17"/>
      <c r="L7" s="39"/>
      <c r="M7" s="45"/>
      <c r="N7" s="41">
        <f t="shared" ref="N7:N53" si="13">SUM(I7:L7)</f>
        <v>0</v>
      </c>
      <c r="O7" s="47">
        <v>1</v>
      </c>
      <c r="P7" s="135"/>
      <c r="Q7" s="43"/>
      <c r="R7" s="43"/>
      <c r="S7" s="43"/>
      <c r="T7" s="57"/>
      <c r="U7" s="44">
        <f t="shared" si="1"/>
        <v>0</v>
      </c>
      <c r="V7" s="19">
        <f t="shared" si="2"/>
        <v>0</v>
      </c>
      <c r="W7" s="69"/>
      <c r="X7" s="72"/>
      <c r="Y7" s="72"/>
      <c r="Z7" s="56"/>
      <c r="AA7" s="55"/>
      <c r="AB7" s="44" t="e">
        <f t="shared" si="3"/>
        <v>#DIV/0!</v>
      </c>
      <c r="AC7" s="47" t="e">
        <f t="shared" si="4"/>
        <v>#DIV/0!</v>
      </c>
      <c r="AD7" s="147"/>
      <c r="AE7" s="81"/>
      <c r="AF7" s="119"/>
      <c r="AG7" s="43"/>
      <c r="AH7" s="59"/>
      <c r="AI7" s="47">
        <f t="shared" si="5"/>
        <v>0</v>
      </c>
      <c r="AJ7" s="92">
        <f t="shared" ref="AJ7:AJ53" si="14">IF(AI7&gt;=2,5,IF(AI7&gt;=1.5,4,IF(AI7&gt;=0.75,3,0)))</f>
        <v>0</v>
      </c>
      <c r="AK7" s="94">
        <f>(3-0.3)*I9*0.5/3</f>
        <v>0</v>
      </c>
      <c r="AL7" s="97"/>
      <c r="AM7" s="34" t="e">
        <f t="shared" si="6"/>
        <v>#DIV/0!</v>
      </c>
      <c r="AN7" s="48">
        <v>65</v>
      </c>
      <c r="AO7" s="49" t="e">
        <f t="shared" si="7"/>
        <v>#DIV/0!</v>
      </c>
      <c r="AP7" s="50" t="e">
        <f t="shared" si="8"/>
        <v>#DIV/0!</v>
      </c>
      <c r="AQ7" s="51"/>
      <c r="AR7" s="35">
        <v>0</v>
      </c>
      <c r="AS7" s="36">
        <f t="shared" si="9"/>
        <v>1</v>
      </c>
      <c r="AT7" s="26" t="e">
        <f t="shared" si="10"/>
        <v>#DIV/0!</v>
      </c>
      <c r="AU7" s="27"/>
      <c r="AV7" s="104"/>
      <c r="AW7" s="104"/>
      <c r="AX7" s="104"/>
      <c r="AY7" s="104"/>
      <c r="AZ7" s="105"/>
      <c r="BA7" s="105">
        <f t="shared" si="11"/>
        <v>0</v>
      </c>
      <c r="BB7" s="106">
        <f t="shared" si="12"/>
        <v>0</v>
      </c>
    </row>
    <row r="8" spans="1:54" s="12" customFormat="1" ht="39.950000000000003" customHeight="1" thickBot="1">
      <c r="A8" s="38"/>
      <c r="B8" s="38"/>
      <c r="C8" s="131"/>
      <c r="D8" s="130"/>
      <c r="E8" s="130"/>
      <c r="F8" s="124"/>
      <c r="G8" s="189"/>
      <c r="H8" s="129"/>
      <c r="I8" s="126"/>
      <c r="J8" s="39"/>
      <c r="K8" s="39"/>
      <c r="L8" s="39"/>
      <c r="M8" s="45"/>
      <c r="N8" s="41">
        <f>SUM(I8:M8)</f>
        <v>0</v>
      </c>
      <c r="O8" s="47">
        <v>1</v>
      </c>
      <c r="P8" s="43"/>
      <c r="Q8" s="43"/>
      <c r="R8" s="43"/>
      <c r="S8" s="43"/>
      <c r="T8" s="140"/>
      <c r="U8" s="44">
        <f t="shared" si="1"/>
        <v>0</v>
      </c>
      <c r="V8" s="47">
        <f t="shared" si="2"/>
        <v>0</v>
      </c>
      <c r="W8" s="69"/>
      <c r="X8" s="72"/>
      <c r="Y8" s="63"/>
      <c r="Z8" s="141"/>
      <c r="AA8" s="109"/>
      <c r="AB8" s="44" t="e">
        <f t="shared" si="3"/>
        <v>#DIV/0!</v>
      </c>
      <c r="AC8" s="47" t="e">
        <f t="shared" si="4"/>
        <v>#DIV/0!</v>
      </c>
      <c r="AD8" s="147"/>
      <c r="AE8" s="81"/>
      <c r="AF8" s="119"/>
      <c r="AG8" s="43"/>
      <c r="AH8" s="59"/>
      <c r="AI8" s="47">
        <f t="shared" si="5"/>
        <v>0</v>
      </c>
      <c r="AJ8" s="92">
        <f t="shared" si="14"/>
        <v>0</v>
      </c>
      <c r="AK8" s="94">
        <f>3*0.5/3*I8</f>
        <v>0</v>
      </c>
      <c r="AL8" s="97"/>
      <c r="AM8" s="34" t="e">
        <f t="shared" si="6"/>
        <v>#DIV/0!</v>
      </c>
      <c r="AN8" s="48">
        <v>65</v>
      </c>
      <c r="AO8" s="49" t="e">
        <f t="shared" si="7"/>
        <v>#DIV/0!</v>
      </c>
      <c r="AP8" s="50" t="e">
        <f t="shared" si="8"/>
        <v>#DIV/0!</v>
      </c>
      <c r="AQ8" s="51"/>
      <c r="AR8" s="35">
        <v>0</v>
      </c>
      <c r="AS8" s="36">
        <f t="shared" si="9"/>
        <v>1</v>
      </c>
      <c r="AT8" s="88" t="e">
        <f t="shared" si="10"/>
        <v>#DIV/0!</v>
      </c>
      <c r="AU8" s="89"/>
      <c r="AV8" s="104"/>
      <c r="AW8" s="104"/>
      <c r="AX8" s="104"/>
      <c r="AY8" s="104"/>
      <c r="AZ8" s="105"/>
      <c r="BA8" s="105">
        <f t="shared" si="11"/>
        <v>0</v>
      </c>
      <c r="BB8" s="106">
        <f t="shared" si="12"/>
        <v>0</v>
      </c>
    </row>
    <row r="9" spans="1:54" s="12" customFormat="1" ht="39.950000000000003" customHeight="1" thickBot="1">
      <c r="A9" s="53"/>
      <c r="B9" s="53"/>
      <c r="C9" s="121"/>
      <c r="D9" s="120"/>
      <c r="E9" s="130"/>
      <c r="F9" s="128"/>
      <c r="G9" s="127"/>
      <c r="H9" s="52"/>
      <c r="I9" s="126"/>
      <c r="J9" s="39"/>
      <c r="K9" s="39"/>
      <c r="L9" s="39"/>
      <c r="M9" s="45"/>
      <c r="N9" s="41">
        <f t="shared" si="13"/>
        <v>0</v>
      </c>
      <c r="O9" s="47">
        <v>1</v>
      </c>
      <c r="P9" s="20"/>
      <c r="Q9" s="24"/>
      <c r="R9" s="24"/>
      <c r="S9" s="24"/>
      <c r="T9" s="57"/>
      <c r="U9" s="44">
        <f t="shared" si="1"/>
        <v>0</v>
      </c>
      <c r="V9" s="47">
        <f t="shared" si="2"/>
        <v>0</v>
      </c>
      <c r="W9" s="113"/>
      <c r="X9" s="63"/>
      <c r="Y9" s="63"/>
      <c r="Z9" s="56"/>
      <c r="AA9" s="55"/>
      <c r="AB9" s="44" t="e">
        <f t="shared" si="3"/>
        <v>#DIV/0!</v>
      </c>
      <c r="AC9" s="47" t="e">
        <f t="shared" si="4"/>
        <v>#DIV/0!</v>
      </c>
      <c r="AD9" s="81"/>
      <c r="AE9" s="119"/>
      <c r="AF9" s="119"/>
      <c r="AG9" s="43"/>
      <c r="AH9" s="136"/>
      <c r="AI9" s="47">
        <f t="shared" si="5"/>
        <v>0</v>
      </c>
      <c r="AJ9" s="92">
        <f t="shared" si="14"/>
        <v>0</v>
      </c>
      <c r="AK9" s="94"/>
      <c r="AL9" s="97"/>
      <c r="AM9" s="34" t="e">
        <f t="shared" si="6"/>
        <v>#DIV/0!</v>
      </c>
      <c r="AN9" s="48">
        <v>65</v>
      </c>
      <c r="AO9" s="49" t="e">
        <f t="shared" si="7"/>
        <v>#DIV/0!</v>
      </c>
      <c r="AP9" s="50" t="e">
        <f t="shared" si="8"/>
        <v>#DIV/0!</v>
      </c>
      <c r="AQ9" s="51"/>
      <c r="AR9" s="35">
        <v>0</v>
      </c>
      <c r="AS9" s="36">
        <f t="shared" si="9"/>
        <v>1</v>
      </c>
      <c r="AT9" s="26" t="e">
        <f t="shared" si="10"/>
        <v>#DIV/0!</v>
      </c>
      <c r="AU9" s="27"/>
      <c r="AV9" s="104"/>
      <c r="AW9" s="104"/>
      <c r="AX9" s="104"/>
      <c r="AY9" s="104"/>
      <c r="AZ9" s="105"/>
      <c r="BA9" s="105">
        <f t="shared" si="11"/>
        <v>0</v>
      </c>
      <c r="BB9" s="106">
        <f t="shared" si="12"/>
        <v>0</v>
      </c>
    </row>
    <row r="10" spans="1:54" s="12" customFormat="1" ht="39.950000000000003" customHeight="1" thickBot="1">
      <c r="A10" s="53"/>
      <c r="B10" s="53"/>
      <c r="C10" s="120"/>
      <c r="D10" s="131"/>
      <c r="E10" s="130"/>
      <c r="F10" s="128"/>
      <c r="G10" s="127"/>
      <c r="H10" s="52"/>
      <c r="I10" s="126"/>
      <c r="J10" s="39"/>
      <c r="K10" s="17"/>
      <c r="L10" s="39"/>
      <c r="M10" s="45"/>
      <c r="N10" s="41">
        <f t="shared" si="13"/>
        <v>0</v>
      </c>
      <c r="O10" s="47">
        <v>1</v>
      </c>
      <c r="P10" s="24"/>
      <c r="Q10" s="43"/>
      <c r="R10" s="43"/>
      <c r="S10" s="24"/>
      <c r="T10" s="57"/>
      <c r="U10" s="44">
        <f t="shared" si="1"/>
        <v>0</v>
      </c>
      <c r="V10" s="47">
        <f t="shared" si="2"/>
        <v>0</v>
      </c>
      <c r="W10" s="69"/>
      <c r="X10" s="56"/>
      <c r="Y10" s="56">
        <v>0</v>
      </c>
      <c r="Z10" s="56"/>
      <c r="AA10" s="55"/>
      <c r="AB10" s="44" t="e">
        <f t="shared" si="3"/>
        <v>#DIV/0!</v>
      </c>
      <c r="AC10" s="47" t="e">
        <f t="shared" si="4"/>
        <v>#DIV/0!</v>
      </c>
      <c r="AD10" s="146"/>
      <c r="AE10" s="82"/>
      <c r="AF10" s="82"/>
      <c r="AG10" s="43"/>
      <c r="AH10" s="59"/>
      <c r="AI10" s="47">
        <f t="shared" si="5"/>
        <v>0</v>
      </c>
      <c r="AJ10" s="92">
        <f t="shared" si="14"/>
        <v>0</v>
      </c>
      <c r="AK10" s="94"/>
      <c r="AL10" s="97"/>
      <c r="AM10" s="34" t="e">
        <f t="shared" si="6"/>
        <v>#DIV/0!</v>
      </c>
      <c r="AN10" s="48">
        <v>65</v>
      </c>
      <c r="AO10" s="49" t="e">
        <f t="shared" si="7"/>
        <v>#DIV/0!</v>
      </c>
      <c r="AP10" s="50" t="e">
        <f t="shared" si="8"/>
        <v>#DIV/0!</v>
      </c>
      <c r="AQ10" s="51"/>
      <c r="AR10" s="35">
        <v>0</v>
      </c>
      <c r="AS10" s="36">
        <f t="shared" si="9"/>
        <v>1</v>
      </c>
      <c r="AT10" s="26" t="e">
        <f t="shared" si="10"/>
        <v>#DIV/0!</v>
      </c>
      <c r="AU10" s="27"/>
      <c r="AV10" s="104"/>
      <c r="AW10" s="104"/>
      <c r="AX10" s="104"/>
      <c r="AY10" s="104"/>
      <c r="AZ10" s="105"/>
      <c r="BA10" s="105">
        <f t="shared" si="11"/>
        <v>0</v>
      </c>
      <c r="BB10" s="106">
        <f t="shared" si="12"/>
        <v>0</v>
      </c>
    </row>
    <row r="11" spans="1:54" s="12" customFormat="1" ht="39.950000000000003" customHeight="1" thickBot="1">
      <c r="A11" s="38"/>
      <c r="B11" s="38"/>
      <c r="C11" s="120"/>
      <c r="D11" s="131"/>
      <c r="E11" s="124"/>
      <c r="F11" s="124"/>
      <c r="G11" s="188"/>
      <c r="H11" s="52"/>
      <c r="I11" s="126"/>
      <c r="J11" s="39"/>
      <c r="K11" s="39"/>
      <c r="L11" s="39"/>
      <c r="M11" s="45"/>
      <c r="N11" s="41">
        <f t="shared" si="13"/>
        <v>0</v>
      </c>
      <c r="O11" s="47">
        <v>1</v>
      </c>
      <c r="P11" s="20"/>
      <c r="Q11" s="24"/>
      <c r="R11" s="24"/>
      <c r="S11" s="24"/>
      <c r="T11" s="57"/>
      <c r="U11" s="44">
        <f t="shared" si="1"/>
        <v>0</v>
      </c>
      <c r="V11" s="47">
        <f t="shared" si="2"/>
        <v>0</v>
      </c>
      <c r="W11" s="75"/>
      <c r="X11" s="56"/>
      <c r="Y11" s="56"/>
      <c r="Z11" s="56"/>
      <c r="AA11" s="55"/>
      <c r="AB11" s="44" t="e">
        <f t="shared" si="3"/>
        <v>#DIV/0!</v>
      </c>
      <c r="AC11" s="47" t="e">
        <f t="shared" si="4"/>
        <v>#DIV/0!</v>
      </c>
      <c r="AD11" s="119"/>
      <c r="AE11" s="82"/>
      <c r="AF11" s="82"/>
      <c r="AG11" s="43"/>
      <c r="AH11" s="59"/>
      <c r="AI11" s="47">
        <f t="shared" si="5"/>
        <v>0</v>
      </c>
      <c r="AJ11" s="92">
        <f t="shared" si="14"/>
        <v>0</v>
      </c>
      <c r="AK11" s="94"/>
      <c r="AL11" s="97"/>
      <c r="AM11" s="34" t="e">
        <f t="shared" si="6"/>
        <v>#DIV/0!</v>
      </c>
      <c r="AN11" s="48">
        <v>65</v>
      </c>
      <c r="AO11" s="49" t="e">
        <f t="shared" si="7"/>
        <v>#DIV/0!</v>
      </c>
      <c r="AP11" s="50" t="e">
        <f t="shared" si="8"/>
        <v>#DIV/0!</v>
      </c>
      <c r="AQ11" s="51"/>
      <c r="AR11" s="35">
        <v>0</v>
      </c>
      <c r="AS11" s="36">
        <f t="shared" si="9"/>
        <v>1</v>
      </c>
      <c r="AT11" s="26" t="e">
        <f t="shared" si="10"/>
        <v>#DIV/0!</v>
      </c>
      <c r="AU11" s="27"/>
      <c r="AV11" s="104"/>
      <c r="AW11" s="104"/>
      <c r="AX11" s="104"/>
      <c r="AY11" s="104"/>
      <c r="AZ11" s="105"/>
      <c r="BA11" s="105">
        <f t="shared" si="11"/>
        <v>0</v>
      </c>
      <c r="BB11" s="106">
        <f t="shared" si="12"/>
        <v>0</v>
      </c>
    </row>
    <row r="12" spans="1:54" s="12" customFormat="1" ht="39.950000000000003" customHeight="1" thickBot="1">
      <c r="A12" s="53"/>
      <c r="B12" s="53"/>
      <c r="C12" s="128"/>
      <c r="D12" s="131"/>
      <c r="E12" s="124"/>
      <c r="F12" s="124"/>
      <c r="G12" s="188"/>
      <c r="H12" s="129"/>
      <c r="I12" s="126"/>
      <c r="J12" s="39"/>
      <c r="K12" s="39"/>
      <c r="L12" s="39"/>
      <c r="M12" s="45"/>
      <c r="N12" s="41">
        <f t="shared" si="13"/>
        <v>0</v>
      </c>
      <c r="O12" s="19">
        <v>1</v>
      </c>
      <c r="P12" s="24"/>
      <c r="Q12" s="43"/>
      <c r="R12" s="43"/>
      <c r="S12" s="24"/>
      <c r="T12" s="57"/>
      <c r="U12" s="44">
        <f t="shared" si="1"/>
        <v>0</v>
      </c>
      <c r="V12" s="47">
        <f t="shared" si="2"/>
        <v>0</v>
      </c>
      <c r="W12" s="72"/>
      <c r="X12" s="56"/>
      <c r="Y12" s="63"/>
      <c r="Z12" s="56"/>
      <c r="AA12" s="55"/>
      <c r="AB12" s="44" t="e">
        <f t="shared" si="3"/>
        <v>#DIV/0!</v>
      </c>
      <c r="AC12" s="47" t="e">
        <f t="shared" si="4"/>
        <v>#DIV/0!</v>
      </c>
      <c r="AD12" s="147"/>
      <c r="AE12" s="81"/>
      <c r="AF12" s="82"/>
      <c r="AG12" s="43"/>
      <c r="AH12" s="59"/>
      <c r="AI12" s="47">
        <f t="shared" si="5"/>
        <v>0</v>
      </c>
      <c r="AJ12" s="92">
        <f t="shared" si="14"/>
        <v>0</v>
      </c>
      <c r="AK12" s="94"/>
      <c r="AL12" s="97"/>
      <c r="AM12" s="34" t="e">
        <f t="shared" si="6"/>
        <v>#DIV/0!</v>
      </c>
      <c r="AN12" s="48">
        <v>65</v>
      </c>
      <c r="AO12" s="49" t="e">
        <f t="shared" si="7"/>
        <v>#DIV/0!</v>
      </c>
      <c r="AP12" s="50" t="e">
        <f t="shared" si="8"/>
        <v>#DIV/0!</v>
      </c>
      <c r="AQ12" s="51"/>
      <c r="AR12" s="35">
        <v>0</v>
      </c>
      <c r="AS12" s="36">
        <f t="shared" si="9"/>
        <v>1</v>
      </c>
      <c r="AT12" s="26" t="e">
        <f t="shared" si="10"/>
        <v>#DIV/0!</v>
      </c>
      <c r="AU12" s="27"/>
      <c r="AV12" s="104"/>
      <c r="AW12" s="104"/>
      <c r="AX12" s="104"/>
      <c r="AY12" s="104"/>
      <c r="AZ12" s="105"/>
      <c r="BA12" s="105">
        <f t="shared" si="11"/>
        <v>0</v>
      </c>
      <c r="BB12" s="106">
        <f t="shared" si="12"/>
        <v>0</v>
      </c>
    </row>
    <row r="13" spans="1:54" s="12" customFormat="1" ht="39.950000000000003" customHeight="1" thickBot="1">
      <c r="A13" s="53"/>
      <c r="B13" s="53"/>
      <c r="C13" s="130"/>
      <c r="D13" s="131"/>
      <c r="E13" s="124"/>
      <c r="F13" s="128"/>
      <c r="G13" s="127"/>
      <c r="H13" s="52"/>
      <c r="I13" s="126"/>
      <c r="J13" s="39"/>
      <c r="K13" s="17"/>
      <c r="L13" s="39"/>
      <c r="M13" s="45"/>
      <c r="N13" s="18">
        <f t="shared" si="13"/>
        <v>0</v>
      </c>
      <c r="O13" s="19">
        <v>1</v>
      </c>
      <c r="P13" s="24"/>
      <c r="Q13" s="43"/>
      <c r="R13" s="43"/>
      <c r="S13" s="24"/>
      <c r="T13" s="57"/>
      <c r="U13" s="25">
        <f t="shared" si="1"/>
        <v>0</v>
      </c>
      <c r="V13" s="19">
        <f t="shared" si="2"/>
        <v>0</v>
      </c>
      <c r="W13" s="63"/>
      <c r="X13" s="63"/>
      <c r="Y13" s="71"/>
      <c r="Z13" s="56"/>
      <c r="AA13" s="55"/>
      <c r="AB13" s="44" t="e">
        <f t="shared" si="3"/>
        <v>#DIV/0!</v>
      </c>
      <c r="AC13" s="47" t="e">
        <f t="shared" si="4"/>
        <v>#DIV/0!</v>
      </c>
      <c r="AD13" s="81"/>
      <c r="AE13" s="119"/>
      <c r="AF13" s="82"/>
      <c r="AG13" s="43"/>
      <c r="AH13" s="59"/>
      <c r="AI13" s="47">
        <f t="shared" si="5"/>
        <v>0</v>
      </c>
      <c r="AJ13" s="92">
        <f t="shared" si="14"/>
        <v>0</v>
      </c>
      <c r="AK13" s="94">
        <f>(3-0.3)*I13*0.5/3</f>
        <v>0</v>
      </c>
      <c r="AL13" s="97"/>
      <c r="AM13" s="34" t="e">
        <f t="shared" si="6"/>
        <v>#DIV/0!</v>
      </c>
      <c r="AN13" s="48">
        <v>65</v>
      </c>
      <c r="AO13" s="49" t="e">
        <f t="shared" si="7"/>
        <v>#DIV/0!</v>
      </c>
      <c r="AP13" s="50" t="e">
        <f t="shared" si="8"/>
        <v>#DIV/0!</v>
      </c>
      <c r="AQ13" s="51"/>
      <c r="AR13" s="35"/>
      <c r="AS13" s="36">
        <f t="shared" si="9"/>
        <v>1</v>
      </c>
      <c r="AT13" s="26" t="e">
        <f t="shared" si="10"/>
        <v>#DIV/0!</v>
      </c>
      <c r="AU13" s="27"/>
      <c r="AV13" s="104"/>
      <c r="AW13" s="104"/>
      <c r="AX13" s="104"/>
      <c r="AY13" s="104"/>
      <c r="AZ13" s="105"/>
      <c r="BA13" s="105">
        <f t="shared" si="11"/>
        <v>0</v>
      </c>
      <c r="BB13" s="106">
        <f t="shared" si="12"/>
        <v>0</v>
      </c>
    </row>
    <row r="14" spans="1:54" s="12" customFormat="1" ht="39.950000000000003" customHeight="1" thickBot="1">
      <c r="A14" s="38"/>
      <c r="B14" s="38"/>
      <c r="C14" s="120"/>
      <c r="D14" s="124"/>
      <c r="E14" s="124"/>
      <c r="F14" s="124"/>
      <c r="G14" s="188"/>
      <c r="H14" s="52"/>
      <c r="I14" s="126"/>
      <c r="J14" s="39"/>
      <c r="K14" s="39"/>
      <c r="L14" s="39"/>
      <c r="M14" s="45"/>
      <c r="N14" s="41">
        <f t="shared" si="13"/>
        <v>0</v>
      </c>
      <c r="O14" s="19">
        <v>1</v>
      </c>
      <c r="P14" s="20"/>
      <c r="Q14" s="43"/>
      <c r="R14" s="24"/>
      <c r="S14" s="24"/>
      <c r="T14" s="57"/>
      <c r="U14" s="44">
        <f t="shared" si="1"/>
        <v>0</v>
      </c>
      <c r="V14" s="47">
        <f t="shared" si="2"/>
        <v>0</v>
      </c>
      <c r="W14" s="64"/>
      <c r="X14" s="71"/>
      <c r="Y14" s="70"/>
      <c r="Z14" s="56"/>
      <c r="AA14" s="55"/>
      <c r="AB14" s="44" t="e">
        <f t="shared" si="3"/>
        <v>#DIV/0!</v>
      </c>
      <c r="AC14" s="47" t="e">
        <f t="shared" si="4"/>
        <v>#DIV/0!</v>
      </c>
      <c r="AD14" s="146"/>
      <c r="AE14" s="119"/>
      <c r="AF14" s="114"/>
      <c r="AG14" s="43"/>
      <c r="AH14" s="59"/>
      <c r="AI14" s="47">
        <f t="shared" si="5"/>
        <v>0</v>
      </c>
      <c r="AJ14" s="92">
        <f t="shared" si="14"/>
        <v>0</v>
      </c>
      <c r="AK14" s="94"/>
      <c r="AL14" s="97"/>
      <c r="AM14" s="34" t="e">
        <f t="shared" si="6"/>
        <v>#DIV/0!</v>
      </c>
      <c r="AN14" s="48">
        <v>65</v>
      </c>
      <c r="AO14" s="49" t="e">
        <f t="shared" si="7"/>
        <v>#DIV/0!</v>
      </c>
      <c r="AP14" s="50" t="e">
        <f t="shared" si="8"/>
        <v>#DIV/0!</v>
      </c>
      <c r="AQ14" s="51"/>
      <c r="AR14" s="35">
        <v>0</v>
      </c>
      <c r="AS14" s="36">
        <f t="shared" si="9"/>
        <v>1</v>
      </c>
      <c r="AT14" s="26" t="e">
        <f t="shared" si="10"/>
        <v>#DIV/0!</v>
      </c>
      <c r="AU14" s="27"/>
      <c r="AV14" s="104"/>
      <c r="AW14" s="104"/>
      <c r="AX14" s="104"/>
      <c r="AY14" s="104"/>
      <c r="AZ14" s="105"/>
      <c r="BA14" s="105">
        <f t="shared" si="11"/>
        <v>0</v>
      </c>
      <c r="BB14" s="106">
        <f t="shared" si="12"/>
        <v>0</v>
      </c>
    </row>
    <row r="15" spans="1:54" s="12" customFormat="1" ht="39.950000000000003" customHeight="1" thickBot="1">
      <c r="A15" s="38"/>
      <c r="B15" s="38"/>
      <c r="C15" s="124"/>
      <c r="D15" s="124"/>
      <c r="E15" s="124"/>
      <c r="F15" s="124"/>
      <c r="G15" s="188"/>
      <c r="H15" s="52"/>
      <c r="I15" s="112"/>
      <c r="J15" s="39"/>
      <c r="K15" s="39"/>
      <c r="L15" s="39"/>
      <c r="M15" s="45"/>
      <c r="N15" s="18">
        <f t="shared" si="13"/>
        <v>0</v>
      </c>
      <c r="O15" s="19">
        <v>1</v>
      </c>
      <c r="P15" s="20"/>
      <c r="Q15" s="24"/>
      <c r="R15" s="134"/>
      <c r="S15" s="24"/>
      <c r="T15" s="57"/>
      <c r="U15" s="25">
        <f t="shared" si="1"/>
        <v>0</v>
      </c>
      <c r="V15" s="19">
        <f t="shared" si="2"/>
        <v>0</v>
      </c>
      <c r="W15" s="69"/>
      <c r="X15" s="70"/>
      <c r="Y15" s="63">
        <v>112159000</v>
      </c>
      <c r="Z15" s="56"/>
      <c r="AA15" s="55"/>
      <c r="AB15" s="44" t="e">
        <f t="shared" si="3"/>
        <v>#DIV/0!</v>
      </c>
      <c r="AC15" s="47" t="e">
        <f t="shared" si="4"/>
        <v>#DIV/0!</v>
      </c>
      <c r="AD15" s="146"/>
      <c r="AE15" s="81"/>
      <c r="AF15" s="81"/>
      <c r="AG15" s="43"/>
      <c r="AH15" s="59"/>
      <c r="AI15" s="47">
        <f t="shared" si="5"/>
        <v>0</v>
      </c>
      <c r="AJ15" s="92">
        <f t="shared" si="14"/>
        <v>0</v>
      </c>
      <c r="AK15" s="94"/>
      <c r="AL15" s="97"/>
      <c r="AM15" s="34" t="e">
        <f t="shared" si="6"/>
        <v>#DIV/0!</v>
      </c>
      <c r="AN15" s="48">
        <v>65</v>
      </c>
      <c r="AO15" s="49" t="e">
        <f t="shared" si="7"/>
        <v>#DIV/0!</v>
      </c>
      <c r="AP15" s="50" t="e">
        <f t="shared" si="8"/>
        <v>#DIV/0!</v>
      </c>
      <c r="AQ15" s="51"/>
      <c r="AR15" s="35"/>
      <c r="AS15" s="36">
        <f t="shared" si="9"/>
        <v>1</v>
      </c>
      <c r="AT15" s="26" t="e">
        <f t="shared" si="10"/>
        <v>#DIV/0!</v>
      </c>
      <c r="AU15" s="27"/>
      <c r="AV15" s="104"/>
      <c r="AW15" s="104"/>
      <c r="AX15" s="104"/>
      <c r="AY15" s="104"/>
      <c r="AZ15" s="105"/>
      <c r="BA15" s="105">
        <f t="shared" si="11"/>
        <v>0</v>
      </c>
      <c r="BB15" s="106">
        <f t="shared" si="12"/>
        <v>0</v>
      </c>
    </row>
    <row r="16" spans="1:54" s="12" customFormat="1" ht="39.950000000000003" customHeight="1" thickBot="1">
      <c r="A16" s="32"/>
      <c r="B16" s="143"/>
      <c r="C16" s="128"/>
      <c r="D16" s="143"/>
      <c r="E16" s="124"/>
      <c r="F16" s="124"/>
      <c r="G16" s="38"/>
      <c r="H16" s="52"/>
      <c r="I16" s="112"/>
      <c r="J16" s="39"/>
      <c r="K16" s="39"/>
      <c r="L16" s="39"/>
      <c r="M16" s="45"/>
      <c r="N16" s="41">
        <f t="shared" si="13"/>
        <v>0</v>
      </c>
      <c r="O16" s="19">
        <v>1</v>
      </c>
      <c r="P16" s="20"/>
      <c r="Q16" s="24"/>
      <c r="R16" s="24"/>
      <c r="S16" s="24"/>
      <c r="T16" s="57"/>
      <c r="U16" s="44">
        <f t="shared" si="1"/>
        <v>0</v>
      </c>
      <c r="V16" s="47">
        <f t="shared" si="2"/>
        <v>0</v>
      </c>
      <c r="W16" s="22"/>
      <c r="X16" s="56"/>
      <c r="Y16" s="56"/>
      <c r="Z16" s="56"/>
      <c r="AA16" s="55"/>
      <c r="AB16" s="44" t="e">
        <f t="shared" si="3"/>
        <v>#DIV/0!</v>
      </c>
      <c r="AC16" s="19" t="e">
        <f t="shared" si="4"/>
        <v>#DIV/0!</v>
      </c>
      <c r="AD16" s="23"/>
      <c r="AE16" s="24"/>
      <c r="AF16" s="24"/>
      <c r="AG16" s="43"/>
      <c r="AH16" s="59"/>
      <c r="AI16" s="47">
        <f t="shared" si="5"/>
        <v>0</v>
      </c>
      <c r="AJ16" s="92">
        <f t="shared" si="14"/>
        <v>0</v>
      </c>
      <c r="AK16" s="94"/>
      <c r="AL16" s="97"/>
      <c r="AM16" s="34" t="e">
        <f t="shared" si="6"/>
        <v>#DIV/0!</v>
      </c>
      <c r="AN16" s="48">
        <v>65</v>
      </c>
      <c r="AO16" s="49" t="e">
        <f t="shared" si="7"/>
        <v>#DIV/0!</v>
      </c>
      <c r="AP16" s="50" t="e">
        <f t="shared" si="8"/>
        <v>#DIV/0!</v>
      </c>
      <c r="AQ16" s="51"/>
      <c r="AR16" s="35">
        <v>0</v>
      </c>
      <c r="AS16" s="36">
        <f t="shared" si="9"/>
        <v>1</v>
      </c>
      <c r="AT16" s="26" t="e">
        <f t="shared" si="10"/>
        <v>#DIV/0!</v>
      </c>
      <c r="AU16" s="27"/>
      <c r="AV16" s="104"/>
      <c r="AW16" s="104"/>
      <c r="AX16" s="104"/>
      <c r="AY16" s="104"/>
      <c r="AZ16" s="105"/>
      <c r="BA16" s="105">
        <f t="shared" si="11"/>
        <v>0</v>
      </c>
      <c r="BB16" s="106">
        <f t="shared" si="12"/>
        <v>0</v>
      </c>
    </row>
    <row r="17" spans="1:54" s="12" customFormat="1" ht="39.950000000000003" customHeight="1" thickBot="1">
      <c r="A17" s="32"/>
      <c r="B17" s="143"/>
      <c r="C17" s="190"/>
      <c r="D17" s="143"/>
      <c r="E17" s="124"/>
      <c r="F17" s="124"/>
      <c r="G17" s="38"/>
      <c r="H17" s="52"/>
      <c r="I17" s="46"/>
      <c r="J17" s="39"/>
      <c r="K17" s="39"/>
      <c r="L17" s="39"/>
      <c r="M17" s="45"/>
      <c r="N17" s="41">
        <f t="shared" si="13"/>
        <v>0</v>
      </c>
      <c r="O17" s="19">
        <v>1</v>
      </c>
      <c r="P17" s="20"/>
      <c r="Q17" s="24"/>
      <c r="R17" s="24"/>
      <c r="S17" s="24"/>
      <c r="T17" s="57"/>
      <c r="U17" s="44">
        <f t="shared" si="1"/>
        <v>0</v>
      </c>
      <c r="V17" s="47">
        <f t="shared" si="2"/>
        <v>0</v>
      </c>
      <c r="W17" s="22"/>
      <c r="X17" s="64"/>
      <c r="Y17" s="56"/>
      <c r="Z17" s="56"/>
      <c r="AA17" s="55"/>
      <c r="AB17" s="44" t="e">
        <f t="shared" si="3"/>
        <v>#DIV/0!</v>
      </c>
      <c r="AC17" s="47" t="e">
        <f t="shared" si="4"/>
        <v>#DIV/0!</v>
      </c>
      <c r="AD17" s="23"/>
      <c r="AE17" s="34"/>
      <c r="AF17" s="43"/>
      <c r="AG17" s="43"/>
      <c r="AH17" s="59"/>
      <c r="AI17" s="47">
        <f t="shared" si="5"/>
        <v>0</v>
      </c>
      <c r="AJ17" s="92">
        <f t="shared" si="14"/>
        <v>0</v>
      </c>
      <c r="AK17" s="94"/>
      <c r="AL17" s="97"/>
      <c r="AM17" s="34" t="e">
        <f t="shared" si="6"/>
        <v>#DIV/0!</v>
      </c>
      <c r="AN17" s="48">
        <v>65</v>
      </c>
      <c r="AO17" s="49" t="e">
        <f t="shared" si="7"/>
        <v>#DIV/0!</v>
      </c>
      <c r="AP17" s="50" t="e">
        <f t="shared" si="8"/>
        <v>#DIV/0!</v>
      </c>
      <c r="AQ17" s="51"/>
      <c r="AR17" s="35">
        <v>0</v>
      </c>
      <c r="AS17" s="36">
        <f t="shared" si="9"/>
        <v>1</v>
      </c>
      <c r="AT17" s="26" t="e">
        <f t="shared" si="10"/>
        <v>#DIV/0!</v>
      </c>
      <c r="AU17" s="27"/>
      <c r="AV17" s="104"/>
      <c r="AW17" s="104"/>
      <c r="AX17" s="104"/>
      <c r="AY17" s="104"/>
      <c r="AZ17" s="105"/>
      <c r="BA17" s="105">
        <f t="shared" si="11"/>
        <v>0</v>
      </c>
      <c r="BB17" s="106">
        <f t="shared" si="12"/>
        <v>0</v>
      </c>
    </row>
    <row r="18" spans="1:54" s="12" customFormat="1" ht="39.950000000000003" customHeight="1" thickBot="1">
      <c r="A18" s="32"/>
      <c r="B18" s="143"/>
      <c r="C18" s="143"/>
      <c r="D18" s="143"/>
      <c r="E18" s="143"/>
      <c r="F18" s="143"/>
      <c r="G18" s="38"/>
      <c r="H18" s="52"/>
      <c r="I18" s="46"/>
      <c r="J18" s="39"/>
      <c r="K18" s="39"/>
      <c r="L18" s="39"/>
      <c r="M18" s="45"/>
      <c r="N18" s="41">
        <f t="shared" si="13"/>
        <v>0</v>
      </c>
      <c r="O18" s="19">
        <v>1</v>
      </c>
      <c r="P18" s="135"/>
      <c r="Q18" s="43"/>
      <c r="R18" s="43"/>
      <c r="S18" s="43"/>
      <c r="T18" s="57"/>
      <c r="U18" s="44">
        <f t="shared" si="1"/>
        <v>0</v>
      </c>
      <c r="V18" s="34">
        <f t="shared" si="2"/>
        <v>0</v>
      </c>
      <c r="W18" s="22"/>
      <c r="X18" s="64"/>
      <c r="Y18" s="56"/>
      <c r="Z18" s="56"/>
      <c r="AA18" s="55"/>
      <c r="AB18" s="44" t="e">
        <f t="shared" si="3"/>
        <v>#DIV/0!</v>
      </c>
      <c r="AC18" s="47" t="e">
        <f t="shared" si="4"/>
        <v>#DIV/0!</v>
      </c>
      <c r="AD18" s="23"/>
      <c r="AE18" s="34"/>
      <c r="AF18" s="43"/>
      <c r="AG18" s="43"/>
      <c r="AH18" s="59"/>
      <c r="AI18" s="47">
        <f t="shared" si="5"/>
        <v>0</v>
      </c>
      <c r="AJ18" s="92">
        <f t="shared" si="14"/>
        <v>0</v>
      </c>
      <c r="AK18" s="94"/>
      <c r="AL18" s="97"/>
      <c r="AM18" s="34" t="e">
        <f t="shared" si="6"/>
        <v>#DIV/0!</v>
      </c>
      <c r="AN18" s="48">
        <v>65</v>
      </c>
      <c r="AO18" s="49" t="e">
        <f t="shared" si="7"/>
        <v>#DIV/0!</v>
      </c>
      <c r="AP18" s="50" t="e">
        <f t="shared" si="8"/>
        <v>#DIV/0!</v>
      </c>
      <c r="AQ18" s="51"/>
      <c r="AR18" s="35">
        <v>0</v>
      </c>
      <c r="AS18" s="36">
        <f t="shared" si="9"/>
        <v>1</v>
      </c>
      <c r="AT18" s="26" t="e">
        <f t="shared" si="10"/>
        <v>#DIV/0!</v>
      </c>
      <c r="AU18" s="27"/>
      <c r="AV18" s="104"/>
      <c r="AW18" s="104"/>
      <c r="AX18" s="104"/>
      <c r="AY18" s="104"/>
      <c r="AZ18" s="105"/>
      <c r="BA18" s="105">
        <f t="shared" si="11"/>
        <v>0</v>
      </c>
      <c r="BB18" s="106">
        <f t="shared" si="12"/>
        <v>0</v>
      </c>
    </row>
    <row r="19" spans="1:54" s="12" customFormat="1" ht="39.950000000000003" customHeight="1" thickBot="1">
      <c r="A19" s="32"/>
      <c r="B19" s="143"/>
      <c r="C19" s="143"/>
      <c r="D19" s="143"/>
      <c r="E19" s="143"/>
      <c r="F19" s="143"/>
      <c r="G19" s="38"/>
      <c r="H19" s="52"/>
      <c r="I19" s="39"/>
      <c r="J19" s="142"/>
      <c r="K19" s="17"/>
      <c r="L19" s="39"/>
      <c r="M19" s="45"/>
      <c r="N19" s="41">
        <f t="shared" si="13"/>
        <v>0</v>
      </c>
      <c r="O19" s="19">
        <v>1</v>
      </c>
      <c r="P19" s="20"/>
      <c r="Q19" s="24"/>
      <c r="R19" s="134"/>
      <c r="S19" s="24"/>
      <c r="T19" s="57"/>
      <c r="U19" s="44">
        <f t="shared" si="1"/>
        <v>0</v>
      </c>
      <c r="V19" s="47">
        <f t="shared" si="2"/>
        <v>0</v>
      </c>
      <c r="W19" s="22"/>
      <c r="X19" s="56"/>
      <c r="Y19" s="64"/>
      <c r="Z19" s="56"/>
      <c r="AA19" s="55"/>
      <c r="AB19" s="44" t="e">
        <f t="shared" si="3"/>
        <v>#DIV/0!</v>
      </c>
      <c r="AC19" s="47" t="e">
        <f t="shared" si="4"/>
        <v>#DIV/0!</v>
      </c>
      <c r="AD19" s="34"/>
      <c r="AE19" s="43"/>
      <c r="AF19" s="24"/>
      <c r="AG19" s="43"/>
      <c r="AH19" s="59"/>
      <c r="AI19" s="47">
        <f t="shared" si="5"/>
        <v>0</v>
      </c>
      <c r="AJ19" s="92">
        <f t="shared" si="14"/>
        <v>0</v>
      </c>
      <c r="AK19" s="94"/>
      <c r="AL19" s="97"/>
      <c r="AM19" s="34" t="e">
        <f t="shared" si="6"/>
        <v>#DIV/0!</v>
      </c>
      <c r="AN19" s="48">
        <v>65</v>
      </c>
      <c r="AO19" s="49" t="e">
        <f t="shared" si="7"/>
        <v>#DIV/0!</v>
      </c>
      <c r="AP19" s="50" t="e">
        <f t="shared" si="8"/>
        <v>#DIV/0!</v>
      </c>
      <c r="AQ19" s="51"/>
      <c r="AR19" s="35">
        <v>0</v>
      </c>
      <c r="AS19" s="36">
        <f t="shared" si="9"/>
        <v>1</v>
      </c>
      <c r="AT19" s="26" t="e">
        <f t="shared" si="10"/>
        <v>#DIV/0!</v>
      </c>
      <c r="AU19" s="27"/>
      <c r="AV19" s="104"/>
      <c r="AW19" s="104"/>
      <c r="AX19" s="104"/>
      <c r="AY19" s="104"/>
      <c r="AZ19" s="105"/>
      <c r="BA19" s="105">
        <f t="shared" si="11"/>
        <v>0</v>
      </c>
      <c r="BB19" s="106">
        <f t="shared" si="12"/>
        <v>0</v>
      </c>
    </row>
    <row r="20" spans="1:54" s="12" customFormat="1" ht="39.950000000000003" customHeight="1" thickBot="1">
      <c r="A20" s="74"/>
      <c r="B20" s="74"/>
      <c r="C20" s="74"/>
      <c r="D20" s="74"/>
      <c r="E20" s="74"/>
      <c r="F20" s="143"/>
      <c r="G20" s="38"/>
      <c r="H20" s="52"/>
      <c r="I20" s="123"/>
      <c r="J20" s="17"/>
      <c r="K20" s="17"/>
      <c r="L20" s="39"/>
      <c r="M20" s="16"/>
      <c r="N20" s="18">
        <f t="shared" si="13"/>
        <v>0</v>
      </c>
      <c r="O20" s="19">
        <v>1</v>
      </c>
      <c r="P20" s="77"/>
      <c r="Q20" s="78"/>
      <c r="R20" s="78"/>
      <c r="S20" s="24"/>
      <c r="T20" s="57"/>
      <c r="U20" s="25">
        <f t="shared" si="1"/>
        <v>0</v>
      </c>
      <c r="V20" s="19">
        <f t="shared" si="2"/>
        <v>0</v>
      </c>
      <c r="W20" s="22"/>
      <c r="X20" s="56"/>
      <c r="Y20" s="64"/>
      <c r="Z20" s="56"/>
      <c r="AA20" s="55"/>
      <c r="AB20" s="44" t="e">
        <f t="shared" si="3"/>
        <v>#DIV/0!</v>
      </c>
      <c r="AC20" s="47" t="e">
        <f t="shared" si="4"/>
        <v>#DIV/0!</v>
      </c>
      <c r="AD20" s="21"/>
      <c r="AE20" s="24"/>
      <c r="AF20" s="34"/>
      <c r="AG20" s="43"/>
      <c r="AH20" s="59"/>
      <c r="AI20" s="47">
        <f t="shared" si="5"/>
        <v>0</v>
      </c>
      <c r="AJ20" s="92">
        <f t="shared" si="14"/>
        <v>0</v>
      </c>
      <c r="AK20" s="94"/>
      <c r="AL20" s="97"/>
      <c r="AM20" s="34" t="e">
        <f t="shared" si="6"/>
        <v>#DIV/0!</v>
      </c>
      <c r="AN20" s="48">
        <v>65</v>
      </c>
      <c r="AO20" s="49" t="e">
        <f t="shared" si="7"/>
        <v>#DIV/0!</v>
      </c>
      <c r="AP20" s="50" t="e">
        <f t="shared" si="8"/>
        <v>#DIV/0!</v>
      </c>
      <c r="AQ20" s="51"/>
      <c r="AR20" s="35">
        <v>0</v>
      </c>
      <c r="AS20" s="36">
        <f t="shared" si="9"/>
        <v>1</v>
      </c>
      <c r="AT20" s="26" t="e">
        <f t="shared" si="10"/>
        <v>#DIV/0!</v>
      </c>
      <c r="AU20" s="27"/>
      <c r="AV20" s="104"/>
      <c r="AW20" s="104"/>
      <c r="AX20" s="104"/>
      <c r="AY20" s="104"/>
      <c r="AZ20" s="105"/>
      <c r="BA20" s="105">
        <f t="shared" si="11"/>
        <v>0</v>
      </c>
      <c r="BB20" s="106">
        <f t="shared" si="12"/>
        <v>0</v>
      </c>
    </row>
    <row r="21" spans="1:54" s="12" customFormat="1" ht="39.950000000000003" customHeight="1" thickBot="1">
      <c r="A21" s="74"/>
      <c r="B21" s="74"/>
      <c r="C21" s="74"/>
      <c r="D21" s="74"/>
      <c r="E21" s="74"/>
      <c r="F21" s="143"/>
      <c r="G21" s="38"/>
      <c r="H21" s="52"/>
      <c r="I21" s="123"/>
      <c r="J21" s="17"/>
      <c r="K21" s="17"/>
      <c r="L21" s="39"/>
      <c r="M21" s="45"/>
      <c r="N21" s="41">
        <f t="shared" si="13"/>
        <v>0</v>
      </c>
      <c r="O21" s="19">
        <v>1</v>
      </c>
      <c r="P21" s="20"/>
      <c r="Q21" s="24"/>
      <c r="R21" s="24"/>
      <c r="S21" s="24"/>
      <c r="T21" s="57"/>
      <c r="U21" s="44">
        <f t="shared" si="1"/>
        <v>0</v>
      </c>
      <c r="V21" s="47">
        <f t="shared" si="2"/>
        <v>0</v>
      </c>
      <c r="W21" s="64"/>
      <c r="X21" s="70"/>
      <c r="Y21" s="56"/>
      <c r="Z21" s="56"/>
      <c r="AA21" s="55"/>
      <c r="AB21" s="44" t="e">
        <f t="shared" si="3"/>
        <v>#DIV/0!</v>
      </c>
      <c r="AC21" s="47" t="e">
        <f t="shared" si="4"/>
        <v>#DIV/0!</v>
      </c>
      <c r="AD21" s="42"/>
      <c r="AE21" s="24"/>
      <c r="AF21" s="24"/>
      <c r="AG21" s="43"/>
      <c r="AH21" s="59"/>
      <c r="AI21" s="47">
        <f t="shared" si="5"/>
        <v>0</v>
      </c>
      <c r="AJ21" s="92">
        <f t="shared" si="14"/>
        <v>0</v>
      </c>
      <c r="AK21" s="94"/>
      <c r="AL21" s="97"/>
      <c r="AM21" s="34" t="e">
        <f t="shared" si="6"/>
        <v>#DIV/0!</v>
      </c>
      <c r="AN21" s="48">
        <v>65</v>
      </c>
      <c r="AO21" s="49" t="e">
        <f t="shared" si="7"/>
        <v>#DIV/0!</v>
      </c>
      <c r="AP21" s="50" t="e">
        <f t="shared" si="8"/>
        <v>#DIV/0!</v>
      </c>
      <c r="AQ21" s="51"/>
      <c r="AR21" s="35">
        <v>0</v>
      </c>
      <c r="AS21" s="36">
        <f t="shared" si="9"/>
        <v>1</v>
      </c>
      <c r="AT21" s="26" t="e">
        <f t="shared" si="10"/>
        <v>#DIV/0!</v>
      </c>
      <c r="AU21" s="27"/>
      <c r="AV21" s="104"/>
      <c r="AW21" s="104"/>
      <c r="AX21" s="104"/>
      <c r="AY21" s="104"/>
      <c r="AZ21" s="105"/>
      <c r="BA21" s="105">
        <f t="shared" si="11"/>
        <v>0</v>
      </c>
      <c r="BB21" s="106">
        <f t="shared" si="12"/>
        <v>0</v>
      </c>
    </row>
    <row r="22" spans="1:54" s="12" customFormat="1" ht="39.950000000000003" customHeight="1" thickBot="1">
      <c r="A22" s="74"/>
      <c r="B22" s="74"/>
      <c r="C22" s="74"/>
      <c r="D22" s="74"/>
      <c r="E22" s="74"/>
      <c r="F22" s="124"/>
      <c r="G22" s="124"/>
      <c r="H22" s="52"/>
      <c r="I22" s="123"/>
      <c r="J22" s="17"/>
      <c r="K22" s="17"/>
      <c r="L22" s="39"/>
      <c r="M22" s="16"/>
      <c r="N22" s="18">
        <f t="shared" si="13"/>
        <v>0</v>
      </c>
      <c r="O22" s="19">
        <v>1</v>
      </c>
      <c r="P22" s="77"/>
      <c r="Q22" s="78"/>
      <c r="R22" s="78"/>
      <c r="S22" s="24"/>
      <c r="T22" s="57"/>
      <c r="U22" s="25">
        <f t="shared" si="1"/>
        <v>0</v>
      </c>
      <c r="V22" s="19">
        <f t="shared" si="2"/>
        <v>0</v>
      </c>
      <c r="W22" s="63"/>
      <c r="X22" s="56"/>
      <c r="Y22" s="64"/>
      <c r="Z22" s="56"/>
      <c r="AA22" s="55"/>
      <c r="AB22" s="44" t="e">
        <f t="shared" si="3"/>
        <v>#DIV/0!</v>
      </c>
      <c r="AC22" s="47" t="e">
        <f t="shared" si="4"/>
        <v>#DIV/0!</v>
      </c>
      <c r="AD22" s="23"/>
      <c r="AE22" s="24"/>
      <c r="AF22" s="24"/>
      <c r="AG22" s="43"/>
      <c r="AH22" s="59"/>
      <c r="AI22" s="47">
        <f t="shared" si="5"/>
        <v>0</v>
      </c>
      <c r="AJ22" s="92">
        <f t="shared" si="14"/>
        <v>0</v>
      </c>
      <c r="AK22" s="94"/>
      <c r="AL22" s="97"/>
      <c r="AM22" s="34" t="e">
        <f t="shared" si="6"/>
        <v>#DIV/0!</v>
      </c>
      <c r="AN22" s="48">
        <v>65</v>
      </c>
      <c r="AO22" s="49" t="e">
        <f t="shared" si="7"/>
        <v>#DIV/0!</v>
      </c>
      <c r="AP22" s="50" t="e">
        <f t="shared" si="8"/>
        <v>#DIV/0!</v>
      </c>
      <c r="AQ22" s="51"/>
      <c r="AR22" s="35">
        <v>0</v>
      </c>
      <c r="AS22" s="36">
        <f t="shared" si="9"/>
        <v>1</v>
      </c>
      <c r="AT22" s="26" t="e">
        <f t="shared" si="10"/>
        <v>#DIV/0!</v>
      </c>
      <c r="AU22" s="27"/>
      <c r="AV22" s="104"/>
      <c r="AW22" s="104"/>
      <c r="AX22" s="104"/>
      <c r="AY22" s="104"/>
      <c r="AZ22" s="105"/>
      <c r="BA22" s="105">
        <f t="shared" si="11"/>
        <v>0</v>
      </c>
      <c r="BB22" s="106">
        <f t="shared" si="12"/>
        <v>0</v>
      </c>
    </row>
    <row r="23" spans="1:54" s="12" customFormat="1" ht="39.950000000000003" customHeight="1" thickBot="1">
      <c r="A23" s="74"/>
      <c r="B23" s="74"/>
      <c r="C23" s="74"/>
      <c r="D23" s="74"/>
      <c r="E23" s="74"/>
      <c r="F23" s="143"/>
      <c r="G23" s="38"/>
      <c r="H23" s="52"/>
      <c r="I23" s="123"/>
      <c r="J23" s="17"/>
      <c r="K23" s="17"/>
      <c r="L23" s="39"/>
      <c r="M23" s="45"/>
      <c r="N23" s="41">
        <f t="shared" si="13"/>
        <v>0</v>
      </c>
      <c r="O23" s="19">
        <v>1</v>
      </c>
      <c r="P23" s="20"/>
      <c r="Q23" s="78"/>
      <c r="R23" s="134"/>
      <c r="S23" s="24"/>
      <c r="T23" s="57"/>
      <c r="U23" s="44">
        <f t="shared" si="1"/>
        <v>0</v>
      </c>
      <c r="V23" s="19">
        <f t="shared" si="2"/>
        <v>0</v>
      </c>
      <c r="W23" s="63"/>
      <c r="X23" s="70"/>
      <c r="Y23" s="64"/>
      <c r="Z23" s="56"/>
      <c r="AA23" s="55"/>
      <c r="AB23" s="44" t="e">
        <f t="shared" si="3"/>
        <v>#DIV/0!</v>
      </c>
      <c r="AC23" s="47" t="e">
        <f t="shared" si="4"/>
        <v>#DIV/0!</v>
      </c>
      <c r="AD23" s="23"/>
      <c r="AE23" s="24"/>
      <c r="AF23" s="43"/>
      <c r="AG23" s="43"/>
      <c r="AH23" s="59"/>
      <c r="AI23" s="47">
        <f t="shared" si="5"/>
        <v>0</v>
      </c>
      <c r="AJ23" s="92">
        <f t="shared" si="14"/>
        <v>0</v>
      </c>
      <c r="AK23" s="94"/>
      <c r="AL23" s="97"/>
      <c r="AM23" s="34" t="e">
        <f t="shared" si="6"/>
        <v>#DIV/0!</v>
      </c>
      <c r="AN23" s="48">
        <v>65</v>
      </c>
      <c r="AO23" s="49" t="e">
        <f t="shared" si="7"/>
        <v>#DIV/0!</v>
      </c>
      <c r="AP23" s="50" t="e">
        <f t="shared" si="8"/>
        <v>#DIV/0!</v>
      </c>
      <c r="AQ23" s="51"/>
      <c r="AR23" s="35">
        <v>0</v>
      </c>
      <c r="AS23" s="36">
        <f t="shared" si="9"/>
        <v>1</v>
      </c>
      <c r="AT23" s="26" t="e">
        <f t="shared" si="10"/>
        <v>#DIV/0!</v>
      </c>
      <c r="AU23" s="27"/>
      <c r="AV23" s="104"/>
      <c r="AW23" s="104"/>
      <c r="AX23" s="104"/>
      <c r="AY23" s="104"/>
      <c r="AZ23" s="105"/>
      <c r="BA23" s="105">
        <f t="shared" si="11"/>
        <v>0</v>
      </c>
      <c r="BB23" s="106">
        <f t="shared" si="12"/>
        <v>0</v>
      </c>
    </row>
    <row r="24" spans="1:54" s="12" customFormat="1" ht="39.950000000000003" customHeight="1" thickBot="1">
      <c r="A24" s="74"/>
      <c r="B24" s="74"/>
      <c r="C24" s="74"/>
      <c r="D24" s="74"/>
      <c r="E24" s="74"/>
      <c r="F24" s="143"/>
      <c r="G24" s="38"/>
      <c r="H24" s="52"/>
      <c r="I24" s="123"/>
      <c r="J24" s="17"/>
      <c r="K24" s="17"/>
      <c r="L24" s="39"/>
      <c r="M24" s="16"/>
      <c r="N24" s="18">
        <f t="shared" si="13"/>
        <v>0</v>
      </c>
      <c r="O24" s="19">
        <v>1</v>
      </c>
      <c r="P24" s="77"/>
      <c r="Q24" s="78"/>
      <c r="R24" s="78"/>
      <c r="S24" s="24"/>
      <c r="T24" s="57"/>
      <c r="U24" s="25">
        <f t="shared" si="1"/>
        <v>0</v>
      </c>
      <c r="V24" s="19">
        <f t="shared" si="2"/>
        <v>0</v>
      </c>
      <c r="W24" s="75"/>
      <c r="X24" s="56"/>
      <c r="Y24" s="56"/>
      <c r="Z24" s="56"/>
      <c r="AA24" s="55"/>
      <c r="AB24" s="44" t="e">
        <f t="shared" si="3"/>
        <v>#DIV/0!</v>
      </c>
      <c r="AC24" s="47" t="e">
        <f t="shared" si="4"/>
        <v>#DIV/0!</v>
      </c>
      <c r="AD24" s="23"/>
      <c r="AE24" s="24"/>
      <c r="AF24" s="34"/>
      <c r="AG24" s="43"/>
      <c r="AH24" s="59"/>
      <c r="AI24" s="47">
        <f t="shared" si="5"/>
        <v>0</v>
      </c>
      <c r="AJ24" s="92">
        <f t="shared" si="14"/>
        <v>0</v>
      </c>
      <c r="AK24" s="94"/>
      <c r="AL24" s="97"/>
      <c r="AM24" s="34" t="e">
        <f t="shared" si="6"/>
        <v>#DIV/0!</v>
      </c>
      <c r="AN24" s="48">
        <v>65</v>
      </c>
      <c r="AO24" s="49" t="e">
        <f t="shared" si="7"/>
        <v>#DIV/0!</v>
      </c>
      <c r="AP24" s="50" t="e">
        <f t="shared" si="8"/>
        <v>#DIV/0!</v>
      </c>
      <c r="AQ24" s="51"/>
      <c r="AR24" s="35">
        <v>0</v>
      </c>
      <c r="AS24" s="36">
        <f t="shared" si="9"/>
        <v>1</v>
      </c>
      <c r="AT24" s="26" t="e">
        <f t="shared" si="10"/>
        <v>#DIV/0!</v>
      </c>
      <c r="AU24" s="27"/>
      <c r="AV24" s="104"/>
      <c r="AW24" s="104"/>
      <c r="AX24" s="104"/>
      <c r="AY24" s="104"/>
      <c r="AZ24" s="105"/>
      <c r="BA24" s="105">
        <f t="shared" si="11"/>
        <v>0</v>
      </c>
      <c r="BB24" s="106">
        <f t="shared" si="12"/>
        <v>0</v>
      </c>
    </row>
    <row r="25" spans="1:54" s="12" customFormat="1" ht="39.950000000000003" customHeight="1" thickBot="1">
      <c r="A25" s="74"/>
      <c r="B25" s="74"/>
      <c r="C25" s="74"/>
      <c r="D25" s="74"/>
      <c r="E25" s="74"/>
      <c r="F25" s="38"/>
      <c r="G25" s="38"/>
      <c r="H25" s="52"/>
      <c r="I25" s="123"/>
      <c r="J25" s="17"/>
      <c r="K25" s="17"/>
      <c r="L25" s="39"/>
      <c r="M25" s="16"/>
      <c r="N25" s="18">
        <f t="shared" si="13"/>
        <v>0</v>
      </c>
      <c r="O25" s="19">
        <v>1</v>
      </c>
      <c r="P25" s="77"/>
      <c r="Q25" s="78"/>
      <c r="R25" s="78"/>
      <c r="S25" s="24"/>
      <c r="T25" s="57"/>
      <c r="U25" s="25">
        <f t="shared" si="1"/>
        <v>0</v>
      </c>
      <c r="V25" s="19">
        <f t="shared" si="2"/>
        <v>0</v>
      </c>
      <c r="W25" s="70"/>
      <c r="X25" s="56"/>
      <c r="Y25" s="71"/>
      <c r="Z25" s="56"/>
      <c r="AA25" s="55"/>
      <c r="AB25" s="44" t="e">
        <f t="shared" si="3"/>
        <v>#DIV/0!</v>
      </c>
      <c r="AC25" s="47" t="e">
        <f t="shared" si="4"/>
        <v>#DIV/0!</v>
      </c>
      <c r="AD25" s="23"/>
      <c r="AE25" s="24"/>
      <c r="AF25" s="24"/>
      <c r="AG25" s="43"/>
      <c r="AH25" s="59"/>
      <c r="AI25" s="47">
        <f t="shared" si="5"/>
        <v>0</v>
      </c>
      <c r="AJ25" s="92">
        <f t="shared" si="14"/>
        <v>0</v>
      </c>
      <c r="AK25" s="94"/>
      <c r="AL25" s="97"/>
      <c r="AM25" s="34" t="e">
        <f t="shared" si="6"/>
        <v>#DIV/0!</v>
      </c>
      <c r="AN25" s="48">
        <v>65</v>
      </c>
      <c r="AO25" s="49" t="e">
        <f t="shared" si="7"/>
        <v>#DIV/0!</v>
      </c>
      <c r="AP25" s="50" t="e">
        <f t="shared" si="8"/>
        <v>#DIV/0!</v>
      </c>
      <c r="AQ25" s="51"/>
      <c r="AR25" s="35">
        <v>0</v>
      </c>
      <c r="AS25" s="36">
        <f t="shared" si="9"/>
        <v>1</v>
      </c>
      <c r="AT25" s="26" t="e">
        <f t="shared" si="10"/>
        <v>#DIV/0!</v>
      </c>
      <c r="AU25" s="27"/>
      <c r="AV25" s="104"/>
      <c r="AW25" s="104"/>
      <c r="AX25" s="104"/>
      <c r="AY25" s="104"/>
      <c r="AZ25" s="105"/>
      <c r="BA25" s="105">
        <f t="shared" si="11"/>
        <v>0</v>
      </c>
      <c r="BB25" s="106">
        <f t="shared" si="12"/>
        <v>0</v>
      </c>
    </row>
    <row r="26" spans="1:54" s="12" customFormat="1" ht="39.950000000000003" customHeight="1" thickBot="1">
      <c r="A26" s="74"/>
      <c r="B26" s="74"/>
      <c r="C26" s="74"/>
      <c r="D26" s="74"/>
      <c r="E26" s="74"/>
      <c r="F26" s="38"/>
      <c r="G26" s="38"/>
      <c r="H26" s="52"/>
      <c r="I26" s="123"/>
      <c r="J26" s="17"/>
      <c r="K26" s="17"/>
      <c r="L26" s="39"/>
      <c r="M26" s="45"/>
      <c r="N26" s="41">
        <f t="shared" si="13"/>
        <v>0</v>
      </c>
      <c r="O26" s="19">
        <v>1</v>
      </c>
      <c r="P26" s="77"/>
      <c r="Q26" s="78"/>
      <c r="R26" s="78"/>
      <c r="S26" s="24"/>
      <c r="T26" s="57"/>
      <c r="U26" s="44">
        <f t="shared" si="1"/>
        <v>0</v>
      </c>
      <c r="V26" s="47">
        <f t="shared" si="2"/>
        <v>0</v>
      </c>
      <c r="W26" s="75"/>
      <c r="X26" s="56"/>
      <c r="Y26" s="56"/>
      <c r="Z26" s="56"/>
      <c r="AA26" s="55"/>
      <c r="AB26" s="44" t="e">
        <f t="shared" si="3"/>
        <v>#DIV/0!</v>
      </c>
      <c r="AC26" s="47" t="e">
        <f t="shared" si="4"/>
        <v>#DIV/0!</v>
      </c>
      <c r="AD26" s="34"/>
      <c r="AE26" s="24"/>
      <c r="AF26" s="42"/>
      <c r="AG26" s="43"/>
      <c r="AH26" s="59"/>
      <c r="AI26" s="47">
        <f t="shared" si="5"/>
        <v>0</v>
      </c>
      <c r="AJ26" s="92">
        <f t="shared" si="14"/>
        <v>0</v>
      </c>
      <c r="AK26" s="94"/>
      <c r="AL26" s="97"/>
      <c r="AM26" s="34" t="e">
        <f t="shared" si="6"/>
        <v>#DIV/0!</v>
      </c>
      <c r="AN26" s="48">
        <v>65</v>
      </c>
      <c r="AO26" s="49" t="e">
        <f t="shared" si="7"/>
        <v>#DIV/0!</v>
      </c>
      <c r="AP26" s="50" t="e">
        <f t="shared" si="8"/>
        <v>#DIV/0!</v>
      </c>
      <c r="AQ26" s="51"/>
      <c r="AR26" s="35">
        <v>0</v>
      </c>
      <c r="AS26" s="36">
        <f t="shared" si="9"/>
        <v>1</v>
      </c>
      <c r="AT26" s="26" t="e">
        <f t="shared" si="10"/>
        <v>#DIV/0!</v>
      </c>
      <c r="AU26" s="27"/>
      <c r="AV26" s="104"/>
      <c r="AW26" s="104"/>
      <c r="AX26" s="104"/>
      <c r="AY26" s="104"/>
      <c r="AZ26" s="105"/>
      <c r="BA26" s="105">
        <f t="shared" si="11"/>
        <v>0</v>
      </c>
      <c r="BB26" s="106">
        <f t="shared" si="12"/>
        <v>0</v>
      </c>
    </row>
    <row r="27" spans="1:54" s="12" customFormat="1" ht="39.950000000000003" customHeight="1" thickBot="1">
      <c r="A27" s="74"/>
      <c r="B27" s="74"/>
      <c r="C27" s="74"/>
      <c r="D27" s="74"/>
      <c r="E27" s="74"/>
      <c r="F27" s="143"/>
      <c r="G27" s="38"/>
      <c r="H27" s="52"/>
      <c r="I27" s="123"/>
      <c r="J27" s="17"/>
      <c r="K27" s="17"/>
      <c r="L27" s="39"/>
      <c r="M27" s="45"/>
      <c r="N27" s="41">
        <f t="shared" si="13"/>
        <v>0</v>
      </c>
      <c r="O27" s="19">
        <v>1</v>
      </c>
      <c r="P27" s="66"/>
      <c r="Q27" s="60"/>
      <c r="R27" s="60"/>
      <c r="S27" s="60"/>
      <c r="T27" s="61"/>
      <c r="U27" s="44">
        <f t="shared" si="1"/>
        <v>0</v>
      </c>
      <c r="V27" s="19">
        <f t="shared" si="2"/>
        <v>0</v>
      </c>
      <c r="W27" s="75"/>
      <c r="X27" s="72"/>
      <c r="Y27" s="70"/>
      <c r="Z27" s="62"/>
      <c r="AA27" s="108"/>
      <c r="AB27" s="44" t="e">
        <f t="shared" si="3"/>
        <v>#DIV/0!</v>
      </c>
      <c r="AC27" s="47" t="e">
        <f t="shared" si="4"/>
        <v>#DIV/0!</v>
      </c>
      <c r="AD27" s="23"/>
      <c r="AE27" s="34"/>
      <c r="AF27" s="24"/>
      <c r="AG27" s="43"/>
      <c r="AH27" s="59"/>
      <c r="AI27" s="47">
        <f t="shared" si="5"/>
        <v>0</v>
      </c>
      <c r="AJ27" s="92">
        <f t="shared" si="14"/>
        <v>0</v>
      </c>
      <c r="AK27" s="94"/>
      <c r="AL27" s="97"/>
      <c r="AM27" s="34" t="e">
        <f t="shared" si="6"/>
        <v>#DIV/0!</v>
      </c>
      <c r="AN27" s="48">
        <v>65</v>
      </c>
      <c r="AO27" s="49" t="e">
        <f t="shared" si="7"/>
        <v>#DIV/0!</v>
      </c>
      <c r="AP27" s="50" t="e">
        <f t="shared" si="8"/>
        <v>#DIV/0!</v>
      </c>
      <c r="AQ27" s="51"/>
      <c r="AR27" s="35">
        <v>0</v>
      </c>
      <c r="AS27" s="36">
        <f t="shared" si="9"/>
        <v>1</v>
      </c>
      <c r="AT27" s="26" t="e">
        <f t="shared" si="10"/>
        <v>#DIV/0!</v>
      </c>
      <c r="AU27" s="27"/>
      <c r="AV27" s="104"/>
      <c r="AW27" s="104"/>
      <c r="AX27" s="104"/>
      <c r="AY27" s="104"/>
      <c r="AZ27" s="105"/>
      <c r="BA27" s="105">
        <f t="shared" si="11"/>
        <v>0</v>
      </c>
      <c r="BB27" s="106">
        <f t="shared" si="12"/>
        <v>0</v>
      </c>
    </row>
    <row r="28" spans="1:54" s="12" customFormat="1" ht="39.950000000000003" customHeight="1" thickBot="1">
      <c r="A28" s="74"/>
      <c r="B28" s="74"/>
      <c r="C28" s="74"/>
      <c r="D28" s="74"/>
      <c r="E28" s="74"/>
      <c r="F28" s="143"/>
      <c r="G28" s="38"/>
      <c r="H28" s="52"/>
      <c r="I28" s="123"/>
      <c r="J28" s="17"/>
      <c r="K28" s="17"/>
      <c r="L28" s="39"/>
      <c r="M28" s="45"/>
      <c r="N28" s="41">
        <f t="shared" si="13"/>
        <v>0</v>
      </c>
      <c r="O28" s="19">
        <v>1</v>
      </c>
      <c r="P28" s="66"/>
      <c r="Q28" s="60"/>
      <c r="R28" s="60"/>
      <c r="S28" s="60"/>
      <c r="T28" s="61"/>
      <c r="U28" s="44">
        <f t="shared" si="1"/>
        <v>0</v>
      </c>
      <c r="V28" s="19">
        <f t="shared" si="2"/>
        <v>0</v>
      </c>
      <c r="W28" s="75"/>
      <c r="X28" s="56"/>
      <c r="Y28" s="70"/>
      <c r="Z28" s="62"/>
      <c r="AA28" s="108"/>
      <c r="AB28" s="44" t="e">
        <f t="shared" si="3"/>
        <v>#DIV/0!</v>
      </c>
      <c r="AC28" s="47" t="e">
        <f t="shared" si="4"/>
        <v>#DIV/0!</v>
      </c>
      <c r="AD28" s="23"/>
      <c r="AE28" s="24"/>
      <c r="AF28" s="24"/>
      <c r="AG28" s="43"/>
      <c r="AH28" s="59"/>
      <c r="AI28" s="47">
        <f t="shared" si="5"/>
        <v>0</v>
      </c>
      <c r="AJ28" s="92">
        <f t="shared" si="14"/>
        <v>0</v>
      </c>
      <c r="AK28" s="94"/>
      <c r="AL28" s="97"/>
      <c r="AM28" s="34" t="e">
        <f t="shared" si="6"/>
        <v>#DIV/0!</v>
      </c>
      <c r="AN28" s="48">
        <v>65</v>
      </c>
      <c r="AO28" s="49" t="e">
        <f t="shared" si="7"/>
        <v>#DIV/0!</v>
      </c>
      <c r="AP28" s="50" t="e">
        <f t="shared" si="8"/>
        <v>#DIV/0!</v>
      </c>
      <c r="AQ28" s="51"/>
      <c r="AR28" s="35">
        <v>0</v>
      </c>
      <c r="AS28" s="36">
        <f t="shared" si="9"/>
        <v>1</v>
      </c>
      <c r="AT28" s="26" t="e">
        <f t="shared" si="10"/>
        <v>#DIV/0!</v>
      </c>
      <c r="AU28" s="27"/>
      <c r="AV28" s="104"/>
      <c r="AW28" s="104"/>
      <c r="AX28" s="104"/>
      <c r="AY28" s="104"/>
      <c r="AZ28" s="105"/>
      <c r="BA28" s="105">
        <f t="shared" si="11"/>
        <v>0</v>
      </c>
      <c r="BB28" s="106">
        <f t="shared" si="12"/>
        <v>0</v>
      </c>
    </row>
    <row r="29" spans="1:54" s="12" customFormat="1" ht="39.950000000000003" customHeight="1" thickBot="1">
      <c r="A29" s="74"/>
      <c r="B29" s="74"/>
      <c r="C29" s="74"/>
      <c r="D29" s="74"/>
      <c r="E29" s="74"/>
      <c r="F29" s="143"/>
      <c r="G29" s="38"/>
      <c r="H29" s="52"/>
      <c r="I29" s="123"/>
      <c r="J29" s="17"/>
      <c r="K29" s="17"/>
      <c r="L29" s="39"/>
      <c r="M29" s="45"/>
      <c r="N29" s="41">
        <f t="shared" si="13"/>
        <v>0</v>
      </c>
      <c r="O29" s="19">
        <v>1</v>
      </c>
      <c r="P29" s="66"/>
      <c r="Q29" s="60"/>
      <c r="R29" s="60"/>
      <c r="S29" s="60"/>
      <c r="T29" s="61"/>
      <c r="U29" s="44">
        <f t="shared" si="1"/>
        <v>0</v>
      </c>
      <c r="V29" s="19">
        <f t="shared" si="2"/>
        <v>0</v>
      </c>
      <c r="W29" s="75"/>
      <c r="X29" s="56"/>
      <c r="Y29" s="70"/>
      <c r="Z29" s="62"/>
      <c r="AA29" s="108"/>
      <c r="AB29" s="44" t="e">
        <f t="shared" si="3"/>
        <v>#DIV/0!</v>
      </c>
      <c r="AC29" s="47" t="e">
        <f t="shared" si="4"/>
        <v>#DIV/0!</v>
      </c>
      <c r="AD29" s="23"/>
      <c r="AE29" s="24"/>
      <c r="AF29" s="24"/>
      <c r="AG29" s="43"/>
      <c r="AH29" s="59"/>
      <c r="AI29" s="47">
        <f t="shared" si="5"/>
        <v>0</v>
      </c>
      <c r="AJ29" s="92">
        <f t="shared" si="14"/>
        <v>0</v>
      </c>
      <c r="AK29" s="94"/>
      <c r="AL29" s="97"/>
      <c r="AM29" s="34" t="e">
        <f t="shared" si="6"/>
        <v>#DIV/0!</v>
      </c>
      <c r="AN29" s="48">
        <v>65</v>
      </c>
      <c r="AO29" s="49" t="e">
        <f t="shared" si="7"/>
        <v>#DIV/0!</v>
      </c>
      <c r="AP29" s="50" t="e">
        <f t="shared" si="8"/>
        <v>#DIV/0!</v>
      </c>
      <c r="AQ29" s="51"/>
      <c r="AR29" s="35">
        <v>0</v>
      </c>
      <c r="AS29" s="36">
        <f t="shared" si="9"/>
        <v>1</v>
      </c>
      <c r="AT29" s="26" t="e">
        <f t="shared" si="10"/>
        <v>#DIV/0!</v>
      </c>
      <c r="AU29" s="27"/>
      <c r="AV29" s="104"/>
      <c r="AW29" s="104"/>
      <c r="AX29" s="104"/>
      <c r="AY29" s="104"/>
      <c r="AZ29" s="105"/>
      <c r="BA29" s="105">
        <f t="shared" si="11"/>
        <v>0</v>
      </c>
      <c r="BB29" s="106">
        <f t="shared" si="12"/>
        <v>0</v>
      </c>
    </row>
    <row r="30" spans="1:54" s="12" customFormat="1" ht="39.950000000000003" customHeight="1" thickBot="1">
      <c r="A30" s="74"/>
      <c r="B30" s="74"/>
      <c r="C30" s="74"/>
      <c r="D30" s="74"/>
      <c r="E30" s="74"/>
      <c r="F30" s="74"/>
      <c r="G30" s="38"/>
      <c r="H30" s="52"/>
      <c r="I30" s="123"/>
      <c r="J30" s="17"/>
      <c r="K30" s="17"/>
      <c r="L30" s="39"/>
      <c r="M30" s="16"/>
      <c r="N30" s="18">
        <f t="shared" si="13"/>
        <v>0</v>
      </c>
      <c r="O30" s="19">
        <v>1</v>
      </c>
      <c r="P30" s="77"/>
      <c r="Q30" s="78"/>
      <c r="R30" s="78"/>
      <c r="S30" s="24"/>
      <c r="T30" s="57"/>
      <c r="U30" s="25">
        <f t="shared" si="1"/>
        <v>0</v>
      </c>
      <c r="V30" s="19">
        <f t="shared" si="2"/>
        <v>0</v>
      </c>
      <c r="W30" s="22"/>
      <c r="X30" s="71"/>
      <c r="Y30" s="56"/>
      <c r="Z30" s="56"/>
      <c r="AA30" s="55"/>
      <c r="AB30" s="44" t="e">
        <f t="shared" si="3"/>
        <v>#DIV/0!</v>
      </c>
      <c r="AC30" s="47" t="e">
        <f t="shared" si="4"/>
        <v>#DIV/0!</v>
      </c>
      <c r="AD30" s="34"/>
      <c r="AE30" s="43"/>
      <c r="AF30" s="42"/>
      <c r="AG30" s="43"/>
      <c r="AH30" s="59"/>
      <c r="AI30" s="47">
        <f t="shared" si="5"/>
        <v>0</v>
      </c>
      <c r="AJ30" s="92">
        <f t="shared" si="14"/>
        <v>0</v>
      </c>
      <c r="AK30" s="94"/>
      <c r="AL30" s="97"/>
      <c r="AM30" s="34" t="e">
        <f t="shared" si="6"/>
        <v>#DIV/0!</v>
      </c>
      <c r="AN30" s="48">
        <v>65</v>
      </c>
      <c r="AO30" s="49" t="e">
        <f t="shared" si="7"/>
        <v>#DIV/0!</v>
      </c>
      <c r="AP30" s="50" t="e">
        <f t="shared" si="8"/>
        <v>#DIV/0!</v>
      </c>
      <c r="AQ30" s="51"/>
      <c r="AR30" s="35">
        <v>0</v>
      </c>
      <c r="AS30" s="36">
        <f t="shared" si="9"/>
        <v>1</v>
      </c>
      <c r="AT30" s="26" t="e">
        <f t="shared" si="10"/>
        <v>#DIV/0!</v>
      </c>
      <c r="AU30" s="27"/>
      <c r="AV30" s="104"/>
      <c r="AW30" s="104"/>
      <c r="AX30" s="104"/>
      <c r="AY30" s="104"/>
      <c r="AZ30" s="105"/>
      <c r="BA30" s="105">
        <f t="shared" si="11"/>
        <v>0</v>
      </c>
      <c r="BB30" s="106">
        <f t="shared" si="12"/>
        <v>0</v>
      </c>
    </row>
    <row r="31" spans="1:54" s="12" customFormat="1" ht="39.950000000000003" customHeight="1" thickBot="1">
      <c r="A31" s="74"/>
      <c r="B31" s="74"/>
      <c r="C31" s="74"/>
      <c r="D31" s="74"/>
      <c r="E31" s="74"/>
      <c r="F31" s="143"/>
      <c r="G31" s="38"/>
      <c r="H31" s="52"/>
      <c r="I31" s="123"/>
      <c r="J31" s="17"/>
      <c r="K31" s="17"/>
      <c r="L31" s="39"/>
      <c r="M31" s="45"/>
      <c r="N31" s="41">
        <f t="shared" si="13"/>
        <v>0</v>
      </c>
      <c r="O31" s="19">
        <v>1</v>
      </c>
      <c r="P31" s="20"/>
      <c r="Q31" s="24"/>
      <c r="R31" s="43"/>
      <c r="S31" s="24"/>
      <c r="T31" s="57"/>
      <c r="U31" s="44">
        <f t="shared" si="1"/>
        <v>0</v>
      </c>
      <c r="V31" s="47">
        <f t="shared" si="2"/>
        <v>0</v>
      </c>
      <c r="W31" s="22"/>
      <c r="X31" s="56"/>
      <c r="Y31" s="56"/>
      <c r="Z31" s="56"/>
      <c r="AA31" s="55"/>
      <c r="AB31" s="44" t="e">
        <f t="shared" si="3"/>
        <v>#DIV/0!</v>
      </c>
      <c r="AC31" s="47" t="e">
        <f t="shared" si="4"/>
        <v>#DIV/0!</v>
      </c>
      <c r="AD31" s="34"/>
      <c r="AE31" s="43"/>
      <c r="AF31" s="24"/>
      <c r="AG31" s="43"/>
      <c r="AH31" s="59"/>
      <c r="AI31" s="47">
        <f t="shared" si="5"/>
        <v>0</v>
      </c>
      <c r="AJ31" s="92">
        <f t="shared" si="14"/>
        <v>0</v>
      </c>
      <c r="AK31" s="95"/>
      <c r="AL31" s="97"/>
      <c r="AM31" s="34" t="e">
        <f t="shared" si="6"/>
        <v>#DIV/0!</v>
      </c>
      <c r="AN31" s="48">
        <v>65</v>
      </c>
      <c r="AO31" s="49" t="e">
        <f t="shared" si="7"/>
        <v>#DIV/0!</v>
      </c>
      <c r="AP31" s="50" t="e">
        <f t="shared" si="8"/>
        <v>#DIV/0!</v>
      </c>
      <c r="AQ31" s="51"/>
      <c r="AR31" s="35">
        <v>0</v>
      </c>
      <c r="AS31" s="36">
        <f t="shared" si="9"/>
        <v>1</v>
      </c>
      <c r="AT31" s="26" t="e">
        <f t="shared" si="10"/>
        <v>#DIV/0!</v>
      </c>
      <c r="AU31" s="27"/>
      <c r="AV31" s="104"/>
      <c r="AW31" s="104"/>
      <c r="AX31" s="104"/>
      <c r="AY31" s="104"/>
      <c r="AZ31" s="105"/>
      <c r="BA31" s="105">
        <f t="shared" si="11"/>
        <v>0</v>
      </c>
      <c r="BB31" s="106">
        <f t="shared" si="12"/>
        <v>0</v>
      </c>
    </row>
    <row r="32" spans="1:54" s="12" customFormat="1" ht="39.950000000000003" customHeight="1" thickBot="1">
      <c r="A32" s="74"/>
      <c r="B32" s="74"/>
      <c r="C32" s="74"/>
      <c r="D32" s="74"/>
      <c r="E32" s="74"/>
      <c r="F32" s="143"/>
      <c r="G32" s="38"/>
      <c r="H32" s="52"/>
      <c r="I32" s="123"/>
      <c r="J32" s="17"/>
      <c r="K32" s="17"/>
      <c r="L32" s="39"/>
      <c r="M32" s="45"/>
      <c r="N32" s="18">
        <f t="shared" si="13"/>
        <v>0</v>
      </c>
      <c r="O32" s="19">
        <v>1</v>
      </c>
      <c r="P32" s="77"/>
      <c r="Q32" s="78"/>
      <c r="R32" s="78"/>
      <c r="S32" s="24"/>
      <c r="T32" s="57"/>
      <c r="U32" s="25">
        <f t="shared" si="1"/>
        <v>0</v>
      </c>
      <c r="V32" s="19">
        <f t="shared" si="2"/>
        <v>0</v>
      </c>
      <c r="W32" s="70"/>
      <c r="X32" s="70"/>
      <c r="Y32" s="71"/>
      <c r="Z32" s="56"/>
      <c r="AA32" s="55"/>
      <c r="AB32" s="44" t="e">
        <f t="shared" si="3"/>
        <v>#DIV/0!</v>
      </c>
      <c r="AC32" s="47" t="e">
        <f t="shared" si="4"/>
        <v>#DIV/0!</v>
      </c>
      <c r="AD32" s="23"/>
      <c r="AE32" s="24"/>
      <c r="AF32" s="34"/>
      <c r="AG32" s="43"/>
      <c r="AH32" s="59"/>
      <c r="AI32" s="47">
        <f t="shared" si="5"/>
        <v>0</v>
      </c>
      <c r="AJ32" s="92">
        <f t="shared" si="14"/>
        <v>0</v>
      </c>
      <c r="AK32" s="94"/>
      <c r="AL32" s="97"/>
      <c r="AM32" s="34" t="e">
        <f t="shared" si="6"/>
        <v>#DIV/0!</v>
      </c>
      <c r="AN32" s="48">
        <v>65</v>
      </c>
      <c r="AO32" s="49" t="e">
        <f t="shared" si="7"/>
        <v>#DIV/0!</v>
      </c>
      <c r="AP32" s="50" t="e">
        <f t="shared" si="8"/>
        <v>#DIV/0!</v>
      </c>
      <c r="AQ32" s="51"/>
      <c r="AR32" s="35"/>
      <c r="AS32" s="36">
        <f t="shared" si="9"/>
        <v>1</v>
      </c>
      <c r="AT32" s="26" t="e">
        <f t="shared" si="10"/>
        <v>#DIV/0!</v>
      </c>
      <c r="AU32" s="27"/>
      <c r="AV32" s="104"/>
      <c r="AW32" s="104"/>
      <c r="AX32" s="104"/>
      <c r="AY32" s="104"/>
      <c r="AZ32" s="105"/>
      <c r="BA32" s="105">
        <f t="shared" si="11"/>
        <v>0</v>
      </c>
      <c r="BB32" s="106">
        <f t="shared" si="12"/>
        <v>0</v>
      </c>
    </row>
    <row r="33" spans="1:54" s="12" customFormat="1" ht="39.950000000000003" customHeight="1" thickBot="1">
      <c r="A33" s="74"/>
      <c r="B33" s="74"/>
      <c r="C33" s="74"/>
      <c r="D33" s="74"/>
      <c r="E33" s="74"/>
      <c r="F33" s="143"/>
      <c r="G33" s="38"/>
      <c r="H33" s="52"/>
      <c r="I33" s="123"/>
      <c r="J33" s="17"/>
      <c r="K33" s="17"/>
      <c r="L33" s="39"/>
      <c r="M33" s="45"/>
      <c r="N33" s="41">
        <f t="shared" si="13"/>
        <v>0</v>
      </c>
      <c r="O33" s="19">
        <v>1</v>
      </c>
      <c r="P33" s="20"/>
      <c r="Q33" s="24"/>
      <c r="R33" s="24"/>
      <c r="S33" s="24"/>
      <c r="T33" s="57"/>
      <c r="U33" s="44">
        <f t="shared" si="1"/>
        <v>0</v>
      </c>
      <c r="V33" s="34">
        <f t="shared" si="2"/>
        <v>0</v>
      </c>
      <c r="W33" s="75"/>
      <c r="X33" s="70"/>
      <c r="Y33" s="56"/>
      <c r="Z33" s="56"/>
      <c r="AA33" s="55"/>
      <c r="AB33" s="44" t="e">
        <f t="shared" si="3"/>
        <v>#DIV/0!</v>
      </c>
      <c r="AC33" s="47" t="e">
        <f t="shared" si="4"/>
        <v>#DIV/0!</v>
      </c>
      <c r="AD33" s="23"/>
      <c r="AE33" s="43"/>
      <c r="AF33" s="42"/>
      <c r="AG33" s="43"/>
      <c r="AH33" s="59"/>
      <c r="AI33" s="47">
        <f t="shared" si="5"/>
        <v>0</v>
      </c>
      <c r="AJ33" s="92">
        <f t="shared" si="14"/>
        <v>0</v>
      </c>
      <c r="AK33" s="94"/>
      <c r="AL33" s="97"/>
      <c r="AM33" s="34" t="e">
        <f t="shared" si="6"/>
        <v>#DIV/0!</v>
      </c>
      <c r="AN33" s="48">
        <v>65</v>
      </c>
      <c r="AO33" s="49" t="e">
        <f t="shared" si="7"/>
        <v>#DIV/0!</v>
      </c>
      <c r="AP33" s="50" t="e">
        <f t="shared" si="8"/>
        <v>#DIV/0!</v>
      </c>
      <c r="AQ33" s="51"/>
      <c r="AR33" s="35">
        <v>0</v>
      </c>
      <c r="AS33" s="36">
        <f t="shared" si="9"/>
        <v>1</v>
      </c>
      <c r="AT33" s="26" t="e">
        <f t="shared" si="10"/>
        <v>#DIV/0!</v>
      </c>
      <c r="AU33" s="27"/>
      <c r="AV33" s="104"/>
      <c r="AW33" s="104"/>
      <c r="AX33" s="104"/>
      <c r="AY33" s="104"/>
      <c r="AZ33" s="105"/>
      <c r="BA33" s="105">
        <f t="shared" si="11"/>
        <v>0</v>
      </c>
      <c r="BB33" s="106">
        <f t="shared" si="12"/>
        <v>0</v>
      </c>
    </row>
    <row r="34" spans="1:54" s="12" customFormat="1" ht="39.950000000000003" customHeight="1" thickBot="1">
      <c r="A34" s="74"/>
      <c r="B34" s="74"/>
      <c r="C34" s="74"/>
      <c r="D34" s="74"/>
      <c r="E34" s="74"/>
      <c r="F34" s="143"/>
      <c r="G34" s="38"/>
      <c r="H34" s="52"/>
      <c r="I34" s="123"/>
      <c r="J34" s="17"/>
      <c r="K34" s="17"/>
      <c r="L34" s="39"/>
      <c r="M34" s="45"/>
      <c r="N34" s="41">
        <f t="shared" si="13"/>
        <v>0</v>
      </c>
      <c r="O34" s="19">
        <v>1</v>
      </c>
      <c r="P34" s="77"/>
      <c r="Q34" s="78"/>
      <c r="R34" s="78"/>
      <c r="S34" s="24"/>
      <c r="T34" s="57"/>
      <c r="U34" s="44">
        <f t="shared" si="1"/>
        <v>0</v>
      </c>
      <c r="V34" s="47">
        <f t="shared" si="2"/>
        <v>0</v>
      </c>
      <c r="W34" s="70"/>
      <c r="X34" s="56"/>
      <c r="Y34" s="56"/>
      <c r="Z34" s="56"/>
      <c r="AA34" s="55"/>
      <c r="AB34" s="44" t="e">
        <f t="shared" si="3"/>
        <v>#DIV/0!</v>
      </c>
      <c r="AC34" s="47" t="e">
        <f t="shared" si="4"/>
        <v>#DIV/0!</v>
      </c>
      <c r="AD34" s="23"/>
      <c r="AE34" s="43"/>
      <c r="AF34" s="43"/>
      <c r="AG34" s="43"/>
      <c r="AH34" s="59"/>
      <c r="AI34" s="47">
        <f t="shared" si="5"/>
        <v>0</v>
      </c>
      <c r="AJ34" s="92">
        <f t="shared" si="14"/>
        <v>0</v>
      </c>
      <c r="AK34" s="94"/>
      <c r="AL34" s="97"/>
      <c r="AM34" s="34" t="e">
        <f t="shared" si="6"/>
        <v>#DIV/0!</v>
      </c>
      <c r="AN34" s="48">
        <v>65</v>
      </c>
      <c r="AO34" s="49" t="e">
        <f t="shared" si="7"/>
        <v>#DIV/0!</v>
      </c>
      <c r="AP34" s="50" t="e">
        <f t="shared" si="8"/>
        <v>#DIV/0!</v>
      </c>
      <c r="AQ34" s="51"/>
      <c r="AR34" s="35">
        <v>0</v>
      </c>
      <c r="AS34" s="36">
        <f t="shared" si="9"/>
        <v>1</v>
      </c>
      <c r="AT34" s="26" t="e">
        <f t="shared" si="10"/>
        <v>#DIV/0!</v>
      </c>
      <c r="AU34" s="27"/>
      <c r="AV34" s="104"/>
      <c r="AW34" s="104"/>
      <c r="AX34" s="104"/>
      <c r="AY34" s="104"/>
      <c r="AZ34" s="105"/>
      <c r="BA34" s="105">
        <f t="shared" si="11"/>
        <v>0</v>
      </c>
      <c r="BB34" s="106">
        <f t="shared" si="12"/>
        <v>0</v>
      </c>
    </row>
    <row r="35" spans="1:54" s="12" customFormat="1" ht="39.950000000000003" customHeight="1" thickBot="1">
      <c r="A35" s="74"/>
      <c r="B35" s="74"/>
      <c r="C35" s="74"/>
      <c r="D35" s="74"/>
      <c r="E35" s="74"/>
      <c r="F35" s="143"/>
      <c r="G35" s="38"/>
      <c r="H35" s="52"/>
      <c r="I35" s="123"/>
      <c r="J35" s="17"/>
      <c r="K35" s="17"/>
      <c r="L35" s="39"/>
      <c r="M35" s="45"/>
      <c r="N35" s="41">
        <f t="shared" si="13"/>
        <v>0</v>
      </c>
      <c r="O35" s="19">
        <v>1</v>
      </c>
      <c r="P35" s="24"/>
      <c r="Q35" s="24"/>
      <c r="R35" s="24"/>
      <c r="S35" s="24"/>
      <c r="T35" s="57"/>
      <c r="U35" s="44">
        <f t="shared" si="1"/>
        <v>0</v>
      </c>
      <c r="V35" s="47">
        <f t="shared" si="2"/>
        <v>0</v>
      </c>
      <c r="W35" s="64"/>
      <c r="X35" s="62"/>
      <c r="Y35" s="62"/>
      <c r="Z35" s="56"/>
      <c r="AA35" s="55"/>
      <c r="AB35" s="44" t="e">
        <f t="shared" si="3"/>
        <v>#DIV/0!</v>
      </c>
      <c r="AC35" s="47" t="e">
        <f t="shared" si="4"/>
        <v>#DIV/0!</v>
      </c>
      <c r="AD35" s="23"/>
      <c r="AE35" s="24"/>
      <c r="AF35" s="42"/>
      <c r="AG35" s="43"/>
      <c r="AH35" s="59"/>
      <c r="AI35" s="47">
        <f t="shared" si="5"/>
        <v>0</v>
      </c>
      <c r="AJ35" s="92">
        <f t="shared" si="14"/>
        <v>0</v>
      </c>
      <c r="AK35" s="94"/>
      <c r="AL35" s="97"/>
      <c r="AM35" s="34" t="e">
        <f t="shared" si="6"/>
        <v>#DIV/0!</v>
      </c>
      <c r="AN35" s="48">
        <v>65</v>
      </c>
      <c r="AO35" s="49" t="e">
        <f t="shared" si="7"/>
        <v>#DIV/0!</v>
      </c>
      <c r="AP35" s="50" t="e">
        <f t="shared" si="8"/>
        <v>#DIV/0!</v>
      </c>
      <c r="AQ35" s="51"/>
      <c r="AR35" s="35">
        <v>0</v>
      </c>
      <c r="AS35" s="36">
        <f t="shared" si="9"/>
        <v>1</v>
      </c>
      <c r="AT35" s="26" t="e">
        <f t="shared" si="10"/>
        <v>#DIV/0!</v>
      </c>
      <c r="AU35" s="27"/>
      <c r="AV35" s="104"/>
      <c r="AW35" s="104"/>
      <c r="AX35" s="104"/>
      <c r="AY35" s="104"/>
      <c r="AZ35" s="105"/>
      <c r="BA35" s="105">
        <f t="shared" si="11"/>
        <v>0</v>
      </c>
      <c r="BB35" s="106">
        <f t="shared" si="12"/>
        <v>0</v>
      </c>
    </row>
    <row r="36" spans="1:54" s="12" customFormat="1" ht="39.950000000000003" customHeight="1" thickBot="1">
      <c r="A36" s="74"/>
      <c r="B36" s="74"/>
      <c r="C36" s="74"/>
      <c r="D36" s="74"/>
      <c r="E36" s="74"/>
      <c r="F36" s="143"/>
      <c r="G36" s="38"/>
      <c r="H36" s="52"/>
      <c r="I36" s="123"/>
      <c r="J36" s="17"/>
      <c r="K36" s="17"/>
      <c r="L36" s="39"/>
      <c r="M36" s="45"/>
      <c r="N36" s="18">
        <f t="shared" si="13"/>
        <v>0</v>
      </c>
      <c r="O36" s="19">
        <v>1</v>
      </c>
      <c r="P36" s="77"/>
      <c r="Q36" s="78"/>
      <c r="R36" s="78"/>
      <c r="S36" s="24"/>
      <c r="T36" s="57"/>
      <c r="U36" s="25">
        <f t="shared" si="1"/>
        <v>0</v>
      </c>
      <c r="V36" s="19">
        <f t="shared" si="2"/>
        <v>0</v>
      </c>
      <c r="W36" s="22"/>
      <c r="X36" s="56"/>
      <c r="Y36" s="62"/>
      <c r="Z36" s="56"/>
      <c r="AA36" s="55"/>
      <c r="AB36" s="44" t="e">
        <f t="shared" si="3"/>
        <v>#DIV/0!</v>
      </c>
      <c r="AC36" s="47" t="e">
        <f t="shared" si="4"/>
        <v>#DIV/0!</v>
      </c>
      <c r="AD36" s="23"/>
      <c r="AE36" s="43"/>
      <c r="AF36" s="42"/>
      <c r="AG36" s="43"/>
      <c r="AH36" s="59"/>
      <c r="AI36" s="47">
        <f t="shared" si="5"/>
        <v>0</v>
      </c>
      <c r="AJ36" s="92">
        <f t="shared" si="14"/>
        <v>0</v>
      </c>
      <c r="AK36" s="94"/>
      <c r="AL36" s="97"/>
      <c r="AM36" s="34" t="e">
        <f t="shared" si="6"/>
        <v>#DIV/0!</v>
      </c>
      <c r="AN36" s="48">
        <v>65</v>
      </c>
      <c r="AO36" s="49" t="e">
        <f t="shared" si="7"/>
        <v>#DIV/0!</v>
      </c>
      <c r="AP36" s="50"/>
      <c r="AQ36" s="51"/>
      <c r="AR36" s="35"/>
      <c r="AS36" s="36"/>
      <c r="AT36" s="26"/>
      <c r="AU36" s="27"/>
      <c r="AV36" s="104"/>
      <c r="AW36" s="104"/>
      <c r="AX36" s="104"/>
      <c r="AY36" s="104"/>
      <c r="AZ36" s="105"/>
      <c r="BA36" s="105">
        <f t="shared" si="11"/>
        <v>0</v>
      </c>
      <c r="BB36" s="106">
        <f t="shared" si="12"/>
        <v>0</v>
      </c>
    </row>
    <row r="37" spans="1:54" s="12" customFormat="1" ht="39.950000000000003" customHeight="1" thickBot="1">
      <c r="A37" s="74"/>
      <c r="B37" s="74"/>
      <c r="C37" s="74"/>
      <c r="D37" s="74"/>
      <c r="E37" s="74"/>
      <c r="F37" s="143"/>
      <c r="G37" s="38"/>
      <c r="H37" s="52"/>
      <c r="I37" s="123"/>
      <c r="J37" s="17"/>
      <c r="K37" s="17"/>
      <c r="L37" s="39"/>
      <c r="M37" s="45"/>
      <c r="N37" s="41">
        <f t="shared" si="13"/>
        <v>0</v>
      </c>
      <c r="O37" s="19">
        <v>1</v>
      </c>
      <c r="P37" s="20"/>
      <c r="Q37" s="24"/>
      <c r="R37" s="24"/>
      <c r="S37" s="24"/>
      <c r="T37" s="57"/>
      <c r="U37" s="44">
        <f t="shared" si="1"/>
        <v>0</v>
      </c>
      <c r="V37" s="34">
        <f t="shared" si="2"/>
        <v>0</v>
      </c>
      <c r="W37" s="22"/>
      <c r="X37" s="70"/>
      <c r="Y37" s="56"/>
      <c r="Z37" s="56"/>
      <c r="AA37" s="55"/>
      <c r="AB37" s="44" t="e">
        <f t="shared" si="3"/>
        <v>#DIV/0!</v>
      </c>
      <c r="AC37" s="47" t="e">
        <f t="shared" si="4"/>
        <v>#DIV/0!</v>
      </c>
      <c r="AD37" s="23"/>
      <c r="AE37" s="34"/>
      <c r="AF37" s="43"/>
      <c r="AG37" s="43"/>
      <c r="AH37" s="59"/>
      <c r="AI37" s="47">
        <f t="shared" si="5"/>
        <v>0</v>
      </c>
      <c r="AJ37" s="92">
        <f t="shared" si="14"/>
        <v>0</v>
      </c>
      <c r="AK37" s="94"/>
      <c r="AL37" s="97"/>
      <c r="AM37" s="34" t="e">
        <f t="shared" si="6"/>
        <v>#DIV/0!</v>
      </c>
      <c r="AN37" s="48">
        <v>65</v>
      </c>
      <c r="AO37" s="49" t="e">
        <f t="shared" si="7"/>
        <v>#DIV/0!</v>
      </c>
      <c r="AP37" s="50" t="e">
        <f>-((70-((264+(65+(30-AM37)))))/300)</f>
        <v>#DIV/0!</v>
      </c>
      <c r="AQ37" s="51"/>
      <c r="AR37" s="35">
        <v>0</v>
      </c>
      <c r="AS37" s="36">
        <f>100%+AR37</f>
        <v>1</v>
      </c>
      <c r="AT37" s="26" t="e">
        <f>ROUNDUP($D$2*AP37*AS37,-3)</f>
        <v>#DIV/0!</v>
      </c>
      <c r="AU37" s="27"/>
      <c r="AV37" s="104"/>
      <c r="AW37" s="104"/>
      <c r="AX37" s="104"/>
      <c r="AY37" s="104"/>
      <c r="AZ37" s="105"/>
      <c r="BA37" s="105">
        <f t="shared" si="11"/>
        <v>0</v>
      </c>
      <c r="BB37" s="106">
        <f t="shared" si="12"/>
        <v>0</v>
      </c>
    </row>
    <row r="38" spans="1:54" s="12" customFormat="1" ht="39.950000000000003" customHeight="1" thickBot="1">
      <c r="A38" s="74"/>
      <c r="B38" s="74"/>
      <c r="C38" s="74"/>
      <c r="D38" s="74"/>
      <c r="E38" s="74"/>
      <c r="F38" s="74"/>
      <c r="G38" s="125"/>
      <c r="H38" s="52"/>
      <c r="I38" s="123"/>
      <c r="J38" s="17"/>
      <c r="K38" s="17"/>
      <c r="L38" s="39"/>
      <c r="M38" s="40"/>
      <c r="N38" s="41">
        <f t="shared" si="13"/>
        <v>0</v>
      </c>
      <c r="O38" s="47">
        <v>1</v>
      </c>
      <c r="P38" s="77"/>
      <c r="Q38" s="78"/>
      <c r="R38" s="78"/>
      <c r="S38" s="43"/>
      <c r="T38" s="57"/>
      <c r="U38" s="44">
        <f t="shared" si="1"/>
        <v>0</v>
      </c>
      <c r="V38" s="47">
        <f t="shared" si="2"/>
        <v>0</v>
      </c>
      <c r="W38" s="70"/>
      <c r="X38" s="70"/>
      <c r="Y38" s="64"/>
      <c r="Z38" s="63"/>
      <c r="AA38" s="109"/>
      <c r="AB38" s="44" t="e">
        <f t="shared" si="3"/>
        <v>#DIV/0!</v>
      </c>
      <c r="AC38" s="47" t="e">
        <f t="shared" si="4"/>
        <v>#DIV/0!</v>
      </c>
      <c r="AD38" s="34"/>
      <c r="AE38" s="24"/>
      <c r="AF38" s="24"/>
      <c r="AG38" s="43"/>
      <c r="AH38" s="59"/>
      <c r="AI38" s="47">
        <f t="shared" si="5"/>
        <v>0</v>
      </c>
      <c r="AJ38" s="92">
        <f t="shared" si="14"/>
        <v>0</v>
      </c>
      <c r="AK38" s="94"/>
      <c r="AL38" s="97"/>
      <c r="AM38" s="34" t="e">
        <f t="shared" si="6"/>
        <v>#DIV/0!</v>
      </c>
      <c r="AN38" s="48">
        <v>65</v>
      </c>
      <c r="AO38" s="49" t="e">
        <f t="shared" si="7"/>
        <v>#DIV/0!</v>
      </c>
      <c r="AP38" s="50" t="e">
        <f>-((70-((264+(65+(30-AM38)))))/300)</f>
        <v>#DIV/0!</v>
      </c>
      <c r="AQ38" s="51"/>
      <c r="AR38" s="35">
        <v>0</v>
      </c>
      <c r="AS38" s="36">
        <f>100%+AR38</f>
        <v>1</v>
      </c>
      <c r="AT38" s="26" t="e">
        <f>ROUNDUP($D$2*AP38*AS38,-3)</f>
        <v>#DIV/0!</v>
      </c>
      <c r="AU38" s="27"/>
      <c r="AV38" s="104"/>
      <c r="AW38" s="104"/>
      <c r="AX38" s="104"/>
      <c r="AY38" s="104"/>
      <c r="AZ38" s="105"/>
      <c r="BA38" s="105">
        <f t="shared" si="11"/>
        <v>0</v>
      </c>
      <c r="BB38" s="106">
        <f t="shared" si="12"/>
        <v>0</v>
      </c>
    </row>
    <row r="39" spans="1:54" s="12" customFormat="1" ht="39.950000000000003" customHeight="1" thickBot="1">
      <c r="A39" s="74"/>
      <c r="B39" s="74"/>
      <c r="C39" s="74"/>
      <c r="D39" s="74"/>
      <c r="E39" s="74"/>
      <c r="F39" s="143"/>
      <c r="G39" s="38"/>
      <c r="H39" s="52"/>
      <c r="I39" s="123"/>
      <c r="J39" s="17"/>
      <c r="K39" s="17"/>
      <c r="L39" s="39"/>
      <c r="M39" s="45"/>
      <c r="N39" s="41">
        <f t="shared" si="13"/>
        <v>0</v>
      </c>
      <c r="O39" s="19">
        <v>1</v>
      </c>
      <c r="P39" s="20"/>
      <c r="Q39" s="24"/>
      <c r="R39" s="54"/>
      <c r="S39" s="24"/>
      <c r="T39" s="57"/>
      <c r="U39" s="44">
        <f t="shared" si="1"/>
        <v>0</v>
      </c>
      <c r="V39" s="47">
        <f t="shared" si="2"/>
        <v>0</v>
      </c>
      <c r="W39" s="22"/>
      <c r="X39" s="56"/>
      <c r="Y39" s="56"/>
      <c r="Z39" s="56"/>
      <c r="AA39" s="55"/>
      <c r="AB39" s="44" t="e">
        <f t="shared" si="3"/>
        <v>#DIV/0!</v>
      </c>
      <c r="AC39" s="47" t="e">
        <f t="shared" si="4"/>
        <v>#DIV/0!</v>
      </c>
      <c r="AD39" s="42"/>
      <c r="AE39" s="24"/>
      <c r="AF39" s="24"/>
      <c r="AG39" s="43"/>
      <c r="AH39" s="59"/>
      <c r="AI39" s="47">
        <f t="shared" si="5"/>
        <v>0</v>
      </c>
      <c r="AJ39" s="92">
        <f t="shared" si="14"/>
        <v>0</v>
      </c>
      <c r="AK39" s="94"/>
      <c r="AL39" s="97"/>
      <c r="AM39" s="34" t="e">
        <f t="shared" si="6"/>
        <v>#DIV/0!</v>
      </c>
      <c r="AN39" s="48">
        <v>65</v>
      </c>
      <c r="AO39" s="49" t="e">
        <f t="shared" si="7"/>
        <v>#DIV/0!</v>
      </c>
      <c r="AP39" s="50" t="e">
        <f>-((70-((264+(65+(30-AM39)))))/300)</f>
        <v>#DIV/0!</v>
      </c>
      <c r="AQ39" s="51"/>
      <c r="AR39" s="35">
        <v>0</v>
      </c>
      <c r="AS39" s="36">
        <f>100%+AR39</f>
        <v>1</v>
      </c>
      <c r="AT39" s="26" t="e">
        <f>ROUNDUP($D$2*AP39*AS39,-3)</f>
        <v>#DIV/0!</v>
      </c>
      <c r="AU39" s="27"/>
      <c r="AV39" s="104"/>
      <c r="AW39" s="104"/>
      <c r="AX39" s="104"/>
      <c r="AY39" s="104"/>
      <c r="AZ39" s="105"/>
      <c r="BA39" s="105">
        <f t="shared" si="11"/>
        <v>0</v>
      </c>
      <c r="BB39" s="106">
        <f t="shared" si="12"/>
        <v>0</v>
      </c>
    </row>
    <row r="40" spans="1:54" s="12" customFormat="1" ht="39.950000000000003" customHeight="1" thickBot="1">
      <c r="A40" s="74"/>
      <c r="B40" s="74"/>
      <c r="C40" s="74"/>
      <c r="D40" s="74"/>
      <c r="E40" s="74"/>
      <c r="F40" s="143"/>
      <c r="G40" s="38"/>
      <c r="H40" s="52"/>
      <c r="I40" s="123"/>
      <c r="J40" s="17"/>
      <c r="K40" s="17"/>
      <c r="L40" s="39"/>
      <c r="M40" s="45"/>
      <c r="N40" s="18">
        <f t="shared" si="13"/>
        <v>0</v>
      </c>
      <c r="O40" s="19">
        <v>1</v>
      </c>
      <c r="P40" s="77"/>
      <c r="Q40" s="78"/>
      <c r="R40" s="78"/>
      <c r="S40" s="24"/>
      <c r="T40" s="57"/>
      <c r="U40" s="25">
        <f t="shared" si="1"/>
        <v>0</v>
      </c>
      <c r="V40" s="19">
        <f t="shared" si="2"/>
        <v>0</v>
      </c>
      <c r="W40" s="70"/>
      <c r="X40" s="70"/>
      <c r="Y40" s="71"/>
      <c r="Z40" s="56"/>
      <c r="AA40" s="55"/>
      <c r="AB40" s="44" t="e">
        <f t="shared" si="3"/>
        <v>#DIV/0!</v>
      </c>
      <c r="AC40" s="47" t="e">
        <f t="shared" si="4"/>
        <v>#DIV/0!</v>
      </c>
      <c r="AD40" s="23"/>
      <c r="AE40" s="24"/>
      <c r="AF40" s="24"/>
      <c r="AG40" s="43"/>
      <c r="AH40" s="59"/>
      <c r="AI40" s="47">
        <f t="shared" si="5"/>
        <v>0</v>
      </c>
      <c r="AJ40" s="92">
        <f t="shared" si="14"/>
        <v>0</v>
      </c>
      <c r="AK40" s="94"/>
      <c r="AL40" s="97"/>
      <c r="AM40" s="34" t="e">
        <f t="shared" si="6"/>
        <v>#DIV/0!</v>
      </c>
      <c r="AN40" s="48">
        <v>65</v>
      </c>
      <c r="AO40" s="49" t="e">
        <f t="shared" si="7"/>
        <v>#DIV/0!</v>
      </c>
      <c r="AP40" s="50"/>
      <c r="AQ40" s="51"/>
      <c r="AR40" s="35"/>
      <c r="AS40" s="36"/>
      <c r="AT40" s="26"/>
      <c r="AU40" s="27"/>
      <c r="AV40" s="104"/>
      <c r="AW40" s="104"/>
      <c r="AX40" s="104"/>
      <c r="AY40" s="104"/>
      <c r="AZ40" s="105"/>
      <c r="BA40" s="105">
        <f t="shared" si="11"/>
        <v>0</v>
      </c>
      <c r="BB40" s="106">
        <f t="shared" si="12"/>
        <v>0</v>
      </c>
    </row>
    <row r="41" spans="1:54" s="12" customFormat="1" ht="39.950000000000003" customHeight="1" thickBot="1">
      <c r="A41" s="74"/>
      <c r="B41" s="74"/>
      <c r="C41" s="74"/>
      <c r="D41" s="74"/>
      <c r="E41" s="74"/>
      <c r="F41" s="143"/>
      <c r="G41" s="38"/>
      <c r="H41" s="52"/>
      <c r="I41" s="123"/>
      <c r="J41" s="17"/>
      <c r="K41" s="17"/>
      <c r="L41" s="39"/>
      <c r="M41" s="45"/>
      <c r="N41" s="18">
        <f t="shared" si="13"/>
        <v>0</v>
      </c>
      <c r="O41" s="19">
        <v>1</v>
      </c>
      <c r="P41" s="20"/>
      <c r="Q41" s="78"/>
      <c r="R41" s="78"/>
      <c r="S41" s="24"/>
      <c r="T41" s="57"/>
      <c r="U41" s="25">
        <f t="shared" si="1"/>
        <v>0</v>
      </c>
      <c r="V41" s="19">
        <f t="shared" si="2"/>
        <v>0</v>
      </c>
      <c r="W41" s="22"/>
      <c r="X41" s="56"/>
      <c r="Y41" s="56"/>
      <c r="Z41" s="56"/>
      <c r="AA41" s="55"/>
      <c r="AB41" s="44" t="e">
        <f t="shared" si="3"/>
        <v>#DIV/0!</v>
      </c>
      <c r="AC41" s="47" t="e">
        <f t="shared" si="4"/>
        <v>#DIV/0!</v>
      </c>
      <c r="AD41" s="34"/>
      <c r="AE41" s="24"/>
      <c r="AF41" s="42"/>
      <c r="AG41" s="43"/>
      <c r="AH41" s="59"/>
      <c r="AI41" s="47">
        <f t="shared" si="5"/>
        <v>0</v>
      </c>
      <c r="AJ41" s="92">
        <f t="shared" si="14"/>
        <v>0</v>
      </c>
      <c r="AK41" s="94"/>
      <c r="AL41" s="97"/>
      <c r="AM41" s="34" t="e">
        <f t="shared" si="6"/>
        <v>#DIV/0!</v>
      </c>
      <c r="AN41" s="48">
        <v>65</v>
      </c>
      <c r="AO41" s="49" t="e">
        <f t="shared" si="7"/>
        <v>#DIV/0!</v>
      </c>
      <c r="AP41" s="50" t="e">
        <f>-((70-((264+(65+(30-AM41)))))/300)</f>
        <v>#DIV/0!</v>
      </c>
      <c r="AQ41" s="51"/>
      <c r="AR41" s="35">
        <v>0</v>
      </c>
      <c r="AS41" s="36">
        <f>100%+AR41</f>
        <v>1</v>
      </c>
      <c r="AT41" s="26" t="e">
        <f>ROUNDUP($D$2*AP41*AS41,-3)</f>
        <v>#DIV/0!</v>
      </c>
      <c r="AU41" s="27"/>
      <c r="AV41" s="104"/>
      <c r="AW41" s="104"/>
      <c r="AX41" s="104"/>
      <c r="AY41" s="104"/>
      <c r="AZ41" s="105"/>
      <c r="BA41" s="105">
        <f t="shared" si="11"/>
        <v>0</v>
      </c>
      <c r="BB41" s="106">
        <f t="shared" si="12"/>
        <v>0</v>
      </c>
    </row>
    <row r="42" spans="1:54" s="12" customFormat="1" ht="39.950000000000003" customHeight="1" thickBot="1">
      <c r="A42" s="74"/>
      <c r="B42" s="74"/>
      <c r="C42" s="74"/>
      <c r="D42" s="74"/>
      <c r="E42" s="74"/>
      <c r="F42" s="74"/>
      <c r="G42" s="38"/>
      <c r="H42" s="52"/>
      <c r="I42" s="123"/>
      <c r="J42" s="17"/>
      <c r="K42" s="17"/>
      <c r="L42" s="39"/>
      <c r="M42" s="45"/>
      <c r="N42" s="41">
        <f t="shared" si="13"/>
        <v>0</v>
      </c>
      <c r="O42" s="47">
        <v>1</v>
      </c>
      <c r="P42" s="77"/>
      <c r="Q42" s="78"/>
      <c r="R42" s="78"/>
      <c r="S42" s="24"/>
      <c r="T42" s="57"/>
      <c r="U42" s="44">
        <f t="shared" si="1"/>
        <v>0</v>
      </c>
      <c r="V42" s="47">
        <f t="shared" si="2"/>
        <v>0</v>
      </c>
      <c r="W42" s="64"/>
      <c r="X42" s="70"/>
      <c r="Y42" s="70"/>
      <c r="Z42" s="56"/>
      <c r="AA42" s="55"/>
      <c r="AB42" s="44" t="e">
        <f t="shared" si="3"/>
        <v>#DIV/0!</v>
      </c>
      <c r="AC42" s="47" t="e">
        <f t="shared" si="4"/>
        <v>#DIV/0!</v>
      </c>
      <c r="AD42" s="23"/>
      <c r="AE42" s="24"/>
      <c r="AF42" s="24"/>
      <c r="AG42" s="43"/>
      <c r="AH42" s="59"/>
      <c r="AI42" s="47">
        <f t="shared" si="5"/>
        <v>0</v>
      </c>
      <c r="AJ42" s="92">
        <f t="shared" si="14"/>
        <v>0</v>
      </c>
      <c r="AK42" s="94"/>
      <c r="AL42" s="97"/>
      <c r="AM42" s="34" t="e">
        <f t="shared" si="6"/>
        <v>#DIV/0!</v>
      </c>
      <c r="AN42" s="48">
        <v>65</v>
      </c>
      <c r="AO42" s="49" t="e">
        <f t="shared" si="7"/>
        <v>#DIV/0!</v>
      </c>
      <c r="AP42" s="50" t="e">
        <f>-((70-((264+(65+(30-AM42)))))/300)</f>
        <v>#DIV/0!</v>
      </c>
      <c r="AQ42" s="51"/>
      <c r="AR42" s="35">
        <v>0</v>
      </c>
      <c r="AS42" s="36">
        <f>100%+AR42</f>
        <v>1</v>
      </c>
      <c r="AT42" s="26" t="e">
        <f>ROUNDUP($D$2*AP42*AS42,-3)</f>
        <v>#DIV/0!</v>
      </c>
      <c r="AU42" s="27"/>
      <c r="AV42" s="104"/>
      <c r="AW42" s="104"/>
      <c r="AX42" s="104"/>
      <c r="AY42" s="104"/>
      <c r="AZ42" s="105"/>
      <c r="BA42" s="105">
        <f t="shared" si="11"/>
        <v>0</v>
      </c>
      <c r="BB42" s="106">
        <f t="shared" si="12"/>
        <v>0</v>
      </c>
    </row>
    <row r="43" spans="1:54" s="12" customFormat="1" ht="39.950000000000003" customHeight="1" thickBot="1">
      <c r="A43" s="74"/>
      <c r="B43" s="74"/>
      <c r="C43" s="74"/>
      <c r="D43" s="74"/>
      <c r="E43" s="74"/>
      <c r="F43" s="143"/>
      <c r="G43" s="38"/>
      <c r="H43" s="52"/>
      <c r="I43" s="123"/>
      <c r="J43" s="17"/>
      <c r="K43" s="17"/>
      <c r="L43" s="39"/>
      <c r="M43" s="45"/>
      <c r="N43" s="18">
        <f t="shared" si="13"/>
        <v>0</v>
      </c>
      <c r="O43" s="19">
        <v>1</v>
      </c>
      <c r="P43" s="20"/>
      <c r="Q43" s="78"/>
      <c r="R43" s="78"/>
      <c r="S43" s="24"/>
      <c r="T43" s="57"/>
      <c r="U43" s="25">
        <f t="shared" si="1"/>
        <v>0</v>
      </c>
      <c r="V43" s="19">
        <f t="shared" si="2"/>
        <v>0</v>
      </c>
      <c r="W43" s="22"/>
      <c r="X43" s="70"/>
      <c r="Y43" s="64"/>
      <c r="Z43" s="56"/>
      <c r="AA43" s="55"/>
      <c r="AB43" s="44" t="e">
        <f t="shared" si="3"/>
        <v>#DIV/0!</v>
      </c>
      <c r="AC43" s="47" t="e">
        <f t="shared" si="4"/>
        <v>#DIV/0!</v>
      </c>
      <c r="AD43" s="42"/>
      <c r="AE43" s="24"/>
      <c r="AF43" s="24"/>
      <c r="AG43" s="43"/>
      <c r="AH43" s="59"/>
      <c r="AI43" s="47">
        <f t="shared" si="5"/>
        <v>0</v>
      </c>
      <c r="AJ43" s="92">
        <f t="shared" si="14"/>
        <v>0</v>
      </c>
      <c r="AK43" s="94"/>
      <c r="AL43" s="97"/>
      <c r="AM43" s="34" t="e">
        <f t="shared" si="6"/>
        <v>#DIV/0!</v>
      </c>
      <c r="AN43" s="48">
        <v>65</v>
      </c>
      <c r="AO43" s="49" t="e">
        <f t="shared" si="7"/>
        <v>#DIV/0!</v>
      </c>
      <c r="AP43" s="50" t="e">
        <f>-((70-((264+(65+(30-AM43)))))/300)</f>
        <v>#DIV/0!</v>
      </c>
      <c r="AQ43" s="51"/>
      <c r="AR43" s="35">
        <v>0</v>
      </c>
      <c r="AS43" s="36">
        <f>100%+AR43</f>
        <v>1</v>
      </c>
      <c r="AT43" s="26" t="e">
        <f>ROUNDUP($D$2*AP43*AS43,-3)</f>
        <v>#DIV/0!</v>
      </c>
      <c r="AU43" s="27"/>
      <c r="AV43" s="104"/>
      <c r="AW43" s="104"/>
      <c r="AX43" s="104"/>
      <c r="AY43" s="104"/>
      <c r="AZ43" s="105"/>
      <c r="BA43" s="105">
        <f t="shared" si="11"/>
        <v>0</v>
      </c>
      <c r="BB43" s="106">
        <f t="shared" si="12"/>
        <v>0</v>
      </c>
    </row>
    <row r="44" spans="1:54" s="12" customFormat="1" ht="39.950000000000003" customHeight="1" thickBot="1">
      <c r="A44" s="74"/>
      <c r="B44" s="74"/>
      <c r="C44" s="74"/>
      <c r="D44" s="74"/>
      <c r="E44" s="74"/>
      <c r="F44" s="143"/>
      <c r="G44" s="38"/>
      <c r="H44" s="52"/>
      <c r="I44" s="123"/>
      <c r="J44" s="17"/>
      <c r="K44" s="17"/>
      <c r="L44" s="39"/>
      <c r="M44" s="45"/>
      <c r="N44" s="18">
        <f t="shared" si="13"/>
        <v>0</v>
      </c>
      <c r="O44" s="19">
        <v>1</v>
      </c>
      <c r="P44" s="20"/>
      <c r="Q44" s="78"/>
      <c r="R44" s="43"/>
      <c r="S44" s="24"/>
      <c r="T44" s="57"/>
      <c r="U44" s="25">
        <f t="shared" si="1"/>
        <v>0</v>
      </c>
      <c r="V44" s="19">
        <f t="shared" si="2"/>
        <v>0</v>
      </c>
      <c r="W44" s="69"/>
      <c r="X44" s="56"/>
      <c r="Y44" s="56"/>
      <c r="Z44" s="56"/>
      <c r="AA44" s="55"/>
      <c r="AB44" s="44" t="e">
        <f t="shared" si="3"/>
        <v>#DIV/0!</v>
      </c>
      <c r="AC44" s="47"/>
      <c r="AD44" s="21"/>
      <c r="AE44" s="43"/>
      <c r="AF44" s="42"/>
      <c r="AG44" s="43"/>
      <c r="AH44" s="59"/>
      <c r="AI44" s="47">
        <f t="shared" si="5"/>
        <v>0</v>
      </c>
      <c r="AJ44" s="92">
        <f t="shared" si="14"/>
        <v>0</v>
      </c>
      <c r="AK44" s="94"/>
      <c r="AL44" s="97"/>
      <c r="AM44" s="34">
        <f t="shared" si="6"/>
        <v>0</v>
      </c>
      <c r="AN44" s="48"/>
      <c r="AO44" s="49">
        <f t="shared" si="7"/>
        <v>0</v>
      </c>
      <c r="AP44" s="50"/>
      <c r="AQ44" s="51"/>
      <c r="AR44" s="35"/>
      <c r="AS44" s="36"/>
      <c r="AT44" s="26"/>
      <c r="AU44" s="27"/>
      <c r="AV44" s="104"/>
      <c r="AW44" s="104"/>
      <c r="AX44" s="104"/>
      <c r="AY44" s="104"/>
      <c r="AZ44" s="105"/>
      <c r="BA44" s="105">
        <f t="shared" si="11"/>
        <v>0</v>
      </c>
      <c r="BB44" s="106">
        <f t="shared" si="12"/>
        <v>0</v>
      </c>
    </row>
    <row r="45" spans="1:54" s="12" customFormat="1" ht="39.950000000000003" customHeight="1" thickBot="1">
      <c r="A45" s="74"/>
      <c r="B45" s="74"/>
      <c r="C45" s="74"/>
      <c r="D45" s="74"/>
      <c r="E45" s="74"/>
      <c r="F45" s="143"/>
      <c r="G45" s="38"/>
      <c r="H45" s="52"/>
      <c r="I45" s="123"/>
      <c r="J45" s="17"/>
      <c r="K45" s="17"/>
      <c r="L45" s="39"/>
      <c r="M45" s="45"/>
      <c r="N45" s="18">
        <f t="shared" si="13"/>
        <v>0</v>
      </c>
      <c r="O45" s="19">
        <v>1</v>
      </c>
      <c r="P45" s="20"/>
      <c r="Q45" s="78"/>
      <c r="R45" s="24"/>
      <c r="S45" s="24"/>
      <c r="T45" s="57"/>
      <c r="U45" s="44">
        <f t="shared" si="1"/>
        <v>0</v>
      </c>
      <c r="V45" s="34">
        <f t="shared" si="2"/>
        <v>0</v>
      </c>
      <c r="W45" s="22"/>
      <c r="X45" s="71"/>
      <c r="Y45" s="56"/>
      <c r="Z45" s="56"/>
      <c r="AA45" s="55"/>
      <c r="AB45" s="44" t="e">
        <f t="shared" si="3"/>
        <v>#DIV/0!</v>
      </c>
      <c r="AC45" s="47" t="e">
        <f t="shared" ref="AC45:AC53" si="15">IF(AB45&gt;=10,10,AB45)</f>
        <v>#DIV/0!</v>
      </c>
      <c r="AD45" s="23"/>
      <c r="AE45" s="43"/>
      <c r="AF45" s="42"/>
      <c r="AG45" s="43"/>
      <c r="AH45" s="59"/>
      <c r="AI45" s="47">
        <f t="shared" si="5"/>
        <v>0</v>
      </c>
      <c r="AJ45" s="92">
        <f t="shared" si="14"/>
        <v>0</v>
      </c>
      <c r="AK45" s="94"/>
      <c r="AL45" s="97"/>
      <c r="AM45" s="34" t="e">
        <f t="shared" si="6"/>
        <v>#DIV/0!</v>
      </c>
      <c r="AN45" s="48">
        <v>65</v>
      </c>
      <c r="AO45" s="49" t="e">
        <f t="shared" si="7"/>
        <v>#DIV/0!</v>
      </c>
      <c r="AP45" s="50" t="e">
        <f t="shared" ref="AP45:AP53" si="16">-((70-((264+(65+(30-AM45)))))/300)</f>
        <v>#DIV/0!</v>
      </c>
      <c r="AQ45" s="51"/>
      <c r="AR45" s="35">
        <v>0</v>
      </c>
      <c r="AS45" s="36">
        <f t="shared" ref="AS45:AS53" si="17">100%+AR45</f>
        <v>1</v>
      </c>
      <c r="AT45" s="26" t="e">
        <f t="shared" ref="AT45:AT53" si="18">ROUNDUP($D$2*AP45*AS45,-3)</f>
        <v>#DIV/0!</v>
      </c>
      <c r="AU45" s="27"/>
      <c r="AV45" s="104"/>
      <c r="AW45" s="104"/>
      <c r="AX45" s="104"/>
      <c r="AY45" s="104"/>
      <c r="AZ45" s="105"/>
      <c r="BA45" s="105">
        <f t="shared" si="11"/>
        <v>0</v>
      </c>
      <c r="BB45" s="106">
        <f t="shared" si="12"/>
        <v>0</v>
      </c>
    </row>
    <row r="46" spans="1:54" s="12" customFormat="1" ht="39.950000000000003" customHeight="1" thickBot="1">
      <c r="A46" s="74"/>
      <c r="B46" s="74"/>
      <c r="C46" s="74"/>
      <c r="D46" s="74"/>
      <c r="E46" s="74"/>
      <c r="F46" s="143"/>
      <c r="G46" s="38"/>
      <c r="H46" s="52"/>
      <c r="I46" s="123"/>
      <c r="J46" s="17"/>
      <c r="K46" s="17"/>
      <c r="L46" s="39"/>
      <c r="M46" s="45"/>
      <c r="N46" s="41">
        <f t="shared" si="13"/>
        <v>0</v>
      </c>
      <c r="O46" s="47">
        <v>1</v>
      </c>
      <c r="P46" s="20"/>
      <c r="Q46" s="65"/>
      <c r="R46" s="24"/>
      <c r="S46" s="24"/>
      <c r="T46" s="57"/>
      <c r="U46" s="44">
        <f t="shared" si="1"/>
        <v>0</v>
      </c>
      <c r="V46" s="34">
        <f t="shared" si="2"/>
        <v>0</v>
      </c>
      <c r="W46" s="67"/>
      <c r="X46" s="70"/>
      <c r="Y46" s="64"/>
      <c r="Z46" s="56"/>
      <c r="AA46" s="55"/>
      <c r="AB46" s="44" t="e">
        <f t="shared" si="3"/>
        <v>#DIV/0!</v>
      </c>
      <c r="AC46" s="47" t="e">
        <f t="shared" si="15"/>
        <v>#DIV/0!</v>
      </c>
      <c r="AD46" s="42"/>
      <c r="AE46" s="24"/>
      <c r="AF46" s="24"/>
      <c r="AG46" s="43"/>
      <c r="AH46" s="59"/>
      <c r="AI46" s="47">
        <f t="shared" si="5"/>
        <v>0</v>
      </c>
      <c r="AJ46" s="92">
        <f t="shared" si="14"/>
        <v>0</v>
      </c>
      <c r="AK46" s="94"/>
      <c r="AL46" s="97"/>
      <c r="AM46" s="34" t="e">
        <f t="shared" si="6"/>
        <v>#DIV/0!</v>
      </c>
      <c r="AN46" s="48">
        <v>65</v>
      </c>
      <c r="AO46" s="49" t="e">
        <f t="shared" si="7"/>
        <v>#DIV/0!</v>
      </c>
      <c r="AP46" s="50" t="e">
        <f t="shared" si="16"/>
        <v>#DIV/0!</v>
      </c>
      <c r="AQ46" s="51"/>
      <c r="AR46" s="35">
        <v>0</v>
      </c>
      <c r="AS46" s="36">
        <f t="shared" si="17"/>
        <v>1</v>
      </c>
      <c r="AT46" s="26" t="e">
        <f t="shared" si="18"/>
        <v>#DIV/0!</v>
      </c>
      <c r="AU46" s="27"/>
      <c r="AV46" s="104"/>
      <c r="AW46" s="104"/>
      <c r="AX46" s="104"/>
      <c r="AY46" s="104"/>
      <c r="AZ46" s="105"/>
      <c r="BA46" s="105">
        <f t="shared" si="11"/>
        <v>0</v>
      </c>
      <c r="BB46" s="106">
        <f t="shared" si="12"/>
        <v>0</v>
      </c>
    </row>
    <row r="47" spans="1:54" s="12" customFormat="1" ht="39.950000000000003" customHeight="1" thickBot="1">
      <c r="A47" s="74"/>
      <c r="B47" s="74"/>
      <c r="C47" s="74"/>
      <c r="D47" s="74"/>
      <c r="E47" s="74"/>
      <c r="F47" s="143"/>
      <c r="G47" s="38"/>
      <c r="H47" s="52"/>
      <c r="I47" s="123"/>
      <c r="J47" s="17"/>
      <c r="K47" s="17"/>
      <c r="L47" s="39"/>
      <c r="M47" s="45"/>
      <c r="N47" s="41">
        <f t="shared" si="13"/>
        <v>0</v>
      </c>
      <c r="O47" s="47">
        <v>1</v>
      </c>
      <c r="P47" s="20"/>
      <c r="Q47" s="65"/>
      <c r="R47" s="43"/>
      <c r="S47" s="24"/>
      <c r="T47" s="57"/>
      <c r="U47" s="44">
        <f t="shared" si="1"/>
        <v>0</v>
      </c>
      <c r="V47" s="34">
        <f t="shared" si="2"/>
        <v>0</v>
      </c>
      <c r="W47" s="22"/>
      <c r="X47" s="56"/>
      <c r="Y47" s="56"/>
      <c r="Z47" s="56"/>
      <c r="AA47" s="55"/>
      <c r="AB47" s="44" t="e">
        <f t="shared" si="3"/>
        <v>#DIV/0!</v>
      </c>
      <c r="AC47" s="47" t="e">
        <f t="shared" si="15"/>
        <v>#DIV/0!</v>
      </c>
      <c r="AD47" s="34"/>
      <c r="AE47" s="43"/>
      <c r="AF47" s="42"/>
      <c r="AG47" s="43"/>
      <c r="AH47" s="59"/>
      <c r="AI47" s="47">
        <f t="shared" si="5"/>
        <v>0</v>
      </c>
      <c r="AJ47" s="92">
        <f t="shared" si="14"/>
        <v>0</v>
      </c>
      <c r="AK47" s="94"/>
      <c r="AL47" s="97"/>
      <c r="AM47" s="34" t="e">
        <f t="shared" si="6"/>
        <v>#DIV/0!</v>
      </c>
      <c r="AN47" s="48">
        <v>65</v>
      </c>
      <c r="AO47" s="49" t="e">
        <f t="shared" si="7"/>
        <v>#DIV/0!</v>
      </c>
      <c r="AP47" s="50" t="e">
        <f t="shared" si="16"/>
        <v>#DIV/0!</v>
      </c>
      <c r="AQ47" s="51"/>
      <c r="AR47" s="35">
        <v>0</v>
      </c>
      <c r="AS47" s="36">
        <f t="shared" si="17"/>
        <v>1</v>
      </c>
      <c r="AT47" s="26" t="e">
        <f t="shared" si="18"/>
        <v>#DIV/0!</v>
      </c>
      <c r="AU47" s="27"/>
      <c r="AV47" s="104"/>
      <c r="AW47" s="104"/>
      <c r="AX47" s="104"/>
      <c r="AY47" s="104"/>
      <c r="AZ47" s="105"/>
      <c r="BA47" s="105">
        <f t="shared" si="11"/>
        <v>0</v>
      </c>
      <c r="BB47" s="106">
        <f t="shared" si="12"/>
        <v>0</v>
      </c>
    </row>
    <row r="48" spans="1:54" s="12" customFormat="1" ht="39.950000000000003" customHeight="1" thickBot="1">
      <c r="A48" s="74"/>
      <c r="B48" s="74"/>
      <c r="C48" s="74"/>
      <c r="D48" s="74"/>
      <c r="E48" s="74"/>
      <c r="F48" s="143"/>
      <c r="G48" s="38"/>
      <c r="H48" s="52"/>
      <c r="I48" s="123"/>
      <c r="J48" s="17"/>
      <c r="K48" s="17"/>
      <c r="L48" s="39"/>
      <c r="M48" s="45"/>
      <c r="N48" s="41">
        <f t="shared" si="13"/>
        <v>0</v>
      </c>
      <c r="O48" s="47">
        <v>1</v>
      </c>
      <c r="P48" s="20"/>
      <c r="Q48" s="65"/>
      <c r="R48" s="43"/>
      <c r="S48" s="24"/>
      <c r="T48" s="57"/>
      <c r="U48" s="44">
        <f t="shared" si="1"/>
        <v>0</v>
      </c>
      <c r="V48" s="34">
        <f t="shared" si="2"/>
        <v>0</v>
      </c>
      <c r="W48" s="22"/>
      <c r="X48" s="56"/>
      <c r="Y48" s="56"/>
      <c r="Z48" s="56"/>
      <c r="AA48" s="55"/>
      <c r="AB48" s="44" t="e">
        <f t="shared" si="3"/>
        <v>#DIV/0!</v>
      </c>
      <c r="AC48" s="47" t="e">
        <f t="shared" si="15"/>
        <v>#DIV/0!</v>
      </c>
      <c r="AD48" s="23"/>
      <c r="AE48" s="24"/>
      <c r="AF48" s="24"/>
      <c r="AG48" s="43"/>
      <c r="AH48" s="59"/>
      <c r="AI48" s="47">
        <f t="shared" si="5"/>
        <v>0</v>
      </c>
      <c r="AJ48" s="92">
        <f t="shared" si="14"/>
        <v>0</v>
      </c>
      <c r="AK48" s="95"/>
      <c r="AL48" s="97"/>
      <c r="AM48" s="34" t="e">
        <f t="shared" si="6"/>
        <v>#DIV/0!</v>
      </c>
      <c r="AN48" s="48">
        <v>65</v>
      </c>
      <c r="AO48" s="49" t="e">
        <f t="shared" si="7"/>
        <v>#DIV/0!</v>
      </c>
      <c r="AP48" s="50" t="e">
        <f t="shared" si="16"/>
        <v>#DIV/0!</v>
      </c>
      <c r="AQ48" s="51"/>
      <c r="AR48" s="35">
        <v>0</v>
      </c>
      <c r="AS48" s="36">
        <f t="shared" si="17"/>
        <v>1</v>
      </c>
      <c r="AT48" s="26" t="e">
        <f t="shared" si="18"/>
        <v>#DIV/0!</v>
      </c>
      <c r="AU48" s="27"/>
      <c r="AV48" s="104"/>
      <c r="AW48" s="104"/>
      <c r="AX48" s="104"/>
      <c r="AY48" s="104"/>
      <c r="AZ48" s="105"/>
      <c r="BA48" s="105">
        <f t="shared" si="11"/>
        <v>0</v>
      </c>
      <c r="BB48" s="106">
        <f t="shared" si="12"/>
        <v>0</v>
      </c>
    </row>
    <row r="49" spans="1:54" s="12" customFormat="1" ht="39.950000000000003" customHeight="1" thickBot="1">
      <c r="A49" s="38"/>
      <c r="B49" s="38"/>
      <c r="C49" s="124"/>
      <c r="D49" s="124"/>
      <c r="E49" s="124"/>
      <c r="F49" s="143"/>
      <c r="G49" s="38"/>
      <c r="H49" s="52"/>
      <c r="I49" s="123"/>
      <c r="J49" s="17"/>
      <c r="K49" s="17"/>
      <c r="L49" s="39"/>
      <c r="M49" s="45"/>
      <c r="N49" s="41">
        <f t="shared" si="13"/>
        <v>0</v>
      </c>
      <c r="O49" s="47">
        <v>1</v>
      </c>
      <c r="P49" s="20"/>
      <c r="Q49" s="65"/>
      <c r="R49" s="24"/>
      <c r="S49" s="24"/>
      <c r="T49" s="57"/>
      <c r="U49" s="44">
        <f t="shared" si="1"/>
        <v>0</v>
      </c>
      <c r="V49" s="34">
        <f t="shared" si="2"/>
        <v>0</v>
      </c>
      <c r="W49" s="22"/>
      <c r="X49" s="56"/>
      <c r="Y49" s="56"/>
      <c r="Z49" s="56"/>
      <c r="AA49" s="55"/>
      <c r="AB49" s="44" t="e">
        <f t="shared" si="3"/>
        <v>#DIV/0!</v>
      </c>
      <c r="AC49" s="47" t="e">
        <f t="shared" si="15"/>
        <v>#DIV/0!</v>
      </c>
      <c r="AD49" s="34"/>
      <c r="AE49" s="24"/>
      <c r="AF49" s="42"/>
      <c r="AG49" s="43"/>
      <c r="AH49" s="59"/>
      <c r="AI49" s="47">
        <f t="shared" si="5"/>
        <v>0</v>
      </c>
      <c r="AJ49" s="92">
        <f t="shared" si="14"/>
        <v>0</v>
      </c>
      <c r="AK49" s="94"/>
      <c r="AL49" s="97"/>
      <c r="AM49" s="34" t="e">
        <f t="shared" si="6"/>
        <v>#DIV/0!</v>
      </c>
      <c r="AN49" s="48">
        <v>65</v>
      </c>
      <c r="AO49" s="49" t="e">
        <f t="shared" si="7"/>
        <v>#DIV/0!</v>
      </c>
      <c r="AP49" s="50" t="e">
        <f t="shared" si="16"/>
        <v>#DIV/0!</v>
      </c>
      <c r="AQ49" s="51"/>
      <c r="AR49" s="35">
        <v>0</v>
      </c>
      <c r="AS49" s="36">
        <f t="shared" si="17"/>
        <v>1</v>
      </c>
      <c r="AT49" s="26" t="e">
        <f t="shared" si="18"/>
        <v>#DIV/0!</v>
      </c>
      <c r="AU49" s="27"/>
      <c r="AV49" s="104"/>
      <c r="AW49" s="104"/>
      <c r="AX49" s="104"/>
      <c r="AY49" s="104"/>
      <c r="AZ49" s="105"/>
      <c r="BA49" s="105">
        <f t="shared" si="11"/>
        <v>0</v>
      </c>
      <c r="BB49" s="106">
        <f t="shared" si="12"/>
        <v>0</v>
      </c>
    </row>
    <row r="50" spans="1:54" s="12" customFormat="1" ht="39.950000000000003" customHeight="1" thickBot="1">
      <c r="A50" s="38"/>
      <c r="B50" s="38"/>
      <c r="C50" s="124"/>
      <c r="D50" s="124"/>
      <c r="E50" s="124"/>
      <c r="F50" s="143"/>
      <c r="G50" s="38"/>
      <c r="H50" s="52"/>
      <c r="I50" s="123"/>
      <c r="J50" s="17"/>
      <c r="K50" s="17"/>
      <c r="L50" s="39"/>
      <c r="M50" s="45"/>
      <c r="N50" s="41">
        <f t="shared" si="13"/>
        <v>0</v>
      </c>
      <c r="O50" s="47">
        <v>1</v>
      </c>
      <c r="P50" s="20"/>
      <c r="Q50" s="65"/>
      <c r="R50" s="24"/>
      <c r="S50" s="24"/>
      <c r="T50" s="57"/>
      <c r="U50" s="44">
        <f t="shared" si="1"/>
        <v>0</v>
      </c>
      <c r="V50" s="34">
        <f t="shared" si="2"/>
        <v>0</v>
      </c>
      <c r="W50" s="22"/>
      <c r="X50" s="56"/>
      <c r="Y50" s="56"/>
      <c r="Z50" s="56"/>
      <c r="AA50" s="55"/>
      <c r="AB50" s="44" t="e">
        <f t="shared" si="3"/>
        <v>#DIV/0!</v>
      </c>
      <c r="AC50" s="47" t="e">
        <f t="shared" si="15"/>
        <v>#DIV/0!</v>
      </c>
      <c r="AD50" s="34"/>
      <c r="AE50" s="43"/>
      <c r="AF50" s="42"/>
      <c r="AG50" s="43"/>
      <c r="AH50" s="59"/>
      <c r="AI50" s="47">
        <f t="shared" si="5"/>
        <v>0</v>
      </c>
      <c r="AJ50" s="92">
        <f t="shared" si="14"/>
        <v>0</v>
      </c>
      <c r="AK50" s="94"/>
      <c r="AL50" s="97"/>
      <c r="AM50" s="34" t="e">
        <f t="shared" si="6"/>
        <v>#DIV/0!</v>
      </c>
      <c r="AN50" s="48">
        <v>65</v>
      </c>
      <c r="AO50" s="49" t="e">
        <f t="shared" si="7"/>
        <v>#DIV/0!</v>
      </c>
      <c r="AP50" s="50" t="e">
        <f t="shared" si="16"/>
        <v>#DIV/0!</v>
      </c>
      <c r="AQ50" s="51"/>
      <c r="AR50" s="35">
        <v>0</v>
      </c>
      <c r="AS50" s="36">
        <f t="shared" si="17"/>
        <v>1</v>
      </c>
      <c r="AT50" s="26" t="e">
        <f t="shared" si="18"/>
        <v>#DIV/0!</v>
      </c>
      <c r="AU50" s="27"/>
      <c r="AV50" s="104"/>
      <c r="AW50" s="104"/>
      <c r="AX50" s="104"/>
      <c r="AY50" s="104"/>
      <c r="AZ50" s="105"/>
      <c r="BA50" s="105">
        <f t="shared" si="11"/>
        <v>0</v>
      </c>
      <c r="BB50" s="106">
        <f t="shared" si="12"/>
        <v>0</v>
      </c>
    </row>
    <row r="51" spans="1:54" s="12" customFormat="1" ht="39.950000000000003" customHeight="1" thickBot="1">
      <c r="A51" s="38"/>
      <c r="B51" s="38"/>
      <c r="C51" s="124"/>
      <c r="D51" s="124"/>
      <c r="E51" s="124"/>
      <c r="F51" s="143"/>
      <c r="G51" s="38"/>
      <c r="H51" s="52"/>
      <c r="I51" s="123"/>
      <c r="J51" s="17"/>
      <c r="K51" s="17"/>
      <c r="L51" s="39"/>
      <c r="M51" s="45"/>
      <c r="N51" s="41">
        <f t="shared" si="13"/>
        <v>0</v>
      </c>
      <c r="O51" s="47">
        <v>1</v>
      </c>
      <c r="P51" s="20"/>
      <c r="Q51" s="65"/>
      <c r="R51" s="43"/>
      <c r="S51" s="24"/>
      <c r="T51" s="57"/>
      <c r="U51" s="44">
        <f t="shared" si="1"/>
        <v>0</v>
      </c>
      <c r="V51" s="34">
        <f t="shared" si="2"/>
        <v>0</v>
      </c>
      <c r="W51" s="22"/>
      <c r="X51" s="56"/>
      <c r="Y51" s="56"/>
      <c r="Z51" s="56"/>
      <c r="AA51" s="55"/>
      <c r="AB51" s="44" t="e">
        <f t="shared" si="3"/>
        <v>#DIV/0!</v>
      </c>
      <c r="AC51" s="47" t="e">
        <f t="shared" si="15"/>
        <v>#DIV/0!</v>
      </c>
      <c r="AD51" s="34"/>
      <c r="AE51" s="43"/>
      <c r="AF51" s="42"/>
      <c r="AG51" s="43"/>
      <c r="AH51" s="59"/>
      <c r="AI51" s="47">
        <f t="shared" si="5"/>
        <v>0</v>
      </c>
      <c r="AJ51" s="92">
        <f t="shared" si="14"/>
        <v>0</v>
      </c>
      <c r="AK51" s="94"/>
      <c r="AL51" s="97"/>
      <c r="AM51" s="34" t="e">
        <f t="shared" si="6"/>
        <v>#DIV/0!</v>
      </c>
      <c r="AN51" s="48">
        <v>65</v>
      </c>
      <c r="AO51" s="49" t="e">
        <f t="shared" si="7"/>
        <v>#DIV/0!</v>
      </c>
      <c r="AP51" s="50" t="e">
        <f t="shared" si="16"/>
        <v>#DIV/0!</v>
      </c>
      <c r="AQ51" s="51"/>
      <c r="AR51" s="35">
        <v>0</v>
      </c>
      <c r="AS51" s="36">
        <f t="shared" si="17"/>
        <v>1</v>
      </c>
      <c r="AT51" s="26" t="e">
        <f t="shared" si="18"/>
        <v>#DIV/0!</v>
      </c>
      <c r="AU51" s="27"/>
      <c r="AV51" s="104"/>
      <c r="AW51" s="104"/>
      <c r="AX51" s="104"/>
      <c r="AY51" s="104"/>
      <c r="AZ51" s="105"/>
      <c r="BA51" s="105">
        <f t="shared" si="11"/>
        <v>0</v>
      </c>
      <c r="BB51" s="106">
        <f t="shared" si="12"/>
        <v>0</v>
      </c>
    </row>
    <row r="52" spans="1:54" s="12" customFormat="1" ht="39.950000000000003" customHeight="1" thickBot="1">
      <c r="A52" s="38"/>
      <c r="B52" s="38"/>
      <c r="C52" s="124"/>
      <c r="D52" s="124"/>
      <c r="E52" s="124"/>
      <c r="F52" s="143"/>
      <c r="G52" s="38"/>
      <c r="H52" s="52"/>
      <c r="I52" s="123"/>
      <c r="J52" s="17"/>
      <c r="K52" s="17"/>
      <c r="L52" s="39"/>
      <c r="M52" s="45"/>
      <c r="N52" s="41">
        <f t="shared" si="13"/>
        <v>0</v>
      </c>
      <c r="O52" s="47">
        <v>1</v>
      </c>
      <c r="P52" s="20"/>
      <c r="Q52" s="43"/>
      <c r="R52" s="43"/>
      <c r="S52" s="24"/>
      <c r="T52" s="57"/>
      <c r="U52" s="44">
        <f t="shared" si="1"/>
        <v>0</v>
      </c>
      <c r="V52" s="34">
        <f t="shared" si="2"/>
        <v>0</v>
      </c>
      <c r="W52" s="22"/>
      <c r="X52" s="56"/>
      <c r="Y52" s="56"/>
      <c r="Z52" s="56"/>
      <c r="AA52" s="55"/>
      <c r="AB52" s="44" t="e">
        <f t="shared" si="3"/>
        <v>#DIV/0!</v>
      </c>
      <c r="AC52" s="47" t="e">
        <f t="shared" si="15"/>
        <v>#DIV/0!</v>
      </c>
      <c r="AD52" s="23"/>
      <c r="AE52" s="24"/>
      <c r="AF52" s="24"/>
      <c r="AG52" s="43"/>
      <c r="AH52" s="59"/>
      <c r="AI52" s="47">
        <f t="shared" si="5"/>
        <v>0</v>
      </c>
      <c r="AJ52" s="92">
        <f t="shared" si="14"/>
        <v>0</v>
      </c>
      <c r="AK52" s="95"/>
      <c r="AL52" s="97"/>
      <c r="AM52" s="34" t="e">
        <f t="shared" si="6"/>
        <v>#DIV/0!</v>
      </c>
      <c r="AN52" s="48">
        <v>65</v>
      </c>
      <c r="AO52" s="49" t="e">
        <f t="shared" si="7"/>
        <v>#DIV/0!</v>
      </c>
      <c r="AP52" s="50" t="e">
        <f t="shared" si="16"/>
        <v>#DIV/0!</v>
      </c>
      <c r="AQ52" s="51"/>
      <c r="AR52" s="35">
        <v>0</v>
      </c>
      <c r="AS52" s="36">
        <f t="shared" si="17"/>
        <v>1</v>
      </c>
      <c r="AT52" s="26" t="e">
        <f t="shared" si="18"/>
        <v>#DIV/0!</v>
      </c>
      <c r="AU52" s="27"/>
      <c r="AV52" s="104"/>
      <c r="AW52" s="104"/>
      <c r="AX52" s="104"/>
      <c r="AY52" s="104"/>
      <c r="AZ52" s="105"/>
      <c r="BA52" s="105">
        <f t="shared" si="11"/>
        <v>0</v>
      </c>
      <c r="BB52" s="106">
        <f t="shared" si="12"/>
        <v>0</v>
      </c>
    </row>
    <row r="53" spans="1:54" s="12" customFormat="1" ht="39.950000000000003" customHeight="1" thickBot="1">
      <c r="A53" s="38"/>
      <c r="B53" s="38"/>
      <c r="C53" s="124"/>
      <c r="D53" s="124"/>
      <c r="E53" s="124"/>
      <c r="F53" s="143"/>
      <c r="G53" s="38"/>
      <c r="H53" s="52"/>
      <c r="I53" s="123"/>
      <c r="J53" s="17"/>
      <c r="K53" s="17"/>
      <c r="L53" s="39"/>
      <c r="M53" s="40"/>
      <c r="N53" s="41">
        <f t="shared" si="13"/>
        <v>0</v>
      </c>
      <c r="O53" s="47">
        <v>1</v>
      </c>
      <c r="P53" s="20"/>
      <c r="Q53" s="43"/>
      <c r="R53" s="43"/>
      <c r="S53" s="43"/>
      <c r="T53" s="68"/>
      <c r="U53" s="44">
        <f t="shared" si="1"/>
        <v>0</v>
      </c>
      <c r="V53" s="34">
        <f t="shared" si="2"/>
        <v>0</v>
      </c>
      <c r="W53" s="22"/>
      <c r="X53" s="55"/>
      <c r="Y53" s="56"/>
      <c r="Z53" s="56"/>
      <c r="AA53" s="55"/>
      <c r="AB53" s="111" t="e">
        <f t="shared" si="3"/>
        <v>#DIV/0!</v>
      </c>
      <c r="AC53" s="100" t="e">
        <f t="shared" si="15"/>
        <v>#DIV/0!</v>
      </c>
      <c r="AD53" s="23"/>
      <c r="AE53" s="24"/>
      <c r="AF53" s="42"/>
      <c r="AG53" s="43"/>
      <c r="AH53" s="59"/>
      <c r="AI53" s="100">
        <f t="shared" si="5"/>
        <v>0</v>
      </c>
      <c r="AJ53" s="92">
        <f t="shared" si="14"/>
        <v>0</v>
      </c>
      <c r="AK53" s="96"/>
      <c r="AL53" s="98"/>
      <c r="AM53" s="34" t="e">
        <f t="shared" si="6"/>
        <v>#DIV/0!</v>
      </c>
      <c r="AN53" s="48">
        <v>65</v>
      </c>
      <c r="AO53" s="49" t="e">
        <f t="shared" si="7"/>
        <v>#DIV/0!</v>
      </c>
      <c r="AP53" s="50" t="e">
        <f t="shared" si="16"/>
        <v>#DIV/0!</v>
      </c>
      <c r="AQ53" s="51"/>
      <c r="AR53" s="35">
        <v>0</v>
      </c>
      <c r="AS53" s="36">
        <f t="shared" si="17"/>
        <v>1</v>
      </c>
      <c r="AT53" s="26" t="e">
        <f t="shared" si="18"/>
        <v>#DIV/0!</v>
      </c>
      <c r="AU53" s="27"/>
      <c r="AV53" s="104"/>
      <c r="AW53" s="104"/>
      <c r="AX53" s="104"/>
      <c r="AY53" s="104"/>
      <c r="AZ53" s="105"/>
      <c r="BA53" s="105">
        <f t="shared" si="11"/>
        <v>0</v>
      </c>
      <c r="BB53" s="106">
        <f t="shared" si="12"/>
        <v>0</v>
      </c>
    </row>
  </sheetData>
  <mergeCells count="33">
    <mergeCell ref="AD1:AK2"/>
    <mergeCell ref="BB3:BB4"/>
    <mergeCell ref="AU3:AU4"/>
    <mergeCell ref="AV3:AV4"/>
    <mergeCell ref="AW3:AW4"/>
    <mergeCell ref="AX3:AX4"/>
    <mergeCell ref="AY3:AY4"/>
    <mergeCell ref="AZ3:AZ4"/>
    <mergeCell ref="AP3:AP4"/>
    <mergeCell ref="AQ3:AQ4"/>
    <mergeCell ref="AR3:AR4"/>
    <mergeCell ref="AS3:AS4"/>
    <mergeCell ref="BA3:BA4"/>
    <mergeCell ref="AT3:AT4"/>
    <mergeCell ref="AD3:AJ3"/>
    <mergeCell ref="U2:Z2"/>
    <mergeCell ref="A3:A4"/>
    <mergeCell ref="B3:B4"/>
    <mergeCell ref="C3:H3"/>
    <mergeCell ref="I3:M3"/>
    <mergeCell ref="N3:N4"/>
    <mergeCell ref="O3:O4"/>
    <mergeCell ref="P3:U3"/>
    <mergeCell ref="W3:AB3"/>
    <mergeCell ref="D2:E2"/>
    <mergeCell ref="F2:G2"/>
    <mergeCell ref="I2:J2"/>
    <mergeCell ref="P2:S2"/>
    <mergeCell ref="D1:E1"/>
    <mergeCell ref="F1:G1"/>
    <mergeCell ref="I1:J1"/>
    <mergeCell ref="L1:M1"/>
    <mergeCell ref="N1:AB1"/>
  </mergeCells>
  <phoneticPr fontId="3" type="noConversion"/>
  <printOptions horizontalCentered="1"/>
  <pageMargins left="0.17" right="0.17" top="0.33" bottom="0.24" header="0.26" footer="0.18"/>
  <pageSetup paperSize="9" scale="47" orientation="landscape" r:id="rId1"/>
  <headerFooter alignWithMargins="0"/>
  <colBreaks count="2" manualBreakCount="2">
    <brk id="38" max="51" man="1"/>
    <brk id="54" max="5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양식</vt:lpstr>
    </vt:vector>
  </TitlesOfParts>
  <Company>auney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auney</dc:creator>
  <cp:lastModifiedBy>user</cp:lastModifiedBy>
  <dcterms:created xsi:type="dcterms:W3CDTF">2015-02-23T09:30:36Z</dcterms:created>
  <dcterms:modified xsi:type="dcterms:W3CDTF">2026-03-03T04:14:51Z</dcterms:modified>
</cp:coreProperties>
</file>